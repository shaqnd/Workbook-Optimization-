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Sales" sheetId="11" state="visible" r:id="rId11"/>
    <sheet name="Income" sheetId="12" state="visible" r:id="rId12"/>
    <sheet name="Codes" sheetId="13" state="visible" r:id="rId13"/>
    <sheet name="Occ Codes" sheetId="14" state="visible" r:id="rId14"/>
    <sheet name="Zoning Codes" sheetId="15" state="visible" r:id="rId15"/>
    <sheet name="Resources" sheetId="16" state="visible" r:id="rId16"/>
    <sheet name="Resource Directory" sheetId="17" state="visible" r:id="rId17"/>
    <sheet name="Property Registry" sheetId="18" state="visible" r:id="rId18"/>
    <sheet name="Expense Database" sheetId="19" state="visible" r:id="rId19"/>
    <sheet name="PSF Summary" sheetId="20" state="visible" r:id="rId20"/>
  </sheets>
  <externalReferences>
    <externalReference r:id="rId21"/>
    <externalReference r:id="rId22"/>
    <externalReference r:id="rId23"/>
    <externalReference r:id="rId24"/>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STRASBURG">'Zoning Codes'!$K$6:$K$7</definedName>
    <definedName name="ZONES_THORNTON">'Zoning Codes'!$L$6:$L$13</definedName>
    <definedName name="ZONES_WESTMINSTER">'Zoning Codes'!$M$6:$M$11</definedName>
    <definedName name="ZONES_OTHER">'Zoning Codes'!$B$5:$B$108</definedName>
    <definedName name="BC_OCC">'M&amp;S Inputs'!$B$30:$B$3123</definedName>
    <definedName name="BC_KEY">'M&amp;S Inputs'!$I$30:$I$3123</definedName>
    <definedName name="BC_VALUE">'M&amp;S Inputs'!$H$30:$H$3123</definedName>
    <definedName name="BC_CITE">'M&amp;S Inputs'!$J$30:$J$3123</definedName>
    <definedName name="OCC_NAME">'M&amp;S Inputs'!$B$3128:$B$3410</definedName>
    <definedName name="OCC_CODE">'M&amp;S Inputs'!$C$3128:$C$3410</definedName>
    <definedName name="OCC_SECTION">'M&amp;S Inputs'!$D$3128:$D$3410</definedName>
    <definedName name="OCC_PAGE">'M&amp;S Inputs'!$E$3128:$E$3410</definedName>
    <definedName name="OCC_STORY">'M&amp;S Inputs'!$F$3128:$F$3410</definedName>
    <definedName name="OCC_SPR">'M&amp;S Inputs'!$G$3128:$G$3410</definedName>
    <definedName name="OCC_DEPR">'M&amp;S Inputs'!$H$3128:$H$3410</definedName>
    <definedName name="OCCMAP_CODE">'M&amp;S Inputs'!$B$3415:$B$3545</definedName>
    <definedName name="OCCMAP_DESC">'M&amp;S Inputs'!$C$3415:$C$3545</definedName>
    <definedName name="OCCMAP_NAME">'M&amp;S Inputs'!$D$3415:$D$3545</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CCM_SECTIONHDR">'M&amp;S Inputs'!$D$3899:$K$3899</definedName>
    <definedName name="CCM_CLASS">'M&amp;S Inputs'!$C$3910:$C$3914</definedName>
    <definedName name="CCM_VALUES">'M&amp;S Inputs'!$D$3910:$K$3914</definedName>
    <definedName name="LAM_CLASSHDR">'M&amp;S Inputs'!$C$3917:$G$3917</definedName>
    <definedName name="LAM_CITY">'M&amp;S Inputs'!$B$3918:$B$3939</definedName>
    <definedName name="LAM_VALUES">'M&amp;S Inputs'!$C$3918:$G$3939</definedName>
    <definedName name="DEN_CLASSHDR">'M&amp;S Inputs'!$C$3943:$G$3943</definedName>
    <definedName name="DEN_LABEL">'M&amp;S Inputs'!$B$3944:$B$3956</definedName>
    <definedName name="DEN_VALUES">'M&amp;S Inputs'!$C$3944:$G$3956</definedName>
    <definedName name="LIFE_CLASSHDR">'M&amp;S Inputs'!$D$3959:$H$3959</definedName>
    <definedName name="LIFE_KEY">'M&amp;S Inputs'!$I$3960:$I$4960</definedName>
    <definedName name="LIFE_VALUES">'M&amp;S Inputs'!$D$3960:$H$4960</definedName>
    <definedName name="DEPR_LIFEHDR">'M&amp;S Inputs'!$C$4965:$L$4965</definedName>
    <definedName name="DEPR_AGE">'M&amp;S Inputs'!$B$4966:$B$5011</definedName>
    <definedName name="DEPR_VALUES">'M&amp;S Inputs'!$C$4966:$L$5011</definedName>
    <definedName name="DEPRR_LIFEHDR">'M&amp;S Inputs'!$C$5015:$M$5015</definedName>
    <definedName name="DEPRR_AGE">'M&amp;S Inputs'!$B$5016:$B$5057</definedName>
    <definedName name="DEPRR_VALUES">'M&amp;S Inputs'!$C$5016:$M$5057</definedName>
    <definedName name="RES_MATRIX_JUR">Resources!$B$46:$B$56</definedName>
    <definedName name="RES_MATRIX_NOTE">Resources!$N$46:$N$56</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K">Resources!$X$46:$X$56</definedName>
    <definedName name="RES_MATRIX_L">Resources!$Y$46:$Y$56</definedName>
    <definedName name="Subj_BldgSF">'Subject Property'!$E$6</definedName>
    <definedName name="NumBldgs">'Subject Property'!$C$12</definedName>
    <definedName name="Bldg2_Occ">'Subject Property'!$E$41</definedName>
    <definedName name="Bldg2_SF">'Subject Property'!$F$41</definedName>
    <definedName name="Bldg2_YOC">'Subject Property'!$G$41</definedName>
    <definedName name="Bldg2_Qual">'Subject Property'!$I$41</definedName>
    <definedName name="Bldg3_Occ">'Subject Property'!$E$42</definedName>
    <definedName name="Bldg3_SF">'Subject Property'!$F$42</definedName>
    <definedName name="Bldg3_YOC">'Subject Property'!$G$42</definedName>
    <definedName name="Bldg3_Qual">'Subject Property'!$I$42</definedName>
    <definedName name="Bldg4_Occ">'Subject Property'!$E$43</definedName>
    <definedName name="Bldg4_SF">'Subject Property'!$F$43</definedName>
    <definedName name="Bldg4_YOC">'Subject Property'!$G$43</definedName>
    <definedName name="Bldg4_Qual">'Subject Property'!$I$43</definedName>
    <definedName name="_xlnm.Print_Area" localSheetId="3">'WO'!$A$1:$H$55</definedName>
    <definedName name="_Fill" localSheetId="4" hidden="1">[1]Vertical!#REF!</definedName>
    <definedName name="_Key1" localSheetId="4" hidden="1">[1]Vertical!#REF!</definedName>
    <definedName name="_Key2" localSheetId="4" hidden="1">[1]Vertical!#REF!</definedName>
    <definedName name="_Sort" localSheetId="4" hidden="1">[1]Vertical!#REF!</definedName>
    <definedName name="_xlnm.Print_Area" localSheetId="4">'BAA Market'!$A$1:$I$39</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xlnm.Print_Area" localSheetId="5">'BAA Rent'!$A$1:$H$41</definedName>
    <definedName name="_Key1" localSheetId="6" hidden="1">[2]Sales!#REF!</definedName>
    <definedName name="_Key2" localSheetId="6" hidden="1">[2]Sales!#REF!</definedName>
    <definedName name="_Sort" localSheetId="6" hidden="1">[2]Sales!#REF!</definedName>
    <definedName name="Class" localSheetId="6">[2]Sales!#REF!</definedName>
    <definedName name="RENT" localSheetId="6">[2]Sales!#REF!</definedName>
    <definedName name="Rent_Title" localSheetId="6">[2]Sales!#REF!</definedName>
    <definedName name="SALES" localSheetId="6">[2]Sales!#REF!</definedName>
    <definedName name="SCH" localSheetId="6">[2]Sales!#REF!</definedName>
    <definedName name="_xlnm.Print_Area" localSheetId="6">'Appeal'!$A$1:$M$74</definedName>
    <definedName name="_xlnm.Print_Area" localSheetId="7">'BOCC'!$A$1:$K$48</definedName>
    <definedName name="_xlnm._FilterDatabase" localSheetId="10" hidden="1">'Sales'!$A$1:$AH$941</definedName>
    <definedName name="_xlnm.Print_Area" localSheetId="10">'Sales'!$A$1:$AC$5</definedName>
    <definedName name="_xlnm._FilterDatabase" localSheetId="11" hidden="1">'Income'!$A$1:$AK$1019</definedName>
    <definedName name="_xlnm.Print_Area" localSheetId="11">'Income'!$A$1:$AK$285</definedName>
    <definedName name="_xlnm._FilterDatabase" localSheetId="16" hidden="1">'Resource Directory'!$B$4:$H$296</definedName>
  </definedNames>
  <calcPr calcId="191029" fullCalcOnLoad="1"/>
</workbook>
</file>

<file path=xl/styles.xml><?xml version="1.0" encoding="utf-8"?>
<styleSheet xmlns="http://schemas.openxmlformats.org/spreadsheetml/2006/main">
  <numFmts count="21">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 numFmtId="181" formatCode="mm/dd/yyyy"/>
    <numFmt numFmtId="182" formatCode="$#,##0.00"/>
    <numFmt numFmtId="183" formatCode="$#,##0"/>
    <numFmt numFmtId="184" formatCode="yyyy-mm-dd"/>
  </numFmts>
  <fonts count="146">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
      <b val="1"/>
      <i val="1"/>
    </font>
    <font>
      <name val="Carlito"/>
      <b val="1"/>
      <color rgb="FFFFFFFF"/>
      <sz val="21"/>
    </font>
    <font>
      <name val="Carlito"/>
      <sz val="11"/>
    </font>
    <font>
      <name val="Carlito"/>
      <i val="1"/>
      <color rgb="FF1F2937"/>
      <sz val="11"/>
    </font>
    <font>
      <name val="Carlito"/>
      <b val="1"/>
      <color rgb="FFFFFFFF"/>
      <sz val="12"/>
    </font>
    <font>
      <name val="Carlito"/>
      <b val="1"/>
      <color rgb="FF1F2937"/>
      <sz val="11"/>
    </font>
    <font>
      <name val="Carlito"/>
      <b val="1"/>
      <color rgb="FF17324D"/>
      <sz val="12"/>
    </font>
    <font>
      <name val="Carlito"/>
      <color rgb="FF1F2937"/>
      <sz val="10"/>
    </font>
    <font>
      <name val="Carlito"/>
      <color rgb="FF0563C1"/>
      <sz val="9"/>
    </font>
    <font>
      <name val="Carlito"/>
      <b val="1"/>
      <color rgb="FFFFFFFF"/>
      <sz val="13"/>
    </font>
    <font>
      <name val="Carlito"/>
      <b val="1"/>
      <color rgb="FFFFFFFF"/>
      <sz val="11"/>
    </font>
    <font>
      <name val="Carlito"/>
      <color rgb="FF1F2937"/>
      <sz val="9"/>
    </font>
    <font>
      <name val="Carlito"/>
      <b val="1"/>
      <color rgb="FF17324D"/>
      <sz val="11"/>
    </font>
    <font>
      <name val="Carlito"/>
      <b val="1"/>
      <color rgb="FFFFFFFF"/>
      <sz val="18"/>
    </font>
    <font>
      <name val="Carlito"/>
      <i val="1"/>
      <color rgb="FF1F2937"/>
      <sz val="10"/>
    </font>
    <font>
      <name val="Carlito"/>
      <b val="1"/>
      <color rgb="FFFFFFFF"/>
      <sz val="10"/>
    </font>
    <font>
      <name val="Carlito"/>
      <color rgb="FF0563C1"/>
      <sz val="8"/>
    </font>
    <font>
      <color rgb="000E7490"/>
      <u val="single"/>
    </font>
    <font>
      <b val="1"/>
      <color rgb="000E7490"/>
      <sz val="10"/>
    </font>
    <font>
      <i val="1"/>
      <color rgb="00D97706"/>
      <sz val="8"/>
    </font>
    <font>
      <b val="1"/>
      <i val="1"/>
      <color rgb="00D97706"/>
    </font>
    <font>
      <b val="1"/>
      <sz val="14"/>
    </font>
    <font>
      <color rgb="000563C1"/>
      <u val="single"/>
    </font>
    <font>
      <i val="1"/>
      <sz val="8"/>
    </font>
    <font>
      <name val="Calibri"/>
      <b val="1"/>
      <color rgb="00FFFFFF"/>
      <sz val="15"/>
    </font>
    <font>
      <name val="Calibri"/>
      <color rgb="00333F50"/>
      <sz val="11"/>
    </font>
    <font>
      <name val="Calibri"/>
      <b val="1"/>
      <color rgb="001F4E78"/>
      <sz val="10"/>
    </font>
    <font>
      <name val="Calibri"/>
      <b val="1"/>
      <sz val="12"/>
    </font>
    <font>
      <name val="Calibri"/>
      <b val="1"/>
      <color rgb="00FFFFFF"/>
      <sz val="11"/>
    </font>
    <font>
      <name val="Calibri"/>
      <b val="1"/>
      <color rgb="001F4E78"/>
      <sz val="9"/>
    </font>
    <font>
      <name val="Calibri"/>
      <b val="1"/>
      <color rgb="00375623"/>
      <sz val="10"/>
    </font>
    <font>
      <name val="Calibri"/>
      <b val="1"/>
      <color rgb="00833C00"/>
      <sz val="9"/>
    </font>
    <font>
      <i val="1"/>
      <color rgb="FF64748B"/>
      <sz val="8"/>
    </font>
    <font>
      <b val="1"/>
      <color rgb="FFC0392B"/>
      <sz val="9"/>
    </font>
  </fonts>
  <fills count="49">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
      <patternFill patternType="solid">
        <fgColor rgb="00FDEBD0"/>
      </patternFill>
    </fill>
    <fill>
      <patternFill patternType="solid">
        <fgColor rgb="FF17324D"/>
      </patternFill>
    </fill>
    <fill>
      <patternFill patternType="solid">
        <fgColor rgb="FFE8F3F7"/>
      </patternFill>
    </fill>
    <fill>
      <patternFill patternType="solid">
        <fgColor rgb="FF0E7490"/>
      </patternFill>
    </fill>
    <fill>
      <patternFill patternType="solid">
        <fgColor rgb="FFF3F6F8"/>
      </patternFill>
    </fill>
    <fill>
      <patternFill patternType="solid">
        <fgColor rgb="FFFFFFFF"/>
      </patternFill>
    </fill>
    <fill>
      <patternFill patternType="solid">
        <fgColor rgb="FFD97706"/>
      </patternFill>
    </fill>
    <fill>
      <patternFill patternType="solid">
        <fgColor rgb="FFFFF7ED"/>
      </patternFill>
    </fill>
    <fill>
      <patternFill patternType="solid">
        <fgColor rgb="FFFFFBEB"/>
      </patternFill>
    </fill>
    <fill>
      <patternFill patternType="solid">
        <fgColor rgb="0017324D"/>
      </patternFill>
    </fill>
    <fill>
      <patternFill patternType="solid">
        <fgColor rgb="00FDEBD3"/>
      </patternFill>
    </fill>
    <fill>
      <patternFill patternType="solid">
        <fgColor rgb="00F1F5F9"/>
      </patternFill>
    </fill>
    <fill>
      <patternFill patternType="solid">
        <fgColor rgb="00E8F3F7"/>
      </patternFill>
    </fill>
    <fill>
      <patternFill patternType="solid">
        <fgColor rgb="00F3F6F8"/>
      </patternFill>
    </fill>
    <fill>
      <patternFill patternType="solid">
        <fgColor rgb="00D97706"/>
      </patternFill>
    </fill>
    <fill>
      <patternFill patternType="solid">
        <fgColor rgb="000E7490"/>
      </patternFill>
    </fill>
    <fill>
      <patternFill patternType="solid">
        <fgColor rgb="00FDF0DA"/>
      </patternFill>
    </fill>
    <fill>
      <patternFill patternType="solid">
        <fgColor rgb="001F4E78"/>
      </patternFill>
    </fill>
    <fill>
      <patternFill patternType="solid">
        <fgColor rgb="002E74B5"/>
      </patternFill>
    </fill>
    <fill>
      <patternFill patternType="solid">
        <fgColor rgb="00DCE9F5"/>
      </patternFill>
    </fill>
    <fill>
      <patternFill patternType="solid">
        <fgColor rgb="00F2F7FB"/>
      </patternFill>
    </fill>
  </fills>
  <borders count="95">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bottom style="thin">
        <color rgb="00D9D9D9"/>
      </bottom>
    </border>
    <border>
      <left/>
      <right/>
      <top/>
      <bottom style="thin">
        <color rgb="00D9D9D9"/>
      </bottom>
      <diagonal/>
    </border>
    <border>
      <left style="thin">
        <color rgb="00B7C9DB"/>
      </left>
      <right style="thin">
        <color rgb="00B7C9DB"/>
      </right>
      <top style="thin">
        <color rgb="00B7C9DB"/>
      </top>
      <bottom style="thin">
        <color rgb="00B7C9DB"/>
      </bottom>
    </border>
    <border>
      <left style="medium">
        <color rgb="001F4E78"/>
      </left>
      <right style="thin">
        <color rgb="00B7C9DB"/>
      </right>
      <top style="medium">
        <color rgb="001F4E78"/>
      </top>
      <bottom style="thin">
        <color rgb="00B7C9DB"/>
      </bottom>
    </border>
    <border>
      <left style="thin">
        <color rgb="00B7C9DB"/>
      </left>
      <right style="thin">
        <color rgb="00B7C9DB"/>
      </right>
      <top style="medium">
        <color rgb="001F4E78"/>
      </top>
      <bottom style="thin">
        <color rgb="00B7C9DB"/>
      </bottom>
    </border>
    <border>
      <left style="thin">
        <color rgb="00B7C9DB"/>
      </left>
      <right style="medium">
        <color rgb="001F4E78"/>
      </right>
      <top style="medium">
        <color rgb="001F4E78"/>
      </top>
      <bottom style="thin">
        <color rgb="00B7C9DB"/>
      </bottom>
    </border>
    <border>
      <left style="medium">
        <color rgb="001F4E78"/>
      </left>
      <right style="thin">
        <color rgb="00B7C9DB"/>
      </right>
      <top style="thin">
        <color rgb="00B7C9DB"/>
      </top>
      <bottom style="thin">
        <color rgb="00B7C9DB"/>
      </bottom>
    </border>
    <border>
      <left style="thin">
        <color rgb="00B7C9DB"/>
      </left>
      <right style="medium">
        <color rgb="001F4E78"/>
      </right>
      <top style="thin">
        <color rgb="00B7C9DB"/>
      </top>
      <bottom style="thin">
        <color rgb="00B7C9DB"/>
      </bottom>
    </border>
    <border>
      <left style="medium">
        <color rgb="001F4E78"/>
      </left>
      <right style="thin">
        <color rgb="00B7C9DB"/>
      </right>
      <top style="thin">
        <color rgb="00B7C9DB"/>
      </top>
      <bottom style="medium">
        <color rgb="001F4E78"/>
      </bottom>
    </border>
    <border>
      <left style="thin">
        <color rgb="00B7C9DB"/>
      </left>
      <right style="thin">
        <color rgb="00B7C9DB"/>
      </right>
      <top style="thin">
        <color rgb="00B7C9DB"/>
      </top>
      <bottom style="medium">
        <color rgb="001F4E78"/>
      </bottom>
    </border>
    <border>
      <left style="thin">
        <color rgb="00B7C9DB"/>
      </left>
      <right style="medium">
        <color rgb="001F4E78"/>
      </right>
      <top style="thin">
        <color rgb="00B7C9DB"/>
      </top>
      <bottom style="medium">
        <color rgb="001F4E78"/>
      </bottom>
    </border>
    <border>
      <bottom style="thin">
        <color rgb="00404040"/>
      </bottom>
    </border>
    <border>
      <left/>
      <right/>
      <top style="medium">
        <color rgb="001F4E78"/>
      </top>
      <bottom/>
      <diagonal/>
    </border>
    <border>
      <left style="medium">
        <color rgb="001F4E78"/>
      </left>
      <right/>
      <top/>
      <bottom/>
      <diagonal/>
    </border>
    <border>
      <left/>
      <right style="thin">
        <color rgb="00B7C9DB"/>
      </right>
      <top style="medium">
        <color rgb="001F4E78"/>
      </top>
      <bottom/>
      <diagonal/>
    </border>
    <border>
      <left/>
      <right style="thin">
        <color rgb="00B7C9DB"/>
      </right>
      <top/>
      <bottom/>
      <diagonal/>
    </border>
    <border>
      <left style="medium">
        <color rgb="001F4E78"/>
      </left>
      <right/>
      <top/>
      <bottom style="thin">
        <color rgb="00B7C9DB"/>
      </bottom>
      <diagonal/>
    </border>
    <border>
      <left/>
      <right/>
      <top/>
      <bottom style="thin">
        <color rgb="00B7C9DB"/>
      </bottom>
      <diagonal/>
    </border>
    <border>
      <left/>
      <right style="thin">
        <color rgb="00B7C9DB"/>
      </right>
      <top/>
      <bottom style="thin">
        <color rgb="00B7C9DB"/>
      </bottom>
      <diagonal/>
    </border>
    <border>
      <left style="thin">
        <color rgb="00B7C9DB"/>
      </left>
      <right/>
      <top/>
      <bottom/>
      <diagonal/>
    </border>
    <border>
      <left style="thin">
        <color rgb="00B7C9DB"/>
      </left>
      <right style="thin">
        <color rgb="00B7C9DB"/>
      </right>
      <top/>
      <bottom/>
      <diagonal/>
    </border>
    <border>
      <left style="thin">
        <color rgb="00B7C9DB"/>
      </left>
      <right style="thin">
        <color rgb="00B7C9DB"/>
      </right>
      <top/>
      <bottom style="thin">
        <color rgb="00B7C9DB"/>
      </bottom>
      <diagonal/>
    </border>
    <border>
      <left/>
      <right/>
      <top style="thin">
        <color rgb="00B7C9DB"/>
      </top>
      <bottom/>
      <diagonal/>
    </border>
    <border>
      <left/>
      <right style="thin">
        <color rgb="00B7C9DB"/>
      </right>
      <top style="thin">
        <color rgb="00B7C9DB"/>
      </top>
      <bottom/>
      <diagonal/>
    </border>
    <border>
      <left/>
      <right style="thin">
        <color rgb="00B7C9DB"/>
      </right>
      <top style="thin">
        <color rgb="00B7C9DB"/>
      </top>
      <bottom style="thin">
        <color rgb="00B7C9DB"/>
      </bottom>
      <diagonal/>
    </border>
    <border>
      <left/>
      <right/>
      <top style="thin">
        <color rgb="00B7C9DB"/>
      </top>
      <bottom style="thin">
        <color rgb="00B7C9DB"/>
      </bottom>
      <diagonal/>
    </border>
    <border>
      <right/>
      <bottom style="thin">
        <color rgb="00D9D9D9"/>
      </bottom>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1528">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xf numFmtId="0" fontId="0" fillId="13" borderId="0" pivotButton="0" quotePrefix="0" xfId="0"/>
    <xf numFmtId="0" fontId="82" fillId="0" borderId="0" pivotButton="0" quotePrefix="0" xfId="0"/>
    <xf numFmtId="0" fontId="82" fillId="13" borderId="0" applyAlignment="1" pivotButton="0" quotePrefix="0" xfId="0">
      <alignment horizontal="center"/>
    </xf>
    <xf numFmtId="3" fontId="80" fillId="13" borderId="62" pivotButton="0" quotePrefix="0" xfId="0"/>
    <xf numFmtId="2" fontId="80" fillId="13" borderId="62" pivotButton="0" quotePrefix="0" xfId="0"/>
    <xf numFmtId="2" fontId="80" fillId="13" borderId="62" applyAlignment="1" pivotButton="0" quotePrefix="0" xfId="0">
      <alignment horizontal="center" vertical="center"/>
    </xf>
    <xf numFmtId="181" fontId="80" fillId="13" borderId="62" applyAlignment="1" pivotButton="0" quotePrefix="0" xfId="0">
      <alignment vertical="center"/>
    </xf>
    <xf numFmtId="3" fontId="80" fillId="14" borderId="60" pivotButton="0" quotePrefix="0" xfId="0"/>
    <xf numFmtId="182" fontId="80" fillId="0" borderId="60" applyAlignment="1" pivotButton="0" quotePrefix="0" xfId="0">
      <alignment vertical="center"/>
    </xf>
    <xf numFmtId="183" fontId="80" fillId="0" borderId="60" applyAlignment="1" pivotButton="0" quotePrefix="0" xfId="0">
      <alignment vertical="center"/>
    </xf>
    <xf numFmtId="183" fontId="82" fillId="0" borderId="60" applyAlignment="1" pivotButton="0" quotePrefix="0" xfId="0">
      <alignment vertical="center"/>
    </xf>
    <xf numFmtId="178" fontId="80" fillId="0" borderId="60" applyAlignment="1" pivotButton="0" quotePrefix="0" xfId="0">
      <alignment vertical="center"/>
    </xf>
    <xf numFmtId="178" fontId="82" fillId="0" borderId="60" applyAlignment="1" pivotButton="0" quotePrefix="0" xfId="0">
      <alignment vertical="center"/>
    </xf>
    <xf numFmtId="3" fontId="80" fillId="13" borderId="62" applyAlignment="1" pivotButton="0" quotePrefix="0" xfId="0">
      <alignment vertical="center"/>
    </xf>
    <xf numFmtId="182" fontId="80" fillId="13" borderId="62" applyAlignment="1" pivotButton="0" quotePrefix="0" xfId="0">
      <alignment vertical="center"/>
    </xf>
    <xf numFmtId="170" fontId="80" fillId="13" borderId="62" applyAlignment="1" pivotButton="0" quotePrefix="0" xfId="0">
      <alignment vertical="center"/>
    </xf>
    <xf numFmtId="183" fontId="83" fillId="0" borderId="60" applyAlignment="1" pivotButton="0" quotePrefix="0" xfId="0">
      <alignment vertical="center"/>
    </xf>
    <xf numFmtId="182" fontId="80" fillId="0" borderId="60" pivotButton="0" quotePrefix="0" xfId="0"/>
    <xf numFmtId="183" fontId="80" fillId="13" borderId="62" applyAlignment="1" pivotButton="0" quotePrefix="0" xfId="0">
      <alignment horizontal="center"/>
    </xf>
    <xf numFmtId="170" fontId="80" fillId="14" borderId="60" applyAlignment="1" pivotButton="0" quotePrefix="0" xfId="0">
      <alignment vertical="center"/>
    </xf>
    <xf numFmtId="183" fontId="80" fillId="0" borderId="60" pivotButton="0" quotePrefix="0" xfId="0"/>
    <xf numFmtId="170" fontId="80" fillId="13" borderId="62" pivotButton="0" quotePrefix="0" xfId="0"/>
    <xf numFmtId="170" fontId="80" fillId="0" borderId="60" pivotButton="0" quotePrefix="0" xfId="0"/>
    <xf numFmtId="183" fontId="82" fillId="0" borderId="60" pivotButton="0" quotePrefix="0" xfId="0"/>
    <xf numFmtId="183" fontId="84" fillId="0" borderId="60" pivotButton="0" quotePrefix="0" xfId="0"/>
    <xf numFmtId="183" fontId="80" fillId="13" borderId="60" applyAlignment="1" pivotButton="0" quotePrefix="0" xfId="0">
      <alignment horizontal="center"/>
    </xf>
    <xf numFmtId="183" fontId="84" fillId="0" borderId="60" applyAlignment="1" pivotButton="0" quotePrefix="0" xfId="0">
      <alignment vertical="center"/>
    </xf>
    <xf numFmtId="3" fontId="80" fillId="0" borderId="60" applyAlignment="1" pivotButton="0" quotePrefix="0" xfId="0">
      <alignment horizontal="left" vertical="center" indent="2"/>
    </xf>
    <xf numFmtId="0" fontId="109" fillId="14" borderId="0" pivotButton="0" quotePrefix="0" xfId="0"/>
    <xf numFmtId="183" fontId="0" fillId="0" borderId="0" pivotButton="0" quotePrefix="0" xfId="0"/>
    <xf numFmtId="182" fontId="0" fillId="0" borderId="0" pivotButton="0" quotePrefix="0" xfId="0"/>
    <xf numFmtId="3" fontId="0" fillId="0" borderId="0" pivotButton="0" quotePrefix="0" xfId="0"/>
    <xf numFmtId="181" fontId="0" fillId="0" borderId="0" pivotButton="0" quotePrefix="0" xfId="0"/>
    <xf numFmtId="0" fontId="112" fillId="0" borderId="0" pivotButton="0" quotePrefix="0" xfId="0"/>
    <xf numFmtId="0" fontId="77" fillId="0" borderId="0" pivotButton="0" quotePrefix="0" xfId="0"/>
    <xf numFmtId="183" fontId="0" fillId="28" borderId="0" pivotButton="0" quotePrefix="0" xfId="0"/>
    <xf numFmtId="182" fontId="0" fillId="28" borderId="0" pivotButton="0" quotePrefix="0" xfId="0"/>
    <xf numFmtId="0" fontId="113" fillId="29" borderId="60" applyAlignment="1" pivotButton="0" quotePrefix="0" xfId="0">
      <alignment horizontal="left" vertical="center"/>
    </xf>
    <xf numFmtId="0" fontId="115" fillId="30" borderId="60" applyAlignment="1" pivotButton="0" quotePrefix="0" xfId="0">
      <alignment vertical="center" wrapText="1"/>
    </xf>
    <xf numFmtId="0" fontId="116" fillId="31" borderId="60" applyAlignment="1" pivotButton="0" quotePrefix="0" xfId="0">
      <alignment horizontal="center"/>
    </xf>
    <xf numFmtId="0" fontId="117" fillId="32" borderId="60" applyAlignment="1" pivotButton="0" quotePrefix="0" xfId="0">
      <alignment wrapText="1"/>
    </xf>
    <xf numFmtId="0" fontId="118" fillId="0" borderId="60" applyAlignment="1" pivotButton="0" quotePrefix="0" xfId="0">
      <alignment horizontal="center" vertical="center"/>
    </xf>
    <xf numFmtId="0" fontId="119" fillId="33" borderId="60" applyAlignment="1" pivotButton="0" quotePrefix="0" xfId="0">
      <alignment vertical="center" wrapText="1"/>
    </xf>
    <xf numFmtId="0" fontId="120" fillId="0" borderId="60" applyAlignment="1" pivotButton="0" quotePrefix="0" xfId="0">
      <alignment vertical="center"/>
    </xf>
    <xf numFmtId="0" fontId="119" fillId="32" borderId="60" applyAlignment="1" pivotButton="0" quotePrefix="0" xfId="0">
      <alignment vertical="center" wrapText="1"/>
    </xf>
    <xf numFmtId="0" fontId="116" fillId="34" borderId="60" applyAlignment="1" pivotButton="0" quotePrefix="0" xfId="0">
      <alignment horizontal="center"/>
    </xf>
    <xf numFmtId="0" fontId="119" fillId="35" borderId="60" applyAlignment="1" pivotButton="0" quotePrefix="0" xfId="0">
      <alignment vertical="center" wrapText="1"/>
    </xf>
    <xf numFmtId="0" fontId="119" fillId="36" borderId="60" applyAlignment="1" pivotButton="0" quotePrefix="0" xfId="0">
      <alignment vertical="center" wrapText="1"/>
    </xf>
    <xf numFmtId="9" fontId="118" fillId="0" borderId="60" applyAlignment="1" pivotButton="0" quotePrefix="0" xfId="0">
      <alignment horizontal="center" vertical="center"/>
    </xf>
    <xf numFmtId="0" fontId="121" fillId="29" borderId="60" applyAlignment="1" pivotButton="0" quotePrefix="0" xfId="0">
      <alignment horizontal="center"/>
    </xf>
    <xf numFmtId="0" fontId="122" fillId="29" borderId="60" applyAlignment="1" pivotButton="0" quotePrefix="0" xfId="0">
      <alignment horizontal="center" wrapText="1"/>
    </xf>
    <xf numFmtId="0" fontId="122" fillId="31" borderId="60" applyAlignment="1" pivotButton="0" quotePrefix="0" xfId="0">
      <alignment horizontal="center" wrapText="1"/>
    </xf>
    <xf numFmtId="0" fontId="122" fillId="31" borderId="60" applyAlignment="1" pivotButton="0" quotePrefix="0" xfId="0">
      <alignment horizontal="center"/>
    </xf>
    <xf numFmtId="0" fontId="123" fillId="0" borderId="60" applyAlignment="1" pivotButton="0" quotePrefix="0" xfId="0">
      <alignment horizontal="center" vertical="top" wrapText="1"/>
    </xf>
    <xf numFmtId="0" fontId="123" fillId="0" borderId="60" applyAlignment="1" pivotButton="0" quotePrefix="0" xfId="0">
      <alignment vertical="top" wrapText="1"/>
    </xf>
    <xf numFmtId="0" fontId="123" fillId="0" borderId="60" pivotButton="0" quotePrefix="0" xfId="0"/>
    <xf numFmtId="0" fontId="123" fillId="0" borderId="60" applyAlignment="1" pivotButton="0" quotePrefix="0" xfId="0">
      <alignment horizontal="center"/>
    </xf>
    <xf numFmtId="0" fontId="124" fillId="30" borderId="60" applyAlignment="1" pivotButton="0" quotePrefix="0" xfId="0">
      <alignment vertical="center" wrapText="1"/>
    </xf>
    <xf numFmtId="0" fontId="119" fillId="0" borderId="60" applyAlignment="1" pivotButton="0" quotePrefix="0" xfId="0">
      <alignment vertical="center" wrapText="1"/>
    </xf>
    <xf numFmtId="0" fontId="125" fillId="29" borderId="60" applyAlignment="1" pivotButton="0" quotePrefix="0" xfId="0">
      <alignment horizontal="left" vertical="center"/>
    </xf>
    <xf numFmtId="0" fontId="126" fillId="30" borderId="60" applyAlignment="1" pivotButton="0" quotePrefix="0" xfId="0">
      <alignment vertical="center" wrapText="1"/>
    </xf>
    <xf numFmtId="0" fontId="127" fillId="31" borderId="60" applyAlignment="1" pivotButton="0" quotePrefix="0" xfId="0">
      <alignment horizontal="center" vertical="center" wrapText="1"/>
    </xf>
    <xf numFmtId="0" fontId="129" fillId="0" borderId="60" applyAlignment="1" pivotButton="0" quotePrefix="0" xfId="0">
      <alignment vertical="top"/>
    </xf>
    <xf numFmtId="0" fontId="128" fillId="0" borderId="60" applyAlignment="1" pivotButton="0" quotePrefix="0" xfId="0">
      <alignment vertical="top"/>
    </xf>
    <xf numFmtId="184" fontId="123" fillId="0" borderId="60" applyAlignment="1" pivotButton="0" quotePrefix="0" xfId="0">
      <alignment horizontal="center" vertical="top" wrapText="1"/>
    </xf>
    <xf numFmtId="0" fontId="120" fillId="0" borderId="60" applyAlignment="1" pivotButton="0" quotePrefix="0" xfId="0">
      <alignment vertical="top"/>
    </xf>
    <xf numFmtId="0" fontId="73" fillId="37" borderId="0" pivotButton="0" quotePrefix="0" xfId="0"/>
    <xf numFmtId="0" fontId="0" fillId="38" borderId="62" pivotButton="0" quotePrefix="0" xfId="0"/>
    <xf numFmtId="0" fontId="0" fillId="38" borderId="0" pivotButton="0" quotePrefix="0" xfId="0"/>
    <xf numFmtId="0" fontId="109" fillId="39" borderId="62" pivotButton="0" quotePrefix="0" xfId="0"/>
    <xf numFmtId="3" fontId="0" fillId="38" borderId="62" pivotButton="0" quotePrefix="0" xfId="0"/>
    <xf numFmtId="1" fontId="0" fillId="38" borderId="62" pivotButton="0" quotePrefix="0" xfId="0"/>
    <xf numFmtId="1" fontId="109" fillId="39" borderId="62" pivotButton="0" quotePrefix="0" xfId="0"/>
    <xf numFmtId="9" fontId="0" fillId="38" borderId="62" pivotButton="0" quotePrefix="0" xfId="0"/>
    <xf numFmtId="0" fontId="90" fillId="37" borderId="0" pivotButton="0" quotePrefix="0" xfId="0"/>
    <xf numFmtId="0" fontId="0" fillId="37" borderId="0" pivotButton="0" quotePrefix="0" xfId="0"/>
    <xf numFmtId="0" fontId="82" fillId="40" borderId="0" pivotButton="0" quotePrefix="0" xfId="0"/>
    <xf numFmtId="183" fontId="0" fillId="41" borderId="0" pivotButton="0" quotePrefix="0" xfId="0"/>
    <xf numFmtId="182" fontId="0" fillId="41" borderId="0" pivotButton="0" quotePrefix="0" xfId="0"/>
    <xf numFmtId="0" fontId="81" fillId="37" borderId="0" pivotButton="0" quotePrefix="0" xfId="0"/>
    <xf numFmtId="0" fontId="81" fillId="37" borderId="0" applyAlignment="1" pivotButton="0" quotePrefix="1" xfId="0">
      <alignment vertical="center"/>
    </xf>
    <xf numFmtId="0" fontId="102" fillId="38" borderId="62" pivotButton="0" quotePrefix="0" xfId="0"/>
    <xf numFmtId="0" fontId="81" fillId="37" borderId="0" applyAlignment="1" pivotButton="0" quotePrefix="1" xfId="0">
      <alignment horizontal="centerContinuous"/>
    </xf>
    <xf numFmtId="0" fontId="81" fillId="37" borderId="1" pivotButton="0" quotePrefix="0" xfId="0"/>
    <xf numFmtId="0" fontId="81" fillId="37" borderId="2" pivotButton="0" quotePrefix="0" xfId="0"/>
    <xf numFmtId="0" fontId="81" fillId="37" borderId="3" pivotButton="0" quotePrefix="0" xfId="0"/>
    <xf numFmtId="0" fontId="0" fillId="40" borderId="4" pivotButton="0" quotePrefix="0" xfId="0"/>
    <xf numFmtId="0" fontId="9" fillId="40" borderId="5" pivotButton="0" quotePrefix="0" xfId="0"/>
    <xf numFmtId="0" fontId="9" fillId="40" borderId="5" applyAlignment="1" pivotButton="0" quotePrefix="0" xfId="0">
      <alignment horizontal="right"/>
    </xf>
    <xf numFmtId="0" fontId="9" fillId="40" borderId="5" applyAlignment="1" pivotButton="0" quotePrefix="0" xfId="0">
      <alignment horizontal="center"/>
    </xf>
    <xf numFmtId="0" fontId="9" fillId="40" borderId="6" applyAlignment="1" pivotButton="0" quotePrefix="1" xfId="0">
      <alignment horizontal="right"/>
    </xf>
    <xf numFmtId="0" fontId="9" fillId="40" borderId="6" applyAlignment="1" pivotButton="0" quotePrefix="0" xfId="0">
      <alignment horizontal="right"/>
    </xf>
    <xf numFmtId="0" fontId="9" fillId="40" borderId="8" pivotButton="0" quotePrefix="0" xfId="0"/>
    <xf numFmtId="0" fontId="9" fillId="40" borderId="8" applyAlignment="1" pivotButton="0" quotePrefix="0" xfId="0">
      <alignment horizontal="right"/>
    </xf>
    <xf numFmtId="0" fontId="9" fillId="40" borderId="8" applyAlignment="1" pivotButton="0" quotePrefix="0" xfId="0">
      <alignment horizontal="center"/>
    </xf>
    <xf numFmtId="0" fontId="9" fillId="40" borderId="9" applyAlignment="1" pivotButton="0" quotePrefix="0" xfId="0">
      <alignment horizontal="right"/>
    </xf>
    <xf numFmtId="49" fontId="13" fillId="38" borderId="5" applyProtection="1" pivotButton="0" quotePrefix="0" xfId="0">
      <protection locked="0" hidden="0"/>
    </xf>
    <xf numFmtId="0" fontId="13" fillId="38" borderId="5" applyAlignment="1" applyProtection="1" pivotButton="0" quotePrefix="0" xfId="0">
      <alignment horizontal="right"/>
      <protection locked="0" hidden="0"/>
    </xf>
    <xf numFmtId="37" fontId="109" fillId="39" borderId="5" applyAlignment="1" applyProtection="1" pivotButton="0" quotePrefix="0" xfId="0">
      <alignment horizontal="right"/>
      <protection locked="0" hidden="0"/>
    </xf>
    <xf numFmtId="0" fontId="109" fillId="39" borderId="5" applyAlignment="1" applyProtection="1" pivotButton="0" quotePrefix="0" xfId="0">
      <alignment horizontal="center"/>
      <protection locked="0" hidden="0"/>
    </xf>
    <xf numFmtId="167" fontId="13" fillId="38" borderId="5" applyAlignment="1" applyProtection="1" pivotButton="0" quotePrefix="0" xfId="0">
      <alignment horizontal="right"/>
      <protection locked="0" hidden="0"/>
    </xf>
    <xf numFmtId="0" fontId="5" fillId="38" borderId="5" applyAlignment="1" pivotButton="0" quotePrefix="0" xfId="0">
      <alignment horizontal="right"/>
    </xf>
    <xf numFmtId="167" fontId="13" fillId="38" borderId="6" applyAlignment="1" applyProtection="1" pivotButton="0" quotePrefix="0" xfId="0">
      <alignment horizontal="right"/>
      <protection locked="0" hidden="0"/>
    </xf>
    <xf numFmtId="49" fontId="109" fillId="39" borderId="5" applyProtection="1" pivotButton="0" quotePrefix="0" xfId="0">
      <protection locked="0" hidden="0"/>
    </xf>
    <xf numFmtId="0" fontId="109" fillId="39" borderId="5" applyAlignment="1" applyProtection="1" pivotButton="0" quotePrefix="0" xfId="0">
      <alignment horizontal="right"/>
      <protection locked="0" hidden="0"/>
    </xf>
    <xf numFmtId="37" fontId="109" fillId="39" borderId="5" applyAlignment="1" pivotButton="0" quotePrefix="0" xfId="0">
      <alignment horizontal="right"/>
    </xf>
    <xf numFmtId="9" fontId="13" fillId="38" borderId="5" applyAlignment="1" applyProtection="1" pivotButton="0" quotePrefix="0" xfId="0">
      <alignment horizontal="right"/>
      <protection locked="0" hidden="0"/>
    </xf>
    <xf numFmtId="49" fontId="13" fillId="38" borderId="5" applyAlignment="1" applyProtection="1" pivotButton="0" quotePrefix="0" xfId="0">
      <alignment horizontal="right"/>
      <protection locked="0" hidden="0"/>
    </xf>
    <xf numFmtId="0" fontId="109" fillId="39" borderId="21" applyProtection="1" pivotButton="0" quotePrefix="0" xfId="0">
      <protection locked="0" hidden="0"/>
    </xf>
    <xf numFmtId="0" fontId="109" fillId="39" borderId="21" applyAlignment="1" applyProtection="1" pivotButton="0" quotePrefix="0" xfId="0">
      <alignment horizontal="right"/>
      <protection locked="0" hidden="0"/>
    </xf>
    <xf numFmtId="37" fontId="109" fillId="39" borderId="21" applyAlignment="1" applyProtection="1" pivotButton="0" quotePrefix="0" xfId="0">
      <alignment horizontal="right"/>
      <protection locked="0" hidden="0"/>
    </xf>
    <xf numFmtId="0" fontId="13" fillId="38" borderId="21" applyAlignment="1" applyProtection="1" pivotButton="0" quotePrefix="0" xfId="0">
      <alignment horizontal="center"/>
      <protection locked="0" hidden="0"/>
    </xf>
    <xf numFmtId="9" fontId="13" fillId="38" borderId="21" applyAlignment="1" applyProtection="1" pivotButton="0" quotePrefix="0" xfId="0">
      <alignment horizontal="right"/>
      <protection locked="0" hidden="0"/>
    </xf>
    <xf numFmtId="166" fontId="13" fillId="38" borderId="21" applyAlignment="1" applyProtection="1" pivotButton="0" quotePrefix="0" xfId="0">
      <alignment horizontal="right"/>
      <protection locked="0" hidden="0"/>
    </xf>
    <xf numFmtId="166" fontId="11" fillId="38" borderId="30" applyAlignment="1" applyProtection="1" pivotButton="0" quotePrefix="0" xfId="0">
      <alignment horizontal="right"/>
      <protection locked="0" hidden="0"/>
    </xf>
    <xf numFmtId="0" fontId="81" fillId="37" borderId="2" applyAlignment="1" pivotButton="0" quotePrefix="0" xfId="0">
      <alignment horizontal="right"/>
    </xf>
    <xf numFmtId="0" fontId="81" fillId="37" borderId="3" applyAlignment="1" pivotButton="0" quotePrefix="0" xfId="0">
      <alignment horizontal="right"/>
    </xf>
    <xf numFmtId="0" fontId="7" fillId="40" borderId="11" pivotButton="0" quotePrefix="0" xfId="0"/>
    <xf numFmtId="0" fontId="9" fillId="40" borderId="12" pivotButton="0" quotePrefix="0" xfId="0"/>
    <xf numFmtId="0" fontId="9" fillId="40" borderId="13" applyAlignment="1" pivotButton="0" quotePrefix="0" xfId="0">
      <alignment horizontal="right"/>
    </xf>
    <xf numFmtId="0" fontId="9" fillId="40" borderId="12" applyAlignment="1" pivotButton="0" quotePrefix="0" xfId="0">
      <alignment horizontal="right"/>
    </xf>
    <xf numFmtId="0" fontId="9" fillId="40" borderId="13" applyAlignment="1" pivotButton="0" quotePrefix="0" xfId="0">
      <alignment horizontal="center"/>
    </xf>
    <xf numFmtId="0" fontId="9" fillId="40" borderId="14" applyAlignment="1" pivotButton="0" quotePrefix="0" xfId="0">
      <alignment horizontal="right"/>
    </xf>
    <xf numFmtId="0" fontId="7" fillId="40" borderId="4" pivotButton="0" quotePrefix="0" xfId="0"/>
    <xf numFmtId="0" fontId="9" fillId="40" borderId="15" pivotButton="0" quotePrefix="0" xfId="0"/>
    <xf numFmtId="0" fontId="9" fillId="40" borderId="0" applyAlignment="1" pivotButton="0" quotePrefix="0" xfId="0">
      <alignment horizontal="right"/>
    </xf>
    <xf numFmtId="0" fontId="9" fillId="40" borderId="15" applyAlignment="1" pivotButton="0" quotePrefix="0" xfId="0">
      <alignment horizontal="right"/>
    </xf>
    <xf numFmtId="0" fontId="9" fillId="40" borderId="0" applyAlignment="1" pivotButton="0" quotePrefix="0" xfId="0">
      <alignment horizontal="center"/>
    </xf>
    <xf numFmtId="0" fontId="7" fillId="40" borderId="7" applyAlignment="1" pivotButton="0" quotePrefix="0" xfId="0">
      <alignment horizontal="center"/>
    </xf>
    <xf numFmtId="0" fontId="9" fillId="40" borderId="16" pivotButton="0" quotePrefix="0" xfId="0"/>
    <xf numFmtId="0" fontId="9" fillId="40" borderId="17" applyAlignment="1" pivotButton="0" quotePrefix="0" xfId="0">
      <alignment horizontal="right"/>
    </xf>
    <xf numFmtId="0" fontId="9" fillId="40" borderId="16" applyAlignment="1" pivotButton="0" quotePrefix="0" xfId="0">
      <alignment horizontal="right"/>
    </xf>
    <xf numFmtId="0" fontId="9" fillId="40" borderId="17" applyAlignment="1" pivotButton="0" quotePrefix="0" xfId="0">
      <alignment horizontal="center"/>
    </xf>
    <xf numFmtId="0" fontId="82" fillId="38" borderId="0" applyAlignment="1" pivotButton="0" quotePrefix="0" xfId="0">
      <alignment horizontal="center"/>
    </xf>
    <xf numFmtId="0" fontId="81" fillId="37" borderId="23" pivotButton="0" quotePrefix="0" xfId="0"/>
    <xf numFmtId="0" fontId="7" fillId="40" borderId="24" pivotButton="0" quotePrefix="0" xfId="0"/>
    <xf numFmtId="0" fontId="9" fillId="40" borderId="14" pivotButton="0" quotePrefix="0" xfId="0"/>
    <xf numFmtId="0" fontId="9" fillId="40" borderId="14" applyAlignment="1" pivotButton="0" quotePrefix="0" xfId="0">
      <alignment horizontal="center"/>
    </xf>
    <xf numFmtId="0" fontId="9" fillId="40" borderId="25" pivotButton="0" quotePrefix="0" xfId="0"/>
    <xf numFmtId="0" fontId="7" fillId="40" borderId="0" pivotButton="0" quotePrefix="0" xfId="0"/>
    <xf numFmtId="0" fontId="7" fillId="40" borderId="18" pivotButton="0" quotePrefix="0" xfId="0"/>
    <xf numFmtId="0" fontId="9" fillId="40" borderId="26" applyAlignment="1" pivotButton="0" quotePrefix="0" xfId="0">
      <alignment horizontal="right"/>
    </xf>
    <xf numFmtId="0" fontId="7" fillId="40" borderId="19" applyAlignment="1" pivotButton="0" quotePrefix="0" xfId="0">
      <alignment horizontal="center"/>
    </xf>
    <xf numFmtId="0" fontId="9" fillId="40" borderId="27" applyAlignment="1" pivotButton="0" quotePrefix="0" xfId="0">
      <alignment horizontal="right"/>
    </xf>
    <xf numFmtId="0" fontId="81" fillId="37" borderId="0" applyAlignment="1" pivotButton="0" quotePrefix="0" xfId="7">
      <alignment horizontal="centerContinuous"/>
    </xf>
    <xf numFmtId="0" fontId="104" fillId="40" borderId="32" pivotButton="0" quotePrefix="0" xfId="7"/>
    <xf numFmtId="0" fontId="104" fillId="40" borderId="32" applyAlignment="1" pivotButton="0" quotePrefix="0" xfId="7">
      <alignment horizontal="right"/>
    </xf>
    <xf numFmtId="0" fontId="104" fillId="40" borderId="33" applyAlignment="1" pivotButton="0" quotePrefix="0" xfId="7">
      <alignment horizontal="right"/>
    </xf>
    <xf numFmtId="0" fontId="104" fillId="40" borderId="34" applyAlignment="1" pivotButton="0" quotePrefix="0" xfId="7">
      <alignment horizontal="right"/>
    </xf>
    <xf numFmtId="0" fontId="104" fillId="40" borderId="32" applyAlignment="1" pivotButton="0" quotePrefix="1" xfId="7">
      <alignment horizontal="right"/>
    </xf>
    <xf numFmtId="0" fontId="104" fillId="40" borderId="35" pivotButton="0" quotePrefix="0" xfId="7"/>
    <xf numFmtId="0" fontId="104" fillId="40" borderId="35" applyAlignment="1" pivotButton="0" quotePrefix="0" xfId="7">
      <alignment horizontal="right"/>
    </xf>
    <xf numFmtId="0" fontId="104" fillId="40" borderId="36" applyAlignment="1" pivotButton="0" quotePrefix="0" xfId="7">
      <alignment horizontal="right"/>
    </xf>
    <xf numFmtId="0" fontId="104" fillId="40" borderId="37" applyAlignment="1" pivotButton="0" quotePrefix="0" xfId="7">
      <alignment horizontal="right"/>
    </xf>
    <xf numFmtId="0" fontId="104" fillId="40" borderId="38" applyAlignment="1" pivotButton="0" quotePrefix="1" xfId="7">
      <alignment horizontal="right"/>
    </xf>
    <xf numFmtId="0" fontId="104" fillId="40" borderId="35" applyAlignment="1" pivotButton="0" quotePrefix="1" xfId="7">
      <alignment horizontal="right"/>
    </xf>
    <xf numFmtId="0" fontId="104" fillId="40" borderId="36" applyAlignment="1" pivotButton="0" quotePrefix="1" xfId="7">
      <alignment horizontal="right"/>
    </xf>
    <xf numFmtId="0" fontId="104" fillId="40" borderId="39" applyAlignment="1" pivotButton="0" quotePrefix="1" xfId="7">
      <alignment horizontal="left"/>
    </xf>
    <xf numFmtId="0" fontId="104" fillId="40" borderId="39" pivotButton="0" quotePrefix="0" xfId="7"/>
    <xf numFmtId="0" fontId="104" fillId="40" borderId="39" applyAlignment="1" pivotButton="0" quotePrefix="1" xfId="7">
      <alignment horizontal="right"/>
    </xf>
    <xf numFmtId="0" fontId="104" fillId="40" borderId="39" applyAlignment="1" pivotButton="0" quotePrefix="0" xfId="7">
      <alignment horizontal="right"/>
    </xf>
    <xf numFmtId="0" fontId="104" fillId="40" borderId="40" applyAlignment="1" pivotButton="0" quotePrefix="0" xfId="7">
      <alignment horizontal="centerContinuous"/>
    </xf>
    <xf numFmtId="0" fontId="104" fillId="40" borderId="41" applyAlignment="1" pivotButton="0" quotePrefix="0" xfId="7">
      <alignment horizontal="centerContinuous"/>
    </xf>
    <xf numFmtId="0" fontId="81" fillId="37" borderId="0" applyAlignment="1" pivotButton="0" quotePrefix="0" xfId="8">
      <alignment horizontal="centerContinuous"/>
    </xf>
    <xf numFmtId="0" fontId="105" fillId="40" borderId="0" applyAlignment="1" pivotButton="0" quotePrefix="0" xfId="8">
      <alignment horizontal="centerContinuous" vertical="center"/>
    </xf>
    <xf numFmtId="0" fontId="106" fillId="40" borderId="0" applyAlignment="1" pivotButton="0" quotePrefix="0" xfId="8">
      <alignment horizontal="centerContinuous" vertical="center"/>
    </xf>
    <xf numFmtId="0" fontId="104" fillId="40" borderId="42" pivotButton="0" quotePrefix="0" xfId="8"/>
    <xf numFmtId="0" fontId="104" fillId="40" borderId="42" applyAlignment="1" pivotButton="0" quotePrefix="1" xfId="8">
      <alignment horizontal="right"/>
    </xf>
    <xf numFmtId="0" fontId="104" fillId="40" borderId="42" applyAlignment="1" pivotButton="0" quotePrefix="0" xfId="8">
      <alignment horizontal="right"/>
    </xf>
    <xf numFmtId="0" fontId="104" fillId="40" borderId="28" applyAlignment="1" pivotButton="0" quotePrefix="0" xfId="8">
      <alignment horizontal="right"/>
    </xf>
    <xf numFmtId="0" fontId="104" fillId="40" borderId="23" pivotButton="0" quotePrefix="0" xfId="8"/>
    <xf numFmtId="0" fontId="104" fillId="40" borderId="43" pivotButton="0" quotePrefix="0" xfId="8"/>
    <xf numFmtId="0" fontId="104" fillId="40" borderId="43" applyAlignment="1" pivotButton="0" quotePrefix="1" xfId="8">
      <alignment horizontal="right"/>
    </xf>
    <xf numFmtId="0" fontId="104" fillId="40" borderId="43" applyAlignment="1" pivotButton="0" quotePrefix="0" xfId="8">
      <alignment horizontal="right"/>
    </xf>
    <xf numFmtId="0" fontId="104" fillId="40" borderId="4" applyAlignment="1" pivotButton="0" quotePrefix="0" xfId="8">
      <alignment horizontal="right"/>
    </xf>
    <xf numFmtId="0" fontId="104" fillId="40" borderId="6" pivotButton="0" quotePrefix="0" xfId="8"/>
    <xf numFmtId="0" fontId="104" fillId="40" borderId="44" pivotButton="0" quotePrefix="0" xfId="8"/>
    <xf numFmtId="0" fontId="104" fillId="40" borderId="44" applyAlignment="1" pivotButton="0" quotePrefix="1" xfId="8">
      <alignment horizontal="right"/>
    </xf>
    <xf numFmtId="0" fontId="104" fillId="40" borderId="44" applyAlignment="1" pivotButton="0" quotePrefix="0" xfId="8">
      <alignment horizontal="right"/>
    </xf>
    <xf numFmtId="0" fontId="104" fillId="40" borderId="10" applyAlignment="1" pivotButton="0" quotePrefix="0" xfId="8">
      <alignment horizontal="centerContinuous"/>
    </xf>
    <xf numFmtId="0" fontId="104" fillId="40" borderId="30" applyAlignment="1" pivotButton="0" quotePrefix="1" xfId="8">
      <alignment horizontal="centerContinuous"/>
    </xf>
    <xf numFmtId="0" fontId="81" fillId="37" borderId="0" applyAlignment="1" pivotButton="0" quotePrefix="0" xfId="8">
      <alignment horizontal="centerContinuous" vertical="center"/>
    </xf>
    <xf numFmtId="0" fontId="81" fillId="37" borderId="0" applyAlignment="1" pivotButton="0" quotePrefix="0" xfId="9">
      <alignment horizontal="center"/>
    </xf>
    <xf numFmtId="0" fontId="81" fillId="37" borderId="0" applyAlignment="1" pivotButton="0" quotePrefix="0" xfId="9">
      <alignment horizontal="centerContinuous"/>
    </xf>
    <xf numFmtId="0" fontId="1" fillId="38" borderId="45" applyAlignment="1" pivotButton="0" quotePrefix="0" xfId="9">
      <alignment horizontal="left"/>
    </xf>
    <xf numFmtId="0" fontId="1" fillId="38" borderId="46" applyAlignment="1" pivotButton="0" quotePrefix="0" xfId="9">
      <alignment horizontal="left"/>
    </xf>
    <xf numFmtId="0" fontId="81" fillId="37" borderId="50" pivotButton="0" quotePrefix="0" xfId="9"/>
    <xf numFmtId="0" fontId="81" fillId="37" borderId="13" pivotButton="0" quotePrefix="0" xfId="9"/>
    <xf numFmtId="0" fontId="81" fillId="37" borderId="13" applyAlignment="1" pivotButton="0" quotePrefix="1" xfId="9">
      <alignment horizontal="right"/>
    </xf>
    <xf numFmtId="0" fontId="81" fillId="37" borderId="14" applyAlignment="1" pivotButton="0" quotePrefix="1" xfId="9">
      <alignment horizontal="right"/>
    </xf>
    <xf numFmtId="0" fontId="107" fillId="40" borderId="17" applyAlignment="1" pivotButton="0" quotePrefix="1" xfId="9">
      <alignment horizontal="center"/>
    </xf>
    <xf numFmtId="0" fontId="107" fillId="40" borderId="17" pivotButton="0" quotePrefix="0" xfId="9"/>
    <xf numFmtId="0" fontId="107" fillId="40" borderId="17" applyAlignment="1" pivotButton="0" quotePrefix="0" xfId="9">
      <alignment horizontal="center"/>
    </xf>
    <xf numFmtId="0" fontId="107" fillId="40" borderId="17" applyAlignment="1" pivotButton="0" quotePrefix="1" xfId="9">
      <alignment horizontal="right"/>
    </xf>
    <xf numFmtId="0" fontId="107" fillId="40" borderId="17" applyAlignment="1" pivotButton="0" quotePrefix="0" xfId="9">
      <alignment horizontal="right"/>
    </xf>
    <xf numFmtId="0" fontId="107" fillId="40" borderId="8" applyAlignment="1" pivotButton="0" quotePrefix="1" xfId="9">
      <alignment horizontal="right"/>
    </xf>
    <xf numFmtId="0" fontId="81" fillId="37" borderId="13" applyAlignment="1" pivotButton="0" quotePrefix="0" xfId="9">
      <alignment horizontal="right"/>
    </xf>
    <xf numFmtId="0" fontId="81" fillId="37" borderId="14" applyAlignment="1" pivotButton="0" quotePrefix="0" xfId="9">
      <alignment horizontal="right"/>
    </xf>
    <xf numFmtId="0" fontId="107" fillId="40" borderId="8" applyAlignment="1" pivotButton="0" quotePrefix="0" xfId="9">
      <alignment horizontal="right"/>
    </xf>
    <xf numFmtId="0" fontId="80" fillId="38" borderId="62" applyAlignment="1" pivotButton="0" quotePrefix="0" xfId="0">
      <alignment horizontal="center"/>
    </xf>
    <xf numFmtId="0" fontId="80" fillId="39" borderId="60" applyAlignment="1" pivotButton="0" quotePrefix="0" xfId="0">
      <alignment vertical="center"/>
    </xf>
    <xf numFmtId="0" fontId="80" fillId="38" borderId="62" applyAlignment="1" pivotButton="0" quotePrefix="0" xfId="0">
      <alignment horizontal="right"/>
    </xf>
    <xf numFmtId="0" fontId="80" fillId="38" borderId="62" pivotButton="0" quotePrefix="0" xfId="0"/>
    <xf numFmtId="3" fontId="80" fillId="38" borderId="62" pivotButton="0" quotePrefix="0" xfId="0"/>
    <xf numFmtId="2" fontId="80" fillId="38" borderId="62" pivotButton="0" quotePrefix="0" xfId="0"/>
    <xf numFmtId="2" fontId="80" fillId="38" borderId="62" applyAlignment="1" pivotButton="0" quotePrefix="0" xfId="0">
      <alignment horizontal="center" vertical="center"/>
    </xf>
    <xf numFmtId="0" fontId="80" fillId="38" borderId="62" applyAlignment="1" pivotButton="0" quotePrefix="0" xfId="0">
      <alignment vertical="center"/>
    </xf>
    <xf numFmtId="181" fontId="80" fillId="38" borderId="62" applyAlignment="1" pivotButton="0" quotePrefix="0" xfId="0">
      <alignment vertical="center"/>
    </xf>
    <xf numFmtId="0" fontId="73" fillId="37" borderId="60" applyAlignment="1" pivotButton="0" quotePrefix="0" xfId="0">
      <alignment horizontal="left" vertical="center" indent="1"/>
    </xf>
    <xf numFmtId="0" fontId="73" fillId="37" borderId="60" applyAlignment="1" pivotButton="0" quotePrefix="0" xfId="0">
      <alignment vertical="center"/>
    </xf>
    <xf numFmtId="0" fontId="77" fillId="40" borderId="60" applyAlignment="1" pivotButton="0" quotePrefix="0" xfId="0">
      <alignment horizontal="left" vertical="center" indent="2"/>
    </xf>
    <xf numFmtId="0" fontId="77" fillId="40" borderId="60" pivotButton="0" quotePrefix="0" xfId="0"/>
    <xf numFmtId="0" fontId="77" fillId="40" borderId="60" applyAlignment="1" pivotButton="0" quotePrefix="0" xfId="0">
      <alignment vertical="center"/>
    </xf>
    <xf numFmtId="3" fontId="80" fillId="39" borderId="60" pivotButton="0" quotePrefix="0" xfId="0"/>
    <xf numFmtId="3" fontId="80" fillId="38" borderId="62" applyAlignment="1" pivotButton="0" quotePrefix="0" xfId="0">
      <alignment vertical="center"/>
    </xf>
    <xf numFmtId="182" fontId="80" fillId="38" borderId="62" applyAlignment="1" pivotButton="0" quotePrefix="0" xfId="0">
      <alignment vertical="center"/>
    </xf>
    <xf numFmtId="170" fontId="80" fillId="38" borderId="62" applyAlignment="1" pivotButton="0" quotePrefix="0" xfId="0">
      <alignment vertical="center"/>
    </xf>
    <xf numFmtId="183" fontId="80" fillId="38" borderId="62" applyAlignment="1" pivotButton="0" quotePrefix="0" xfId="0">
      <alignment horizontal="center"/>
    </xf>
    <xf numFmtId="170" fontId="80" fillId="39" borderId="60" applyAlignment="1" pivotButton="0" quotePrefix="0" xfId="0">
      <alignment vertical="center"/>
    </xf>
    <xf numFmtId="170" fontId="80" fillId="38" borderId="62" pivotButton="0" quotePrefix="0" xfId="0"/>
    <xf numFmtId="183" fontId="80" fillId="38" borderId="60" applyAlignment="1" pivotButton="0" quotePrefix="0" xfId="0">
      <alignment horizontal="center"/>
    </xf>
    <xf numFmtId="0" fontId="108" fillId="37" borderId="0" applyAlignment="1" pivotButton="0" quotePrefix="0" xfId="0">
      <alignment horizontal="center" vertical="center" wrapText="1"/>
    </xf>
    <xf numFmtId="0" fontId="108" fillId="37" borderId="0" applyAlignment="1" pivotButton="0" quotePrefix="1" xfId="0">
      <alignment horizontal="center" vertical="center" wrapText="1"/>
    </xf>
    <xf numFmtId="174" fontId="108" fillId="37" borderId="0" applyAlignment="1" pivotButton="0" quotePrefix="0" xfId="3">
      <alignment horizontal="center" vertical="center" wrapText="1"/>
    </xf>
    <xf numFmtId="0" fontId="90" fillId="37" borderId="0" applyAlignment="1" pivotButton="0" quotePrefix="0" xfId="0">
      <alignment horizontal="center" wrapText="1"/>
    </xf>
    <xf numFmtId="0" fontId="108" fillId="37" borderId="49" applyAlignment="1" pivotButton="0" quotePrefix="0" xfId="0">
      <alignment horizontal="center" vertical="center" wrapText="1"/>
    </xf>
    <xf numFmtId="1" fontId="108" fillId="37" borderId="49" applyAlignment="1" pivotButton="0" quotePrefix="0" xfId="0">
      <alignment horizontal="center" vertical="center" wrapText="1"/>
    </xf>
    <xf numFmtId="173" fontId="108" fillId="37" borderId="49" applyAlignment="1" pivotButton="0" quotePrefix="0" xfId="0">
      <alignment horizontal="center" vertical="center" wrapText="1"/>
    </xf>
    <xf numFmtId="0" fontId="108" fillId="37" borderId="49" applyAlignment="1" pivotButton="0" quotePrefix="1" xfId="0">
      <alignment horizontal="center" vertical="center" wrapText="1"/>
    </xf>
    <xf numFmtId="3" fontId="108" fillId="37" borderId="49" applyAlignment="1" pivotButton="0" quotePrefix="0" xfId="0">
      <alignment horizontal="center" vertical="center" wrapText="1"/>
    </xf>
    <xf numFmtId="0" fontId="90" fillId="37" borderId="0" applyAlignment="1" pivotButton="0" quotePrefix="0" xfId="0">
      <alignment horizontal="center"/>
    </xf>
    <xf numFmtId="184" fontId="123" fillId="0" borderId="60" applyAlignment="1" pivotButton="0" quotePrefix="0" xfId="0">
      <alignment horizontal="center" vertical="top" wrapText="1"/>
    </xf>
    <xf numFmtId="0" fontId="91" fillId="37" borderId="0" applyAlignment="1" pivotButton="0" quotePrefix="0" xfId="0">
      <alignment horizontal="center" vertical="center"/>
    </xf>
    <xf numFmtId="0" fontId="94" fillId="40" borderId="64" applyAlignment="1" pivotButton="0" quotePrefix="0" xfId="0">
      <alignment horizontal="center" vertical="center"/>
    </xf>
    <xf numFmtId="0" fontId="109" fillId="39" borderId="0" pivotButton="0" quotePrefix="0" xfId="0"/>
    <xf numFmtId="0" fontId="97" fillId="37" borderId="0" applyAlignment="1" pivotButton="0" quotePrefix="0" xfId="0">
      <alignment horizontal="center" vertical="center"/>
    </xf>
    <xf numFmtId="0" fontId="94" fillId="40" borderId="64" applyAlignment="1" pivotButton="0" quotePrefix="0" xfId="0">
      <alignment horizontal="center"/>
    </xf>
    <xf numFmtId="4" fontId="98" fillId="39" borderId="64" applyAlignment="1" pivotButton="0" quotePrefix="0" xfId="0">
      <alignment vertical="center"/>
    </xf>
    <xf numFmtId="4" fontId="98" fillId="38" borderId="64" applyAlignment="1" pivotButton="0" quotePrefix="0" xfId="0">
      <alignment vertical="center"/>
    </xf>
    <xf numFmtId="4" fontId="98" fillId="38" borderId="64" applyAlignment="1" pivotButton="0" quotePrefix="0" xfId="0">
      <alignment vertical="center" wrapText="1"/>
    </xf>
    <xf numFmtId="0" fontId="98" fillId="39" borderId="64" applyAlignment="1" pivotButton="0" quotePrefix="0" xfId="0">
      <alignment vertical="center"/>
    </xf>
    <xf numFmtId="0" fontId="98" fillId="38" borderId="64" applyAlignment="1" pivotButton="0" quotePrefix="0" xfId="0">
      <alignment vertical="center"/>
    </xf>
    <xf numFmtId="0" fontId="97" fillId="37" borderId="0" applyAlignment="1" pivotButton="0" quotePrefix="0" xfId="0">
      <alignment horizontal="left" vertical="center"/>
    </xf>
    <xf numFmtId="0" fontId="100" fillId="40" borderId="64" applyAlignment="1" pivotButton="0" quotePrefix="0" xfId="0">
      <alignment horizontal="center" vertical="center" wrapText="1"/>
    </xf>
    <xf numFmtId="0" fontId="96" fillId="38" borderId="64" applyAlignment="1" pivotButton="0" quotePrefix="0" xfId="0">
      <alignment horizontal="left" vertical="center"/>
    </xf>
    <xf numFmtId="3" fontId="96" fillId="38" borderId="64" applyAlignment="1" pivotButton="0" quotePrefix="0" xfId="0">
      <alignment horizontal="right" vertical="center"/>
    </xf>
    <xf numFmtId="38" fontId="96" fillId="38" borderId="64" applyAlignment="1" pivotButton="0" quotePrefix="0" xfId="0">
      <alignment horizontal="right" vertical="center"/>
    </xf>
    <xf numFmtId="0" fontId="96" fillId="38" borderId="64" applyAlignment="1" pivotButton="0" quotePrefix="0" xfId="0">
      <alignment horizontal="left" vertical="center" wrapText="1"/>
    </xf>
    <xf numFmtId="180" fontId="96" fillId="38" borderId="64" applyAlignment="1" pivotButton="0" quotePrefix="0" xfId="0">
      <alignment horizontal="right" vertical="center"/>
    </xf>
    <xf numFmtId="0" fontId="81" fillId="37" borderId="0" applyAlignment="1" pivotButton="0" quotePrefix="1" xfId="0">
      <alignment vertical="top" wrapText="1"/>
    </xf>
    <xf numFmtId="0" fontId="40" fillId="0" borderId="0" applyAlignment="1" pivotButton="0" quotePrefix="1" xfId="0">
      <alignment horizontal="left" vertical="top" wrapText="1"/>
    </xf>
    <xf numFmtId="0" fontId="101" fillId="0" borderId="62" applyAlignment="1" pivotButton="0" quotePrefix="0" xfId="0">
      <alignment vertical="top" wrapText="1"/>
    </xf>
    <xf numFmtId="0" fontId="72" fillId="0" borderId="0" applyAlignment="1" pivotButton="0" quotePrefix="0" xfId="0">
      <alignment vertical="top" wrapText="1"/>
    </xf>
    <xf numFmtId="0" fontId="73" fillId="6" borderId="0" applyAlignment="1" pivotButton="0" quotePrefix="0" xfId="0">
      <alignment vertical="top" wrapText="1"/>
    </xf>
    <xf numFmtId="0" fontId="73" fillId="7" borderId="0" applyAlignment="1" pivotButton="0" quotePrefix="0" xfId="0">
      <alignment vertical="top" wrapText="1"/>
    </xf>
    <xf numFmtId="0" fontId="74" fillId="8" borderId="0" applyAlignment="1" pivotButton="0" quotePrefix="0" xfId="0">
      <alignment vertical="top" wrapText="1"/>
    </xf>
    <xf numFmtId="176" fontId="75" fillId="8" borderId="0" applyAlignment="1" pivotButton="0" quotePrefix="0" xfId="0">
      <alignment vertical="top" wrapText="1"/>
    </xf>
    <xf numFmtId="0" fontId="73" fillId="9" borderId="0" applyAlignment="1" pivotButton="0" quotePrefix="0" xfId="0">
      <alignment vertical="top" wrapText="1"/>
    </xf>
    <xf numFmtId="0" fontId="76" fillId="10" borderId="0" applyAlignment="1" pivotButton="0" quotePrefix="0" xfId="0">
      <alignment vertical="top" wrapText="1"/>
    </xf>
    <xf numFmtId="0" fontId="77" fillId="11" borderId="0" applyAlignment="1" pivotButton="0" quotePrefix="0" xfId="0">
      <alignment vertical="top" wrapText="1"/>
    </xf>
    <xf numFmtId="0" fontId="0" fillId="0" borderId="0" applyAlignment="1" pivotButton="0" quotePrefix="0" xfId="0">
      <alignment vertical="top" wrapText="1"/>
    </xf>
    <xf numFmtId="178" fontId="56" fillId="0" borderId="0" applyAlignment="1" pivotButton="0" quotePrefix="0" xfId="0">
      <alignment vertical="top" wrapText="1"/>
    </xf>
    <xf numFmtId="2" fontId="56" fillId="0" borderId="0" applyAlignment="1" pivotButton="0" quotePrefix="0" xfId="0">
      <alignment vertical="top" wrapText="1"/>
    </xf>
    <xf numFmtId="0" fontId="72" fillId="0" borderId="60" applyAlignment="1" pivotButton="0" quotePrefix="0" xfId="0">
      <alignment vertical="top" wrapText="1"/>
    </xf>
    <xf numFmtId="0" fontId="81" fillId="6" borderId="61" applyAlignment="1" pivotButton="0" quotePrefix="0" xfId="0">
      <alignment vertical="top" wrapText="1"/>
    </xf>
    <xf numFmtId="0" fontId="81" fillId="12" borderId="60" applyAlignment="1" pivotButton="0" quotePrefix="0" xfId="0">
      <alignment horizontal="center" vertical="top" wrapText="1"/>
    </xf>
    <xf numFmtId="0" fontId="80" fillId="0" borderId="60" applyAlignment="1" pivotButton="0" quotePrefix="0" xfId="0">
      <alignment vertical="top" wrapText="1"/>
    </xf>
    <xf numFmtId="0" fontId="79" fillId="0" borderId="60" applyAlignment="1" pivotButton="0" quotePrefix="0" xfId="0">
      <alignment vertical="top" wrapText="1"/>
    </xf>
    <xf numFmtId="0" fontId="80" fillId="0" borderId="60" applyAlignment="1" pivotButton="0" quotePrefix="0" xfId="0">
      <alignment horizontal="left" vertical="top" wrapText="1" indent="1"/>
    </xf>
    <xf numFmtId="0" fontId="80" fillId="0" borderId="60" applyAlignment="1" pivotButton="0" quotePrefix="0" xfId="0">
      <alignment horizontal="left" vertical="top" wrapText="1" indent="2"/>
    </xf>
    <xf numFmtId="0" fontId="81" fillId="12" borderId="60" applyAlignment="1" pivotButton="0" quotePrefix="0" xfId="0">
      <alignment horizontal="left" vertical="top" wrapText="1" indent="2"/>
    </xf>
    <xf numFmtId="0" fontId="73" fillId="37" borderId="60" applyAlignment="1" pivotButton="0" quotePrefix="0" xfId="0">
      <alignment horizontal="left" vertical="top" wrapText="1" indent="1"/>
    </xf>
    <xf numFmtId="0" fontId="77" fillId="40" borderId="60" applyAlignment="1" pivotButton="0" quotePrefix="0" xfId="0">
      <alignment horizontal="left" vertical="top" wrapText="1" indent="2"/>
    </xf>
    <xf numFmtId="0" fontId="82" fillId="0" borderId="60" applyAlignment="1" pivotButton="0" quotePrefix="0" xfId="0">
      <alignment horizontal="left" vertical="top" wrapText="1" indent="2"/>
    </xf>
    <xf numFmtId="0" fontId="82" fillId="0" borderId="60" applyAlignment="1" pivotButton="0" quotePrefix="0" xfId="0">
      <alignment horizontal="left" vertical="top" wrapText="1" indent="1"/>
    </xf>
    <xf numFmtId="0" fontId="73" fillId="17" borderId="60" applyAlignment="1" pivotButton="0" quotePrefix="0" xfId="0">
      <alignment horizontal="left" vertical="top" wrapText="1" indent="2"/>
    </xf>
    <xf numFmtId="0" fontId="80" fillId="0" borderId="60" applyAlignment="1" pivotButton="0" quotePrefix="0" xfId="0">
      <alignment horizontal="left" vertical="top" wrapText="1" indent="3"/>
    </xf>
    <xf numFmtId="0" fontId="82" fillId="0" borderId="60" applyAlignment="1" pivotButton="0" quotePrefix="0" xfId="0">
      <alignment vertical="top" wrapText="1"/>
    </xf>
    <xf numFmtId="0" fontId="83" fillId="0" borderId="60" applyAlignment="1" pivotButton="0" quotePrefix="0" xfId="0">
      <alignment vertical="top" wrapText="1"/>
    </xf>
    <xf numFmtId="0" fontId="80" fillId="0" borderId="60" applyAlignment="1" applyProtection="1" pivotButton="0" quotePrefix="0" xfId="0">
      <alignment horizontal="left" vertical="top" wrapText="1"/>
      <protection locked="0" hidden="0"/>
    </xf>
    <xf numFmtId="0" fontId="73" fillId="17" borderId="60" applyAlignment="1" pivotButton="0" quotePrefix="0" xfId="0">
      <alignment horizontal="left" vertical="top" wrapText="1" indent="1"/>
    </xf>
    <xf numFmtId="0" fontId="84" fillId="0" borderId="60" applyAlignment="1" pivotButton="0" quotePrefix="0" xfId="0">
      <alignment vertical="top" wrapText="1"/>
    </xf>
    <xf numFmtId="0" fontId="84" fillId="0" borderId="60" applyAlignment="1" pivotButton="0" quotePrefix="0" xfId="0">
      <alignment horizontal="left" vertical="top" wrapText="1" indent="2"/>
    </xf>
    <xf numFmtId="3" fontId="80" fillId="0" borderId="60" applyAlignment="1" pivotButton="0" quotePrefix="0" xfId="0">
      <alignment horizontal="left" vertical="top" wrapText="1" indent="2"/>
    </xf>
    <xf numFmtId="0" fontId="108" fillId="37" borderId="0" applyAlignment="1" pivotButton="0" quotePrefix="0" xfId="0">
      <alignment horizontal="center" vertical="top" wrapText="1"/>
    </xf>
    <xf numFmtId="0" fontId="108" fillId="37" borderId="49" applyAlignment="1" pivotButton="0" quotePrefix="0" xfId="0">
      <alignment horizontal="center" vertical="top" wrapText="1"/>
    </xf>
    <xf numFmtId="0" fontId="2" fillId="0" borderId="0" applyAlignment="1" pivotButton="0" quotePrefix="0" xfId="0">
      <alignment vertical="top" wrapText="1"/>
    </xf>
    <xf numFmtId="169" fontId="23" fillId="0" borderId="0" applyAlignment="1" pivotButton="0" quotePrefix="0" xfId="0">
      <alignment vertical="top" wrapText="1"/>
    </xf>
    <xf numFmtId="0" fontId="90" fillId="37" borderId="0" applyAlignment="1" pivotButton="0" quotePrefix="0" xfId="0">
      <alignment horizontal="center" vertical="top" wrapText="1"/>
    </xf>
    <xf numFmtId="0" fontId="127" fillId="31" borderId="60" applyAlignment="1" pivotButton="0" quotePrefix="0" xfId="0">
      <alignment horizontal="center" vertical="top" wrapText="1"/>
    </xf>
    <xf numFmtId="0" fontId="129" fillId="0" borderId="60" applyAlignment="1" pivotButton="0" quotePrefix="0" xfId="0">
      <alignment vertical="top" wrapText="1"/>
    </xf>
    <xf numFmtId="0" fontId="128" fillId="0" borderId="60" applyAlignment="1" pivotButton="0" quotePrefix="0" xfId="0">
      <alignment vertical="top" wrapText="1"/>
    </xf>
    <xf numFmtId="0" fontId="125" fillId="29" borderId="60" applyAlignment="1" pivotButton="0" quotePrefix="0" xfId="0">
      <alignment horizontal="left" vertical="top" wrapText="1"/>
    </xf>
    <xf numFmtId="0" fontId="126" fillId="30" borderId="60" applyAlignment="1" pivotButton="0" quotePrefix="0" xfId="0">
      <alignment vertical="top" wrapText="1"/>
    </xf>
    <xf numFmtId="0" fontId="93" fillId="20" borderId="64" applyAlignment="1" pivotButton="0" quotePrefix="0" xfId="0">
      <alignment horizontal="center" vertical="top" wrapText="1"/>
    </xf>
    <xf numFmtId="0" fontId="96" fillId="22" borderId="64" applyAlignment="1" pivotButton="0" quotePrefix="0" xfId="0">
      <alignment vertical="top" wrapText="1"/>
    </xf>
    <xf numFmtId="0" fontId="96" fillId="0" borderId="64" applyAlignment="1" pivotButton="0" quotePrefix="0" xfId="0">
      <alignment vertical="top" wrapText="1"/>
    </xf>
    <xf numFmtId="0" fontId="96" fillId="0" borderId="64" applyAlignment="1" pivotButton="0" quotePrefix="0" xfId="0">
      <alignment horizontal="left" vertical="top" wrapText="1"/>
    </xf>
    <xf numFmtId="0" fontId="100" fillId="40" borderId="64" applyAlignment="1" pivotButton="0" quotePrefix="0" xfId="0">
      <alignment horizontal="center" vertical="top" wrapText="1"/>
    </xf>
    <xf numFmtId="0" fontId="96" fillId="25" borderId="64" applyAlignment="1" pivotButton="0" quotePrefix="0" xfId="0">
      <alignment horizontal="left" vertical="top" wrapText="1"/>
    </xf>
    <xf numFmtId="0" fontId="96" fillId="38" borderId="64" applyAlignment="1" pivotButton="0" quotePrefix="0" xfId="0">
      <alignment horizontal="left" vertical="top" wrapText="1"/>
    </xf>
    <xf numFmtId="0" fontId="96" fillId="26" borderId="64" applyAlignment="1" pivotButton="0" quotePrefix="0" xfId="0">
      <alignment horizontal="left" vertical="top" wrapText="1"/>
    </xf>
    <xf numFmtId="0" fontId="96" fillId="27" borderId="64" applyAlignment="1" pivotButton="0" quotePrefix="0" xfId="0">
      <alignment horizontal="left" vertical="top" wrapText="1"/>
    </xf>
    <xf numFmtId="0" fontId="73" fillId="42" borderId="0" applyAlignment="1" pivotButton="0" quotePrefix="0" xfId="0">
      <alignment vertical="top" wrapText="1"/>
    </xf>
    <xf numFmtId="0" fontId="73" fillId="37" borderId="0" applyAlignment="1" pivotButton="0" quotePrefix="0" xfId="0">
      <alignment vertical="top" wrapText="1"/>
    </xf>
    <xf numFmtId="0" fontId="74" fillId="40" borderId="0" applyAlignment="1" pivotButton="0" quotePrefix="0" xfId="0">
      <alignment vertical="top" wrapText="1"/>
    </xf>
    <xf numFmtId="176" fontId="75" fillId="40" borderId="0" applyAlignment="1" pivotButton="0" quotePrefix="0" xfId="0">
      <alignment vertical="top" wrapText="1"/>
    </xf>
    <xf numFmtId="0" fontId="73" fillId="43" borderId="0" applyAlignment="1" pivotButton="0" quotePrefix="0" xfId="0">
      <alignment vertical="top" wrapText="1"/>
    </xf>
    <xf numFmtId="0" fontId="73" fillId="43" borderId="0" pivotButton="0" quotePrefix="0" xfId="0"/>
    <xf numFmtId="0" fontId="130" fillId="40" borderId="0" applyAlignment="1" pivotButton="0" quotePrefix="0" xfId="0">
      <alignment vertical="top" wrapText="1"/>
    </xf>
    <xf numFmtId="0" fontId="130" fillId="40" borderId="0" pivotButton="0" quotePrefix="0" xfId="0"/>
    <xf numFmtId="0" fontId="77" fillId="41" borderId="0" applyAlignment="1" pivotButton="0" quotePrefix="0" xfId="0">
      <alignment vertical="top" wrapText="1"/>
    </xf>
    <xf numFmtId="0" fontId="77" fillId="41" borderId="0" pivotButton="0" quotePrefix="0" xfId="0"/>
    <xf numFmtId="0" fontId="131" fillId="0" borderId="0" pivotButton="0" quotePrefix="0" xfId="0"/>
    <xf numFmtId="0" fontId="81" fillId="42" borderId="61" applyAlignment="1" pivotButton="0" quotePrefix="0" xfId="0">
      <alignment vertical="top" wrapText="1"/>
    </xf>
    <xf numFmtId="0" fontId="81" fillId="43" borderId="60" applyAlignment="1" pivotButton="0" quotePrefix="0" xfId="0">
      <alignment horizontal="center" vertical="top" wrapText="1"/>
    </xf>
    <xf numFmtId="0" fontId="81" fillId="43" borderId="60" pivotButton="0" quotePrefix="0" xfId="0"/>
    <xf numFmtId="0" fontId="81" fillId="43" borderId="60" applyAlignment="1" pivotButton="0" quotePrefix="0" xfId="0">
      <alignment horizontal="left" vertical="top" wrapText="1" indent="2"/>
    </xf>
    <xf numFmtId="0" fontId="81" fillId="43" borderId="60" applyAlignment="1" pivotButton="0" quotePrefix="0" xfId="0">
      <alignment vertical="center"/>
    </xf>
    <xf numFmtId="0" fontId="73" fillId="43" borderId="60" applyAlignment="1" pivotButton="0" quotePrefix="0" xfId="0">
      <alignment horizontal="left" vertical="top" wrapText="1" indent="2"/>
    </xf>
    <xf numFmtId="0" fontId="73" fillId="43" borderId="60" applyAlignment="1" pivotButton="0" quotePrefix="0" xfId="0">
      <alignment vertical="center"/>
    </xf>
    <xf numFmtId="0" fontId="73" fillId="43" borderId="60" applyAlignment="1" pivotButton="0" quotePrefix="0" xfId="0">
      <alignment horizontal="center" vertical="center"/>
    </xf>
    <xf numFmtId="0" fontId="73" fillId="43" borderId="60" pivotButton="0" quotePrefix="0" xfId="0"/>
    <xf numFmtId="0" fontId="73" fillId="43" borderId="60" applyAlignment="1" pivotButton="0" quotePrefix="0" xfId="0">
      <alignment horizontal="left" vertical="top" wrapText="1" indent="1"/>
    </xf>
    <xf numFmtId="0" fontId="92" fillId="43" borderId="0" applyAlignment="1" pivotButton="0" quotePrefix="0" xfId="0">
      <alignment horizontal="center" vertical="center"/>
    </xf>
    <xf numFmtId="0" fontId="93" fillId="43" borderId="64" applyAlignment="1" pivotButton="0" quotePrefix="0" xfId="0">
      <alignment horizontal="center" vertical="center" wrapText="1"/>
    </xf>
    <xf numFmtId="0" fontId="93" fillId="43" borderId="64" applyAlignment="1" pivotButton="0" quotePrefix="0" xfId="0">
      <alignment horizontal="center" vertical="top" wrapText="1"/>
    </xf>
    <xf numFmtId="0" fontId="96" fillId="41" borderId="64" pivotButton="0" quotePrefix="0" xfId="0"/>
    <xf numFmtId="0" fontId="96" fillId="41" borderId="64" applyAlignment="1" pivotButton="0" quotePrefix="0" xfId="0">
      <alignment vertical="top" wrapText="1"/>
    </xf>
    <xf numFmtId="0" fontId="99" fillId="41" borderId="0" applyAlignment="1" pivotButton="0" quotePrefix="0" xfId="0">
      <alignment horizontal="left" vertical="center"/>
    </xf>
    <xf numFmtId="0" fontId="96" fillId="41" borderId="64" applyAlignment="1" pivotButton="0" quotePrefix="0" xfId="0">
      <alignment horizontal="left" vertical="center"/>
    </xf>
    <xf numFmtId="0" fontId="96" fillId="41" borderId="64" applyAlignment="1" pivotButton="0" quotePrefix="0" xfId="0">
      <alignment horizontal="left" vertical="top" wrapText="1"/>
    </xf>
    <xf numFmtId="3" fontId="96" fillId="41" borderId="64" applyAlignment="1" pivotButton="0" quotePrefix="0" xfId="0">
      <alignment horizontal="right" vertical="center"/>
    </xf>
    <xf numFmtId="180" fontId="96" fillId="41" borderId="64" applyAlignment="1" pivotButton="0" quotePrefix="0" xfId="0">
      <alignment horizontal="right" vertical="center"/>
    </xf>
    <xf numFmtId="0" fontId="96" fillId="41" borderId="64" applyAlignment="1" pivotButton="0" quotePrefix="0" xfId="0">
      <alignment horizontal="left" vertical="center" wrapText="1"/>
    </xf>
    <xf numFmtId="38" fontId="96" fillId="41" borderId="64" applyAlignment="1" pivotButton="0" quotePrefix="0" xfId="0">
      <alignment horizontal="right" vertical="center"/>
    </xf>
    <xf numFmtId="0" fontId="96" fillId="44" borderId="64" applyAlignment="1" pivotButton="0" quotePrefix="0" xfId="0">
      <alignment horizontal="left" vertical="center"/>
    </xf>
    <xf numFmtId="0" fontId="96" fillId="44" borderId="64" applyAlignment="1" pivotButton="0" quotePrefix="0" xfId="0">
      <alignment horizontal="left" vertical="top" wrapText="1"/>
    </xf>
    <xf numFmtId="3" fontId="96" fillId="44" borderId="64" applyAlignment="1" pivotButton="0" quotePrefix="0" xfId="0">
      <alignment horizontal="right" vertical="center"/>
    </xf>
    <xf numFmtId="38" fontId="96" fillId="44" borderId="64" applyAlignment="1" pivotButton="0" quotePrefix="0" xfId="0">
      <alignment horizontal="right" vertical="center"/>
    </xf>
    <xf numFmtId="180" fontId="96" fillId="44" borderId="64" applyAlignment="1" pivotButton="0" quotePrefix="0" xfId="0">
      <alignment horizontal="right" vertical="center"/>
    </xf>
    <xf numFmtId="0" fontId="110" fillId="0" borderId="60" applyAlignment="1" pivotButton="0" quotePrefix="0" xfId="0">
      <alignment horizontal="left" vertical="center" indent="2"/>
    </xf>
    <xf numFmtId="0" fontId="109" fillId="39" borderId="60" pivotButton="0" quotePrefix="0" xfId="0"/>
    <xf numFmtId="0" fontId="132" fillId="0" borderId="60" applyAlignment="1" pivotButton="0" quotePrefix="0" xfId="0">
      <alignment horizontal="left" vertical="center" indent="1"/>
    </xf>
    <xf numFmtId="0" fontId="73" fillId="37" borderId="60" applyAlignment="1" pivotButton="0" quotePrefix="0" xfId="0">
      <alignment horizontal="left" vertical="center" indent="2"/>
    </xf>
    <xf numFmtId="0" fontId="80" fillId="37" borderId="60" applyAlignment="1" pivotButton="0" quotePrefix="0" xfId="0">
      <alignment vertical="center"/>
    </xf>
    <xf numFmtId="0" fontId="80" fillId="37" borderId="60" pivotButton="0" quotePrefix="0" xfId="0"/>
    <xf numFmtId="0" fontId="89" fillId="0" borderId="60" applyAlignment="1" pivotButton="0" quotePrefix="0" xfId="0">
      <alignment vertical="top" wrapText="1"/>
    </xf>
    <xf numFmtId="182" fontId="80" fillId="38" borderId="60" applyAlignment="1" pivotButton="0" quotePrefix="0" xfId="0">
      <alignment vertical="center"/>
    </xf>
    <xf numFmtId="1" fontId="80" fillId="38" borderId="60" applyAlignment="1" pivotButton="0" quotePrefix="0" xfId="0">
      <alignment vertical="center"/>
    </xf>
    <xf numFmtId="0" fontId="80" fillId="38" borderId="60" applyAlignment="1" pivotButton="0" quotePrefix="0" xfId="0">
      <alignment vertical="center"/>
    </xf>
    <xf numFmtId="0" fontId="89" fillId="0" borderId="60" applyAlignment="1" pivotButton="0" quotePrefix="0" xfId="0">
      <alignment vertical="center"/>
    </xf>
    <xf numFmtId="0" fontId="90" fillId="45" borderId="0" pivotButton="0" quotePrefix="0" xfId="0"/>
    <xf numFmtId="0" fontId="82" fillId="10" borderId="0" pivotButton="0" quotePrefix="0" xfId="0"/>
    <xf numFmtId="0" fontId="133" fillId="0" borderId="0" pivotButton="0" quotePrefix="0" xfId="0"/>
    <xf numFmtId="0" fontId="0" fillId="45" borderId="0" pivotButton="0" quotePrefix="0" xfId="0"/>
    <xf numFmtId="0" fontId="83" fillId="13" borderId="0" pivotButton="0" quotePrefix="0" xfId="0"/>
    <xf numFmtId="0" fontId="82" fillId="0" borderId="68" pivotButton="0" quotePrefix="0" xfId="0"/>
    <xf numFmtId="0" fontId="134" fillId="0" borderId="68" pivotButton="0" quotePrefix="0" xfId="0"/>
    <xf numFmtId="0" fontId="109" fillId="0" borderId="0" pivotButton="0" quotePrefix="0" xfId="0"/>
    <xf numFmtId="0" fontId="135" fillId="0" borderId="0" pivotButton="0" quotePrefix="0" xfId="0"/>
    <xf numFmtId="0" fontId="0" fillId="0" borderId="68" pivotButton="0" quotePrefix="0" xfId="0"/>
    <xf numFmtId="0" fontId="0" fillId="0" borderId="68" applyAlignment="1" pivotButton="0" quotePrefix="0" xfId="0">
      <alignment vertical="top" wrapText="1"/>
    </xf>
    <xf numFmtId="0" fontId="136" fillId="45" borderId="0" applyAlignment="1" pivotButton="0" quotePrefix="1" xfId="0">
      <alignment horizontal="left" vertical="center"/>
    </xf>
    <xf numFmtId="0" fontId="136" fillId="45" borderId="0" applyAlignment="1" pivotButton="0" quotePrefix="0" xfId="0">
      <alignment horizontal="left" vertical="center"/>
    </xf>
    <xf numFmtId="0" fontId="137" fillId="0" borderId="0" applyAlignment="1" pivotButton="0" quotePrefix="1" xfId="0">
      <alignment horizontal="left" vertical="top" wrapText="1"/>
    </xf>
    <xf numFmtId="0" fontId="137" fillId="0" borderId="0" pivotButton="0" quotePrefix="0" xfId="0"/>
    <xf numFmtId="0" fontId="137" fillId="0" borderId="0" applyAlignment="1" pivotButton="0" quotePrefix="0" xfId="0">
      <alignment horizontal="left"/>
    </xf>
    <xf numFmtId="0" fontId="137" fillId="0" borderId="0" applyAlignment="1" pivotButton="0" quotePrefix="0" xfId="0">
      <alignment horizontal="left" indent="1"/>
    </xf>
    <xf numFmtId="0" fontId="138" fillId="0" borderId="62" applyAlignment="1" pivotButton="0" quotePrefix="0" xfId="0">
      <alignment vertical="top" wrapText="1"/>
    </xf>
    <xf numFmtId="0" fontId="139" fillId="13" borderId="70" pivotButton="0" quotePrefix="0" xfId="0"/>
    <xf numFmtId="0" fontId="140" fillId="45" borderId="0" applyAlignment="1" pivotButton="0" quotePrefix="1" xfId="0">
      <alignment horizontal="left" vertical="center"/>
    </xf>
    <xf numFmtId="0" fontId="140" fillId="45" borderId="0" applyAlignment="1" pivotButton="0" quotePrefix="0" xfId="0">
      <alignment horizontal="left" vertical="center"/>
    </xf>
    <xf numFmtId="0" fontId="96" fillId="13" borderId="70" applyAlignment="1" pivotButton="0" quotePrefix="0" xfId="0">
      <alignment horizontal="left" vertical="center"/>
    </xf>
    <xf numFmtId="0" fontId="140" fillId="45" borderId="0" applyAlignment="1" applyProtection="1" pivotButton="0" quotePrefix="0" xfId="0">
      <alignment horizontal="left" vertical="center"/>
      <protection locked="0" hidden="0"/>
    </xf>
    <xf numFmtId="0" fontId="140" fillId="46" borderId="1" applyAlignment="1" pivotButton="0" quotePrefix="0" xfId="0">
      <alignment horizontal="left" vertical="center"/>
    </xf>
    <xf numFmtId="0" fontId="140" fillId="46" borderId="2" applyAlignment="1" pivotButton="0" quotePrefix="0" xfId="0">
      <alignment horizontal="left" vertical="center"/>
    </xf>
    <xf numFmtId="0" fontId="140" fillId="46" borderId="3" applyAlignment="1" pivotButton="0" quotePrefix="0" xfId="0">
      <alignment horizontal="left" vertical="center"/>
    </xf>
    <xf numFmtId="0" fontId="141" fillId="47" borderId="70" applyAlignment="1" pivotButton="0" quotePrefix="0" xfId="0">
      <alignment horizontal="center" vertical="center" wrapText="1"/>
    </xf>
    <xf numFmtId="0" fontId="141" fillId="47" borderId="70" applyAlignment="1" pivotButton="0" quotePrefix="1" xfId="0">
      <alignment horizontal="center" vertical="center" wrapText="1"/>
    </xf>
    <xf numFmtId="49" fontId="96" fillId="13" borderId="70" applyAlignment="1" applyProtection="1" pivotButton="0" quotePrefix="0" xfId="0">
      <alignment horizontal="left" vertical="center"/>
      <protection locked="0" hidden="0"/>
    </xf>
    <xf numFmtId="0" fontId="96" fillId="13" borderId="70" applyAlignment="1" applyProtection="1" pivotButton="0" quotePrefix="0" xfId="0">
      <alignment horizontal="right" vertical="center"/>
      <protection locked="0" hidden="0"/>
    </xf>
    <xf numFmtId="37" fontId="96" fillId="39" borderId="70" applyAlignment="1" applyProtection="1" pivotButton="0" quotePrefix="0" xfId="0">
      <alignment horizontal="right" vertical="center"/>
      <protection locked="0" hidden="0"/>
    </xf>
    <xf numFmtId="0" fontId="96" fillId="39" borderId="70" applyAlignment="1" applyProtection="1" pivotButton="0" quotePrefix="0" xfId="0">
      <alignment horizontal="center" vertical="center"/>
      <protection locked="0" hidden="0"/>
    </xf>
    <xf numFmtId="167" fontId="96" fillId="13" borderId="70" applyAlignment="1" applyProtection="1" pivotButton="0" quotePrefix="0" xfId="0">
      <alignment horizontal="right" vertical="center"/>
      <protection locked="0" hidden="0"/>
    </xf>
    <xf numFmtId="0" fontId="96" fillId="13" borderId="70" applyAlignment="1" pivotButton="0" quotePrefix="0" xfId="0">
      <alignment horizontal="right" vertical="center"/>
    </xf>
    <xf numFmtId="49" fontId="96" fillId="39" borderId="70" applyAlignment="1" applyProtection="1" pivotButton="0" quotePrefix="0" xfId="0">
      <alignment horizontal="left" vertical="center"/>
      <protection locked="0" hidden="0"/>
    </xf>
    <xf numFmtId="0" fontId="96" fillId="39" borderId="70" applyAlignment="1" applyProtection="1" pivotButton="0" quotePrefix="0" xfId="0">
      <alignment horizontal="right" vertical="center"/>
      <protection locked="0" hidden="0"/>
    </xf>
    <xf numFmtId="37" fontId="96" fillId="39" borderId="70" applyAlignment="1" pivotButton="0" quotePrefix="0" xfId="0">
      <alignment horizontal="right" vertical="center"/>
    </xf>
    <xf numFmtId="9" fontId="96" fillId="13" borderId="70" applyAlignment="1" applyProtection="1" pivotButton="0" quotePrefix="0" xfId="0">
      <alignment horizontal="right" vertical="center"/>
      <protection locked="0" hidden="0"/>
    </xf>
    <xf numFmtId="49" fontId="96" fillId="13" borderId="70" applyAlignment="1" applyProtection="1" pivotButton="0" quotePrefix="0" xfId="0">
      <alignment horizontal="right" vertical="center"/>
      <protection locked="0" hidden="0"/>
    </xf>
    <xf numFmtId="167" fontId="96" fillId="0" borderId="70" applyAlignment="1" pivotButton="0" quotePrefix="0" xfId="0">
      <alignment horizontal="right" vertical="center"/>
    </xf>
    <xf numFmtId="0" fontId="96" fillId="39" borderId="70" applyAlignment="1" applyProtection="1" pivotButton="0" quotePrefix="0" xfId="0">
      <alignment horizontal="left" vertical="center"/>
      <protection locked="0" hidden="0"/>
    </xf>
    <xf numFmtId="0" fontId="96" fillId="13" borderId="70" applyAlignment="1" applyProtection="1" pivotButton="0" quotePrefix="0" xfId="0">
      <alignment horizontal="center" vertical="center"/>
      <protection locked="0" hidden="0"/>
    </xf>
    <xf numFmtId="166" fontId="96" fillId="13" borderId="70" applyAlignment="1" applyProtection="1" pivotButton="0" quotePrefix="0" xfId="0">
      <alignment horizontal="right" vertical="center"/>
      <protection locked="0" hidden="0"/>
    </xf>
    <xf numFmtId="0" fontId="96" fillId="0" borderId="70" applyAlignment="1" pivotButton="0" quotePrefix="0" xfId="0">
      <alignment horizontal="left" vertical="center"/>
    </xf>
    <xf numFmtId="0" fontId="96" fillId="0" borderId="70" applyAlignment="1" pivotButton="0" quotePrefix="0" xfId="0">
      <alignment horizontal="right" vertical="center"/>
    </xf>
    <xf numFmtId="37" fontId="96" fillId="0" borderId="70" applyAlignment="1" pivotButton="0" quotePrefix="0" xfId="0">
      <alignment horizontal="right" vertical="center"/>
    </xf>
    <xf numFmtId="0" fontId="96" fillId="0" borderId="70" applyAlignment="1" pivotButton="0" quotePrefix="0" xfId="0">
      <alignment horizontal="center" vertical="center"/>
    </xf>
    <xf numFmtId="172" fontId="96" fillId="0" borderId="70" applyAlignment="1" pivotButton="0" quotePrefix="0" xfId="0">
      <alignment horizontal="right" vertical="center"/>
    </xf>
    <xf numFmtId="0" fontId="138" fillId="13" borderId="70" applyAlignment="1" pivotButton="0" quotePrefix="0" xfId="0">
      <alignment horizontal="left" vertical="center"/>
    </xf>
    <xf numFmtId="166" fontId="96" fillId="0" borderId="70" applyAlignment="1" pivotButton="0" quotePrefix="0" xfId="0">
      <alignment horizontal="right" vertical="center"/>
    </xf>
    <xf numFmtId="170" fontId="96" fillId="13" borderId="70" applyAlignment="1" applyProtection="1" pivotButton="0" quotePrefix="0" xfId="0">
      <alignment horizontal="right" vertical="center"/>
      <protection locked="0" hidden="0"/>
    </xf>
    <xf numFmtId="167" fontId="142" fillId="11" borderId="70" applyAlignment="1" pivotButton="0" quotePrefix="0" xfId="0">
      <alignment horizontal="right" vertical="center"/>
    </xf>
    <xf numFmtId="166" fontId="142" fillId="11" borderId="70" applyAlignment="1" pivotButton="0" quotePrefix="0" xfId="0">
      <alignment horizontal="right" vertical="center"/>
    </xf>
    <xf numFmtId="0" fontId="96" fillId="48" borderId="70" applyAlignment="1" pivotButton="0" quotePrefix="0" xfId="0">
      <alignment horizontal="left" vertical="center"/>
    </xf>
    <xf numFmtId="0" fontId="96" fillId="48" borderId="70" applyAlignment="1" pivotButton="0" quotePrefix="0" xfId="0">
      <alignment horizontal="right" vertical="center"/>
    </xf>
    <xf numFmtId="37" fontId="96" fillId="48" borderId="70" applyAlignment="1" pivotButton="0" quotePrefix="0" xfId="0">
      <alignment horizontal="right" vertical="center"/>
    </xf>
    <xf numFmtId="0" fontId="96" fillId="48" borderId="70" applyAlignment="1" pivotButton="0" quotePrefix="0" xfId="0">
      <alignment horizontal="center" vertical="center"/>
    </xf>
    <xf numFmtId="172" fontId="96" fillId="48" borderId="70" applyAlignment="1" pivotButton="0" quotePrefix="0" xfId="0">
      <alignment horizontal="right" vertical="center"/>
    </xf>
    <xf numFmtId="167" fontId="96" fillId="48" borderId="70" applyAlignment="1" pivotButton="0" quotePrefix="0" xfId="0">
      <alignment horizontal="right" vertical="center"/>
    </xf>
    <xf numFmtId="166" fontId="96" fillId="48" borderId="70" applyAlignment="1" pivotButton="0" quotePrefix="0" xfId="0">
      <alignment horizontal="right" vertical="center"/>
    </xf>
    <xf numFmtId="0" fontId="140" fillId="46" borderId="28" applyAlignment="1" pivotButton="0" quotePrefix="0" xfId="0">
      <alignment horizontal="left" vertical="center"/>
    </xf>
    <xf numFmtId="0" fontId="140" fillId="46" borderId="22" applyAlignment="1" pivotButton="0" quotePrefix="0" xfId="0">
      <alignment horizontal="left" vertical="center"/>
    </xf>
    <xf numFmtId="0" fontId="140" fillId="46" borderId="23" applyAlignment="1" pivotButton="0" quotePrefix="0" xfId="0">
      <alignment horizontal="left" vertical="center"/>
    </xf>
    <xf numFmtId="0" fontId="96" fillId="13" borderId="71" applyAlignment="1" applyProtection="1" pivotButton="0" quotePrefix="0" xfId="0">
      <alignment horizontal="left" vertical="top" wrapText="1"/>
      <protection locked="0" hidden="0"/>
    </xf>
    <xf numFmtId="0" fontId="0" fillId="13" borderId="72" applyProtection="1" pivotButton="0" quotePrefix="0" xfId="0">
      <protection locked="0" hidden="0"/>
    </xf>
    <xf numFmtId="0" fontId="0" fillId="13" borderId="73" applyProtection="1" pivotButton="0" quotePrefix="0" xfId="0">
      <protection locked="0" hidden="0"/>
    </xf>
    <xf numFmtId="0" fontId="0" fillId="13" borderId="74" applyProtection="1" pivotButton="0" quotePrefix="0" xfId="0">
      <protection locked="0" hidden="0"/>
    </xf>
    <xf numFmtId="0" fontId="0" fillId="13" borderId="70" applyProtection="1" pivotButton="0" quotePrefix="0" xfId="0">
      <protection locked="0" hidden="0"/>
    </xf>
    <xf numFmtId="0" fontId="0" fillId="13" borderId="75" applyProtection="1" pivotButton="0" quotePrefix="0" xfId="0">
      <protection locked="0" hidden="0"/>
    </xf>
    <xf numFmtId="0" fontId="0" fillId="13" borderId="76" applyProtection="1" pivotButton="0" quotePrefix="0" xfId="0">
      <protection locked="0" hidden="0"/>
    </xf>
    <xf numFmtId="0" fontId="0" fillId="13" borderId="77" applyProtection="1" pivotButton="0" quotePrefix="0" xfId="0">
      <protection locked="0" hidden="0"/>
    </xf>
    <xf numFmtId="0" fontId="0" fillId="13" borderId="78" applyProtection="1" pivotButton="0" quotePrefix="0" xfId="0">
      <protection locked="0" hidden="0"/>
    </xf>
    <xf numFmtId="0" fontId="140" fillId="46" borderId="0" applyAlignment="1" pivotButton="0" quotePrefix="0" xfId="0">
      <alignment horizontal="left" vertical="center"/>
    </xf>
    <xf numFmtId="39" fontId="96" fillId="0" borderId="70" applyAlignment="1" pivotButton="0" quotePrefix="0" xfId="0">
      <alignment horizontal="right" vertical="center"/>
    </xf>
    <xf numFmtId="0" fontId="96" fillId="13" borderId="70" applyAlignment="1" pivotButton="0" quotePrefix="0" xfId="0">
      <alignment horizontal="center" vertical="center"/>
    </xf>
    <xf numFmtId="9" fontId="96" fillId="0" borderId="70" applyAlignment="1" pivotButton="0" quotePrefix="0" xfId="0">
      <alignment horizontal="right" vertical="center"/>
    </xf>
    <xf numFmtId="39" fontId="96" fillId="48" borderId="70" applyAlignment="1" pivotButton="0" quotePrefix="0" xfId="0">
      <alignment horizontal="right" vertical="center"/>
    </xf>
    <xf numFmtId="9" fontId="96" fillId="48" borderId="70" applyAlignment="1" pivotButton="0" quotePrefix="0" xfId="0">
      <alignment horizontal="right" vertical="center"/>
    </xf>
    <xf numFmtId="0" fontId="136" fillId="45" borderId="0" applyAlignment="1" pivotButton="0" quotePrefix="0" xfId="7">
      <alignment horizontal="left" vertical="center"/>
    </xf>
    <xf numFmtId="0" fontId="140" fillId="46" borderId="0" applyAlignment="1" pivotButton="0" quotePrefix="0" xfId="7">
      <alignment horizontal="left" vertical="center"/>
    </xf>
    <xf numFmtId="0" fontId="141" fillId="47" borderId="70" applyAlignment="1" pivotButton="0" quotePrefix="0" xfId="7">
      <alignment horizontal="center" vertical="center" wrapText="1"/>
    </xf>
    <xf numFmtId="0" fontId="141" fillId="47" borderId="70" applyAlignment="1" pivotButton="0" quotePrefix="1" xfId="7">
      <alignment horizontal="center" vertical="center" wrapText="1"/>
    </xf>
    <xf numFmtId="0" fontId="96" fillId="13" borderId="70" applyAlignment="1" applyProtection="1" pivotButton="0" quotePrefix="0" xfId="7">
      <alignment horizontal="left" vertical="center"/>
      <protection locked="0" hidden="0"/>
    </xf>
    <xf numFmtId="166" fontId="96" fillId="13" borderId="70" applyAlignment="1" applyProtection="1" pivotButton="0" quotePrefix="0" xfId="7">
      <alignment horizontal="right" vertical="center"/>
      <protection locked="0" hidden="0"/>
    </xf>
    <xf numFmtId="0" fontId="96" fillId="13" borderId="70" applyAlignment="1" applyProtection="1" pivotButton="0" quotePrefix="0" xfId="7">
      <alignment horizontal="right" vertical="center"/>
      <protection locked="0" hidden="0"/>
    </xf>
    <xf numFmtId="0" fontId="96" fillId="13" borderId="70" applyAlignment="1" applyProtection="1" pivotButton="0" quotePrefix="0" xfId="7">
      <alignment horizontal="centerContinuous" vertical="center"/>
      <protection locked="0" hidden="0"/>
    </xf>
    <xf numFmtId="167" fontId="96" fillId="0" borderId="70" applyAlignment="1" applyProtection="1" pivotButton="0" quotePrefix="0" xfId="7">
      <alignment horizontal="right" vertical="center"/>
      <protection locked="0" hidden="0"/>
    </xf>
    <xf numFmtId="37" fontId="96" fillId="13" borderId="70" applyAlignment="1" applyProtection="1" pivotButton="0" quotePrefix="0" xfId="7">
      <alignment horizontal="right" vertical="center"/>
      <protection locked="0" hidden="0"/>
    </xf>
    <xf numFmtId="169" fontId="142" fillId="11" borderId="70" applyAlignment="1" applyProtection="1" pivotButton="0" quotePrefix="0" xfId="7">
      <alignment horizontal="right" vertical="center"/>
      <protection locked="0" hidden="0"/>
    </xf>
    <xf numFmtId="1" fontId="96" fillId="13" borderId="70" applyAlignment="1" applyProtection="1" pivotButton="0" quotePrefix="1" xfId="7">
      <alignment horizontal="left" vertical="center"/>
      <protection locked="0" hidden="0"/>
    </xf>
    <xf numFmtId="2" fontId="96" fillId="13" borderId="70" applyAlignment="1" applyProtection="1" pivotButton="0" quotePrefix="0" xfId="7">
      <alignment horizontal="right" vertical="center"/>
      <protection locked="0" hidden="0"/>
    </xf>
    <xf numFmtId="17" fontId="96" fillId="13" borderId="70" applyAlignment="1" applyProtection="1" pivotButton="0" quotePrefix="0" xfId="7">
      <alignment horizontal="left" vertical="center"/>
      <protection locked="0" hidden="0"/>
    </xf>
    <xf numFmtId="167" fontId="96" fillId="13" borderId="70" applyAlignment="1" applyProtection="1" pivotButton="0" quotePrefix="0" xfId="7">
      <alignment horizontal="right" vertical="center"/>
      <protection locked="0" hidden="0"/>
    </xf>
    <xf numFmtId="176" fontId="142" fillId="11" borderId="70" applyAlignment="1" applyProtection="1" pivotButton="0" quotePrefix="0" xfId="7">
      <alignment horizontal="right" vertical="center"/>
      <protection locked="0" hidden="0"/>
    </xf>
    <xf numFmtId="169" fontId="96" fillId="13" borderId="70" applyAlignment="1" pivotButton="0" quotePrefix="0" xfId="7">
      <alignment horizontal="left" vertical="center"/>
    </xf>
    <xf numFmtId="0" fontId="138" fillId="13" borderId="70" applyAlignment="1" pivotButton="0" quotePrefix="1" xfId="7">
      <alignment horizontal="left" vertical="center"/>
    </xf>
    <xf numFmtId="0" fontId="96" fillId="0" borderId="70" applyAlignment="1" pivotButton="0" quotePrefix="0" xfId="7">
      <alignment horizontal="left" vertical="center"/>
    </xf>
    <xf numFmtId="166" fontId="96" fillId="0" borderId="70" applyAlignment="1" pivotButton="0" quotePrefix="0" xfId="7">
      <alignment horizontal="right" vertical="center"/>
    </xf>
    <xf numFmtId="0" fontId="96" fillId="0" borderId="70" applyAlignment="1" pivotButton="0" quotePrefix="0" xfId="7">
      <alignment horizontal="right" vertical="center"/>
    </xf>
    <xf numFmtId="9" fontId="96" fillId="13" borderId="70" applyAlignment="1" pivotButton="0" quotePrefix="0" xfId="7">
      <alignment horizontal="right" vertical="center"/>
    </xf>
    <xf numFmtId="0" fontId="96" fillId="13" borderId="70" applyAlignment="1" pivotButton="0" quotePrefix="0" xfId="7">
      <alignment horizontal="right" vertical="center"/>
    </xf>
    <xf numFmtId="167" fontId="96" fillId="0" borderId="70" applyAlignment="1" pivotButton="0" quotePrefix="0" xfId="7">
      <alignment horizontal="right" vertical="center"/>
    </xf>
    <xf numFmtId="37" fontId="96" fillId="0" borderId="70" applyAlignment="1" pivotButton="0" quotePrefix="0" xfId="7">
      <alignment horizontal="right" vertical="center"/>
    </xf>
    <xf numFmtId="0" fontId="96" fillId="0" borderId="70" applyAlignment="1" pivotButton="0" quotePrefix="1" xfId="7">
      <alignment horizontal="right" vertical="center"/>
    </xf>
    <xf numFmtId="169" fontId="142" fillId="11" borderId="70" applyAlignment="1" pivotButton="0" quotePrefix="0" xfId="7">
      <alignment horizontal="right" vertical="center"/>
    </xf>
    <xf numFmtId="166" fontId="96" fillId="13" borderId="70" applyAlignment="1" pivotButton="0" quotePrefix="0" xfId="7">
      <alignment horizontal="right" vertical="center"/>
    </xf>
    <xf numFmtId="0" fontId="96" fillId="0" borderId="70" applyAlignment="1" pivotButton="0" quotePrefix="1" xfId="7">
      <alignment horizontal="left" vertical="center"/>
    </xf>
    <xf numFmtId="172" fontId="96" fillId="0" borderId="70" applyAlignment="1" pivotButton="0" quotePrefix="0" xfId="7">
      <alignment horizontal="left" vertical="center"/>
    </xf>
    <xf numFmtId="170" fontId="96" fillId="13" borderId="70" applyAlignment="1" pivotButton="0" quotePrefix="0" xfId="7">
      <alignment horizontal="right" vertical="center"/>
    </xf>
    <xf numFmtId="176" fontId="142" fillId="11" borderId="70" applyAlignment="1" pivotButton="0" quotePrefix="0" xfId="7">
      <alignment horizontal="right" vertical="center"/>
    </xf>
    <xf numFmtId="0" fontId="96" fillId="48" borderId="70" applyAlignment="1" pivotButton="0" quotePrefix="0" xfId="7">
      <alignment horizontal="left" vertical="center"/>
    </xf>
    <xf numFmtId="166" fontId="96" fillId="48" borderId="70" applyAlignment="1" pivotButton="0" quotePrefix="0" xfId="7">
      <alignment horizontal="right" vertical="center"/>
    </xf>
    <xf numFmtId="0" fontId="96" fillId="48" borderId="70" applyAlignment="1" pivotButton="0" quotePrefix="0" xfId="7">
      <alignment horizontal="right" vertical="center"/>
    </xf>
    <xf numFmtId="10" fontId="96" fillId="13" borderId="70" applyAlignment="1" pivotButton="0" quotePrefix="0" xfId="7">
      <alignment horizontal="right" vertical="center"/>
    </xf>
    <xf numFmtId="167" fontId="96" fillId="48" borderId="70" applyAlignment="1" pivotButton="0" quotePrefix="0" xfId="7">
      <alignment horizontal="right" vertical="center"/>
    </xf>
    <xf numFmtId="37" fontId="96" fillId="48" borderId="70" applyAlignment="1" pivotButton="0" quotePrefix="0" xfId="7">
      <alignment horizontal="right" vertical="center"/>
    </xf>
    <xf numFmtId="0" fontId="96" fillId="48" borderId="70" applyAlignment="1" pivotButton="0" quotePrefix="1" xfId="7">
      <alignment horizontal="left" vertical="center"/>
    </xf>
    <xf numFmtId="172" fontId="96" fillId="48" borderId="70" applyAlignment="1" pivotButton="0" quotePrefix="0" xfId="7">
      <alignment horizontal="left" vertical="center"/>
    </xf>
    <xf numFmtId="0" fontId="136" fillId="45" borderId="0" applyAlignment="1" pivotButton="0" quotePrefix="0" xfId="8">
      <alignment horizontal="left" vertical="center"/>
    </xf>
    <xf numFmtId="0" fontId="140" fillId="46" borderId="0" applyAlignment="1" pivotButton="0" quotePrefix="0" xfId="8">
      <alignment horizontal="left" vertical="center"/>
    </xf>
    <xf numFmtId="0" fontId="141" fillId="47" borderId="70" applyAlignment="1" pivotButton="0" quotePrefix="0" xfId="8">
      <alignment horizontal="center" vertical="center" wrapText="1"/>
    </xf>
    <xf numFmtId="0" fontId="141" fillId="47" borderId="70" applyAlignment="1" pivotButton="0" quotePrefix="1" xfId="8">
      <alignment horizontal="center" vertical="center" wrapText="1"/>
    </xf>
    <xf numFmtId="0" fontId="96" fillId="0" borderId="70" applyAlignment="1" applyProtection="1" pivotButton="0" quotePrefix="0" xfId="8">
      <alignment horizontal="left" vertical="center"/>
      <protection locked="0" hidden="0"/>
    </xf>
    <xf numFmtId="169" fontId="96" fillId="13" borderId="70" applyAlignment="1" pivotButton="0" quotePrefix="0" xfId="8">
      <alignment horizontal="right" vertical="center"/>
    </xf>
    <xf numFmtId="0" fontId="96" fillId="0" borderId="70" applyAlignment="1" applyProtection="1" pivotButton="0" quotePrefix="0" xfId="8">
      <alignment horizontal="right" vertical="center"/>
      <protection locked="0" hidden="0"/>
    </xf>
    <xf numFmtId="0" fontId="96" fillId="13" borderId="70" applyAlignment="1" applyProtection="1" pivotButton="0" quotePrefix="0" xfId="8">
      <alignment horizontal="right" vertical="center"/>
      <protection locked="0" hidden="0"/>
    </xf>
    <xf numFmtId="0" fontId="96" fillId="13" borderId="70" applyAlignment="1" applyProtection="1" pivotButton="0" quotePrefix="0" xfId="8">
      <alignment horizontal="centerContinuous" vertical="center"/>
      <protection locked="0" hidden="0"/>
    </xf>
    <xf numFmtId="49" fontId="96" fillId="0" borderId="70" applyAlignment="1" applyProtection="1" pivotButton="0" quotePrefix="0" xfId="8">
      <alignment horizontal="left" vertical="center"/>
      <protection locked="0" hidden="0"/>
    </xf>
    <xf numFmtId="170" fontId="96" fillId="13" borderId="70" applyAlignment="1" pivotButton="0" quotePrefix="0" xfId="8">
      <alignment horizontal="right" vertical="center"/>
    </xf>
    <xf numFmtId="3" fontId="96" fillId="0" borderId="70" applyAlignment="1" applyProtection="1" pivotButton="0" quotePrefix="0" xfId="8">
      <alignment horizontal="right" vertical="center"/>
      <protection locked="0" hidden="0"/>
    </xf>
    <xf numFmtId="0" fontId="96" fillId="0" borderId="70" applyAlignment="1" pivotButton="0" quotePrefix="0" xfId="8">
      <alignment horizontal="right" vertical="center"/>
    </xf>
    <xf numFmtId="0" fontId="138" fillId="13" borderId="70" applyAlignment="1" pivotButton="0" quotePrefix="1" xfId="8">
      <alignment horizontal="left" vertical="center"/>
    </xf>
    <xf numFmtId="0" fontId="96" fillId="13" borderId="70" applyAlignment="1" pivotButton="0" quotePrefix="0" xfId="8">
      <alignment horizontal="left" vertical="center"/>
    </xf>
    <xf numFmtId="169" fontId="96" fillId="0" borderId="70" applyAlignment="1" pivotButton="0" quotePrefix="0" xfId="8">
      <alignment horizontal="right" vertical="center"/>
    </xf>
    <xf numFmtId="0" fontId="96" fillId="13" borderId="70" applyAlignment="1" pivotButton="0" quotePrefix="0" xfId="8">
      <alignment horizontal="right" vertical="center"/>
    </xf>
    <xf numFmtId="9" fontId="96" fillId="0" borderId="70" applyAlignment="1" pivotButton="0" quotePrefix="0" xfId="8">
      <alignment horizontal="right" vertical="center"/>
    </xf>
    <xf numFmtId="0" fontId="96" fillId="0" borderId="70" applyAlignment="1" pivotButton="0" quotePrefix="0" xfId="8">
      <alignment horizontal="left" vertical="center"/>
    </xf>
    <xf numFmtId="170" fontId="96" fillId="13" borderId="70" applyAlignment="1" applyProtection="1" pivotButton="0" quotePrefix="0" xfId="8">
      <alignment horizontal="right" vertical="center"/>
      <protection locked="0" hidden="0"/>
    </xf>
    <xf numFmtId="169" fontId="142" fillId="11" borderId="70" applyAlignment="1" pivotButton="0" quotePrefix="0" xfId="8">
      <alignment horizontal="left" vertical="center"/>
    </xf>
    <xf numFmtId="169" fontId="96" fillId="48" borderId="70" applyAlignment="1" pivotButton="0" quotePrefix="0" xfId="8">
      <alignment horizontal="right" vertical="center"/>
    </xf>
    <xf numFmtId="9" fontId="96" fillId="48" borderId="70" applyAlignment="1" pivotButton="0" quotePrefix="0" xfId="8">
      <alignment horizontal="right" vertical="center"/>
    </xf>
    <xf numFmtId="0" fontId="96" fillId="48" borderId="70" applyAlignment="1" pivotButton="0" quotePrefix="0" xfId="8">
      <alignment horizontal="left" vertical="center"/>
    </xf>
    <xf numFmtId="0" fontId="141" fillId="47" borderId="70" applyAlignment="1" pivotButton="0" quotePrefix="1" xfId="6">
      <alignment horizontal="center" vertical="center" wrapText="1"/>
    </xf>
    <xf numFmtId="0" fontId="138" fillId="0" borderId="0" pivotButton="0" quotePrefix="0" xfId="6"/>
    <xf numFmtId="176" fontId="96" fillId="13" borderId="70" applyAlignment="1" applyProtection="1" pivotButton="0" quotePrefix="0" xfId="6">
      <alignment horizontal="right" vertical="center"/>
      <protection locked="0" hidden="0"/>
    </xf>
    <xf numFmtId="0" fontId="96" fillId="13" borderId="70" applyAlignment="1" applyProtection="1" pivotButton="0" quotePrefix="0" xfId="0">
      <alignment horizontal="left" vertical="center"/>
      <protection locked="0" hidden="0"/>
    </xf>
    <xf numFmtId="166" fontId="96" fillId="13" borderId="70" applyAlignment="1" pivotButton="0" quotePrefix="0" xfId="6">
      <alignment horizontal="left" vertical="center"/>
    </xf>
    <xf numFmtId="166" fontId="142" fillId="11" borderId="70" applyAlignment="1" pivotButton="0" quotePrefix="0" xfId="6">
      <alignment horizontal="left" vertical="center"/>
    </xf>
    <xf numFmtId="0" fontId="142" fillId="11" borderId="70" applyAlignment="1" pivotButton="0" quotePrefix="0" xfId="0">
      <alignment horizontal="left" vertical="center"/>
    </xf>
    <xf numFmtId="0" fontId="138" fillId="0" borderId="0" applyAlignment="1" pivotButton="0" quotePrefix="1" xfId="6">
      <alignment horizontal="left"/>
    </xf>
    <xf numFmtId="176" fontId="96" fillId="0" borderId="70" applyAlignment="1" pivotButton="0" quotePrefix="0" xfId="6">
      <alignment horizontal="right" vertical="center"/>
    </xf>
    <xf numFmtId="166" fontId="96" fillId="0" borderId="70" applyAlignment="1" pivotButton="0" quotePrefix="0" xfId="6">
      <alignment horizontal="right" vertical="center"/>
    </xf>
    <xf numFmtId="0" fontId="31" fillId="0" borderId="79" pivotButton="0" quotePrefix="0" xfId="6"/>
    <xf numFmtId="0" fontId="33" fillId="0" borderId="79" pivotButton="0" quotePrefix="0" xfId="6"/>
    <xf numFmtId="0" fontId="0" fillId="0" borderId="79" pivotButton="0" quotePrefix="0" xfId="0"/>
    <xf numFmtId="0" fontId="138" fillId="0" borderId="46" pivotButton="0" quotePrefix="0" xfId="6"/>
    <xf numFmtId="0" fontId="138" fillId="0" borderId="45" pivotButton="0" quotePrefix="0" xfId="6"/>
    <xf numFmtId="0" fontId="140" fillId="46" borderId="50" applyAlignment="1" pivotButton="0" quotePrefix="0" xfId="6">
      <alignment horizontal="left" vertical="center"/>
    </xf>
    <xf numFmtId="0" fontId="140" fillId="46" borderId="13" applyAlignment="1" pivotButton="0" quotePrefix="0" xfId="6">
      <alignment horizontal="left" vertical="center"/>
    </xf>
    <xf numFmtId="0" fontId="140" fillId="46" borderId="13" applyAlignment="1" pivotButton="0" quotePrefix="1" xfId="6">
      <alignment horizontal="left" vertical="center"/>
    </xf>
    <xf numFmtId="0" fontId="140" fillId="46" borderId="14" applyAlignment="1" pivotButton="0" quotePrefix="1" xfId="6">
      <alignment horizontal="left" vertical="center"/>
    </xf>
    <xf numFmtId="0" fontId="141" fillId="47" borderId="70" applyAlignment="1" pivotButton="0" quotePrefix="0" xfId="6">
      <alignment horizontal="center" vertical="center" wrapText="1"/>
    </xf>
    <xf numFmtId="0" fontId="138" fillId="13" borderId="70" applyAlignment="1" pivotButton="0" quotePrefix="0" xfId="6">
      <alignment horizontal="left" vertical="center"/>
    </xf>
    <xf numFmtId="0" fontId="96" fillId="13" borderId="70" applyAlignment="1" pivotButton="0" quotePrefix="0" xfId="6">
      <alignment horizontal="left" vertical="center"/>
    </xf>
    <xf numFmtId="0" fontId="96" fillId="13" borderId="70" applyAlignment="1" pivotButton="0" quotePrefix="0" xfId="6">
      <alignment horizontal="center" vertical="center"/>
    </xf>
    <xf numFmtId="0" fontId="96" fillId="13" borderId="70" applyAlignment="1" pivotButton="0" quotePrefix="1" xfId="6">
      <alignment horizontal="right" vertical="center"/>
    </xf>
    <xf numFmtId="0" fontId="96" fillId="13" borderId="70" applyAlignment="1" applyProtection="1" pivotButton="0" quotePrefix="0" xfId="6">
      <alignment horizontal="left" vertical="center"/>
      <protection locked="0" hidden="0"/>
    </xf>
    <xf numFmtId="0" fontId="96" fillId="13" borderId="70" applyAlignment="1" applyProtection="1" pivotButton="0" quotePrefix="0" xfId="6">
      <alignment horizontal="center" vertical="center"/>
      <protection locked="0" hidden="0"/>
    </xf>
    <xf numFmtId="37" fontId="96" fillId="13" borderId="70" applyAlignment="1" applyProtection="1" pivotButton="0" quotePrefix="0" xfId="6">
      <alignment horizontal="left" vertical="center"/>
      <protection locked="0" hidden="0"/>
    </xf>
    <xf numFmtId="167" fontId="96" fillId="13" borderId="70" applyAlignment="1" pivotButton="0" quotePrefix="0" xfId="6">
      <alignment horizontal="left" vertical="center"/>
    </xf>
    <xf numFmtId="9" fontId="96" fillId="13" borderId="70" applyAlignment="1" applyProtection="1" pivotButton="0" quotePrefix="0" xfId="6">
      <alignment horizontal="left" vertical="center"/>
      <protection locked="0" hidden="0"/>
    </xf>
    <xf numFmtId="0" fontId="96" fillId="0" borderId="70" applyAlignment="1" pivotButton="0" quotePrefix="0" xfId="6">
      <alignment horizontal="left" vertical="center"/>
    </xf>
    <xf numFmtId="0" fontId="96" fillId="0" borderId="70" applyAlignment="1" pivotButton="0" quotePrefix="0" xfId="6">
      <alignment horizontal="center" vertical="center"/>
    </xf>
    <xf numFmtId="37" fontId="96" fillId="0" borderId="70" applyAlignment="1" pivotButton="0" quotePrefix="0" xfId="6">
      <alignment horizontal="left" vertical="center"/>
    </xf>
    <xf numFmtId="37" fontId="96" fillId="13" borderId="70" applyAlignment="1" pivotButton="0" quotePrefix="0" xfId="6">
      <alignment horizontal="left" vertical="center"/>
    </xf>
    <xf numFmtId="167" fontId="96" fillId="0" borderId="70" applyAlignment="1" pivotButton="0" quotePrefix="0" xfId="6">
      <alignment horizontal="left" vertical="center"/>
    </xf>
    <xf numFmtId="9" fontId="96" fillId="0" borderId="70" applyAlignment="1" pivotButton="0" quotePrefix="0" xfId="6">
      <alignment horizontal="left" vertical="center"/>
    </xf>
    <xf numFmtId="0" fontId="96" fillId="48" borderId="70" applyAlignment="1" pivotButton="0" quotePrefix="0" xfId="6">
      <alignment horizontal="left" vertical="center"/>
    </xf>
    <xf numFmtId="0" fontId="96" fillId="48" borderId="70" applyAlignment="1" pivotButton="0" quotePrefix="0" xfId="6">
      <alignment horizontal="center" vertical="center"/>
    </xf>
    <xf numFmtId="37" fontId="96" fillId="48" borderId="70" applyAlignment="1" pivotButton="0" quotePrefix="0" xfId="6">
      <alignment horizontal="left" vertical="center"/>
    </xf>
    <xf numFmtId="167" fontId="96" fillId="48" borderId="70" applyAlignment="1" pivotButton="0" quotePrefix="0" xfId="6">
      <alignment horizontal="left" vertical="center"/>
    </xf>
    <xf numFmtId="9" fontId="96" fillId="48" borderId="70" applyAlignment="1" pivotButton="0" quotePrefix="0" xfId="6">
      <alignment horizontal="left" vertical="center"/>
    </xf>
    <xf numFmtId="0" fontId="140" fillId="46" borderId="14" applyAlignment="1" pivotButton="0" quotePrefix="0" xfId="6">
      <alignment horizontal="left" vertical="center"/>
    </xf>
    <xf numFmtId="169" fontId="96" fillId="0" borderId="70" applyAlignment="1" pivotButton="0" quotePrefix="0" xfId="6">
      <alignment horizontal="left" vertical="center"/>
    </xf>
    <xf numFmtId="172" fontId="96" fillId="0" borderId="70" applyAlignment="1" pivotButton="0" quotePrefix="0" xfId="6">
      <alignment horizontal="right" vertical="center"/>
    </xf>
    <xf numFmtId="166" fontId="96" fillId="0" borderId="70" applyAlignment="1" pivotButton="0" quotePrefix="0" xfId="6">
      <alignment horizontal="left" vertical="center"/>
    </xf>
    <xf numFmtId="172" fontId="96" fillId="48" borderId="70" applyAlignment="1" pivotButton="0" quotePrefix="0" xfId="6">
      <alignment horizontal="right" vertical="center"/>
    </xf>
    <xf numFmtId="166" fontId="96" fillId="48" borderId="70" applyAlignment="1" pivotButton="0" quotePrefix="0" xfId="6">
      <alignment horizontal="left" vertical="center"/>
    </xf>
    <xf numFmtId="0" fontId="136" fillId="45" borderId="0" applyAlignment="1" pivotButton="0" quotePrefix="0" xfId="9">
      <alignment horizontal="left" vertical="center"/>
    </xf>
    <xf numFmtId="0" fontId="138" fillId="0" borderId="0" pivotButton="0" quotePrefix="0" xfId="9"/>
    <xf numFmtId="0" fontId="96" fillId="13" borderId="70" applyAlignment="1" pivotButton="0" quotePrefix="0" xfId="9">
      <alignment horizontal="left"/>
    </xf>
    <xf numFmtId="0" fontId="96" fillId="13" borderId="70" pivotButton="0" quotePrefix="0" xfId="9"/>
    <xf numFmtId="0" fontId="138" fillId="0" borderId="0" applyAlignment="1" pivotButton="0" quotePrefix="1" xfId="9">
      <alignment horizontal="left"/>
    </xf>
    <xf numFmtId="0" fontId="96" fillId="13" borderId="71" applyAlignment="1" pivotButton="0" quotePrefix="0" xfId="9">
      <alignment horizontal="left" vertical="top" wrapText="1"/>
    </xf>
    <xf numFmtId="0" fontId="0" fillId="13" borderId="72" pivotButton="0" quotePrefix="0" xfId="0"/>
    <xf numFmtId="0" fontId="0" fillId="13" borderId="73" pivotButton="0" quotePrefix="0" xfId="0"/>
    <xf numFmtId="0" fontId="0" fillId="13" borderId="74" pivotButton="0" quotePrefix="0" xfId="0"/>
    <xf numFmtId="0" fontId="0" fillId="13" borderId="70" pivotButton="0" quotePrefix="0" xfId="0"/>
    <xf numFmtId="0" fontId="0" fillId="13" borderId="75" pivotButton="0" quotePrefix="0" xfId="0"/>
    <xf numFmtId="0" fontId="0" fillId="13" borderId="76" pivotButton="0" quotePrefix="0" xfId="0"/>
    <xf numFmtId="0" fontId="0" fillId="13" borderId="77" pivotButton="0" quotePrefix="0" xfId="0"/>
    <xf numFmtId="0" fontId="0" fillId="13" borderId="78" pivotButton="0" quotePrefix="0" xfId="0"/>
    <xf numFmtId="0" fontId="140" fillId="46" borderId="50" applyAlignment="1" pivotButton="0" quotePrefix="0" xfId="9">
      <alignment horizontal="left" vertical="center"/>
    </xf>
    <xf numFmtId="0" fontId="140" fillId="46" borderId="13" applyAlignment="1" pivotButton="0" quotePrefix="0" xfId="9">
      <alignment horizontal="left" vertical="center"/>
    </xf>
    <xf numFmtId="0" fontId="140" fillId="46" borderId="13" applyAlignment="1" pivotButton="0" quotePrefix="1" xfId="9">
      <alignment horizontal="left" vertical="center"/>
    </xf>
    <xf numFmtId="0" fontId="140" fillId="46" borderId="14" applyAlignment="1" pivotButton="0" quotePrefix="1" xfId="9">
      <alignment horizontal="left" vertical="center"/>
    </xf>
    <xf numFmtId="0" fontId="141" fillId="47" borderId="70" applyAlignment="1" pivotButton="0" quotePrefix="0" xfId="9">
      <alignment horizontal="center" vertical="center" wrapText="1"/>
    </xf>
    <xf numFmtId="0" fontId="141" fillId="47" borderId="70" applyAlignment="1" pivotButton="0" quotePrefix="1" xfId="9">
      <alignment horizontal="center" vertical="center" wrapText="1"/>
    </xf>
    <xf numFmtId="0" fontId="138" fillId="13" borderId="70" applyAlignment="1" pivotButton="0" quotePrefix="0" xfId="9">
      <alignment horizontal="left" vertical="center"/>
    </xf>
    <xf numFmtId="0" fontId="96" fillId="13" borderId="70" applyAlignment="1" pivotButton="0" quotePrefix="0" xfId="9">
      <alignment horizontal="left" vertical="center"/>
    </xf>
    <xf numFmtId="0" fontId="96" fillId="13" borderId="70" applyAlignment="1" pivotButton="0" quotePrefix="0" xfId="9">
      <alignment horizontal="center" vertical="center"/>
    </xf>
    <xf numFmtId="0" fontId="96" fillId="13" borderId="70" applyAlignment="1" pivotButton="0" quotePrefix="1" xfId="9">
      <alignment horizontal="right" vertical="center"/>
    </xf>
    <xf numFmtId="0" fontId="96" fillId="0" borderId="70" applyAlignment="1" applyProtection="1" pivotButton="0" quotePrefix="0" xfId="9">
      <alignment horizontal="center" vertical="center"/>
      <protection locked="0" hidden="0"/>
    </xf>
    <xf numFmtId="0" fontId="96" fillId="13" borderId="70" applyAlignment="1" applyProtection="1" pivotButton="0" quotePrefix="0" xfId="9">
      <alignment horizontal="left" vertical="center"/>
      <protection locked="0" hidden="0"/>
    </xf>
    <xf numFmtId="166" fontId="96" fillId="13" borderId="70" applyAlignment="1" pivotButton="0" quotePrefix="0" xfId="9">
      <alignment horizontal="left" vertical="center"/>
    </xf>
    <xf numFmtId="0" fontId="96" fillId="13" borderId="70" applyAlignment="1" applyProtection="1" pivotButton="0" quotePrefix="0" xfId="9">
      <alignment horizontal="center" vertical="center"/>
      <protection locked="0" hidden="0"/>
    </xf>
    <xf numFmtId="37" fontId="96" fillId="13" borderId="70" applyAlignment="1" applyProtection="1" pivotButton="0" quotePrefix="0" xfId="9">
      <alignment horizontal="left" vertical="center"/>
      <protection locked="0" hidden="0"/>
    </xf>
    <xf numFmtId="9" fontId="96" fillId="13" borderId="70" applyAlignment="1" applyProtection="1" pivotButton="0" quotePrefix="0" xfId="9">
      <alignment horizontal="left" vertical="center"/>
      <protection locked="0" hidden="0"/>
    </xf>
    <xf numFmtId="0" fontId="140" fillId="46" borderId="14" applyAlignment="1" pivotButton="0" quotePrefix="0" xfId="9">
      <alignment horizontal="left" vertical="center"/>
    </xf>
    <xf numFmtId="0" fontId="96" fillId="0" borderId="70" applyAlignment="1" applyProtection="1" pivotButton="0" quotePrefix="0" xfId="9">
      <alignment horizontal="left" vertical="center"/>
      <protection locked="0" hidden="0"/>
    </xf>
    <xf numFmtId="0" fontId="96" fillId="0" borderId="70" applyAlignment="1" pivotButton="0" quotePrefix="0" xfId="9">
      <alignment horizontal="left" vertical="center"/>
    </xf>
    <xf numFmtId="0" fontId="96" fillId="0" borderId="70" applyAlignment="1" pivotButton="0" quotePrefix="0" xfId="9">
      <alignment horizontal="center" vertical="center"/>
    </xf>
    <xf numFmtId="37" fontId="96" fillId="0" borderId="70" applyAlignment="1" pivotButton="0" quotePrefix="0" xfId="9">
      <alignment horizontal="left" vertical="center"/>
    </xf>
    <xf numFmtId="167" fontId="96" fillId="13" borderId="70" applyAlignment="1" pivotButton="0" quotePrefix="0" xfId="9">
      <alignment horizontal="left" vertical="center"/>
    </xf>
    <xf numFmtId="167" fontId="96" fillId="0" borderId="70" applyAlignment="1" pivotButton="0" quotePrefix="0" xfId="9">
      <alignment horizontal="left" vertical="center"/>
    </xf>
    <xf numFmtId="172" fontId="96" fillId="0" borderId="70" applyAlignment="1" pivotButton="0" quotePrefix="0" xfId="9">
      <alignment horizontal="right" vertical="center"/>
    </xf>
    <xf numFmtId="166" fontId="96" fillId="0" borderId="70" applyAlignment="1" pivotButton="0" quotePrefix="0" xfId="9">
      <alignment horizontal="left" vertical="center"/>
    </xf>
    <xf numFmtId="0" fontId="96" fillId="48" borderId="70" applyAlignment="1" pivotButton="0" quotePrefix="0" xfId="9">
      <alignment horizontal="left" vertical="center"/>
    </xf>
    <xf numFmtId="0" fontId="96" fillId="48" borderId="70" applyAlignment="1" pivotButton="0" quotePrefix="0" xfId="9">
      <alignment horizontal="center" vertical="center"/>
    </xf>
    <xf numFmtId="37" fontId="96" fillId="48" borderId="70" applyAlignment="1" pivotButton="0" quotePrefix="0" xfId="9">
      <alignment horizontal="left" vertical="center"/>
    </xf>
    <xf numFmtId="172" fontId="96" fillId="48" borderId="70" applyAlignment="1" pivotButton="0" quotePrefix="0" xfId="9">
      <alignment horizontal="right" vertical="center"/>
    </xf>
    <xf numFmtId="166" fontId="96" fillId="48" borderId="70" applyAlignment="1" pivotButton="0" quotePrefix="0" xfId="9">
      <alignment horizontal="left" vertical="center"/>
    </xf>
    <xf numFmtId="167" fontId="96" fillId="48" borderId="70" applyAlignment="1" pivotButton="0" quotePrefix="0" xfId="9">
      <alignment horizontal="left" vertical="center"/>
    </xf>
    <xf numFmtId="0" fontId="140" fillId="46" borderId="0" applyAlignment="1" pivotButton="0" quotePrefix="1" xfId="9">
      <alignment horizontal="left" vertical="center"/>
    </xf>
    <xf numFmtId="176" fontId="96" fillId="13" borderId="70" applyAlignment="1" pivotButton="0" quotePrefix="0" xfId="9">
      <alignment horizontal="right"/>
    </xf>
    <xf numFmtId="0" fontId="96" fillId="13" borderId="70" pivotButton="0" quotePrefix="0" xfId="0"/>
    <xf numFmtId="0" fontId="143" fillId="0" borderId="0" pivotButton="0" quotePrefix="0" xfId="9"/>
    <xf numFmtId="0" fontId="143" fillId="0" borderId="0" pivotButton="0" quotePrefix="0" xfId="0"/>
    <xf numFmtId="0" fontId="0" fillId="0" borderId="69" pivotButton="0" quotePrefix="0" xfId="0"/>
    <xf numFmtId="0" fontId="0" fillId="0" borderId="80" applyProtection="1" pivotButton="0" quotePrefix="0" xfId="0">
      <protection locked="0" hidden="0"/>
    </xf>
    <xf numFmtId="0" fontId="0" fillId="0" borderId="82" applyProtection="1" pivotButton="0" quotePrefix="0" xfId="0">
      <protection locked="0" hidden="0"/>
    </xf>
    <xf numFmtId="0" fontId="0" fillId="0" borderId="81" applyProtection="1" pivotButton="0" quotePrefix="0" xfId="0">
      <protection locked="0" hidden="0"/>
    </xf>
    <xf numFmtId="0" fontId="0" fillId="0" borderId="83" applyProtection="1" pivotButton="0" quotePrefix="0" xfId="0">
      <protection locked="0" hidden="0"/>
    </xf>
    <xf numFmtId="0" fontId="0" fillId="0" borderId="84" applyProtection="1" pivotButton="0" quotePrefix="0" xfId="0">
      <protection locked="0" hidden="0"/>
    </xf>
    <xf numFmtId="0" fontId="0" fillId="0" borderId="85" applyProtection="1" pivotButton="0" quotePrefix="0" xfId="0">
      <protection locked="0" hidden="0"/>
    </xf>
    <xf numFmtId="0" fontId="0" fillId="0" borderId="86" applyProtection="1" pivotButton="0" quotePrefix="0" xfId="0">
      <protection locked="0" hidden="0"/>
    </xf>
    <xf numFmtId="0" fontId="0" fillId="0" borderId="88" pivotButton="0" quotePrefix="0" xfId="0"/>
    <xf numFmtId="0" fontId="0" fillId="0" borderId="89" pivotButton="0" quotePrefix="0" xfId="0"/>
    <xf numFmtId="0" fontId="136" fillId="45" borderId="0" pivotButton="0" quotePrefix="0" xfId="0"/>
    <xf numFmtId="0" fontId="138" fillId="0" borderId="0" pivotButton="0" quotePrefix="0" xfId="0"/>
    <xf numFmtId="0" fontId="0" fillId="0" borderId="70" pivotButton="0" quotePrefix="0" xfId="0"/>
    <xf numFmtId="0" fontId="96" fillId="0" borderId="70" pivotButton="0" quotePrefix="0" xfId="0"/>
    <xf numFmtId="0" fontId="96" fillId="13" borderId="71" applyAlignment="1" pivotButton="0" quotePrefix="0" xfId="0">
      <alignment horizontal="left" vertical="top" wrapText="1"/>
    </xf>
    <xf numFmtId="0" fontId="0" fillId="0" borderId="80" pivotButton="0" quotePrefix="0" xfId="0"/>
    <xf numFmtId="0" fontId="0" fillId="0" borderId="82" pivotButton="0" quotePrefix="0" xfId="0"/>
    <xf numFmtId="0" fontId="0" fillId="0" borderId="81" pivotButton="0" quotePrefix="0" xfId="0"/>
    <xf numFmtId="0" fontId="0" fillId="0" borderId="83" pivotButton="0" quotePrefix="0" xfId="0"/>
    <xf numFmtId="0" fontId="0" fillId="0" borderId="84" pivotButton="0" quotePrefix="0" xfId="0"/>
    <xf numFmtId="0" fontId="0" fillId="0" borderId="85" pivotButton="0" quotePrefix="0" xfId="0"/>
    <xf numFmtId="0" fontId="0" fillId="0" borderId="86" pivotButton="0" quotePrefix="0" xfId="0"/>
    <xf numFmtId="0" fontId="140" fillId="46" borderId="0" pivotButton="0" quotePrefix="0" xfId="0"/>
    <xf numFmtId="0" fontId="0" fillId="0" borderId="92" pivotButton="0" quotePrefix="0" xfId="0"/>
    <xf numFmtId="0" fontId="0" fillId="0" borderId="93" pivotButton="0" quotePrefix="0" xfId="0"/>
    <xf numFmtId="0" fontId="0" fillId="0" borderId="92" applyProtection="1" pivotButton="0" quotePrefix="0" xfId="0">
      <protection locked="0" hidden="0"/>
    </xf>
    <xf numFmtId="0" fontId="0" fillId="0" borderId="93" applyProtection="1" pivotButton="0" quotePrefix="0" xfId="0">
      <protection locked="0" hidden="0"/>
    </xf>
    <xf numFmtId="3" fontId="96" fillId="13" borderId="70" applyAlignment="1" applyProtection="1" pivotButton="0" quotePrefix="0" xfId="6">
      <alignment horizontal="left" vertical="center"/>
      <protection locked="0" hidden="0"/>
    </xf>
    <xf numFmtId="169" fontId="96" fillId="13" borderId="70" applyAlignment="1" pivotButton="0" quotePrefix="0" xfId="6">
      <alignment horizontal="left" vertical="center"/>
    </xf>
    <xf numFmtId="0" fontId="134" fillId="0" borderId="94" pivotButton="0" quotePrefix="0" xfId="0"/>
    <xf numFmtId="3" fontId="109" fillId="39" borderId="62" pivotButton="0" quotePrefix="0" xfId="0"/>
    <xf numFmtId="0" fontId="144" fillId="0" borderId="0" pivotButton="0" quotePrefix="0" xfId="0"/>
    <xf numFmtId="0" fontId="145" fillId="0" borderId="0" pivotButton="0" quotePrefix="0" xfId="0"/>
    <xf numFmtId="0" fontId="144" fillId="0" borderId="0" applyAlignment="1" pivotButton="0" quotePrefix="0" xfId="0">
      <alignment vertical="top" wrapText="1"/>
    </xf>
    <xf numFmtId="0" fontId="132" fillId="0" borderId="61" applyAlignment="1" pivotButton="0" quotePrefix="0" xfId="0">
      <alignment horizontal="left" vertical="center" indent="1"/>
    </xf>
    <xf numFmtId="0" fontId="87" fillId="0" borderId="60" pivotButton="0" quotePrefix="0" xfId="0"/>
    <xf numFmtId="3" fontId="86" fillId="0" borderId="60" pivotButton="0" quotePrefix="0" xfId="0"/>
    <xf numFmtId="166" fontId="86" fillId="0" borderId="60" pivotButton="0" quotePrefix="0" xfId="0"/>
    <xf numFmtId="0" fontId="86" fillId="0" borderId="60" pivotButton="0" quotePrefix="0" xfId="0"/>
    <xf numFmtId="182" fontId="82" fillId="0" borderId="60" applyAlignment="1" pivotButton="0" quotePrefix="0" xfId="0">
      <alignment vertical="center"/>
    </xf>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FFF3F6F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externalLink" Target="/xl/externalLinks/externalLink1.xml" Id="rId21" /><Relationship Type="http://schemas.openxmlformats.org/officeDocument/2006/relationships/externalLink" Target="/xl/externalLinks/externalLink2.xml" Id="rId22" /><Relationship Type="http://schemas.openxmlformats.org/officeDocument/2006/relationships/externalLink" Target="/xl/externalLinks/externalLink3.xml" Id="rId23" /><Relationship Type="http://schemas.openxmlformats.org/officeDocument/2006/relationships/externalLink" Target="/xl/externalLinks/externalLink4.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 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 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omments/comment7.xml><?xml version="1.0" encoding="utf-8"?>
<comments xmlns="http://schemas.openxmlformats.org/spreadsheetml/2006/main">
  <authors>
    <author>Workbook</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commentsDrawing7.vml" Id="anysvml" /></Relationships>
</file>

<file path=xl/worksheets/_rels/sheet11.xml.rels><Relationships xmlns="http://schemas.openxmlformats.org/package/2006/relationships"><Relationship Type="http://schemas.openxmlformats.org/officeDocument/2006/relationships/vmlDrawing" Target="/xl/drawings/vmlDrawing7.vml" Id="anysvml" /></Relationships>
</file>

<file path=xl/worksheets/_rels/sheet12.xml.rels><Relationships xmlns="http://schemas.openxmlformats.org/package/2006/relationships"><Relationship Type="http://schemas.openxmlformats.org/officeDocument/2006/relationships/vmlDrawing" Target="/xl/drawings/vmlDrawing8.vml" Id="anysvml" /></Relationships>
</file>

<file path=xl/worksheets/_rels/sheet16.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17.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sheet1.xml><?xml version="1.0" encoding="utf-8"?>
<worksheet xmlns="http://schemas.openxmlformats.org/spreadsheetml/2006/main">
  <sheetPr>
    <tabColor rgb="0017324D"/>
    <outlinePr summaryBelow="1" summaryRight="1"/>
    <pageSetUpPr/>
  </sheetPr>
  <dimension ref="B1:J44"/>
  <sheetViews>
    <sheetView showGridLines="0" workbookViewId="0">
      <selection activeCell="A1" sqref="A1"/>
    </sheetView>
  </sheetViews>
  <sheetFormatPr baseColWidth="8" defaultRowHeight="15"/>
  <cols>
    <col width="2" customWidth="1" min="1" max="1"/>
    <col width="32" customWidth="1" min="2" max="2"/>
    <col width="19" customWidth="1" min="3" max="3"/>
    <col width="24" customWidth="1" min="4" max="4"/>
    <col width="6" customWidth="1" min="5" max="5"/>
    <col width="12" customWidth="1" min="6" max="6"/>
    <col width="10" customWidth="1" min="7" max="7"/>
    <col hidden="1" width="13" customWidth="1" min="8" max="8"/>
    <col width="10" customWidth="1" min="9" max="9"/>
    <col width="13" customWidth="1" min="10" max="10"/>
  </cols>
  <sheetData>
    <row r="1" ht="22" customHeight="1">
      <c r="B1" s="964" t="inlineStr">
        <is>
          <t>SUBJECT PROPERTY — MASTER INPUT</t>
        </is>
      </c>
      <c r="C1" s="964" t="n"/>
      <c r="D1" s="964" t="n"/>
      <c r="E1" s="964" t="n"/>
      <c r="F1" s="964" t="n"/>
    </row>
    <row r="2" ht="28" customHeight="1">
      <c r="B2" s="873" t="inlineStr">
        <is>
          <t>Enter the subject property below. These fields feed the WO tab, the Cost Approach occupancy/quality lookup, and the comp-matching filters on Sales and Expense Database automatically. Properties with more than one building on the lot: set Number of Buildings and fill the Building Detail table at the bottom of this sheet.</t>
        </is>
      </c>
    </row>
    <row r="4">
      <c r="B4" s="874" t="inlineStr">
        <is>
          <t>Property Address</t>
        </is>
      </c>
      <c r="C4" s="965" t="n"/>
      <c r="D4" s="874" t="inlineStr">
        <is>
          <t>City</t>
        </is>
      </c>
      <c r="E4" s="966" t="inlineStr"/>
    </row>
    <row r="5">
      <c r="B5" s="874" t="inlineStr">
        <is>
          <t>OCC Code</t>
        </is>
      </c>
      <c r="C5" s="965" t="n"/>
      <c r="D5" s="874" t="inlineStr">
        <is>
          <t>Code (parsed):</t>
        </is>
      </c>
      <c r="E5" s="967">
        <f>IFERROR(VALUE(LEFT($C$5,FIND(" - ",$C$5)-1)),"")</f>
        <v/>
      </c>
      <c r="F5" s="876" t="n"/>
    </row>
    <row r="6">
      <c r="B6" s="874" t="inlineStr">
        <is>
          <t>Building 1 (Primary) Size (SF)</t>
        </is>
      </c>
      <c r="C6" s="968" t="n"/>
      <c r="D6" s="874" t="inlineStr">
        <is>
          <t>Total All Buildings (auto):</t>
        </is>
      </c>
      <c r="E6" s="1518">
        <f>IF(AND($C$6="",COUNT($F$41:$F$43)=0),"",N($C$6)+IF(N($C$12)&gt;1,SUM($F$41:$F$43),0))</f>
        <v/>
      </c>
      <c r="F6" s="876" t="n"/>
    </row>
    <row r="7">
      <c r="B7" s="874" t="inlineStr">
        <is>
          <t>Site / Land Size (SF)</t>
        </is>
      </c>
      <c r="C7" s="968" t="n"/>
    </row>
    <row r="8">
      <c r="B8" s="874" t="inlineStr">
        <is>
          <t>Zoning</t>
        </is>
      </c>
      <c r="C8" s="965" t="n"/>
    </row>
    <row r="9">
      <c r="B9" s="874" t="inlineStr">
        <is>
          <t>Condition</t>
        </is>
      </c>
      <c r="C9" s="965" t="n"/>
    </row>
    <row r="10">
      <c r="B10" s="874" t="inlineStr">
        <is>
          <t>Quality</t>
        </is>
      </c>
      <c r="C10" s="965" t="n"/>
    </row>
    <row r="11">
      <c r="B11" s="874" t="inlineStr">
        <is>
          <t>Year Built (YOC)</t>
        </is>
      </c>
      <c r="C11" s="969" t="n"/>
      <c r="D11" s="874" t="inlineStr">
        <is>
          <t>Actual Age (yrs, auto):</t>
        </is>
      </c>
      <c r="E11" s="970">
        <f>IF($C$11="","",Year-$C$11)</f>
        <v/>
      </c>
    </row>
    <row r="12">
      <c r="B12" s="874" t="inlineStr">
        <is>
          <t>Number of Buildings on Site</t>
        </is>
      </c>
      <c r="C12" s="969" t="n">
        <v>1</v>
      </c>
      <c r="D12" s="1519" t="inlineStr">
        <is>
          <t>Default 1. For 2-4 buildings, fill the Building Detail table below.</t>
        </is>
      </c>
    </row>
    <row r="13">
      <c r="B13" s="874" t="inlineStr">
        <is>
          <t>Size Match Tolerance (+/-)</t>
        </is>
      </c>
      <c r="C13" s="971" t="n">
        <v>0.25</v>
      </c>
    </row>
    <row r="14">
      <c r="B14" s="1520">
        <f>IF(N($C$12)&lt;=1,IF(COUNT($F$41:$F$43)&gt;0,"⚠ Building SF is entered in the Building Detail table below but Number of Buildings is 1 -- Buildings 2-4 are being ignored.",""),IF(COUNT($F$41:$F$43)&lt;N($C$12)-1,"⚠ Number of Buildings is "&amp;$C$12&amp;" but only "&amp;(1+COUNT($F$41:$F$43))&amp;" building(s) have SF entered in the Building Detail table below.",""))</f>
        <v/>
      </c>
    </row>
    <row r="16" ht="20" customHeight="1">
      <c r="B16" s="964" t="inlineStr">
        <is>
          <t>AUTOMATED COMP MATCHING</t>
        </is>
      </c>
      <c r="C16" s="964" t="n"/>
      <c r="D16" s="964" t="n"/>
      <c r="E16" s="964" t="n"/>
      <c r="F16" s="964" t="n"/>
    </row>
    <row r="17">
      <c r="B17" s="874" t="inlineStr">
        <is>
          <t>Matching Sales Comps found:</t>
        </is>
      </c>
      <c r="C17" s="970">
        <f>COUNT(Sales!AI2:AI941)</f>
        <v/>
      </c>
    </row>
    <row r="18" ht="26" customHeight="1">
      <c r="B18" s="882" t="inlineStr">
        <is>
          <t>→ The closest matches now auto-populate WO, BAA Market, BOCC, and Appeal directly (Best Match #1 = closest by size) -- nothing to filter or pick by hand. This count is just for reference.</t>
        </is>
      </c>
    </row>
    <row r="20">
      <c r="B20" s="874" t="inlineStr">
        <is>
          <t>Matching Expense Comps found:</t>
        </is>
      </c>
      <c r="C20" s="970">
        <f>COUNT('Expense Database'!AN4:AN197)</f>
        <v/>
      </c>
    </row>
    <row r="21" ht="26" customHeight="1">
      <c r="B21" s="882" t="inlineStr">
        <is>
          <t>→ The 5 closest matches auto-populate the Top Expense Comps table below -- nothing to filter by hand.</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row r="29">
      <c r="B29" s="972" t="inlineStr">
        <is>
          <t>Top Expense Comps (auto, best match first)</t>
        </is>
      </c>
      <c r="C29" s="973" t="n"/>
      <c r="D29" s="973" t="n"/>
      <c r="E29" s="973" t="n"/>
      <c r="F29" s="973" t="n"/>
    </row>
    <row r="30">
      <c r="B30" s="974" t="inlineStr">
        <is>
          <t>Address</t>
        </is>
      </c>
      <c r="C30" s="974" t="inlineStr">
        <is>
          <t>City</t>
        </is>
      </c>
      <c r="D30" s="974" t="inlineStr">
        <is>
          <t>Bldg SF</t>
        </is>
      </c>
      <c r="E30" s="974" t="inlineStr">
        <is>
          <t>Year</t>
        </is>
      </c>
      <c r="F30" s="974"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row r="37">
      <c r="B37" s="972" t="inlineStr">
        <is>
          <t>BUILDING DETAIL — MULTI-BUILDING PROPERTIES (up to 4 buildings on one lot)</t>
        </is>
      </c>
      <c r="C37" s="972" t="n"/>
      <c r="D37" s="972" t="n"/>
      <c r="E37" s="972" t="n"/>
      <c r="F37" s="972" t="n"/>
      <c r="G37" s="972" t="n"/>
      <c r="I37" s="972" t="n"/>
      <c r="J37" s="972" t="n"/>
    </row>
    <row r="38" ht="33" customHeight="1">
      <c r="B38" s="1521" t="inlineStr">
        <is>
          <t>One row per building on the parcel. Building 1 mirrors the property-level inputs above automatically. For Buildings 2-4, pick an OCC code and enter SF / Year Built / Quality / Condition — each building gets its own section on the Cost Approach tab. Comp matching (Sales &amp; Expense Database) uses the TOTAL SF of all buildings with the primary OCC code.</t>
        </is>
      </c>
    </row>
    <row r="39">
      <c r="B39" s="974" t="inlineStr">
        <is>
          <t>#</t>
        </is>
      </c>
      <c r="C39" s="974" t="inlineStr">
        <is>
          <t>Use / Name (optional)</t>
        </is>
      </c>
      <c r="D39" s="974" t="inlineStr">
        <is>
          <t>OCC Code</t>
        </is>
      </c>
      <c r="E39" s="974" t="inlineStr">
        <is>
          <t>Code</t>
        </is>
      </c>
      <c r="F39" s="974" t="inlineStr">
        <is>
          <t>Building SF</t>
        </is>
      </c>
      <c r="G39" s="974" t="inlineStr">
        <is>
          <t>Year Built</t>
        </is>
      </c>
      <c r="I39" s="974" t="inlineStr">
        <is>
          <t>Quality</t>
        </is>
      </c>
      <c r="J39" s="974" t="inlineStr">
        <is>
          <t>Condition</t>
        </is>
      </c>
    </row>
    <row r="40">
      <c r="B40" s="967" t="n">
        <v>1</v>
      </c>
      <c r="C40" s="967" t="inlineStr">
        <is>
          <t>(= inputs above)</t>
        </is>
      </c>
      <c r="D40" s="967">
        <f>IF($C$5="","",$C$5)</f>
        <v/>
      </c>
      <c r="E40" s="967">
        <f>$E$5</f>
        <v/>
      </c>
      <c r="F40" s="1518">
        <f>IF($C$6="","",$C$6)</f>
        <v/>
      </c>
      <c r="G40" s="970">
        <f>IF($C$11="","",$C$11)</f>
        <v/>
      </c>
      <c r="I40" s="967">
        <f>IF($C$10="","",$C$10)</f>
        <v/>
      </c>
      <c r="J40" s="967">
        <f>IF($C$9="","",$C$9)</f>
        <v/>
      </c>
    </row>
    <row r="41">
      <c r="B41" s="967" t="n">
        <v>2</v>
      </c>
      <c r="C41" s="965" t="n"/>
      <c r="D41" s="965" t="n"/>
      <c r="E41" s="967">
        <f>IFERROR(VALUE(LEFT($D41,FIND(" - ",$D41)-1)),"")</f>
        <v/>
      </c>
      <c r="F41" s="968" t="n"/>
      <c r="G41" s="969" t="n"/>
      <c r="I41" s="965" t="n"/>
      <c r="J41" s="965" t="n"/>
    </row>
    <row r="42">
      <c r="B42" s="967" t="n">
        <v>3</v>
      </c>
      <c r="C42" s="965" t="n"/>
      <c r="D42" s="965" t="n"/>
      <c r="E42" s="967">
        <f>IFERROR(VALUE(LEFT($D42,FIND(" - ",$D42)-1)),"")</f>
        <v/>
      </c>
      <c r="F42" s="968" t="n"/>
      <c r="G42" s="969" t="n"/>
      <c r="I42" s="965" t="n"/>
      <c r="J42" s="965" t="n"/>
    </row>
    <row r="43">
      <c r="B43" s="967" t="n">
        <v>4</v>
      </c>
      <c r="C43" s="965" t="n"/>
      <c r="D43" s="965" t="n"/>
      <c r="E43" s="967">
        <f>IFERROR(VALUE(LEFT($D43,FIND(" - ",$D43)-1)),"")</f>
        <v/>
      </c>
      <c r="F43" s="968" t="n"/>
      <c r="G43" s="969" t="n"/>
      <c r="I43" s="965" t="n"/>
      <c r="J43" s="965" t="n"/>
    </row>
    <row r="44">
      <c r="B44" s="874" t="inlineStr">
        <is>
          <t>Total (all buildings)</t>
        </is>
      </c>
      <c r="F44" s="1518">
        <f>IF($E$6="","",$E$6)</f>
        <v/>
      </c>
    </row>
  </sheetData>
  <mergeCells count="11">
    <mergeCell ref="B21:F21"/>
    <mergeCell ref="E4:F4"/>
    <mergeCell ref="B38:J38"/>
    <mergeCell ref="E6:F6"/>
    <mergeCell ref="B24:F24"/>
    <mergeCell ref="B2:F2"/>
    <mergeCell ref="C5"/>
    <mergeCell ref="E5:F5"/>
    <mergeCell ref="B14:F14"/>
    <mergeCell ref="B18:F18"/>
    <mergeCell ref="B27:F27"/>
  </mergeCells>
  <dataValidations count="9">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E4" showDropDown="0" showInputMessage="0" showErrorMessage="0" allowBlank="1" type="list">
      <formula1>"ARVADA,AURORA,BENNETT,BRIGHTON,COMMERCE CITY,FEDERAL HEIGHTS,NORTHGLENN,STRASBURG,THORNTON,WESTMINSTER,Other / Not Listed"</formula1>
    </dataValidation>
    <dataValidation sqref="C8" showDropDown="0" showInputMessage="0" showErrorMessage="0" allowBlank="1" type="list">
      <formula1>=IF(OR($E$4="",$E$4="Other / Not Listed"),ZONING_TABLE,INDIRECT("ZONES_"&amp;SUBSTITUTE(SUBSTITUTE(UPPER($E$4)," ","_"),"-","_")))</formula1>
    </dataValidation>
    <dataValidation sqref="C12" showDropDown="0" showInputMessage="0" showErrorMessage="1" allowBlank="1" errorTitle="Number of Buildings" error="Enter a whole number from 1 to 4. (The workbook supports up to 4 buildings per property.)" type="whole" operator="between">
      <formula1>1</formula1>
      <formula2>4</formula2>
    </dataValidation>
    <dataValidation sqref="D41:D43" showDropDown="0" showInputMessage="0" showErrorMessage="0" allowBlank="1" type="list">
      <formula1>OCC_TABLE_LABEL</formula1>
    </dataValidation>
    <dataValidation sqref="I41:I43" showDropDown="0" showInputMessage="0" showErrorMessage="0" allowBlank="1" type="list">
      <formula1>"Low Cost,Average,Good,Excellent,Cheap"</formula1>
    </dataValidation>
    <dataValidation sqref="J41:J43" showDropDown="0" showInputMessage="0" showErrorMessage="0" allowBlank="1" type="list">
      <formula1>"None,Poor,Fair,Typical,Good,Rehabilitated"</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0017324D"/>
    <outlinePr summaryBelow="1" summaryRight="1"/>
    <pageSetUpPr/>
  </sheetPr>
  <dimension ref="B1:K57"/>
  <sheetViews>
    <sheetView showGridLines="0" workbookViewId="0">
      <selection activeCell="A1" sqref="A1"/>
    </sheetView>
  </sheetViews>
  <sheetFormatPr baseColWidth="8" defaultRowHeight="15"/>
  <cols>
    <col width="32" customWidth="1" min="2" max="2"/>
    <col width="9" customWidth="1" min="3" max="3"/>
    <col width="12" customWidth="1" min="4" max="4"/>
    <col width="9" customWidth="1" min="5" max="5"/>
    <col width="10" customWidth="1" min="6" max="6"/>
    <col width="12" customWidth="1" min="7" max="7"/>
    <col width="12" customWidth="1" min="8" max="8"/>
    <col hidden="1" width="14" customWidth="1" min="9" max="9"/>
    <col hidden="1" width="13" customWidth="1" min="11" max="11"/>
  </cols>
  <sheetData>
    <row r="1">
      <c r="B1" s="964" t="inlineStr">
        <is>
          <t>COMP PICKER -- browse all ranked matches, then type the rank # into WO / BAA Market / BOCC / Appeal</t>
        </is>
      </c>
      <c r="C1" s="973" t="n"/>
      <c r="D1" s="973" t="n"/>
      <c r="E1" s="973" t="n"/>
      <c r="F1" s="973" t="n"/>
      <c r="G1" s="973" t="n"/>
      <c r="H1" s="973" t="n"/>
      <c r="I1" s="973" t="n"/>
    </row>
    <row r="2" ht="40" customHeight="1">
      <c r="B2" s="895"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c r="B4" s="964" t="inlineStr">
        <is>
          <t>Top Sales Comps (auto-ranked by size closeness)</t>
        </is>
      </c>
      <c r="C4" s="973" t="n"/>
      <c r="D4" s="973" t="n"/>
      <c r="E4" s="973" t="n"/>
      <c r="F4" s="973" t="n"/>
      <c r="G4" s="973" t="n"/>
      <c r="H4" s="973" t="n"/>
      <c r="I4" s="973" t="n"/>
    </row>
    <row r="5">
      <c r="B5" s="974" t="inlineStr">
        <is>
          <t>Rank</t>
        </is>
      </c>
      <c r="C5" s="974" t="inlineStr">
        <is>
          <t>Address</t>
        </is>
      </c>
      <c r="D5" s="974" t="inlineStr">
        <is>
          <t>Sale Price</t>
        </is>
      </c>
      <c r="E5" s="974" t="inlineStr">
        <is>
          <t>$ / SF</t>
        </is>
      </c>
      <c r="F5" s="974" t="inlineStr">
        <is>
          <t>NRA (SF)</t>
        </is>
      </c>
      <c r="G5" s="974" t="inlineStr">
        <is>
          <t>YOC</t>
        </is>
      </c>
      <c r="H5" s="974" t="inlineStr">
        <is>
          <t>Sale Date</t>
        </is>
      </c>
      <c r="I5" s="974" t="inlineStr">
        <is>
          <t>Parcel #</t>
        </is>
      </c>
    </row>
    <row r="6">
      <c r="B6">
        <f>IF($K6="","",1)</f>
        <v/>
      </c>
      <c r="C6">
        <f>IF($K6="","",IFERROR(INDEX(Sales!D:D,$K6),""))</f>
        <v/>
      </c>
      <c r="D6" s="927">
        <f>IF($K6="","",IFERROR(INDEX(Sales!AA:AA,$K6),""))</f>
        <v/>
      </c>
      <c r="E6" s="928">
        <f>IF(OR($D6="",$F6="",$F6=0),"",$D6/$F6)</f>
        <v/>
      </c>
      <c r="F6" s="929">
        <f>IF($K6="","",IFERROR(INDEX(Sales!L:L,$K6),""))</f>
        <v/>
      </c>
      <c r="G6">
        <f>IF($K6="","",IFERROR(INDEX(Sales!M:M,$K6),""))</f>
        <v/>
      </c>
      <c r="H6" s="930">
        <f>IF($K6="","",IFERROR(INDEX(Sales!I:I,$K6),""))</f>
        <v/>
      </c>
      <c r="I6">
        <f>IF($K6="","",IFERROR(INDEX(Sales!AC:AC,$K6),""))</f>
        <v/>
      </c>
      <c r="K6">
        <f>IFERROR(MATCH(_xlfn.AGGREGATE(15,6,Sales!$AJ$2:$AJ$941,1),Sales!$AJ$2:$AJ$941,0)+1,"")</f>
        <v/>
      </c>
    </row>
    <row r="7">
      <c r="B7">
        <f>IF($K7="","",2)</f>
        <v/>
      </c>
      <c r="C7">
        <f>IF($K7="","",IFERROR(INDEX(Sales!D:D,$K7),""))</f>
        <v/>
      </c>
      <c r="D7" s="927">
        <f>IF($K7="","",IFERROR(INDEX(Sales!AA:AA,$K7),""))</f>
        <v/>
      </c>
      <c r="E7" s="928">
        <f>IF(OR($D7="",$F7="",$F7=0),"",$D7/$F7)</f>
        <v/>
      </c>
      <c r="F7" s="929">
        <f>IF($K7="","",IFERROR(INDEX(Sales!L:L,$K7),""))</f>
        <v/>
      </c>
      <c r="G7">
        <f>IF($K7="","",IFERROR(INDEX(Sales!M:M,$K7),""))</f>
        <v/>
      </c>
      <c r="H7" s="930">
        <f>IF($K7="","",IFERROR(INDEX(Sales!I:I,$K7),""))</f>
        <v/>
      </c>
      <c r="I7">
        <f>IF($K7="","",IFERROR(INDEX(Sales!AC:AC,$K7),""))</f>
        <v/>
      </c>
      <c r="K7">
        <f>IFERROR(MATCH(_xlfn.AGGREGATE(15,6,Sales!$AJ$2:$AJ$941,2),Sales!$AJ$2:$AJ$941,0)+1,"")</f>
        <v/>
      </c>
    </row>
    <row r="8">
      <c r="B8">
        <f>IF($K8="","",3)</f>
        <v/>
      </c>
      <c r="C8">
        <f>IF($K8="","",IFERROR(INDEX(Sales!D:D,$K8),""))</f>
        <v/>
      </c>
      <c r="D8" s="927">
        <f>IF($K8="","",IFERROR(INDEX(Sales!AA:AA,$K8),""))</f>
        <v/>
      </c>
      <c r="E8" s="928">
        <f>IF(OR($D8="",$F8="",$F8=0),"",$D8/$F8)</f>
        <v/>
      </c>
      <c r="F8" s="929">
        <f>IF($K8="","",IFERROR(INDEX(Sales!L:L,$K8),""))</f>
        <v/>
      </c>
      <c r="G8">
        <f>IF($K8="","",IFERROR(INDEX(Sales!M:M,$K8),""))</f>
        <v/>
      </c>
      <c r="H8" s="930">
        <f>IF($K8="","",IFERROR(INDEX(Sales!I:I,$K8),""))</f>
        <v/>
      </c>
      <c r="I8">
        <f>IF($K8="","",IFERROR(INDEX(Sales!AC:AC,$K8),""))</f>
        <v/>
      </c>
      <c r="K8">
        <f>IFERROR(MATCH(_xlfn.AGGREGATE(15,6,Sales!$AJ$2:$AJ$941,3),Sales!$AJ$2:$AJ$941,0)+1,"")</f>
        <v/>
      </c>
    </row>
    <row r="9">
      <c r="B9">
        <f>IF($K9="","",4)</f>
        <v/>
      </c>
      <c r="C9">
        <f>IF($K9="","",IFERROR(INDEX(Sales!D:D,$K9),""))</f>
        <v/>
      </c>
      <c r="D9" s="927">
        <f>IF($K9="","",IFERROR(INDEX(Sales!AA:AA,$K9),""))</f>
        <v/>
      </c>
      <c r="E9" s="928">
        <f>IF(OR($D9="",$F9="",$F9=0),"",$D9/$F9)</f>
        <v/>
      </c>
      <c r="F9" s="929">
        <f>IF($K9="","",IFERROR(INDEX(Sales!L:L,$K9),""))</f>
        <v/>
      </c>
      <c r="G9">
        <f>IF($K9="","",IFERROR(INDEX(Sales!M:M,$K9),""))</f>
        <v/>
      </c>
      <c r="H9" s="930">
        <f>IF($K9="","",IFERROR(INDEX(Sales!I:I,$K9),""))</f>
        <v/>
      </c>
      <c r="I9">
        <f>IF($K9="","",IFERROR(INDEX(Sales!AC:AC,$K9),""))</f>
        <v/>
      </c>
      <c r="K9">
        <f>IFERROR(MATCH(_xlfn.AGGREGATE(15,6,Sales!$AJ$2:$AJ$941,4),Sales!$AJ$2:$AJ$941,0)+1,"")</f>
        <v/>
      </c>
    </row>
    <row r="10">
      <c r="B10">
        <f>IF($K10="","",5)</f>
        <v/>
      </c>
      <c r="C10">
        <f>IF($K10="","",IFERROR(INDEX(Sales!D:D,$K10),""))</f>
        <v/>
      </c>
      <c r="D10" s="927">
        <f>IF($K10="","",IFERROR(INDEX(Sales!AA:AA,$K10),""))</f>
        <v/>
      </c>
      <c r="E10" s="928">
        <f>IF(OR($D10="",$F10="",$F10=0),"",$D10/$F10)</f>
        <v/>
      </c>
      <c r="F10" s="929">
        <f>IF($K10="","",IFERROR(INDEX(Sales!L:L,$K10),""))</f>
        <v/>
      </c>
      <c r="G10">
        <f>IF($K10="","",IFERROR(INDEX(Sales!M:M,$K10),""))</f>
        <v/>
      </c>
      <c r="H10" s="930">
        <f>IF($K10="","",IFERROR(INDEX(Sales!I:I,$K10),""))</f>
        <v/>
      </c>
      <c r="I10">
        <f>IF($K10="","",IFERROR(INDEX(Sales!AC:AC,$K10),""))</f>
        <v/>
      </c>
      <c r="K10">
        <f>IFERROR(MATCH(_xlfn.AGGREGATE(15,6,Sales!$AJ$2:$AJ$941,5),Sales!$AJ$2:$AJ$941,0)+1,"")</f>
        <v/>
      </c>
    </row>
    <row r="11">
      <c r="B11">
        <f>IF($K11="","",6)</f>
        <v/>
      </c>
      <c r="C11">
        <f>IF($K11="","",IFERROR(INDEX(Sales!D:D,$K11),""))</f>
        <v/>
      </c>
      <c r="D11" s="927">
        <f>IF($K11="","",IFERROR(INDEX(Sales!AA:AA,$K11),""))</f>
        <v/>
      </c>
      <c r="E11" s="928">
        <f>IF(OR($D11="",$F11="",$F11=0),"",$D11/$F11)</f>
        <v/>
      </c>
      <c r="F11" s="929">
        <f>IF($K11="","",IFERROR(INDEX(Sales!L:L,$K11),""))</f>
        <v/>
      </c>
      <c r="G11">
        <f>IF($K11="","",IFERROR(INDEX(Sales!M:M,$K11),""))</f>
        <v/>
      </c>
      <c r="H11" s="930">
        <f>IF($K11="","",IFERROR(INDEX(Sales!I:I,$K11),""))</f>
        <v/>
      </c>
      <c r="I11">
        <f>IF($K11="","",IFERROR(INDEX(Sales!AC:AC,$K11),""))</f>
        <v/>
      </c>
      <c r="K11">
        <f>IFERROR(MATCH(_xlfn.AGGREGATE(15,6,Sales!$AJ$2:$AJ$941,6),Sales!$AJ$2:$AJ$941,0)+1,"")</f>
        <v/>
      </c>
    </row>
    <row r="12">
      <c r="B12">
        <f>IF($K12="","",7)</f>
        <v/>
      </c>
      <c r="C12">
        <f>IF($K12="","",IFERROR(INDEX(Sales!D:D,$K12),""))</f>
        <v/>
      </c>
      <c r="D12" s="927">
        <f>IF($K12="","",IFERROR(INDEX(Sales!AA:AA,$K12),""))</f>
        <v/>
      </c>
      <c r="E12" s="928">
        <f>IF(OR($D12="",$F12="",$F12=0),"",$D12/$F12)</f>
        <v/>
      </c>
      <c r="F12" s="929">
        <f>IF($K12="","",IFERROR(INDEX(Sales!L:L,$K12),""))</f>
        <v/>
      </c>
      <c r="G12">
        <f>IF($K12="","",IFERROR(INDEX(Sales!M:M,$K12),""))</f>
        <v/>
      </c>
      <c r="H12" s="930">
        <f>IF($K12="","",IFERROR(INDEX(Sales!I:I,$K12),""))</f>
        <v/>
      </c>
      <c r="I12">
        <f>IF($K12="","",IFERROR(INDEX(Sales!AC:AC,$K12),""))</f>
        <v/>
      </c>
      <c r="K12">
        <f>IFERROR(MATCH(_xlfn.AGGREGATE(15,6,Sales!$AJ$2:$AJ$941,7),Sales!$AJ$2:$AJ$941,0)+1,"")</f>
        <v/>
      </c>
    </row>
    <row r="13">
      <c r="B13">
        <f>IF($K13="","",8)</f>
        <v/>
      </c>
      <c r="C13">
        <f>IF($K13="","",IFERROR(INDEX(Sales!D:D,$K13),""))</f>
        <v/>
      </c>
      <c r="D13" s="927">
        <f>IF($K13="","",IFERROR(INDEX(Sales!AA:AA,$K13),""))</f>
        <v/>
      </c>
      <c r="E13" s="928">
        <f>IF(OR($D13="",$F13="",$F13=0),"",$D13/$F13)</f>
        <v/>
      </c>
      <c r="F13" s="929">
        <f>IF($K13="","",IFERROR(INDEX(Sales!L:L,$K13),""))</f>
        <v/>
      </c>
      <c r="G13">
        <f>IF($K13="","",IFERROR(INDEX(Sales!M:M,$K13),""))</f>
        <v/>
      </c>
      <c r="H13" s="930">
        <f>IF($K13="","",IFERROR(INDEX(Sales!I:I,$K13),""))</f>
        <v/>
      </c>
      <c r="I13">
        <f>IF($K13="","",IFERROR(INDEX(Sales!AC:AC,$K13),""))</f>
        <v/>
      </c>
      <c r="K13">
        <f>IFERROR(MATCH(_xlfn.AGGREGATE(15,6,Sales!$AJ$2:$AJ$941,8),Sales!$AJ$2:$AJ$941,0)+1,"")</f>
        <v/>
      </c>
    </row>
    <row r="14">
      <c r="B14">
        <f>IF($K14="","",9)</f>
        <v/>
      </c>
      <c r="C14">
        <f>IF($K14="","",IFERROR(INDEX(Sales!D:D,$K14),""))</f>
        <v/>
      </c>
      <c r="D14" s="927">
        <f>IF($K14="","",IFERROR(INDEX(Sales!AA:AA,$K14),""))</f>
        <v/>
      </c>
      <c r="E14" s="928">
        <f>IF(OR($D14="",$F14="",$F14=0),"",$D14/$F14)</f>
        <v/>
      </c>
      <c r="F14" s="929">
        <f>IF($K14="","",IFERROR(INDEX(Sales!L:L,$K14),""))</f>
        <v/>
      </c>
      <c r="G14">
        <f>IF($K14="","",IFERROR(INDEX(Sales!M:M,$K14),""))</f>
        <v/>
      </c>
      <c r="H14" s="930">
        <f>IF($K14="","",IFERROR(INDEX(Sales!I:I,$K14),""))</f>
        <v/>
      </c>
      <c r="I14">
        <f>IF($K14="","",IFERROR(INDEX(Sales!AC:AC,$K14),""))</f>
        <v/>
      </c>
      <c r="K14">
        <f>IFERROR(MATCH(_xlfn.AGGREGATE(15,6,Sales!$AJ$2:$AJ$941,9),Sales!$AJ$2:$AJ$941,0)+1,"")</f>
        <v/>
      </c>
    </row>
    <row r="15">
      <c r="B15">
        <f>IF($K15="","",10)</f>
        <v/>
      </c>
      <c r="C15">
        <f>IF($K15="","",IFERROR(INDEX(Sales!D:D,$K15),""))</f>
        <v/>
      </c>
      <c r="D15" s="927">
        <f>IF($K15="","",IFERROR(INDEX(Sales!AA:AA,$K15),""))</f>
        <v/>
      </c>
      <c r="E15" s="928">
        <f>IF(OR($D15="",$F15="",$F15=0),"",$D15/$F15)</f>
        <v/>
      </c>
      <c r="F15" s="929">
        <f>IF($K15="","",IFERROR(INDEX(Sales!L:L,$K15),""))</f>
        <v/>
      </c>
      <c r="G15">
        <f>IF($K15="","",IFERROR(INDEX(Sales!M:M,$K15),""))</f>
        <v/>
      </c>
      <c r="H15" s="930">
        <f>IF($K15="","",IFERROR(INDEX(Sales!I:I,$K15),""))</f>
        <v/>
      </c>
      <c r="I15">
        <f>IF($K15="","",IFERROR(INDEX(Sales!AC:AC,$K15),""))</f>
        <v/>
      </c>
      <c r="K15">
        <f>IFERROR(MATCH(_xlfn.AGGREGATE(15,6,Sales!$AJ$2:$AJ$941,10),Sales!$AJ$2:$AJ$941,0)+1,"")</f>
        <v/>
      </c>
    </row>
    <row r="16">
      <c r="B16">
        <f>IF($K16="","",11)</f>
        <v/>
      </c>
      <c r="C16">
        <f>IF($K16="","",IFERROR(INDEX(Sales!D:D,$K16),""))</f>
        <v/>
      </c>
      <c r="D16" s="927">
        <f>IF($K16="","",IFERROR(INDEX(Sales!AA:AA,$K16),""))</f>
        <v/>
      </c>
      <c r="E16" s="928">
        <f>IF(OR($D16="",$F16="",$F16=0),"",$D16/$F16)</f>
        <v/>
      </c>
      <c r="F16" s="929">
        <f>IF($K16="","",IFERROR(INDEX(Sales!L:L,$K16),""))</f>
        <v/>
      </c>
      <c r="G16">
        <f>IF($K16="","",IFERROR(INDEX(Sales!M:M,$K16),""))</f>
        <v/>
      </c>
      <c r="H16" s="930">
        <f>IF($K16="","",IFERROR(INDEX(Sales!I:I,$K16),""))</f>
        <v/>
      </c>
      <c r="I16">
        <f>IF($K16="","",IFERROR(INDEX(Sales!AC:AC,$K16),""))</f>
        <v/>
      </c>
      <c r="K16">
        <f>IFERROR(MATCH(_xlfn.AGGREGATE(15,6,Sales!$AJ$2:$AJ$941,11),Sales!$AJ$2:$AJ$941,0)+1,"")</f>
        <v/>
      </c>
    </row>
    <row r="17">
      <c r="B17">
        <f>IF($K17="","",12)</f>
        <v/>
      </c>
      <c r="C17">
        <f>IF($K17="","",IFERROR(INDEX(Sales!D:D,$K17),""))</f>
        <v/>
      </c>
      <c r="D17" s="927">
        <f>IF($K17="","",IFERROR(INDEX(Sales!AA:AA,$K17),""))</f>
        <v/>
      </c>
      <c r="E17" s="928">
        <f>IF(OR($D17="",$F17="",$F17=0),"",$D17/$F17)</f>
        <v/>
      </c>
      <c r="F17" s="929">
        <f>IF($K17="","",IFERROR(INDEX(Sales!L:L,$K17),""))</f>
        <v/>
      </c>
      <c r="G17">
        <f>IF($K17="","",IFERROR(INDEX(Sales!M:M,$K17),""))</f>
        <v/>
      </c>
      <c r="H17" s="930">
        <f>IF($K17="","",IFERROR(INDEX(Sales!I:I,$K17),""))</f>
        <v/>
      </c>
      <c r="I17">
        <f>IF($K17="","",IFERROR(INDEX(Sales!AC:AC,$K17),""))</f>
        <v/>
      </c>
      <c r="K17">
        <f>IFERROR(MATCH(_xlfn.AGGREGATE(15,6,Sales!$AJ$2:$AJ$941,12),Sales!$AJ$2:$AJ$941,0)+1,"")</f>
        <v/>
      </c>
    </row>
    <row r="18">
      <c r="B18">
        <f>IF($K18="","",13)</f>
        <v/>
      </c>
      <c r="C18">
        <f>IF($K18="","",IFERROR(INDEX(Sales!D:D,$K18),""))</f>
        <v/>
      </c>
      <c r="D18" s="927">
        <f>IF($K18="","",IFERROR(INDEX(Sales!AA:AA,$K18),""))</f>
        <v/>
      </c>
      <c r="E18" s="928">
        <f>IF(OR($D18="",$F18="",$F18=0),"",$D18/$F18)</f>
        <v/>
      </c>
      <c r="F18" s="929">
        <f>IF($K18="","",IFERROR(INDEX(Sales!L:L,$K18),""))</f>
        <v/>
      </c>
      <c r="G18">
        <f>IF($K18="","",IFERROR(INDEX(Sales!M:M,$K18),""))</f>
        <v/>
      </c>
      <c r="H18" s="930">
        <f>IF($K18="","",IFERROR(INDEX(Sales!I:I,$K18),""))</f>
        <v/>
      </c>
      <c r="I18">
        <f>IF($K18="","",IFERROR(INDEX(Sales!AC:AC,$K18),""))</f>
        <v/>
      </c>
      <c r="K18">
        <f>IFERROR(MATCH(_xlfn.AGGREGATE(15,6,Sales!$AJ$2:$AJ$941,13),Sales!$AJ$2:$AJ$941,0)+1,"")</f>
        <v/>
      </c>
    </row>
    <row r="19">
      <c r="B19">
        <f>IF($K19="","",14)</f>
        <v/>
      </c>
      <c r="C19">
        <f>IF($K19="","",IFERROR(INDEX(Sales!D:D,$K19),""))</f>
        <v/>
      </c>
      <c r="D19" s="927">
        <f>IF($K19="","",IFERROR(INDEX(Sales!AA:AA,$K19),""))</f>
        <v/>
      </c>
      <c r="E19" s="928">
        <f>IF(OR($D19="",$F19="",$F19=0),"",$D19/$F19)</f>
        <v/>
      </c>
      <c r="F19" s="929">
        <f>IF($K19="","",IFERROR(INDEX(Sales!L:L,$K19),""))</f>
        <v/>
      </c>
      <c r="G19">
        <f>IF($K19="","",IFERROR(INDEX(Sales!M:M,$K19),""))</f>
        <v/>
      </c>
      <c r="H19" s="930">
        <f>IF($K19="","",IFERROR(INDEX(Sales!I:I,$K19),""))</f>
        <v/>
      </c>
      <c r="I19">
        <f>IF($K19="","",IFERROR(INDEX(Sales!AC:AC,$K19),""))</f>
        <v/>
      </c>
      <c r="K19">
        <f>IFERROR(MATCH(_xlfn.AGGREGATE(15,6,Sales!$AJ$2:$AJ$941,14),Sales!$AJ$2:$AJ$941,0)+1,"")</f>
        <v/>
      </c>
    </row>
    <row r="20">
      <c r="B20">
        <f>IF($K20="","",15)</f>
        <v/>
      </c>
      <c r="C20">
        <f>IF($K20="","",IFERROR(INDEX(Sales!D:D,$K20),""))</f>
        <v/>
      </c>
      <c r="D20" s="927">
        <f>IF($K20="","",IFERROR(INDEX(Sales!AA:AA,$K20),""))</f>
        <v/>
      </c>
      <c r="E20" s="928">
        <f>IF(OR($D20="",$F20="",$F20=0),"",$D20/$F20)</f>
        <v/>
      </c>
      <c r="F20" s="929">
        <f>IF($K20="","",IFERROR(INDEX(Sales!L:L,$K20),""))</f>
        <v/>
      </c>
      <c r="G20">
        <f>IF($K20="","",IFERROR(INDEX(Sales!M:M,$K20),""))</f>
        <v/>
      </c>
      <c r="H20" s="930">
        <f>IF($K20="","",IFERROR(INDEX(Sales!I:I,$K20),""))</f>
        <v/>
      </c>
      <c r="I20">
        <f>IF($K20="","",IFERROR(INDEX(Sales!AC:AC,$K20),""))</f>
        <v/>
      </c>
      <c r="K20">
        <f>IFERROR(MATCH(_xlfn.AGGREGATE(15,6,Sales!$AJ$2:$AJ$941,15),Sales!$AJ$2:$AJ$941,0)+1,"")</f>
        <v/>
      </c>
    </row>
    <row r="22">
      <c r="B22" s="931" t="inlineStr">
        <is>
          <t>Stats (of the matches actually found above)</t>
        </is>
      </c>
    </row>
    <row r="23">
      <c r="B23" s="932" t="inlineStr">
        <is>
          <t>Count</t>
        </is>
      </c>
      <c r="D23" s="975">
        <f>IF(COUNT(D6:D20)=0,"",COUNT(D6:D20))</f>
        <v/>
      </c>
      <c r="E23" s="976">
        <f>IF(COUNT(E6:E20)=0,"",COUNT(E6:E20))</f>
        <v/>
      </c>
    </row>
    <row r="24">
      <c r="B24" s="932" t="inlineStr">
        <is>
          <t>Min</t>
        </is>
      </c>
      <c r="D24" s="975">
        <f>IF(COUNT(D6:D20)=0,"",MIN(D6:D20))</f>
        <v/>
      </c>
      <c r="E24" s="976">
        <f>IF(COUNT(E6:E20)=0,"",MIN(E6:E20))</f>
        <v/>
      </c>
    </row>
    <row r="25">
      <c r="B25" s="932" t="inlineStr">
        <is>
          <t>Max</t>
        </is>
      </c>
      <c r="D25" s="975">
        <f>IF(COUNT(D6:D20)=0,"",MAX(D6:D20))</f>
        <v/>
      </c>
      <c r="E25" s="976">
        <f>IF(COUNT(E6:E20)=0,"",MAX(E6:E20))</f>
        <v/>
      </c>
    </row>
    <row r="26">
      <c r="B26" s="932" t="inlineStr">
        <is>
          <t>Range (Max-Min)</t>
        </is>
      </c>
      <c r="D26" s="975">
        <f>IF(COUNT(D6:D20)=0,"",MAX(D6:D20)-MIN(D6:D20))</f>
        <v/>
      </c>
      <c r="E26" s="976">
        <f>IF(COUNT(E6:E20)=0,"",MAX(E6:E20)-MIN(E6:E20))</f>
        <v/>
      </c>
    </row>
    <row r="27">
      <c r="B27" s="932" t="inlineStr">
        <is>
          <t>Median</t>
        </is>
      </c>
      <c r="D27" s="975">
        <f>IF(COUNT(D6:D20)=0,"",MEDIAN(D6:D20))</f>
        <v/>
      </c>
      <c r="E27" s="976">
        <f>IF(COUNT(E6:E20)=0,"",MEDIAN(E6:E20))</f>
        <v/>
      </c>
    </row>
    <row r="28">
      <c r="B28" s="932" t="inlineStr">
        <is>
          <t>Average</t>
        </is>
      </c>
      <c r="D28" s="975">
        <f>IF(COUNT(D6:D20)=0,"",AVERAGE(D6:D20))</f>
        <v/>
      </c>
      <c r="E28" s="976">
        <f>IF(COUNT(E6:E20)=0,"",AVERAGE(E6:E20))</f>
        <v/>
      </c>
    </row>
    <row r="29">
      <c r="B29" s="932" t="inlineStr">
        <is>
          <t>Std Dev</t>
        </is>
      </c>
      <c r="D29" s="975">
        <f>IF(COUNT(D6:D20)&lt;2,"",STDEV(D6:D20))</f>
        <v/>
      </c>
      <c r="E29" s="976">
        <f>IF(COUNT(E6:E20)&lt;2,"",STDEV(E6:E20))</f>
        <v/>
      </c>
    </row>
    <row r="32">
      <c r="B32" s="977" t="inlineStr">
        <is>
          <t>Top Expense Comps (auto-ranked by size closeness)</t>
        </is>
      </c>
      <c r="C32" s="973" t="n"/>
      <c r="D32" s="973" t="n"/>
      <c r="E32" s="973" t="n"/>
      <c r="F32" s="973" t="n"/>
      <c r="G32" s="973" t="n"/>
    </row>
    <row r="33">
      <c r="B33" s="974" t="inlineStr">
        <is>
          <t>Rank</t>
        </is>
      </c>
      <c r="C33" s="974" t="inlineStr">
        <is>
          <t>Address</t>
        </is>
      </c>
      <c r="D33" s="974" t="inlineStr">
        <is>
          <t>City</t>
        </is>
      </c>
      <c r="E33" s="974" t="inlineStr">
        <is>
          <t>Bldg SF</t>
        </is>
      </c>
      <c r="F33" s="974" t="inlineStr">
        <is>
          <t>Year</t>
        </is>
      </c>
      <c r="G33" s="974" t="inlineStr">
        <is>
          <t>NOI ($/SF)</t>
        </is>
      </c>
    </row>
    <row r="34">
      <c r="B34">
        <f>IF($I34="","",1)</f>
        <v/>
      </c>
      <c r="C34">
        <f>IF($I34="","",IFERROR(INDEX('Expense Database'!D:D,$I34),""))</f>
        <v/>
      </c>
      <c r="D34">
        <f>IF($I34="","",IFERROR(INDEX('Expense Database'!E:E,$I34),""))</f>
        <v/>
      </c>
      <c r="E34" s="929">
        <f>IF($I34="","",IFERROR(INDEX('Expense Database'!J:J,$I34),""))</f>
        <v/>
      </c>
      <c r="F34">
        <f>IF($I34="","",IFERROR(INDEX('Expense Database'!K:K,$I34),""))</f>
        <v/>
      </c>
      <c r="G34" s="928">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929">
        <f>IF($I35="","",IFERROR(INDEX('Expense Database'!J:J,$I35),""))</f>
        <v/>
      </c>
      <c r="F35">
        <f>IF($I35="","",IFERROR(INDEX('Expense Database'!K:K,$I35),""))</f>
        <v/>
      </c>
      <c r="G35" s="928">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929">
        <f>IF($I36="","",IFERROR(INDEX('Expense Database'!J:J,$I36),""))</f>
        <v/>
      </c>
      <c r="F36">
        <f>IF($I36="","",IFERROR(INDEX('Expense Database'!K:K,$I36),""))</f>
        <v/>
      </c>
      <c r="G36" s="928">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929">
        <f>IF($I37="","",IFERROR(INDEX('Expense Database'!J:J,$I37),""))</f>
        <v/>
      </c>
      <c r="F37">
        <f>IF($I37="","",IFERROR(INDEX('Expense Database'!K:K,$I37),""))</f>
        <v/>
      </c>
      <c r="G37" s="928">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929">
        <f>IF($I38="","",IFERROR(INDEX('Expense Database'!J:J,$I38),""))</f>
        <v/>
      </c>
      <c r="F38">
        <f>IF($I38="","",IFERROR(INDEX('Expense Database'!K:K,$I38),""))</f>
        <v/>
      </c>
      <c r="G38" s="928">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929">
        <f>IF($I39="","",IFERROR(INDEX('Expense Database'!J:J,$I39),""))</f>
        <v/>
      </c>
      <c r="F39">
        <f>IF($I39="","",IFERROR(INDEX('Expense Database'!K:K,$I39),""))</f>
        <v/>
      </c>
      <c r="G39" s="928">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929">
        <f>IF($I40="","",IFERROR(INDEX('Expense Database'!J:J,$I40),""))</f>
        <v/>
      </c>
      <c r="F40">
        <f>IF($I40="","",IFERROR(INDEX('Expense Database'!K:K,$I40),""))</f>
        <v/>
      </c>
      <c r="G40" s="928">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929">
        <f>IF($I41="","",IFERROR(INDEX('Expense Database'!J:J,$I41),""))</f>
        <v/>
      </c>
      <c r="F41">
        <f>IF($I41="","",IFERROR(INDEX('Expense Database'!K:K,$I41),""))</f>
        <v/>
      </c>
      <c r="G41" s="928">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929">
        <f>IF($I42="","",IFERROR(INDEX('Expense Database'!J:J,$I42),""))</f>
        <v/>
      </c>
      <c r="F42">
        <f>IF($I42="","",IFERROR(INDEX('Expense Database'!K:K,$I42),""))</f>
        <v/>
      </c>
      <c r="G42" s="928">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929">
        <f>IF($I43="","",IFERROR(INDEX('Expense Database'!J:J,$I43),""))</f>
        <v/>
      </c>
      <c r="F43">
        <f>IF($I43="","",IFERROR(INDEX('Expense Database'!K:K,$I43),""))</f>
        <v/>
      </c>
      <c r="G43" s="928">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929">
        <f>IF($I44="","",IFERROR(INDEX('Expense Database'!J:J,$I44),""))</f>
        <v/>
      </c>
      <c r="F44">
        <f>IF($I44="","",IFERROR(INDEX('Expense Database'!K:K,$I44),""))</f>
        <v/>
      </c>
      <c r="G44" s="928">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929">
        <f>IF($I45="","",IFERROR(INDEX('Expense Database'!J:J,$I45),""))</f>
        <v/>
      </c>
      <c r="F45">
        <f>IF($I45="","",IFERROR(INDEX('Expense Database'!K:K,$I45),""))</f>
        <v/>
      </c>
      <c r="G45" s="928">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929">
        <f>IF($I46="","",IFERROR(INDEX('Expense Database'!J:J,$I46),""))</f>
        <v/>
      </c>
      <c r="F46">
        <f>IF($I46="","",IFERROR(INDEX('Expense Database'!K:K,$I46),""))</f>
        <v/>
      </c>
      <c r="G46" s="928">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929">
        <f>IF($I47="","",IFERROR(INDEX('Expense Database'!J:J,$I47),""))</f>
        <v/>
      </c>
      <c r="F47">
        <f>IF($I47="","",IFERROR(INDEX('Expense Database'!K:K,$I47),""))</f>
        <v/>
      </c>
      <c r="G47" s="928">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929">
        <f>IF($I48="","",IFERROR(INDEX('Expense Database'!J:J,$I48),""))</f>
        <v/>
      </c>
      <c r="F48">
        <f>IF($I48="","",IFERROR(INDEX('Expense Database'!K:K,$I48),""))</f>
        <v/>
      </c>
      <c r="G48" s="928">
        <f>IF($I48="","",IFERROR(INDEX('PSF Summary'!AK:AK,$I48),""))</f>
        <v/>
      </c>
      <c r="I48">
        <f>IFERROR(MATCH(_xlfn.AGGREGATE(15,6,'Expense Database'!$AO$4:$AO$197,15),'Expense Database'!$AO$4:$AO$197,0)+3,"")</f>
        <v/>
      </c>
    </row>
    <row r="50">
      <c r="B50" s="931" t="inlineStr">
        <is>
          <t>Stats (of the matches actually found above)</t>
        </is>
      </c>
    </row>
    <row r="51">
      <c r="B51" s="932" t="inlineStr">
        <is>
          <t>Count</t>
        </is>
      </c>
      <c r="G51" s="976">
        <f>IF(COUNT(G34:G48)=0,"",COUNT(G34:G48))</f>
        <v/>
      </c>
    </row>
    <row r="52">
      <c r="B52" s="932" t="inlineStr">
        <is>
          <t>Min</t>
        </is>
      </c>
      <c r="G52" s="976">
        <f>IF(COUNT(G34:G48)=0,"",MIN(G34:G48))</f>
        <v/>
      </c>
    </row>
    <row r="53">
      <c r="B53" s="932" t="inlineStr">
        <is>
          <t>Max</t>
        </is>
      </c>
      <c r="G53" s="976">
        <f>IF(COUNT(G34:G48)=0,"",MAX(G34:G48))</f>
        <v/>
      </c>
    </row>
    <row r="54">
      <c r="B54" s="932" t="inlineStr">
        <is>
          <t>Range (Max-Min)</t>
        </is>
      </c>
      <c r="G54" s="976">
        <f>IF(COUNT(G34:G48)=0,"",MAX(G34:G48)-MIN(G34:G48))</f>
        <v/>
      </c>
    </row>
    <row r="55">
      <c r="B55" s="932" t="inlineStr">
        <is>
          <t>Median</t>
        </is>
      </c>
      <c r="G55" s="976">
        <f>IF(COUNT(G34:G48)=0,"",MEDIAN(G34:G48))</f>
        <v/>
      </c>
    </row>
    <row r="56">
      <c r="B56" s="932" t="inlineStr">
        <is>
          <t>Average</t>
        </is>
      </c>
      <c r="G56" s="976">
        <f>IF(COUNT(G34:G48)=0,"",AVERAGE(G34:G48))</f>
        <v/>
      </c>
    </row>
    <row r="57">
      <c r="B57" s="932" t="inlineStr">
        <is>
          <t>Std Dev</t>
        </is>
      </c>
      <c r="G57" s="976">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001F4E78"/>
    <outlinePr summaryBelow="1" summaryRight="1"/>
    <pageSetUpPr fitToPage="1"/>
  </sheetPr>
  <dimension ref="A1:O8"/>
  <sheetViews>
    <sheetView showGridLines="0" workbookViewId="0">
      <selection activeCell="C21" sqref="C21"/>
    </sheetView>
  </sheetViews>
  <sheetFormatPr baseColWidth="8" defaultColWidth="9.1640625" defaultRowHeight="14.25"/>
  <cols>
    <col width="16" customWidth="1" style="229" min="1" max="1"/>
    <col width="14" customWidth="1" style="229" min="2" max="2"/>
    <col width="30" customWidth="1" style="229" min="3" max="3"/>
    <col width="9.1640625" customWidth="1" style="229" min="4" max="16384"/>
  </cols>
  <sheetData>
    <row r="1" ht="24" customHeight="1">
      <c r="A1" s="1261" t="inlineStr">
        <is>
          <t>Click on the tab at the bottom to switch between worksheets</t>
        </is>
      </c>
      <c r="B1" s="1262" t="n"/>
      <c r="C1" s="1262" t="n"/>
      <c r="D1" s="1262" t="n"/>
      <c r="E1" s="1262" t="n"/>
      <c r="F1" s="1262" t="n"/>
      <c r="G1" s="1262" t="n"/>
      <c r="H1" s="1262" t="n"/>
      <c r="I1" s="1262" t="n"/>
      <c r="J1" s="1262" t="n"/>
      <c r="K1" s="1262" t="n"/>
      <c r="L1" s="1262" t="n"/>
      <c r="M1" s="1262" t="n"/>
      <c r="N1" s="1262" t="n"/>
      <c r="O1" s="1262" t="n"/>
    </row>
    <row r="2" ht="9" customHeight="1"/>
    <row r="3">
      <c r="A3" s="1263" t="inlineStr">
        <is>
          <t>To print all sheets, click printer icon on toolbar.</t>
        </is>
      </c>
      <c r="B3" s="1264" t="n"/>
      <c r="C3" s="1264" t="n"/>
      <c r="D3" s="1264" t="n"/>
      <c r="E3" s="1264" t="n"/>
      <c r="F3" s="1264" t="n"/>
      <c r="G3" s="1264" t="n"/>
      <c r="H3" s="1264" t="n"/>
      <c r="I3" s="1264" t="n"/>
      <c r="J3" s="1264" t="n"/>
      <c r="K3" s="1264" t="n"/>
      <c r="L3" s="1264" t="n"/>
      <c r="M3" s="1264" t="n"/>
      <c r="N3" s="1264" t="n"/>
      <c r="O3" s="1264" t="n"/>
    </row>
    <row r="4" ht="9.6" customHeight="1"/>
    <row r="5" ht="40.9" customHeight="1">
      <c r="A5" s="1263"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1265" t="n"/>
      <c r="E5" s="1265" t="n"/>
      <c r="F5" s="1265" t="n"/>
      <c r="G5" s="1265" t="n"/>
      <c r="H5" s="1265" t="n"/>
      <c r="I5" s="1265" t="n"/>
      <c r="J5" s="1265" t="n"/>
      <c r="K5" s="1265" t="n"/>
      <c r="L5" s="1265" t="n"/>
      <c r="M5" s="1265" t="n"/>
      <c r="N5" s="1265" t="n"/>
      <c r="O5" s="1265" t="n"/>
    </row>
    <row r="6">
      <c r="A6" s="231" t="n"/>
      <c r="B6" s="231" t="n"/>
      <c r="C6" s="231" t="n"/>
      <c r="D6" s="231" t="n"/>
      <c r="E6" s="231" t="n"/>
      <c r="F6" s="231" t="n"/>
      <c r="G6" s="231" t="n"/>
      <c r="H6" s="231" t="n"/>
      <c r="I6" s="231" t="n"/>
      <c r="J6" s="231" t="n"/>
      <c r="K6" s="231" t="n"/>
      <c r="L6" s="231" t="n"/>
      <c r="M6" s="231" t="n"/>
      <c r="N6" s="231" t="n"/>
      <c r="O6" s="231" t="n"/>
    </row>
    <row r="7">
      <c r="C7" s="1266" t="inlineStr">
        <is>
          <t>Click desired sheet to work.</t>
        </is>
      </c>
      <c r="D7" s="1264" t="n"/>
      <c r="E7" s="1264" t="n"/>
      <c r="F7" s="1264" t="n"/>
      <c r="G7" s="1264" t="n"/>
      <c r="H7" s="1264" t="n"/>
      <c r="I7" s="1264" t="n"/>
      <c r="J7" s="1264" t="n"/>
      <c r="K7" s="1264" t="n"/>
      <c r="L7" s="1264" t="n"/>
      <c r="M7" s="1264" t="n"/>
      <c r="N7" s="1264" t="n"/>
      <c r="O7" s="1264" t="n"/>
    </row>
    <row r="8">
      <c r="A8" s="1267" t="inlineStr">
        <is>
          <t>Appeal Year</t>
        </is>
      </c>
      <c r="B8" s="1268" t="n">
        <v>2025</v>
      </c>
    </row>
  </sheetData>
  <mergeCells count="1">
    <mergeCell ref="A5:C5"/>
  </mergeCells>
  <pageMargins left="0.75" right="0.75" top="1" bottom="1" header="0.5" footer="0.5"/>
  <pageSetup orientation="portrait" fitToHeight="0" fitToWidth="1"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001F4E78"/>
    <outlinePr summaryBelow="1" summaryRight="1"/>
    <pageSetUpPr fitToPage="1"/>
  </sheetPr>
  <dimension ref="A1:Z55"/>
  <sheetViews>
    <sheetView showGridLines="0" workbookViewId="0">
      <pane ySplit="4" topLeftCell="A5" activePane="bottomLeft" state="frozen"/>
      <selection pane="bottomLeft" activeCell="D13" sqref="D13"/>
    </sheetView>
  </sheetViews>
  <sheetFormatPr baseColWidth="8" defaultColWidth="9.6640625" defaultRowHeight="10.5"/>
  <cols>
    <col width="13.5" customWidth="1" min="1" max="1"/>
    <col width="27" customWidth="1" min="2" max="2"/>
    <col width="11" customWidth="1" min="3" max="3"/>
    <col width="13" customWidth="1" min="4" max="4"/>
    <col width="17" customWidth="1" min="5" max="5"/>
    <col width="13.5" customWidth="1" min="6" max="6"/>
    <col width="14" customWidth="1" min="7" max="7"/>
    <col width="16" customWidth="1" min="8" max="8"/>
    <col hidden="1" width="6" customWidth="1" min="25" max="25"/>
    <col hidden="1" width="13" customWidth="1" min="26" max="26"/>
  </cols>
  <sheetData>
    <row r="1" ht="23.45" customHeight="1">
      <c r="A1" s="5" t="n"/>
      <c r="B1" t="n"/>
      <c r="E1" s="1" t="inlineStr">
        <is>
          <t>y</t>
        </is>
      </c>
    </row>
    <row r="2" ht="24" customHeight="1">
      <c r="A2" s="1261" t="inlineStr">
        <is>
          <t>MARKET SALES &amp; RENT COMPARABLES</t>
        </is>
      </c>
      <c r="B2" s="1261" t="n"/>
      <c r="C2" s="1261" t="n"/>
      <c r="D2" s="1261" t="n"/>
      <c r="E2" s="1261" t="n"/>
      <c r="F2" s="1261" t="n"/>
      <c r="G2" s="1261" t="n"/>
      <c r="H2" s="1261" t="n"/>
    </row>
    <row r="3" ht="16" customHeight="1">
      <c r="A3" s="1269">
        <f>TEXT([0]!Year,"0")&amp;" APPEALS"</f>
        <v/>
      </c>
      <c r="B3" s="1269" t="n"/>
      <c r="C3" s="1269" t="n"/>
      <c r="D3" s="1269" t="n"/>
      <c r="E3" s="1269" t="n"/>
      <c r="F3" s="1269" t="n"/>
      <c r="G3" s="1269" t="n"/>
      <c r="H3" s="1269" t="n"/>
    </row>
    <row r="4" ht="16" customHeight="1">
      <c r="A4" s="1270" t="inlineStr">
        <is>
          <t>PROTEST #</t>
        </is>
      </c>
      <c r="B4" s="1271" t="n"/>
      <c r="C4" s="1272" t="n"/>
      <c r="D4" s="1270" t="n"/>
      <c r="E4" s="1270" t="n"/>
      <c r="F4" s="1270" t="n"/>
      <c r="G4" s="1270" t="n"/>
      <c r="H4" s="1270" t="n"/>
    </row>
    <row r="5" ht="18" customHeight="1">
      <c r="A5" s="60" t="n"/>
      <c r="B5" s="7" t="n"/>
      <c r="C5" s="90" t="n"/>
    </row>
    <row r="6" ht="7.15" customHeight="1" thickBot="1"/>
    <row r="7" ht="17" customHeight="1" thickTop="1">
      <c r="A7" s="1273" t="inlineStr">
        <is>
          <t>SUBJECT  PROPERTY  INFORMATION</t>
        </is>
      </c>
      <c r="B7" s="1274" t="n"/>
      <c r="C7" s="1274" t="n"/>
      <c r="D7" s="1274" t="n"/>
      <c r="E7" s="1274" t="n"/>
      <c r="F7" s="1274" t="n"/>
      <c r="G7" s="1274" t="n"/>
      <c r="H7" s="1275" t="n"/>
    </row>
    <row r="8" ht="12" customHeight="1">
      <c r="A8" s="984" t="n"/>
      <c r="B8" s="1276" t="inlineStr">
        <is>
          <t>Account Number</t>
        </is>
      </c>
      <c r="C8" s="1276" t="inlineStr">
        <is>
          <t>Ngbh</t>
        </is>
      </c>
      <c r="D8" s="1276" t="inlineStr">
        <is>
          <t xml:space="preserve">Land Area </t>
        </is>
      </c>
      <c r="E8" s="1276" t="inlineStr">
        <is>
          <t>Quality</t>
        </is>
      </c>
      <c r="F8" s="1276" t="inlineStr">
        <is>
          <t>Rent / Sq Ft</t>
        </is>
      </c>
      <c r="G8" s="1276" t="inlineStr">
        <is>
          <t>Subject Sale Information</t>
        </is>
      </c>
      <c r="H8" s="1277" t="inlineStr">
        <is>
          <t>Parcel Number</t>
        </is>
      </c>
    </row>
    <row r="9" ht="12" customHeight="1">
      <c r="A9" s="12" t="n"/>
      <c r="B9" s="1276" t="inlineStr">
        <is>
          <t>Property Address</t>
        </is>
      </c>
      <c r="C9" s="1276" t="inlineStr">
        <is>
          <t>Zone</t>
        </is>
      </c>
      <c r="D9" s="1276" t="inlineStr">
        <is>
          <t xml:space="preserve">L : B  Ratio </t>
        </is>
      </c>
      <c r="E9" s="1276" t="inlineStr">
        <is>
          <t>Physical Condition</t>
        </is>
      </c>
      <c r="F9" s="1276" t="inlineStr">
        <is>
          <t>Vacancy</t>
        </is>
      </c>
      <c r="G9" s="1276" t="inlineStr">
        <is>
          <t>Last Sale Date</t>
        </is>
      </c>
      <c r="H9" s="1276" t="inlineStr">
        <is>
          <t>Assigned Value / Sq Ft</t>
        </is>
      </c>
    </row>
    <row r="10" ht="12" customHeight="1">
      <c r="A10" s="18" t="n"/>
      <c r="B10" s="1276" t="inlineStr">
        <is>
          <t>Property Type</t>
        </is>
      </c>
      <c r="C10" s="1276" t="inlineStr">
        <is>
          <t>YOC</t>
        </is>
      </c>
      <c r="D10" s="1276" t="inlineStr">
        <is>
          <t xml:space="preserve">Building Area </t>
        </is>
      </c>
      <c r="E10" s="1276" t="inlineStr">
        <is>
          <t>Functional Utility</t>
        </is>
      </c>
      <c r="F10" s="1276" t="inlineStr">
        <is>
          <t>Expense Ratio</t>
        </is>
      </c>
      <c r="G10" s="1276" t="inlineStr">
        <is>
          <t>Last Sale Price</t>
        </is>
      </c>
      <c r="H10" s="1276" t="inlineStr">
        <is>
          <t>Assigned Value</t>
        </is>
      </c>
    </row>
    <row r="11" ht="12" customHeight="1">
      <c r="A11" s="12" t="n"/>
      <c r="B11" s="1278" t="n"/>
      <c r="C11" s="1279" t="n"/>
      <c r="D11" s="1280">
        <f>Subj_SiteSF</f>
        <v/>
      </c>
      <c r="E11" s="1281">
        <f>Subj_Quality</f>
        <v/>
      </c>
      <c r="F11" s="1282" t="n"/>
      <c r="G11" s="1283" t="n"/>
      <c r="H11" s="1282" t="n"/>
    </row>
    <row r="12" ht="12" customHeight="1">
      <c r="A12" s="12" t="n"/>
      <c r="B12" s="1284">
        <f>Subj_Address</f>
        <v/>
      </c>
      <c r="C12" s="1285">
        <f>Subj_Zoning</f>
        <v/>
      </c>
      <c r="D12" s="1286">
        <f>IF(OR(D13="",D13=0),"",ROUND(D11/D13,1)&amp;":1")</f>
        <v/>
      </c>
      <c r="E12" s="1281">
        <f>Subj_Condition</f>
        <v/>
      </c>
      <c r="F12" s="1287" t="n"/>
      <c r="G12" s="1288" t="n"/>
      <c r="H12" s="1289">
        <f>IF(D13=0,0,ROUND(H13/D13,2))</f>
        <v/>
      </c>
    </row>
    <row r="13" ht="12" customHeight="1" thickBot="1">
      <c r="A13" s="23" t="n"/>
      <c r="B13" s="1290">
        <f>IFERROR(INDEX(OCC_TABLE_DESC,MATCH(Subj_OccCode,OCC_TABLE_CODE,0)),"")</f>
        <v/>
      </c>
      <c r="C13" s="1285">
        <f>Subj_YOC</f>
        <v/>
      </c>
      <c r="D13" s="1280">
        <f>Subj_BldgSF</f>
        <v/>
      </c>
      <c r="E13" s="1291" t="n"/>
      <c r="F13" s="1287" t="n"/>
      <c r="G13" s="1292" t="n"/>
      <c r="H13" s="1292" t="n"/>
    </row>
    <row r="14" ht="6" customHeight="1" thickTop="1">
      <c r="C14" s="487" t="n"/>
      <c r="D14" s="487" t="n"/>
      <c r="F14" s="487" t="n"/>
      <c r="G14" s="487" t="n"/>
      <c r="H14" s="487" t="n"/>
    </row>
    <row r="15" ht="6" customHeight="1" thickBot="1">
      <c r="C15" s="487" t="n"/>
      <c r="D15" s="487" t="n"/>
      <c r="F15" s="487" t="n"/>
      <c r="G15" s="487" t="n"/>
      <c r="H15" s="487" t="n"/>
    </row>
    <row r="16" ht="17" customHeight="1" thickTop="1">
      <c r="A16" s="1273" t="inlineStr">
        <is>
          <t>MARKET  SALE  COMPARABLES</t>
        </is>
      </c>
      <c r="B16" s="1274" t="n"/>
      <c r="C16" s="1274" t="n"/>
      <c r="D16" s="1274" t="n"/>
      <c r="E16" s="1274" t="n"/>
      <c r="F16" s="1274" t="n"/>
      <c r="G16" s="1274" t="n"/>
      <c r="H16" s="1275" t="n"/>
    </row>
    <row r="17" ht="12" customHeight="1">
      <c r="A17" s="1276" t="n"/>
      <c r="B17" s="1276" t="inlineStr">
        <is>
          <t>Account Number</t>
        </is>
      </c>
      <c r="C17" s="1276" t="inlineStr">
        <is>
          <t>Ngbh</t>
        </is>
      </c>
      <c r="D17" s="1276" t="inlineStr">
        <is>
          <t xml:space="preserve">Land Area </t>
        </is>
      </c>
      <c r="E17" s="1276" t="inlineStr">
        <is>
          <t>Quality</t>
        </is>
      </c>
      <c r="F17" s="1276" t="inlineStr">
        <is>
          <t xml:space="preserve">Sale Date </t>
        </is>
      </c>
      <c r="G17" s="1276" t="inlineStr">
        <is>
          <t>Adj Sale Price / Sq Ft</t>
        </is>
      </c>
      <c r="H17" s="1277" t="inlineStr">
        <is>
          <t>Parcel Number</t>
        </is>
      </c>
    </row>
    <row r="18" ht="12" customHeight="1">
      <c r="A18" s="1276" t="n"/>
      <c r="B18" s="1276" t="inlineStr">
        <is>
          <t>Property Address</t>
        </is>
      </c>
      <c r="C18" s="1276" t="inlineStr">
        <is>
          <t>Zone</t>
        </is>
      </c>
      <c r="D18" s="1276" t="inlineStr">
        <is>
          <t xml:space="preserve">L : B  Ratio </t>
        </is>
      </c>
      <c r="E18" s="1276" t="inlineStr">
        <is>
          <t>Physical Condition</t>
        </is>
      </c>
      <c r="F18" s="1276" t="inlineStr">
        <is>
          <t xml:space="preserve">Sale Price </t>
        </is>
      </c>
      <c r="G18" s="1276" t="inlineStr">
        <is>
          <t>Net Adjustments</t>
        </is>
      </c>
      <c r="H18" s="1276" t="inlineStr">
        <is>
          <t>Sale Remarks</t>
        </is>
      </c>
    </row>
    <row r="19" ht="12" customHeight="1">
      <c r="A19" s="1276" t="inlineStr">
        <is>
          <t>#</t>
        </is>
      </c>
      <c r="B19" s="1276" t="inlineStr">
        <is>
          <t>Property Type</t>
        </is>
      </c>
      <c r="C19" s="1276" t="inlineStr">
        <is>
          <t>YOC</t>
        </is>
      </c>
      <c r="D19" s="1276" t="inlineStr">
        <is>
          <t xml:space="preserve">Building Area </t>
        </is>
      </c>
      <c r="E19" s="1276" t="inlineStr">
        <is>
          <t>Functional Utility</t>
        </is>
      </c>
      <c r="F19" s="1276" t="inlineStr">
        <is>
          <t xml:space="preserve">Adjusted Sale Price </t>
        </is>
      </c>
      <c r="G19" s="1276" t="inlineStr">
        <is>
          <t>Adj Value of Comp / Sq Ft</t>
        </is>
      </c>
      <c r="H19" s="1276" t="inlineStr">
        <is>
          <t>Indicated Value of Subject</t>
        </is>
      </c>
    </row>
    <row r="20" ht="12" customHeight="1">
      <c r="A20" s="1271" t="n"/>
      <c r="B20" s="1293">
        <f>IF(IFERROR(INDEX(Sales!C:C,$Z$20),"")="","",+" "&amp;IFERROR(INDEX(Sales!C:C,$Z$20),""))</f>
        <v/>
      </c>
      <c r="C20" s="1294">
        <f>IF(IFERROR(INDEX(Sales!F:F,$Z$20),"")="","",IFERROR(INDEX(Sales!F:F,$Z$20),""))</f>
        <v/>
      </c>
      <c r="D20" s="1295">
        <f>IF(IFERROR(INDEX(Sales!S:S,$Z$20),"")="","",IFERROR(INDEX(Sales!S:S,$Z$20),""))</f>
        <v/>
      </c>
      <c r="E20" s="1296">
        <f>IF(IFERROR(INDEX(Sales!R:R,$Z$20),"")="","",IFERROR(VLOOKUP(IFERROR(INDEX(Sales!R:R,$Z$20),""),[0]!GRADE,2),IFERROR(INDEX(Sales!R:R,$Z$20),"")))</f>
        <v/>
      </c>
      <c r="F20" s="1297">
        <f>IF(IFERROR(INDEX(Sales!I:I,$Z$20),"")="","",IFERROR(INDEX(Sales!I:I,$Z$20),""))</f>
        <v/>
      </c>
      <c r="G20" s="1289">
        <f>IF(IFERROR(INDEX(Sales!H:H,$Z$20),"")="","",IFERROR(INDEX(Sales!H:H,$Z$20),""))</f>
        <v/>
      </c>
      <c r="H20" s="1289">
        <f>IF(IFERROR(INDEX(Sales!AC:AC,$Z$20),"")="","",+IFERROR(INDEX(Sales!AC:AC,$Z$20),""))</f>
        <v/>
      </c>
      <c r="Y20" s="1031" t="n">
        <v>1</v>
      </c>
      <c r="Z20">
        <f>IFERROR(MATCH(_xlfn.AGGREGATE(15,6,Sales!$AJ$2:$AJ$941,$Y$20),Sales!$AJ$2:$AJ$941,0)+1,"")</f>
        <v/>
      </c>
    </row>
    <row r="21" ht="12" customHeight="1">
      <c r="A21" s="1298" t="inlineStr">
        <is>
          <t>Best Match #1</t>
        </is>
      </c>
      <c r="B21" s="1293">
        <f>IF(IFERROR(INDEX(Sales!D:D,$Z$20),"")="","",+" "&amp;IFERROR(INDEX(Sales!D:D,$Z$20),""))</f>
        <v/>
      </c>
      <c r="C21" s="1294">
        <f>IF(IFERROR(INDEX(Sales!P:P,$Z$20),"")="","",IFERROR(INDEX(Sales!P:P,$Z$20),""))</f>
        <v/>
      </c>
      <c r="D21" s="1295">
        <f>IF(IFERROR(INDEX(Sales!T:T,$Z$20),"")="","",IFERROR(INDEX(Sales!T:T,$Z$20),""))</f>
        <v/>
      </c>
      <c r="E21" s="1296">
        <f>IF(IFERROR(INDEX(Sales!U:U,$Z$20),"")="","",IFERROR(VLOOKUP(IFERROR(INDEX(Sales!U:U,$Z$20),""),Codes!$A$12:$B$16,2),IFERROR(INDEX(Sales!U:U,$Z$20),"")))</f>
        <v/>
      </c>
      <c r="F21" s="1299">
        <f>IF(IFERROR(INDEX(Sales!Y:Y,$Z$20),"")="","",IFERROR(INDEX(Sales!Y:Y,$Z$20),""))</f>
        <v/>
      </c>
      <c r="G21" s="1300" t="n"/>
      <c r="H21" s="1289">
        <f>IF(IFERROR(INDEX(Sales!AB:AB,$Z$20),"")="","",IFERROR(INDEX(Sales!AB:AB,$Z$20),""))</f>
        <v/>
      </c>
    </row>
    <row r="22" ht="12" customHeight="1">
      <c r="A22" s="1271" t="n"/>
      <c r="B22" s="1293">
        <f>IF(IFERROR(INDEX(Sales!E:E,$Z$20),"")="","",+" "&amp;IFERROR(VLOOKUP(IFERROR(INDEX(Sales!E:E,$Z$20),""),[0]!Class,2),IFERROR(INDEX(Sales!E:E,$Z$20),"")))</f>
        <v/>
      </c>
      <c r="C22" s="1294">
        <f>IF(IFERROR(INDEX(Sales!M:M,$Z$20),"")="","",IFERROR(INDEX(Sales!M:M,$Z$20),""))</f>
        <v/>
      </c>
      <c r="D22" s="1295">
        <f>IF(IFERROR(INDEX(Sales!L:L,$Z$20),"")="","",IFERROR(INDEX(Sales!L:L,$Z$20),""))</f>
        <v/>
      </c>
      <c r="E22" s="1296">
        <f>IF(IFERROR(INDEX(Sales!V:V,$Z$20),"")="","",IFERROR(VLOOKUP(IFERROR(INDEX(Sales!V:V,$Z$20),""),Codes!$A$1:$B$5,2),IFERROR(INDEX(Sales!V:V,$Z$20),"")))</f>
        <v/>
      </c>
      <c r="F22" s="1299">
        <f>IF(IFERROR(INDEX(Sales!AA:AA,$Z$20),"")="","",IFERROR(INDEX(Sales!AA:AA,$Z$20),""))</f>
        <v/>
      </c>
      <c r="G22" s="1301">
        <f>IF(G20="","",ROUND(G20*(1+G21),2))</f>
        <v/>
      </c>
      <c r="H22" s="1302">
        <f>IF(G22="","",ROUND(G22*$D$13,-2))</f>
        <v/>
      </c>
    </row>
    <row r="23" ht="12" customHeight="1">
      <c r="A23" s="1271" t="n"/>
      <c r="B23" s="1303">
        <f>IF(IFERROR(INDEX(Sales!C:C,$Z$23),"")="","",+" "&amp;IFERROR(INDEX(Sales!C:C,$Z$23),""))</f>
        <v/>
      </c>
      <c r="C23" s="1304">
        <f>IF(IFERROR(INDEX(Sales!F:F,$Z$23),"")="","",IFERROR(INDEX(Sales!F:F,$Z$23),""))</f>
        <v/>
      </c>
      <c r="D23" s="1305">
        <f>IF(IFERROR(INDEX(Sales!S:S,$Z$23),"")="","",IFERROR(INDEX(Sales!S:S,$Z$23),""))</f>
        <v/>
      </c>
      <c r="E23" s="1306">
        <f>IF(IFERROR(INDEX(Sales!R:R,$Z$23),"")="","",IFERROR(VLOOKUP(IFERROR(INDEX(Sales!R:R,$Z$23),""),[0]!GRADE,2),IFERROR(INDEX(Sales!R:R,$Z$23),"")))</f>
        <v/>
      </c>
      <c r="F23" s="1307">
        <f>IF(IFERROR(INDEX(Sales!I:I,$Z$23),"")="","",IFERROR(INDEX(Sales!I:I,$Z$23),""))</f>
        <v/>
      </c>
      <c r="G23" s="1308">
        <f>IF(IFERROR(INDEX(Sales!H:H,$Z$23),"")="","",IFERROR(INDEX(Sales!H:H,$Z$23),""))</f>
        <v/>
      </c>
      <c r="H23" s="1308">
        <f>IF(IFERROR(INDEX(Sales!AC:AC,$Z$23),"")="","",+IFERROR(INDEX(Sales!AC:AC,$Z$23),""))</f>
        <v/>
      </c>
      <c r="Y23" s="1031" t="n">
        <v>2</v>
      </c>
      <c r="Z23">
        <f>IFERROR(MATCH(_xlfn.AGGREGATE(15,6,Sales!$AJ$2:$AJ$941,$Y$23),Sales!$AJ$2:$AJ$941,0)+1,"")</f>
        <v/>
      </c>
    </row>
    <row r="24" ht="12" customHeight="1">
      <c r="A24" s="1298" t="inlineStr">
        <is>
          <t>Best Match #2</t>
        </is>
      </c>
      <c r="B24" s="1303">
        <f>IF(IFERROR(INDEX(Sales!D:D,$Z$23),"")="","",+" "&amp;IFERROR(INDEX(Sales!D:D,$Z$23),""))</f>
        <v/>
      </c>
      <c r="C24" s="1304">
        <f>IF(IFERROR(INDEX(Sales!P:P,$Z$23),"")="","",IFERROR(INDEX(Sales!P:P,$Z$23),""))</f>
        <v/>
      </c>
      <c r="D24" s="1305">
        <f>IF(IFERROR(INDEX(Sales!T:T,$Z$23),"")="","",IFERROR(INDEX(Sales!T:T,$Z$23),""))</f>
        <v/>
      </c>
      <c r="E24" s="1306">
        <f>IF(IFERROR(INDEX(Sales!U:U,$Z$23),"")="","",IFERROR(VLOOKUP(IFERROR(INDEX(Sales!U:U,$Z$23),""),Codes!$A$12:$B$16,2),IFERROR(INDEX(Sales!U:U,$Z$23),"")))</f>
        <v/>
      </c>
      <c r="F24" s="1309">
        <f>IF(IFERROR(INDEX(Sales!Y:Y,$Z$23),"")="","",IFERROR(INDEX(Sales!Y:Y,$Z$23),""))</f>
        <v/>
      </c>
      <c r="G24" s="1300" t="n"/>
      <c r="H24" s="1308">
        <f>IF(IFERROR(INDEX(Sales!AB:AB,$Z$23),"")="","",IFERROR(INDEX(Sales!AB:AB,$Z$23),""))</f>
        <v/>
      </c>
    </row>
    <row r="25" ht="12" customHeight="1">
      <c r="A25" s="1271" t="n"/>
      <c r="B25" s="1303">
        <f>IF(IFERROR(INDEX(Sales!E:E,$Z$23),"")="","",+" "&amp;IFERROR(VLOOKUP(IFERROR(INDEX(Sales!E:E,$Z$23),""),[0]!Class,2),IFERROR(INDEX(Sales!E:E,$Z$23),"")))</f>
        <v/>
      </c>
      <c r="C25" s="1304">
        <f>IF(IFERROR(INDEX(Sales!M:M,$Z$23),"")="","",IFERROR(INDEX(Sales!M:M,$Z$23),""))</f>
        <v/>
      </c>
      <c r="D25" s="1305">
        <f>IF(IFERROR(INDEX(Sales!L:L,$Z$23),"")="","",IFERROR(INDEX(Sales!L:L,$Z$23),""))</f>
        <v/>
      </c>
      <c r="E25" s="1306">
        <f>IF(IFERROR(INDEX(Sales!V:V,$Z$23),"")="","",IFERROR(VLOOKUP(IFERROR(INDEX(Sales!V:V,$Z$23),""),Codes!$A$1:$B$5,2),IFERROR(INDEX(Sales!V:V,$Z$23),"")))</f>
        <v/>
      </c>
      <c r="F25" s="1309">
        <f>IF(IFERROR(INDEX(Sales!AA:AA,$Z$23),"")="","",IFERROR(INDEX(Sales!AA:AA,$Z$23),""))</f>
        <v/>
      </c>
      <c r="G25" s="1301">
        <f>IF(G23="","",ROUND(G23*(1+G24),2))</f>
        <v/>
      </c>
      <c r="H25" s="1302">
        <f>IF(G25="","",ROUND(G25*$D$13,-2))</f>
        <v/>
      </c>
    </row>
    <row r="26" ht="12" customHeight="1">
      <c r="A26" s="1271" t="n"/>
      <c r="B26" s="1293">
        <f>IF(IFERROR(INDEX(Sales!C:C,$Z$26),"")="","",+" "&amp;IFERROR(INDEX(Sales!C:C,$Z$26),""))</f>
        <v/>
      </c>
      <c r="C26" s="1294">
        <f>IF(IFERROR(INDEX(Sales!F:F,$Z$26),"")="","",IFERROR(INDEX(Sales!F:F,$Z$26),""))</f>
        <v/>
      </c>
      <c r="D26" s="1295">
        <f>IF(IFERROR(INDEX(Sales!S:S,$Z$26),"")="","",IFERROR(INDEX(Sales!S:S,$Z$26),""))</f>
        <v/>
      </c>
      <c r="E26" s="1296">
        <f>IF(IFERROR(INDEX(Sales!R:R,$Z$26),"")="","",IFERROR(VLOOKUP(IFERROR(INDEX(Sales!R:R,$Z$26),""),[0]!GRADE,2),IFERROR(INDEX(Sales!R:R,$Z$26),"")))</f>
        <v/>
      </c>
      <c r="F26" s="1297">
        <f>IF(IFERROR(INDEX(Sales!I:I,$Z$26),"")="","",IFERROR(INDEX(Sales!I:I,$Z$26),""))</f>
        <v/>
      </c>
      <c r="G26" s="1289">
        <f>IF(IFERROR(INDEX(Sales!H:H,$Z$26),"")="","",IFERROR(INDEX(Sales!H:H,$Z$26),""))</f>
        <v/>
      </c>
      <c r="H26" s="1289">
        <f>IF(IFERROR(INDEX(Sales!AC:AC,$Z$26),"")="","",+IFERROR(INDEX(Sales!AC:AC,$Z$26),""))</f>
        <v/>
      </c>
      <c r="Y26" s="1031" t="n">
        <v>3</v>
      </c>
      <c r="Z26">
        <f>IFERROR(MATCH(_xlfn.AGGREGATE(15,6,Sales!$AJ$2:$AJ$941,$Y$26),Sales!$AJ$2:$AJ$941,0)+1,"")</f>
        <v/>
      </c>
    </row>
    <row r="27" ht="12" customHeight="1">
      <c r="A27" s="1298" t="inlineStr">
        <is>
          <t>Best Match #3</t>
        </is>
      </c>
      <c r="B27" s="1293">
        <f>IF(IFERROR(INDEX(Sales!D:D,$Z$26),"")="","",+" "&amp;IFERROR(INDEX(Sales!D:D,$Z$26),""))</f>
        <v/>
      </c>
      <c r="C27" s="1294">
        <f>IF(IFERROR(INDEX(Sales!P:P,$Z$26),"")="","",IFERROR(INDEX(Sales!P:P,$Z$26),""))</f>
        <v/>
      </c>
      <c r="D27" s="1295">
        <f>IF(IFERROR(INDEX(Sales!T:T,$Z$26),"")="","",IFERROR(INDEX(Sales!T:T,$Z$26),""))</f>
        <v/>
      </c>
      <c r="E27" s="1296">
        <f>IF(IFERROR(INDEX(Sales!U:U,$Z$26),"")="","",IFERROR(VLOOKUP(IFERROR(INDEX(Sales!U:U,$Z$26),""),Codes!$A$12:$B$16,2),IFERROR(INDEX(Sales!U:U,$Z$26),"")))</f>
        <v/>
      </c>
      <c r="F27" s="1299">
        <f>IF(IFERROR(INDEX(Sales!Y:Y,$Z$26),"")="","",IFERROR(INDEX(Sales!Y:Y,$Z$26),""))</f>
        <v/>
      </c>
      <c r="G27" s="1300" t="n"/>
      <c r="H27" s="1289">
        <f>IF(IFERROR(INDEX(Sales!AB:AB,$Z$26),"")="","",IFERROR(INDEX(Sales!AB:AB,$Z$26),""))</f>
        <v/>
      </c>
    </row>
    <row r="28" ht="12" customHeight="1" thickBot="1">
      <c r="A28" s="1271" t="n"/>
      <c r="B28" s="1293">
        <f>IF(IFERROR(INDEX(Sales!E:E,$Z$26),"")="","",+" "&amp;IFERROR(VLOOKUP(IFERROR(INDEX(Sales!E:E,$Z$26),""),[0]!Class,2),IFERROR(INDEX(Sales!E:E,$Z$26),"")))</f>
        <v/>
      </c>
      <c r="C28" s="1294">
        <f>IF(IFERROR(INDEX(Sales!M:M,$Z$26),"")="","",IFERROR(INDEX(Sales!M:M,$Z$26),""))</f>
        <v/>
      </c>
      <c r="D28" s="1295">
        <f>IF(IFERROR(INDEX(Sales!L:L,$Z$26),"")="","",IFERROR(INDEX(Sales!L:L,$Z$26),""))</f>
        <v/>
      </c>
      <c r="E28" s="1296">
        <f>IF(IFERROR(INDEX(Sales!V:V,$Z$26),"")="","",IFERROR(VLOOKUP(IFERROR(INDEX(Sales!V:V,$Z$26),""),Codes!$A$1:$B$5,2),IFERROR(INDEX(Sales!V:V,$Z$26),"")))</f>
        <v/>
      </c>
      <c r="F28" s="1299">
        <f>IF(IFERROR(INDEX(Sales!AA:AA,$Z$26),"")="","",IFERROR(INDEX(Sales!AA:AA,$Z$26),""))</f>
        <v/>
      </c>
      <c r="G28" s="1301">
        <f>IF(G26="","",ROUND(G26*(1+G27),2))</f>
        <v/>
      </c>
      <c r="H28" s="1302">
        <f>IF(G28="","",ROUND(G28*$D$13,-2))</f>
        <v/>
      </c>
    </row>
    <row r="29" ht="10.15" customHeight="1" thickBot="1" thickTop="1"/>
    <row r="30" ht="17" customHeight="1" thickTop="1">
      <c r="A30" s="1310" t="inlineStr">
        <is>
          <t>MARKET SALE REMARKS</t>
        </is>
      </c>
      <c r="B30" s="1311" t="n"/>
      <c r="C30" s="1311" t="n"/>
      <c r="D30" s="1311" t="n"/>
      <c r="E30" s="1311" t="n"/>
      <c r="F30" s="1311" t="n"/>
      <c r="G30" s="1311" t="n"/>
      <c r="H30" s="1312" t="n"/>
    </row>
    <row r="31" ht="12" customHeight="1">
      <c r="A31" s="1313" t="n"/>
      <c r="B31" s="1489" t="n"/>
      <c r="C31" s="1489" t="n"/>
      <c r="D31" s="1489" t="n"/>
      <c r="E31" s="1489" t="n"/>
      <c r="F31" s="1489" t="n"/>
      <c r="G31" s="1489" t="n"/>
      <c r="H31" s="1490" t="n"/>
    </row>
    <row r="32" ht="12" customHeight="1">
      <c r="A32" s="1491" t="n"/>
      <c r="B32" s="531" t="n"/>
      <c r="C32" s="531" t="n"/>
      <c r="D32" s="531" t="n"/>
      <c r="E32" s="531" t="n"/>
      <c r="F32" s="531" t="n"/>
      <c r="G32" s="531" t="n"/>
      <c r="H32" s="1492" t="n"/>
    </row>
    <row r="33" ht="12" customHeight="1">
      <c r="A33" s="1491" t="n"/>
      <c r="B33" s="531" t="n"/>
      <c r="C33" s="531" t="n"/>
      <c r="D33" s="531" t="n"/>
      <c r="E33" s="531" t="n"/>
      <c r="F33" s="531" t="n"/>
      <c r="G33" s="531" t="n"/>
      <c r="H33" s="1492" t="n"/>
    </row>
    <row r="34" ht="12" customHeight="1" thickBot="1">
      <c r="A34" s="1493" t="n"/>
      <c r="B34" s="1494" t="n"/>
      <c r="C34" s="1494" t="n"/>
      <c r="D34" s="1494" t="n"/>
      <c r="E34" s="1494" t="n"/>
      <c r="F34" s="1494" t="n"/>
      <c r="G34" s="1494" t="n"/>
      <c r="H34" s="1495" t="n"/>
    </row>
    <row r="35" ht="12" customHeight="1" thickBot="1" thickTop="1"/>
    <row r="36" ht="17" customHeight="1" thickTop="1">
      <c r="A36" s="1273" t="inlineStr">
        <is>
          <t>RENT  COMPARABLE  INFORMATION</t>
        </is>
      </c>
      <c r="B36" s="1274" t="n"/>
      <c r="C36" s="1274" t="n"/>
      <c r="D36" s="1274" t="n"/>
      <c r="E36" s="1274" t="n"/>
      <c r="F36" s="1274" t="n"/>
      <c r="G36" s="1312" t="n"/>
      <c r="H36" s="1322" t="n"/>
    </row>
    <row r="37" ht="12" customHeight="1">
      <c r="A37" s="1276" t="n"/>
      <c r="B37" s="1276" t="inlineStr">
        <is>
          <t xml:space="preserve"> Source of Information</t>
        </is>
      </c>
      <c r="C37" s="1276" t="inlineStr">
        <is>
          <t>Ngbh</t>
        </is>
      </c>
      <c r="D37" s="1276" t="inlineStr">
        <is>
          <t xml:space="preserve">Land Area </t>
        </is>
      </c>
      <c r="E37" s="1276" t="inlineStr">
        <is>
          <t>Quality</t>
        </is>
      </c>
      <c r="F37" s="1276" t="inlineStr">
        <is>
          <t>Rent / Sq Ft</t>
        </is>
      </c>
      <c r="G37" s="1276" t="n"/>
      <c r="H37" s="1276" t="n"/>
    </row>
    <row r="38" ht="12" customHeight="1">
      <c r="A38" s="1276" t="n"/>
      <c r="B38" s="1276" t="inlineStr">
        <is>
          <t xml:space="preserve">  Location</t>
        </is>
      </c>
      <c r="C38" s="1276" t="inlineStr">
        <is>
          <t>Zone</t>
        </is>
      </c>
      <c r="D38" s="1276" t="inlineStr">
        <is>
          <t xml:space="preserve">L : B  Ratio </t>
        </is>
      </c>
      <c r="E38" s="1276" t="n"/>
      <c r="F38" s="1276" t="inlineStr">
        <is>
          <t>Vacancy</t>
        </is>
      </c>
      <c r="G38" s="1276" t="inlineStr">
        <is>
          <t xml:space="preserve">Net Adjustments </t>
        </is>
      </c>
      <c r="H38" s="1276" t="n"/>
    </row>
    <row r="39" ht="12" customHeight="1">
      <c r="A39" s="1276" t="inlineStr">
        <is>
          <t>#</t>
        </is>
      </c>
      <c r="B39" s="1276" t="inlineStr">
        <is>
          <t xml:space="preserve"> Property Type</t>
        </is>
      </c>
      <c r="C39" s="1276" t="inlineStr">
        <is>
          <t>YOC</t>
        </is>
      </c>
      <c r="D39" s="1276" t="inlineStr">
        <is>
          <t xml:space="preserve">Building Area </t>
        </is>
      </c>
      <c r="E39" s="1276" t="n"/>
      <c r="F39" s="1276" t="inlineStr">
        <is>
          <t>Expense Ratio</t>
        </is>
      </c>
      <c r="G39" s="1276" t="inlineStr">
        <is>
          <t xml:space="preserve">Adjusted Rent </t>
        </is>
      </c>
      <c r="H39" s="1276" t="n"/>
    </row>
    <row r="40" ht="12" customHeight="1">
      <c r="A40" s="1271" t="n"/>
      <c r="B40" s="1293">
        <f>IF(Income!E2="","",+Income!E2)</f>
        <v/>
      </c>
      <c r="C40" s="1294">
        <f>IF(Income!H2="","",IF(Income!H2&gt;9100,+Income!H2,+"            "&amp;Income!H2))</f>
        <v/>
      </c>
      <c r="D40" s="1295">
        <f>IF(Income!W2="","",Income!W2)</f>
        <v/>
      </c>
      <c r="E40" s="1296">
        <f>IF(Income!Z2="","",VLOOKUP(LEFT(Income!Z2,1),[0]!GRADE,2))</f>
        <v/>
      </c>
      <c r="F40" s="1289">
        <f>IF(Income!K2="","",Income!K2)</f>
        <v/>
      </c>
      <c r="G40" s="1283" t="n"/>
      <c r="H40" s="1271" t="n"/>
    </row>
    <row r="41" ht="12" customHeight="1">
      <c r="A41" s="1298" t="inlineStr">
        <is>
          <t>1</t>
        </is>
      </c>
      <c r="B41" s="1293">
        <f>IF(Income!H2="","",+" "&amp;VLOOKUP(Income!H2,Codes!$G$1:$H$68,2))</f>
        <v/>
      </c>
      <c r="C41" s="1294">
        <f>IF(Income!T2="","",Income!T2)</f>
        <v/>
      </c>
      <c r="D41" s="1323">
        <f>IF(Income!X2="","",TEXT(Income!X2,"0.00"))</f>
        <v/>
      </c>
      <c r="E41" s="1324" t="n"/>
      <c r="F41" s="1325">
        <f>IF(Income!L2="","",Income!L2)</f>
        <v/>
      </c>
      <c r="G41" s="1300" t="n"/>
      <c r="H41" s="1271" t="n"/>
    </row>
    <row r="42" ht="12" customHeight="1">
      <c r="A42" s="1271" t="n"/>
      <c r="B42" s="1293">
        <f>IF(Income!G2="","",+" "&amp;VLOOKUP(Income!G2,[0]!Class,2))</f>
        <v/>
      </c>
      <c r="C42" s="1294">
        <f>IF(Income!N2="","",Income!N2)</f>
        <v/>
      </c>
      <c r="D42" s="1295">
        <f>IF(Income!Y2="","",Income!Y2)</f>
        <v/>
      </c>
      <c r="E42" s="1324" t="n"/>
      <c r="F42" s="1325">
        <f>IF(Income!M2="","",Income!M2)</f>
        <v/>
      </c>
      <c r="G42" s="1301">
        <f>IF(F40="","",ROUND(F40*(1+G41),2))</f>
        <v/>
      </c>
      <c r="H42" s="1271" t="n"/>
    </row>
    <row r="43" ht="12" customHeight="1">
      <c r="A43" s="1271" t="n"/>
      <c r="B43" s="1303">
        <f>IF(Income!E3="","",+Income!E3)</f>
        <v/>
      </c>
      <c r="C43" s="1304">
        <f>IF(Income!H3="","",IF(Income!H3&gt;9100,+Income!H3,+"            "&amp;Income!H3))</f>
        <v/>
      </c>
      <c r="D43" s="1305">
        <f>IF(Income!W3="","",Income!W3)</f>
        <v/>
      </c>
      <c r="E43" s="1306">
        <f>IF(Income!Z3="","",VLOOKUP(LEFT(Income!Z3,1),[0]!GRADE,2))</f>
        <v/>
      </c>
      <c r="F43" s="1308">
        <f>IF(Income!K3="","",Income!K3)</f>
        <v/>
      </c>
      <c r="G43" s="1283" t="n"/>
      <c r="H43" s="1271" t="n"/>
    </row>
    <row r="44" ht="12" customHeight="1">
      <c r="A44" s="1298" t="inlineStr">
        <is>
          <t>2</t>
        </is>
      </c>
      <c r="B44" s="1303">
        <f>IF(Income!H3="","",+" "&amp;VLOOKUP(Income!H3,Codes!$G$1:$H$68,2))</f>
        <v/>
      </c>
      <c r="C44" s="1304">
        <f>IF(Income!T3="","",Income!T3)</f>
        <v/>
      </c>
      <c r="D44" s="1326">
        <f>IF(Income!X3="","",TEXT(Income!X3,"0.00"))</f>
        <v/>
      </c>
      <c r="E44" s="1324" t="n"/>
      <c r="F44" s="1327">
        <f>IF(Income!L3="","",Income!L3)</f>
        <v/>
      </c>
      <c r="G44" s="1300" t="n"/>
      <c r="H44" s="1271" t="n"/>
    </row>
    <row r="45" ht="12" customHeight="1">
      <c r="A45" s="1271" t="n"/>
      <c r="B45" s="1303">
        <f>IF(Income!G3="","",+" "&amp;VLOOKUP(Income!G3,[0]!Class,2))</f>
        <v/>
      </c>
      <c r="C45" s="1304">
        <f>IF(Income!N3="","",Income!N3)</f>
        <v/>
      </c>
      <c r="D45" s="1305">
        <f>IF(Income!Y3="","",Income!Y3)</f>
        <v/>
      </c>
      <c r="E45" s="1324" t="n"/>
      <c r="F45" s="1327">
        <f>IF(Income!M3="","",Income!M3)</f>
        <v/>
      </c>
      <c r="G45" s="1301">
        <f>IF(F43="","",ROUND(F43*(1+G44),2))</f>
        <v/>
      </c>
      <c r="H45" s="1271" t="n"/>
    </row>
    <row r="46" ht="12" customHeight="1">
      <c r="A46" s="1271" t="n"/>
      <c r="B46" s="1293">
        <f>IF(Income!E4="","",+Income!E4)</f>
        <v/>
      </c>
      <c r="C46" s="1294">
        <f>IF(Income!H4="","",IF(Income!H4&gt;9100,+Income!H4,+"            "&amp;Income!H4))</f>
        <v/>
      </c>
      <c r="D46" s="1295">
        <f>IF(Income!W4="","",Income!W4)</f>
        <v/>
      </c>
      <c r="E46" s="1296">
        <f>IF(Income!Z4="","",VLOOKUP(LEFT(Income!Z4,1),[0]!GRADE,2))</f>
        <v/>
      </c>
      <c r="F46" s="1289">
        <f>IF(Income!K4="","",Income!K4)</f>
        <v/>
      </c>
      <c r="G46" s="1283" t="n"/>
      <c r="H46" s="1271" t="n"/>
    </row>
    <row r="47" ht="12" customHeight="1">
      <c r="A47" s="1298" t="inlineStr">
        <is>
          <t>3</t>
        </is>
      </c>
      <c r="B47" s="1293">
        <f>IF(Income!H4="","",+" "&amp;VLOOKUP(Income!H4,Codes!$G$1:$H$68,2))</f>
        <v/>
      </c>
      <c r="C47" s="1294">
        <f>IF(Income!T4="","",Income!T4)</f>
        <v/>
      </c>
      <c r="D47" s="1323">
        <f>IF(Income!X4="","",TEXT(Income!X4,"0.00"))</f>
        <v/>
      </c>
      <c r="E47" s="1324" t="n"/>
      <c r="F47" s="1325">
        <f>IF(Income!L4="","",Income!L4)</f>
        <v/>
      </c>
      <c r="G47" s="1300" t="n"/>
      <c r="H47" s="1271" t="n"/>
    </row>
    <row r="48" ht="12" customHeight="1" thickBot="1">
      <c r="A48" s="1271" t="n"/>
      <c r="B48" s="1293">
        <f>IF(Income!G4="","",+" "&amp;VLOOKUP(Income!G4,[0]!Class,2))</f>
        <v/>
      </c>
      <c r="C48" s="1294">
        <f>IF(Income!N4="","",Income!N4)</f>
        <v/>
      </c>
      <c r="D48" s="1295">
        <f>IF(Income!Y4="","",Income!Y4)</f>
        <v/>
      </c>
      <c r="E48" s="1324" t="n"/>
      <c r="F48" s="1325">
        <f>IF(Income!M4="","",Income!M4)</f>
        <v/>
      </c>
      <c r="G48" s="1301">
        <f>IF(F46="","",ROUND(F46*(1+G47),2))</f>
        <v/>
      </c>
      <c r="H48" s="1271" t="n"/>
    </row>
    <row r="49" ht="11.25" customHeight="1" thickTop="1"/>
    <row r="50" ht="11.25" customHeight="1" thickBot="1"/>
    <row r="51" ht="17" customHeight="1" thickTop="1">
      <c r="A51" s="1310" t="inlineStr">
        <is>
          <t>RENT COMPARABLE REMARKS</t>
        </is>
      </c>
      <c r="B51" s="1311" t="n"/>
      <c r="C51" s="1311" t="n"/>
      <c r="D51" s="1311" t="n"/>
      <c r="E51" s="1311" t="n"/>
      <c r="F51" s="1311" t="n"/>
      <c r="G51" s="1311" t="n"/>
      <c r="H51" s="1312" t="n"/>
    </row>
    <row r="52" ht="12" customHeight="1">
      <c r="A52" s="1313" t="n"/>
      <c r="B52" s="1489" t="n"/>
      <c r="C52" s="1489" t="n"/>
      <c r="D52" s="1489" t="n"/>
      <c r="E52" s="1489" t="n"/>
      <c r="F52" s="1489" t="n"/>
      <c r="G52" s="1489" t="n"/>
      <c r="H52" s="1490" t="n"/>
    </row>
    <row r="53" ht="12" customHeight="1">
      <c r="A53" s="1491" t="n"/>
      <c r="B53" s="531" t="n"/>
      <c r="C53" s="531" t="n"/>
      <c r="D53" s="531" t="n"/>
      <c r="E53" s="531" t="n"/>
      <c r="F53" s="531" t="n"/>
      <c r="G53" s="531" t="n"/>
      <c r="H53" s="1492" t="n"/>
    </row>
    <row r="54" ht="12" customHeight="1">
      <c r="A54" s="1491" t="n"/>
      <c r="B54" s="531" t="n"/>
      <c r="C54" s="531" t="n"/>
      <c r="D54" s="531" t="n"/>
      <c r="E54" s="531" t="n"/>
      <c r="F54" s="531" t="n"/>
      <c r="G54" s="531" t="n"/>
      <c r="H54" s="1492" t="n"/>
    </row>
    <row r="55" ht="12" customHeight="1" thickBot="1">
      <c r="A55" s="1493" t="n"/>
      <c r="B55" s="1494" t="n"/>
      <c r="C55" s="1494" t="n"/>
      <c r="D55" s="1494" t="n"/>
      <c r="E55" s="1494" t="n"/>
      <c r="F55" s="1494" t="n"/>
      <c r="G55" s="1494" t="n"/>
      <c r="H55" s="1495" t="n"/>
    </row>
    <row r="56" ht="4.9" customHeight="1" thickTop="1"/>
  </sheetData>
  <mergeCells count="2">
    <mergeCell ref="A52:H55"/>
    <mergeCell ref="A31:H34"/>
  </mergeCells>
  <printOptions horizontalCentered="1" verticalCentered="1"/>
  <pageMargins left="0.5" right="0.25" top="0.25" bottom="0.25" header="0.5" footer="0.5"/>
  <pageSetup orientation="landscape" scale="77" fitToHeight="0" fitToWidth="1"/>
  <legacyDrawing xmlns:r="http://schemas.openxmlformats.org/officeDocument/2006/relationships" r:id="anysvml"/>
</worksheet>
</file>

<file path=xl/worksheets/sheet5.xml><?xml version="1.0" encoding="utf-8"?>
<worksheet xmlns="http://schemas.openxmlformats.org/spreadsheetml/2006/main">
  <sheetPr codeName="Sheet5">
    <tabColor rgb="001F4E78"/>
    <outlinePr summaryBelow="1" summaryRight="1"/>
    <pageSetUpPr fitToPage="1"/>
  </sheetPr>
  <dimension ref="A1:Z39"/>
  <sheetViews>
    <sheetView showGridLines="0" tabSelected="1" zoomScale="93" zoomScaleNormal="100" workbookViewId="0">
      <pane ySplit="7" topLeftCell="A8" activePane="bottomLeft" state="frozen"/>
      <selection pane="bottomLeft" activeCell="H12" sqref="H12"/>
    </sheetView>
  </sheetViews>
  <sheetFormatPr baseColWidth="8" defaultColWidth="13.6640625" defaultRowHeight="12.75"/>
  <cols>
    <col width="12" customWidth="1" style="413" min="1" max="1"/>
    <col width="20" customWidth="1" style="413" min="2" max="2"/>
    <col width="20" customWidth="1" style="413" min="3" max="3"/>
    <col width="22" customWidth="1" style="413" min="4" max="4"/>
    <col width="20" customWidth="1" style="413" min="5" max="5"/>
    <col width="19" customWidth="1" style="413" min="6" max="6"/>
    <col width="10" customWidth="1" style="413" min="7" max="7"/>
    <col width="11" bestFit="1" customWidth="1" style="413" min="8" max="8"/>
    <col width="19" customWidth="1" style="413" min="9" max="9"/>
    <col width="18.1640625" customWidth="1" style="413" min="10" max="10"/>
    <col width="13.6640625" customWidth="1" style="413" min="11" max="16384"/>
    <col hidden="1" width="6" customWidth="1" min="25" max="25"/>
    <col hidden="1" width="13" customWidth="1" min="26" max="26"/>
  </cols>
  <sheetData>
    <row r="1" ht="24" customHeight="1">
      <c r="A1" s="1328" t="inlineStr">
        <is>
          <t>IMPROVED MARKET APPROACH</t>
        </is>
      </c>
      <c r="B1" s="1328" t="n"/>
      <c r="C1" s="1328" t="n"/>
      <c r="D1" s="1328" t="n"/>
      <c r="E1" s="1328" t="n"/>
      <c r="F1" s="1328" t="n"/>
      <c r="G1" s="1328" t="n"/>
      <c r="H1" s="1328" t="n"/>
      <c r="I1" s="1328" t="n"/>
      <c r="J1" s="977" t="n"/>
      <c r="K1" s="977" t="n"/>
    </row>
    <row r="3" ht="17" customHeight="1" thickBot="1">
      <c r="A3" s="1329" t="inlineStr">
        <is>
          <t>SUBJECT</t>
        </is>
      </c>
      <c r="B3" s="1329" t="n"/>
      <c r="C3" s="1329" t="n"/>
      <c r="D3" s="1329" t="n"/>
      <c r="E3" s="1329" t="n"/>
      <c r="F3" s="1329" t="n"/>
      <c r="G3" s="1329" t="n"/>
      <c r="H3" s="1329" t="n"/>
      <c r="I3" s="1329" t="n"/>
    </row>
    <row r="4" ht="13.5" customHeight="1" thickTop="1">
      <c r="B4" s="1330" t="inlineStr">
        <is>
          <t>Account Number</t>
        </is>
      </c>
      <c r="C4" s="1330" t="inlineStr">
        <is>
          <t>Grantor</t>
        </is>
      </c>
      <c r="D4" s="1330" t="inlineStr">
        <is>
          <t xml:space="preserve">Sale Price </t>
        </is>
      </c>
      <c r="E4" s="1330" t="inlineStr">
        <is>
          <t>Location</t>
        </is>
      </c>
      <c r="F4" s="1330" t="inlineStr">
        <is>
          <t>Age</t>
        </is>
      </c>
      <c r="G4" s="1330" t="n"/>
      <c r="H4" s="1330" t="n"/>
      <c r="I4" s="1331" t="inlineStr">
        <is>
          <t>Value of the</t>
        </is>
      </c>
    </row>
    <row r="5">
      <c r="B5" s="1330" t="inlineStr">
        <is>
          <t>Property Address</t>
        </is>
      </c>
      <c r="C5" s="1330" t="inlineStr">
        <is>
          <t>Grantee</t>
        </is>
      </c>
      <c r="D5" s="1330" t="inlineStr">
        <is>
          <t>Sale Price  / SF</t>
        </is>
      </c>
      <c r="E5" s="1330" t="inlineStr">
        <is>
          <t>Land Size</t>
        </is>
      </c>
      <c r="F5" s="1330" t="inlineStr">
        <is>
          <t>Quality</t>
        </is>
      </c>
      <c r="G5" s="1330" t="n"/>
      <c r="H5" s="1330" t="n"/>
      <c r="I5" s="1331" t="inlineStr">
        <is>
          <t xml:space="preserve"> Subject/SF</t>
        </is>
      </c>
    </row>
    <row r="6">
      <c r="B6" s="1330" t="inlineStr">
        <is>
          <t>Parcel Number</t>
        </is>
      </c>
      <c r="C6" s="1330" t="inlineStr">
        <is>
          <t>Reception Number</t>
        </is>
      </c>
      <c r="D6" s="1331" t="inlineStr">
        <is>
          <t>PP/Time/Mkt Cond</t>
        </is>
      </c>
      <c r="E6" s="1330" t="inlineStr">
        <is>
          <t>L : B  Ratio</t>
        </is>
      </c>
      <c r="F6" s="1331" t="inlineStr">
        <is>
          <t>Phy./Funct Rating</t>
        </is>
      </c>
      <c r="G6" s="1331" t="n"/>
      <c r="H6" s="1330" t="n"/>
      <c r="I6" s="1331" t="inlineStr">
        <is>
          <t>Value</t>
        </is>
      </c>
    </row>
    <row r="7" ht="13.5" customHeight="1" thickBot="1">
      <c r="B7" s="1331" t="inlineStr">
        <is>
          <t>Property Type</t>
        </is>
      </c>
      <c r="C7" s="1330" t="inlineStr">
        <is>
          <t>Sale Date</t>
        </is>
      </c>
      <c r="D7" s="1331" t="inlineStr">
        <is>
          <t>Adj S P  / SF</t>
        </is>
      </c>
      <c r="E7" s="1330" t="inlineStr">
        <is>
          <t>Building Size</t>
        </is>
      </c>
      <c r="F7" s="1330" t="inlineStr">
        <is>
          <t>Zoning</t>
        </is>
      </c>
      <c r="G7" s="1330" t="inlineStr">
        <is>
          <t>Comments</t>
        </is>
      </c>
      <c r="H7" s="1330" t="n"/>
      <c r="I7" s="1331" t="inlineStr">
        <is>
          <t>of the Subject</t>
        </is>
      </c>
    </row>
    <row r="8" ht="14.25" customHeight="1" thickBot="1" thickTop="1">
      <c r="B8" s="1271" t="n"/>
      <c r="C8" s="1271" t="n"/>
      <c r="D8" s="1271" t="n"/>
      <c r="E8" s="1271" t="n"/>
      <c r="F8" s="1271" t="n"/>
      <c r="G8" s="1271" t="n"/>
      <c r="H8" s="1271" t="n"/>
      <c r="I8" s="1271" t="n"/>
    </row>
    <row r="9" ht="13.5" customHeight="1" thickTop="1">
      <c r="B9" s="1332" t="n"/>
      <c r="C9" s="1332" t="n"/>
      <c r="D9" s="1333" t="n"/>
      <c r="E9" s="1334" t="n"/>
      <c r="F9" s="1334" t="n"/>
      <c r="G9" s="1335" t="n"/>
      <c r="H9" s="1335" t="n"/>
      <c r="I9" s="1334" t="n"/>
    </row>
    <row r="10">
      <c r="B10" s="1332" t="n"/>
      <c r="C10" s="1332" t="n"/>
      <c r="D10" s="1336">
        <f>D9/E12</f>
        <v/>
      </c>
      <c r="E10" s="1337" t="n"/>
      <c r="F10" s="1334" t="n"/>
      <c r="G10" s="1335" t="n"/>
      <c r="H10" s="1335" t="n"/>
      <c r="I10" s="1338">
        <f>IF(E12="","",ROUND(I12/E12,2))</f>
        <v/>
      </c>
    </row>
    <row r="11">
      <c r="B11" s="1339" t="n"/>
      <c r="C11" s="1339" t="n"/>
      <c r="D11" s="1333" t="n"/>
      <c r="E11" s="1340" t="n"/>
      <c r="F11" s="1334" t="n"/>
      <c r="G11" s="1335" t="n"/>
      <c r="H11" s="1335" t="n"/>
      <c r="I11" s="1334" t="n"/>
    </row>
    <row r="12" ht="13.5" customHeight="1" thickBot="1">
      <c r="B12" s="1332" t="n"/>
      <c r="C12" s="1341" t="n"/>
      <c r="D12" s="1342" t="n"/>
      <c r="E12" s="1337" t="n"/>
      <c r="F12" s="1334" t="n"/>
      <c r="G12" s="1335" t="n"/>
      <c r="H12" s="1335" t="n"/>
      <c r="I12" s="1343" t="n"/>
    </row>
    <row r="13" ht="13.5" customHeight="1" thickTop="1">
      <c r="B13" s="1271" t="n"/>
      <c r="C13" s="1271" t="n"/>
      <c r="D13" s="1271" t="n"/>
      <c r="E13" s="1271" t="n"/>
      <c r="F13" s="1271" t="n"/>
      <c r="G13" s="1271" t="n"/>
      <c r="H13" s="1271" t="n"/>
      <c r="I13" s="1344" t="n"/>
    </row>
    <row r="14">
      <c r="I14" s="546" t="n"/>
    </row>
    <row r="15" ht="17" customHeight="1" thickBot="1">
      <c r="A15" s="1329" t="inlineStr">
        <is>
          <t>COMPARABLE SALE PROPERTIES</t>
        </is>
      </c>
      <c r="B15" s="1329" t="n"/>
      <c r="C15" s="1329" t="n"/>
      <c r="D15" s="1329" t="n"/>
      <c r="E15" s="1329" t="n"/>
      <c r="F15" s="1329" t="n"/>
      <c r="G15" s="1329" t="n"/>
      <c r="H15" s="1329" t="n"/>
      <c r="I15" s="1329" t="n"/>
      <c r="J15" s="977" t="n"/>
      <c r="K15" s="977" t="n"/>
    </row>
    <row r="16" ht="13.5" customHeight="1" thickTop="1">
      <c r="A16" s="1276" t="n"/>
      <c r="B16" s="1330" t="inlineStr">
        <is>
          <t>Account Number</t>
        </is>
      </c>
      <c r="C16" s="1330" t="inlineStr">
        <is>
          <t>Grantor</t>
        </is>
      </c>
      <c r="D16" s="1330" t="inlineStr">
        <is>
          <t xml:space="preserve">Sale Price </t>
        </is>
      </c>
      <c r="E16" s="1330" t="inlineStr">
        <is>
          <t>Location</t>
        </is>
      </c>
      <c r="F16" s="1330" t="inlineStr">
        <is>
          <t>Age</t>
        </is>
      </c>
      <c r="G16" s="1330" t="n"/>
      <c r="H16" s="1330" t="n"/>
      <c r="I16" s="1330" t="inlineStr">
        <is>
          <t>Indicated Value</t>
        </is>
      </c>
    </row>
    <row r="17">
      <c r="A17" s="1276" t="n"/>
      <c r="B17" s="1330" t="inlineStr">
        <is>
          <t>Property Address</t>
        </is>
      </c>
      <c r="C17" s="1330" t="inlineStr">
        <is>
          <t>Grantee</t>
        </is>
      </c>
      <c r="D17" s="1330" t="inlineStr">
        <is>
          <t>Sale Price  / SF</t>
        </is>
      </c>
      <c r="E17" s="1330" t="inlineStr">
        <is>
          <t>Land Size</t>
        </is>
      </c>
      <c r="F17" s="1330" t="inlineStr">
        <is>
          <t>Quality</t>
        </is>
      </c>
      <c r="G17" s="1330" t="n"/>
      <c r="H17" s="1330" t="inlineStr">
        <is>
          <t>Adjusted</t>
        </is>
      </c>
      <c r="I17" s="1331" t="inlineStr">
        <is>
          <t>of the Subject/SF</t>
        </is>
      </c>
    </row>
    <row r="18">
      <c r="A18" s="1276" t="n"/>
      <c r="B18" s="1330" t="inlineStr">
        <is>
          <t>Parcel Number</t>
        </is>
      </c>
      <c r="C18" s="1330" t="inlineStr">
        <is>
          <t>Reception Number</t>
        </is>
      </c>
      <c r="D18" s="1331" t="inlineStr">
        <is>
          <t>PP/Time/Mkt Cond Adj</t>
        </is>
      </c>
      <c r="E18" s="1330" t="inlineStr">
        <is>
          <t>L : B  Ratio</t>
        </is>
      </c>
      <c r="F18" s="1331" t="inlineStr">
        <is>
          <t>Phy/Funct Rating</t>
        </is>
      </c>
      <c r="G18" s="1331" t="inlineStr">
        <is>
          <t>Net</t>
        </is>
      </c>
      <c r="H18" s="1330" t="inlineStr">
        <is>
          <t>Sale</t>
        </is>
      </c>
      <c r="I18" s="1331" t="inlineStr">
        <is>
          <t>Indicated Value</t>
        </is>
      </c>
    </row>
    <row r="19" ht="13.5" customHeight="1" thickBot="1">
      <c r="A19" s="1276" t="n"/>
      <c r="B19" s="1331" t="inlineStr">
        <is>
          <t>Property Type</t>
        </is>
      </c>
      <c r="C19" s="1330" t="inlineStr">
        <is>
          <t>Sale Date</t>
        </is>
      </c>
      <c r="D19" s="1331" t="inlineStr">
        <is>
          <t>Adj S P  / SF</t>
        </is>
      </c>
      <c r="E19" s="1330" t="inlineStr">
        <is>
          <t>Building Size/Keys</t>
        </is>
      </c>
      <c r="F19" s="1330" t="inlineStr">
        <is>
          <t>Zoning</t>
        </is>
      </c>
      <c r="G19" s="1331" t="inlineStr">
        <is>
          <t>Adj.</t>
        </is>
      </c>
      <c r="H19" s="1330" t="inlineStr">
        <is>
          <t>Price/SF</t>
        </is>
      </c>
      <c r="I19" s="1331" t="inlineStr">
        <is>
          <t>of the Subject</t>
        </is>
      </c>
    </row>
    <row r="20" ht="14.25" customHeight="1" thickBot="1" thickTop="1"/>
    <row r="21" ht="13.5" customHeight="1" thickTop="1">
      <c r="A21" s="1345" t="inlineStr">
        <is>
          <t>Best Match #1</t>
        </is>
      </c>
      <c r="B21" s="1346">
        <f>IF(IFERROR(INDEX(Sales!C:C,$Z$21),"")="","",+" "&amp;IFERROR(INDEX(Sales!C:C,$Z$21),""))</f>
        <v/>
      </c>
      <c r="C21" s="1346">
        <f>IF(IFERROR(INDEX(Sales!AE:AE,$Z$21),"")="","",IFERROR(INDEX(Sales!AE:AE,$Z$21),""))</f>
        <v/>
      </c>
      <c r="D21" s="1347">
        <f>IF(IFERROR(INDEX(Sales!AA:AA,$Z$21),"")="","",IFERROR(INDEX(Sales!AA:AA,$Z$21),""))</f>
        <v/>
      </c>
      <c r="E21" s="1347">
        <f>IF(IFERROR(INDEX(Sales!F:F,$Z$21),"")="","",IFERROR(INDEX(Sales!F:F,$Z$21),""))</f>
        <v/>
      </c>
      <c r="F21" s="1348">
        <f>IF(IFERROR(INDEX(Sales!M:M,$Z$21),"")="","",IFERROR(INDEX(Sales!M:M,$Z$21),""))</f>
        <v/>
      </c>
      <c r="G21" s="1349" t="n"/>
      <c r="H21" s="1350" t="n"/>
      <c r="I21" s="1350" t="n"/>
      <c r="Y21" s="1031" t="n">
        <v>1</v>
      </c>
      <c r="Z21">
        <f>IFERROR(MATCH(_xlfn.AGGREGATE(15,6,Sales!$AJ$2:$AJ$941,$Y$21),Sales!$AJ$2:$AJ$941,0)+1,"")</f>
        <v/>
      </c>
    </row>
    <row r="22">
      <c r="A22" s="1496" t="n"/>
      <c r="B22" s="1346">
        <f>IF(IFERROR(INDEX(Sales!D:D,$Z$21),"")="","",IFERROR(INDEX(Sales!D:D,$Z$21),""))</f>
        <v/>
      </c>
      <c r="C22" s="1346">
        <f>IF(IFERROR(INDEX(Sales!AF:AF,$Z$21),"")="","",IFERROR(INDEX(Sales!AF:AF,$Z$21),""))</f>
        <v/>
      </c>
      <c r="D22" s="1351">
        <f>IF(IFERROR(INDEX(Sales!H:H,$Z$21),"")="","",IFERROR(INDEX(Sales!H:H,$Z$21),""))</f>
        <v/>
      </c>
      <c r="E22" s="1352">
        <f>IF(IFERROR(INDEX(Sales!S:S,$Z$21),"")="","",IFERROR(INDEX(Sales!S:S,$Z$21),""))</f>
        <v/>
      </c>
      <c r="F22" s="1353">
        <f>IF(IFERROR(INDEX(Sales!R:R,$Z$21),"")="","",IFERROR(VLOOKUP(IFERROR(INDEX(Sales!R:R,$Z$21),""),[0]!GRADE,2),IFERROR(INDEX(Sales!R:R,$Z$21),"")))</f>
        <v/>
      </c>
      <c r="G22" s="1350" t="n"/>
      <c r="H22" s="1350" t="n"/>
      <c r="I22" s="1354">
        <f>IF(H24="","",H24)</f>
        <v/>
      </c>
    </row>
    <row r="23">
      <c r="A23" s="1496" t="n"/>
      <c r="B23" s="1346">
        <f>IF(IFERROR(INDEX(Sales!AC:AC,$Z$21),"")="","",+IFERROR(INDEX(Sales!AC:AC,$Z$21),""))</f>
        <v/>
      </c>
      <c r="C23" s="1346">
        <f>IF(IFERROR(INDEX(Sales!AD:AD,$Z$21),"")="","",IFERROR(INDEX(Sales!AD:AD,$Z$21),""))</f>
        <v/>
      </c>
      <c r="D23" s="1355" t="n"/>
      <c r="E23" s="1348">
        <f>IF(IFERROR(INDEX(Sales!T:T,$Z$21),"")="","",IFERROR(INDEX(Sales!T:T,$Z$21),""))</f>
        <v/>
      </c>
      <c r="F23" s="1294">
        <f>IF(IFERROR(INDEX(Sales!V:V,$Z$21),"")="","",IFERROR(VLOOKUP(IFERROR(INDEX(Sales!V:V,$Z$21),""),Codes!$A$12:$B$16,2),IFERROR(INDEX(Sales!V:V,$Z$21),"")))</f>
        <v/>
      </c>
      <c r="G23" s="1350" t="n"/>
      <c r="H23" s="1350" t="n"/>
      <c r="I23" s="1350" t="n"/>
    </row>
    <row r="24" ht="13.5" customHeight="1" thickBot="1">
      <c r="A24" s="1497" t="n"/>
      <c r="B24" s="1356">
        <f>IF(IFERROR(INDEX(Sales!E:E,$Z$21),"")="","",+" "&amp;IFERROR(VLOOKUP(IFERROR(INDEX(Sales!E:E,$Z$21),""),[0]!Class,2),IFERROR(INDEX(Sales!E:E,$Z$21),"")))</f>
        <v/>
      </c>
      <c r="C24" s="1357">
        <f>IF(IFERROR(INDEX(Sales!I:I,$Z$21),"")="","",IFERROR(INDEX(Sales!I:I,$Z$21),""))</f>
        <v/>
      </c>
      <c r="D24" s="1351">
        <f>IF(D21="","",ROUND((D21+D23)/E24,2))</f>
        <v/>
      </c>
      <c r="E24" s="1352">
        <f>IF(IFERROR(INDEX(Sales!L:L,$Z$21),"")="","",IFERROR(INDEX(Sales!L:L,$Z$21),""))</f>
        <v/>
      </c>
      <c r="F24" s="1348">
        <f>IF(IFERROR(INDEX(Sales!P:P,$Z$21),"")="","",IFERROR(INDEX(Sales!P:P,$Z$21),""))</f>
        <v/>
      </c>
      <c r="G24" s="1358" t="n"/>
      <c r="H24" s="1354">
        <f>IF(D24="","",ROUND(D24*(1+G24),2))</f>
        <v/>
      </c>
      <c r="I24" s="1359">
        <f>IF(E12="","",ROUND(E12*H24,-2))</f>
        <v/>
      </c>
    </row>
    <row r="25" ht="14.25" customHeight="1" thickBot="1" thickTop="1">
      <c r="A25" s="453" t="n"/>
      <c r="G25" s="454" t="n"/>
      <c r="I25" s="555" t="n"/>
    </row>
    <row r="26" ht="13.5" customHeight="1" thickTop="1">
      <c r="A26" s="1345" t="inlineStr">
        <is>
          <t>Best Match #2</t>
        </is>
      </c>
      <c r="B26" s="1360">
        <f>IF(IFERROR(INDEX(Sales!C:C,$Z$26),"")="","",+" "&amp;IFERROR(INDEX(Sales!C:C,$Z$26),""))</f>
        <v/>
      </c>
      <c r="C26" s="1360">
        <f>IF(IFERROR(INDEX(Sales!AE:AE,$Z$26),"")="","",IFERROR(INDEX(Sales!AE:AE,$Z$26),""))</f>
        <v/>
      </c>
      <c r="D26" s="1361">
        <f>IF(IFERROR(INDEX(Sales!AA:AA,$Z$26),"")="","",IFERROR(INDEX(Sales!AA:AA,$Z$26),""))</f>
        <v/>
      </c>
      <c r="E26" s="1361">
        <f>IF(IFERROR(INDEX(Sales!F:F,$Z$26),"")="","",IFERROR(INDEX(Sales!F:F,$Z$26),""))</f>
        <v/>
      </c>
      <c r="F26" s="1362">
        <f>IF(IFERROR(INDEX(Sales!M:M,$Z$26),"")="","",IFERROR(INDEX(Sales!M:M,$Z$26),""))</f>
        <v/>
      </c>
      <c r="G26" s="1363" t="n"/>
      <c r="H26" s="1350" t="n"/>
      <c r="I26" s="1350" t="n"/>
      <c r="Y26" s="1031" t="n">
        <v>2</v>
      </c>
      <c r="Z26">
        <f>IFERROR(MATCH(_xlfn.AGGREGATE(15,6,Sales!$AJ$2:$AJ$941,$Y$26),Sales!$AJ$2:$AJ$941,0)+1,"")</f>
        <v/>
      </c>
    </row>
    <row r="27">
      <c r="A27" s="1496" t="n"/>
      <c r="B27" s="1360">
        <f>IF(IFERROR(INDEX(Sales!D:D,$Z$26),"")="","",IFERROR(INDEX(Sales!D:D,$Z$26),""))</f>
        <v/>
      </c>
      <c r="C27" s="1360">
        <f>IF(IFERROR(INDEX(Sales!AF:AF,$Z$26),"")="","",IFERROR(INDEX(Sales!AF:AF,$Z$26),""))</f>
        <v/>
      </c>
      <c r="D27" s="1364">
        <f>IF(IFERROR(INDEX(Sales!H:H,$Z$26),"")="","",IFERROR(INDEX(Sales!H:H,$Z$26),""))</f>
        <v/>
      </c>
      <c r="E27" s="1365">
        <f>IF(IFERROR(INDEX(Sales!S:S,$Z$26),"")="","",IFERROR(INDEX(Sales!S:S,$Z$26),""))</f>
        <v/>
      </c>
      <c r="F27" s="1362">
        <f>IF(IFERROR(INDEX(Sales!R:R,$Z$26),"")="","",IFERROR(VLOOKUP(IFERROR(INDEX(Sales!R:R,$Z$26),""),[0]!GRADE,2),IFERROR(INDEX(Sales!R:R,$Z$26),"")))</f>
        <v/>
      </c>
      <c r="G27" s="1350" t="n"/>
      <c r="H27" s="1350" t="n"/>
      <c r="I27" s="1354">
        <f>IF(H29="","",H29)</f>
        <v/>
      </c>
    </row>
    <row r="28">
      <c r="A28" s="1496" t="n"/>
      <c r="B28" s="1360">
        <f>IF(IFERROR(INDEX(Sales!AC:AC,$Z$26),"")="","",+IFERROR(INDEX(Sales!AC:AC,$Z$26),""))</f>
        <v/>
      </c>
      <c r="C28" s="1360">
        <f>IF(IFERROR(INDEX(Sales!AD:AD,$Z$26),"")="","",IFERROR(INDEX(Sales!AD:AD,$Z$26),""))</f>
        <v/>
      </c>
      <c r="D28" s="1355" t="n"/>
      <c r="E28" s="1362">
        <f>IF(IFERROR(INDEX(Sales!T:T,$Z$26),"")="","",IFERROR(INDEX(Sales!T:T,$Z$26),""))</f>
        <v/>
      </c>
      <c r="F28" s="1362">
        <f>IF(IFERROR(INDEX(Sales!V:V,$Z$26),"")="","",IFERROR(VLOOKUP(IFERROR(INDEX(Sales!V:V,$Z$26),""),Codes!$A$12:$B$16,2),IFERROR(INDEX(Sales!V:V,$Z$26),"")))</f>
        <v/>
      </c>
      <c r="G28" s="1350" t="n"/>
      <c r="H28" s="1350" t="n"/>
      <c r="I28" s="1350" t="n"/>
    </row>
    <row r="29" ht="13.5" customHeight="1" thickBot="1">
      <c r="A29" s="1497" t="n"/>
      <c r="B29" s="1366">
        <f>IF(IFERROR(INDEX(Sales!E:E,$Z$26),"")="","",+" "&amp;IFERROR(VLOOKUP(IFERROR(INDEX(Sales!E:E,$Z$26),""),[0]!Class,2),IFERROR(INDEX(Sales!E:E,$Z$26),"")))</f>
        <v/>
      </c>
      <c r="C29" s="1367">
        <f>IF(IFERROR(INDEX(Sales!I:I,$Z$26),"")="","",IFERROR(INDEX(Sales!I:I,$Z$26),""))</f>
        <v/>
      </c>
      <c r="D29" s="1364">
        <f>IF(D26="","",ROUND((D26+D28)/E29,2))</f>
        <v/>
      </c>
      <c r="E29" s="1365">
        <f>IF(IFERROR(INDEX(Sales!L:L,$Z$26),"")="","",IFERROR(INDEX(Sales!L:L,$Z$26),""))</f>
        <v/>
      </c>
      <c r="F29" s="1362">
        <f>IF(IFERROR(INDEX(Sales!P:P,$Z$26),"")="","",IFERROR(INDEX(Sales!P:P,$Z$26),""))</f>
        <v/>
      </c>
      <c r="G29" s="1358" t="n"/>
      <c r="H29" s="1354">
        <f>IF(D29="","",ROUND(D29*(1+G29),2))</f>
        <v/>
      </c>
      <c r="I29" s="1359">
        <f>IF(E12="","",ROUND(E12*H29,-2))</f>
        <v/>
      </c>
    </row>
    <row r="30" ht="14.25" customHeight="1" thickBot="1" thickTop="1">
      <c r="A30" s="453" t="n"/>
      <c r="G30" s="454" t="n"/>
      <c r="I30" s="555" t="n"/>
    </row>
    <row r="31" ht="13.5" customHeight="1" thickTop="1">
      <c r="A31" s="1345" t="inlineStr">
        <is>
          <t>Best Match #3</t>
        </is>
      </c>
      <c r="B31" s="1346">
        <f>IF(IFERROR(INDEX(Sales!C:C,$Z$31),"")="","",+" "&amp;IFERROR(INDEX(Sales!C:C,$Z$31),""))</f>
        <v/>
      </c>
      <c r="C31" s="1346">
        <f>IF(IFERROR(INDEX(Sales!AE:AE,$Z$31),"")="","",IFERROR(INDEX(Sales!AE:AE,$Z$31),""))</f>
        <v/>
      </c>
      <c r="D31" s="1347">
        <f>IF(IFERROR(INDEX(Sales!AA:AA,$Z$31),"")="","",IFERROR(INDEX(Sales!AA:AA,$Z$31),""))</f>
        <v/>
      </c>
      <c r="E31" s="1347">
        <f>IF(IFERROR(INDEX(Sales!F:F,$Z$31),"")="","",IFERROR(INDEX(Sales!F:F,$Z$31),""))</f>
        <v/>
      </c>
      <c r="F31" s="1348">
        <f>IF(IFERROR(INDEX(Sales!M:M,$Z$31),"")="","",IFERROR(INDEX(Sales!M:M,$Z$31),""))</f>
        <v/>
      </c>
      <c r="G31" s="1349" t="n"/>
      <c r="H31" s="1350" t="n"/>
      <c r="I31" s="1350" t="n"/>
      <c r="Y31" s="1031" t="n">
        <v>3</v>
      </c>
      <c r="Z31">
        <f>IFERROR(MATCH(_xlfn.AGGREGATE(15,6,Sales!$AJ$2:$AJ$941,$Y$31),Sales!$AJ$2:$AJ$941,0)+1,"")</f>
        <v/>
      </c>
    </row>
    <row r="32">
      <c r="A32" s="1496" t="n"/>
      <c r="B32" s="1346">
        <f>IF(IFERROR(INDEX(Sales!D:D,$Z$31),"")="","",IFERROR(INDEX(Sales!D:D,$Z$31),""))</f>
        <v/>
      </c>
      <c r="C32" s="1346">
        <f>IF(IFERROR(INDEX(Sales!AF:AF,$Z$31),"")="","",IFERROR(INDEX(Sales!AF:AF,$Z$31),""))</f>
        <v/>
      </c>
      <c r="D32" s="1351">
        <f>IF(IFERROR(INDEX(Sales!H:H,$Z$31),"")="","",IFERROR(INDEX(Sales!H:H,$Z$31),""))</f>
        <v/>
      </c>
      <c r="E32" s="1352">
        <f>IF(IFERROR(INDEX(Sales!S:S,$Z$31),"")="","",IFERROR(INDEX(Sales!S:S,$Z$31),""))</f>
        <v/>
      </c>
      <c r="F32" s="1348">
        <f>IF(IFERROR(INDEX(Sales!R:R,$Z$31),"")="","",IFERROR(VLOOKUP(IFERROR(INDEX(Sales!R:R,$Z$31),""),[0]!GRADE,2),IFERROR(INDEX(Sales!R:R,$Z$31),"")))</f>
        <v/>
      </c>
      <c r="G32" s="1350" t="n"/>
      <c r="H32" s="1350" t="n"/>
      <c r="I32" s="1354">
        <f>IF(H34="","",H34)</f>
        <v/>
      </c>
    </row>
    <row r="33">
      <c r="A33" s="1496" t="n"/>
      <c r="B33" s="1346">
        <f>IF(IFERROR(INDEX(Sales!AC:AC,$Z$31),"")="","",+IFERROR(INDEX(Sales!AC:AC,$Z$31),""))</f>
        <v/>
      </c>
      <c r="C33" s="1346">
        <f>IF(IFERROR(INDEX(Sales!AD:AD,$Z$31),"")="","",IFERROR(INDEX(Sales!AD:AD,$Z$31),""))</f>
        <v/>
      </c>
      <c r="D33" s="1355" t="n"/>
      <c r="E33" s="1348">
        <f>IF(IFERROR(INDEX(Sales!T:T,$Z$31),"")="","",IFERROR(INDEX(Sales!T:T,$Z$31),""))</f>
        <v/>
      </c>
      <c r="F33" s="1348">
        <f>IF(IFERROR(INDEX(Sales!V:V,$Z$31),"")="","",IFERROR(VLOOKUP(IFERROR(INDEX(Sales!V:V,$Z$31),""),Codes!$A$12:$B$16,2),IFERROR(INDEX(Sales!V:V,$Z$31),"")))</f>
        <v/>
      </c>
      <c r="G33" s="1350" t="n"/>
      <c r="H33" s="1350" t="n"/>
      <c r="I33" s="1350" t="n"/>
      <c r="K33" s="555" t="n"/>
    </row>
    <row r="34" ht="13.5" customHeight="1" thickBot="1">
      <c r="A34" s="1497" t="n"/>
      <c r="B34" s="1356">
        <f>IF(IFERROR(INDEX(Sales!E:E,$Z$31),"")="","",+" "&amp;IFERROR(VLOOKUP(IFERROR(INDEX(Sales!E:E,$Z$31),""),[0]!Class,2),IFERROR(INDEX(Sales!E:E,$Z$31),"")))</f>
        <v/>
      </c>
      <c r="C34" s="1357">
        <f>IF(IFERROR(INDEX(Sales!I:I,$Z$31),"")="","",IFERROR(INDEX(Sales!I:I,$Z$31),""))</f>
        <v/>
      </c>
      <c r="D34" s="1351">
        <f>IF(D31="","",ROUND((D31+D33)/E34,2))</f>
        <v/>
      </c>
      <c r="E34" s="1352">
        <f>IF(IFERROR(INDEX(Sales!L:L,$Z$31),"")="","",IFERROR(INDEX(Sales!L:L,$Z$31),""))</f>
        <v/>
      </c>
      <c r="F34" s="1348">
        <f>IF(IFERROR(INDEX(Sales!P:P,$Z$31),"")="","",IFERROR(INDEX(Sales!P:P,$Z$31),""))</f>
        <v/>
      </c>
      <c r="G34" s="1358" t="n"/>
      <c r="H34" s="1354">
        <f>IF(D34="","",ROUND(D34*(1+G34),2))</f>
        <v/>
      </c>
      <c r="I34" s="1359">
        <f>IF(E12="","",ROUND(E12*H34,-2))</f>
        <v/>
      </c>
    </row>
    <row r="35" ht="14.25" customHeight="1" thickBot="1" thickTop="1">
      <c r="A35" s="453" t="n"/>
      <c r="G35" s="454" t="n"/>
      <c r="I35" s="555" t="n"/>
    </row>
    <row r="36" ht="13.5" customHeight="1" thickTop="1">
      <c r="A36" s="1345" t="inlineStr">
        <is>
          <t>Best Match #4</t>
        </is>
      </c>
      <c r="B36" s="1360">
        <f>IF(IFERROR(INDEX(Sales!C:C,$Z$36),"")="","",+" "&amp;IFERROR(INDEX(Sales!C:C,$Z$36),""))</f>
        <v/>
      </c>
      <c r="C36" s="1360">
        <f>IF(IFERROR(INDEX(Sales!AE:AE,$Z$36),"")="","",IFERROR(INDEX(Sales!AE:AE,$Z$36),""))</f>
        <v/>
      </c>
      <c r="D36" s="1361">
        <f>IF(IFERROR(INDEX(Sales!AA:AA,$Z$36),"")="","",IFERROR(INDEX(Sales!AA:AA,$Z$36),""))</f>
        <v/>
      </c>
      <c r="E36" s="1361">
        <f>IF(IFERROR(INDEX(Sales!F:F,$Z$36),"")="","",IFERROR(INDEX(Sales!F:F,$Z$36),""))</f>
        <v/>
      </c>
      <c r="F36" s="1362">
        <f>IF(IFERROR(INDEX(Sales!M:M,$Z$36),"")="","",IFERROR(INDEX(Sales!M:M,$Z$36),""))</f>
        <v/>
      </c>
      <c r="G36" s="1350" t="n"/>
      <c r="H36" s="1350" t="n"/>
      <c r="I36" s="1350" t="n"/>
      <c r="Y36" s="1031" t="n">
        <v>4</v>
      </c>
      <c r="Z36">
        <f>IFERROR(MATCH(_xlfn.AGGREGATE(15,6,Sales!$AJ$2:$AJ$941,$Y$36),Sales!$AJ$2:$AJ$941,0)+1,"")</f>
        <v/>
      </c>
    </row>
    <row r="37">
      <c r="A37" s="1496" t="n"/>
      <c r="B37" s="1360">
        <f>IF(IFERROR(INDEX(Sales!D:D,$Z$36),"")="","",IFERROR(INDEX(Sales!D:D,$Z$36),""))</f>
        <v/>
      </c>
      <c r="C37" s="1360">
        <f>IF(IFERROR(INDEX(Sales!AF:AF,$Z$36),"")="","",IFERROR(INDEX(Sales!AF:AF,$Z$36),""))</f>
        <v/>
      </c>
      <c r="D37" s="1364">
        <f>IF(IFERROR(INDEX(Sales!H:H,$Z$36),"")="","",IFERROR(INDEX(Sales!H:H,$Z$36),""))</f>
        <v/>
      </c>
      <c r="E37" s="1365">
        <f>IF(IFERROR(INDEX(Sales!S:S,$Z$36),"")="","",IFERROR(INDEX(Sales!S:S,$Z$36),""))</f>
        <v/>
      </c>
      <c r="F37" s="1362">
        <f>IF(IFERROR(INDEX(Sales!R:R,$Z$36),"")="","",IFERROR(VLOOKUP(IFERROR(INDEX(Sales!R:R,$Z$36),""),[0]!GRADE,2),IFERROR(INDEX(Sales!R:R,$Z$36),"")))</f>
        <v/>
      </c>
      <c r="G37" s="1350" t="n"/>
      <c r="H37" s="1350" t="n"/>
      <c r="I37" s="1354">
        <f>IF(H39="","",H39)</f>
        <v/>
      </c>
    </row>
    <row r="38">
      <c r="A38" s="1497" t="n"/>
      <c r="B38" s="1360">
        <f>IF(IFERROR(INDEX(Sales!AC:AC,$Z$36),"")="","",+IFERROR(INDEX(Sales!AC:AC,$Z$36),""))</f>
        <v/>
      </c>
      <c r="C38" s="1360">
        <f>IF(IFERROR(INDEX(Sales!AD:AD,$Z$36),"")="","",IFERROR(INDEX(Sales!AD:AD,$Z$36),""))</f>
        <v/>
      </c>
      <c r="D38" s="1355" t="n"/>
      <c r="E38" s="1362">
        <f>IF(IFERROR(INDEX(Sales!T:T,$Z$36),"")="","",IFERROR(INDEX(Sales!T:T,$Z$36),""))</f>
        <v/>
      </c>
      <c r="F38" s="1362">
        <f>IF(IFERROR(INDEX(Sales!V:V,$Z$36),"")="","",IFERROR(VLOOKUP(IFERROR(INDEX(Sales!V:V,$Z$36),""),Codes!$A$12:$B$16,2),IFERROR(INDEX(Sales!V:V,$Z$36),"")))</f>
        <v/>
      </c>
      <c r="G38" s="1350" t="n"/>
      <c r="H38" s="1350" t="n"/>
      <c r="I38" s="1350" t="n"/>
    </row>
    <row r="39" ht="13.5" customHeight="1" thickBot="1">
      <c r="A39" s="1271" t="n"/>
      <c r="B39" s="1366">
        <f>IF(IFERROR(INDEX(Sales!E:E,$Z$36),"")="","",+" "&amp;IFERROR(VLOOKUP(IFERROR(INDEX(Sales!E:E,$Z$36),""),[0]!Class,2),IFERROR(INDEX(Sales!E:E,$Z$36),"")))</f>
        <v/>
      </c>
      <c r="C39" s="1367">
        <f>IF(IFERROR(INDEX(Sales!I:I,$Z$36),"")="","",IFERROR(INDEX(Sales!I:I,$Z$36),""))</f>
        <v/>
      </c>
      <c r="D39" s="1364">
        <f>IF(D36="","",ROUND((D36+D38)/E39,2))</f>
        <v/>
      </c>
      <c r="E39" s="1365">
        <f>IF(IFERROR(INDEX(Sales!L:L,$Z$36),"")="","",IFERROR(INDEX(Sales!L:L,$Z$36),""))</f>
        <v/>
      </c>
      <c r="F39" s="1362">
        <f>IF(IFERROR(INDEX(Sales!P:P,$Z$36),"")="","",IFERROR(INDEX(Sales!P:P,$Z$36),""))</f>
        <v/>
      </c>
      <c r="G39" s="1358" t="n"/>
      <c r="H39" s="1354">
        <f>IF(D39="","",ROUND(D39*(1+G39),2))</f>
        <v/>
      </c>
      <c r="I39" s="1359">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fitToHeight="0" fitToWidth="1"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001F4E78"/>
    <outlinePr summaryBelow="1" summaryRight="1"/>
    <pageSetUpPr fitToPage="1"/>
  </sheetPr>
  <dimension ref="A1:H41"/>
  <sheetViews>
    <sheetView showGridLines="0" zoomScale="85" zoomScaleNormal="125" zoomScaleSheetLayoutView="100" workbookViewId="0">
      <pane ySplit="4" topLeftCell="A5" activePane="bottomLeft" state="frozen"/>
      <selection pane="bottomLeft" activeCell="E47" sqref="E47"/>
    </sheetView>
  </sheetViews>
  <sheetFormatPr baseColWidth="8" defaultColWidth="12.5" defaultRowHeight="12.75"/>
  <cols>
    <col width="6" customWidth="1" style="132" min="1" max="1"/>
    <col width="20" customWidth="1" style="132" min="2" max="2"/>
    <col width="19" customWidth="1" style="133" min="3" max="6"/>
    <col width="15" customWidth="1" min="4" max="4"/>
    <col width="18" customWidth="1" min="5" max="5"/>
    <col width="8" customWidth="1" min="6" max="6"/>
    <col width="13" customWidth="1" style="133" min="7" max="7"/>
    <col width="14" customWidth="1" style="132" min="8" max="8"/>
    <col width="12.5" customWidth="1" style="132" min="9" max="16384"/>
  </cols>
  <sheetData>
    <row r="1" ht="32.25" customHeight="1">
      <c r="B1" t="n"/>
    </row>
    <row r="2" ht="24" customHeight="1">
      <c r="A2" s="977" t="n"/>
      <c r="B2" s="1368" t="inlineStr">
        <is>
          <t>RENT COMPARABLES</t>
        </is>
      </c>
      <c r="C2" s="1368" t="n"/>
      <c r="D2" s="1368" t="n"/>
      <c r="E2" s="1368" t="n"/>
      <c r="F2" s="1368" t="n"/>
      <c r="G2" s="1368" t="n"/>
      <c r="H2" s="1368" t="n"/>
    </row>
    <row r="4" ht="17" customHeight="1" thickBot="1">
      <c r="B4" s="1369" t="inlineStr">
        <is>
          <t>SUBJECT</t>
        </is>
      </c>
      <c r="C4" s="1369" t="n"/>
      <c r="D4" s="1369" t="n"/>
      <c r="E4" s="1369" t="n"/>
      <c r="F4" s="1369" t="n"/>
      <c r="G4" s="1369" t="n"/>
      <c r="H4" s="1369" t="n"/>
    </row>
    <row r="5" ht="13.5" customHeight="1" thickTop="1">
      <c r="B5" s="1370" t="inlineStr">
        <is>
          <t>Schedule Number</t>
        </is>
      </c>
      <c r="C5" s="1371" t="inlineStr">
        <is>
          <t>Rent/Sq.Ft.</t>
        </is>
      </c>
      <c r="D5" s="1370" t="inlineStr">
        <is>
          <t>Location</t>
        </is>
      </c>
      <c r="E5" s="1370" t="inlineStr">
        <is>
          <t>Age</t>
        </is>
      </c>
      <c r="F5" s="1370" t="n"/>
      <c r="G5" s="1370" t="n"/>
      <c r="H5" s="1370" t="n"/>
    </row>
    <row r="6">
      <c r="B6" s="1370" t="inlineStr">
        <is>
          <t>Property Address</t>
        </is>
      </c>
      <c r="C6" s="1371" t="inlineStr">
        <is>
          <t>Vacancy</t>
        </is>
      </c>
      <c r="D6" s="1370" t="inlineStr">
        <is>
          <t>Land Size</t>
        </is>
      </c>
      <c r="E6" s="1370" t="inlineStr">
        <is>
          <t>Quality</t>
        </is>
      </c>
      <c r="F6" s="1370" t="n"/>
      <c r="G6" s="1370" t="n"/>
      <c r="H6" s="1370" t="n"/>
    </row>
    <row r="7">
      <c r="B7" s="1370" t="inlineStr">
        <is>
          <t>Property Name</t>
        </is>
      </c>
      <c r="C7" s="1370" t="inlineStr">
        <is>
          <t>Expense / Sq. Ft.</t>
        </is>
      </c>
      <c r="D7" s="1370" t="inlineStr">
        <is>
          <t>L:B Ratio</t>
        </is>
      </c>
      <c r="E7" s="1370" t="inlineStr">
        <is>
          <t>Phy/Funct Rating</t>
        </is>
      </c>
      <c r="F7" s="1370" t="n"/>
      <c r="G7" s="1370" t="n"/>
      <c r="H7" s="1370" t="n"/>
    </row>
    <row r="8" ht="13.5" customHeight="1" thickBot="1">
      <c r="B8" s="1370" t="inlineStr">
        <is>
          <t>Property Type</t>
        </is>
      </c>
      <c r="C8" s="1371" t="inlineStr">
        <is>
          <t>Expense Ratio</t>
        </is>
      </c>
      <c r="D8" s="1370" t="inlineStr">
        <is>
          <t>Building Size</t>
        </is>
      </c>
      <c r="E8" s="1370" t="inlineStr">
        <is>
          <t>Zoning</t>
        </is>
      </c>
      <c r="F8" s="1370" t="inlineStr">
        <is>
          <t>Other</t>
        </is>
      </c>
      <c r="G8" s="1370" t="inlineStr">
        <is>
          <t>Comments</t>
        </is>
      </c>
      <c r="H8" s="1371" t="n"/>
    </row>
    <row r="9" ht="14.25" customHeight="1" thickBot="1" thickTop="1"/>
    <row r="10" ht="13.5" customHeight="1" thickTop="1">
      <c r="B10" s="1372">
        <f>IF('BAA Market'!B9="","",'BAA Market'!B9)</f>
        <v/>
      </c>
      <c r="C10" s="1373" t="n"/>
      <c r="D10" s="1374">
        <f>IF('BAA Market'!E9="","",'BAA Market'!E9)</f>
        <v/>
      </c>
      <c r="E10" s="1374">
        <f>IF('BAA Market'!F9="","",'BAA Market'!F9)</f>
        <v/>
      </c>
      <c r="F10" s="1375" t="n"/>
      <c r="G10" s="1376" t="n"/>
      <c r="H10" s="1376" t="n"/>
    </row>
    <row r="11">
      <c r="B11" s="1377">
        <f>IF('BAA Market'!B10="","",'BAA Market'!B10)</f>
        <v/>
      </c>
      <c r="C11" s="1378" t="n"/>
      <c r="D11" s="1379">
        <f>IF('BAA Market'!E10="","",'BAA Market'!E10)</f>
        <v/>
      </c>
      <c r="E11" s="1374">
        <f>IF('BAA Market'!F10="","",'BAA Market'!F10)</f>
        <v/>
      </c>
      <c r="F11" s="1375" t="n"/>
      <c r="G11" s="1376" t="n"/>
      <c r="H11" s="1376" t="n"/>
    </row>
    <row r="12">
      <c r="B12" s="1377">
        <f>IF('BAA Market'!B11="","",'BAA Market'!B11)</f>
        <v/>
      </c>
      <c r="C12" s="1373" t="n"/>
      <c r="D12" s="1380">
        <f>IF('BAA Market'!E11="","",'BAA Market'!E11)</f>
        <v/>
      </c>
      <c r="E12" s="1374">
        <f>IF('BAA Market'!F11="","",'BAA Market'!F11)</f>
        <v/>
      </c>
      <c r="F12" s="1375" t="n"/>
      <c r="G12" s="1376" t="n"/>
      <c r="H12" s="1376" t="n"/>
    </row>
    <row r="13" ht="13.5" customHeight="1" thickBot="1">
      <c r="B13" s="1377">
        <f>IF('BAA Market'!B12="","",'BAA Market'!B12)</f>
        <v/>
      </c>
      <c r="C13" s="1378" t="n"/>
      <c r="D13" s="1379">
        <f>IF('BAA Market'!E12="","",'BAA Market'!E12)</f>
        <v/>
      </c>
      <c r="E13" s="1374">
        <f>IF('BAA Market'!F12="","",'BAA Market'!F12)</f>
        <v/>
      </c>
      <c r="F13" s="1375" t="n"/>
      <c r="G13" s="1376" t="n"/>
      <c r="H13" s="1376" t="n"/>
    </row>
    <row r="14" ht="13.5" customHeight="1" thickTop="1"/>
    <row r="17" ht="17" customHeight="1" thickBot="1">
      <c r="A17" s="977" t="n"/>
      <c r="B17" s="1369" t="inlineStr">
        <is>
          <t>COMPARABLE RENTAL PROPERTIES</t>
        </is>
      </c>
      <c r="C17" s="1369" t="n"/>
      <c r="D17" s="1369" t="n"/>
      <c r="E17" s="1369" t="n"/>
      <c r="F17" s="1369" t="n"/>
      <c r="G17" s="1369" t="n"/>
      <c r="H17" s="1369" t="n"/>
    </row>
    <row r="18" ht="13.5" customHeight="1" thickTop="1">
      <c r="A18" s="1037" t="n"/>
      <c r="B18" s="1370" t="n"/>
      <c r="C18" s="1371" t="inlineStr">
        <is>
          <t>Rent/Sq.Ft.</t>
        </is>
      </c>
      <c r="D18" s="1370" t="inlineStr">
        <is>
          <t>Location</t>
        </is>
      </c>
      <c r="E18" s="1370" t="inlineStr">
        <is>
          <t>Age</t>
        </is>
      </c>
      <c r="F18" s="1370" t="n"/>
      <c r="G18" s="1370" t="n"/>
      <c r="H18" s="1370" t="n"/>
    </row>
    <row r="19">
      <c r="A19" s="1037" t="n"/>
      <c r="B19" s="1370" t="inlineStr">
        <is>
          <t>OFFICE</t>
        </is>
      </c>
      <c r="C19" s="1371" t="inlineStr">
        <is>
          <t>Vacancy</t>
        </is>
      </c>
      <c r="D19" s="1370" t="inlineStr">
        <is>
          <t>Land Size</t>
        </is>
      </c>
      <c r="E19" s="1370" t="inlineStr">
        <is>
          <t>Quality</t>
        </is>
      </c>
      <c r="F19" s="1370" t="n"/>
      <c r="G19" s="1370" t="n"/>
      <c r="H19" s="1371" t="n"/>
    </row>
    <row r="20">
      <c r="A20" s="1037" t="n"/>
      <c r="B20" s="1370" t="inlineStr">
        <is>
          <t>Source</t>
        </is>
      </c>
      <c r="C20" s="1370" t="inlineStr">
        <is>
          <t>Expense / Sq. Ft.</t>
        </is>
      </c>
      <c r="D20" s="1370" t="inlineStr">
        <is>
          <t>L:B Ratio</t>
        </is>
      </c>
      <c r="E20" s="1370" t="inlineStr">
        <is>
          <t>Phy/Funct Rating</t>
        </is>
      </c>
      <c r="F20" s="1370" t="n"/>
      <c r="G20" s="1371" t="inlineStr">
        <is>
          <t>Net</t>
        </is>
      </c>
      <c r="H20" s="1371" t="inlineStr">
        <is>
          <t>Adjusted</t>
        </is>
      </c>
    </row>
    <row r="21" ht="13.5" customHeight="1" thickBot="1">
      <c r="A21" s="1037" t="n"/>
      <c r="B21" s="1370" t="inlineStr">
        <is>
          <t>Property Type</t>
        </is>
      </c>
      <c r="C21" s="1371" t="inlineStr">
        <is>
          <t>Expense Ratio</t>
        </is>
      </c>
      <c r="D21" s="1370" t="inlineStr">
        <is>
          <t>Building Size</t>
        </is>
      </c>
      <c r="E21" s="1370" t="inlineStr">
        <is>
          <t>Zoning</t>
        </is>
      </c>
      <c r="F21" s="1370" t="inlineStr">
        <is>
          <t>Other</t>
        </is>
      </c>
      <c r="G21" s="1371" t="inlineStr">
        <is>
          <t>Adjustments</t>
        </is>
      </c>
      <c r="H21" s="1371" t="inlineStr">
        <is>
          <t>Rent/Sq.Ft.</t>
        </is>
      </c>
    </row>
    <row r="22" ht="14.25" customHeight="1" thickBot="1" thickTop="1"/>
    <row r="23" ht="13.5" customHeight="1" thickTop="1">
      <c r="A23" s="1381" t="inlineStr">
        <is>
          <t>#1</t>
        </is>
      </c>
      <c r="B23" s="1382" t="n"/>
      <c r="C23" s="1383">
        <f>IF(Income!K2="","",Income!K$2)</f>
        <v/>
      </c>
      <c r="D23" s="1348">
        <f>IF(Income!H2="","",VLOOKUP(Income!H2,[0]!Location,2))</f>
        <v/>
      </c>
      <c r="E23" s="1348">
        <f>IF(Income!N2="","",Income!N2)</f>
        <v/>
      </c>
      <c r="F23" s="1384" t="n"/>
      <c r="G23" s="1384" t="n"/>
      <c r="H23" s="1382" t="n"/>
    </row>
    <row r="24">
      <c r="A24" s="1496" t="n"/>
      <c r="B24" s="1382" t="n"/>
      <c r="C24" s="1385">
        <f>IF(Income!L$2="","",Income!L$2)</f>
        <v/>
      </c>
      <c r="D24" s="1352">
        <f>IF(Income!W2="","",Income!W2)</f>
        <v/>
      </c>
      <c r="E24" s="1348">
        <f>IF(Income!Z2="","",VLOOKUP(Income!Z2,[0]!GRADE,2))</f>
        <v/>
      </c>
      <c r="F24" s="1384" t="n"/>
      <c r="G24" s="1384" t="n"/>
      <c r="H24" s="1382" t="n"/>
    </row>
    <row r="25">
      <c r="A25" s="1496" t="n"/>
      <c r="B25" s="1386">
        <f>IF(Income!E$2="","",Income!E$2)</f>
        <v/>
      </c>
      <c r="C25" s="1383">
        <f>C23*(1-C24)*C26</f>
        <v/>
      </c>
      <c r="D25" s="1348">
        <f>IF(Income!X2="","",Income!X2)</f>
        <v/>
      </c>
      <c r="E25" s="1348">
        <f>IF(Income!AC2="","",VLOOKUP(Income!AC2,[0]!P_f,2))</f>
        <v/>
      </c>
      <c r="F25" s="1384" t="n"/>
      <c r="G25" s="1384" t="n"/>
      <c r="H25" s="1382" t="n"/>
    </row>
    <row r="26" ht="13.5" customHeight="1" thickBot="1">
      <c r="A26" s="1497" t="n"/>
      <c r="B26" s="1356">
        <f>IF(Income!G$2="","",VLOOKUP(Income!G$2,[0]!Class,2))</f>
        <v/>
      </c>
      <c r="C26" s="1385">
        <f>IF(Income!M2="","",Income!M$2)</f>
        <v/>
      </c>
      <c r="D26" s="1352">
        <f>IF(Income!Y2="","",Income!Y2)</f>
        <v/>
      </c>
      <c r="E26" s="1348">
        <f>IF(Income!T2="","",Income!T2)</f>
        <v/>
      </c>
      <c r="F26" s="1378" t="n"/>
      <c r="G26" s="1387" t="n"/>
      <c r="H26" s="1388">
        <f>IF(C23="","",C23*(1+G26))</f>
        <v/>
      </c>
    </row>
    <row r="27" ht="14.25" customHeight="1" thickBot="1" thickTop="1">
      <c r="F27" s="563" t="n"/>
    </row>
    <row r="28" ht="13.5" customHeight="1" thickTop="1">
      <c r="A28" s="1381" t="inlineStr">
        <is>
          <t>#2</t>
        </is>
      </c>
      <c r="B28" s="1382" t="n"/>
      <c r="C28" s="1389">
        <f>IF(Income!K3="","",Income!K3)</f>
        <v/>
      </c>
      <c r="D28" s="1362">
        <f>IF(Income!H3="","",VLOOKUP(Income!H3,[0]!Location,2))</f>
        <v/>
      </c>
      <c r="E28" s="1362">
        <f>IF(Income!N3="","",Income!N3)</f>
        <v/>
      </c>
      <c r="F28" s="1384" t="n"/>
      <c r="G28" s="1384" t="n"/>
      <c r="H28" s="1382" t="n"/>
    </row>
    <row r="29">
      <c r="A29" s="1496" t="n"/>
      <c r="B29" s="1382" t="n"/>
      <c r="C29" s="1390">
        <f>IF(Income!L3="","",Income!L3)</f>
        <v/>
      </c>
      <c r="D29" s="1365">
        <f>IF(Income!W3="","",Income!W3)</f>
        <v/>
      </c>
      <c r="E29" s="1362">
        <f>IF(Income!Z3="","",VLOOKUP(Income!Z3,[0]!GRADE,2))</f>
        <v/>
      </c>
      <c r="F29" s="1384" t="n"/>
      <c r="G29" s="1384" t="n"/>
      <c r="H29" s="1382" t="n"/>
    </row>
    <row r="30">
      <c r="A30" s="1496" t="n"/>
      <c r="B30" s="1391">
        <f>IF(Income!E3="","",Income!E3)</f>
        <v/>
      </c>
      <c r="C30" s="1389">
        <f>C28*(1-C29)*C31</f>
        <v/>
      </c>
      <c r="D30" s="1362">
        <f>IF(Income!X3="","",Income!X3)</f>
        <v/>
      </c>
      <c r="E30" s="1362">
        <f>IF(Income!AC3="","",VLOOKUP(Income!AC3,[0]!P_f,2))</f>
        <v/>
      </c>
      <c r="F30" s="1384" t="n"/>
      <c r="G30" s="1384" t="n"/>
      <c r="H30" s="1382" t="n"/>
    </row>
    <row r="31" ht="13.5" customHeight="1" thickBot="1">
      <c r="A31" s="1497" t="n"/>
      <c r="B31" s="1366">
        <f>IF(Income!G3="","",VLOOKUP(Income!G3,[0]!Class,2))</f>
        <v/>
      </c>
      <c r="C31" s="1390">
        <f>IF(Income!M3="","",Income!M3)</f>
        <v/>
      </c>
      <c r="D31" s="1365">
        <f>IF(Income!Y3="","",Income!Y3)</f>
        <v/>
      </c>
      <c r="E31" s="1362">
        <f>IF(Income!T3="","",Income!T3)</f>
        <v/>
      </c>
      <c r="F31" s="1378" t="n"/>
      <c r="G31" s="1387" t="n"/>
      <c r="H31" s="1388">
        <f>IF(C28="","",C28*(1+G31))</f>
        <v/>
      </c>
    </row>
    <row r="32" ht="14.25" customHeight="1" thickBot="1" thickTop="1">
      <c r="F32" s="563" t="n"/>
    </row>
    <row r="33" ht="13.5" customHeight="1" thickTop="1">
      <c r="A33" s="1381" t="inlineStr">
        <is>
          <t>#3</t>
        </is>
      </c>
      <c r="B33" s="1382" t="n"/>
      <c r="C33" s="1383">
        <f>IF(Income!K4="","",Income!K4)</f>
        <v/>
      </c>
      <c r="D33" s="1348">
        <f>IF(Income!H4="","",VLOOKUP(Income!H4,[0]!Location,2))</f>
        <v/>
      </c>
      <c r="E33" s="1348">
        <f>IF(Income!N4="","",Income!N4)</f>
        <v/>
      </c>
      <c r="F33" s="1384" t="n"/>
      <c r="G33" s="1384" t="n"/>
      <c r="H33" s="1382" t="n"/>
    </row>
    <row r="34">
      <c r="A34" s="1496" t="n"/>
      <c r="B34" s="1382" t="n"/>
      <c r="C34" s="1385">
        <f>IF(Income!L4="","",Income!L4)</f>
        <v/>
      </c>
      <c r="D34" s="1352">
        <f>IF(Income!W4="","",Income!W4)</f>
        <v/>
      </c>
      <c r="E34" s="1348">
        <f>IF(Income!Z4="","",VLOOKUP(Income!Z4,[0]!GRADE,2))</f>
        <v/>
      </c>
      <c r="F34" s="1384" t="n"/>
      <c r="G34" s="1384" t="n"/>
      <c r="H34" s="1382" t="n"/>
    </row>
    <row r="35">
      <c r="A35" s="1496" t="n"/>
      <c r="B35" s="1386">
        <f>IF(Income!E4="","",Income!E4)</f>
        <v/>
      </c>
      <c r="C35" s="1383">
        <f>C33*(1-C34)*C36</f>
        <v/>
      </c>
      <c r="D35" s="1348">
        <f>IF(Income!X4="","",Income!X4)</f>
        <v/>
      </c>
      <c r="E35" s="1348">
        <f>IF(Income!AC4="","",VLOOKUP(Income!AC4,[0]!P_f,2))</f>
        <v/>
      </c>
      <c r="F35" s="1384" t="n"/>
      <c r="G35" s="1384" t="n"/>
      <c r="H35" s="1382" t="n"/>
    </row>
    <row r="36" ht="13.5" customHeight="1" thickBot="1">
      <c r="A36" s="1497" t="n"/>
      <c r="B36" s="1356">
        <f>IF(Income!G4="","",VLOOKUP(Income!G4,[0]!Class,2))</f>
        <v/>
      </c>
      <c r="C36" s="1385">
        <f>IF(Income!M4="","",Income!M4)</f>
        <v/>
      </c>
      <c r="D36" s="1352">
        <f>IF(Income!Y4="","",Income!Y4)</f>
        <v/>
      </c>
      <c r="E36" s="1348">
        <f>IF(Income!T4="","",Income!T4)</f>
        <v/>
      </c>
      <c r="F36" s="1378" t="n"/>
      <c r="G36" s="1387" t="n"/>
      <c r="H36" s="1388">
        <f>IF(C33="","",C33*(1+G36))</f>
        <v/>
      </c>
    </row>
    <row r="37" ht="14.25" customHeight="1" thickBot="1" thickTop="1">
      <c r="F37" s="563" t="n"/>
    </row>
    <row r="38" ht="13.5" customHeight="1" thickTop="1">
      <c r="A38" s="1381" t="inlineStr">
        <is>
          <t>#4</t>
        </is>
      </c>
      <c r="B38" s="1382" t="n"/>
      <c r="C38" s="1389">
        <f>IF(Income!K5="","",Income!K5)</f>
        <v/>
      </c>
      <c r="D38" s="1362">
        <f>IF(Income!H5="","",VLOOKUP(Income!H5,[0]!Location,2))</f>
        <v/>
      </c>
      <c r="E38" s="1362">
        <f>IF(Income!N5="","",Income!N5)</f>
        <v/>
      </c>
      <c r="F38" s="1384" t="n"/>
      <c r="G38" s="1384" t="n"/>
      <c r="H38" s="1382" t="n"/>
    </row>
    <row r="39">
      <c r="A39" s="1496" t="n"/>
      <c r="B39" s="1382" t="n"/>
      <c r="C39" s="1390">
        <f>IF(Income!L5="","",Income!L5)</f>
        <v/>
      </c>
      <c r="D39" s="1365">
        <f>IF(Income!W5="","",Income!W5)</f>
        <v/>
      </c>
      <c r="E39" s="1362">
        <f>IF(Income!Z5="","",VLOOKUP(Income!Z5,[0]!GRADE,2))</f>
        <v/>
      </c>
      <c r="F39" s="1384" t="n"/>
      <c r="G39" s="1384" t="n"/>
      <c r="H39" s="1382" t="n"/>
    </row>
    <row r="40">
      <c r="A40" s="1496" t="n"/>
      <c r="B40" s="1391">
        <f>IF(Income!E5="","",Income!E5)</f>
        <v/>
      </c>
      <c r="C40" s="1389">
        <f>C38*(1-C39)*C41</f>
        <v/>
      </c>
      <c r="D40" s="1362">
        <f>IF(Income!X5="","",Income!X5)</f>
        <v/>
      </c>
      <c r="E40" s="1362">
        <f>IF(Income!AC5="","",VLOOKUP(Income!AC5,[0]!P_f,2))</f>
        <v/>
      </c>
      <c r="F40" s="1384" t="n"/>
      <c r="G40" s="1384" t="n"/>
      <c r="H40" s="1382" t="n"/>
    </row>
    <row r="41" ht="13.5" customHeight="1" thickBot="1">
      <c r="A41" s="1497" t="n"/>
      <c r="B41" s="1366">
        <f>IF(Income!G5="","",VLOOKUP(Income!G5,[0]!Class,2))</f>
        <v/>
      </c>
      <c r="C41" s="1390">
        <f>IF(Income!M5="","",Income!M5)</f>
        <v/>
      </c>
      <c r="D41" s="1365">
        <f>IF(Income!Y5="","",Income!Y5)</f>
        <v/>
      </c>
      <c r="E41" s="1362">
        <f>IF(Income!T5="","",Income!T5)</f>
        <v/>
      </c>
      <c r="F41" s="1378" t="n"/>
      <c r="G41" s="1387" t="n"/>
      <c r="H41" s="1388">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fitToHeight="0" fitToWidth="1"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001F4E78"/>
    <outlinePr summaryBelow="1" summaryRight="1"/>
    <pageSetUpPr autoPageBreaks="0" fitToPage="1"/>
  </sheetPr>
  <dimension ref="A1:Z74"/>
  <sheetViews>
    <sheetView showGridLines="0" zoomScaleNormal="100" zoomScaleSheetLayoutView="75" workbookViewId="0">
      <selection activeCell="E47" sqref="E47"/>
    </sheetView>
  </sheetViews>
  <sheetFormatPr baseColWidth="8" defaultColWidth="12.5" defaultRowHeight="15.75"/>
  <cols>
    <col width="25" customWidth="1" style="162" min="1" max="1"/>
    <col width="18" customWidth="1" style="162" min="2" max="2"/>
    <col width="10" customWidth="1" style="162" min="3" max="3"/>
    <col width="17" customWidth="1" style="162" min="4" max="4"/>
    <col width="2.2" customWidth="1" style="162" min="5" max="5"/>
    <col width="6" customWidth="1" style="162" min="6" max="6"/>
    <col width="7" customWidth="1" style="162" min="7" max="7"/>
    <col width="10" customWidth="1" style="162" min="8" max="8"/>
    <col width="2.2" customWidth="1" style="162" min="9" max="9"/>
    <col width="8" customWidth="1" style="162" min="10" max="10"/>
    <col width="11" customWidth="1" style="162" min="11" max="11"/>
    <col width="8" customWidth="1" style="162" min="12" max="12"/>
    <col width="12.5" customWidth="1" style="162" min="13" max="16384"/>
    <col hidden="1" width="6" customWidth="1" min="25" max="25"/>
    <col hidden="1" width="13" customWidth="1" min="26" max="26"/>
  </cols>
  <sheetData>
    <row r="1" ht="24" customHeight="1">
      <c r="A1" s="1498" t="inlineStr">
        <is>
          <t>APPEAL WORKSHEET</t>
        </is>
      </c>
      <c r="B1" s="1498" t="n"/>
      <c r="C1" s="1498" t="n"/>
      <c r="D1" s="1498" t="n"/>
      <c r="E1" s="1498" t="n"/>
      <c r="F1" s="1498" t="n"/>
      <c r="G1" s="1498" t="n"/>
      <c r="H1" s="1498" t="n"/>
      <c r="I1" s="1498" t="n"/>
      <c r="J1" s="1498" t="n"/>
      <c r="K1" s="1498" t="n"/>
      <c r="L1" s="1498" t="n"/>
      <c r="M1" s="1498" t="n"/>
    </row>
    <row r="2">
      <c r="A2" s="1499" t="inlineStr">
        <is>
          <t>ACCOUNT / SCHEDULE NUMBER</t>
        </is>
      </c>
      <c r="D2" s="1485" t="n"/>
      <c r="E2" s="1512" t="n"/>
      <c r="F2" s="1512" t="n"/>
      <c r="G2" s="1512" t="n"/>
      <c r="H2" s="1511" t="n"/>
    </row>
    <row r="3">
      <c r="A3" s="1499" t="inlineStr">
        <is>
          <t>PROPERTY ADDRESS</t>
        </is>
      </c>
      <c r="D3" s="1501">
        <f>IF(Subj_Address="","",Subj_Address)</f>
        <v/>
      </c>
      <c r="E3" s="1512" t="n"/>
      <c r="F3" s="1512" t="n"/>
      <c r="G3" s="1512" t="n"/>
      <c r="H3" s="1511" t="n"/>
    </row>
    <row r="4">
      <c r="A4" s="1499" t="inlineStr">
        <is>
          <t>PROTEST NUMBER</t>
        </is>
      </c>
      <c r="D4" s="1485" t="n"/>
      <c r="E4" s="1512" t="n"/>
      <c r="F4" s="1512" t="n"/>
      <c r="G4" s="1512" t="n"/>
      <c r="H4" s="1511" t="n"/>
    </row>
    <row r="5">
      <c r="A5" s="1499" t="inlineStr">
        <is>
          <t>PETITIONER'S NAME</t>
        </is>
      </c>
      <c r="D5" s="1485" t="n"/>
      <c r="E5" s="1512" t="n"/>
      <c r="F5" s="1512" t="n"/>
      <c r="G5" s="1512" t="n"/>
      <c r="H5" s="1511" t="n"/>
    </row>
    <row r="7">
      <c r="A7" s="1499" t="inlineStr">
        <is>
          <t>ASSESSOR'S REMARKS:</t>
        </is>
      </c>
    </row>
    <row r="8">
      <c r="A8" s="1502" t="n"/>
      <c r="B8" s="1503" t="n"/>
      <c r="C8" s="1503" t="n"/>
      <c r="D8" s="1503" t="n"/>
      <c r="E8" s="1503" t="n"/>
      <c r="F8" s="1503" t="n"/>
      <c r="G8" s="1503" t="n"/>
      <c r="H8" s="1503" t="n"/>
      <c r="I8" s="1503" t="n"/>
      <c r="J8" s="1503" t="n"/>
      <c r="K8" s="1503" t="n"/>
      <c r="L8" s="1503" t="n"/>
      <c r="M8" s="1504" t="n"/>
    </row>
    <row r="9">
      <c r="A9" s="1505" t="n"/>
      <c r="M9" s="1506" t="n"/>
    </row>
    <row r="10">
      <c r="A10" s="1505" t="n"/>
      <c r="M10" s="1506" t="n"/>
    </row>
    <row r="11">
      <c r="A11" s="1505" t="n"/>
      <c r="M11" s="1506" t="n"/>
    </row>
    <row r="12">
      <c r="A12" s="1505" t="n"/>
      <c r="M12" s="1506" t="n"/>
    </row>
    <row r="13">
      <c r="A13" s="1505" t="n"/>
      <c r="M13" s="1506" t="n"/>
    </row>
    <row r="14">
      <c r="A14" s="1505" t="n"/>
      <c r="M14" s="1506" t="n"/>
    </row>
    <row r="15">
      <c r="A15" s="1505" t="n"/>
      <c r="M15" s="1506" t="n"/>
    </row>
    <row r="16">
      <c r="A16" s="1505" t="n"/>
      <c r="M16" s="1506" t="n"/>
    </row>
    <row r="17">
      <c r="A17" s="1505" t="n"/>
      <c r="M17" s="1506" t="n"/>
    </row>
    <row r="18">
      <c r="A18" s="1505" t="n"/>
      <c r="M18" s="1506" t="n"/>
    </row>
    <row r="19">
      <c r="A19" s="1505" t="n"/>
      <c r="M19" s="1506" t="n"/>
    </row>
    <row r="20">
      <c r="A20" s="1507" t="n"/>
      <c r="B20" s="1508" t="n"/>
      <c r="C20" s="1508" t="n"/>
      <c r="D20" s="1508" t="n"/>
      <c r="E20" s="1508" t="n"/>
      <c r="F20" s="1508" t="n"/>
      <c r="G20" s="1508" t="n"/>
      <c r="H20" s="1508" t="n"/>
      <c r="I20" s="1508" t="n"/>
      <c r="J20" s="1508" t="n"/>
      <c r="K20" s="1508" t="n"/>
      <c r="L20" s="1508" t="n"/>
      <c r="M20" s="1509" t="n"/>
    </row>
    <row r="22">
      <c r="A22" s="1499" t="inlineStr">
        <is>
          <t>VALUE CONCLUSIONS:</t>
        </is>
      </c>
    </row>
    <row r="23">
      <c r="A23" s="1502" t="n"/>
      <c r="B23" s="1503" t="n"/>
      <c r="C23" s="1503" t="n"/>
      <c r="D23" s="1503" t="n"/>
      <c r="E23" s="1503" t="n"/>
      <c r="F23" s="1503" t="n"/>
      <c r="G23" s="1503" t="n"/>
      <c r="H23" s="1503" t="n"/>
      <c r="I23" s="1503" t="n"/>
      <c r="J23" s="1503" t="n"/>
      <c r="K23" s="1503" t="n"/>
      <c r="L23" s="1503" t="n"/>
      <c r="M23" s="1504" t="n"/>
    </row>
    <row r="24">
      <c r="A24" s="1505" t="n"/>
      <c r="M24" s="1506" t="n"/>
    </row>
    <row r="25">
      <c r="A25" s="1505" t="n"/>
      <c r="M25" s="1506" t="n"/>
    </row>
    <row r="26">
      <c r="A26" s="1505" t="n"/>
      <c r="M26" s="1506" t="n"/>
    </row>
    <row r="27">
      <c r="A27" s="1505" t="n"/>
      <c r="M27" s="1506" t="n"/>
    </row>
    <row r="28">
      <c r="A28" s="1505" t="n"/>
      <c r="M28" s="1506" t="n"/>
    </row>
    <row r="29">
      <c r="A29" s="1505" t="n"/>
      <c r="M29" s="1506" t="n"/>
    </row>
    <row r="30">
      <c r="A30" s="1505" t="n"/>
      <c r="M30" s="1506" t="n"/>
    </row>
    <row r="31">
      <c r="A31" s="1505" t="n"/>
      <c r="M31" s="1506" t="n"/>
    </row>
    <row r="32">
      <c r="A32" s="1505" t="n"/>
      <c r="M32" s="1506" t="n"/>
    </row>
    <row r="33">
      <c r="A33" s="1507" t="n"/>
      <c r="B33" s="1508" t="n"/>
      <c r="C33" s="1508" t="n"/>
      <c r="D33" s="1508" t="n"/>
      <c r="E33" s="1508" t="n"/>
      <c r="F33" s="1508" t="n"/>
      <c r="G33" s="1508" t="n"/>
      <c r="H33" s="1508" t="n"/>
      <c r="I33" s="1508" t="n"/>
      <c r="J33" s="1508" t="n"/>
      <c r="K33" s="1508" t="n"/>
      <c r="L33" s="1508" t="n"/>
      <c r="M33" s="1509" t="n"/>
    </row>
    <row r="35">
      <c r="A35" s="1499" t="inlineStr">
        <is>
          <t>BASIS OF RECOMMENDATION / HEARING NOTES:</t>
        </is>
      </c>
    </row>
    <row r="36">
      <c r="A36" s="1502" t="n"/>
      <c r="B36" s="1503" t="n"/>
      <c r="C36" s="1503" t="n"/>
      <c r="D36" s="1503" t="n"/>
      <c r="E36" s="1503" t="n"/>
      <c r="F36" s="1503" t="n"/>
      <c r="G36" s="1503" t="n"/>
      <c r="H36" s="1503" t="n"/>
      <c r="I36" s="1503" t="n"/>
      <c r="J36" s="1503" t="n"/>
      <c r="K36" s="1503" t="n"/>
      <c r="L36" s="1503" t="n"/>
      <c r="M36" s="1504" t="n"/>
    </row>
    <row r="37">
      <c r="A37" s="1505" t="n"/>
      <c r="M37" s="1506" t="n"/>
    </row>
    <row r="38">
      <c r="A38" s="1505" t="n"/>
      <c r="M38" s="1506" t="n"/>
    </row>
    <row r="39">
      <c r="A39" s="1505" t="n"/>
      <c r="M39" s="1506" t="n"/>
    </row>
    <row r="40">
      <c r="A40" s="1505" t="n"/>
      <c r="M40" s="1506" t="n"/>
    </row>
    <row r="41">
      <c r="A41" s="1505" t="n"/>
      <c r="M41" s="1506" t="n"/>
    </row>
    <row r="42">
      <c r="A42" s="1505" t="n"/>
      <c r="M42" s="1506" t="n"/>
    </row>
    <row r="43">
      <c r="A43" s="1505" t="n"/>
      <c r="M43" s="1506" t="n"/>
    </row>
    <row r="44">
      <c r="A44" s="1505" t="n"/>
      <c r="M44" s="1506" t="n"/>
    </row>
    <row r="45">
      <c r="A45" s="1505" t="n"/>
      <c r="M45" s="1506" t="n"/>
    </row>
    <row r="46">
      <c r="A46" s="1507" t="n"/>
      <c r="B46" s="1508" t="n"/>
      <c r="C46" s="1508" t="n"/>
      <c r="D46" s="1508" t="n"/>
      <c r="E46" s="1508" t="n"/>
      <c r="F46" s="1508" t="n"/>
      <c r="G46" s="1508" t="n"/>
      <c r="H46" s="1508" t="n"/>
      <c r="I46" s="1508" t="n"/>
      <c r="J46" s="1508" t="n"/>
      <c r="K46" s="1508" t="n"/>
      <c r="L46" s="1508" t="n"/>
      <c r="M46" s="1509" t="n"/>
    </row>
    <row r="47">
      <c r="A47" s="1510" t="inlineStr">
        <is>
          <t>VALUE REVIEW</t>
        </is>
      </c>
      <c r="B47" s="1510" t="n"/>
      <c r="C47" s="1510" t="n"/>
      <c r="D47" s="1510" t="n"/>
      <c r="E47" s="1510" t="n"/>
      <c r="F47" s="1510" t="n"/>
      <c r="G47" s="1510" t="n"/>
      <c r="H47" s="1510" t="n"/>
      <c r="I47" s="1510" t="n"/>
      <c r="J47" s="1510" t="n"/>
      <c r="K47" s="1510" t="n"/>
      <c r="L47" s="1510" t="n"/>
      <c r="M47" s="1510" t="n"/>
    </row>
    <row r="48">
      <c r="C48" s="1392" t="inlineStr">
        <is>
          <t>Value Prior To Review</t>
        </is>
      </c>
      <c r="D48" s="1511" t="n"/>
      <c r="E48" s="1392" t="n"/>
      <c r="F48" s="1392" t="inlineStr">
        <is>
          <t>Recommended Value</t>
        </is>
      </c>
      <c r="G48" s="1512" t="n"/>
      <c r="H48" s="1511" t="n"/>
      <c r="I48" s="1276" t="n"/>
      <c r="J48" s="1392" t="inlineStr">
        <is>
          <t>Value Reduction</t>
        </is>
      </c>
      <c r="K48" s="1511" t="n"/>
    </row>
    <row r="49">
      <c r="A49" s="1393" t="inlineStr">
        <is>
          <t>Land</t>
        </is>
      </c>
      <c r="C49" s="1394" t="n"/>
      <c r="D49" s="1513" t="n"/>
      <c r="E49" s="1396" t="n"/>
      <c r="F49" s="1394" t="n"/>
      <c r="G49" s="1514" t="n"/>
      <c r="H49" s="1513" t="n"/>
      <c r="I49" s="1271" t="n"/>
      <c r="J49" s="1397">
        <f>F49-C49</f>
        <v/>
      </c>
      <c r="K49" s="1511" t="n"/>
    </row>
    <row r="50">
      <c r="A50" s="1399" t="inlineStr">
        <is>
          <t>Imp(s)</t>
        </is>
      </c>
      <c r="C50" s="1394" t="n"/>
      <c r="D50" s="1513" t="n"/>
      <c r="E50" s="1396" t="n"/>
      <c r="F50" s="1394" t="n"/>
      <c r="G50" s="1514" t="n"/>
      <c r="H50" s="1513" t="n"/>
      <c r="I50" s="1271" t="n"/>
      <c r="J50" s="1397">
        <f>F50-C50</f>
        <v/>
      </c>
      <c r="K50" s="1511" t="n"/>
    </row>
    <row r="51">
      <c r="A51" s="1393" t="inlineStr">
        <is>
          <t>Total</t>
        </is>
      </c>
      <c r="C51" s="1400">
        <f>C50+C49</f>
        <v/>
      </c>
      <c r="D51" s="1511" t="n"/>
      <c r="E51" s="1396" t="n"/>
      <c r="F51" s="1401">
        <f>F50+F49</f>
        <v/>
      </c>
      <c r="G51" s="1512" t="n"/>
      <c r="H51" s="1511" t="n"/>
      <c r="I51" s="1271" t="n"/>
      <c r="J51" s="1397">
        <f>F51-C51</f>
        <v/>
      </c>
      <c r="K51" s="1511" t="n"/>
    </row>
    <row r="54" ht="19.9" customHeight="1">
      <c r="A54" s="1393" t="inlineStr">
        <is>
          <t>Appraiser</t>
        </is>
      </c>
      <c r="B54" s="1402" t="n"/>
      <c r="C54" s="1403" t="n"/>
      <c r="D54" s="1404" t="n"/>
      <c r="F54" s="500" t="n"/>
    </row>
    <row r="55" ht="19.9" customHeight="1">
      <c r="A55" s="1405" t="inlineStr">
        <is>
          <t>Supervisor</t>
        </is>
      </c>
      <c r="B55" s="1402" t="n"/>
      <c r="C55" s="1402" t="n"/>
      <c r="D55" s="1402" t="n"/>
      <c r="E55" s="168" t="n"/>
      <c r="F55" s="168" t="n"/>
    </row>
    <row r="56" ht="19.9" customHeight="1">
      <c r="A56" s="1406" t="inlineStr">
        <is>
          <t>Deputy Assessor</t>
        </is>
      </c>
      <c r="B56" s="1402" t="n"/>
      <c r="C56" s="1402" t="n"/>
      <c r="D56" s="1402" t="n"/>
      <c r="E56" s="500" t="n"/>
      <c r="F56" s="500" t="n"/>
    </row>
    <row r="57" ht="19.9" customHeight="1"/>
    <row r="58" ht="19.9" customHeight="1"/>
    <row r="59" ht="19.9" customHeight="1"/>
    <row r="60" ht="17" customHeight="1">
      <c r="A60" s="1407" t="inlineStr">
        <is>
          <t>MARKET RENT COMPARABLES</t>
        </is>
      </c>
      <c r="B60" s="1408" t="n"/>
      <c r="C60" s="1408" t="n"/>
      <c r="D60" s="1408" t="n"/>
      <c r="E60" s="1408" t="n"/>
      <c r="F60" s="1408" t="n"/>
      <c r="G60" s="1408" t="n"/>
      <c r="H60" s="1409" t="inlineStr">
        <is>
          <t>BUILDING</t>
        </is>
      </c>
      <c r="I60" s="1409" t="n"/>
      <c r="J60" s="1409" t="n"/>
      <c r="K60" s="1409" t="n"/>
      <c r="L60" s="1410" t="inlineStr">
        <is>
          <t>EXP</t>
        </is>
      </c>
      <c r="M60" s="1322" t="n"/>
    </row>
    <row r="61">
      <c r="A61" s="1411" t="n"/>
      <c r="B61" s="1411" t="inlineStr">
        <is>
          <t>MAP</t>
        </is>
      </c>
      <c r="C61" s="1411" t="inlineStr">
        <is>
          <t>USE TYPE</t>
        </is>
      </c>
      <c r="D61" s="1411" t="n"/>
      <c r="E61" s="1411" t="n"/>
      <c r="F61" s="1411" t="inlineStr">
        <is>
          <t>ZONE</t>
        </is>
      </c>
      <c r="G61" s="1411" t="inlineStr">
        <is>
          <t>YOC</t>
        </is>
      </c>
      <c r="H61" s="1392" t="inlineStr">
        <is>
          <t>SQ FT</t>
        </is>
      </c>
      <c r="I61" s="1392" t="n"/>
      <c r="J61" s="1392" t="inlineStr">
        <is>
          <t>RENT</t>
        </is>
      </c>
      <c r="K61" s="1411" t="inlineStr">
        <is>
          <t>VACANCY</t>
        </is>
      </c>
      <c r="L61" s="1392" t="inlineStr">
        <is>
          <t>RATIO</t>
        </is>
      </c>
      <c r="M61" s="1276" t="n"/>
    </row>
    <row r="62">
      <c r="A62" s="169" t="n"/>
      <c r="B62" s="1412" t="inlineStr">
        <is>
          <t>SUBJECT PROPERTY</t>
        </is>
      </c>
      <c r="C62" s="1413" t="n"/>
      <c r="D62" s="1413" t="n"/>
      <c r="E62" s="1413" t="n"/>
      <c r="F62" s="1414" t="n"/>
      <c r="G62" s="1414" t="n"/>
      <c r="H62" s="1415" t="n"/>
      <c r="I62" s="1415" t="n"/>
      <c r="J62" s="1415" t="n"/>
      <c r="K62" s="1415" t="n"/>
      <c r="L62" s="1415" t="n"/>
      <c r="M62" s="1271" t="n"/>
    </row>
    <row r="63">
      <c r="A63" s="173" t="n"/>
      <c r="B63" s="1416">
        <f>IF(D2="","",LEFT(D2,5))</f>
        <v/>
      </c>
      <c r="C63" s="1416">
        <f>IFERROR(INDEX(OCC_TABLE_DESC,MATCH(Subj_OccCode,OCC_TABLE_CODE,0)),"")</f>
        <v/>
      </c>
      <c r="D63" s="1513" t="n"/>
      <c r="E63" s="1396" t="n"/>
      <c r="F63" s="1417">
        <f>IF(Subj_Zoning="","",Subj_Zoning)</f>
        <v/>
      </c>
      <c r="G63" s="1417">
        <f>IF(Subj_YOC="","",Subj_YOC)</f>
        <v/>
      </c>
      <c r="H63" s="1515">
        <f>IF(Subj_BldgSF="","",Subj_BldgSF)</f>
        <v/>
      </c>
      <c r="I63" s="1396" t="n"/>
      <c r="J63" s="1516">
        <f>IF(WO!F11="","",WO!F11)</f>
        <v/>
      </c>
      <c r="K63" s="1420">
        <f>IF(WO!F12="","",WO!F12)</f>
        <v/>
      </c>
      <c r="L63" s="1420">
        <f>IF(WO!F13="","",WO!F13)</f>
        <v/>
      </c>
      <c r="M63" s="1271" t="n"/>
    </row>
    <row r="64">
      <c r="A64" s="1412" t="inlineStr">
        <is>
          <t>1)</t>
        </is>
      </c>
      <c r="B64" s="1421">
        <f>IF(Income!D$2="","",MID(Income!D2,1,5))</f>
        <v/>
      </c>
      <c r="C64" s="1421">
        <f>IF(Income!G$2="","",VLOOKUP(Income!G$2,[0]!Class,2))</f>
        <v/>
      </c>
      <c r="D64" s="1413" t="n"/>
      <c r="E64" s="1413" t="n"/>
      <c r="F64" s="1422">
        <f>IF(Income!T$2="","",Income!T$2)</f>
        <v/>
      </c>
      <c r="G64" s="1422">
        <f>IF(Income!N$2="","",Income!N$2)</f>
        <v/>
      </c>
      <c r="H64" s="1423">
        <f>IF(Income!J$2="","",Income!J$2)</f>
        <v/>
      </c>
      <c r="I64" s="1424" t="n"/>
      <c r="J64" s="1425">
        <f>IF(Income!K$2="","",Income!K$2)</f>
        <v/>
      </c>
      <c r="K64" s="1426">
        <f>IF(Income!L$2="","",Income!L$2)</f>
        <v/>
      </c>
      <c r="L64" s="1426">
        <f>IF(Income!M$2="","",Income!M$2)</f>
        <v/>
      </c>
      <c r="M64" s="1271" t="n"/>
    </row>
    <row r="65">
      <c r="A65" s="1412" t="inlineStr">
        <is>
          <t>2)</t>
        </is>
      </c>
      <c r="B65" s="1427">
        <f>IF(Income!D$3="","",MID(Income!D$3,1,5))</f>
        <v/>
      </c>
      <c r="C65" s="1427">
        <f>IF(Income!G$3="","",VLOOKUP(Income!G$3,[0]!Class,2))</f>
        <v/>
      </c>
      <c r="D65" s="1413" t="n"/>
      <c r="E65" s="1413" t="n"/>
      <c r="F65" s="1428">
        <f>IF(Income!T$3="","",Income!T$3)</f>
        <v/>
      </c>
      <c r="G65" s="1428">
        <f>IF(Income!N$3="","",Income!N$3)</f>
        <v/>
      </c>
      <c r="H65" s="1429">
        <f>IF(Income!J$3="","",Income!J$3)</f>
        <v/>
      </c>
      <c r="I65" s="1424" t="n"/>
      <c r="J65" s="1430">
        <f>IF(Income!K$3="","",Income!K$3)</f>
        <v/>
      </c>
      <c r="K65" s="1431">
        <f>IF(Income!L$3="","",Income!L$3)</f>
        <v/>
      </c>
      <c r="L65" s="1431">
        <f>IF(Income!M$3="","",Income!M$3)</f>
        <v/>
      </c>
      <c r="M65" s="1271" t="n"/>
    </row>
    <row r="66">
      <c r="A66" s="1412" t="inlineStr">
        <is>
          <t>3)</t>
        </is>
      </c>
      <c r="B66" s="1421">
        <f>IF(Income!D$4="","",MID(Income!D$4,1,5))</f>
        <v/>
      </c>
      <c r="C66" s="1421">
        <f>IF(Income!G$4="","",VLOOKUP(Income!G$4,[0]!Class,2))</f>
        <v/>
      </c>
      <c r="D66" s="1413" t="n"/>
      <c r="E66" s="1413" t="n"/>
      <c r="F66" s="1422">
        <f>IF(Income!T$4="","",Income!T$4)</f>
        <v/>
      </c>
      <c r="G66" s="1422">
        <f>IF(Income!N$4="","",Income!N$4)</f>
        <v/>
      </c>
      <c r="H66" s="1423">
        <f>IF(Income!J$4="","",Income!J$4)</f>
        <v/>
      </c>
      <c r="I66" s="1424" t="n"/>
      <c r="J66" s="1425">
        <f>IF(Income!K$4="","",Income!K$4)</f>
        <v/>
      </c>
      <c r="K66" s="1426">
        <f>IF(Income!L$4="","",Income!L$4)</f>
        <v/>
      </c>
      <c r="L66" s="1426">
        <f>IF(Income!M$4="","",Income!M$4)</f>
        <v/>
      </c>
      <c r="M66" s="1271" t="n"/>
    </row>
    <row r="67">
      <c r="A67" s="187" t="n"/>
      <c r="B67" s="187" t="n"/>
      <c r="C67" s="187" t="n"/>
      <c r="D67" s="187" t="n"/>
      <c r="E67" s="187" t="n"/>
    </row>
    <row r="68" ht="17" customHeight="1">
      <c r="A68" s="1407" t="inlineStr">
        <is>
          <t>MARKET SALE COMPARABLES</t>
        </is>
      </c>
      <c r="B68" s="1408" t="n"/>
      <c r="C68" s="1408" t="n"/>
      <c r="D68" s="1408" t="n"/>
      <c r="E68" s="1408" t="n"/>
      <c r="F68" s="1408" t="n"/>
      <c r="G68" s="1408" t="n"/>
      <c r="H68" s="1408" t="inlineStr">
        <is>
          <t>BUILDING</t>
        </is>
      </c>
      <c r="I68" s="1408" t="n"/>
      <c r="J68" s="1408" t="inlineStr">
        <is>
          <t>SALE</t>
        </is>
      </c>
      <c r="K68" s="1408" t="inlineStr">
        <is>
          <t>SALE</t>
        </is>
      </c>
      <c r="L68" s="1432" t="inlineStr">
        <is>
          <t>S.P./</t>
        </is>
      </c>
      <c r="M68" s="1322" t="n"/>
    </row>
    <row r="69">
      <c r="A69" s="1411" t="inlineStr">
        <is>
          <t>PROPERTY ADDRESS</t>
        </is>
      </c>
      <c r="B69" s="1411" t="n"/>
      <c r="C69" s="1411" t="n"/>
      <c r="D69" s="1411" t="inlineStr">
        <is>
          <t>SCHEDULE NUMBER</t>
        </is>
      </c>
      <c r="E69" s="1411" t="n"/>
      <c r="F69" s="1411" t="n"/>
      <c r="G69" s="1411" t="inlineStr">
        <is>
          <t>YOC</t>
        </is>
      </c>
      <c r="H69" s="1411" t="inlineStr">
        <is>
          <t>SQ FT</t>
        </is>
      </c>
      <c r="I69" s="1411" t="n"/>
      <c r="J69" s="1411" t="inlineStr">
        <is>
          <t>DATE</t>
        </is>
      </c>
      <c r="K69" s="1411" t="inlineStr">
        <is>
          <t>PRICE</t>
        </is>
      </c>
      <c r="L69" s="1411" t="inlineStr">
        <is>
          <t>SQ FT</t>
        </is>
      </c>
      <c r="M69" s="1276" t="n"/>
    </row>
    <row r="70">
      <c r="A70" s="173" t="n"/>
      <c r="B70" s="1412" t="inlineStr">
        <is>
          <t>SUBJECT PROPERTY</t>
        </is>
      </c>
      <c r="C70" s="1271" t="n"/>
      <c r="D70" s="1271" t="n"/>
      <c r="E70" s="1271" t="n"/>
      <c r="F70" s="1271" t="n"/>
      <c r="G70" s="1414" t="n"/>
      <c r="H70" s="1271" t="n"/>
      <c r="I70" s="1271" t="n"/>
      <c r="J70" s="1271" t="n"/>
      <c r="K70" s="1271" t="n"/>
      <c r="L70" s="1413" t="n"/>
      <c r="M70" s="1271" t="n"/>
    </row>
    <row r="71">
      <c r="A71" s="173" t="n"/>
      <c r="B71" s="1416">
        <f>IF(Subj_Address="","",Subj_Address)</f>
        <v/>
      </c>
      <c r="C71" s="1416" t="n"/>
      <c r="D71" s="1413">
        <f>IF(D2="","",D2)</f>
        <v/>
      </c>
      <c r="E71" s="1413" t="n"/>
      <c r="F71" s="1413" t="n"/>
      <c r="G71" s="1422">
        <f>G63</f>
        <v/>
      </c>
      <c r="H71" s="1423">
        <f>H63</f>
        <v/>
      </c>
      <c r="I71" s="1424" t="n"/>
      <c r="J71" s="1419" t="n"/>
      <c r="K71" s="1419" t="n"/>
      <c r="L71" s="1433">
        <f>IF(N(H71)=0,"",ROUND(F51/H71,2))</f>
        <v/>
      </c>
      <c r="M71" s="1271" t="n"/>
    </row>
    <row r="72">
      <c r="A72" s="1412" t="inlineStr">
        <is>
          <t>Best Match 1)</t>
        </is>
      </c>
      <c r="B72" s="1421">
        <f>IF(IFERROR(INDEX(Sales!D:D,$Z$72),"")="","",IFERROR(INDEX(Sales!D:D,$Z$72),""))</f>
        <v/>
      </c>
      <c r="C72" s="1413" t="n"/>
      <c r="D72" s="1421">
        <f>IF(IFERROR(INDEX(Sales!C:C,$Z$72),"")="","",IFERROR(INDEX(Sales!C:C,$Z$72),""))</f>
        <v/>
      </c>
      <c r="E72" s="1413" t="n"/>
      <c r="F72" s="1413" t="n"/>
      <c r="G72" s="1422">
        <f>IF(IFERROR(INDEX(Sales!M:M,$Z$72),"")="","",IFERROR(INDEX(Sales!M:M,$Z$72),""))</f>
        <v/>
      </c>
      <c r="H72" s="1423">
        <f>IF(IFERROR(INDEX(Sales!L:L,$Z$72),"")="","",IFERROR(INDEX(Sales!L:L,$Z$72),""))</f>
        <v/>
      </c>
      <c r="I72" s="1424" t="n"/>
      <c r="J72" s="1434">
        <f>IF(IFERROR(INDEX(Sales!I:I,$Z$72),"")="","",IFERROR(INDEX(Sales!I:I,$Z$72),""))</f>
        <v/>
      </c>
      <c r="K72" s="1435">
        <f>IF(IFERROR(INDEX(Sales!AA:AA,$Z$72),"")="","",IFERROR(INDEX(Sales!AA:AA,$Z$72),""))</f>
        <v/>
      </c>
      <c r="L72" s="1425">
        <f>IF(IFERROR(INDEX(Sales!H:H,$Z$72),"")="","",IFERROR(INDEX(Sales!H:H,$Z$72),""))</f>
        <v/>
      </c>
      <c r="M72" s="1271" t="n"/>
      <c r="Y72" s="1031" t="n">
        <v>1</v>
      </c>
      <c r="Z72">
        <f>IFERROR(MATCH(_xlfn.AGGREGATE(15,6,Sales!$AJ$2:$AJ$941,$Y$72),Sales!$AJ$2:$AJ$941,0)+1,"")</f>
        <v/>
      </c>
    </row>
    <row r="73">
      <c r="A73" s="1412" t="inlineStr">
        <is>
          <t>Best Match 2)</t>
        </is>
      </c>
      <c r="B73" s="1427">
        <f>IF(IFERROR(INDEX(Sales!D:D,$Z$73),"")="","",IFERROR(INDEX(Sales!D:D,$Z$73),""))</f>
        <v/>
      </c>
      <c r="C73" s="1413" t="n"/>
      <c r="D73" s="1427">
        <f>IF(IFERROR(INDEX(Sales!C:C,$Z$73),"")="","",IFERROR(INDEX(Sales!C:C,$Z$73),""))</f>
        <v/>
      </c>
      <c r="E73" s="1413" t="n"/>
      <c r="F73" s="1413" t="n"/>
      <c r="G73" s="1428">
        <f>IF(IFERROR(INDEX(Sales!M:M,$Z$73),"")="","",IFERROR(INDEX(Sales!M:M,$Z$73),""))</f>
        <v/>
      </c>
      <c r="H73" s="1429">
        <f>IF(IFERROR(INDEX(Sales!L:L,$Z$73),"")="","",IFERROR(INDEX(Sales!L:L,$Z$73),""))</f>
        <v/>
      </c>
      <c r="I73" s="1424" t="n"/>
      <c r="J73" s="1436">
        <f>IF(IFERROR(INDEX(Sales!I:I,$Z$73),"")="","",IFERROR(INDEX(Sales!I:I,$Z$73),""))</f>
        <v/>
      </c>
      <c r="K73" s="1437">
        <f>IF(IFERROR(INDEX(Sales!AA:AA,$Z$73),"")="","",IFERROR(INDEX(Sales!AA:AA,$Z$73),""))</f>
        <v/>
      </c>
      <c r="L73" s="1430">
        <f>IF(IFERROR(INDEX(Sales!H:H,$Z$73),"")="","",IFERROR(INDEX(Sales!H:H,$Z$73),""))</f>
        <v/>
      </c>
      <c r="M73" s="1271" t="n"/>
      <c r="Y73" s="1031" t="n">
        <v>2</v>
      </c>
      <c r="Z73">
        <f>IFERROR(MATCH(_xlfn.AGGREGATE(15,6,Sales!$AJ$2:$AJ$941,$Y$73),Sales!$AJ$2:$AJ$941,0)+1,"")</f>
        <v/>
      </c>
    </row>
    <row r="74">
      <c r="A74" s="1412" t="inlineStr">
        <is>
          <t>Best Match 3)</t>
        </is>
      </c>
      <c r="B74" s="1421">
        <f>IF(IFERROR(INDEX(Sales!D:D,$Z$74),"")="","",IFERROR(INDEX(Sales!D:D,$Z$74),""))</f>
        <v/>
      </c>
      <c r="C74" s="1413" t="n"/>
      <c r="D74" s="1421">
        <f>IF(IFERROR(INDEX(Sales!C:C,$Z$74),"")="","",IFERROR(INDEX(Sales!C:C,$Z$74),""))</f>
        <v/>
      </c>
      <c r="E74" s="1413" t="n"/>
      <c r="F74" s="1413" t="n"/>
      <c r="G74" s="1422">
        <f>IF(IFERROR(INDEX(Sales!M:M,$Z$74),"")="","",IFERROR(INDEX(Sales!M:M,$Z$74),""))</f>
        <v/>
      </c>
      <c r="H74" s="1423">
        <f>IF(IFERROR(INDEX(Sales!L:L,$Z$74),"")="","",IFERROR(INDEX(Sales!L:L,$Z$74),""))</f>
        <v/>
      </c>
      <c r="I74" s="1424" t="n"/>
      <c r="J74" s="1434">
        <f>IF(IFERROR(INDEX(Sales!I:I,$Z$74),"")="","",IFERROR(INDEX(Sales!I:I,$Z$74),""))</f>
        <v/>
      </c>
      <c r="K74" s="1435">
        <f>IF(IFERROR(INDEX(Sales!AA:AA,$Z$74),"")="","",IFERROR(INDEX(Sales!AA:AA,$Z$74),""))</f>
        <v/>
      </c>
      <c r="L74" s="1425">
        <f>IF(IFERROR(INDEX(Sales!H:H,$Z$74),"")="","",IFERROR(INDEX(Sales!H:H,$Z$74),""))</f>
        <v/>
      </c>
      <c r="M74" s="1271" t="n"/>
      <c r="Y74" s="1031" t="n">
        <v>3</v>
      </c>
      <c r="Z74">
        <f>IFERROR(MATCH(_xlfn.AGGREGATE(15,6,Sales!$AJ$2:$AJ$941,$Y$74),Sales!$AJ$2:$AJ$941,0)+1,"")</f>
        <v/>
      </c>
    </row>
  </sheetData>
  <mergeCells count="20">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pageMargins left="0.43" right="0.44" top="0.76" bottom="0.42" header="0.5" footer="0.29"/>
  <pageSetup orientation="portrait" scale="92" fitToHeight="0" fitToWidth="1"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001F4E78"/>
    <outlinePr summaryBelow="1" summaryRight="1"/>
    <pageSetUpPr fitToPage="1"/>
  </sheetPr>
  <dimension ref="A1:Z48"/>
  <sheetViews>
    <sheetView showGridLines="0" workbookViewId="0">
      <selection activeCell="P15" sqref="P15"/>
    </sheetView>
  </sheetViews>
  <sheetFormatPr baseColWidth="8" defaultColWidth="11.5" defaultRowHeight="12.75"/>
  <cols>
    <col width="30" customWidth="1" style="203" min="1" max="1"/>
    <col width="18" customWidth="1" style="203" min="2" max="2"/>
    <col width="10" customWidth="1" style="203" min="3" max="3"/>
    <col width="16" customWidth="1" style="203" min="4" max="4"/>
    <col width="7" customWidth="1" style="203" min="5" max="5"/>
    <col width="6" customWidth="1" style="203" min="6" max="6"/>
    <col width="11" customWidth="1" style="203" min="7" max="7"/>
    <col width="8" customWidth="1" style="203" min="8" max="8"/>
    <col width="11" customWidth="1" style="203" min="9" max="9"/>
    <col width="9" customWidth="1" style="203" min="10" max="10"/>
    <col width="8" customWidth="1" style="203" min="11" max="11"/>
    <col width="11.5" customWidth="1" style="203" min="12" max="16384"/>
    <col hidden="1" width="6" customWidth="1" min="25" max="25"/>
    <col hidden="1" width="13" customWidth="1" min="26" max="26"/>
  </cols>
  <sheetData>
    <row r="1" ht="24" customHeight="1">
      <c r="A1" s="1438" t="inlineStr">
        <is>
          <t>2025 APPEAL WORKSHEET</t>
        </is>
      </c>
      <c r="B1" s="1438" t="n"/>
      <c r="C1" s="1438" t="n"/>
      <c r="D1" s="1438" t="n"/>
      <c r="E1" s="1438" t="n"/>
      <c r="F1" s="1438" t="n"/>
      <c r="G1" s="1438" t="n"/>
      <c r="H1" s="1438" t="n"/>
      <c r="I1" s="1438" t="n"/>
      <c r="J1" s="1438" t="n"/>
      <c r="K1" s="1438" t="n"/>
    </row>
    <row r="2" ht="16.15" customHeight="1">
      <c r="A2" s="1439" t="inlineStr">
        <is>
          <t>ACCOUNT NUMBER</t>
        </is>
      </c>
      <c r="D2" s="1440" t="inlineStr">
        <is>
          <t> </t>
        </is>
      </c>
      <c r="E2" s="1441" t="n"/>
      <c r="F2" s="1441" t="n"/>
      <c r="G2" s="204" t="n"/>
      <c r="H2" s="204" t="n"/>
    </row>
    <row r="3" ht="16.15" customHeight="1">
      <c r="A3" s="1439" t="inlineStr">
        <is>
          <t>PROPERTY ADDRESS</t>
        </is>
      </c>
      <c r="D3" s="1440" t="inlineStr">
        <is>
          <t> </t>
        </is>
      </c>
      <c r="E3" s="1441" t="n"/>
      <c r="F3" s="1441" t="n"/>
      <c r="G3" s="205" t="n"/>
      <c r="H3" s="205" t="n"/>
    </row>
    <row r="4" ht="16.15" customHeight="1">
      <c r="A4" s="1439" t="inlineStr">
        <is>
          <t>PROTEST NUMBER</t>
        </is>
      </c>
      <c r="D4" s="1440" t="inlineStr">
        <is>
          <t> </t>
        </is>
      </c>
      <c r="E4" s="1441" t="n"/>
      <c r="F4" s="1441" t="n"/>
      <c r="G4" s="205" t="n"/>
      <c r="H4" s="205" t="n"/>
    </row>
    <row r="5" ht="16.15" customHeight="1">
      <c r="A5" s="1439" t="inlineStr">
        <is>
          <t>PETITIONER'S NAME</t>
        </is>
      </c>
      <c r="D5" s="1440" t="inlineStr">
        <is>
          <t> </t>
        </is>
      </c>
      <c r="E5" s="1441" t="n"/>
      <c r="F5" s="1441" t="n"/>
      <c r="G5" s="205" t="n"/>
      <c r="H5" s="205" t="n"/>
    </row>
    <row r="7" ht="15.75" customHeight="1">
      <c r="A7" s="1442" t="inlineStr">
        <is>
          <t>ASSESSOR'S REMARKS:</t>
        </is>
      </c>
    </row>
    <row r="8">
      <c r="A8" s="1443" t="inlineStr">
        <is>
          <t> </t>
        </is>
      </c>
      <c r="B8" s="1503" t="n"/>
      <c r="C8" s="1503" t="n"/>
      <c r="D8" s="1503" t="n"/>
      <c r="E8" s="1503" t="n"/>
      <c r="F8" s="1503" t="n"/>
      <c r="G8" s="1503" t="n"/>
      <c r="H8" s="1503" t="n"/>
      <c r="I8" s="1503" t="n"/>
      <c r="J8" s="1503" t="n"/>
      <c r="K8" s="1504" t="n"/>
    </row>
    <row r="9">
      <c r="A9" s="1505" t="n"/>
      <c r="K9" s="1506" t="n"/>
    </row>
    <row r="10">
      <c r="A10" s="1505" t="n"/>
      <c r="K10" s="1506" t="n"/>
    </row>
    <row r="11">
      <c r="A11" s="1505" t="n"/>
      <c r="K11" s="1506" t="n"/>
    </row>
    <row r="12">
      <c r="A12" s="1505" t="n"/>
      <c r="K12" s="1506" t="n"/>
    </row>
    <row r="13">
      <c r="A13" s="1505" t="n"/>
      <c r="K13" s="1506" t="n"/>
    </row>
    <row r="14">
      <c r="A14" s="1505" t="n"/>
      <c r="K14" s="1506" t="n"/>
    </row>
    <row r="15">
      <c r="A15" s="1507" t="n"/>
      <c r="B15" s="1508" t="n"/>
      <c r="C15" s="1508" t="n"/>
      <c r="D15" s="1508" t="n"/>
      <c r="E15" s="1508" t="n"/>
      <c r="F15" s="1508" t="n"/>
      <c r="G15" s="1508" t="n"/>
      <c r="H15" s="1508" t="n"/>
      <c r="I15" s="1508" t="n"/>
      <c r="J15" s="1508" t="n"/>
      <c r="K15" s="1509" t="n"/>
    </row>
    <row r="18" ht="17" customHeight="1">
      <c r="A18" s="1452" t="inlineStr">
        <is>
          <t>MARKET RENT COMPARABLES</t>
        </is>
      </c>
      <c r="B18" s="1453" t="n"/>
      <c r="C18" s="1453" t="n"/>
      <c r="D18" s="1453" t="n"/>
      <c r="E18" s="1453" t="n"/>
      <c r="F18" s="1453" t="n"/>
      <c r="G18" s="1453" t="n"/>
      <c r="H18" s="1454" t="inlineStr">
        <is>
          <t>BUILDING</t>
        </is>
      </c>
      <c r="I18" s="1454" t="n"/>
      <c r="J18" s="1454" t="n"/>
      <c r="K18" s="1455" t="inlineStr">
        <is>
          <t>EXP</t>
        </is>
      </c>
    </row>
    <row r="19" ht="15" customHeight="1">
      <c r="A19" s="1456" t="n"/>
      <c r="B19" s="1457" t="inlineStr">
        <is>
          <t>OFFICE</t>
        </is>
      </c>
      <c r="C19" s="1456" t="inlineStr">
        <is>
          <t>USE TYPE</t>
        </is>
      </c>
      <c r="D19" s="1456" t="n"/>
      <c r="E19" s="1456" t="n"/>
      <c r="F19" s="1456" t="inlineStr">
        <is>
          <t>ZONE</t>
        </is>
      </c>
      <c r="G19" s="1457" t="inlineStr">
        <is>
          <t>YOC</t>
        </is>
      </c>
      <c r="H19" s="1457" t="inlineStr">
        <is>
          <t>SQ FT</t>
        </is>
      </c>
      <c r="I19" s="1456" t="inlineStr">
        <is>
          <t>RENT</t>
        </is>
      </c>
      <c r="J19" s="1456" t="inlineStr">
        <is>
          <t>VACANCY</t>
        </is>
      </c>
      <c r="K19" s="1457" t="inlineStr">
        <is>
          <t>RATIO</t>
        </is>
      </c>
    </row>
    <row r="20" ht="16.5" customHeight="1">
      <c r="A20" s="207" t="n"/>
      <c r="B20" s="1458" t="inlineStr">
        <is>
          <t>SUBJECT PROPERTY</t>
        </is>
      </c>
      <c r="C20" s="1459" t="n"/>
      <c r="D20" s="1459" t="n"/>
      <c r="E20" s="1459" t="n"/>
      <c r="F20" s="1460" t="n"/>
      <c r="G20" s="1460" t="n"/>
      <c r="H20" s="1461" t="n"/>
      <c r="I20" s="1461" t="n"/>
      <c r="J20" s="1461" t="n"/>
      <c r="K20" s="1461" t="n"/>
    </row>
    <row r="21" ht="15.6" customHeight="1">
      <c r="A21" s="211" t="n"/>
      <c r="B21" s="1462">
        <f>LEFT(D2,5)</f>
        <v/>
      </c>
      <c r="C21" s="1463" t="inlineStr">
        <is>
          <t> </t>
        </is>
      </c>
      <c r="D21" s="1513" t="n"/>
      <c r="E21" s="1464" t="n"/>
      <c r="F21" s="1465" t="inlineStr">
        <is>
          <t> </t>
        </is>
      </c>
      <c r="G21" s="1465" t="inlineStr">
        <is>
          <t> </t>
        </is>
      </c>
      <c r="H21" s="1466" t="inlineStr">
        <is>
          <t> </t>
        </is>
      </c>
      <c r="I21" s="1419" t="inlineStr">
        <is>
          <t> </t>
        </is>
      </c>
      <c r="J21" s="1467" t="inlineStr">
        <is>
          <t> </t>
        </is>
      </c>
      <c r="K21" s="1467" t="inlineStr">
        <is>
          <t> </t>
        </is>
      </c>
    </row>
    <row r="22" ht="15" customHeight="1">
      <c r="A22" s="1458" t="inlineStr">
        <is>
          <t>1)</t>
        </is>
      </c>
      <c r="B22" s="1422">
        <f>IF(Income!D$2="","",MID(Income!D2,1,5))</f>
        <v/>
      </c>
      <c r="C22" s="1421">
        <f>IF(Income!G$2="","",VLOOKUP(Income!G$2,[0]!Class,2))</f>
        <v/>
      </c>
      <c r="D22" s="1511" t="n"/>
      <c r="E22" s="1413" t="n"/>
      <c r="F22" s="1422">
        <f>IF(Income!T$2="","",Income!T$2)</f>
        <v/>
      </c>
      <c r="G22" s="1422">
        <f>IF(Income!N$2="","",Income!N$2)</f>
        <v/>
      </c>
      <c r="H22" s="1423">
        <f>IF(Income!J$2="","",Income!J$2)</f>
        <v/>
      </c>
      <c r="I22" s="1425">
        <f>IF(Income!K$2="","",Income!K$2)</f>
        <v/>
      </c>
      <c r="J22" s="1426">
        <f>IF(Income!L$2="","",Income!L$2)</f>
        <v/>
      </c>
      <c r="K22" s="1426">
        <f>IF(Income!M$2="","",Income!M$2)</f>
        <v/>
      </c>
    </row>
    <row r="23" ht="15" customHeight="1">
      <c r="A23" s="1458" t="inlineStr">
        <is>
          <t>2)</t>
        </is>
      </c>
      <c r="B23" s="1428">
        <f>IF(Income!D$3="","",MID(Income!D$3,1,5))</f>
        <v/>
      </c>
      <c r="C23" s="1427">
        <f>IF(Income!G$3="","",VLOOKUP(Income!G$3,[0]!Class,2))</f>
        <v/>
      </c>
      <c r="D23" s="1511" t="n"/>
      <c r="E23" s="1413" t="n"/>
      <c r="F23" s="1428">
        <f>IF(Income!T$3="","",Income!T$3)</f>
        <v/>
      </c>
      <c r="G23" s="1428">
        <f>IF(Income!N$3="","",Income!N$3)</f>
        <v/>
      </c>
      <c r="H23" s="1429">
        <f>IF(Income!J$3="","",Income!J$3)</f>
        <v/>
      </c>
      <c r="I23" s="1430">
        <f>IF(Income!K$3="","",Income!K$3)</f>
        <v/>
      </c>
      <c r="J23" s="1431">
        <f>IF(Income!L$3="","",Income!L$3)</f>
        <v/>
      </c>
      <c r="K23" s="1431">
        <f>IF(Income!M$3="","",Income!M$3)</f>
        <v/>
      </c>
    </row>
    <row r="24" ht="15" customHeight="1">
      <c r="A24" s="1458" t="inlineStr">
        <is>
          <t>3)</t>
        </is>
      </c>
      <c r="B24" s="1422">
        <f>IF(Income!D$4="","",MID(Income!D$4,1,5))</f>
        <v/>
      </c>
      <c r="C24" s="1421">
        <f>IF(Income!G$4="","",VLOOKUP(Income!G$4,[0]!Class,2))</f>
        <v/>
      </c>
      <c r="D24" s="1511" t="n"/>
      <c r="E24" s="1413" t="n"/>
      <c r="F24" s="1422">
        <f>IF(Income!T$4="","",Income!T$4)</f>
        <v/>
      </c>
      <c r="G24" s="1422">
        <f>IF(Income!N$4="","",Income!N$4)</f>
        <v/>
      </c>
      <c r="H24" s="1423">
        <f>IF(Income!J$4="","",Income!J$4)</f>
        <v/>
      </c>
      <c r="I24" s="1425">
        <f>IF(Income!K$4="","",Income!K$4)</f>
        <v/>
      </c>
      <c r="J24" s="1426">
        <f>IF(Income!L$4="","",Income!L$4)</f>
        <v/>
      </c>
      <c r="K24" s="1426">
        <f>IF(Income!M$4="","",Income!M$4)</f>
        <v/>
      </c>
    </row>
    <row r="25" ht="15.75" customHeight="1">
      <c r="A25" s="217" t="n"/>
      <c r="B25" s="217" t="n"/>
      <c r="C25" s="217" t="n"/>
      <c r="D25" s="217" t="n"/>
      <c r="E25" s="217" t="n"/>
    </row>
    <row r="26" ht="17" customHeight="1">
      <c r="A26" s="1452" t="inlineStr">
        <is>
          <t>MARKET SALE COMPARABLES</t>
        </is>
      </c>
      <c r="B26" s="1453" t="n"/>
      <c r="C26" s="1453" t="n"/>
      <c r="D26" s="1453" t="n"/>
      <c r="E26" s="1453" t="n"/>
      <c r="F26" s="1453" t="n"/>
      <c r="G26" s="1453" t="n"/>
      <c r="H26" s="1453" t="inlineStr">
        <is>
          <t>BUILDING</t>
        </is>
      </c>
      <c r="I26" s="1453" t="inlineStr">
        <is>
          <t>SALE</t>
        </is>
      </c>
      <c r="J26" s="1453" t="inlineStr">
        <is>
          <t>SALE</t>
        </is>
      </c>
      <c r="K26" s="1468" t="inlineStr">
        <is>
          <t>S.P./</t>
        </is>
      </c>
    </row>
    <row r="27" ht="15" customHeight="1">
      <c r="A27" s="1456" t="n"/>
      <c r="B27" s="1456" t="inlineStr">
        <is>
          <t>PROPERTY ADDRESS</t>
        </is>
      </c>
      <c r="C27" s="1456" t="n"/>
      <c r="D27" s="1456" t="inlineStr">
        <is>
          <t>ACCOUNT NUMBER</t>
        </is>
      </c>
      <c r="E27" s="1456" t="n"/>
      <c r="F27" s="1456" t="n"/>
      <c r="G27" s="1456" t="inlineStr">
        <is>
          <t>YOC</t>
        </is>
      </c>
      <c r="H27" s="1456" t="inlineStr">
        <is>
          <t>SQ FT</t>
        </is>
      </c>
      <c r="I27" s="1456" t="inlineStr">
        <is>
          <t>DATE</t>
        </is>
      </c>
      <c r="J27" s="1456" t="inlineStr">
        <is>
          <t>PRICE</t>
        </is>
      </c>
      <c r="K27" s="1456" t="inlineStr">
        <is>
          <t>SQ FT</t>
        </is>
      </c>
    </row>
    <row r="28" ht="16.5" customHeight="1">
      <c r="A28" s="211" t="n"/>
      <c r="B28" s="1458" t="inlineStr">
        <is>
          <t>SUBJECT PROPERTY</t>
        </is>
      </c>
      <c r="C28" s="1271" t="n"/>
      <c r="D28" s="1271" t="n"/>
      <c r="E28" s="1271" t="n"/>
      <c r="F28" s="1271" t="n"/>
      <c r="G28" s="1460" t="n"/>
      <c r="H28" s="1271" t="n"/>
      <c r="I28" s="1271" t="n"/>
      <c r="J28" s="1271" t="n"/>
      <c r="K28" s="1459" t="n"/>
    </row>
    <row r="29" ht="15.6" customHeight="1">
      <c r="A29" s="211" t="n"/>
      <c r="B29" s="1469">
        <f>D3</f>
        <v/>
      </c>
      <c r="C29" s="1513" t="n"/>
      <c r="D29" s="1470">
        <f>D2</f>
        <v/>
      </c>
      <c r="E29" s="1512" t="n"/>
      <c r="F29" s="1511" t="n"/>
      <c r="G29" s="1471">
        <f>G21</f>
        <v/>
      </c>
      <c r="H29" s="1472">
        <f>H21</f>
        <v/>
      </c>
      <c r="I29" s="1473" t="n"/>
      <c r="J29" s="1473" t="n"/>
      <c r="K29" s="1474">
        <f>IF(OR(N(H29)=0,N(D48)=0),"",ROUND(D48/H29,2))</f>
        <v/>
      </c>
    </row>
    <row r="30" ht="15" customHeight="1">
      <c r="A30" s="1458" t="inlineStr">
        <is>
          <t>Best Match 1)</t>
        </is>
      </c>
      <c r="B30" s="1470">
        <f>IF(IFERROR(INDEX(Sales!D:D,$Z$30),"")="","",IFERROR(INDEX(Sales!D:D,$Z$30),""))</f>
        <v/>
      </c>
      <c r="C30" s="1511" t="n"/>
      <c r="D30" s="1470">
        <f>IF(IFERROR(INDEX(Sales!C:C,$Z$30),"")="","",IFERROR(INDEX(Sales!C:C,$Z$30),""))</f>
        <v/>
      </c>
      <c r="E30" s="1512" t="n"/>
      <c r="F30" s="1511" t="n"/>
      <c r="G30" s="1471">
        <f>IF(IFERROR(INDEX(Sales!M:M,$Z$30),"")="","",IFERROR(INDEX(Sales!M:M,$Z$30),""))</f>
        <v/>
      </c>
      <c r="H30" s="1472">
        <f>IF(IFERROR(INDEX(Sales!L:L,$Z$30),"")="","",IFERROR(INDEX(Sales!L:L,$Z$30),""))</f>
        <v/>
      </c>
      <c r="I30" s="1475">
        <f>IF(IFERROR(INDEX(Sales!I:I,$Z$30),"")="","",IFERROR(INDEX(Sales!I:I,$Z$30),""))</f>
        <v/>
      </c>
      <c r="J30" s="1476">
        <f>IF(IFERROR(INDEX(Sales!AA:AA,$Z$30),"")="","",IFERROR(INDEX(Sales!AA:AA,$Z$30),""))</f>
        <v/>
      </c>
      <c r="K30" s="1474">
        <f>IF(IFERROR(INDEX(Sales!H:H,$Z$30),"")="","",IFERROR(INDEX(Sales!H:H,$Z$30),""))</f>
        <v/>
      </c>
      <c r="Y30" s="1031" t="n">
        <v>1</v>
      </c>
      <c r="Z30">
        <f>IFERROR(MATCH(_xlfn.AGGREGATE(15,6,Sales!$AJ$2:$AJ$941,$Y$30),Sales!$AJ$2:$AJ$941,0)+1,"")</f>
        <v/>
      </c>
    </row>
    <row r="31" ht="15" customHeight="1">
      <c r="A31" s="1458" t="inlineStr">
        <is>
          <t>Best Match 2)</t>
        </is>
      </c>
      <c r="B31" s="1477">
        <f>IF(IFERROR(INDEX(Sales!D:D,$Z$31),"")="","",IFERROR(INDEX(Sales!D:D,$Z$31),""))</f>
        <v/>
      </c>
      <c r="C31" s="1511" t="n"/>
      <c r="D31" s="1477">
        <f>IF(IFERROR(INDEX(Sales!C:C,$Z$31),"")="","",IFERROR(INDEX(Sales!C:C,$Z$31),""))</f>
        <v/>
      </c>
      <c r="E31" s="1512" t="n"/>
      <c r="F31" s="1511" t="n"/>
      <c r="G31" s="1478">
        <f>IF(IFERROR(INDEX(Sales!M:M,$Z$31),"")="","",IFERROR(INDEX(Sales!M:M,$Z$31),""))</f>
        <v/>
      </c>
      <c r="H31" s="1479">
        <f>IF(IFERROR(INDEX(Sales!L:L,$Z$31),"")="","",IFERROR(INDEX(Sales!L:L,$Z$31),""))</f>
        <v/>
      </c>
      <c r="I31" s="1480">
        <f>IF(IFERROR(INDEX(Sales!I:I,$Z$31),"")="","",IFERROR(INDEX(Sales!I:I,$Z$31),""))</f>
        <v/>
      </c>
      <c r="J31" s="1481">
        <f>IF(IFERROR(INDEX(Sales!AA:AA,$Z$31),"")="","",IFERROR(INDEX(Sales!AA:AA,$Z$31),""))</f>
        <v/>
      </c>
      <c r="K31" s="1482">
        <f>IF(IFERROR(INDEX(Sales!H:H,$Z$31),"")="","",IFERROR(INDEX(Sales!H:H,$Z$31),""))</f>
        <v/>
      </c>
      <c r="Y31" s="1031" t="n">
        <v>2</v>
      </c>
      <c r="Z31">
        <f>IFERROR(MATCH(_xlfn.AGGREGATE(15,6,Sales!$AJ$2:$AJ$941,$Y$31),Sales!$AJ$2:$AJ$941,0)+1,"")</f>
        <v/>
      </c>
    </row>
    <row r="32" ht="15" customHeight="1">
      <c r="A32" s="1458" t="inlineStr">
        <is>
          <t>Best Match 3)</t>
        </is>
      </c>
      <c r="B32" s="1470">
        <f>IF(IFERROR(INDEX(Sales!D:D,$Z$32),"")="","",IFERROR(INDEX(Sales!D:D,$Z$32),""))</f>
        <v/>
      </c>
      <c r="C32" s="1511" t="n"/>
      <c r="D32" s="1470">
        <f>IF(IFERROR(INDEX(Sales!C:C,$Z$32),"")="","",IFERROR(INDEX(Sales!C:C,$Z$32),""))</f>
        <v/>
      </c>
      <c r="E32" s="1512" t="n"/>
      <c r="F32" s="1511" t="n"/>
      <c r="G32" s="1471">
        <f>IF(IFERROR(INDEX(Sales!M:M,$Z$32),"")="","",IFERROR(INDEX(Sales!M:M,$Z$32),""))</f>
        <v/>
      </c>
      <c r="H32" s="1472">
        <f>IF(IFERROR(INDEX(Sales!L:L,$Z$32),"")="","",IFERROR(INDEX(Sales!L:L,$Z$32),""))</f>
        <v/>
      </c>
      <c r="I32" s="1475">
        <f>IF(IFERROR(INDEX(Sales!I:I,$Z$32),"")="","",IFERROR(INDEX(Sales!I:I,$Z$32),""))</f>
        <v/>
      </c>
      <c r="J32" s="1476">
        <f>IF(IFERROR(INDEX(Sales!AA:AA,$Z$32),"")="","",IFERROR(INDEX(Sales!AA:AA,$Z$32),""))</f>
        <v/>
      </c>
      <c r="K32" s="1474">
        <f>IF(IFERROR(INDEX(Sales!H:H,$Z$32),"")="","",IFERROR(INDEX(Sales!H:H,$Z$32),""))</f>
        <v/>
      </c>
      <c r="Y32" s="1031" t="n">
        <v>3</v>
      </c>
      <c r="Z32">
        <f>IFERROR(MATCH(_xlfn.AGGREGATE(15,6,Sales!$AJ$2:$AJ$941,$Y$32),Sales!$AJ$2:$AJ$941,0)+1,"")</f>
        <v/>
      </c>
    </row>
    <row r="34" ht="15.75" customHeight="1">
      <c r="A34" s="1439" t="inlineStr">
        <is>
          <t>VALUE CONCLUSIONS:</t>
        </is>
      </c>
    </row>
    <row r="35">
      <c r="A35" s="1443" t="inlineStr">
        <is>
          <t> </t>
        </is>
      </c>
      <c r="B35" s="1503" t="n"/>
      <c r="C35" s="1503" t="n"/>
      <c r="D35" s="1503" t="n"/>
      <c r="E35" s="1503" t="n"/>
      <c r="F35" s="1503" t="n"/>
      <c r="G35" s="1503" t="n"/>
      <c r="H35" s="1503" t="n"/>
      <c r="I35" s="1503" t="n"/>
      <c r="J35" s="1503" t="n"/>
      <c r="K35" s="1504" t="n"/>
    </row>
    <row r="36">
      <c r="A36" s="1505" t="n"/>
      <c r="K36" s="1506" t="n"/>
    </row>
    <row r="37">
      <c r="A37" s="1505" t="n"/>
      <c r="K37" s="1506" t="n"/>
    </row>
    <row r="38">
      <c r="A38" s="1505" t="n"/>
      <c r="K38" s="1506" t="n"/>
    </row>
    <row r="39">
      <c r="A39" s="1505" t="n"/>
      <c r="K39" s="1506" t="n"/>
    </row>
    <row r="40">
      <c r="A40" s="1505" t="n"/>
      <c r="K40" s="1506" t="n"/>
    </row>
    <row r="41">
      <c r="A41" s="1505" t="n"/>
      <c r="K41" s="1506" t="n"/>
    </row>
    <row r="42">
      <c r="A42" s="1507" t="n"/>
      <c r="B42" s="1508" t="n"/>
      <c r="C42" s="1508" t="n"/>
      <c r="D42" s="1508" t="n"/>
      <c r="E42" s="1508" t="n"/>
      <c r="F42" s="1508" t="n"/>
      <c r="G42" s="1508" t="n"/>
      <c r="H42" s="1508" t="n"/>
      <c r="I42" s="1508" t="n"/>
      <c r="J42" s="1508" t="n"/>
      <c r="K42" s="1509" t="n"/>
    </row>
    <row r="44" ht="17" customHeight="1">
      <c r="A44" s="1483" t="inlineStr">
        <is>
          <t>VALUE ALLOCATION OF SUBJECT PROPERTY:</t>
        </is>
      </c>
      <c r="B44" s="1322" t="n"/>
      <c r="C44" s="1322" t="n"/>
      <c r="D44" s="1322" t="n"/>
      <c r="E44" s="1322" t="n"/>
      <c r="F44" s="1322" t="n"/>
      <c r="G44" s="1322" t="n"/>
      <c r="H44" s="1322" t="n"/>
      <c r="I44" s="1322" t="n"/>
      <c r="J44" s="1322" t="n"/>
      <c r="K44" s="1322" t="n"/>
    </row>
    <row r="46" ht="13.9" customHeight="1">
      <c r="A46" s="1439" t="inlineStr">
        <is>
          <t>LAND VALUE:</t>
        </is>
      </c>
      <c r="D46" s="1484" t="inlineStr">
        <is>
          <t> </t>
        </is>
      </c>
      <c r="E46" s="1511" t="n"/>
      <c r="G46" s="1486" t="inlineStr">
        <is>
          <t>NO CHANGE</t>
        </is>
      </c>
      <c r="H46" t="n"/>
      <c r="I46" s="1486" t="inlineStr">
        <is>
          <t>REDUCTION</t>
        </is>
      </c>
    </row>
    <row r="47" ht="13.9" customHeight="1">
      <c r="A47" s="1439" t="inlineStr">
        <is>
          <t>IMPROVEMENT VALUE:</t>
        </is>
      </c>
      <c r="D47" s="1484" t="inlineStr">
        <is>
          <t> </t>
        </is>
      </c>
      <c r="E47" s="1511" t="n"/>
      <c r="G47" s="1486" t="inlineStr">
        <is>
          <t>NO CHANGE</t>
        </is>
      </c>
      <c r="I47" s="1486" t="inlineStr">
        <is>
          <t>REDUCTION</t>
        </is>
      </c>
    </row>
    <row r="48">
      <c r="A48" s="1439" t="inlineStr">
        <is>
          <t>TOTAL VALUE:</t>
        </is>
      </c>
      <c r="D48" s="1484" t="inlineStr">
        <is>
          <t> </t>
        </is>
      </c>
      <c r="E48" s="1511" t="n"/>
      <c r="G48" s="1487" t="n"/>
      <c r="I48" s="1487"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fitToHeight="0" fitToWidth="1" verticalDpi="300"/>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B1:M5104"/>
  <sheetViews>
    <sheetView workbookViewId="0">
      <selection activeCell="A1" sqref="A1"/>
    </sheetView>
  </sheetViews>
  <sheetFormatPr baseColWidth="8" defaultRowHeight="15"/>
  <cols>
    <col width="52" customWidth="1" min="2" max="2"/>
    <col width="30" customWidth="1" min="3" max="3"/>
    <col width="44" customWidth="1" min="4" max="4"/>
    <col width="8" customWidth="1" min="5" max="5"/>
    <col width="10" customWidth="1" min="6" max="6"/>
    <col width="11" customWidth="1" min="7" max="7"/>
    <col width="10" customWidth="1" min="8" max="8"/>
    <col width="14" customWidth="1" min="9" max="9"/>
    <col width="26" customWidth="1" min="10" max="10"/>
    <col width="10" customWidth="1" min="11" max="11"/>
    <col width="10" customWidth="1" min="12" max="12"/>
    <col width="10" customWidth="1" min="13" max="13"/>
  </cols>
  <sheetData>
    <row r="1">
      <c r="B1" s="899" t="inlineStr">
        <is>
          <t>MARSHALL AND SWIFT (MVS) REFERENCE ENGINE -- June 2024 Ed. (Sec.99/98 multiplier inserts dated Jan 2025). COMPLETE occupancy coverage: every Class/Quality cost table in calculator Sections 11-18.</t>
        </is>
      </c>
    </row>
    <row r="2">
      <c r="B2" t="inlineStr">
        <is>
          <t>ALL WORKING INPUTS LIVE ON THE 'COST APPROACH' TAB -- this sheet is locked MVS reference/lookup data only. Go to Cost Approach to value a property.</t>
        </is>
      </c>
    </row>
    <row r="4">
      <c r="B4" t="inlineStr">
        <is>
          <t>CURRENT RESULT  (mirrors the 'Cost Approach' tab)</t>
        </is>
      </c>
    </row>
    <row r="5">
      <c r="B5" t="inlineStr">
        <is>
          <t>Total Replacement Cost New (RCN)</t>
        </is>
      </c>
      <c r="C5">
        <f>'Cost Approach'!G51</f>
        <v/>
      </c>
    </row>
    <row r="6">
      <c r="B6" t="inlineStr">
        <is>
          <t>Depreciated Value of Improvements</t>
        </is>
      </c>
      <c r="C6">
        <f>'Cost Approach'!G64</f>
        <v/>
      </c>
    </row>
    <row r="7">
      <c r="B7" t="inlineStr">
        <is>
          <t>Plus: Land Value</t>
        </is>
      </c>
      <c r="C7">
        <f>'Cost Approach'!G67</f>
        <v/>
      </c>
    </row>
    <row r="8">
      <c r="B8" t="inlineStr">
        <is>
          <t>INDICATED VALUE BY COST APPROACH</t>
        </is>
      </c>
      <c r="C8">
        <f>'Cost Approach'!G70</f>
        <v/>
      </c>
    </row>
    <row r="11">
      <c r="B11" s="899" t="inlineStr">
        <is>
          <t>MVS QUICK-REFERENCE TABLES -- DO NOT EDIT  (sourced &amp;amp; verified from the licensed MVS June 2024 edition; Sec.99/98 multiplier inserts dated Jan 2025)</t>
        </is>
      </c>
    </row>
    <row r="13">
      <c r="B13" s="899" t="inlineStr">
        <is>
          <t>REFERENCE 1 -- Class of Construction Indicators (MVS Section 1, pp.4-9)</t>
        </is>
      </c>
    </row>
    <row r="14">
      <c r="B14" t="inlineStr">
        <is>
          <t>Class</t>
        </is>
      </c>
      <c r="C14" t="inlineStr">
        <is>
          <t>Frame</t>
        </is>
      </c>
      <c r="D14" t="inlineStr">
        <is>
          <t>Floor</t>
        </is>
      </c>
      <c r="E14" t="inlineStr">
        <is>
          <t>Roof</t>
        </is>
      </c>
      <c r="F14" t="inlineStr">
        <is>
          <t>Walls</t>
        </is>
      </c>
    </row>
    <row r="1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c r="B21" s="899" t="inlineStr">
        <is>
          <t>REFERENCE 2 -- Quality Tier Definitions (MVS Section 1, pp.10-12)</t>
        </is>
      </c>
    </row>
    <row r="22">
      <c r="B22" t="inlineStr">
        <is>
          <t>Quality</t>
        </is>
      </c>
      <c r="C22" t="inlineStr">
        <is>
          <t>Description</t>
        </is>
      </c>
    </row>
    <row r="23">
      <c r="B23" t="inlineStr">
        <is>
          <t>Low Cost</t>
        </is>
      </c>
      <c r="C23" t="inlineStr">
        <is>
          <t>Constructed to minimum code requirements, little regard for architectural appearance, minimum investment, little ornamentation, minimal/low-quality interior finish.</t>
        </is>
      </c>
    </row>
    <row r="24">
      <c r="B24" t="inlineStr">
        <is>
          <t>Average</t>
        </is>
      </c>
      <c r="C24" t="inlineStr">
        <is>
          <t>Largest group of buildings constructed (~50% of all buildings). Designed for maximum economic potential without pride-of-ownership amenities. Good standard code construction, simple ornamentation and finishes.</t>
        </is>
      </c>
    </row>
    <row r="25">
      <c r="B25" t="inlineStr">
        <is>
          <t>Good</t>
        </is>
      </c>
      <c r="C25" t="inlineStr">
        <is>
          <t>Designed for good appearance, comfort and convenience with an element of prestige. Higher-quality ornamental treatment, interiors designed for upper-class rentals, better lighting and mechanical work.</t>
        </is>
      </c>
    </row>
    <row r="26">
      <c r="B26" t="inlineStr">
        <is>
          <t>Excellent</t>
        </is>
      </c>
      <c r="C26" t="inlineStr">
        <is>
          <t>Prestige buildings. Part of cost is attributable to pride of ownership. Expensive finishes and fixtures; built for established professionals/institutions or high-profile tenants.</t>
        </is>
      </c>
    </row>
    <row r="28">
      <c r="B28" s="1250" t="inlineStr">
        <is>
          <t>REFERENCE 3 -- Occupancy Base Cost Tables (Calculator Method, $/SF) -- every Class/Quality occupancy cost table in MVS calculator Sections 11-18</t>
        </is>
      </c>
    </row>
    <row r="29">
      <c r="B29" s="1251" t="inlineStr">
        <is>
          <t>Occupancy Name</t>
        </is>
      </c>
      <c r="C29" s="1251" t="inlineStr">
        <is>
          <t>MVS Code</t>
        </is>
      </c>
      <c r="D29" s="1251" t="inlineStr">
        <is>
          <t>Section</t>
        </is>
      </c>
      <c r="E29" s="1251" t="inlineStr">
        <is>
          <t>Page</t>
        </is>
      </c>
      <c r="F29" s="1251" t="inlineStr">
        <is>
          <t>Class</t>
        </is>
      </c>
      <c r="G29" s="1251" t="inlineStr">
        <is>
          <t>Quality</t>
        </is>
      </c>
      <c r="H29" s="1251" t="inlineStr">
        <is>
          <t>$/SF</t>
        </is>
      </c>
      <c r="I29" s="1251" t="inlineStr">
        <is>
          <t>Lookup Key</t>
        </is>
      </c>
      <c r="J29" s="1251" t="inlineStr">
        <is>
          <t>Citation</t>
        </is>
      </c>
    </row>
    <row r="30">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c r="B3126" s="1250" t="inlineStr">
        <is>
          <t>REFERENCE 4 -- Occupancy Master List (dropdown source / lookup attributes)</t>
        </is>
      </c>
    </row>
    <row r="3127">
      <c r="B3127" s="1251" t="inlineStr">
        <is>
          <t>Occupancy Name</t>
        </is>
      </c>
      <c r="C3127" s="1251" t="inlineStr">
        <is>
          <t>MVS Code</t>
        </is>
      </c>
      <c r="D3127" s="1251" t="inlineStr">
        <is>
          <t>Section</t>
        </is>
      </c>
      <c r="E3127" s="1251" t="inlineStr">
        <is>
          <t>Page</t>
        </is>
      </c>
      <c r="F3127" s="1251" t="inlineStr">
        <is>
          <t>Story-Height Tbl (Sec.)</t>
        </is>
      </c>
      <c r="G3127" s="1251" t="inlineStr">
        <is>
          <t>Sprinkler Tbl (Sec.)</t>
        </is>
      </c>
      <c r="H3127" s="1251" t="inlineStr">
        <is>
          <t>Depr Table (C=Commercial Sec.97 p.24 / R=Residential p.25)</t>
        </is>
      </c>
    </row>
    <row r="3128">
      <c r="B3128" t="inlineStr">
        <is>
          <t>Homes For the Elderly</t>
        </is>
      </c>
      <c r="C3128" t="inlineStr">
        <is>
          <t>330</t>
        </is>
      </c>
      <c r="D3128" t="inlineStr">
        <is>
          <t>11</t>
        </is>
      </c>
      <c r="E3128" t="inlineStr">
        <is>
          <t>13</t>
        </is>
      </c>
      <c r="F3128" t="inlineStr">
        <is>
          <t>11</t>
        </is>
      </c>
      <c r="G3128" t="inlineStr">
        <is>
          <t>11</t>
        </is>
      </c>
      <c r="H3128" t="inlineStr">
        <is>
          <t>C</t>
        </is>
      </c>
    </row>
    <row r="3129">
      <c r="B3129" t="inlineStr">
        <is>
          <t>Dormitories</t>
        </is>
      </c>
      <c r="C3129" t="inlineStr">
        <is>
          <t>321</t>
        </is>
      </c>
      <c r="D3129" t="inlineStr">
        <is>
          <t>11</t>
        </is>
      </c>
      <c r="E3129" t="inlineStr">
        <is>
          <t>14</t>
        </is>
      </c>
      <c r="F3129" t="inlineStr">
        <is>
          <t>11</t>
        </is>
      </c>
      <c r="G3129" t="inlineStr">
        <is>
          <t>11</t>
        </is>
      </c>
      <c r="H3129" t="inlineStr">
        <is>
          <t>R</t>
        </is>
      </c>
    </row>
    <row r="3130">
      <c r="B3130" t="inlineStr">
        <is>
          <t>Luxury Apartments (High-Rise)</t>
        </is>
      </c>
      <c r="C3130" t="inlineStr">
        <is>
          <t>984</t>
        </is>
      </c>
      <c r="D3130" t="inlineStr">
        <is>
          <t>11</t>
        </is>
      </c>
      <c r="E3130" t="inlineStr">
        <is>
          <t>15</t>
        </is>
      </c>
      <c r="F3130" t="inlineStr">
        <is>
          <t>11</t>
        </is>
      </c>
      <c r="G3130" t="inlineStr">
        <is>
          <t>11</t>
        </is>
      </c>
      <c r="H3130" t="inlineStr">
        <is>
          <t>C</t>
        </is>
      </c>
    </row>
    <row r="3131">
      <c r="B3131" t="inlineStr">
        <is>
          <t>Shell Luxury Apartment Buildings</t>
        </is>
      </c>
      <c r="C3131" t="inlineStr">
        <is>
          <t>777</t>
        </is>
      </c>
      <c r="D3131" t="inlineStr">
        <is>
          <t>11</t>
        </is>
      </c>
      <c r="E3131" t="inlineStr">
        <is>
          <t>16</t>
        </is>
      </c>
      <c r="F3131" t="inlineStr">
        <is>
          <t>11</t>
        </is>
      </c>
      <c r="G3131" t="inlineStr">
        <is>
          <t>11</t>
        </is>
      </c>
      <c r="H3131" t="inlineStr">
        <is>
          <t>C</t>
        </is>
      </c>
    </row>
    <row r="3132">
      <c r="B3132" t="inlineStr">
        <is>
          <t>Apartments (High-Rise)</t>
        </is>
      </c>
      <c r="C3132" t="inlineStr">
        <is>
          <t>300</t>
        </is>
      </c>
      <c r="D3132" t="inlineStr">
        <is>
          <t>11</t>
        </is>
      </c>
      <c r="E3132" t="inlineStr">
        <is>
          <t>18</t>
        </is>
      </c>
      <c r="F3132" t="inlineStr">
        <is>
          <t>11</t>
        </is>
      </c>
      <c r="G3132" t="inlineStr">
        <is>
          <t>11</t>
        </is>
      </c>
      <c r="H3132" t="inlineStr">
        <is>
          <t>C</t>
        </is>
      </c>
    </row>
    <row r="3133">
      <c r="B3133" t="inlineStr">
        <is>
          <t>City Clubs</t>
        </is>
      </c>
      <c r="C3133" t="inlineStr">
        <is>
          <t>310</t>
        </is>
      </c>
      <c r="D3133" t="inlineStr">
        <is>
          <t>11</t>
        </is>
      </c>
      <c r="E3133" t="inlineStr">
        <is>
          <t>19</t>
        </is>
      </c>
      <c r="F3133" t="inlineStr">
        <is>
          <t>11</t>
        </is>
      </c>
      <c r="G3133" t="inlineStr">
        <is>
          <t>11</t>
        </is>
      </c>
      <c r="H3133" t="inlineStr">
        <is>
          <t>R</t>
        </is>
      </c>
    </row>
    <row r="3134">
      <c r="B3134" t="inlineStr">
        <is>
          <t>Shell Apartment Buildings</t>
        </is>
      </c>
      <c r="C3134" t="inlineStr">
        <is>
          <t>596</t>
        </is>
      </c>
      <c r="D3134" t="inlineStr">
        <is>
          <t>11</t>
        </is>
      </c>
      <c r="E3134" t="inlineStr">
        <is>
          <t>20</t>
        </is>
      </c>
      <c r="F3134" t="inlineStr">
        <is>
          <t>11</t>
        </is>
      </c>
      <c r="G3134" t="inlineStr">
        <is>
          <t>11</t>
        </is>
      </c>
      <c r="H3134" t="inlineStr">
        <is>
          <t>C</t>
        </is>
      </c>
    </row>
    <row r="3135">
      <c r="B3135" t="inlineStr">
        <is>
          <t>Hotels, Limited Service</t>
        </is>
      </c>
      <c r="C3135" t="inlineStr">
        <is>
          <t>595</t>
        </is>
      </c>
      <c r="D3135" t="inlineStr">
        <is>
          <t>11</t>
        </is>
      </c>
      <c r="E3135" t="inlineStr">
        <is>
          <t>22</t>
        </is>
      </c>
      <c r="F3135" t="inlineStr">
        <is>
          <t>11</t>
        </is>
      </c>
      <c r="G3135" t="inlineStr">
        <is>
          <t>11</t>
        </is>
      </c>
      <c r="H3135" t="inlineStr">
        <is>
          <t>C</t>
        </is>
      </c>
    </row>
    <row r="3136">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c r="B3137" t="inlineStr">
        <is>
          <t>Hotels, Full Service</t>
        </is>
      </c>
      <c r="C3137" t="inlineStr">
        <is>
          <t>594</t>
        </is>
      </c>
      <c r="D3137" t="inlineStr">
        <is>
          <t>11</t>
        </is>
      </c>
      <c r="E3137" t="inlineStr">
        <is>
          <t>25</t>
        </is>
      </c>
      <c r="F3137" t="inlineStr">
        <is>
          <t>11</t>
        </is>
      </c>
      <c r="G3137" t="inlineStr">
        <is>
          <t>11</t>
        </is>
      </c>
      <c r="H3137" t="inlineStr">
        <is>
          <t>C</t>
        </is>
      </c>
    </row>
    <row r="3138">
      <c r="B3138" t="inlineStr">
        <is>
          <t>Shell Hotels: Full Service Buildings</t>
        </is>
      </c>
      <c r="C3138" t="inlineStr">
        <is>
          <t>778</t>
        </is>
      </c>
      <c r="D3138" t="inlineStr">
        <is>
          <t>11</t>
        </is>
      </c>
      <c r="E3138" t="inlineStr">
        <is>
          <t>26</t>
        </is>
      </c>
      <c r="F3138" t="inlineStr">
        <is>
          <t>11</t>
        </is>
      </c>
      <c r="G3138" t="inlineStr">
        <is>
          <t>11</t>
        </is>
      </c>
      <c r="H3138" t="inlineStr">
        <is>
          <t>C</t>
        </is>
      </c>
    </row>
    <row r="3139">
      <c r="B3139" t="inlineStr">
        <is>
          <t>Rooming Houses</t>
        </is>
      </c>
      <c r="C3139" t="inlineStr">
        <is>
          <t>551</t>
        </is>
      </c>
      <c r="D3139" t="inlineStr">
        <is>
          <t>11</t>
        </is>
      </c>
      <c r="E3139" t="inlineStr">
        <is>
          <t>28</t>
        </is>
      </c>
      <c r="F3139" t="inlineStr">
        <is>
          <t>11</t>
        </is>
      </c>
      <c r="G3139" t="inlineStr">
        <is>
          <t>11</t>
        </is>
      </c>
      <c r="H3139" t="inlineStr">
        <is>
          <t>R</t>
        </is>
      </c>
    </row>
    <row r="3140">
      <c r="B3140" t="inlineStr">
        <is>
          <t>Rectories</t>
        </is>
      </c>
      <c r="C3140" t="inlineStr">
        <is>
          <t>348</t>
        </is>
      </c>
      <c r="D3140" t="inlineStr">
        <is>
          <t>11</t>
        </is>
      </c>
      <c r="E3140" t="inlineStr">
        <is>
          <t>28</t>
        </is>
      </c>
      <c r="F3140" t="inlineStr">
        <is>
          <t>11</t>
        </is>
      </c>
      <c r="G3140" t="inlineStr">
        <is>
          <t>11</t>
        </is>
      </c>
      <c r="H3140" t="inlineStr">
        <is>
          <t>R</t>
        </is>
      </c>
    </row>
    <row r="3141">
      <c r="B3141" t="inlineStr">
        <is>
          <t>Fraternity Housing</t>
        </is>
      </c>
      <c r="C3141" t="inlineStr">
        <is>
          <t>324</t>
        </is>
      </c>
      <c r="D3141" t="inlineStr">
        <is>
          <t>11</t>
        </is>
      </c>
      <c r="E3141" t="inlineStr">
        <is>
          <t>28</t>
        </is>
      </c>
      <c r="F3141" t="inlineStr">
        <is>
          <t>11</t>
        </is>
      </c>
      <c r="G3141" t="inlineStr">
        <is>
          <t>11</t>
        </is>
      </c>
      <c r="H3141" t="inlineStr">
        <is>
          <t>R</t>
        </is>
      </c>
    </row>
    <row r="3142">
      <c r="B3142" t="inlineStr">
        <is>
          <t>Group Care Homes</t>
        </is>
      </c>
      <c r="C3142" t="inlineStr">
        <is>
          <t>424</t>
        </is>
      </c>
      <c r="D3142" t="inlineStr">
        <is>
          <t>11</t>
        </is>
      </c>
      <c r="E3142" t="inlineStr">
        <is>
          <t>29</t>
        </is>
      </c>
      <c r="F3142" t="inlineStr">
        <is>
          <t>11</t>
        </is>
      </c>
      <c r="G3142" t="inlineStr">
        <is>
          <t>11</t>
        </is>
      </c>
      <c r="H3142" t="inlineStr">
        <is>
          <t>R</t>
        </is>
      </c>
    </row>
    <row r="3143">
      <c r="B3143" t="inlineStr">
        <is>
          <t>Recreational (Pool) Enclosures</t>
        </is>
      </c>
      <c r="C3143" t="inlineStr">
        <is>
          <t>552</t>
        </is>
      </c>
      <c r="D3143" t="inlineStr">
        <is>
          <t>11</t>
        </is>
      </c>
      <c r="E3143" t="inlineStr">
        <is>
          <t>29</t>
        </is>
      </c>
      <c r="F3143" t="inlineStr">
        <is>
          <t>11</t>
        </is>
      </c>
      <c r="G3143" t="inlineStr">
        <is>
          <t>11</t>
        </is>
      </c>
      <c r="H3143" t="inlineStr">
        <is>
          <t>R</t>
        </is>
      </c>
    </row>
    <row r="3144">
      <c r="B3144" t="inlineStr">
        <is>
          <t>Clubhouses</t>
        </is>
      </c>
      <c r="C3144" t="inlineStr">
        <is>
          <t>311</t>
        </is>
      </c>
      <c r="D3144" t="inlineStr">
        <is>
          <t>11</t>
        </is>
      </c>
      <c r="E3144" t="inlineStr">
        <is>
          <t>30</t>
        </is>
      </c>
      <c r="F3144" t="inlineStr">
        <is>
          <t>11</t>
        </is>
      </c>
      <c r="G3144" t="inlineStr">
        <is>
          <t>11</t>
        </is>
      </c>
      <c r="H3144" t="inlineStr">
        <is>
          <t>R</t>
        </is>
      </c>
    </row>
    <row r="3145">
      <c r="B3145" t="inlineStr">
        <is>
          <t>Senior (Clubhouse) Centers</t>
        </is>
      </c>
      <c r="C3145" t="inlineStr">
        <is>
          <t>985</t>
        </is>
      </c>
      <c r="D3145" t="inlineStr">
        <is>
          <t>11</t>
        </is>
      </c>
      <c r="E3145" t="inlineStr">
        <is>
          <t>30</t>
        </is>
      </c>
      <c r="F3145" t="inlineStr">
        <is>
          <t>11</t>
        </is>
      </c>
      <c r="G3145" t="inlineStr">
        <is>
          <t>11</t>
        </is>
      </c>
      <c r="H3145" t="inlineStr">
        <is>
          <t>R</t>
        </is>
      </c>
    </row>
    <row r="3146">
      <c r="B3146" t="inlineStr">
        <is>
          <t>Country Clubs</t>
        </is>
      </c>
      <c r="C3146" t="inlineStr">
        <is>
          <t>314</t>
        </is>
      </c>
      <c r="D3146" t="inlineStr">
        <is>
          <t>11</t>
        </is>
      </c>
      <c r="E3146" t="inlineStr">
        <is>
          <t>31</t>
        </is>
      </c>
      <c r="F3146" t="inlineStr">
        <is>
          <t>11</t>
        </is>
      </c>
      <c r="G3146" t="inlineStr">
        <is>
          <t>11</t>
        </is>
      </c>
      <c r="H3146" t="inlineStr">
        <is>
          <t>R</t>
        </is>
      </c>
    </row>
    <row r="3147">
      <c r="B3147" t="inlineStr">
        <is>
          <t>Health Clubs (Spas)</t>
        </is>
      </c>
      <c r="C3147" t="inlineStr">
        <is>
          <t>418</t>
        </is>
      </c>
      <c r="D3147" t="inlineStr">
        <is>
          <t>11</t>
        </is>
      </c>
      <c r="E3147" t="inlineStr">
        <is>
          <t>31</t>
        </is>
      </c>
      <c r="F3147" t="inlineStr">
        <is>
          <t>11</t>
        </is>
      </c>
      <c r="G3147" t="inlineStr">
        <is>
          <t>11</t>
        </is>
      </c>
      <c r="H3147" t="inlineStr">
        <is>
          <t>R</t>
        </is>
      </c>
    </row>
    <row r="3148">
      <c r="B3148" t="inlineStr">
        <is>
          <t>Mortuaries / Funeral Homes</t>
        </is>
      </c>
      <c r="C3148" t="inlineStr">
        <is>
          <t>342</t>
        </is>
      </c>
      <c r="D3148" t="inlineStr">
        <is>
          <t>11</t>
        </is>
      </c>
      <c r="E3148" t="inlineStr">
        <is>
          <t>32</t>
        </is>
      </c>
      <c r="F3148" t="inlineStr">
        <is>
          <t>11</t>
        </is>
      </c>
      <c r="G3148" t="inlineStr">
        <is>
          <t>11</t>
        </is>
      </c>
      <c r="H3148" t="inlineStr">
        <is>
          <t>R</t>
        </is>
      </c>
    </row>
    <row r="3149">
      <c r="B3149" t="inlineStr">
        <is>
          <t>High-Rise Row (Town) Houses</t>
        </is>
      </c>
      <c r="C3149" t="inlineStr">
        <is>
          <t>177</t>
        </is>
      </c>
      <c r="D3149" t="inlineStr">
        <is>
          <t>11</t>
        </is>
      </c>
      <c r="E3149" t="inlineStr">
        <is>
          <t>33</t>
        </is>
      </c>
      <c r="F3149" t="inlineStr">
        <is>
          <t>11</t>
        </is>
      </c>
      <c r="G3149" t="inlineStr">
        <is>
          <t>11</t>
        </is>
      </c>
      <c r="H3149" t="inlineStr">
        <is>
          <t>R</t>
        </is>
      </c>
    </row>
    <row r="3150">
      <c r="B3150" t="inlineStr">
        <is>
          <t>Motels</t>
        </is>
      </c>
      <c r="C3150" t="inlineStr">
        <is>
          <t>343</t>
        </is>
      </c>
      <c r="D3150" t="inlineStr">
        <is>
          <t>12</t>
        </is>
      </c>
      <c r="E3150" t="inlineStr">
        <is>
          <t>9</t>
        </is>
      </c>
      <c r="F3150" t="inlineStr">
        <is>
          <t>-</t>
        </is>
      </c>
      <c r="G3150" t="inlineStr">
        <is>
          <t>12</t>
        </is>
      </c>
      <c r="H3150" t="inlineStr">
        <is>
          <t>C</t>
        </is>
      </c>
    </row>
    <row r="3151">
      <c r="B3151" t="inlineStr">
        <is>
          <t>Shell Motels</t>
        </is>
      </c>
      <c r="C3151" t="inlineStr">
        <is>
          <t>780</t>
        </is>
      </c>
      <c r="D3151" t="inlineStr">
        <is>
          <t>12</t>
        </is>
      </c>
      <c r="E3151" t="inlineStr">
        <is>
          <t>10</t>
        </is>
      </c>
      <c r="F3151" t="inlineStr">
        <is>
          <t>-</t>
        </is>
      </c>
      <c r="G3151" t="inlineStr">
        <is>
          <t>12</t>
        </is>
      </c>
      <c r="H3151" t="inlineStr">
        <is>
          <t>C</t>
        </is>
      </c>
    </row>
    <row r="3152">
      <c r="B3152" t="inlineStr">
        <is>
          <t>Extended-Stay Motels</t>
        </is>
      </c>
      <c r="C3152" t="inlineStr">
        <is>
          <t>588</t>
        </is>
      </c>
      <c r="D3152" t="inlineStr">
        <is>
          <t>12</t>
        </is>
      </c>
      <c r="E3152" t="inlineStr">
        <is>
          <t>11</t>
        </is>
      </c>
      <c r="F3152" t="inlineStr">
        <is>
          <t>-</t>
        </is>
      </c>
      <c r="G3152" t="inlineStr">
        <is>
          <t>12</t>
        </is>
      </c>
      <c r="H3152" t="inlineStr">
        <is>
          <t>C</t>
        </is>
      </c>
    </row>
    <row r="3153">
      <c r="B3153" t="inlineStr">
        <is>
          <t>Shell Extended Stay - Motels</t>
        </is>
      </c>
      <c r="C3153" t="inlineStr">
        <is>
          <t>781</t>
        </is>
      </c>
      <c r="D3153" t="inlineStr">
        <is>
          <t>12</t>
        </is>
      </c>
      <c r="E3153" t="inlineStr">
        <is>
          <t>12</t>
        </is>
      </c>
      <c r="F3153" t="inlineStr">
        <is>
          <t>-</t>
        </is>
      </c>
      <c r="G3153" t="inlineStr">
        <is>
          <t>12</t>
        </is>
      </c>
      <c r="H3153" t="inlineStr">
        <is>
          <t>C</t>
        </is>
      </c>
    </row>
    <row r="3154">
      <c r="B3154" t="inlineStr">
        <is>
          <t>Office-Apartments</t>
        </is>
      </c>
      <c r="C3154" t="inlineStr">
        <is>
          <t>544</t>
        </is>
      </c>
      <c r="D3154" t="inlineStr">
        <is>
          <t>12</t>
        </is>
      </c>
      <c r="E3154" t="inlineStr">
        <is>
          <t>13</t>
        </is>
      </c>
      <c r="F3154" t="inlineStr">
        <is>
          <t>-</t>
        </is>
      </c>
      <c r="G3154" t="inlineStr">
        <is>
          <t>12</t>
        </is>
      </c>
      <c r="H3154" t="inlineStr">
        <is>
          <t>R</t>
        </is>
      </c>
    </row>
    <row r="3155">
      <c r="B3155" t="inlineStr">
        <is>
          <t>Motel Guest Rooms</t>
        </is>
      </c>
      <c r="C3155" t="inlineStr">
        <is>
          <t>540</t>
        </is>
      </c>
      <c r="D3155" t="inlineStr">
        <is>
          <t>12</t>
        </is>
      </c>
      <c r="E3155" t="inlineStr">
        <is>
          <t>13</t>
        </is>
      </c>
      <c r="F3155" t="inlineStr">
        <is>
          <t>-</t>
        </is>
      </c>
      <c r="G3155" t="inlineStr">
        <is>
          <t>12</t>
        </is>
      </c>
      <c r="H3155" t="inlineStr">
        <is>
          <t>C</t>
        </is>
      </c>
    </row>
    <row r="3156">
      <c r="B3156" t="inlineStr">
        <is>
          <t>Lodges</t>
        </is>
      </c>
      <c r="C3156" t="inlineStr">
        <is>
          <t>537</t>
        </is>
      </c>
      <c r="D3156" t="inlineStr">
        <is>
          <t>12</t>
        </is>
      </c>
      <c r="E3156" t="inlineStr">
        <is>
          <t>14</t>
        </is>
      </c>
      <c r="F3156" t="inlineStr">
        <is>
          <t>-</t>
        </is>
      </c>
      <c r="G3156" t="inlineStr">
        <is>
          <t>12</t>
        </is>
      </c>
      <c r="H3156" t="inlineStr">
        <is>
          <t>C</t>
        </is>
      </c>
    </row>
    <row r="3157">
      <c r="B3157" t="inlineStr">
        <is>
          <t>Guest Cottages</t>
        </is>
      </c>
      <c r="C3157" t="inlineStr">
        <is>
          <t>538</t>
        </is>
      </c>
      <c r="D3157" t="inlineStr">
        <is>
          <t>12</t>
        </is>
      </c>
      <c r="E3157" t="inlineStr">
        <is>
          <t>15</t>
        </is>
      </c>
      <c r="F3157" t="inlineStr">
        <is>
          <t>-</t>
        </is>
      </c>
      <c r="G3157" t="inlineStr">
        <is>
          <t>12</t>
        </is>
      </c>
      <c r="H3157" t="inlineStr">
        <is>
          <t>R</t>
        </is>
      </c>
    </row>
    <row r="3158">
      <c r="B3158" t="inlineStr">
        <is>
          <t>Bed and Breakfast Inns</t>
        </is>
      </c>
      <c r="C3158" t="inlineStr">
        <is>
          <t>539</t>
        </is>
      </c>
      <c r="D3158" t="inlineStr">
        <is>
          <t>12</t>
        </is>
      </c>
      <c r="E3158" t="inlineStr">
        <is>
          <t>15</t>
        </is>
      </c>
      <c r="F3158" t="inlineStr">
        <is>
          <t>-</t>
        </is>
      </c>
      <c r="G3158" t="inlineStr">
        <is>
          <t>12</t>
        </is>
      </c>
      <c r="H3158" t="inlineStr">
        <is>
          <t>R</t>
        </is>
      </c>
    </row>
    <row r="3159">
      <c r="B3159" t="inlineStr">
        <is>
          <t>Multiple Residences</t>
        </is>
      </c>
      <c r="C3159" t="inlineStr">
        <is>
          <t>352</t>
        </is>
      </c>
      <c r="D3159" t="inlineStr">
        <is>
          <t>12</t>
        </is>
      </c>
      <c r="E3159" t="inlineStr">
        <is>
          <t>16</t>
        </is>
      </c>
      <c r="F3159" t="inlineStr">
        <is>
          <t>-</t>
        </is>
      </c>
      <c r="G3159" t="inlineStr">
        <is>
          <t>12</t>
        </is>
      </c>
      <c r="H3159" t="inlineStr">
        <is>
          <t>C</t>
        </is>
      </c>
    </row>
    <row r="3160">
      <c r="B3160" t="inlineStr">
        <is>
          <t>Shell Multiple Residence Buildings</t>
        </is>
      </c>
      <c r="C3160" t="inlineStr">
        <is>
          <t>587</t>
        </is>
      </c>
      <c r="D3160" t="inlineStr">
        <is>
          <t>12</t>
        </is>
      </c>
      <c r="E3160" t="inlineStr">
        <is>
          <t>17</t>
        </is>
      </c>
      <c r="F3160" t="inlineStr">
        <is>
          <t>-</t>
        </is>
      </c>
      <c r="G3160" t="inlineStr">
        <is>
          <t>12</t>
        </is>
      </c>
      <c r="H3160" t="inlineStr">
        <is>
          <t>C</t>
        </is>
      </c>
    </row>
    <row r="3161">
      <c r="B3161" t="inlineStr">
        <is>
          <t>Multiple Residences – Senior Citizen</t>
        </is>
      </c>
      <c r="C3161" t="inlineStr">
        <is>
          <t>451</t>
        </is>
      </c>
      <c r="D3161" t="inlineStr">
        <is>
          <t>12</t>
        </is>
      </c>
      <c r="E3161" t="inlineStr">
        <is>
          <t>18</t>
        </is>
      </c>
      <c r="F3161" t="inlineStr">
        <is>
          <t>-</t>
        </is>
      </c>
      <c r="G3161" t="inlineStr">
        <is>
          <t>12</t>
        </is>
      </c>
      <c r="H3161" t="inlineStr">
        <is>
          <t>C</t>
        </is>
      </c>
    </row>
    <row r="3162">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c r="B3167" t="inlineStr">
        <is>
          <t>Single-Family Residences</t>
        </is>
      </c>
      <c r="C3167" t="inlineStr">
        <is>
          <t>351</t>
        </is>
      </c>
      <c r="D3167" t="inlineStr">
        <is>
          <t>12</t>
        </is>
      </c>
      <c r="E3167" t="inlineStr">
        <is>
          <t>25</t>
        </is>
      </c>
      <c r="F3167" t="inlineStr">
        <is>
          <t>-</t>
        </is>
      </c>
      <c r="G3167" t="inlineStr">
        <is>
          <t>12</t>
        </is>
      </c>
      <c r="H3167" t="inlineStr">
        <is>
          <t>R</t>
        </is>
      </c>
    </row>
    <row r="3168">
      <c r="B3168" t="inlineStr">
        <is>
          <t>Guest Houses</t>
        </is>
      </c>
      <c r="D3168" t="inlineStr">
        <is>
          <t>12</t>
        </is>
      </c>
      <c r="E3168" t="inlineStr">
        <is>
          <t>29</t>
        </is>
      </c>
      <c r="F3168" t="inlineStr">
        <is>
          <t>-</t>
        </is>
      </c>
      <c r="G3168" t="inlineStr">
        <is>
          <t>12</t>
        </is>
      </c>
      <c r="H3168" t="inlineStr">
        <is>
          <t>R</t>
        </is>
      </c>
    </row>
    <row r="3169">
      <c r="B3169" t="inlineStr">
        <is>
          <t>Log Homes</t>
        </is>
      </c>
      <c r="C3169" t="inlineStr">
        <is>
          <t>445</t>
        </is>
      </c>
      <c r="D3169" t="inlineStr">
        <is>
          <t>12</t>
        </is>
      </c>
      <c r="E3169" t="inlineStr">
        <is>
          <t>30</t>
        </is>
      </c>
      <c r="F3169" t="inlineStr">
        <is>
          <t>-</t>
        </is>
      </c>
      <c r="G3169" t="inlineStr">
        <is>
          <t>12</t>
        </is>
      </c>
      <c r="H3169" t="inlineStr">
        <is>
          <t>R</t>
        </is>
      </c>
    </row>
    <row r="3170">
      <c r="B3170" t="inlineStr">
        <is>
          <t>Town Houses</t>
        </is>
      </c>
      <c r="C3170" t="inlineStr">
        <is>
          <t>401</t>
        </is>
      </c>
      <c r="D3170" t="inlineStr">
        <is>
          <t>12</t>
        </is>
      </c>
      <c r="E3170" t="inlineStr">
        <is>
          <t>31</t>
        </is>
      </c>
      <c r="F3170" t="inlineStr">
        <is>
          <t>-</t>
        </is>
      </c>
      <c r="G3170" t="inlineStr">
        <is>
          <t>12</t>
        </is>
      </c>
      <c r="H3170" t="inlineStr">
        <is>
          <t>R</t>
        </is>
      </c>
    </row>
    <row r="3171">
      <c r="B3171" t="inlineStr">
        <is>
          <t>Senior Citizen Town Houses</t>
        </is>
      </c>
      <c r="C3171" t="inlineStr">
        <is>
          <t>546</t>
        </is>
      </c>
      <c r="D3171" t="inlineStr">
        <is>
          <t>12</t>
        </is>
      </c>
      <c r="E3171" t="inlineStr">
        <is>
          <t>32</t>
        </is>
      </c>
      <c r="F3171" t="inlineStr">
        <is>
          <t>-</t>
        </is>
      </c>
      <c r="G3171" t="inlineStr">
        <is>
          <t>12</t>
        </is>
      </c>
      <c r="H3171" t="inlineStr">
        <is>
          <t>R</t>
        </is>
      </c>
    </row>
    <row r="3172">
      <c r="B3172" t="inlineStr">
        <is>
          <t>Urban Row (Town) Houses</t>
        </is>
      </c>
      <c r="C3172" t="inlineStr">
        <is>
          <t>549</t>
        </is>
      </c>
      <c r="D3172" t="inlineStr">
        <is>
          <t>12</t>
        </is>
      </c>
      <c r="E3172" t="inlineStr">
        <is>
          <t>33</t>
        </is>
      </c>
      <c r="F3172" t="inlineStr">
        <is>
          <t>-</t>
        </is>
      </c>
      <c r="G3172" t="inlineStr">
        <is>
          <t>12</t>
        </is>
      </c>
      <c r="H3172" t="inlineStr">
        <is>
          <t>R</t>
        </is>
      </c>
    </row>
    <row r="3173">
      <c r="B3173" t="inlineStr">
        <is>
          <t>Shell Town House Buildings</t>
        </is>
      </c>
      <c r="C3173" t="inlineStr">
        <is>
          <t>774</t>
        </is>
      </c>
      <c r="D3173" t="inlineStr">
        <is>
          <t>12</t>
        </is>
      </c>
      <c r="E3173" t="inlineStr">
        <is>
          <t>34</t>
        </is>
      </c>
      <c r="F3173" t="inlineStr">
        <is>
          <t>-</t>
        </is>
      </c>
      <c r="G3173" t="inlineStr">
        <is>
          <t>12</t>
        </is>
      </c>
      <c r="H3173" t="inlineStr">
        <is>
          <t>R</t>
        </is>
      </c>
    </row>
    <row r="3174">
      <c r="B3174" t="inlineStr">
        <is>
          <t>Bars/Taverns</t>
        </is>
      </c>
      <c r="C3174" t="inlineStr">
        <is>
          <t>442</t>
        </is>
      </c>
      <c r="D3174" t="inlineStr">
        <is>
          <t>13</t>
        </is>
      </c>
      <c r="E3174" t="inlineStr">
        <is>
          <t>13</t>
        </is>
      </c>
      <c r="F3174" t="inlineStr">
        <is>
          <t>13</t>
        </is>
      </c>
      <c r="G3174" t="inlineStr">
        <is>
          <t>13</t>
        </is>
      </c>
      <c r="H3174" t="inlineStr">
        <is>
          <t>C</t>
        </is>
      </c>
    </row>
    <row r="3175">
      <c r="B3175" t="inlineStr">
        <is>
          <t>Cocktail Lounges</t>
        </is>
      </c>
      <c r="C3175" t="inlineStr">
        <is>
          <t>441</t>
        </is>
      </c>
      <c r="D3175" t="inlineStr">
        <is>
          <t>13</t>
        </is>
      </c>
      <c r="E3175" t="inlineStr">
        <is>
          <t>13</t>
        </is>
      </c>
      <c r="F3175" t="inlineStr">
        <is>
          <t>13</t>
        </is>
      </c>
      <c r="G3175" t="inlineStr">
        <is>
          <t>13</t>
        </is>
      </c>
      <c r="H3175" t="inlineStr">
        <is>
          <t>C</t>
        </is>
      </c>
    </row>
    <row r="3176">
      <c r="B3176" t="inlineStr">
        <is>
          <t>Restaurants</t>
        </is>
      </c>
      <c r="C3176" t="inlineStr">
        <is>
          <t>350</t>
        </is>
      </c>
      <c r="D3176" t="inlineStr">
        <is>
          <t>13</t>
        </is>
      </c>
      <c r="E3176" t="inlineStr">
        <is>
          <t>14</t>
        </is>
      </c>
      <c r="F3176" t="inlineStr">
        <is>
          <t>13</t>
        </is>
      </c>
      <c r="G3176" t="inlineStr">
        <is>
          <t>13</t>
        </is>
      </c>
      <c r="H3176" t="inlineStr">
        <is>
          <t>C</t>
        </is>
      </c>
    </row>
    <row r="3177">
      <c r="B3177" t="inlineStr">
        <is>
          <t>Restaurants – Cafeterias</t>
        </is>
      </c>
      <c r="C3177" t="inlineStr">
        <is>
          <t>530</t>
        </is>
      </c>
      <c r="D3177" t="inlineStr">
        <is>
          <t>13</t>
        </is>
      </c>
      <c r="E3177" t="inlineStr">
        <is>
          <t>15</t>
        </is>
      </c>
      <c r="F3177" t="inlineStr">
        <is>
          <t>13</t>
        </is>
      </c>
      <c r="G3177" t="inlineStr">
        <is>
          <t>13</t>
        </is>
      </c>
      <c r="H3177" t="inlineStr">
        <is>
          <t>C</t>
        </is>
      </c>
    </row>
    <row r="3178">
      <c r="B3178" t="inlineStr">
        <is>
          <t>Truck Stop Restaurants</t>
        </is>
      </c>
      <c r="C3178" t="inlineStr">
        <is>
          <t>580</t>
        </is>
      </c>
      <c r="D3178" t="inlineStr">
        <is>
          <t>13</t>
        </is>
      </c>
      <c r="E3178" t="inlineStr">
        <is>
          <t>16</t>
        </is>
      </c>
      <c r="F3178" t="inlineStr">
        <is>
          <t>13</t>
        </is>
      </c>
      <c r="G3178" t="inlineStr">
        <is>
          <t>13</t>
        </is>
      </c>
      <c r="H3178" t="inlineStr">
        <is>
          <t>C</t>
        </is>
      </c>
    </row>
    <row r="3179">
      <c r="B3179" t="inlineStr">
        <is>
          <t>Dining Atriums/Play Rooms</t>
        </is>
      </c>
      <c r="C3179" t="inlineStr">
        <is>
          <t>575</t>
        </is>
      </c>
      <c r="D3179" t="inlineStr">
        <is>
          <t>13</t>
        </is>
      </c>
      <c r="E3179" t="inlineStr">
        <is>
          <t>16</t>
        </is>
      </c>
      <c r="F3179" t="inlineStr">
        <is>
          <t>13</t>
        </is>
      </c>
      <c r="G3179" t="inlineStr">
        <is>
          <t>13</t>
        </is>
      </c>
      <c r="H3179" t="inlineStr">
        <is>
          <t>C</t>
        </is>
      </c>
    </row>
    <row r="3180">
      <c r="B3180" t="inlineStr">
        <is>
          <t>Restaurants – Fast Food</t>
        </is>
      </c>
      <c r="C3180" t="inlineStr">
        <is>
          <t>349</t>
        </is>
      </c>
      <c r="D3180" t="inlineStr">
        <is>
          <t>13</t>
        </is>
      </c>
      <c r="E3180" t="inlineStr">
        <is>
          <t>17</t>
        </is>
      </c>
      <c r="F3180" t="inlineStr">
        <is>
          <t>13</t>
        </is>
      </c>
      <c r="G3180" t="inlineStr">
        <is>
          <t>13</t>
        </is>
      </c>
      <c r="H3180" t="inlineStr">
        <is>
          <t>C</t>
        </is>
      </c>
    </row>
    <row r="3181">
      <c r="B3181" t="inlineStr">
        <is>
          <t>Snack Bars</t>
        </is>
      </c>
      <c r="C3181" t="inlineStr">
        <is>
          <t>529</t>
        </is>
      </c>
      <c r="D3181" t="inlineStr">
        <is>
          <t>13</t>
        </is>
      </c>
      <c r="E3181" t="inlineStr">
        <is>
          <t>18</t>
        </is>
      </c>
      <c r="F3181" t="inlineStr">
        <is>
          <t>13</t>
        </is>
      </c>
      <c r="G3181" t="inlineStr">
        <is>
          <t>13</t>
        </is>
      </c>
      <c r="H3181" t="inlineStr">
        <is>
          <t>C</t>
        </is>
      </c>
    </row>
    <row r="3182">
      <c r="B3182" t="inlineStr">
        <is>
          <t>Banquet Halls</t>
        </is>
      </c>
      <c r="C3182" t="inlineStr">
        <is>
          <t>718</t>
        </is>
      </c>
      <c r="D3182" t="inlineStr">
        <is>
          <t>13</t>
        </is>
      </c>
      <c r="E3182" t="inlineStr">
        <is>
          <t>19</t>
        </is>
      </c>
      <c r="F3182" t="inlineStr">
        <is>
          <t>13</t>
        </is>
      </c>
      <c r="G3182" t="inlineStr">
        <is>
          <t>13</t>
        </is>
      </c>
      <c r="H3182" t="inlineStr">
        <is>
          <t>C</t>
        </is>
      </c>
    </row>
    <row r="3183">
      <c r="B3183" t="inlineStr">
        <is>
          <t>Modular Restaurants – Diners</t>
        </is>
      </c>
      <c r="C3183" t="inlineStr">
        <is>
          <t>719</t>
        </is>
      </c>
      <c r="D3183" t="inlineStr">
        <is>
          <t>13</t>
        </is>
      </c>
      <c r="E3183" t="inlineStr">
        <is>
          <t>19</t>
        </is>
      </c>
      <c r="F3183" t="inlineStr">
        <is>
          <t>13</t>
        </is>
      </c>
      <c r="G3183" t="inlineStr">
        <is>
          <t>13</t>
        </is>
      </c>
      <c r="H3183" t="inlineStr">
        <is>
          <t>C</t>
        </is>
      </c>
    </row>
    <row r="3184">
      <c r="B3184" t="inlineStr">
        <is>
          <t>Supermarkets</t>
        </is>
      </c>
      <c r="C3184" t="inlineStr">
        <is>
          <t>446</t>
        </is>
      </c>
      <c r="D3184" t="inlineStr">
        <is>
          <t>13</t>
        </is>
      </c>
      <c r="E3184" t="inlineStr">
        <is>
          <t>20</t>
        </is>
      </c>
      <c r="F3184" t="inlineStr">
        <is>
          <t>13</t>
        </is>
      </c>
      <c r="G3184" t="inlineStr">
        <is>
          <t>13</t>
        </is>
      </c>
      <c r="H3184" t="inlineStr">
        <is>
          <t>C</t>
        </is>
      </c>
    </row>
    <row r="3185">
      <c r="B3185" t="inlineStr">
        <is>
          <t>Drug Stores</t>
        </is>
      </c>
      <c r="C3185" t="inlineStr">
        <is>
          <t>511</t>
        </is>
      </c>
      <c r="D3185" t="inlineStr">
        <is>
          <t>13</t>
        </is>
      </c>
      <c r="E3185" t="inlineStr">
        <is>
          <t>20</t>
        </is>
      </c>
      <c r="F3185" t="inlineStr">
        <is>
          <t>13</t>
        </is>
      </c>
      <c r="G3185" t="inlineStr">
        <is>
          <t>13</t>
        </is>
      </c>
      <c r="H3185" t="inlineStr">
        <is>
          <t>C</t>
        </is>
      </c>
    </row>
    <row r="3186">
      <c r="B3186" t="inlineStr">
        <is>
          <t>Markets</t>
        </is>
      </c>
      <c r="C3186" t="inlineStr">
        <is>
          <t>340</t>
        </is>
      </c>
      <c r="D3186" t="inlineStr">
        <is>
          <t>13</t>
        </is>
      </c>
      <c r="E3186" t="inlineStr">
        <is>
          <t>21</t>
        </is>
      </c>
      <c r="F3186" t="inlineStr">
        <is>
          <t>13</t>
        </is>
      </c>
      <c r="G3186" t="inlineStr">
        <is>
          <t>13</t>
        </is>
      </c>
      <c r="H3186" t="inlineStr">
        <is>
          <t>C</t>
        </is>
      </c>
    </row>
    <row r="3187">
      <c r="B3187" t="inlineStr">
        <is>
          <t>Florist Shops</t>
        </is>
      </c>
      <c r="C3187" t="inlineStr">
        <is>
          <t>532</t>
        </is>
      </c>
      <c r="D3187" t="inlineStr">
        <is>
          <t>13</t>
        </is>
      </c>
      <c r="E3187" t="inlineStr">
        <is>
          <t>21</t>
        </is>
      </c>
      <c r="F3187" t="inlineStr">
        <is>
          <t>13</t>
        </is>
      </c>
      <c r="G3187" t="inlineStr">
        <is>
          <t>13</t>
        </is>
      </c>
      <c r="H3187" t="inlineStr">
        <is>
          <t>C</t>
        </is>
      </c>
    </row>
    <row r="3188">
      <c r="B3188" t="inlineStr">
        <is>
          <t>Convenience Stores</t>
        </is>
      </c>
      <c r="C3188" t="inlineStr">
        <is>
          <t>419</t>
        </is>
      </c>
      <c r="D3188" t="inlineStr">
        <is>
          <t>13</t>
        </is>
      </c>
      <c r="E3188" t="inlineStr">
        <is>
          <t>22</t>
        </is>
      </c>
      <c r="F3188" t="inlineStr">
        <is>
          <t>13</t>
        </is>
      </c>
      <c r="G3188" t="inlineStr">
        <is>
          <t>13</t>
        </is>
      </c>
      <c r="H3188" t="inlineStr">
        <is>
          <t>C</t>
        </is>
      </c>
    </row>
    <row r="3189">
      <c r="B3189" t="inlineStr">
        <is>
          <t>Mini-Mart Convenience Stores</t>
        </is>
      </c>
      <c r="C3189" t="inlineStr">
        <is>
          <t>531</t>
        </is>
      </c>
      <c r="D3189" t="inlineStr">
        <is>
          <t>13</t>
        </is>
      </c>
      <c r="E3189" t="inlineStr">
        <is>
          <t>22</t>
        </is>
      </c>
      <c r="F3189" t="inlineStr">
        <is>
          <t>13</t>
        </is>
      </c>
      <c r="G3189" t="inlineStr">
        <is>
          <t>13</t>
        </is>
      </c>
      <c r="H3189" t="inlineStr">
        <is>
          <t>C</t>
        </is>
      </c>
    </row>
    <row r="3190">
      <c r="B3190" t="inlineStr">
        <is>
          <t>Roadside Markets</t>
        </is>
      </c>
      <c r="C3190" t="inlineStr">
        <is>
          <t>586</t>
        </is>
      </c>
      <c r="D3190" t="inlineStr">
        <is>
          <t>13</t>
        </is>
      </c>
      <c r="E3190" t="inlineStr">
        <is>
          <t>23</t>
        </is>
      </c>
      <c r="F3190" t="inlineStr">
        <is>
          <t>13</t>
        </is>
      </c>
      <c r="G3190" t="inlineStr">
        <is>
          <t>13</t>
        </is>
      </c>
      <c r="H3190" t="inlineStr">
        <is>
          <t>C</t>
        </is>
      </c>
    </row>
    <row r="3191">
      <c r="B3191" t="inlineStr">
        <is>
          <t>Luxury Boutiques</t>
        </is>
      </c>
      <c r="C3191" t="inlineStr">
        <is>
          <t>512</t>
        </is>
      </c>
      <c r="D3191" t="inlineStr">
        <is>
          <t>13</t>
        </is>
      </c>
      <c r="E3191" t="inlineStr">
        <is>
          <t>24</t>
        </is>
      </c>
      <c r="F3191" t="inlineStr">
        <is>
          <t>13</t>
        </is>
      </c>
      <c r="G3191" t="inlineStr">
        <is>
          <t>13</t>
        </is>
      </c>
      <c r="H3191" t="inlineStr">
        <is>
          <t>C</t>
        </is>
      </c>
    </row>
    <row r="3192">
      <c r="B3192" t="inlineStr">
        <is>
          <t>Winery (Tasting – Display) Shops</t>
        </is>
      </c>
      <c r="C3192" t="inlineStr">
        <is>
          <t>127</t>
        </is>
      </c>
      <c r="D3192" t="inlineStr">
        <is>
          <t>13</t>
        </is>
      </c>
      <c r="E3192" t="inlineStr">
        <is>
          <t>24</t>
        </is>
      </c>
      <c r="F3192" t="inlineStr">
        <is>
          <t>13</t>
        </is>
      </c>
      <c r="G3192" t="inlineStr">
        <is>
          <t>13</t>
        </is>
      </c>
      <c r="H3192" t="inlineStr">
        <is>
          <t>C</t>
        </is>
      </c>
    </row>
    <row r="3193">
      <c r="B3193" t="inlineStr">
        <is>
          <t>Barber Shops/Beauty Salons</t>
        </is>
      </c>
      <c r="C3193" t="inlineStr">
        <is>
          <t>384</t>
        </is>
      </c>
      <c r="D3193" t="inlineStr">
        <is>
          <t>13</t>
        </is>
      </c>
      <c r="E3193" t="inlineStr">
        <is>
          <t>25</t>
        </is>
      </c>
      <c r="F3193" t="inlineStr">
        <is>
          <t>13</t>
        </is>
      </c>
      <c r="G3193" t="inlineStr">
        <is>
          <t>13</t>
        </is>
      </c>
      <c r="H3193" t="inlineStr">
        <is>
          <t>C</t>
        </is>
      </c>
    </row>
    <row r="3194">
      <c r="B3194" t="inlineStr">
        <is>
          <t>Laundromats</t>
        </is>
      </c>
      <c r="C3194" t="inlineStr">
        <is>
          <t>336</t>
        </is>
      </c>
      <c r="D3194" t="inlineStr">
        <is>
          <t>13</t>
        </is>
      </c>
      <c r="E3194" t="inlineStr">
        <is>
          <t>25</t>
        </is>
      </c>
      <c r="F3194" t="inlineStr">
        <is>
          <t>13</t>
        </is>
      </c>
      <c r="G3194" t="inlineStr">
        <is>
          <t>13</t>
        </is>
      </c>
      <c r="H3194" t="inlineStr">
        <is>
          <t>C</t>
        </is>
      </c>
    </row>
    <row r="3195">
      <c r="B3195" t="inlineStr">
        <is>
          <t>Laundry/Dry Cleaning</t>
        </is>
      </c>
      <c r="C3195" t="inlineStr">
        <is>
          <t>499</t>
        </is>
      </c>
      <c r="D3195" t="inlineStr">
        <is>
          <t>13</t>
        </is>
      </c>
      <c r="E3195" t="inlineStr">
        <is>
          <t>25</t>
        </is>
      </c>
      <c r="F3195" t="inlineStr">
        <is>
          <t>13</t>
        </is>
      </c>
      <c r="G3195" t="inlineStr">
        <is>
          <t>13</t>
        </is>
      </c>
      <c r="H3195" t="inlineStr">
        <is>
          <t>C</t>
        </is>
      </c>
    </row>
    <row r="3196">
      <c r="B3196" t="inlineStr">
        <is>
          <t>Dairy Sales</t>
        </is>
      </c>
      <c r="C3196" t="inlineStr">
        <is>
          <t>317</t>
        </is>
      </c>
      <c r="D3196" t="inlineStr">
        <is>
          <t>13</t>
        </is>
      </c>
      <c r="E3196" t="inlineStr">
        <is>
          <t>25</t>
        </is>
      </c>
      <c r="F3196" t="inlineStr">
        <is>
          <t>13</t>
        </is>
      </c>
      <c r="G3196" t="inlineStr">
        <is>
          <t>13</t>
        </is>
      </c>
      <c r="H3196" t="inlineStr">
        <is>
          <t>C</t>
        </is>
      </c>
    </row>
    <row r="3197">
      <c r="B3197" t="inlineStr">
        <is>
          <t>Retail Stores</t>
        </is>
      </c>
      <c r="C3197" t="inlineStr">
        <is>
          <t>353</t>
        </is>
      </c>
      <c r="D3197" t="inlineStr">
        <is>
          <t>13</t>
        </is>
      </c>
      <c r="E3197" t="inlineStr">
        <is>
          <t>26</t>
        </is>
      </c>
      <c r="F3197" t="inlineStr">
        <is>
          <t>13</t>
        </is>
      </c>
      <c r="G3197" t="inlineStr">
        <is>
          <t>13</t>
        </is>
      </c>
      <c r="H3197" t="inlineStr">
        <is>
          <t>C</t>
        </is>
      </c>
    </row>
    <row r="3198">
      <c r="B3198" t="inlineStr">
        <is>
          <t>Department Stores</t>
        </is>
      </c>
      <c r="C3198" t="inlineStr">
        <is>
          <t>318</t>
        </is>
      </c>
      <c r="D3198" t="inlineStr">
        <is>
          <t>13</t>
        </is>
      </c>
      <c r="E3198" t="inlineStr">
        <is>
          <t>27</t>
        </is>
      </c>
      <c r="F3198" t="inlineStr">
        <is>
          <t>13</t>
        </is>
      </c>
      <c r="G3198" t="inlineStr">
        <is>
          <t>13</t>
        </is>
      </c>
      <c r="H3198" t="inlineStr">
        <is>
          <t>C</t>
        </is>
      </c>
    </row>
    <row r="3199">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c r="B3200" t="inlineStr">
        <is>
          <t>Discount Stores</t>
        </is>
      </c>
      <c r="C3200" t="inlineStr">
        <is>
          <t>319</t>
        </is>
      </c>
      <c r="D3200" t="inlineStr">
        <is>
          <t>13</t>
        </is>
      </c>
      <c r="E3200" t="inlineStr">
        <is>
          <t>28</t>
        </is>
      </c>
      <c r="F3200" t="inlineStr">
        <is>
          <t>13</t>
        </is>
      </c>
      <c r="G3200" t="inlineStr">
        <is>
          <t>13</t>
        </is>
      </c>
      <c r="H3200" t="inlineStr">
        <is>
          <t>C</t>
        </is>
      </c>
    </row>
    <row r="3201">
      <c r="B3201" t="inlineStr">
        <is>
          <t>Warehouse Discount Stores</t>
        </is>
      </c>
      <c r="C3201" t="inlineStr">
        <is>
          <t>458</t>
        </is>
      </c>
      <c r="D3201" t="inlineStr">
        <is>
          <t>13</t>
        </is>
      </c>
      <c r="E3201" t="inlineStr">
        <is>
          <t>28</t>
        </is>
      </c>
      <c r="F3201" t="inlineStr">
        <is>
          <t>13</t>
        </is>
      </c>
      <c r="G3201" t="inlineStr">
        <is>
          <t>13</t>
        </is>
      </c>
      <c r="H3201" t="inlineStr">
        <is>
          <t>C</t>
        </is>
      </c>
    </row>
    <row r="3202">
      <c r="B3202" t="inlineStr">
        <is>
          <t>Warehouse Showroom Stores</t>
        </is>
      </c>
      <c r="C3202" t="inlineStr">
        <is>
          <t>534</t>
        </is>
      </c>
      <c r="D3202" t="inlineStr">
        <is>
          <t>13</t>
        </is>
      </c>
      <c r="E3202" t="inlineStr">
        <is>
          <t>29</t>
        </is>
      </c>
      <c r="F3202" t="inlineStr">
        <is>
          <t>13</t>
        </is>
      </c>
      <c r="G3202" t="inlineStr">
        <is>
          <t>13</t>
        </is>
      </c>
      <c r="H3202" t="inlineStr">
        <is>
          <t>C</t>
        </is>
      </c>
    </row>
    <row r="3203">
      <c r="B3203" t="inlineStr">
        <is>
          <t>Warehouse Food Stores</t>
        </is>
      </c>
      <c r="C3203" t="inlineStr">
        <is>
          <t>533</t>
        </is>
      </c>
      <c r="D3203" t="inlineStr">
        <is>
          <t>13</t>
        </is>
      </c>
      <c r="E3203" t="inlineStr">
        <is>
          <t>29</t>
        </is>
      </c>
      <c r="F3203" t="inlineStr">
        <is>
          <t>13</t>
        </is>
      </c>
      <c r="G3203" t="inlineStr">
        <is>
          <t>13</t>
        </is>
      </c>
      <c r="H3203" t="inlineStr">
        <is>
          <t>C</t>
        </is>
      </c>
    </row>
    <row r="3204">
      <c r="B3204" t="inlineStr">
        <is>
          <t>Mega Warehouse Stores</t>
        </is>
      </c>
      <c r="C3204" t="inlineStr">
        <is>
          <t>720</t>
        </is>
      </c>
      <c r="D3204" t="inlineStr">
        <is>
          <t>13</t>
        </is>
      </c>
      <c r="E3204" t="inlineStr">
        <is>
          <t>30</t>
        </is>
      </c>
      <c r="F3204" t="inlineStr">
        <is>
          <t>13</t>
        </is>
      </c>
      <c r="G3204" t="inlineStr">
        <is>
          <t>13</t>
        </is>
      </c>
      <c r="H3204" t="inlineStr">
        <is>
          <t>C</t>
        </is>
      </c>
    </row>
    <row r="3205">
      <c r="B3205" t="inlineStr">
        <is>
          <t>Neighborhood Shopping Centers</t>
        </is>
      </c>
      <c r="C3205" t="inlineStr">
        <is>
          <t>412</t>
        </is>
      </c>
      <c r="D3205" t="inlineStr">
        <is>
          <t>13</t>
        </is>
      </c>
      <c r="E3205" t="inlineStr">
        <is>
          <t>33</t>
        </is>
      </c>
      <c r="F3205" t="inlineStr">
        <is>
          <t>13</t>
        </is>
      </c>
      <c r="G3205" t="inlineStr">
        <is>
          <t>13</t>
        </is>
      </c>
      <c r="H3205" t="inlineStr">
        <is>
          <t>C</t>
        </is>
      </c>
    </row>
    <row r="3206">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c r="B3208" t="inlineStr">
        <is>
          <t>Community Shopping Centers</t>
        </is>
      </c>
      <c r="C3208" t="inlineStr">
        <is>
          <t>413</t>
        </is>
      </c>
      <c r="D3208" t="inlineStr">
        <is>
          <t>13</t>
        </is>
      </c>
      <c r="E3208" t="inlineStr">
        <is>
          <t>34</t>
        </is>
      </c>
      <c r="F3208" t="inlineStr">
        <is>
          <t>13</t>
        </is>
      </c>
      <c r="G3208" t="inlineStr">
        <is>
          <t>13</t>
        </is>
      </c>
      <c r="H3208" t="inlineStr">
        <is>
          <t>C</t>
        </is>
      </c>
    </row>
    <row r="3209">
      <c r="B3209" t="inlineStr">
        <is>
          <t>Regional Discount Shopping Centers</t>
        </is>
      </c>
      <c r="C3209" t="inlineStr">
        <is>
          <t>513</t>
        </is>
      </c>
      <c r="D3209" t="inlineStr">
        <is>
          <t>13</t>
        </is>
      </c>
      <c r="E3209" t="inlineStr">
        <is>
          <t>35</t>
        </is>
      </c>
      <c r="F3209" t="inlineStr">
        <is>
          <t>13</t>
        </is>
      </c>
      <c r="G3209" t="inlineStr">
        <is>
          <t>13</t>
        </is>
      </c>
      <c r="H3209" t="inlineStr">
        <is>
          <t>C</t>
        </is>
      </c>
    </row>
    <row r="3210">
      <c r="B3210" t="inlineStr">
        <is>
          <t>Regional Shopping Centers</t>
        </is>
      </c>
      <c r="C3210" t="inlineStr">
        <is>
          <t>414</t>
        </is>
      </c>
      <c r="D3210" t="inlineStr">
        <is>
          <t>13</t>
        </is>
      </c>
      <c r="E3210" t="inlineStr">
        <is>
          <t>35</t>
        </is>
      </c>
      <c r="F3210" t="inlineStr">
        <is>
          <t>13</t>
        </is>
      </c>
      <c r="G3210" t="inlineStr">
        <is>
          <t>13</t>
        </is>
      </c>
      <c r="H3210" t="inlineStr">
        <is>
          <t>C</t>
        </is>
      </c>
    </row>
    <row r="3211">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c r="B3214" t="inlineStr">
        <is>
          <t>Lofts</t>
        </is>
      </c>
      <c r="C3214" t="inlineStr">
        <is>
          <t>338</t>
        </is>
      </c>
      <c r="D3214" t="inlineStr">
        <is>
          <t>14</t>
        </is>
      </c>
      <c r="E3214" t="inlineStr">
        <is>
          <t>13</t>
        </is>
      </c>
      <c r="F3214" t="inlineStr">
        <is>
          <t>14</t>
        </is>
      </c>
      <c r="G3214" t="inlineStr">
        <is>
          <t>14</t>
        </is>
      </c>
      <c r="H3214" t="inlineStr">
        <is>
          <t>C</t>
        </is>
      </c>
    </row>
    <row r="3215">
      <c r="B3215" t="inlineStr">
        <is>
          <t>Industrial Flex (Mall) Buildings</t>
        </is>
      </c>
      <c r="C3215" t="inlineStr">
        <is>
          <t>453</t>
        </is>
      </c>
      <c r="D3215" t="inlineStr">
        <is>
          <t>14</t>
        </is>
      </c>
      <c r="E3215" t="inlineStr">
        <is>
          <t>13</t>
        </is>
      </c>
      <c r="F3215" t="inlineStr">
        <is>
          <t>14</t>
        </is>
      </c>
      <c r="G3215" t="inlineStr">
        <is>
          <t>14</t>
        </is>
      </c>
      <c r="H3215" t="inlineStr">
        <is>
          <t>C</t>
        </is>
      </c>
    </row>
    <row r="3216">
      <c r="B3216" t="inlineStr">
        <is>
          <t>Industrials, Light Manufacturing</t>
        </is>
      </c>
      <c r="C3216" t="inlineStr">
        <is>
          <t>494</t>
        </is>
      </c>
      <c r="D3216" t="inlineStr">
        <is>
          <t>14</t>
        </is>
      </c>
      <c r="E3216" t="inlineStr">
        <is>
          <t>14</t>
        </is>
      </c>
      <c r="F3216" t="inlineStr">
        <is>
          <t>14</t>
        </is>
      </c>
      <c r="G3216" t="inlineStr">
        <is>
          <t>14</t>
        </is>
      </c>
      <c r="H3216" t="inlineStr">
        <is>
          <t>C</t>
        </is>
      </c>
    </row>
    <row r="3217">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c r="B3219" t="inlineStr">
        <is>
          <t>Laboratory Buildings</t>
        </is>
      </c>
      <c r="C3219" t="inlineStr">
        <is>
          <t>496</t>
        </is>
      </c>
      <c r="D3219" t="inlineStr">
        <is>
          <t>14</t>
        </is>
      </c>
      <c r="E3219" t="inlineStr">
        <is>
          <t>17</t>
        </is>
      </c>
      <c r="F3219" t="inlineStr">
        <is>
          <t>14</t>
        </is>
      </c>
      <c r="G3219" t="inlineStr">
        <is>
          <t>14</t>
        </is>
      </c>
      <c r="H3219" t="inlineStr">
        <is>
          <t>C</t>
        </is>
      </c>
    </row>
    <row r="3220">
      <c r="B3220" t="inlineStr">
        <is>
          <t>Computer (Data) Centers</t>
        </is>
      </c>
      <c r="C3220" t="inlineStr">
        <is>
          <t>497</t>
        </is>
      </c>
      <c r="D3220" t="inlineStr">
        <is>
          <t>14</t>
        </is>
      </c>
      <c r="E3220" t="inlineStr">
        <is>
          <t>18</t>
        </is>
      </c>
      <c r="F3220" t="inlineStr">
        <is>
          <t>14</t>
        </is>
      </c>
      <c r="G3220" t="inlineStr">
        <is>
          <t>14</t>
        </is>
      </c>
      <c r="H3220" t="inlineStr">
        <is>
          <t>C</t>
        </is>
      </c>
    </row>
    <row r="3221">
      <c r="B3221" t="inlineStr">
        <is>
          <t>Broadcasting Facilities</t>
        </is>
      </c>
      <c r="C3221" t="inlineStr">
        <is>
          <t>498</t>
        </is>
      </c>
      <c r="D3221" t="inlineStr">
        <is>
          <t>14</t>
        </is>
      </c>
      <c r="E3221" t="inlineStr">
        <is>
          <t>19</t>
        </is>
      </c>
      <c r="F3221" t="inlineStr">
        <is>
          <t>14</t>
        </is>
      </c>
      <c r="G3221" t="inlineStr">
        <is>
          <t>14</t>
        </is>
      </c>
      <c r="H3221" t="inlineStr">
        <is>
          <t>C</t>
        </is>
      </c>
    </row>
    <row r="3222">
      <c r="B3222" t="inlineStr">
        <is>
          <t>Passenger Terminals</t>
        </is>
      </c>
      <c r="C3222" t="inlineStr">
        <is>
          <t>571</t>
        </is>
      </c>
      <c r="D3222" t="inlineStr">
        <is>
          <t>14</t>
        </is>
      </c>
      <c r="E3222" t="inlineStr">
        <is>
          <t>20</t>
        </is>
      </c>
      <c r="F3222" t="inlineStr">
        <is>
          <t>14</t>
        </is>
      </c>
      <c r="G3222" t="inlineStr">
        <is>
          <t>14</t>
        </is>
      </c>
      <c r="H3222" t="inlineStr">
        <is>
          <t>C</t>
        </is>
      </c>
    </row>
    <row r="3223">
      <c r="B3223" t="inlineStr">
        <is>
          <t>Main Post Offices</t>
        </is>
      </c>
      <c r="C3223" t="inlineStr">
        <is>
          <t>581</t>
        </is>
      </c>
      <c r="D3223" t="inlineStr">
        <is>
          <t>14</t>
        </is>
      </c>
      <c r="E3223" t="inlineStr">
        <is>
          <t>21</t>
        </is>
      </c>
      <c r="F3223" t="inlineStr">
        <is>
          <t>14</t>
        </is>
      </c>
      <c r="G3223" t="inlineStr">
        <is>
          <t>14</t>
        </is>
      </c>
      <c r="H3223" t="inlineStr">
        <is>
          <t>C</t>
        </is>
      </c>
    </row>
    <row r="3224">
      <c r="B3224" t="inlineStr">
        <is>
          <t>Mail - Processing Facilities</t>
        </is>
      </c>
      <c r="C3224" t="inlineStr">
        <is>
          <t>583</t>
        </is>
      </c>
      <c r="D3224" t="inlineStr">
        <is>
          <t>14</t>
        </is>
      </c>
      <c r="E3224" t="inlineStr">
        <is>
          <t>21</t>
        </is>
      </c>
      <c r="F3224" t="inlineStr">
        <is>
          <t>14</t>
        </is>
      </c>
      <c r="G3224" t="inlineStr">
        <is>
          <t>14</t>
        </is>
      </c>
      <c r="H3224" t="inlineStr">
        <is>
          <t>C</t>
        </is>
      </c>
    </row>
    <row r="3225">
      <c r="B3225" t="inlineStr">
        <is>
          <t>Branch Post Offices</t>
        </is>
      </c>
      <c r="C3225" t="inlineStr">
        <is>
          <t>582</t>
        </is>
      </c>
      <c r="D3225" t="inlineStr">
        <is>
          <t>14</t>
        </is>
      </c>
      <c r="E3225" t="inlineStr">
        <is>
          <t>22</t>
        </is>
      </c>
      <c r="F3225" t="inlineStr">
        <is>
          <t>14</t>
        </is>
      </c>
      <c r="G3225" t="inlineStr">
        <is>
          <t>14</t>
        </is>
      </c>
      <c r="H3225" t="inlineStr">
        <is>
          <t>C</t>
        </is>
      </c>
    </row>
    <row r="3226">
      <c r="B3226" t="inlineStr">
        <is>
          <t>Armories</t>
        </is>
      </c>
      <c r="C3226" t="inlineStr">
        <is>
          <t>301</t>
        </is>
      </c>
      <c r="D3226" t="inlineStr">
        <is>
          <t>14</t>
        </is>
      </c>
      <c r="E3226" t="inlineStr">
        <is>
          <t>22</t>
        </is>
      </c>
      <c r="F3226" t="inlineStr">
        <is>
          <t>14</t>
        </is>
      </c>
      <c r="G3226" t="inlineStr">
        <is>
          <t>14</t>
        </is>
      </c>
      <c r="H3226" t="inlineStr">
        <is>
          <t>C</t>
        </is>
      </c>
    </row>
    <row r="3227">
      <c r="B3227" t="inlineStr">
        <is>
          <t>Distribution Warehouses</t>
        </is>
      </c>
      <c r="C3227" t="inlineStr">
        <is>
          <t>407</t>
        </is>
      </c>
      <c r="D3227" t="inlineStr">
        <is>
          <t>14</t>
        </is>
      </c>
      <c r="E3227" t="inlineStr">
        <is>
          <t>23</t>
        </is>
      </c>
      <c r="F3227" t="inlineStr">
        <is>
          <t>14</t>
        </is>
      </c>
      <c r="G3227" t="inlineStr">
        <is>
          <t>14</t>
        </is>
      </c>
      <c r="H3227" t="inlineStr">
        <is>
          <t>C</t>
        </is>
      </c>
    </row>
    <row r="3228">
      <c r="B3228" t="inlineStr">
        <is>
          <t>Transit Warehouses</t>
        </is>
      </c>
      <c r="C3228" t="inlineStr">
        <is>
          <t>387</t>
        </is>
      </c>
      <c r="D3228" t="inlineStr">
        <is>
          <t>14</t>
        </is>
      </c>
      <c r="E3228" t="inlineStr">
        <is>
          <t>23</t>
        </is>
      </c>
      <c r="F3228" t="inlineStr">
        <is>
          <t>14</t>
        </is>
      </c>
      <c r="G3228" t="inlineStr">
        <is>
          <t>14</t>
        </is>
      </c>
      <c r="H3228" t="inlineStr">
        <is>
          <t>C</t>
        </is>
      </c>
    </row>
    <row r="3229">
      <c r="B3229" t="inlineStr">
        <is>
          <t>Cold Storage Facilities</t>
        </is>
      </c>
      <c r="C3229" t="inlineStr">
        <is>
          <t>447</t>
        </is>
      </c>
      <c r="D3229" t="inlineStr">
        <is>
          <t>14</t>
        </is>
      </c>
      <c r="E3229" t="inlineStr">
        <is>
          <t>24</t>
        </is>
      </c>
      <c r="F3229" t="inlineStr">
        <is>
          <t>14</t>
        </is>
      </c>
      <c r="G3229" t="inlineStr">
        <is>
          <t>14</t>
        </is>
      </c>
      <c r="H3229" t="inlineStr">
        <is>
          <t>C</t>
        </is>
      </c>
    </row>
    <row r="3230">
      <c r="B3230" t="inlineStr">
        <is>
          <t>Creameries</t>
        </is>
      </c>
      <c r="C3230" t="inlineStr">
        <is>
          <t>315</t>
        </is>
      </c>
      <c r="D3230" t="inlineStr">
        <is>
          <t>14</t>
        </is>
      </c>
      <c r="E3230" t="inlineStr">
        <is>
          <t>25</t>
        </is>
      </c>
      <c r="F3230" t="inlineStr">
        <is>
          <t>14</t>
        </is>
      </c>
      <c r="G3230" t="inlineStr">
        <is>
          <t>14</t>
        </is>
      </c>
      <c r="H3230" t="inlineStr">
        <is>
          <t>C</t>
        </is>
      </c>
    </row>
    <row r="3231">
      <c r="B3231" t="inlineStr">
        <is>
          <t>Mega (Storage/Distribution) Warehouses</t>
        </is>
      </c>
      <c r="C3231" t="inlineStr">
        <is>
          <t>584</t>
        </is>
      </c>
      <c r="D3231" t="inlineStr">
        <is>
          <t>14</t>
        </is>
      </c>
      <c r="E3231" t="inlineStr">
        <is>
          <t>25</t>
        </is>
      </c>
      <c r="F3231" t="inlineStr">
        <is>
          <t>14</t>
        </is>
      </c>
      <c r="G3231" t="inlineStr">
        <is>
          <t>14</t>
        </is>
      </c>
      <c r="H3231" t="inlineStr">
        <is>
          <t>C</t>
        </is>
      </c>
    </row>
    <row r="3232">
      <c r="B3232" t="inlineStr">
        <is>
          <t>Storage Warehouses</t>
        </is>
      </c>
      <c r="C3232" t="inlineStr">
        <is>
          <t>406</t>
        </is>
      </c>
      <c r="D3232" t="inlineStr">
        <is>
          <t>14</t>
        </is>
      </c>
      <c r="E3232" t="inlineStr">
        <is>
          <t>26</t>
        </is>
      </c>
      <c r="F3232" t="inlineStr">
        <is>
          <t>14</t>
        </is>
      </c>
      <c r="G3232" t="inlineStr">
        <is>
          <t>14</t>
        </is>
      </c>
      <c r="H3232" t="inlineStr">
        <is>
          <t>C</t>
        </is>
      </c>
    </row>
    <row r="3233">
      <c r="B3233" t="inlineStr">
        <is>
          <t>Mini-Warehouses / Self-Storage</t>
        </is>
      </c>
      <c r="C3233" t="inlineStr">
        <is>
          <t>386</t>
        </is>
      </c>
      <c r="D3233" t="inlineStr">
        <is>
          <t>14</t>
        </is>
      </c>
      <c r="E3233" t="inlineStr">
        <is>
          <t>28</t>
        </is>
      </c>
      <c r="F3233" t="inlineStr">
        <is>
          <t>14</t>
        </is>
      </c>
      <c r="G3233" t="inlineStr">
        <is>
          <t>14</t>
        </is>
      </c>
      <c r="H3233" t="inlineStr">
        <is>
          <t>C</t>
        </is>
      </c>
    </row>
    <row r="3234">
      <c r="B3234" t="inlineStr">
        <is>
          <t>Mini-Warehouses, High-Rise</t>
        </is>
      </c>
      <c r="C3234" t="inlineStr">
        <is>
          <t>525</t>
        </is>
      </c>
      <c r="D3234" t="inlineStr">
        <is>
          <t>14</t>
        </is>
      </c>
      <c r="E3234" t="inlineStr">
        <is>
          <t>28</t>
        </is>
      </c>
      <c r="F3234" t="inlineStr">
        <is>
          <t>14</t>
        </is>
      </c>
      <c r="G3234" t="inlineStr">
        <is>
          <t>14</t>
        </is>
      </c>
      <c r="H3234" t="inlineStr">
        <is>
          <t>C</t>
        </is>
      </c>
    </row>
    <row r="3235">
      <c r="B3235" t="inlineStr">
        <is>
          <t>Maintenance Hangars</t>
        </is>
      </c>
      <c r="C3235" t="inlineStr">
        <is>
          <t>329</t>
        </is>
      </c>
      <c r="D3235" t="inlineStr">
        <is>
          <t>14</t>
        </is>
      </c>
      <c r="E3235" t="inlineStr">
        <is>
          <t>29</t>
        </is>
      </c>
      <c r="F3235" t="inlineStr">
        <is>
          <t>14</t>
        </is>
      </c>
      <c r="G3235" t="inlineStr">
        <is>
          <t>14</t>
        </is>
      </c>
      <c r="H3235" t="inlineStr">
        <is>
          <t>C</t>
        </is>
      </c>
    </row>
    <row r="3236">
      <c r="B3236" t="inlineStr">
        <is>
          <t>Storage Hangars</t>
        </is>
      </c>
      <c r="C3236" t="inlineStr">
        <is>
          <t>328</t>
        </is>
      </c>
      <c r="D3236" t="inlineStr">
        <is>
          <t>14</t>
        </is>
      </c>
      <c r="E3236" t="inlineStr">
        <is>
          <t>29</t>
        </is>
      </c>
      <c r="F3236" t="inlineStr">
        <is>
          <t>14</t>
        </is>
      </c>
      <c r="G3236" t="inlineStr">
        <is>
          <t>14</t>
        </is>
      </c>
      <c r="H3236" t="inlineStr">
        <is>
          <t>C</t>
        </is>
      </c>
    </row>
    <row r="3237">
      <c r="B3237" t="inlineStr">
        <is>
          <t>T-Hangars</t>
        </is>
      </c>
      <c r="C3237" t="inlineStr">
        <is>
          <t>409</t>
        </is>
      </c>
      <c r="D3237" t="inlineStr">
        <is>
          <t>14</t>
        </is>
      </c>
      <c r="E3237" t="inlineStr">
        <is>
          <t>30</t>
        </is>
      </c>
      <c r="F3237" t="inlineStr">
        <is>
          <t>14</t>
        </is>
      </c>
      <c r="G3237" t="inlineStr">
        <is>
          <t>14</t>
        </is>
      </c>
      <c r="H3237" t="inlineStr">
        <is>
          <t>C</t>
        </is>
      </c>
    </row>
    <row r="3238">
      <c r="B3238" t="inlineStr">
        <is>
          <t>Complete Auto Dealerships</t>
        </is>
      </c>
      <c r="C3238" t="inlineStr">
        <is>
          <t>455</t>
        </is>
      </c>
      <c r="D3238" t="inlineStr">
        <is>
          <t>14</t>
        </is>
      </c>
      <c r="E3238" t="inlineStr">
        <is>
          <t>30</t>
        </is>
      </c>
      <c r="F3238" t="inlineStr">
        <is>
          <t>14</t>
        </is>
      </c>
      <c r="G3238" t="inlineStr">
        <is>
          <t>14</t>
        </is>
      </c>
      <c r="H3238" t="inlineStr">
        <is>
          <t>C</t>
        </is>
      </c>
    </row>
    <row r="3239">
      <c r="B3239" t="inlineStr">
        <is>
          <t>Automotive Service Centers</t>
        </is>
      </c>
      <c r="C3239" t="inlineStr">
        <is>
          <t>410</t>
        </is>
      </c>
      <c r="D3239" t="inlineStr">
        <is>
          <t>14</t>
        </is>
      </c>
      <c r="E3239" t="inlineStr">
        <is>
          <t>31</t>
        </is>
      </c>
      <c r="F3239" t="inlineStr">
        <is>
          <t>14</t>
        </is>
      </c>
      <c r="G3239" t="inlineStr">
        <is>
          <t>14</t>
        </is>
      </c>
      <c r="H3239" t="inlineStr">
        <is>
          <t>C</t>
        </is>
      </c>
    </row>
    <row r="3240">
      <c r="B3240" t="inlineStr">
        <is>
          <t>Showrooms</t>
        </is>
      </c>
      <c r="C3240" t="inlineStr">
        <is>
          <t>303</t>
        </is>
      </c>
      <c r="D3240" t="inlineStr">
        <is>
          <t>14</t>
        </is>
      </c>
      <c r="E3240" t="inlineStr">
        <is>
          <t>31</t>
        </is>
      </c>
      <c r="F3240" t="inlineStr">
        <is>
          <t>14</t>
        </is>
      </c>
      <c r="G3240" t="inlineStr">
        <is>
          <t>14</t>
        </is>
      </c>
      <c r="H3240" t="inlineStr">
        <is>
          <t>C</t>
        </is>
      </c>
    </row>
    <row r="3241">
      <c r="B3241" t="inlineStr">
        <is>
          <t>Service Garages (Commercial/Repair)</t>
        </is>
      </c>
      <c r="C3241" t="inlineStr">
        <is>
          <t>528</t>
        </is>
      </c>
      <c r="D3241" t="inlineStr">
        <is>
          <t>14</t>
        </is>
      </c>
      <c r="E3241" t="inlineStr">
        <is>
          <t>32</t>
        </is>
      </c>
      <c r="F3241" t="inlineStr">
        <is>
          <t>14</t>
        </is>
      </c>
      <c r="G3241" t="inlineStr">
        <is>
          <t>14</t>
        </is>
      </c>
      <c r="H3241" t="inlineStr">
        <is>
          <t>C</t>
        </is>
      </c>
    </row>
    <row r="3242">
      <c r="B3242" t="inlineStr">
        <is>
          <t>Service Garage Sheds</t>
        </is>
      </c>
      <c r="C3242" t="inlineStr">
        <is>
          <t>526</t>
        </is>
      </c>
      <c r="D3242" t="inlineStr">
        <is>
          <t>14</t>
        </is>
      </c>
      <c r="E3242" t="inlineStr">
        <is>
          <t>32</t>
        </is>
      </c>
      <c r="F3242" t="inlineStr">
        <is>
          <t>14</t>
        </is>
      </c>
      <c r="G3242" t="inlineStr">
        <is>
          <t>14</t>
        </is>
      </c>
      <c r="H3242" t="inlineStr">
        <is>
          <t>C</t>
        </is>
      </c>
    </row>
    <row r="3243">
      <c r="B3243" t="inlineStr">
        <is>
          <t>Municipal Service Garages</t>
        </is>
      </c>
      <c r="C3243" t="inlineStr">
        <is>
          <t>527</t>
        </is>
      </c>
      <c r="D3243" t="inlineStr">
        <is>
          <t>14</t>
        </is>
      </c>
      <c r="E3243" t="inlineStr">
        <is>
          <t>33</t>
        </is>
      </c>
      <c r="F3243" t="inlineStr">
        <is>
          <t>14</t>
        </is>
      </c>
      <c r="G3243" t="inlineStr">
        <is>
          <t>14</t>
        </is>
      </c>
      <c r="H3243" t="inlineStr">
        <is>
          <t>C</t>
        </is>
      </c>
    </row>
    <row r="3244">
      <c r="B3244" t="inlineStr">
        <is>
          <t>Mini-Lube Garages</t>
        </is>
      </c>
      <c r="C3244" t="inlineStr">
        <is>
          <t>423</t>
        </is>
      </c>
      <c r="D3244" t="inlineStr">
        <is>
          <t>14</t>
        </is>
      </c>
      <c r="E3244" t="inlineStr">
        <is>
          <t>33</t>
        </is>
      </c>
      <c r="F3244" t="inlineStr">
        <is>
          <t>14</t>
        </is>
      </c>
      <c r="G3244" t="inlineStr">
        <is>
          <t>14</t>
        </is>
      </c>
      <c r="H3244" t="inlineStr">
        <is>
          <t>C</t>
        </is>
      </c>
    </row>
    <row r="3245">
      <c r="B3245" t="inlineStr">
        <is>
          <t>Parking (Parkade) Structures</t>
        </is>
      </c>
      <c r="C3245" t="inlineStr">
        <is>
          <t>345</t>
        </is>
      </c>
      <c r="D3245" t="inlineStr">
        <is>
          <t>14</t>
        </is>
      </c>
      <c r="E3245" t="inlineStr">
        <is>
          <t>34</t>
        </is>
      </c>
      <c r="F3245" t="inlineStr">
        <is>
          <t>14</t>
        </is>
      </c>
      <c r="G3245" t="inlineStr">
        <is>
          <t>14</t>
        </is>
      </c>
      <c r="H3245" t="inlineStr">
        <is>
          <t>C</t>
        </is>
      </c>
    </row>
    <row r="3246">
      <c r="B3246" t="inlineStr">
        <is>
          <t>Storage Garages</t>
        </is>
      </c>
      <c r="C3246" t="inlineStr">
        <is>
          <t>326</t>
        </is>
      </c>
      <c r="D3246" t="inlineStr">
        <is>
          <t>14</t>
        </is>
      </c>
      <c r="E3246" t="inlineStr">
        <is>
          <t>34</t>
        </is>
      </c>
      <c r="F3246" t="inlineStr">
        <is>
          <t>14</t>
        </is>
      </c>
      <c r="G3246" t="inlineStr">
        <is>
          <t>14</t>
        </is>
      </c>
      <c r="H3246" t="inlineStr">
        <is>
          <t>C</t>
        </is>
      </c>
    </row>
    <row r="3247">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c r="B3248" t="inlineStr">
        <is>
          <t>Office Buildings</t>
        </is>
      </c>
      <c r="C3248" t="inlineStr">
        <is>
          <t>344</t>
        </is>
      </c>
      <c r="D3248" t="inlineStr">
        <is>
          <t>15</t>
        </is>
      </c>
      <c r="E3248" t="inlineStr">
        <is>
          <t>17</t>
        </is>
      </c>
      <c r="F3248" t="inlineStr">
        <is>
          <t>15</t>
        </is>
      </c>
      <c r="G3248" t="inlineStr">
        <is>
          <t>15</t>
        </is>
      </c>
      <c r="H3248" t="inlineStr">
        <is>
          <t>C</t>
        </is>
      </c>
    </row>
    <row r="3249">
      <c r="B3249" t="inlineStr">
        <is>
          <t>Atriums/Vestibules</t>
        </is>
      </c>
      <c r="C3249" t="inlineStr">
        <is>
          <t>576</t>
        </is>
      </c>
      <c r="D3249" t="inlineStr">
        <is>
          <t>15</t>
        </is>
      </c>
      <c r="E3249" t="inlineStr">
        <is>
          <t>18</t>
        </is>
      </c>
      <c r="F3249" t="inlineStr">
        <is>
          <t>15</t>
        </is>
      </c>
      <c r="G3249" t="inlineStr">
        <is>
          <t>15</t>
        </is>
      </c>
      <c r="H3249" t="inlineStr">
        <is>
          <t>C</t>
        </is>
      </c>
    </row>
    <row r="3250">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c r="B3251" t="inlineStr">
        <is>
          <t>Mechanical Penthouses</t>
        </is>
      </c>
      <c r="C3251" t="inlineStr">
        <is>
          <t>585</t>
        </is>
      </c>
      <c r="D3251" t="inlineStr">
        <is>
          <t>15</t>
        </is>
      </c>
      <c r="E3251" t="inlineStr">
        <is>
          <t>19</t>
        </is>
      </c>
      <c r="F3251" t="inlineStr">
        <is>
          <t>15</t>
        </is>
      </c>
      <c r="G3251" t="inlineStr">
        <is>
          <t>15</t>
        </is>
      </c>
      <c r="H3251" t="inlineStr">
        <is>
          <t>C</t>
        </is>
      </c>
    </row>
    <row r="3252">
      <c r="B3252" t="inlineStr">
        <is>
          <t>Banks – Central Offices</t>
        </is>
      </c>
      <c r="C3252" t="inlineStr">
        <is>
          <t>443</t>
        </is>
      </c>
      <c r="D3252" t="inlineStr">
        <is>
          <t>15</t>
        </is>
      </c>
      <c r="E3252" t="inlineStr">
        <is>
          <t>20</t>
        </is>
      </c>
      <c r="F3252" t="inlineStr">
        <is>
          <t>15</t>
        </is>
      </c>
      <c r="G3252" t="inlineStr">
        <is>
          <t>15</t>
        </is>
      </c>
      <c r="H3252" t="inlineStr">
        <is>
          <t>C</t>
        </is>
      </c>
    </row>
    <row r="3253">
      <c r="B3253" t="inlineStr">
        <is>
          <t>Mini-Banks (Walk-Up and Drive-Through)</t>
        </is>
      </c>
      <c r="C3253" t="inlineStr">
        <is>
          <t>578</t>
        </is>
      </c>
      <c r="D3253" t="inlineStr">
        <is>
          <t>15</t>
        </is>
      </c>
      <c r="E3253" t="inlineStr">
        <is>
          <t>20</t>
        </is>
      </c>
      <c r="F3253" t="inlineStr">
        <is>
          <t>15</t>
        </is>
      </c>
      <c r="G3253" t="inlineStr">
        <is>
          <t>15</t>
        </is>
      </c>
      <c r="H3253" t="inlineStr">
        <is>
          <t>C</t>
        </is>
      </c>
    </row>
    <row r="3254">
      <c r="B3254" t="inlineStr">
        <is>
          <t>Banks, Branch</t>
        </is>
      </c>
      <c r="C3254" t="inlineStr">
        <is>
          <t>304</t>
        </is>
      </c>
      <c r="D3254" t="inlineStr">
        <is>
          <t>15</t>
        </is>
      </c>
      <c r="E3254" t="inlineStr">
        <is>
          <t>21</t>
        </is>
      </c>
      <c r="F3254" t="inlineStr">
        <is>
          <t>15</t>
        </is>
      </c>
      <c r="G3254" t="inlineStr">
        <is>
          <t>15</t>
        </is>
      </c>
      <c r="H3254" t="inlineStr">
        <is>
          <t>C</t>
        </is>
      </c>
    </row>
    <row r="3255">
      <c r="B3255" t="inlineStr">
        <is>
          <t>Medical Office Buildings</t>
        </is>
      </c>
      <c r="C3255" t="inlineStr">
        <is>
          <t>341</t>
        </is>
      </c>
      <c r="D3255" t="inlineStr">
        <is>
          <t>15</t>
        </is>
      </c>
      <c r="E3255" t="inlineStr">
        <is>
          <t>22</t>
        </is>
      </c>
      <c r="F3255" t="inlineStr">
        <is>
          <t>15</t>
        </is>
      </c>
      <c r="G3255" t="inlineStr">
        <is>
          <t>15</t>
        </is>
      </c>
      <c r="H3255" t="inlineStr">
        <is>
          <t>C</t>
        </is>
      </c>
    </row>
    <row r="3256">
      <c r="B3256" t="inlineStr">
        <is>
          <t>Dental Clinics</t>
        </is>
      </c>
      <c r="C3256" t="inlineStr">
        <is>
          <t>444</t>
        </is>
      </c>
      <c r="D3256" t="inlineStr">
        <is>
          <t>15</t>
        </is>
      </c>
      <c r="E3256" t="inlineStr">
        <is>
          <t>23</t>
        </is>
      </c>
      <c r="F3256" t="inlineStr">
        <is>
          <t>15</t>
        </is>
      </c>
      <c r="G3256" t="inlineStr">
        <is>
          <t>15</t>
        </is>
      </c>
      <c r="H3256" t="inlineStr">
        <is>
          <t>C</t>
        </is>
      </c>
    </row>
    <row r="3257">
      <c r="B3257" t="inlineStr">
        <is>
          <t>Urgent Care Clinics</t>
        </is>
      </c>
      <c r="C3257" t="inlineStr">
        <is>
          <t>320</t>
        </is>
      </c>
      <c r="D3257" t="inlineStr">
        <is>
          <t>15</t>
        </is>
      </c>
      <c r="E3257" t="inlineStr">
        <is>
          <t>23</t>
        </is>
      </c>
      <c r="F3257" t="inlineStr">
        <is>
          <t>15</t>
        </is>
      </c>
      <c r="G3257" t="inlineStr">
        <is>
          <t>15</t>
        </is>
      </c>
      <c r="H3257" t="inlineStr">
        <is>
          <t>C</t>
        </is>
      </c>
    </row>
    <row r="3258">
      <c r="B3258" t="inlineStr">
        <is>
          <t>General Hospitals</t>
        </is>
      </c>
      <c r="C3258" t="inlineStr">
        <is>
          <t>331</t>
        </is>
      </c>
      <c r="D3258" t="inlineStr">
        <is>
          <t>15</t>
        </is>
      </c>
      <c r="E3258" t="inlineStr">
        <is>
          <t>24</t>
        </is>
      </c>
      <c r="F3258" t="inlineStr">
        <is>
          <t>15</t>
        </is>
      </c>
      <c r="G3258" t="inlineStr">
        <is>
          <t>15</t>
        </is>
      </c>
      <c r="H3258" t="inlineStr">
        <is>
          <t>C</t>
        </is>
      </c>
    </row>
    <row r="3259">
      <c r="B3259" t="inlineStr">
        <is>
          <t>Outpatient (Surgical) Centers</t>
        </is>
      </c>
      <c r="C3259" t="inlineStr">
        <is>
          <t>431</t>
        </is>
      </c>
      <c r="D3259" t="inlineStr">
        <is>
          <t>15</t>
        </is>
      </c>
      <c r="E3259" t="inlineStr">
        <is>
          <t>25</t>
        </is>
      </c>
      <c r="F3259" t="inlineStr">
        <is>
          <t>15</t>
        </is>
      </c>
      <c r="G3259" t="inlineStr">
        <is>
          <t>15</t>
        </is>
      </c>
      <c r="H3259" t="inlineStr">
        <is>
          <t>C</t>
        </is>
      </c>
    </row>
    <row r="3260">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c r="B3261" t="inlineStr">
        <is>
          <t>Kennels</t>
        </is>
      </c>
      <c r="C3261" t="inlineStr">
        <is>
          <t>490</t>
        </is>
      </c>
      <c r="D3261" t="inlineStr">
        <is>
          <t>15</t>
        </is>
      </c>
      <c r="E3261" t="inlineStr">
        <is>
          <t>27</t>
        </is>
      </c>
      <c r="F3261" t="inlineStr">
        <is>
          <t>15</t>
        </is>
      </c>
      <c r="G3261" t="inlineStr">
        <is>
          <t>15</t>
        </is>
      </c>
      <c r="H3261" t="inlineStr">
        <is>
          <t>C</t>
        </is>
      </c>
    </row>
    <row r="3262">
      <c r="B3262" t="inlineStr">
        <is>
          <t>Veterinary Hospitals</t>
        </is>
      </c>
      <c r="C3262" t="inlineStr">
        <is>
          <t>381</t>
        </is>
      </c>
      <c r="D3262" t="inlineStr">
        <is>
          <t>15</t>
        </is>
      </c>
      <c r="E3262" t="inlineStr">
        <is>
          <t>28</t>
        </is>
      </c>
      <c r="F3262" t="inlineStr">
        <is>
          <t>15</t>
        </is>
      </c>
      <c r="G3262" t="inlineStr">
        <is>
          <t>15</t>
        </is>
      </c>
      <c r="H3262" t="inlineStr">
        <is>
          <t>C</t>
        </is>
      </c>
    </row>
    <row r="3263">
      <c r="B3263" t="inlineStr">
        <is>
          <t>Fire Stations – Volunteer</t>
        </is>
      </c>
      <c r="C3263" t="inlineStr">
        <is>
          <t>427</t>
        </is>
      </c>
      <c r="D3263" t="inlineStr">
        <is>
          <t>15</t>
        </is>
      </c>
      <c r="E3263" t="inlineStr">
        <is>
          <t>28</t>
        </is>
      </c>
      <c r="F3263" t="inlineStr">
        <is>
          <t>15</t>
        </is>
      </c>
      <c r="G3263" t="inlineStr">
        <is>
          <t>15</t>
        </is>
      </c>
      <c r="H3263" t="inlineStr">
        <is>
          <t>C</t>
        </is>
      </c>
    </row>
    <row r="3264">
      <c r="B3264" t="inlineStr">
        <is>
          <t>Fire Stations – Staffed</t>
        </is>
      </c>
      <c r="C3264" t="inlineStr">
        <is>
          <t>322</t>
        </is>
      </c>
      <c r="D3264" t="inlineStr">
        <is>
          <t>15</t>
        </is>
      </c>
      <c r="E3264" t="inlineStr">
        <is>
          <t>29</t>
        </is>
      </c>
      <c r="F3264" t="inlineStr">
        <is>
          <t>15</t>
        </is>
      </c>
      <c r="G3264" t="inlineStr">
        <is>
          <t>15</t>
        </is>
      </c>
      <c r="H3264" t="inlineStr">
        <is>
          <t>C</t>
        </is>
      </c>
    </row>
    <row r="3265">
      <c r="B3265" t="inlineStr">
        <is>
          <t>Governmental Buildings</t>
        </is>
      </c>
      <c r="C3265" t="inlineStr">
        <is>
          <t>327</t>
        </is>
      </c>
      <c r="D3265" t="inlineStr">
        <is>
          <t>15</t>
        </is>
      </c>
      <c r="E3265" t="inlineStr">
        <is>
          <t>30</t>
        </is>
      </c>
      <c r="F3265" t="inlineStr">
        <is>
          <t>15</t>
        </is>
      </c>
      <c r="G3265" t="inlineStr">
        <is>
          <t>15</t>
        </is>
      </c>
      <c r="H3265" t="inlineStr">
        <is>
          <t>C</t>
        </is>
      </c>
    </row>
    <row r="3266">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c r="B3267" t="inlineStr">
        <is>
          <t>Public Libraries</t>
        </is>
      </c>
      <c r="C3267" t="inlineStr">
        <is>
          <t>337</t>
        </is>
      </c>
      <c r="D3267" t="inlineStr">
        <is>
          <t>15</t>
        </is>
      </c>
      <c r="E3267" t="inlineStr">
        <is>
          <t>32</t>
        </is>
      </c>
      <c r="F3267" t="inlineStr">
        <is>
          <t>15</t>
        </is>
      </c>
      <c r="G3267" t="inlineStr">
        <is>
          <t>15</t>
        </is>
      </c>
      <c r="H3267" t="inlineStr">
        <is>
          <t>R</t>
        </is>
      </c>
    </row>
    <row r="3268">
      <c r="B3268" t="inlineStr">
        <is>
          <t>Jails – Correctional Facilities</t>
        </is>
      </c>
      <c r="C3268" t="inlineStr">
        <is>
          <t>335</t>
        </is>
      </c>
      <c r="D3268" t="inlineStr">
        <is>
          <t>15</t>
        </is>
      </c>
      <c r="E3268" t="inlineStr">
        <is>
          <t>33</t>
        </is>
      </c>
      <c r="F3268" t="inlineStr">
        <is>
          <t>15</t>
        </is>
      </c>
      <c r="G3268" t="inlineStr">
        <is>
          <t>15</t>
        </is>
      </c>
      <c r="H3268" t="inlineStr">
        <is>
          <t>C</t>
        </is>
      </c>
    </row>
    <row r="3269">
      <c r="B3269" t="inlineStr">
        <is>
          <t>Jails – Police Stations</t>
        </is>
      </c>
      <c r="C3269" t="inlineStr">
        <is>
          <t>489</t>
        </is>
      </c>
      <c r="D3269" t="inlineStr">
        <is>
          <t>15</t>
        </is>
      </c>
      <c r="E3269" t="inlineStr">
        <is>
          <t>33</t>
        </is>
      </c>
      <c r="F3269" t="inlineStr">
        <is>
          <t>15</t>
        </is>
      </c>
      <c r="G3269" t="inlineStr">
        <is>
          <t>15</t>
        </is>
      </c>
      <c r="H3269" t="inlineStr">
        <is>
          <t>C</t>
        </is>
      </c>
    </row>
    <row r="3270">
      <c r="B3270" t="inlineStr">
        <is>
          <t>Shell Office Buildings</t>
        </is>
      </c>
      <c r="C3270" t="inlineStr">
        <is>
          <t>492</t>
        </is>
      </c>
      <c r="D3270" t="inlineStr">
        <is>
          <t>15</t>
        </is>
      </c>
      <c r="E3270" t="inlineStr">
        <is>
          <t>34</t>
        </is>
      </c>
      <c r="F3270" t="inlineStr">
        <is>
          <t>15</t>
        </is>
      </c>
      <c r="G3270" t="inlineStr">
        <is>
          <t>15</t>
        </is>
      </c>
      <c r="H3270" t="inlineStr">
        <is>
          <t>C</t>
        </is>
      </c>
    </row>
    <row r="3271">
      <c r="B3271" t="inlineStr">
        <is>
          <t>Churches with Sunday Schools</t>
        </is>
      </c>
      <c r="C3271" t="inlineStr">
        <is>
          <t>308</t>
        </is>
      </c>
      <c r="D3271" t="inlineStr">
        <is>
          <t>16</t>
        </is>
      </c>
      <c r="E3271" t="inlineStr">
        <is>
          <t>8</t>
        </is>
      </c>
      <c r="F3271" t="inlineStr">
        <is>
          <t>16</t>
        </is>
      </c>
      <c r="G3271" t="inlineStr">
        <is>
          <t>16</t>
        </is>
      </c>
      <c r="H3271" t="inlineStr">
        <is>
          <t>R</t>
        </is>
      </c>
    </row>
    <row r="3272">
      <c r="B3272" t="inlineStr">
        <is>
          <t>Churches – Sanctuaries (Chapels)</t>
        </is>
      </c>
      <c r="C3272" t="inlineStr">
        <is>
          <t>309</t>
        </is>
      </c>
      <c r="D3272" t="inlineStr">
        <is>
          <t>16</t>
        </is>
      </c>
      <c r="E3272" t="inlineStr">
        <is>
          <t>9</t>
        </is>
      </c>
      <c r="F3272" t="inlineStr">
        <is>
          <t>16</t>
        </is>
      </c>
      <c r="G3272" t="inlineStr">
        <is>
          <t>16</t>
        </is>
      </c>
      <c r="H3272" t="inlineStr">
        <is>
          <t>R</t>
        </is>
      </c>
    </row>
    <row r="3273">
      <c r="B3273" t="inlineStr">
        <is>
          <t>Fellowship Halls</t>
        </is>
      </c>
      <c r="C3273" t="inlineStr">
        <is>
          <t>516</t>
        </is>
      </c>
      <c r="D3273" t="inlineStr">
        <is>
          <t>16</t>
        </is>
      </c>
      <c r="E3273" t="inlineStr">
        <is>
          <t>10</t>
        </is>
      </c>
      <c r="F3273" t="inlineStr">
        <is>
          <t>16</t>
        </is>
      </c>
      <c r="G3273" t="inlineStr">
        <is>
          <t>16</t>
        </is>
      </c>
      <c r="H3273" t="inlineStr">
        <is>
          <t>R</t>
        </is>
      </c>
    </row>
    <row r="3274">
      <c r="B3274" t="inlineStr">
        <is>
          <t>Foyers / Narthexes</t>
        </is>
      </c>
      <c r="C3274" t="inlineStr">
        <is>
          <t>517</t>
        </is>
      </c>
      <c r="D3274" t="inlineStr">
        <is>
          <t>16</t>
        </is>
      </c>
      <c r="E3274" t="inlineStr">
        <is>
          <t>10</t>
        </is>
      </c>
      <c r="F3274" t="inlineStr">
        <is>
          <t>16</t>
        </is>
      </c>
      <c r="G3274" t="inlineStr">
        <is>
          <t>16</t>
        </is>
      </c>
      <c r="H3274" t="inlineStr">
        <is>
          <t>R</t>
        </is>
      </c>
    </row>
    <row r="3275">
      <c r="B3275" t="inlineStr">
        <is>
          <t>Church Educational Wings</t>
        </is>
      </c>
      <c r="C3275" t="inlineStr">
        <is>
          <t>173</t>
        </is>
      </c>
      <c r="D3275" t="inlineStr">
        <is>
          <t>16</t>
        </is>
      </c>
      <c r="E3275" t="inlineStr">
        <is>
          <t>11</t>
        </is>
      </c>
      <c r="F3275" t="inlineStr">
        <is>
          <t>16</t>
        </is>
      </c>
      <c r="G3275" t="inlineStr">
        <is>
          <t>16</t>
        </is>
      </c>
      <c r="H3275" t="inlineStr">
        <is>
          <t>R</t>
        </is>
      </c>
    </row>
    <row r="3276">
      <c r="B3276" t="inlineStr">
        <is>
          <t>Theaters: Live-Stage</t>
        </is>
      </c>
      <c r="C3276" t="inlineStr">
        <is>
          <t>379</t>
        </is>
      </c>
      <c r="D3276" t="inlineStr">
        <is>
          <t>16</t>
        </is>
      </c>
      <c r="E3276" t="inlineStr">
        <is>
          <t>12</t>
        </is>
      </c>
      <c r="F3276" t="inlineStr">
        <is>
          <t>16</t>
        </is>
      </c>
      <c r="G3276" t="inlineStr">
        <is>
          <t>16</t>
        </is>
      </c>
      <c r="H3276" t="inlineStr">
        <is>
          <t>C</t>
        </is>
      </c>
    </row>
    <row r="3277">
      <c r="B3277" t="inlineStr">
        <is>
          <t>Theaters: Cinema</t>
        </is>
      </c>
      <c r="C3277" t="inlineStr">
        <is>
          <t>380</t>
        </is>
      </c>
      <c r="D3277" t="inlineStr">
        <is>
          <t>16</t>
        </is>
      </c>
      <c r="E3277" t="inlineStr">
        <is>
          <t>13</t>
        </is>
      </c>
      <c r="F3277" t="inlineStr">
        <is>
          <t>16</t>
        </is>
      </c>
      <c r="G3277" t="inlineStr">
        <is>
          <t>16</t>
        </is>
      </c>
      <c r="H3277" t="inlineStr">
        <is>
          <t>C</t>
        </is>
      </c>
    </row>
    <row r="3278">
      <c r="B3278" t="inlineStr">
        <is>
          <t>Auditoriums</t>
        </is>
      </c>
      <c r="C3278" t="inlineStr">
        <is>
          <t>302</t>
        </is>
      </c>
      <c r="D3278" t="inlineStr">
        <is>
          <t>16</t>
        </is>
      </c>
      <c r="E3278" t="inlineStr">
        <is>
          <t>14</t>
        </is>
      </c>
      <c r="F3278" t="inlineStr">
        <is>
          <t>16</t>
        </is>
      </c>
      <c r="G3278" t="inlineStr">
        <is>
          <t>16</t>
        </is>
      </c>
      <c r="H3278" t="inlineStr">
        <is>
          <t>C</t>
        </is>
      </c>
    </row>
    <row r="3279">
      <c r="B3279" t="inlineStr">
        <is>
          <t>Fraternal Buildings</t>
        </is>
      </c>
      <c r="C3279" t="inlineStr">
        <is>
          <t>323</t>
        </is>
      </c>
      <c r="D3279" t="inlineStr">
        <is>
          <t>16</t>
        </is>
      </c>
      <c r="E3279" t="inlineStr">
        <is>
          <t>15</t>
        </is>
      </c>
      <c r="F3279" t="inlineStr">
        <is>
          <t>16</t>
        </is>
      </c>
      <c r="G3279" t="inlineStr">
        <is>
          <t>16</t>
        </is>
      </c>
      <c r="H3279" t="inlineStr">
        <is>
          <t>R</t>
        </is>
      </c>
    </row>
    <row r="3280">
      <c r="B3280" t="inlineStr">
        <is>
          <t>Visitor Centers</t>
        </is>
      </c>
      <c r="C3280" t="inlineStr">
        <is>
          <t>574</t>
        </is>
      </c>
      <c r="D3280" t="inlineStr">
        <is>
          <t>16</t>
        </is>
      </c>
      <c r="E3280" t="inlineStr">
        <is>
          <t>15</t>
        </is>
      </c>
      <c r="F3280" t="inlineStr">
        <is>
          <t>16</t>
        </is>
      </c>
      <c r="G3280" t="inlineStr">
        <is>
          <t>16</t>
        </is>
      </c>
      <c r="H3280" t="inlineStr">
        <is>
          <t>C</t>
        </is>
      </c>
    </row>
    <row r="3281">
      <c r="B3281" t="inlineStr">
        <is>
          <t>Convention Centers</t>
        </is>
      </c>
      <c r="C3281" t="inlineStr">
        <is>
          <t>482</t>
        </is>
      </c>
      <c r="D3281" t="inlineStr">
        <is>
          <t>16</t>
        </is>
      </c>
      <c r="E3281" t="inlineStr">
        <is>
          <t>16</t>
        </is>
      </c>
      <c r="F3281" t="inlineStr">
        <is>
          <t>16</t>
        </is>
      </c>
      <c r="G3281" t="inlineStr">
        <is>
          <t>16</t>
        </is>
      </c>
      <c r="H3281" t="inlineStr">
        <is>
          <t>C</t>
        </is>
      </c>
    </row>
    <row r="3282">
      <c r="B3282" t="inlineStr">
        <is>
          <t>Casinos</t>
        </is>
      </c>
      <c r="C3282" t="inlineStr">
        <is>
          <t>515</t>
        </is>
      </c>
      <c r="D3282" t="inlineStr">
        <is>
          <t>16</t>
        </is>
      </c>
      <c r="E3282" t="inlineStr">
        <is>
          <t>17</t>
        </is>
      </c>
      <c r="F3282" t="inlineStr">
        <is>
          <t>16</t>
        </is>
      </c>
      <c r="G3282" t="inlineStr">
        <is>
          <t>16</t>
        </is>
      </c>
      <c r="H3282" t="inlineStr">
        <is>
          <t>C</t>
        </is>
      </c>
    </row>
    <row r="3283">
      <c r="B3283" t="inlineStr">
        <is>
          <t>Community Recreation Centers</t>
        </is>
      </c>
      <c r="C3283" t="inlineStr">
        <is>
          <t>514</t>
        </is>
      </c>
      <c r="D3283" t="inlineStr">
        <is>
          <t>16</t>
        </is>
      </c>
      <c r="E3283" t="inlineStr">
        <is>
          <t>18</t>
        </is>
      </c>
      <c r="F3283" t="inlineStr">
        <is>
          <t>16</t>
        </is>
      </c>
      <c r="G3283" t="inlineStr">
        <is>
          <t>16</t>
        </is>
      </c>
      <c r="H3283" t="inlineStr">
        <is>
          <t>C</t>
        </is>
      </c>
    </row>
    <row r="3284">
      <c r="B3284" t="inlineStr">
        <is>
          <t>Arcade Buildings</t>
        </is>
      </c>
      <c r="C3284" t="inlineStr">
        <is>
          <t>573</t>
        </is>
      </c>
      <c r="D3284" t="inlineStr">
        <is>
          <t>16</t>
        </is>
      </c>
      <c r="E3284" t="inlineStr">
        <is>
          <t>18</t>
        </is>
      </c>
      <c r="F3284" t="inlineStr">
        <is>
          <t>16</t>
        </is>
      </c>
      <c r="G3284" t="inlineStr">
        <is>
          <t>16</t>
        </is>
      </c>
      <c r="H3284" t="inlineStr">
        <is>
          <t>C</t>
        </is>
      </c>
    </row>
    <row r="3285">
      <c r="B3285" t="inlineStr">
        <is>
          <t>Museums</t>
        </is>
      </c>
      <c r="C3285" t="inlineStr">
        <is>
          <t>481</t>
        </is>
      </c>
      <c r="D3285" t="inlineStr">
        <is>
          <t>16</t>
        </is>
      </c>
      <c r="E3285" t="inlineStr">
        <is>
          <t>19</t>
        </is>
      </c>
      <c r="F3285" t="inlineStr">
        <is>
          <t>16</t>
        </is>
      </c>
      <c r="G3285" t="inlineStr">
        <is>
          <t>16</t>
        </is>
      </c>
      <c r="H3285" t="inlineStr">
        <is>
          <t>C</t>
        </is>
      </c>
    </row>
    <row r="3286">
      <c r="B3286" t="inlineStr">
        <is>
          <t>Ice Skating Rinks</t>
        </is>
      </c>
      <c r="C3286" t="inlineStr">
        <is>
          <t>175</t>
        </is>
      </c>
      <c r="D3286" t="inlineStr">
        <is>
          <t>16</t>
        </is>
      </c>
      <c r="E3286" t="inlineStr">
        <is>
          <t>20</t>
        </is>
      </c>
      <c r="F3286" t="inlineStr">
        <is>
          <t>16</t>
        </is>
      </c>
      <c r="G3286" t="inlineStr">
        <is>
          <t>16</t>
        </is>
      </c>
      <c r="H3286" t="inlineStr">
        <is>
          <t>C</t>
        </is>
      </c>
    </row>
    <row r="3287">
      <c r="B3287" t="inlineStr">
        <is>
          <t>Roller Skating Rinks</t>
        </is>
      </c>
      <c r="C3287" t="inlineStr">
        <is>
          <t>176</t>
        </is>
      </c>
      <c r="D3287" t="inlineStr">
        <is>
          <t>16</t>
        </is>
      </c>
      <c r="E3287" t="inlineStr">
        <is>
          <t>21</t>
        </is>
      </c>
      <c r="F3287" t="inlineStr">
        <is>
          <t>16</t>
        </is>
      </c>
      <c r="G3287" t="inlineStr">
        <is>
          <t>16</t>
        </is>
      </c>
      <c r="H3287" t="inlineStr">
        <is>
          <t>C</t>
        </is>
      </c>
    </row>
    <row r="3288">
      <c r="B3288" t="inlineStr">
        <is>
          <t>Handball/Racquetball Clubs</t>
        </is>
      </c>
      <c r="C3288" t="inlineStr">
        <is>
          <t>417</t>
        </is>
      </c>
      <c r="D3288" t="inlineStr">
        <is>
          <t>16</t>
        </is>
      </c>
      <c r="E3288" t="inlineStr">
        <is>
          <t>21</t>
        </is>
      </c>
      <c r="F3288" t="inlineStr">
        <is>
          <t>16</t>
        </is>
      </c>
      <c r="G3288" t="inlineStr">
        <is>
          <t>16</t>
        </is>
      </c>
      <c r="H3288" t="inlineStr">
        <is>
          <t>C</t>
        </is>
      </c>
    </row>
    <row r="3289">
      <c r="B3289" t="inlineStr">
        <is>
          <t>Fitness Centers</t>
        </is>
      </c>
      <c r="C3289" t="inlineStr">
        <is>
          <t>483</t>
        </is>
      </c>
      <c r="D3289" t="inlineStr">
        <is>
          <t>16</t>
        </is>
      </c>
      <c r="E3289" t="inlineStr">
        <is>
          <t>21</t>
        </is>
      </c>
      <c r="F3289" t="inlineStr">
        <is>
          <t>16</t>
        </is>
      </c>
      <c r="G3289" t="inlineStr">
        <is>
          <t>16</t>
        </is>
      </c>
      <c r="H3289" t="inlineStr">
        <is>
          <t>C</t>
        </is>
      </c>
    </row>
    <row r="3290">
      <c r="B3290" t="inlineStr">
        <is>
          <t>Bowling Centers</t>
        </is>
      </c>
      <c r="C3290" t="inlineStr">
        <is>
          <t>306</t>
        </is>
      </c>
      <c r="D3290" t="inlineStr">
        <is>
          <t>16</t>
        </is>
      </c>
      <c r="E3290" t="inlineStr">
        <is>
          <t>22</t>
        </is>
      </c>
      <c r="F3290" t="inlineStr">
        <is>
          <t>16</t>
        </is>
      </c>
      <c r="G3290" t="inlineStr">
        <is>
          <t>16</t>
        </is>
      </c>
      <c r="H3290" t="inlineStr">
        <is>
          <t>C</t>
        </is>
      </c>
    </row>
    <row r="3291">
      <c r="B3291" t="inlineStr">
        <is>
          <t>Indoor Tennis Clubs</t>
        </is>
      </c>
      <c r="C3291" t="inlineStr">
        <is>
          <t>416</t>
        </is>
      </c>
      <c r="D3291" t="inlineStr">
        <is>
          <t>16</t>
        </is>
      </c>
      <c r="E3291" t="inlineStr">
        <is>
          <t>22</t>
        </is>
      </c>
      <c r="F3291" t="inlineStr">
        <is>
          <t>16</t>
        </is>
      </c>
      <c r="G3291" t="inlineStr">
        <is>
          <t>16</t>
        </is>
      </c>
      <c r="H3291" t="inlineStr">
        <is>
          <t>C</t>
        </is>
      </c>
    </row>
    <row r="3292">
      <c r="B3292" t="inlineStr">
        <is>
          <t>Pavilions</t>
        </is>
      </c>
      <c r="C3292" t="inlineStr">
        <is>
          <t>174</t>
        </is>
      </c>
      <c r="D3292" t="inlineStr">
        <is>
          <t>16</t>
        </is>
      </c>
      <c r="E3292" t="inlineStr">
        <is>
          <t>23</t>
        </is>
      </c>
      <c r="F3292" t="inlineStr">
        <is>
          <t>16</t>
        </is>
      </c>
      <c r="G3292" t="inlineStr">
        <is>
          <t>16</t>
        </is>
      </c>
      <c r="H3292" t="inlineStr">
        <is>
          <t>C</t>
        </is>
      </c>
    </row>
    <row r="3293">
      <c r="B3293" t="inlineStr">
        <is>
          <t>Light Commercial – Commodity Warehouse</t>
        </is>
      </c>
      <c r="C3293" t="inlineStr">
        <is>
          <t>104</t>
        </is>
      </c>
      <c r="D3293" t="inlineStr">
        <is>
          <t>17</t>
        </is>
      </c>
      <c r="E3293" t="inlineStr">
        <is>
          <t>11</t>
        </is>
      </c>
      <c r="F3293" t="inlineStr">
        <is>
          <t>-</t>
        </is>
      </c>
      <c r="G3293" t="inlineStr">
        <is>
          <t>-</t>
        </is>
      </c>
      <c r="H3293" t="inlineStr">
        <is>
          <t>C</t>
        </is>
      </c>
    </row>
    <row r="3294">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c r="B3295" t="inlineStr">
        <is>
          <t>Material – Commodity Shelters</t>
        </is>
      </c>
      <c r="C3295" t="inlineStr">
        <is>
          <t>473</t>
        </is>
      </c>
      <c r="D3295" t="inlineStr">
        <is>
          <t>17</t>
        </is>
      </c>
      <c r="E3295" t="inlineStr">
        <is>
          <t>11</t>
        </is>
      </c>
      <c r="F3295" t="inlineStr">
        <is>
          <t>-</t>
        </is>
      </c>
      <c r="G3295" t="inlineStr">
        <is>
          <t>-</t>
        </is>
      </c>
      <c r="H3295" t="inlineStr">
        <is>
          <t>C</t>
        </is>
      </c>
    </row>
    <row r="3296">
      <c r="B3296" t="inlineStr">
        <is>
          <t>Light Commercial Utility Buildings</t>
        </is>
      </c>
      <c r="C3296" t="inlineStr">
        <is>
          <t>471</t>
        </is>
      </c>
      <c r="D3296" t="inlineStr">
        <is>
          <t>17</t>
        </is>
      </c>
      <c r="E3296" t="inlineStr">
        <is>
          <t>12</t>
        </is>
      </c>
      <c r="F3296" t="inlineStr">
        <is>
          <t>-</t>
        </is>
      </c>
      <c r="G3296" t="inlineStr">
        <is>
          <t>-</t>
        </is>
      </c>
      <c r="H3296" t="inlineStr">
        <is>
          <t>C</t>
        </is>
      </c>
    </row>
    <row r="3297">
      <c r="B3297" t="inlineStr">
        <is>
          <t>Toolshed Buildings</t>
        </is>
      </c>
      <c r="C3297" t="inlineStr">
        <is>
          <t>456</t>
        </is>
      </c>
      <c r="D3297" t="inlineStr">
        <is>
          <t>17</t>
        </is>
      </c>
      <c r="E3297" t="inlineStr">
        <is>
          <t>12</t>
        </is>
      </c>
      <c r="F3297" t="inlineStr">
        <is>
          <t>-</t>
        </is>
      </c>
      <c r="G3297" t="inlineStr">
        <is>
          <t>-</t>
        </is>
      </c>
      <c r="H3297" t="inlineStr">
        <is>
          <t>C</t>
        </is>
      </c>
    </row>
    <row r="3298">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c r="B3300" t="inlineStr">
        <is>
          <t>Light Commercial Equipment Sheds</t>
        </is>
      </c>
      <c r="C3300" t="inlineStr">
        <is>
          <t>472</t>
        </is>
      </c>
      <c r="D3300" t="inlineStr">
        <is>
          <t>17</t>
        </is>
      </c>
      <c r="E3300" t="inlineStr">
        <is>
          <t>14</t>
        </is>
      </c>
      <c r="F3300" t="inlineStr">
        <is>
          <t>-</t>
        </is>
      </c>
      <c r="G3300" t="inlineStr">
        <is>
          <t>-</t>
        </is>
      </c>
      <c r="H3300" t="inlineStr">
        <is>
          <t>C</t>
        </is>
      </c>
    </row>
    <row r="3301">
      <c r="B3301" t="inlineStr">
        <is>
          <t>Shed Office Structures</t>
        </is>
      </c>
      <c r="C3301" t="inlineStr">
        <is>
          <t>554</t>
        </is>
      </c>
      <c r="D3301" t="inlineStr">
        <is>
          <t>17</t>
        </is>
      </c>
      <c r="E3301" t="inlineStr">
        <is>
          <t>14</t>
        </is>
      </c>
      <c r="F3301" t="inlineStr">
        <is>
          <t>-</t>
        </is>
      </c>
      <c r="G3301" t="inlineStr">
        <is>
          <t>-</t>
        </is>
      </c>
      <c r="H3301" t="inlineStr">
        <is>
          <t>C</t>
        </is>
      </c>
    </row>
    <row r="3302">
      <c r="B3302" t="inlineStr">
        <is>
          <t>Golf Cart Storage Buildings</t>
        </is>
      </c>
      <c r="C3302" t="inlineStr">
        <is>
          <t>523</t>
        </is>
      </c>
      <c r="D3302" t="inlineStr">
        <is>
          <t>17</t>
        </is>
      </c>
      <c r="E3302" t="inlineStr">
        <is>
          <t>15</t>
        </is>
      </c>
      <c r="F3302" t="inlineStr">
        <is>
          <t>-</t>
        </is>
      </c>
      <c r="G3302" t="inlineStr">
        <is>
          <t>-</t>
        </is>
      </c>
      <c r="H3302" t="inlineStr">
        <is>
          <t>C</t>
        </is>
      </c>
    </row>
    <row r="3303">
      <c r="B3303" t="inlineStr">
        <is>
          <t>Golf Starter (Guard House) Booths</t>
        </is>
      </c>
      <c r="C3303" t="inlineStr">
        <is>
          <t>183</t>
        </is>
      </c>
      <c r="D3303" t="inlineStr">
        <is>
          <t>17</t>
        </is>
      </c>
      <c r="E3303" t="inlineStr">
        <is>
          <t>15</t>
        </is>
      </c>
      <c r="F3303" t="inlineStr">
        <is>
          <t>-</t>
        </is>
      </c>
      <c r="G3303" t="inlineStr">
        <is>
          <t>-</t>
        </is>
      </c>
      <c r="H3303" t="inlineStr">
        <is>
          <t>C</t>
        </is>
      </c>
    </row>
    <row r="3304">
      <c r="B3304" t="inlineStr">
        <is>
          <t>Material Storage Buildings</t>
        </is>
      </c>
      <c r="C3304" t="inlineStr">
        <is>
          <t>391</t>
        </is>
      </c>
      <c r="D3304" t="inlineStr">
        <is>
          <t>17</t>
        </is>
      </c>
      <c r="E3304" t="inlineStr">
        <is>
          <t>16</t>
        </is>
      </c>
      <c r="F3304" t="inlineStr">
        <is>
          <t>-</t>
        </is>
      </c>
      <c r="G3304" t="inlineStr">
        <is>
          <t>-</t>
        </is>
      </c>
      <c r="H3304" t="inlineStr">
        <is>
          <t>C</t>
        </is>
      </c>
    </row>
    <row r="3305">
      <c r="B3305" t="inlineStr">
        <is>
          <t>Material Storage Sheds</t>
        </is>
      </c>
      <c r="C3305" t="inlineStr">
        <is>
          <t>468</t>
        </is>
      </c>
      <c r="D3305" t="inlineStr">
        <is>
          <t>17</t>
        </is>
      </c>
      <c r="E3305" t="inlineStr">
        <is>
          <t>16</t>
        </is>
      </c>
      <c r="F3305" t="inlineStr">
        <is>
          <t>-</t>
        </is>
      </c>
      <c r="G3305" t="inlineStr">
        <is>
          <t>-</t>
        </is>
      </c>
      <c r="H3305" t="inlineStr">
        <is>
          <t>C</t>
        </is>
      </c>
    </row>
    <row r="3306">
      <c r="B3306" t="inlineStr">
        <is>
          <t>Bulk Oil Storage</t>
        </is>
      </c>
      <c r="C3306" t="inlineStr">
        <is>
          <t>556</t>
        </is>
      </c>
      <c r="D3306" t="inlineStr">
        <is>
          <t>17</t>
        </is>
      </c>
      <c r="E3306" t="inlineStr">
        <is>
          <t>16</t>
        </is>
      </c>
      <c r="F3306" t="inlineStr">
        <is>
          <t>-</t>
        </is>
      </c>
      <c r="G3306" t="inlineStr">
        <is>
          <t>-</t>
        </is>
      </c>
      <c r="H3306" t="inlineStr">
        <is>
          <t>C</t>
        </is>
      </c>
    </row>
    <row r="3307">
      <c r="B3307" t="inlineStr">
        <is>
          <t>Lumber Storage Buildings</t>
        </is>
      </c>
      <c r="C3307" t="inlineStr">
        <is>
          <t>390</t>
        </is>
      </c>
      <c r="D3307" t="inlineStr">
        <is>
          <t>17</t>
        </is>
      </c>
      <c r="E3307" t="inlineStr">
        <is>
          <t>17</t>
        </is>
      </c>
      <c r="F3307" t="inlineStr">
        <is>
          <t>-</t>
        </is>
      </c>
      <c r="G3307" t="inlineStr">
        <is>
          <t>-</t>
        </is>
      </c>
      <c r="H3307" t="inlineStr">
        <is>
          <t>C</t>
        </is>
      </c>
    </row>
    <row r="3308">
      <c r="B3308" t="inlineStr">
        <is>
          <t>Lumber Storage Sheds</t>
        </is>
      </c>
      <c r="C3308" t="inlineStr">
        <is>
          <t>339</t>
        </is>
      </c>
      <c r="D3308" t="inlineStr">
        <is>
          <t>17</t>
        </is>
      </c>
      <c r="E3308" t="inlineStr">
        <is>
          <t>17</t>
        </is>
      </c>
      <c r="F3308" t="inlineStr">
        <is>
          <t>-</t>
        </is>
      </c>
      <c r="G3308" t="inlineStr">
        <is>
          <t>-</t>
        </is>
      </c>
      <c r="H3308" t="inlineStr">
        <is>
          <t>C</t>
        </is>
      </c>
    </row>
    <row r="3309">
      <c r="B3309" t="inlineStr">
        <is>
          <t>Boat Storage Buildings</t>
        </is>
      </c>
      <c r="C3309" t="inlineStr">
        <is>
          <t>467</t>
        </is>
      </c>
      <c r="D3309" t="inlineStr">
        <is>
          <t>17</t>
        </is>
      </c>
      <c r="E3309" t="inlineStr">
        <is>
          <t>18</t>
        </is>
      </c>
      <c r="F3309" t="inlineStr">
        <is>
          <t>-</t>
        </is>
      </c>
      <c r="G3309" t="inlineStr">
        <is>
          <t>-</t>
        </is>
      </c>
      <c r="H3309" t="inlineStr">
        <is>
          <t>C</t>
        </is>
      </c>
    </row>
    <row r="3310">
      <c r="B3310" t="inlineStr">
        <is>
          <t>Boat Storage Sheds</t>
        </is>
      </c>
      <c r="C3310" t="inlineStr">
        <is>
          <t>466</t>
        </is>
      </c>
      <c r="D3310" t="inlineStr">
        <is>
          <t>17</t>
        </is>
      </c>
      <c r="E3310" t="inlineStr">
        <is>
          <t>18</t>
        </is>
      </c>
      <c r="F3310" t="inlineStr">
        <is>
          <t>-</t>
        </is>
      </c>
      <c r="G3310" t="inlineStr">
        <is>
          <t>-</t>
        </is>
      </c>
      <c r="H3310" t="inlineStr">
        <is>
          <t>C</t>
        </is>
      </c>
    </row>
    <row r="3311">
      <c r="B3311" t="inlineStr">
        <is>
          <t>Bag Fertilizer Storage</t>
        </is>
      </c>
      <c r="C3311" t="inlineStr">
        <is>
          <t>563</t>
        </is>
      </c>
      <c r="D3311" t="inlineStr">
        <is>
          <t>17</t>
        </is>
      </c>
      <c r="E3311" t="inlineStr">
        <is>
          <t>19</t>
        </is>
      </c>
      <c r="F3311" t="inlineStr">
        <is>
          <t>-</t>
        </is>
      </c>
      <c r="G3311" t="inlineStr">
        <is>
          <t>-</t>
        </is>
      </c>
      <c r="H3311" t="inlineStr">
        <is>
          <t>C</t>
        </is>
      </c>
    </row>
    <row r="3312">
      <c r="B3312" t="inlineStr">
        <is>
          <t>Bulk Fertilizer Storage</t>
        </is>
      </c>
      <c r="C3312" t="inlineStr">
        <is>
          <t>420</t>
        </is>
      </c>
      <c r="D3312" t="inlineStr">
        <is>
          <t>17</t>
        </is>
      </c>
      <c r="E3312" t="inlineStr">
        <is>
          <t>19</t>
        </is>
      </c>
      <c r="F3312" t="inlineStr">
        <is>
          <t>-</t>
        </is>
      </c>
      <c r="G3312" t="inlineStr">
        <is>
          <t>-</t>
        </is>
      </c>
      <c r="H3312" t="inlineStr">
        <is>
          <t>C</t>
        </is>
      </c>
    </row>
    <row r="3313">
      <c r="B3313" t="inlineStr">
        <is>
          <t>Tobacco Barns – Flue Curing</t>
        </is>
      </c>
      <c r="C3313" t="inlineStr">
        <is>
          <t>122</t>
        </is>
      </c>
      <c r="D3313" t="inlineStr">
        <is>
          <t>17</t>
        </is>
      </c>
      <c r="E3313" t="inlineStr">
        <is>
          <t>19</t>
        </is>
      </c>
      <c r="F3313" t="inlineStr">
        <is>
          <t>-</t>
        </is>
      </c>
      <c r="G3313" t="inlineStr">
        <is>
          <t>-</t>
        </is>
      </c>
      <c r="H3313" t="inlineStr">
        <is>
          <t>C</t>
        </is>
      </c>
    </row>
    <row r="3314">
      <c r="B3314" t="inlineStr">
        <is>
          <t>Tobacco Barns – Air Curing</t>
        </is>
      </c>
      <c r="C3314" t="inlineStr">
        <is>
          <t>121</t>
        </is>
      </c>
      <c r="D3314" t="inlineStr">
        <is>
          <t>17</t>
        </is>
      </c>
      <c r="E3314" t="inlineStr">
        <is>
          <t>19</t>
        </is>
      </c>
      <c r="F3314" t="inlineStr">
        <is>
          <t>-</t>
        </is>
      </c>
      <c r="G3314" t="inlineStr">
        <is>
          <t>-</t>
        </is>
      </c>
      <c r="H3314" t="inlineStr">
        <is>
          <t>C</t>
        </is>
      </c>
    </row>
    <row r="3315">
      <c r="B3315" t="inlineStr">
        <is>
          <t>Dehydrator Shed Buildings</t>
        </is>
      </c>
      <c r="C3315" t="inlineStr">
        <is>
          <t>564</t>
        </is>
      </c>
      <c r="D3315" t="inlineStr">
        <is>
          <t>17</t>
        </is>
      </c>
      <c r="E3315" t="inlineStr">
        <is>
          <t>19</t>
        </is>
      </c>
      <c r="F3315" t="inlineStr">
        <is>
          <t>-</t>
        </is>
      </c>
      <c r="G3315" t="inlineStr">
        <is>
          <t>-</t>
        </is>
      </c>
      <c r="H3315" t="inlineStr">
        <is>
          <t>C</t>
        </is>
      </c>
    </row>
    <row r="3316">
      <c r="B3316" t="inlineStr">
        <is>
          <t>Farm Cold Storage Buildings</t>
        </is>
      </c>
      <c r="C3316" t="inlineStr">
        <is>
          <t>448</t>
        </is>
      </c>
      <c r="D3316" t="inlineStr">
        <is>
          <t>17</t>
        </is>
      </c>
      <c r="E3316" t="inlineStr">
        <is>
          <t>20</t>
        </is>
      </c>
      <c r="F3316" t="inlineStr">
        <is>
          <t>-</t>
        </is>
      </c>
      <c r="G3316" t="inlineStr">
        <is>
          <t>-</t>
        </is>
      </c>
      <c r="H3316" t="inlineStr">
        <is>
          <t>C</t>
        </is>
      </c>
    </row>
    <row r="3317">
      <c r="B3317" t="inlineStr">
        <is>
          <t>Fruit Packing Barns</t>
        </is>
      </c>
      <c r="C3317" t="inlineStr">
        <is>
          <t>398</t>
        </is>
      </c>
      <c r="D3317" t="inlineStr">
        <is>
          <t>17</t>
        </is>
      </c>
      <c r="E3317" t="inlineStr">
        <is>
          <t>20</t>
        </is>
      </c>
      <c r="F3317" t="inlineStr">
        <is>
          <t>-</t>
        </is>
      </c>
      <c r="G3317" t="inlineStr">
        <is>
          <t>-</t>
        </is>
      </c>
      <c r="H3317" t="inlineStr">
        <is>
          <t>C</t>
        </is>
      </c>
    </row>
    <row r="3318">
      <c r="B3318" t="inlineStr">
        <is>
          <t>Potato Storage Buildings</t>
        </is>
      </c>
      <c r="C3318" t="inlineStr">
        <is>
          <t>395</t>
        </is>
      </c>
      <c r="D3318" t="inlineStr">
        <is>
          <t>17</t>
        </is>
      </c>
      <c r="E3318" t="inlineStr">
        <is>
          <t>21</t>
        </is>
      </c>
      <c r="F3318" t="inlineStr">
        <is>
          <t>-</t>
        </is>
      </c>
      <c r="G3318" t="inlineStr">
        <is>
          <t>-</t>
        </is>
      </c>
      <c r="H3318" t="inlineStr">
        <is>
          <t>C</t>
        </is>
      </c>
    </row>
    <row r="3319">
      <c r="B3319" t="inlineStr">
        <is>
          <t>Vegetable Buildings – Environmental</t>
        </is>
      </c>
      <c r="C3319" t="inlineStr">
        <is>
          <t>480</t>
        </is>
      </c>
      <c r="D3319" t="inlineStr">
        <is>
          <t>17</t>
        </is>
      </c>
      <c r="E3319" t="inlineStr">
        <is>
          <t>21</t>
        </is>
      </c>
      <c r="F3319" t="inlineStr">
        <is>
          <t>-</t>
        </is>
      </c>
      <c r="G3319" t="inlineStr">
        <is>
          <t>-</t>
        </is>
      </c>
      <c r="H3319" t="inlineStr">
        <is>
          <t>C</t>
        </is>
      </c>
    </row>
    <row r="3320">
      <c r="B3320" t="inlineStr">
        <is>
          <t>Controlled Atmosphere Buildings</t>
        </is>
      </c>
      <c r="C3320" t="inlineStr">
        <is>
          <t>106</t>
        </is>
      </c>
      <c r="D3320" t="inlineStr">
        <is>
          <t>17</t>
        </is>
      </c>
      <c r="E3320" t="inlineStr">
        <is>
          <t>21</t>
        </is>
      </c>
      <c r="F3320" t="inlineStr">
        <is>
          <t>-</t>
        </is>
      </c>
      <c r="G3320" t="inlineStr">
        <is>
          <t>-</t>
        </is>
      </c>
      <c r="H3320" t="inlineStr">
        <is>
          <t>C</t>
        </is>
      </c>
    </row>
    <row r="3321">
      <c r="B3321" t="inlineStr">
        <is>
          <t>Greenhouse – Straight-Wall Structures</t>
        </is>
      </c>
      <c r="C3321" t="inlineStr">
        <is>
          <t>136</t>
        </is>
      </c>
      <c r="D3321" t="inlineStr">
        <is>
          <t>17</t>
        </is>
      </c>
      <c r="E3321" t="inlineStr">
        <is>
          <t>22</t>
        </is>
      </c>
      <c r="F3321" t="inlineStr">
        <is>
          <t>-</t>
        </is>
      </c>
      <c r="G3321" t="inlineStr">
        <is>
          <t>-</t>
        </is>
      </c>
      <c r="H3321" t="inlineStr">
        <is>
          <t>C</t>
        </is>
      </c>
    </row>
    <row r="3322">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c r="B3323" t="inlineStr">
        <is>
          <t>Greenhouse Shade Shelters</t>
        </is>
      </c>
      <c r="C3323" t="inlineStr">
        <is>
          <t>519</t>
        </is>
      </c>
      <c r="D3323" t="inlineStr">
        <is>
          <t>17</t>
        </is>
      </c>
      <c r="E3323" t="inlineStr">
        <is>
          <t>23</t>
        </is>
      </c>
      <c r="F3323" t="inlineStr">
        <is>
          <t>-</t>
        </is>
      </c>
      <c r="G3323" t="inlineStr">
        <is>
          <t>-</t>
        </is>
      </c>
      <c r="H3323" t="inlineStr">
        <is>
          <t>C</t>
        </is>
      </c>
    </row>
    <row r="3324">
      <c r="B3324" t="inlineStr">
        <is>
          <t>Lath Shade Houses</t>
        </is>
      </c>
      <c r="C3324" t="inlineStr">
        <is>
          <t>518</t>
        </is>
      </c>
      <c r="D3324" t="inlineStr">
        <is>
          <t>17</t>
        </is>
      </c>
      <c r="E3324" t="inlineStr">
        <is>
          <t>23</t>
        </is>
      </c>
      <c r="F3324" t="inlineStr">
        <is>
          <t>-</t>
        </is>
      </c>
      <c r="G3324" t="inlineStr">
        <is>
          <t>-</t>
        </is>
      </c>
      <c r="H3324" t="inlineStr">
        <is>
          <t>C</t>
        </is>
      </c>
    </row>
    <row r="3325">
      <c r="B3325" t="inlineStr">
        <is>
          <t>Flathouse Storage Buildings</t>
        </is>
      </c>
      <c r="C3325" t="inlineStr">
        <is>
          <t>493</t>
        </is>
      </c>
      <c r="D3325" t="inlineStr">
        <is>
          <t>17</t>
        </is>
      </c>
      <c r="E3325" t="inlineStr">
        <is>
          <t>24</t>
        </is>
      </c>
      <c r="F3325" t="inlineStr">
        <is>
          <t>-</t>
        </is>
      </c>
      <c r="G3325" t="inlineStr">
        <is>
          <t>-</t>
        </is>
      </c>
      <c r="H3325" t="inlineStr">
        <is>
          <t>C</t>
        </is>
      </c>
    </row>
    <row r="3326">
      <c r="B3326" t="inlineStr">
        <is>
          <t>Feed Handling and Mixing Shed Building</t>
        </is>
      </c>
      <c r="C3326" t="inlineStr">
        <is>
          <t>180</t>
        </is>
      </c>
      <c r="D3326" t="inlineStr">
        <is>
          <t>17</t>
        </is>
      </c>
      <c r="E3326" t="inlineStr">
        <is>
          <t>24</t>
        </is>
      </c>
      <c r="F3326" t="inlineStr">
        <is>
          <t>-</t>
        </is>
      </c>
      <c r="G3326" t="inlineStr">
        <is>
          <t>-</t>
        </is>
      </c>
      <c r="H3326" t="inlineStr">
        <is>
          <t>C</t>
        </is>
      </c>
    </row>
    <row r="3327">
      <c r="B3327" t="inlineStr">
        <is>
          <t>Cotton Gins</t>
        </is>
      </c>
      <c r="C3327" t="inlineStr">
        <is>
          <t>450</t>
        </is>
      </c>
      <c r="D3327" t="inlineStr">
        <is>
          <t>17</t>
        </is>
      </c>
      <c r="E3327" t="inlineStr">
        <is>
          <t>24</t>
        </is>
      </c>
      <c r="F3327" t="inlineStr">
        <is>
          <t>-</t>
        </is>
      </c>
      <c r="G3327" t="inlineStr">
        <is>
          <t>-</t>
        </is>
      </c>
      <c r="H3327" t="inlineStr">
        <is>
          <t>C</t>
        </is>
      </c>
    </row>
    <row r="3328">
      <c r="B3328" t="inlineStr">
        <is>
          <t>Seed Processing Storage</t>
        </is>
      </c>
      <c r="C3328" t="inlineStr">
        <is>
          <t>123</t>
        </is>
      </c>
      <c r="D3328" t="inlineStr">
        <is>
          <t>17</t>
        </is>
      </c>
      <c r="E3328" t="inlineStr">
        <is>
          <t>24</t>
        </is>
      </c>
      <c r="F3328" t="inlineStr">
        <is>
          <t>-</t>
        </is>
      </c>
      <c r="G3328" t="inlineStr">
        <is>
          <t>-</t>
        </is>
      </c>
      <c r="H3328" t="inlineStr">
        <is>
          <t>C</t>
        </is>
      </c>
    </row>
    <row r="3329">
      <c r="B3329" t="inlineStr">
        <is>
          <t>Secure Storage Modular Shed Buildings</t>
        </is>
      </c>
      <c r="C3329" t="inlineStr">
        <is>
          <t>181</t>
        </is>
      </c>
      <c r="D3329" t="inlineStr">
        <is>
          <t>17</t>
        </is>
      </c>
      <c r="E3329" t="inlineStr">
        <is>
          <t>25</t>
        </is>
      </c>
      <c r="F3329" t="inlineStr">
        <is>
          <t>-</t>
        </is>
      </c>
      <c r="G3329" t="inlineStr">
        <is>
          <t>-</t>
        </is>
      </c>
      <c r="H3329" t="inlineStr">
        <is>
          <t>C</t>
        </is>
      </c>
    </row>
    <row r="3330">
      <c r="B3330" t="inlineStr">
        <is>
          <t>Prefabricated Storage Shed Buildings</t>
        </is>
      </c>
      <c r="C3330" t="inlineStr">
        <is>
          <t>133</t>
        </is>
      </c>
      <c r="D3330" t="inlineStr">
        <is>
          <t>17</t>
        </is>
      </c>
      <c r="E3330" t="inlineStr">
        <is>
          <t>25</t>
        </is>
      </c>
      <c r="F3330" t="inlineStr">
        <is>
          <t>-</t>
        </is>
      </c>
      <c r="G3330" t="inlineStr">
        <is>
          <t>-</t>
        </is>
      </c>
      <c r="H3330" t="inlineStr">
        <is>
          <t>C</t>
        </is>
      </c>
    </row>
    <row r="3331">
      <c r="B3331" t="inlineStr">
        <is>
          <t>Corn Crib Bins</t>
        </is>
      </c>
      <c r="C3331" t="inlineStr">
        <is>
          <t>131</t>
        </is>
      </c>
      <c r="D3331" t="inlineStr">
        <is>
          <t>17</t>
        </is>
      </c>
      <c r="E3331" t="inlineStr">
        <is>
          <t>25</t>
        </is>
      </c>
      <c r="F3331" t="inlineStr">
        <is>
          <t>-</t>
        </is>
      </c>
      <c r="G3331" t="inlineStr">
        <is>
          <t>-</t>
        </is>
      </c>
      <c r="H3331" t="inlineStr">
        <is>
          <t>C</t>
        </is>
      </c>
    </row>
    <row r="3332">
      <c r="B3332" t="inlineStr">
        <is>
          <t>Farm Utility Buildings</t>
        </is>
      </c>
      <c r="C3332" t="inlineStr">
        <is>
          <t>477</t>
        </is>
      </c>
      <c r="D3332" t="inlineStr">
        <is>
          <t>17</t>
        </is>
      </c>
      <c r="E3332" t="inlineStr">
        <is>
          <t>26</t>
        </is>
      </c>
      <c r="F3332" t="inlineStr">
        <is>
          <t>-</t>
        </is>
      </c>
      <c r="G3332" t="inlineStr">
        <is>
          <t>-</t>
        </is>
      </c>
      <c r="H3332" t="inlineStr">
        <is>
          <t>R</t>
        </is>
      </c>
    </row>
    <row r="3333">
      <c r="B3333" t="inlineStr">
        <is>
          <t>Arch-Rib (Quonset) Farm Utility Buildings</t>
        </is>
      </c>
      <c r="C3333" t="inlineStr">
        <is>
          <t>557</t>
        </is>
      </c>
      <c r="D3333" t="inlineStr">
        <is>
          <t>17</t>
        </is>
      </c>
      <c r="E3333" t="inlineStr">
        <is>
          <t>26</t>
        </is>
      </c>
      <c r="F3333" t="inlineStr">
        <is>
          <t>-</t>
        </is>
      </c>
      <c r="G3333" t="inlineStr">
        <is>
          <t>-</t>
        </is>
      </c>
      <c r="H3333" t="inlineStr">
        <is>
          <t>R</t>
        </is>
      </c>
    </row>
    <row r="3334">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c r="B3335" t="inlineStr">
        <is>
          <t>Farm Utility Storage Sheds</t>
        </is>
      </c>
      <c r="C3335" t="inlineStr">
        <is>
          <t>479</t>
        </is>
      </c>
      <c r="D3335" t="inlineStr">
        <is>
          <t>17</t>
        </is>
      </c>
      <c r="E3335" t="inlineStr">
        <is>
          <t>27</t>
        </is>
      </c>
      <c r="F3335" t="inlineStr">
        <is>
          <t>-</t>
        </is>
      </c>
      <c r="G3335" t="inlineStr">
        <is>
          <t>-</t>
        </is>
      </c>
      <c r="H3335" t="inlineStr">
        <is>
          <t>R</t>
        </is>
      </c>
    </row>
    <row r="3336">
      <c r="B3336" t="inlineStr">
        <is>
          <t>Farm Utility Lean-Tos</t>
        </is>
      </c>
      <c r="C3336" t="inlineStr">
        <is>
          <t>124</t>
        </is>
      </c>
      <c r="D3336" t="inlineStr">
        <is>
          <t>17</t>
        </is>
      </c>
      <c r="E3336" t="inlineStr">
        <is>
          <t>27</t>
        </is>
      </c>
      <c r="F3336" t="inlineStr">
        <is>
          <t>-</t>
        </is>
      </c>
      <c r="G3336" t="inlineStr">
        <is>
          <t>-</t>
        </is>
      </c>
      <c r="H3336" t="inlineStr">
        <is>
          <t>R</t>
        </is>
      </c>
    </row>
    <row r="3337">
      <c r="B3337" t="inlineStr">
        <is>
          <t>Farm Commodity Storage Sheds</t>
        </is>
      </c>
      <c r="C3337" t="inlineStr">
        <is>
          <t>562</t>
        </is>
      </c>
      <c r="D3337" t="inlineStr">
        <is>
          <t>17</t>
        </is>
      </c>
      <c r="E3337" t="inlineStr">
        <is>
          <t>28</t>
        </is>
      </c>
      <c r="F3337" t="inlineStr">
        <is>
          <t>-</t>
        </is>
      </c>
      <c r="G3337" t="inlineStr">
        <is>
          <t>-</t>
        </is>
      </c>
      <c r="H3337" t="inlineStr">
        <is>
          <t>R</t>
        </is>
      </c>
    </row>
    <row r="3338">
      <c r="B3338" t="inlineStr">
        <is>
          <t>Corn Crib Buildings – Spaced Boards</t>
        </is>
      </c>
      <c r="C3338" t="inlineStr">
        <is>
          <t>107</t>
        </is>
      </c>
      <c r="D3338" t="inlineStr">
        <is>
          <t>17</t>
        </is>
      </c>
      <c r="E3338" t="inlineStr">
        <is>
          <t>28</t>
        </is>
      </c>
      <c r="F3338" t="inlineStr">
        <is>
          <t>-</t>
        </is>
      </c>
      <c r="G3338" t="inlineStr">
        <is>
          <t>-</t>
        </is>
      </c>
      <c r="H3338" t="inlineStr">
        <is>
          <t>R</t>
        </is>
      </c>
    </row>
    <row r="3339">
      <c r="B3339" t="inlineStr">
        <is>
          <t>Corn Crib Buildings – Wire Mesh</t>
        </is>
      </c>
      <c r="C3339" t="inlineStr">
        <is>
          <t>108</t>
        </is>
      </c>
      <c r="D3339" t="inlineStr">
        <is>
          <t>17</t>
        </is>
      </c>
      <c r="E3339" t="inlineStr">
        <is>
          <t>28</t>
        </is>
      </c>
      <c r="F3339" t="inlineStr">
        <is>
          <t>-</t>
        </is>
      </c>
      <c r="G3339" t="inlineStr">
        <is>
          <t>-</t>
        </is>
      </c>
      <c r="H3339" t="inlineStr">
        <is>
          <t>R</t>
        </is>
      </c>
    </row>
    <row r="3340">
      <c r="B3340" t="inlineStr">
        <is>
          <t>Farm Implement (Equipment Shop) Buildings</t>
        </is>
      </c>
      <c r="C3340" t="inlineStr">
        <is>
          <t>476</t>
        </is>
      </c>
      <c r="D3340" t="inlineStr">
        <is>
          <t>17</t>
        </is>
      </c>
      <c r="E3340" t="inlineStr">
        <is>
          <t>28</t>
        </is>
      </c>
      <c r="F3340" t="inlineStr">
        <is>
          <t>-</t>
        </is>
      </c>
      <c r="G3340" t="inlineStr">
        <is>
          <t>-</t>
        </is>
      </c>
      <c r="H3340" t="inlineStr">
        <is>
          <t>R</t>
        </is>
      </c>
    </row>
    <row r="3341">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c r="B3342" t="inlineStr">
        <is>
          <t>Farm Implement – Equipment Sheds</t>
        </is>
      </c>
      <c r="C3342" t="inlineStr">
        <is>
          <t>478</t>
        </is>
      </c>
      <c r="D3342" t="inlineStr">
        <is>
          <t>17</t>
        </is>
      </c>
      <c r="E3342" t="inlineStr">
        <is>
          <t>29</t>
        </is>
      </c>
      <c r="F3342" t="inlineStr">
        <is>
          <t>-</t>
        </is>
      </c>
      <c r="G3342" t="inlineStr">
        <is>
          <t>-</t>
        </is>
      </c>
      <c r="H3342" t="inlineStr">
        <is>
          <t>R</t>
        </is>
      </c>
    </row>
    <row r="3343">
      <c r="B3343" t="inlineStr">
        <is>
          <t>Barns – General Purpose</t>
        </is>
      </c>
      <c r="C3343" t="inlineStr">
        <is>
          <t>102</t>
        </is>
      </c>
      <c r="D3343" t="inlineStr">
        <is>
          <t>17</t>
        </is>
      </c>
      <c r="E3343" t="inlineStr">
        <is>
          <t>30</t>
        </is>
      </c>
      <c r="F3343" t="inlineStr">
        <is>
          <t>-</t>
        </is>
      </c>
      <c r="G3343" t="inlineStr">
        <is>
          <t>-</t>
        </is>
      </c>
      <c r="H3343" t="inlineStr">
        <is>
          <t>R</t>
        </is>
      </c>
    </row>
    <row r="3344">
      <c r="B3344" t="inlineStr">
        <is>
          <t>Bank Barns (Two-Story) – General Purpose</t>
        </is>
      </c>
      <c r="C3344" t="inlineStr">
        <is>
          <t>100</t>
        </is>
      </c>
      <c r="D3344" t="inlineStr">
        <is>
          <t>17</t>
        </is>
      </c>
      <c r="E3344" t="inlineStr">
        <is>
          <t>30</t>
        </is>
      </c>
      <c r="F3344" t="inlineStr">
        <is>
          <t>-</t>
        </is>
      </c>
      <c r="G3344" t="inlineStr">
        <is>
          <t>-</t>
        </is>
      </c>
      <c r="H3344" t="inlineStr">
        <is>
          <t>R</t>
        </is>
      </c>
    </row>
    <row r="3345">
      <c r="B3345" t="inlineStr">
        <is>
          <t>Barns – Special Purpose</t>
        </is>
      </c>
      <c r="C3345" t="inlineStr">
        <is>
          <t>103</t>
        </is>
      </c>
      <c r="D3345" t="inlineStr">
        <is>
          <t>17</t>
        </is>
      </c>
      <c r="E3345" t="inlineStr">
        <is>
          <t>31</t>
        </is>
      </c>
      <c r="F3345" t="inlineStr">
        <is>
          <t>-</t>
        </is>
      </c>
      <c r="G3345" t="inlineStr">
        <is>
          <t>-</t>
        </is>
      </c>
      <c r="H3345" t="inlineStr">
        <is>
          <t>R</t>
        </is>
      </c>
    </row>
    <row r="3346">
      <c r="B3346" t="inlineStr">
        <is>
          <t>Bank Barns (Two-Story) – Special Purpose</t>
        </is>
      </c>
      <c r="C3346" t="inlineStr">
        <is>
          <t>101</t>
        </is>
      </c>
      <c r="D3346" t="inlineStr">
        <is>
          <t>17</t>
        </is>
      </c>
      <c r="E3346" t="inlineStr">
        <is>
          <t>31</t>
        </is>
      </c>
      <c r="F3346" t="inlineStr">
        <is>
          <t>-</t>
        </is>
      </c>
      <c r="G3346" t="inlineStr">
        <is>
          <t>-</t>
        </is>
      </c>
      <c r="H3346" t="inlineStr">
        <is>
          <t>R</t>
        </is>
      </c>
    </row>
    <row r="3347">
      <c r="B3347" t="inlineStr">
        <is>
          <t>Free-Stall Barns</t>
        </is>
      </c>
      <c r="C3347" t="inlineStr">
        <is>
          <t>469</t>
        </is>
      </c>
      <c r="D3347" t="inlineStr">
        <is>
          <t>17</t>
        </is>
      </c>
      <c r="E3347" t="inlineStr">
        <is>
          <t>32</t>
        </is>
      </c>
      <c r="F3347" t="inlineStr">
        <is>
          <t>-</t>
        </is>
      </c>
      <c r="G3347" t="inlineStr">
        <is>
          <t>-</t>
        </is>
      </c>
      <c r="H3347" t="inlineStr">
        <is>
          <t>R</t>
        </is>
      </c>
    </row>
    <row r="3348">
      <c r="B3348" t="inlineStr">
        <is>
          <t>Confinement Barns</t>
        </is>
      </c>
      <c r="C3348" t="inlineStr">
        <is>
          <t>105</t>
        </is>
      </c>
      <c r="D3348" t="inlineStr">
        <is>
          <t>17</t>
        </is>
      </c>
      <c r="E3348" t="inlineStr">
        <is>
          <t>32</t>
        </is>
      </c>
      <c r="F3348" t="inlineStr">
        <is>
          <t>-</t>
        </is>
      </c>
      <c r="G3348" t="inlineStr">
        <is>
          <t>-</t>
        </is>
      </c>
      <c r="H3348" t="inlineStr">
        <is>
          <t>R</t>
        </is>
      </c>
    </row>
    <row r="3349">
      <c r="B3349" t="inlineStr">
        <is>
          <t>Feeder Barns – Sheds</t>
        </is>
      </c>
      <c r="C3349" t="inlineStr">
        <is>
          <t>561</t>
        </is>
      </c>
      <c r="D3349" t="inlineStr">
        <is>
          <t>17</t>
        </is>
      </c>
      <c r="E3349" t="inlineStr">
        <is>
          <t>33</t>
        </is>
      </c>
      <c r="F3349" t="inlineStr">
        <is>
          <t>-</t>
        </is>
      </c>
      <c r="G3349" t="inlineStr">
        <is>
          <t>-</t>
        </is>
      </c>
      <c r="H3349" t="inlineStr">
        <is>
          <t>R</t>
        </is>
      </c>
    </row>
    <row r="3350">
      <c r="B3350" t="inlineStr">
        <is>
          <t>Loafing Sheds</t>
        </is>
      </c>
      <c r="C3350" t="inlineStr">
        <is>
          <t>113</t>
        </is>
      </c>
      <c r="D3350" t="inlineStr">
        <is>
          <t>17</t>
        </is>
      </c>
      <c r="E3350" t="inlineStr">
        <is>
          <t>33</t>
        </is>
      </c>
      <c r="F3350" t="inlineStr">
        <is>
          <t>-</t>
        </is>
      </c>
      <c r="G3350" t="inlineStr">
        <is>
          <t>-</t>
        </is>
      </c>
      <c r="H3350" t="inlineStr">
        <is>
          <t>R</t>
        </is>
      </c>
    </row>
    <row r="3351">
      <c r="B3351" t="inlineStr">
        <is>
          <t>Farm Utility Shelters (Open Hay Sheds)</t>
        </is>
      </c>
      <c r="C3351" t="inlineStr">
        <is>
          <t>565</t>
        </is>
      </c>
      <c r="D3351" t="inlineStr">
        <is>
          <t>17</t>
        </is>
      </c>
      <c r="E3351" t="inlineStr">
        <is>
          <t>33</t>
        </is>
      </c>
      <c r="F3351" t="inlineStr">
        <is>
          <t>-</t>
        </is>
      </c>
      <c r="G3351" t="inlineStr">
        <is>
          <t>-</t>
        </is>
      </c>
      <c r="H3351" t="inlineStr">
        <is>
          <t>R</t>
        </is>
      </c>
    </row>
    <row r="3352">
      <c r="B3352" t="inlineStr">
        <is>
          <t>Calving Barns – Sheds</t>
        </is>
      </c>
      <c r="C3352" t="inlineStr">
        <is>
          <t>182</t>
        </is>
      </c>
      <c r="D3352" t="inlineStr">
        <is>
          <t>17</t>
        </is>
      </c>
      <c r="E3352" t="inlineStr">
        <is>
          <t>34</t>
        </is>
      </c>
      <c r="F3352" t="inlineStr">
        <is>
          <t>-</t>
        </is>
      </c>
      <c r="G3352" t="inlineStr">
        <is>
          <t>-</t>
        </is>
      </c>
      <c r="H3352" t="inlineStr">
        <is>
          <t>R</t>
        </is>
      </c>
    </row>
    <row r="3353">
      <c r="B3353" t="inlineStr">
        <is>
          <t>Arena Shelters</t>
        </is>
      </c>
      <c r="C3353" t="inlineStr">
        <is>
          <t>184</t>
        </is>
      </c>
      <c r="D3353" t="inlineStr">
        <is>
          <t>17</t>
        </is>
      </c>
      <c r="E3353" t="inlineStr">
        <is>
          <t>34</t>
        </is>
      </c>
      <c r="F3353" t="inlineStr">
        <is>
          <t>-</t>
        </is>
      </c>
      <c r="G3353" t="inlineStr">
        <is>
          <t>-</t>
        </is>
      </c>
      <c r="H3353" t="inlineStr">
        <is>
          <t>R</t>
        </is>
      </c>
    </row>
    <row r="3354">
      <c r="B3354" t="inlineStr">
        <is>
          <t>Farm Sun Shelters</t>
        </is>
      </c>
      <c r="C3354" t="inlineStr">
        <is>
          <t>566</t>
        </is>
      </c>
      <c r="D3354" t="inlineStr">
        <is>
          <t>17</t>
        </is>
      </c>
      <c r="E3354" t="inlineStr">
        <is>
          <t>34</t>
        </is>
      </c>
      <c r="F3354" t="inlineStr">
        <is>
          <t>-</t>
        </is>
      </c>
      <c r="G3354" t="inlineStr">
        <is>
          <t>-</t>
        </is>
      </c>
      <c r="H3354" t="inlineStr">
        <is>
          <t>R</t>
        </is>
      </c>
    </row>
    <row r="3355">
      <c r="B3355" t="inlineStr">
        <is>
          <t>Arenas</t>
        </is>
      </c>
      <c r="C3355" t="inlineStr">
        <is>
          <t>428</t>
        </is>
      </c>
      <c r="D3355" t="inlineStr">
        <is>
          <t>17</t>
        </is>
      </c>
      <c r="E3355" t="inlineStr">
        <is>
          <t>35</t>
        </is>
      </c>
      <c r="F3355" t="inlineStr">
        <is>
          <t>-</t>
        </is>
      </c>
      <c r="G3355" t="inlineStr">
        <is>
          <t>-</t>
        </is>
      </c>
      <c r="H3355" t="inlineStr">
        <is>
          <t>R</t>
        </is>
      </c>
    </row>
    <row r="3356">
      <c r="B3356" t="inlineStr">
        <is>
          <t>Equestrian Lean-Tos</t>
        </is>
      </c>
      <c r="C3356" t="inlineStr">
        <is>
          <t>560</t>
        </is>
      </c>
      <c r="D3356" t="inlineStr">
        <is>
          <t>17</t>
        </is>
      </c>
      <c r="E3356" t="inlineStr">
        <is>
          <t>35</t>
        </is>
      </c>
      <c r="F3356" t="inlineStr">
        <is>
          <t>-</t>
        </is>
      </c>
      <c r="G3356" t="inlineStr">
        <is>
          <t>-</t>
        </is>
      </c>
      <c r="H3356" t="inlineStr">
        <is>
          <t>R</t>
        </is>
      </c>
    </row>
    <row r="3357">
      <c r="B3357" t="inlineStr">
        <is>
          <t>Stables</t>
        </is>
      </c>
      <c r="C3357" t="inlineStr">
        <is>
          <t>378</t>
        </is>
      </c>
      <c r="D3357" t="inlineStr">
        <is>
          <t>17</t>
        </is>
      </c>
      <c r="E3357" t="inlineStr">
        <is>
          <t>36</t>
        </is>
      </c>
      <c r="F3357" t="inlineStr">
        <is>
          <t>-</t>
        </is>
      </c>
      <c r="G3357" t="inlineStr">
        <is>
          <t>-</t>
        </is>
      </c>
      <c r="H3357" t="inlineStr">
        <is>
          <t>R</t>
        </is>
      </c>
    </row>
    <row r="3358">
      <c r="B3358" t="inlineStr">
        <is>
          <t>High-Value (Estate) Stables – Horse Barns</t>
        </is>
      </c>
      <c r="C3358" t="inlineStr">
        <is>
          <t>559</t>
        </is>
      </c>
      <c r="D3358" t="inlineStr">
        <is>
          <t>17</t>
        </is>
      </c>
      <c r="E3358" t="inlineStr">
        <is>
          <t>36</t>
        </is>
      </c>
      <c r="F3358" t="inlineStr">
        <is>
          <t>-</t>
        </is>
      </c>
      <c r="G3358" t="inlineStr">
        <is>
          <t>-</t>
        </is>
      </c>
      <c r="H3358" t="inlineStr">
        <is>
          <t>R</t>
        </is>
      </c>
    </row>
    <row r="3359">
      <c r="B3359" t="inlineStr">
        <is>
          <t>Dairies (Milking Parlors)</t>
        </is>
      </c>
      <c r="C3359" t="inlineStr">
        <is>
          <t>316</t>
        </is>
      </c>
      <c r="D3359" t="inlineStr">
        <is>
          <t>17</t>
        </is>
      </c>
      <c r="E3359" t="inlineStr">
        <is>
          <t>38</t>
        </is>
      </c>
      <c r="F3359" t="inlineStr">
        <is>
          <t>-</t>
        </is>
      </c>
      <c r="G3359" t="inlineStr">
        <is>
          <t>-</t>
        </is>
      </c>
      <c r="H3359" t="inlineStr">
        <is>
          <t>R</t>
        </is>
      </c>
    </row>
    <row r="3360">
      <c r="B3360" t="inlineStr">
        <is>
          <t>Milkhouses</t>
        </is>
      </c>
      <c r="C3360" t="inlineStr">
        <is>
          <t>440</t>
        </is>
      </c>
      <c r="D3360" t="inlineStr">
        <is>
          <t>17</t>
        </is>
      </c>
      <c r="E3360" t="inlineStr">
        <is>
          <t>38</t>
        </is>
      </c>
      <c r="F3360" t="inlineStr">
        <is>
          <t>-</t>
        </is>
      </c>
      <c r="G3360" t="inlineStr">
        <is>
          <t>-</t>
        </is>
      </c>
      <c r="H3360" t="inlineStr">
        <is>
          <t>R</t>
        </is>
      </c>
    </row>
    <row r="3361">
      <c r="B3361" t="inlineStr">
        <is>
          <t>Milkhouse Sheds</t>
        </is>
      </c>
      <c r="C3361" t="inlineStr">
        <is>
          <t>114</t>
        </is>
      </c>
      <c r="D3361" t="inlineStr">
        <is>
          <t>17</t>
        </is>
      </c>
      <c r="E3361" t="inlineStr">
        <is>
          <t>38</t>
        </is>
      </c>
      <c r="F3361" t="inlineStr">
        <is>
          <t>-</t>
        </is>
      </c>
      <c r="G3361" t="inlineStr">
        <is>
          <t>-</t>
        </is>
      </c>
      <c r="H3361" t="inlineStr">
        <is>
          <t>R</t>
        </is>
      </c>
    </row>
    <row r="3362">
      <c r="B3362" t="inlineStr">
        <is>
          <t>Hog Barns – Nursery</t>
        </is>
      </c>
      <c r="C3362" t="inlineStr">
        <is>
          <t>112</t>
        </is>
      </c>
      <c r="D3362" t="inlineStr">
        <is>
          <t>17</t>
        </is>
      </c>
      <c r="E3362" t="inlineStr">
        <is>
          <t>40</t>
        </is>
      </c>
      <c r="F3362" t="inlineStr">
        <is>
          <t>-</t>
        </is>
      </c>
      <c r="G3362" t="inlineStr">
        <is>
          <t>-</t>
        </is>
      </c>
      <c r="H3362" t="inlineStr">
        <is>
          <t>R</t>
        </is>
      </c>
    </row>
    <row r="3363">
      <c r="B3363" t="inlineStr">
        <is>
          <t>Hog Barns – Breeding/Gestation</t>
        </is>
      </c>
      <c r="C3363" t="inlineStr">
        <is>
          <t>109</t>
        </is>
      </c>
      <c r="D3363" t="inlineStr">
        <is>
          <t>17</t>
        </is>
      </c>
      <c r="E3363" t="inlineStr">
        <is>
          <t>40</t>
        </is>
      </c>
      <c r="F3363" t="inlineStr">
        <is>
          <t>-</t>
        </is>
      </c>
      <c r="G3363" t="inlineStr">
        <is>
          <t>-</t>
        </is>
      </c>
      <c r="H3363" t="inlineStr">
        <is>
          <t>R</t>
        </is>
      </c>
    </row>
    <row r="3364">
      <c r="B3364" t="inlineStr">
        <is>
          <t>Hog Barns – Farrowing</t>
        </is>
      </c>
      <c r="C3364" t="inlineStr">
        <is>
          <t>110</t>
        </is>
      </c>
      <c r="D3364" t="inlineStr">
        <is>
          <t>17</t>
        </is>
      </c>
      <c r="E3364" t="inlineStr">
        <is>
          <t>41</t>
        </is>
      </c>
      <c r="F3364" t="inlineStr">
        <is>
          <t>-</t>
        </is>
      </c>
      <c r="G3364" t="inlineStr">
        <is>
          <t>-</t>
        </is>
      </c>
      <c r="H3364" t="inlineStr">
        <is>
          <t>R</t>
        </is>
      </c>
    </row>
    <row r="3365">
      <c r="B3365" t="inlineStr">
        <is>
          <t>Hog Barns – Finishing</t>
        </is>
      </c>
      <c r="C3365" t="inlineStr">
        <is>
          <t>111</t>
        </is>
      </c>
      <c r="D3365" t="inlineStr">
        <is>
          <t>17</t>
        </is>
      </c>
      <c r="E3365" t="inlineStr">
        <is>
          <t>41</t>
        </is>
      </c>
      <c r="F3365" t="inlineStr">
        <is>
          <t>-</t>
        </is>
      </c>
      <c r="G3365" t="inlineStr">
        <is>
          <t>-</t>
        </is>
      </c>
      <c r="H3365" t="inlineStr">
        <is>
          <t>R</t>
        </is>
      </c>
    </row>
    <row r="3366">
      <c r="B3366" t="inlineStr">
        <is>
          <t>Modified Hog Sheds</t>
        </is>
      </c>
      <c r="C3366" t="inlineStr">
        <is>
          <t>429</t>
        </is>
      </c>
      <c r="D3366" t="inlineStr">
        <is>
          <t>17</t>
        </is>
      </c>
      <c r="E3366" t="inlineStr">
        <is>
          <t>42</t>
        </is>
      </c>
      <c r="F3366" t="inlineStr">
        <is>
          <t>-</t>
        </is>
      </c>
      <c r="G3366" t="inlineStr">
        <is>
          <t>-</t>
        </is>
      </c>
      <c r="H3366" t="inlineStr">
        <is>
          <t>R</t>
        </is>
      </c>
    </row>
    <row r="3367">
      <c r="B3367" t="inlineStr">
        <is>
          <t>Hog Sheds</t>
        </is>
      </c>
      <c r="C3367" t="inlineStr">
        <is>
          <t>430</t>
        </is>
      </c>
      <c r="D3367" t="inlineStr">
        <is>
          <t>17</t>
        </is>
      </c>
      <c r="E3367" t="inlineStr">
        <is>
          <t>42</t>
        </is>
      </c>
      <c r="F3367" t="inlineStr">
        <is>
          <t>-</t>
        </is>
      </c>
      <c r="G3367" t="inlineStr">
        <is>
          <t>-</t>
        </is>
      </c>
      <c r="H3367" t="inlineStr">
        <is>
          <t>R</t>
        </is>
      </c>
    </row>
    <row r="3368">
      <c r="B3368" t="inlineStr">
        <is>
          <t>Sheep Barns</t>
        </is>
      </c>
      <c r="C3368" t="inlineStr">
        <is>
          <t>397</t>
        </is>
      </c>
      <c r="D3368" t="inlineStr">
        <is>
          <t>17</t>
        </is>
      </c>
      <c r="E3368" t="inlineStr">
        <is>
          <t>44</t>
        </is>
      </c>
      <c r="F3368" t="inlineStr">
        <is>
          <t>-</t>
        </is>
      </c>
      <c r="G3368" t="inlineStr">
        <is>
          <t>-</t>
        </is>
      </c>
      <c r="H3368" t="inlineStr">
        <is>
          <t>R</t>
        </is>
      </c>
    </row>
    <row r="3369">
      <c r="B3369" t="inlineStr">
        <is>
          <t>Sheep Sheds</t>
        </is>
      </c>
      <c r="C3369" t="inlineStr">
        <is>
          <t>120</t>
        </is>
      </c>
      <c r="D3369" t="inlineStr">
        <is>
          <t>17</t>
        </is>
      </c>
      <c r="E3369" t="inlineStr">
        <is>
          <t>44</t>
        </is>
      </c>
      <c r="F3369" t="inlineStr">
        <is>
          <t>-</t>
        </is>
      </c>
      <c r="G3369" t="inlineStr">
        <is>
          <t>-</t>
        </is>
      </c>
      <c r="H3369" t="inlineStr">
        <is>
          <t>R</t>
        </is>
      </c>
    </row>
    <row r="3370">
      <c r="B3370" t="inlineStr">
        <is>
          <t>Poultry Floor Operation – Breeder Houses</t>
        </is>
      </c>
      <c r="C3370" t="inlineStr">
        <is>
          <t>117</t>
        </is>
      </c>
      <c r="D3370" t="inlineStr">
        <is>
          <t>17</t>
        </is>
      </c>
      <c r="E3370" t="inlineStr">
        <is>
          <t>46</t>
        </is>
      </c>
      <c r="F3370" t="inlineStr">
        <is>
          <t>-</t>
        </is>
      </c>
      <c r="G3370" t="inlineStr">
        <is>
          <t>-</t>
        </is>
      </c>
      <c r="H3370" t="inlineStr">
        <is>
          <t>R</t>
        </is>
      </c>
    </row>
    <row r="3371">
      <c r="B3371" t="inlineStr">
        <is>
          <t>Poultry Floor Operation – Broiler Houses</t>
        </is>
      </c>
      <c r="C3371" t="inlineStr">
        <is>
          <t>118</t>
        </is>
      </c>
      <c r="D3371" t="inlineStr">
        <is>
          <t>17</t>
        </is>
      </c>
      <c r="E3371" t="inlineStr">
        <is>
          <t>46</t>
        </is>
      </c>
      <c r="F3371" t="inlineStr">
        <is>
          <t>-</t>
        </is>
      </c>
      <c r="G3371" t="inlineStr">
        <is>
          <t>-</t>
        </is>
      </c>
      <c r="H3371" t="inlineStr">
        <is>
          <t>R</t>
        </is>
      </c>
    </row>
    <row r="3372">
      <c r="B3372" t="inlineStr">
        <is>
          <t>Poultry Cage Operation – Enclosed Houses</t>
        </is>
      </c>
      <c r="C3372" t="inlineStr">
        <is>
          <t>474</t>
        </is>
      </c>
      <c r="D3372" t="inlineStr">
        <is>
          <t>17</t>
        </is>
      </c>
      <c r="E3372" t="inlineStr">
        <is>
          <t>47</t>
        </is>
      </c>
      <c r="F3372" t="inlineStr">
        <is>
          <t>-</t>
        </is>
      </c>
      <c r="G3372" t="inlineStr">
        <is>
          <t>-</t>
        </is>
      </c>
      <c r="H3372" t="inlineStr">
        <is>
          <t>R</t>
        </is>
      </c>
    </row>
    <row r="3373">
      <c r="B3373" t="inlineStr">
        <is>
          <t>Poultry Cage Operation – Screened Houses</t>
        </is>
      </c>
      <c r="C3373" t="inlineStr">
        <is>
          <t>115</t>
        </is>
      </c>
      <c r="D3373" t="inlineStr">
        <is>
          <t>17</t>
        </is>
      </c>
      <c r="E3373" t="inlineStr">
        <is>
          <t>47</t>
        </is>
      </c>
      <c r="F3373" t="inlineStr">
        <is>
          <t>-</t>
        </is>
      </c>
      <c r="G3373" t="inlineStr">
        <is>
          <t>-</t>
        </is>
      </c>
      <c r="H3373" t="inlineStr">
        <is>
          <t>R</t>
        </is>
      </c>
    </row>
    <row r="3374">
      <c r="B3374" t="inlineStr">
        <is>
          <t>Farm Labor Housing – Dormitories</t>
        </is>
      </c>
      <c r="C3374" t="inlineStr">
        <is>
          <t>393</t>
        </is>
      </c>
      <c r="D3374" t="inlineStr">
        <is>
          <t>17</t>
        </is>
      </c>
      <c r="E3374" t="inlineStr">
        <is>
          <t>49</t>
        </is>
      </c>
      <c r="F3374" t="inlineStr">
        <is>
          <t>-</t>
        </is>
      </c>
      <c r="G3374" t="inlineStr">
        <is>
          <t>-</t>
        </is>
      </c>
      <c r="H3374" t="inlineStr">
        <is>
          <t>R</t>
        </is>
      </c>
    </row>
    <row r="3375">
      <c r="B3375" t="inlineStr">
        <is>
          <t>Transient Labor Cabins</t>
        </is>
      </c>
      <c r="C3375" t="inlineStr">
        <is>
          <t>394</t>
        </is>
      </c>
      <c r="D3375" t="inlineStr">
        <is>
          <t>17</t>
        </is>
      </c>
      <c r="E3375" t="inlineStr">
        <is>
          <t>49</t>
        </is>
      </c>
      <c r="F3375" t="inlineStr">
        <is>
          <t>-</t>
        </is>
      </c>
      <c r="G3375" t="inlineStr">
        <is>
          <t>-</t>
        </is>
      </c>
      <c r="H3375" t="inlineStr">
        <is>
          <t>R</t>
        </is>
      </c>
    </row>
    <row r="3376">
      <c r="B3376" t="inlineStr">
        <is>
          <t>Hunting Shelters</t>
        </is>
      </c>
      <c r="C3376" t="inlineStr">
        <is>
          <t>155</t>
        </is>
      </c>
      <c r="D3376" t="inlineStr">
        <is>
          <t>17</t>
        </is>
      </c>
      <c r="E3376" t="inlineStr">
        <is>
          <t>49</t>
        </is>
      </c>
      <c r="F3376" t="inlineStr">
        <is>
          <t>-</t>
        </is>
      </c>
      <c r="G3376" t="inlineStr">
        <is>
          <t>-</t>
        </is>
      </c>
      <c r="H3376" t="inlineStr">
        <is>
          <t>R</t>
        </is>
      </c>
    </row>
    <row r="3377">
      <c r="B3377" t="inlineStr">
        <is>
          <t>High Schools</t>
        </is>
      </c>
      <c r="C3377" t="inlineStr">
        <is>
          <t>484</t>
        </is>
      </c>
      <c r="D3377" t="inlineStr">
        <is>
          <t>18</t>
        </is>
      </c>
      <c r="E3377" t="inlineStr">
        <is>
          <t>9</t>
        </is>
      </c>
      <c r="F3377" t="inlineStr">
        <is>
          <t>18</t>
        </is>
      </c>
      <c r="G3377" t="inlineStr">
        <is>
          <t>18</t>
        </is>
      </c>
      <c r="H3377" t="inlineStr">
        <is>
          <t>R</t>
        </is>
      </c>
    </row>
    <row r="3378">
      <c r="B3378" t="inlineStr">
        <is>
          <t>Middle (Junior High) Schools</t>
        </is>
      </c>
      <c r="C3378" t="inlineStr">
        <is>
          <t>366</t>
        </is>
      </c>
      <c r="D3378" t="inlineStr">
        <is>
          <t>18</t>
        </is>
      </c>
      <c r="E3378" t="inlineStr">
        <is>
          <t>10</t>
        </is>
      </c>
      <c r="F3378" t="inlineStr">
        <is>
          <t>18</t>
        </is>
      </c>
      <c r="G3378" t="inlineStr">
        <is>
          <t>18</t>
        </is>
      </c>
      <c r="H3378" t="inlineStr">
        <is>
          <t>R</t>
        </is>
      </c>
    </row>
    <row r="3379">
      <c r="B3379" t="inlineStr">
        <is>
          <t>Elementary Schools</t>
        </is>
      </c>
      <c r="C3379" t="inlineStr">
        <is>
          <t>365</t>
        </is>
      </c>
      <c r="D3379" t="inlineStr">
        <is>
          <t>18</t>
        </is>
      </c>
      <c r="E3379" t="inlineStr">
        <is>
          <t>11</t>
        </is>
      </c>
      <c r="F3379" t="inlineStr">
        <is>
          <t>18</t>
        </is>
      </c>
      <c r="G3379" t="inlineStr">
        <is>
          <t>18</t>
        </is>
      </c>
      <c r="H3379" t="inlineStr">
        <is>
          <t>R</t>
        </is>
      </c>
    </row>
    <row r="3380">
      <c r="B3380" t="inlineStr">
        <is>
          <t>Vocational Schools</t>
        </is>
      </c>
      <c r="C3380" t="inlineStr">
        <is>
          <t>487</t>
        </is>
      </c>
      <c r="D3380" t="inlineStr">
        <is>
          <t>18</t>
        </is>
      </c>
      <c r="E3380" t="inlineStr">
        <is>
          <t>12</t>
        </is>
      </c>
      <c r="F3380" t="inlineStr">
        <is>
          <t>18</t>
        </is>
      </c>
      <c r="G3380" t="inlineStr">
        <is>
          <t>18</t>
        </is>
      </c>
      <c r="H3380" t="inlineStr">
        <is>
          <t>R</t>
        </is>
      </c>
    </row>
    <row r="3381">
      <c r="B3381" t="inlineStr">
        <is>
          <t>Alternative (High) Schools</t>
        </is>
      </c>
      <c r="C3381" t="inlineStr">
        <is>
          <t>156</t>
        </is>
      </c>
      <c r="D3381" t="inlineStr">
        <is>
          <t>18</t>
        </is>
      </c>
      <c r="E3381" t="inlineStr">
        <is>
          <t>13</t>
        </is>
      </c>
      <c r="F3381" t="inlineStr">
        <is>
          <t>18</t>
        </is>
      </c>
      <c r="G3381" t="inlineStr">
        <is>
          <t>18</t>
        </is>
      </c>
      <c r="H3381" t="inlineStr">
        <is>
          <t>R</t>
        </is>
      </c>
    </row>
    <row r="3382">
      <c r="B3382" t="inlineStr">
        <is>
          <t>Day Care Centers</t>
        </is>
      </c>
      <c r="C3382" t="inlineStr">
        <is>
          <t>426</t>
        </is>
      </c>
      <c r="D3382" t="inlineStr">
        <is>
          <t>18</t>
        </is>
      </c>
      <c r="E3382" t="inlineStr">
        <is>
          <t>13</t>
        </is>
      </c>
      <c r="F3382" t="inlineStr">
        <is>
          <t>18</t>
        </is>
      </c>
      <c r="G3382" t="inlineStr">
        <is>
          <t>18</t>
        </is>
      </c>
      <c r="H3382" t="inlineStr">
        <is>
          <t>R</t>
        </is>
      </c>
    </row>
    <row r="3383">
      <c r="B3383" t="inlineStr">
        <is>
          <t>Classrooms</t>
        </is>
      </c>
      <c r="C3383" t="inlineStr">
        <is>
          <t>356</t>
        </is>
      </c>
      <c r="D3383" t="inlineStr">
        <is>
          <t>18</t>
        </is>
      </c>
      <c r="E3383" t="inlineStr">
        <is>
          <t>14</t>
        </is>
      </c>
      <c r="F3383" t="inlineStr">
        <is>
          <t>18</t>
        </is>
      </c>
      <c r="G3383" t="inlineStr">
        <is>
          <t>18</t>
        </is>
      </c>
      <c r="H3383" t="inlineStr">
        <is>
          <t>R</t>
        </is>
      </c>
    </row>
    <row r="3384">
      <c r="B3384" t="inlineStr">
        <is>
          <t>Special Education Classrooms</t>
        </is>
      </c>
      <c r="C3384" t="inlineStr">
        <is>
          <t>158</t>
        </is>
      </c>
      <c r="D3384" t="inlineStr">
        <is>
          <t>18</t>
        </is>
      </c>
      <c r="E3384" t="inlineStr">
        <is>
          <t>15</t>
        </is>
      </c>
      <c r="F3384" t="inlineStr">
        <is>
          <t>18</t>
        </is>
      </c>
      <c r="G3384" t="inlineStr">
        <is>
          <t>18</t>
        </is>
      </c>
      <c r="H3384" t="inlineStr">
        <is>
          <t>R</t>
        </is>
      </c>
    </row>
    <row r="3385">
      <c r="B3385" t="inlineStr">
        <is>
          <t>Relocatable Classrooms</t>
        </is>
      </c>
      <c r="C3385" t="inlineStr">
        <is>
          <t>598</t>
        </is>
      </c>
      <c r="D3385" t="inlineStr">
        <is>
          <t>18</t>
        </is>
      </c>
      <c r="E3385" t="inlineStr">
        <is>
          <t>15</t>
        </is>
      </c>
      <c r="F3385" t="inlineStr">
        <is>
          <t>18</t>
        </is>
      </c>
      <c r="G3385" t="inlineStr">
        <is>
          <t>18</t>
        </is>
      </c>
      <c r="H3385" t="inlineStr">
        <is>
          <t>R</t>
        </is>
      </c>
    </row>
    <row r="3386">
      <c r="B3386" t="inlineStr">
        <is>
          <t>Manual Arts (Shop) Buildings</t>
        </is>
      </c>
      <c r="C3386" t="inlineStr">
        <is>
          <t>361</t>
        </is>
      </c>
      <c r="D3386" t="inlineStr">
        <is>
          <t>18</t>
        </is>
      </c>
      <c r="E3386" t="inlineStr">
        <is>
          <t>16</t>
        </is>
      </c>
      <c r="F3386" t="inlineStr">
        <is>
          <t>18</t>
        </is>
      </c>
      <c r="G3386" t="inlineStr">
        <is>
          <t>18</t>
        </is>
      </c>
      <c r="H3386" t="inlineStr">
        <is>
          <t>R</t>
        </is>
      </c>
    </row>
    <row r="3387">
      <c r="B3387" t="inlineStr">
        <is>
          <t>Lecture Classrooms</t>
        </is>
      </c>
      <c r="C3387" t="inlineStr">
        <is>
          <t>359</t>
        </is>
      </c>
      <c r="D3387" t="inlineStr">
        <is>
          <t>18</t>
        </is>
      </c>
      <c r="E3387" t="inlineStr">
        <is>
          <t>16</t>
        </is>
      </c>
      <c r="F3387" t="inlineStr">
        <is>
          <t>18</t>
        </is>
      </c>
      <c r="G3387" t="inlineStr">
        <is>
          <t>18</t>
        </is>
      </c>
      <c r="H3387" t="inlineStr">
        <is>
          <t>R</t>
        </is>
      </c>
    </row>
    <row r="3388">
      <c r="B3388" t="inlineStr">
        <is>
          <t>Multipurpose Buildings</t>
        </is>
      </c>
      <c r="C3388" t="inlineStr">
        <is>
          <t>362</t>
        </is>
      </c>
      <c r="D3388" t="inlineStr">
        <is>
          <t>18</t>
        </is>
      </c>
      <c r="E3388" t="inlineStr">
        <is>
          <t>17</t>
        </is>
      </c>
      <c r="F3388" t="inlineStr">
        <is>
          <t>18</t>
        </is>
      </c>
      <c r="G3388" t="inlineStr">
        <is>
          <t>18</t>
        </is>
      </c>
      <c r="H3388" t="inlineStr">
        <is>
          <t>R</t>
        </is>
      </c>
    </row>
    <row r="3389">
      <c r="B3389" t="inlineStr">
        <is>
          <t>Laboratory Classrooms</t>
        </is>
      </c>
      <c r="C3389" t="inlineStr">
        <is>
          <t>364</t>
        </is>
      </c>
      <c r="D3389" t="inlineStr">
        <is>
          <t>18</t>
        </is>
      </c>
      <c r="E3389" t="inlineStr">
        <is>
          <t>17</t>
        </is>
      </c>
      <c r="F3389" t="inlineStr">
        <is>
          <t>18</t>
        </is>
      </c>
      <c r="G3389" t="inlineStr">
        <is>
          <t>18</t>
        </is>
      </c>
      <c r="H3389" t="inlineStr">
        <is>
          <t>R</t>
        </is>
      </c>
    </row>
    <row r="3390">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c r="B3391" t="inlineStr">
        <is>
          <t>Academic (College) Libraries</t>
        </is>
      </c>
      <c r="C3391" t="inlineStr">
        <is>
          <t>372</t>
        </is>
      </c>
      <c r="D3391" t="inlineStr">
        <is>
          <t>18</t>
        </is>
      </c>
      <c r="E3391" t="inlineStr">
        <is>
          <t>19</t>
        </is>
      </c>
      <c r="F3391" t="inlineStr">
        <is>
          <t>18</t>
        </is>
      </c>
      <c r="G3391" t="inlineStr">
        <is>
          <t>18</t>
        </is>
      </c>
      <c r="H3391" t="inlineStr">
        <is>
          <t>R</t>
        </is>
      </c>
    </row>
    <row r="3392">
      <c r="B3392" t="inlineStr">
        <is>
          <t>Fine Arts Buildings</t>
        </is>
      </c>
      <c r="C3392" t="inlineStr">
        <is>
          <t>355</t>
        </is>
      </c>
      <c r="D3392" t="inlineStr">
        <is>
          <t>18</t>
        </is>
      </c>
      <c r="E3392" t="inlineStr">
        <is>
          <t>20</t>
        </is>
      </c>
      <c r="F3392" t="inlineStr">
        <is>
          <t>18</t>
        </is>
      </c>
      <c r="G3392" t="inlineStr">
        <is>
          <t>18</t>
        </is>
      </c>
      <c r="H3392" t="inlineStr">
        <is>
          <t>R</t>
        </is>
      </c>
    </row>
    <row r="3393">
      <c r="B3393" t="inlineStr">
        <is>
          <t>Book Stores</t>
        </is>
      </c>
      <c r="C3393" t="inlineStr">
        <is>
          <t>488</t>
        </is>
      </c>
      <c r="D3393" t="inlineStr">
        <is>
          <t>18</t>
        </is>
      </c>
      <c r="E3393" t="inlineStr">
        <is>
          <t>20</t>
        </is>
      </c>
      <c r="F3393" t="inlineStr">
        <is>
          <t>18</t>
        </is>
      </c>
      <c r="G3393" t="inlineStr">
        <is>
          <t>18</t>
        </is>
      </c>
      <c r="H3393" t="inlineStr">
        <is>
          <t>R</t>
        </is>
      </c>
    </row>
    <row r="3394">
      <c r="B3394" t="inlineStr">
        <is>
          <t>Restroom Buildings</t>
        </is>
      </c>
      <c r="C3394" t="inlineStr">
        <is>
          <t>432</t>
        </is>
      </c>
      <c r="D3394" t="inlineStr">
        <is>
          <t>18</t>
        </is>
      </c>
      <c r="E3394" t="inlineStr">
        <is>
          <t>21</t>
        </is>
      </c>
      <c r="F3394" t="inlineStr">
        <is>
          <t>18</t>
        </is>
      </c>
      <c r="G3394" t="inlineStr">
        <is>
          <t>18</t>
        </is>
      </c>
      <c r="H3394" t="inlineStr">
        <is>
          <t>R</t>
        </is>
      </c>
    </row>
    <row r="3395">
      <c r="B3395" t="inlineStr">
        <is>
          <t>Maintenance (Storage) Buildings</t>
        </is>
      </c>
      <c r="C3395" t="inlineStr">
        <is>
          <t>157</t>
        </is>
      </c>
      <c r="D3395" t="inlineStr">
        <is>
          <t>18</t>
        </is>
      </c>
      <c r="E3395" t="inlineStr">
        <is>
          <t>21</t>
        </is>
      </c>
      <c r="F3395" t="inlineStr">
        <is>
          <t>18</t>
        </is>
      </c>
      <c r="G3395" t="inlineStr">
        <is>
          <t>18</t>
        </is>
      </c>
      <c r="H3395" t="inlineStr">
        <is>
          <t>R</t>
        </is>
      </c>
    </row>
    <row r="3396">
      <c r="B3396" t="inlineStr">
        <is>
          <t>Natatoriums</t>
        </is>
      </c>
      <c r="C3396" t="inlineStr">
        <is>
          <t>485</t>
        </is>
      </c>
      <c r="D3396" t="inlineStr">
        <is>
          <t>18</t>
        </is>
      </c>
      <c r="E3396" t="inlineStr">
        <is>
          <t>22</t>
        </is>
      </c>
      <c r="F3396" t="inlineStr">
        <is>
          <t>18</t>
        </is>
      </c>
      <c r="G3396" t="inlineStr">
        <is>
          <t>18</t>
        </is>
      </c>
      <c r="H3396" t="inlineStr">
        <is>
          <t>R</t>
        </is>
      </c>
    </row>
    <row r="3397">
      <c r="B3397" t="inlineStr">
        <is>
          <t>Shower Room Buildings</t>
        </is>
      </c>
      <c r="C3397" t="inlineStr">
        <is>
          <t>403</t>
        </is>
      </c>
      <c r="D3397" t="inlineStr">
        <is>
          <t>18</t>
        </is>
      </c>
      <c r="E3397" t="inlineStr">
        <is>
          <t>22</t>
        </is>
      </c>
      <c r="F3397" t="inlineStr">
        <is>
          <t>18</t>
        </is>
      </c>
      <c r="G3397" t="inlineStr">
        <is>
          <t>18</t>
        </is>
      </c>
      <c r="H3397" t="inlineStr">
        <is>
          <t>R</t>
        </is>
      </c>
    </row>
    <row r="3398">
      <c r="B3398" t="inlineStr">
        <is>
          <t>Fieldhouses</t>
        </is>
      </c>
      <c r="C3398" t="inlineStr">
        <is>
          <t>486</t>
        </is>
      </c>
      <c r="D3398" t="inlineStr">
        <is>
          <t>18</t>
        </is>
      </c>
      <c r="E3398" t="inlineStr">
        <is>
          <t>23</t>
        </is>
      </c>
      <c r="F3398" t="inlineStr">
        <is>
          <t>18</t>
        </is>
      </c>
      <c r="G3398" t="inlineStr">
        <is>
          <t>18</t>
        </is>
      </c>
      <c r="H3398" t="inlineStr">
        <is>
          <t>R</t>
        </is>
      </c>
    </row>
    <row r="3399">
      <c r="B3399" t="inlineStr">
        <is>
          <t>Physical Education Buildings</t>
        </is>
      </c>
      <c r="C3399" t="inlineStr">
        <is>
          <t>375</t>
        </is>
      </c>
      <c r="D3399" t="inlineStr">
        <is>
          <t>18</t>
        </is>
      </c>
      <c r="E3399" t="inlineStr">
        <is>
          <t>24</t>
        </is>
      </c>
      <c r="F3399" t="inlineStr">
        <is>
          <t>18</t>
        </is>
      </c>
      <c r="G3399" t="inlineStr">
        <is>
          <t>18</t>
        </is>
      </c>
      <c r="H3399" t="inlineStr">
        <is>
          <t>R</t>
        </is>
      </c>
    </row>
    <row r="3400">
      <c r="B3400" t="inlineStr">
        <is>
          <t>Gymnasiums</t>
        </is>
      </c>
      <c r="C3400" t="inlineStr">
        <is>
          <t>358</t>
        </is>
      </c>
      <c r="D3400" t="inlineStr">
        <is>
          <t>18</t>
        </is>
      </c>
      <c r="E3400" t="inlineStr">
        <is>
          <t>25</t>
        </is>
      </c>
      <c r="F3400" t="inlineStr">
        <is>
          <t>18</t>
        </is>
      </c>
      <c r="G3400" t="inlineStr">
        <is>
          <t>18</t>
        </is>
      </c>
      <c r="H3400" t="inlineStr">
        <is>
          <t>R</t>
        </is>
      </c>
    </row>
    <row r="3401">
      <c r="B3401" t="inlineStr">
        <is>
          <t>Colleges</t>
        </is>
      </c>
      <c r="C3401" t="inlineStr">
        <is>
          <t>377</t>
        </is>
      </c>
      <c r="D3401" t="inlineStr">
        <is>
          <t>18</t>
        </is>
      </c>
      <c r="E3401" t="inlineStr">
        <is>
          <t>26</t>
        </is>
      </c>
      <c r="F3401" t="inlineStr">
        <is>
          <t>18</t>
        </is>
      </c>
      <c r="G3401" t="inlineStr">
        <is>
          <t>18</t>
        </is>
      </c>
      <c r="H3401" t="inlineStr">
        <is>
          <t>R</t>
        </is>
      </c>
    </row>
    <row r="3402">
      <c r="B3402" t="inlineStr">
        <is>
          <t>College Classrooms</t>
        </is>
      </c>
      <c r="C3402" t="inlineStr">
        <is>
          <t>368</t>
        </is>
      </c>
      <c r="D3402" t="inlineStr">
        <is>
          <t>18</t>
        </is>
      </c>
      <c r="E3402" t="inlineStr">
        <is>
          <t>27</t>
        </is>
      </c>
      <c r="F3402" t="inlineStr">
        <is>
          <t>18</t>
        </is>
      </c>
      <c r="G3402" t="inlineStr">
        <is>
          <t>18</t>
        </is>
      </c>
      <c r="H3402" t="inlineStr">
        <is>
          <t>R</t>
        </is>
      </c>
    </row>
    <row r="3403">
      <c r="B3403" t="inlineStr">
        <is>
          <t>Technical Trades Buildings</t>
        </is>
      </c>
      <c r="C3403" t="inlineStr">
        <is>
          <t>373</t>
        </is>
      </c>
      <c r="D3403" t="inlineStr">
        <is>
          <t>18</t>
        </is>
      </c>
      <c r="E3403" t="inlineStr">
        <is>
          <t>28</t>
        </is>
      </c>
      <c r="F3403" t="inlineStr">
        <is>
          <t>18</t>
        </is>
      </c>
      <c r="G3403" t="inlineStr">
        <is>
          <t>18</t>
        </is>
      </c>
      <c r="H3403" t="inlineStr">
        <is>
          <t>R</t>
        </is>
      </c>
    </row>
    <row r="3404">
      <c r="B3404" t="inlineStr">
        <is>
          <t>Lecture Hall Buildings</t>
        </is>
      </c>
      <c r="C3404" t="inlineStr">
        <is>
          <t>371</t>
        </is>
      </c>
      <c r="D3404" t="inlineStr">
        <is>
          <t>18</t>
        </is>
      </c>
      <c r="E3404" t="inlineStr">
        <is>
          <t>28</t>
        </is>
      </c>
      <c r="F3404" t="inlineStr">
        <is>
          <t>18</t>
        </is>
      </c>
      <c r="G3404" t="inlineStr">
        <is>
          <t>18</t>
        </is>
      </c>
      <c r="H3404" t="inlineStr">
        <is>
          <t>R</t>
        </is>
      </c>
    </row>
    <row r="3405">
      <c r="B3405" t="inlineStr">
        <is>
          <t>Arts &amp; Crafts Buildings</t>
        </is>
      </c>
      <c r="C3405" t="inlineStr">
        <is>
          <t>367</t>
        </is>
      </c>
      <c r="D3405" t="inlineStr">
        <is>
          <t>18</t>
        </is>
      </c>
      <c r="E3405" t="inlineStr">
        <is>
          <t>29</t>
        </is>
      </c>
      <c r="F3405" t="inlineStr">
        <is>
          <t>18</t>
        </is>
      </c>
      <c r="G3405" t="inlineStr">
        <is>
          <t>18</t>
        </is>
      </c>
      <c r="H3405" t="inlineStr">
        <is>
          <t>R</t>
        </is>
      </c>
    </row>
    <row r="3406">
      <c r="B3406" t="inlineStr">
        <is>
          <t>Science Buildings</t>
        </is>
      </c>
      <c r="C3406" t="inlineStr">
        <is>
          <t>376</t>
        </is>
      </c>
      <c r="D3406" t="inlineStr">
        <is>
          <t>18</t>
        </is>
      </c>
      <c r="E3406" t="inlineStr">
        <is>
          <t>30</t>
        </is>
      </c>
      <c r="F3406" t="inlineStr">
        <is>
          <t>18</t>
        </is>
      </c>
      <c r="G3406" t="inlineStr">
        <is>
          <t>18</t>
        </is>
      </c>
      <c r="H3406" t="inlineStr">
        <is>
          <t>R</t>
        </is>
      </c>
    </row>
    <row r="3407">
      <c r="B3407" t="inlineStr">
        <is>
          <t>Commons</t>
        </is>
      </c>
      <c r="C3407" t="inlineStr">
        <is>
          <t>369</t>
        </is>
      </c>
      <c r="D3407" t="inlineStr">
        <is>
          <t>18</t>
        </is>
      </c>
      <c r="E3407" t="inlineStr">
        <is>
          <t>31</t>
        </is>
      </c>
      <c r="F3407" t="inlineStr">
        <is>
          <t>18</t>
        </is>
      </c>
      <c r="G3407" t="inlineStr">
        <is>
          <t>18</t>
        </is>
      </c>
      <c r="H3407" t="inlineStr">
        <is>
          <t>R</t>
        </is>
      </c>
    </row>
    <row r="3408">
      <c r="B3408" t="inlineStr">
        <is>
          <t>Administration (Office) Buildings</t>
        </is>
      </c>
      <c r="C3408" t="inlineStr">
        <is>
          <t>600</t>
        </is>
      </c>
      <c r="D3408" t="inlineStr">
        <is>
          <t>18</t>
        </is>
      </c>
      <c r="E3408" t="inlineStr">
        <is>
          <t>32</t>
        </is>
      </c>
      <c r="F3408" t="inlineStr">
        <is>
          <t>18</t>
        </is>
      </c>
      <c r="G3408" t="inlineStr">
        <is>
          <t>18</t>
        </is>
      </c>
      <c r="H3408" t="inlineStr">
        <is>
          <t>R</t>
        </is>
      </c>
    </row>
    <row r="3409">
      <c r="B3409" t="inlineStr">
        <is>
          <t>Relocatable Offices</t>
        </is>
      </c>
      <c r="C3409" t="inlineStr">
        <is>
          <t>599</t>
        </is>
      </c>
      <c r="D3409" t="inlineStr">
        <is>
          <t>18</t>
        </is>
      </c>
      <c r="E3409" t="inlineStr">
        <is>
          <t>33</t>
        </is>
      </c>
      <c r="F3409" t="inlineStr">
        <is>
          <t>18</t>
        </is>
      </c>
      <c r="G3409" t="inlineStr">
        <is>
          <t>18</t>
        </is>
      </c>
      <c r="H3409" t="inlineStr">
        <is>
          <t>R</t>
        </is>
      </c>
    </row>
    <row r="3410">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c r="B3413" s="1250"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c r="B3414" s="1251" t="inlineStr">
        <is>
          <t>County OCC Code</t>
        </is>
      </c>
      <c r="C3414" s="1251" t="inlineStr">
        <is>
          <t>County Description</t>
        </is>
      </c>
      <c r="D3414" s="1251" t="inlineStr">
        <is>
          <t>MVS Occupancy (Reference 4)</t>
        </is>
      </c>
    </row>
    <row r="3415">
      <c r="B3415" t="n">
        <v>26</v>
      </c>
      <c r="C3415" t="inlineStr">
        <is>
          <t>Studio Loft</t>
        </is>
      </c>
      <c r="D3415" t="inlineStr">
        <is>
          <t>Lofts</t>
        </is>
      </c>
    </row>
    <row r="3416">
      <c r="B3416" t="n">
        <v>100</v>
      </c>
      <c r="C3416" t="inlineStr">
        <is>
          <t>Single Family Residential</t>
        </is>
      </c>
      <c r="D3416" t="inlineStr">
        <is>
          <t>Single-Family Residences</t>
        </is>
      </c>
    </row>
    <row r="3417">
      <c r="B3417" t="n">
        <v>101</v>
      </c>
      <c r="C3417" t="inlineStr">
        <is>
          <t>Ag Single Family Residential-not integral</t>
        </is>
      </c>
      <c r="D3417" t="inlineStr">
        <is>
          <t>Single-Family Residences</t>
        </is>
      </c>
    </row>
    <row r="3418">
      <c r="B3418" t="n">
        <v>102</v>
      </c>
      <c r="C3418" t="inlineStr">
        <is>
          <t>Duplex</t>
        </is>
      </c>
      <c r="D3418" t="inlineStr">
        <is>
          <t>Multiple Residences</t>
        </is>
      </c>
    </row>
    <row r="3419">
      <c r="B3419" t="n">
        <v>105</v>
      </c>
      <c r="C3419" t="inlineStr">
        <is>
          <t>Attached Single Family Residential</t>
        </is>
      </c>
      <c r="D3419" t="inlineStr">
        <is>
          <t>Town Houses</t>
        </is>
      </c>
    </row>
    <row r="3420">
      <c r="B3420" t="n">
        <v>116</v>
      </c>
      <c r="C3420" t="inlineStr">
        <is>
          <t>Apartment w/4-8 Units</t>
        </is>
      </c>
      <c r="D3420" t="inlineStr">
        <is>
          <t>Multiple Residences</t>
        </is>
      </c>
    </row>
    <row r="3421">
      <c r="B3421" t="n">
        <v>118</v>
      </c>
      <c r="C3421" t="inlineStr">
        <is>
          <t>Apartment w/9 + Units</t>
        </is>
      </c>
      <c r="D3421" t="inlineStr">
        <is>
          <t>Multiple Residences</t>
        </is>
      </c>
    </row>
    <row r="3422">
      <c r="B3422" t="n">
        <v>186</v>
      </c>
      <c r="C3422" t="inlineStr">
        <is>
          <t>Light Commercial - Manufacturing Utility Bldg</t>
        </is>
      </c>
      <c r="D3422" t="inlineStr">
        <is>
          <t>Light Commercial – Manufacturing Utility Buildings</t>
        </is>
      </c>
    </row>
    <row r="3423">
      <c r="B3423" t="n">
        <v>204</v>
      </c>
      <c r="C3423" t="inlineStr">
        <is>
          <t>Computer Centers</t>
        </is>
      </c>
      <c r="D3423" t="inlineStr">
        <is>
          <t>Computer (Data) Centers</t>
        </is>
      </c>
    </row>
    <row r="3424">
      <c r="B3424" t="n">
        <v>209</v>
      </c>
      <c r="C3424" t="inlineStr">
        <is>
          <t>Nursery/Greenhouse</t>
        </is>
      </c>
      <c r="D3424" t="inlineStr">
        <is>
          <t>Greenhouse – Straight-Wall Structures</t>
        </is>
      </c>
    </row>
    <row r="3425">
      <c r="B3425" t="n">
        <v>210</v>
      </c>
      <c r="C3425" t="inlineStr">
        <is>
          <t>Industrial Flex Mall Building</t>
        </is>
      </c>
      <c r="D3425" t="inlineStr">
        <is>
          <t>Industrial Flex (Mall) Buildings</t>
        </is>
      </c>
    </row>
    <row r="3426">
      <c r="B3426" t="n">
        <v>212</v>
      </c>
      <c r="C3426" t="inlineStr">
        <is>
          <t>Laboratories</t>
        </is>
      </c>
      <c r="D3426" t="inlineStr">
        <is>
          <t>Laboratory Buildings</t>
        </is>
      </c>
    </row>
    <row r="3427">
      <c r="B3427" t="n">
        <v>213</v>
      </c>
      <c r="C3427" t="inlineStr">
        <is>
          <t>Light Industrial Shell Buildings</t>
        </is>
      </c>
      <c r="D3427" t="inlineStr">
        <is>
          <t>Light Industrial/Warehouse Shell Buildings</t>
        </is>
      </c>
    </row>
    <row r="3428">
      <c r="B3428" t="n">
        <v>220</v>
      </c>
      <c r="C3428" t="inlineStr">
        <is>
          <t>Recreational Pool Enclosure</t>
        </is>
      </c>
      <c r="D3428" t="inlineStr">
        <is>
          <t>Recreational (Pool) Enclosures</t>
        </is>
      </c>
    </row>
    <row r="3429">
      <c r="B3429" t="n">
        <v>227</v>
      </c>
      <c r="C3429" t="inlineStr">
        <is>
          <t>Complete Auto Dealership</t>
        </is>
      </c>
      <c r="D3429" t="inlineStr">
        <is>
          <t>Complete Auto Dealerships</t>
        </is>
      </c>
    </row>
    <row r="3430">
      <c r="B3430" t="n">
        <v>228</v>
      </c>
      <c r="C3430" t="inlineStr">
        <is>
          <t>Kennel</t>
        </is>
      </c>
      <c r="D3430" t="inlineStr">
        <is>
          <t>Kennels</t>
        </is>
      </c>
    </row>
    <row r="3431">
      <c r="B3431" t="n">
        <v>300</v>
      </c>
      <c r="C3431" t="inlineStr">
        <is>
          <t>Apartments (Hi-Rise)</t>
        </is>
      </c>
      <c r="D3431" t="inlineStr">
        <is>
          <t>Apartments (High-Rise)</t>
        </is>
      </c>
    </row>
    <row r="3432">
      <c r="B3432" t="n">
        <v>302</v>
      </c>
      <c r="C3432" t="inlineStr">
        <is>
          <t>Auditorium</t>
        </is>
      </c>
      <c r="D3432" t="inlineStr">
        <is>
          <t>Auditoriums</t>
        </is>
      </c>
    </row>
    <row r="3433">
      <c r="B3433" t="n">
        <v>303</v>
      </c>
      <c r="C3433" t="inlineStr">
        <is>
          <t>Showroom</t>
        </is>
      </c>
      <c r="D3433" t="inlineStr">
        <is>
          <t>Showrooms</t>
        </is>
      </c>
    </row>
    <row r="3434">
      <c r="B3434" t="n">
        <v>304</v>
      </c>
      <c r="C3434" t="inlineStr">
        <is>
          <t>Bank</t>
        </is>
      </c>
      <c r="D3434" t="inlineStr">
        <is>
          <t>Banks, Branch</t>
        </is>
      </c>
    </row>
    <row r="3435">
      <c r="B3435" t="n">
        <v>305</v>
      </c>
      <c r="C3435" t="inlineStr">
        <is>
          <t>Drive-up Mini Banks</t>
        </is>
      </c>
      <c r="D3435" t="inlineStr">
        <is>
          <t>Mini-Banks (Walk-Up and Drive-Through)</t>
        </is>
      </c>
    </row>
    <row r="3436">
      <c r="B3436" t="n">
        <v>306</v>
      </c>
      <c r="C3436" t="inlineStr">
        <is>
          <t>Bowling Alley</t>
        </is>
      </c>
      <c r="D3436" t="inlineStr">
        <is>
          <t>Bowling Centers</t>
        </is>
      </c>
    </row>
    <row r="3437">
      <c r="B3437" t="n">
        <v>309</v>
      </c>
      <c r="C3437" t="inlineStr">
        <is>
          <t>Church</t>
        </is>
      </c>
      <c r="D3437" t="inlineStr">
        <is>
          <t>Churches – Sanctuaries (Chapels)</t>
        </is>
      </c>
    </row>
    <row r="3438">
      <c r="B3438" t="n">
        <v>310</v>
      </c>
      <c r="C3438" t="inlineStr">
        <is>
          <t>City Club</t>
        </is>
      </c>
      <c r="D3438" t="inlineStr">
        <is>
          <t>City Clubs</t>
        </is>
      </c>
    </row>
    <row r="3439">
      <c r="B3439" t="n">
        <v>311</v>
      </c>
      <c r="C3439" t="inlineStr">
        <is>
          <t>Clubhouse</t>
        </is>
      </c>
      <c r="D3439" t="inlineStr">
        <is>
          <t>Clubhouses</t>
        </is>
      </c>
    </row>
    <row r="3440">
      <c r="B3440" t="n">
        <v>313</v>
      </c>
      <c r="C3440" t="inlineStr">
        <is>
          <t>Convlsnt Hosp Nursing Home</t>
        </is>
      </c>
      <c r="D3440" t="inlineStr">
        <is>
          <t>Nursing Homes (Convalescent Hospitals)</t>
        </is>
      </c>
    </row>
    <row r="3441">
      <c r="B3441" t="n">
        <v>314</v>
      </c>
      <c r="C3441" t="inlineStr">
        <is>
          <t>Country Club</t>
        </is>
      </c>
      <c r="D3441" t="inlineStr">
        <is>
          <t>Country Clubs</t>
        </is>
      </c>
    </row>
    <row r="3442">
      <c r="B3442" t="n">
        <v>318</v>
      </c>
      <c r="C3442" t="inlineStr">
        <is>
          <t>Department Store</t>
        </is>
      </c>
      <c r="D3442" t="inlineStr">
        <is>
          <t>Department Stores</t>
        </is>
      </c>
    </row>
    <row r="3443">
      <c r="B3443" t="n">
        <v>319</v>
      </c>
      <c r="C3443" t="inlineStr">
        <is>
          <t>Discount Store</t>
        </is>
      </c>
      <c r="D3443" t="inlineStr">
        <is>
          <t>Discount Stores</t>
        </is>
      </c>
    </row>
    <row r="3444">
      <c r="B3444" t="n">
        <v>320</v>
      </c>
      <c r="C3444" t="inlineStr">
        <is>
          <t>Dispensary</t>
        </is>
      </c>
      <c r="D3444" t="inlineStr">
        <is>
          <t>Urgent Care Clinics</t>
        </is>
      </c>
    </row>
    <row r="3445">
      <c r="B3445" t="n">
        <v>321</v>
      </c>
      <c r="C3445" t="inlineStr">
        <is>
          <t>Dormitory Residence Halls</t>
        </is>
      </c>
      <c r="D3445" t="inlineStr">
        <is>
          <t>Dormitories</t>
        </is>
      </c>
    </row>
    <row r="3446">
      <c r="B3446" t="n">
        <v>323</v>
      </c>
      <c r="C3446" t="inlineStr">
        <is>
          <t>Fraternal Building</t>
        </is>
      </c>
      <c r="D3446" t="inlineStr">
        <is>
          <t>Fraternal Buildings</t>
        </is>
      </c>
    </row>
    <row r="3447">
      <c r="B3447" t="n">
        <v>325</v>
      </c>
      <c r="C3447" t="inlineStr">
        <is>
          <t>Service Garage</t>
        </is>
      </c>
      <c r="D3447" t="inlineStr">
        <is>
          <t>Service Garages (Commercial/Repair)</t>
        </is>
      </c>
    </row>
    <row r="3448">
      <c r="B3448" t="n">
        <v>326</v>
      </c>
      <c r="C3448" t="inlineStr">
        <is>
          <t>Storage Garage</t>
        </is>
      </c>
      <c r="D3448" t="inlineStr">
        <is>
          <t>Storage Garages</t>
        </is>
      </c>
    </row>
    <row r="3449">
      <c r="B3449" t="n">
        <v>328</v>
      </c>
      <c r="C3449" t="inlineStr">
        <is>
          <t>Storage Hanger</t>
        </is>
      </c>
      <c r="D3449" t="inlineStr">
        <is>
          <t>Storage Hangars</t>
        </is>
      </c>
    </row>
    <row r="3450">
      <c r="B3450" t="n">
        <v>331</v>
      </c>
      <c r="C3450" t="inlineStr">
        <is>
          <t>Hospital</t>
        </is>
      </c>
      <c r="D3450" t="inlineStr">
        <is>
          <t>General Hospitals</t>
        </is>
      </c>
    </row>
    <row r="3451">
      <c r="B3451" t="n">
        <v>332</v>
      </c>
      <c r="C3451" t="inlineStr">
        <is>
          <t>Hotel - Full Service</t>
        </is>
      </c>
      <c r="D3451" t="inlineStr">
        <is>
          <t>Hotels, Full Service</t>
        </is>
      </c>
    </row>
    <row r="3452">
      <c r="B3452" t="n">
        <v>333</v>
      </c>
      <c r="C3452" t="inlineStr">
        <is>
          <t>Indust Heavy Manufacturing</t>
        </is>
      </c>
      <c r="D3452" t="inlineStr">
        <is>
          <t>Industrials, Heavy (Process) Manufacturing</t>
        </is>
      </c>
    </row>
    <row r="3453">
      <c r="B3453" t="n">
        <v>334</v>
      </c>
      <c r="C3453" t="inlineStr">
        <is>
          <t>Indust Lght Manufacturing</t>
        </is>
      </c>
      <c r="D3453" t="inlineStr">
        <is>
          <t>Industrials, Light Manufacturing</t>
        </is>
      </c>
    </row>
    <row r="3454">
      <c r="B3454" t="n">
        <v>335</v>
      </c>
      <c r="C3454" t="inlineStr">
        <is>
          <t>Jail - Correctional Facility</t>
        </is>
      </c>
      <c r="D3454" t="inlineStr">
        <is>
          <t>Jails – Correctional Facilities</t>
        </is>
      </c>
    </row>
    <row r="3455">
      <c r="B3455" t="n">
        <v>336</v>
      </c>
      <c r="C3455" t="inlineStr">
        <is>
          <t>Laundromat</t>
        </is>
      </c>
      <c r="D3455" t="inlineStr">
        <is>
          <t>Laundromats</t>
        </is>
      </c>
    </row>
    <row r="3456">
      <c r="B3456" t="n">
        <v>339</v>
      </c>
      <c r="C3456" t="inlineStr">
        <is>
          <t>Lumber Storage - Horizontal</t>
        </is>
      </c>
      <c r="D3456" t="inlineStr">
        <is>
          <t>Lumber Storage Sheds</t>
        </is>
      </c>
    </row>
    <row r="3457">
      <c r="B3457" t="n">
        <v>340</v>
      </c>
      <c r="C3457" t="inlineStr">
        <is>
          <t>Market</t>
        </is>
      </c>
      <c r="D3457" t="inlineStr">
        <is>
          <t>Markets</t>
        </is>
      </c>
    </row>
    <row r="3458">
      <c r="B3458" t="n">
        <v>341</v>
      </c>
      <c r="C3458" t="inlineStr">
        <is>
          <t>Medical Offices</t>
        </is>
      </c>
      <c r="D3458" t="inlineStr">
        <is>
          <t>Medical Office Buildings</t>
        </is>
      </c>
    </row>
    <row r="3459">
      <c r="B3459" t="n">
        <v>342</v>
      </c>
      <c r="C3459" t="inlineStr">
        <is>
          <t>Mortuary</t>
        </is>
      </c>
      <c r="D3459" t="inlineStr">
        <is>
          <t>Mortuaries / Funeral Homes</t>
        </is>
      </c>
    </row>
    <row r="3460">
      <c r="B3460" t="n">
        <v>343</v>
      </c>
      <c r="C3460" t="inlineStr">
        <is>
          <t>Motel</t>
        </is>
      </c>
      <c r="D3460" t="inlineStr">
        <is>
          <t>Motels</t>
        </is>
      </c>
    </row>
    <row r="3461">
      <c r="B3461" t="n">
        <v>344</v>
      </c>
      <c r="C3461" t="inlineStr">
        <is>
          <t>Office Building</t>
        </is>
      </c>
      <c r="D3461" t="inlineStr">
        <is>
          <t>Office Buildings</t>
        </is>
      </c>
    </row>
    <row r="3462">
      <c r="B3462" t="n">
        <v>345</v>
      </c>
      <c r="C3462" t="inlineStr">
        <is>
          <t>Parking Structure</t>
        </is>
      </c>
      <c r="D3462" t="inlineStr">
        <is>
          <t>Parking (Parkade) Structures</t>
        </is>
      </c>
    </row>
    <row r="3463">
      <c r="B3463" t="n">
        <v>346</v>
      </c>
      <c r="C3463" t="inlineStr">
        <is>
          <t>Post Office</t>
        </is>
      </c>
      <c r="D3463" t="inlineStr">
        <is>
          <t>Main Post Offices</t>
        </is>
      </c>
    </row>
    <row r="3464">
      <c r="B3464" t="n">
        <v>349</v>
      </c>
      <c r="C3464" t="inlineStr">
        <is>
          <t>Fast Food Restaurant</t>
        </is>
      </c>
      <c r="D3464" t="inlineStr">
        <is>
          <t>Restaurants – Fast Food</t>
        </is>
      </c>
    </row>
    <row r="3465">
      <c r="B3465" t="n">
        <v>350</v>
      </c>
      <c r="C3465" t="inlineStr">
        <is>
          <t>Restaurant</t>
        </is>
      </c>
      <c r="D3465" t="inlineStr">
        <is>
          <t>Restaurants</t>
        </is>
      </c>
    </row>
    <row r="3466">
      <c r="B3466" t="n">
        <v>352</v>
      </c>
      <c r="C3466" t="inlineStr">
        <is>
          <t>Multiple - Residential</t>
        </is>
      </c>
      <c r="D3466" t="inlineStr">
        <is>
          <t>Multiple Residences</t>
        </is>
      </c>
    </row>
    <row r="3467">
      <c r="B3467" t="n">
        <v>353</v>
      </c>
      <c r="C3467" t="inlineStr">
        <is>
          <t>Retail Store</t>
        </is>
      </c>
      <c r="D3467" t="inlineStr">
        <is>
          <t>Retail Stores</t>
        </is>
      </c>
    </row>
    <row r="3468">
      <c r="B3468" t="n">
        <v>356</v>
      </c>
      <c r="C3468" t="inlineStr">
        <is>
          <t>School - Classroom</t>
        </is>
      </c>
      <c r="D3468" t="inlineStr">
        <is>
          <t>Classrooms</t>
        </is>
      </c>
    </row>
    <row r="3469">
      <c r="B3469" t="n">
        <v>358</v>
      </c>
      <c r="C3469" t="inlineStr">
        <is>
          <t>School - Gymnasium</t>
        </is>
      </c>
      <c r="D3469" t="inlineStr">
        <is>
          <t>Gymnasiums</t>
        </is>
      </c>
    </row>
    <row r="3470">
      <c r="B3470" t="n">
        <v>359</v>
      </c>
      <c r="C3470" t="inlineStr">
        <is>
          <t>School - Lecture Hall</t>
        </is>
      </c>
      <c r="D3470" t="inlineStr">
        <is>
          <t>Lecture Classrooms</t>
        </is>
      </c>
    </row>
    <row r="3471">
      <c r="B3471" t="n">
        <v>361</v>
      </c>
      <c r="C3471" t="inlineStr">
        <is>
          <t>School - Manual Arts</t>
        </is>
      </c>
      <c r="D3471" t="inlineStr">
        <is>
          <t>Manual Arts (Shop) Buildings</t>
        </is>
      </c>
    </row>
    <row r="3472">
      <c r="B3472" t="n">
        <v>368</v>
      </c>
      <c r="C3472" t="inlineStr">
        <is>
          <t>College - Classrooms</t>
        </is>
      </c>
      <c r="D3472" t="inlineStr">
        <is>
          <t>College Classrooms</t>
        </is>
      </c>
    </row>
    <row r="3473">
      <c r="B3473" t="n">
        <v>378</v>
      </c>
      <c r="C3473" t="inlineStr">
        <is>
          <t>Stable</t>
        </is>
      </c>
      <c r="D3473" t="inlineStr">
        <is>
          <t>Stables</t>
        </is>
      </c>
    </row>
    <row r="3474">
      <c r="B3474" t="n">
        <v>380</v>
      </c>
      <c r="C3474" t="inlineStr">
        <is>
          <t>Theatre - Motion</t>
        </is>
      </c>
      <c r="D3474" t="inlineStr">
        <is>
          <t>Theaters: Cinema</t>
        </is>
      </c>
    </row>
    <row r="3475">
      <c r="B3475" t="n">
        <v>381</v>
      </c>
      <c r="C3475" t="inlineStr">
        <is>
          <t>Veterinary Hospital</t>
        </is>
      </c>
      <c r="D3475" t="inlineStr">
        <is>
          <t>Veterinary Hospitals</t>
        </is>
      </c>
    </row>
    <row r="3476">
      <c r="B3476" t="n">
        <v>382</v>
      </c>
      <c r="C3476" t="inlineStr">
        <is>
          <t>Medical Office Buildings</t>
        </is>
      </c>
      <c r="D3476" t="inlineStr">
        <is>
          <t>Medical Office Buildings</t>
        </is>
      </c>
    </row>
    <row r="3477">
      <c r="B3477" t="n">
        <v>384</v>
      </c>
      <c r="C3477" t="inlineStr">
        <is>
          <t>Barber/Beauty Shop</t>
        </is>
      </c>
      <c r="D3477" t="inlineStr">
        <is>
          <t>Barber Shops/Beauty Salons</t>
        </is>
      </c>
    </row>
    <row r="3478">
      <c r="B3478" t="n">
        <v>386</v>
      </c>
      <c r="C3478" t="inlineStr">
        <is>
          <t>Mini Warehouse</t>
        </is>
      </c>
      <c r="D3478" t="inlineStr">
        <is>
          <t>Mini-Warehouses / Self-Storage</t>
        </is>
      </c>
    </row>
    <row r="3479">
      <c r="B3479" t="n">
        <v>387</v>
      </c>
      <c r="C3479" t="inlineStr">
        <is>
          <t>Transit Warehouse</t>
        </is>
      </c>
      <c r="D3479" t="inlineStr">
        <is>
          <t>Transit Warehouses</t>
        </is>
      </c>
    </row>
    <row r="3480">
      <c r="B3480" t="n">
        <v>389</v>
      </c>
      <c r="C3480" t="inlineStr">
        <is>
          <t>Equipment Implement</t>
        </is>
      </c>
      <c r="D3480" t="inlineStr">
        <is>
          <t>Farm Implement (Equipment Shop) Buildings</t>
        </is>
      </c>
    </row>
    <row r="3481">
      <c r="B3481" t="n">
        <v>390</v>
      </c>
      <c r="C3481" t="inlineStr">
        <is>
          <t>Lumber Storage - Vertical</t>
        </is>
      </c>
      <c r="D3481" t="inlineStr">
        <is>
          <t>Lumber Storage Buildings</t>
        </is>
      </c>
    </row>
    <row r="3482">
      <c r="B3482" t="n">
        <v>391</v>
      </c>
      <c r="C3482" t="inlineStr">
        <is>
          <t>Storage - Material</t>
        </is>
      </c>
      <c r="D3482" t="inlineStr">
        <is>
          <t>Material Storage Buildings</t>
        </is>
      </c>
    </row>
    <row r="3483">
      <c r="B3483" t="n">
        <v>392</v>
      </c>
      <c r="C3483" t="inlineStr">
        <is>
          <t>Industrial Engineering &amp; Research</t>
        </is>
      </c>
      <c r="D3483" t="inlineStr">
        <is>
          <t>Industrial, Engineering (R&amp;D) Buildings</t>
        </is>
      </c>
    </row>
    <row r="3484">
      <c r="B3484" t="n">
        <v>397</v>
      </c>
      <c r="C3484" t="inlineStr">
        <is>
          <t>Barn</t>
        </is>
      </c>
      <c r="D3484" t="inlineStr">
        <is>
          <t>Barns – General Purpose</t>
        </is>
      </c>
    </row>
    <row r="3485">
      <c r="B3485" t="n">
        <v>401</v>
      </c>
      <c r="C3485" t="inlineStr">
        <is>
          <t>Shed - Equipment</t>
        </is>
      </c>
      <c r="D3485" t="inlineStr">
        <is>
          <t>Light Commercial Equipment Sheds</t>
        </is>
      </c>
    </row>
    <row r="3486">
      <c r="B3486" t="n">
        <v>403</v>
      </c>
      <c r="C3486" t="inlineStr">
        <is>
          <t>Shower Building</t>
        </is>
      </c>
      <c r="D3486" t="inlineStr">
        <is>
          <t>Shower Room Buildings</t>
        </is>
      </c>
    </row>
    <row r="3487">
      <c r="B3487" t="n">
        <v>404</v>
      </c>
      <c r="C3487" t="inlineStr">
        <is>
          <t>Farm Utility Building</t>
        </is>
      </c>
      <c r="D3487" t="inlineStr">
        <is>
          <t>Farm Utility Buildings</t>
        </is>
      </c>
    </row>
    <row r="3488">
      <c r="B3488" t="n">
        <v>405</v>
      </c>
      <c r="C3488" t="inlineStr">
        <is>
          <t>Skating Rink</t>
        </is>
      </c>
      <c r="D3488" t="inlineStr">
        <is>
          <t>Ice Skating Rinks</t>
        </is>
      </c>
    </row>
    <row r="3489">
      <c r="B3489" t="n">
        <v>406</v>
      </c>
      <c r="C3489" t="inlineStr">
        <is>
          <t>Storage Warehouse</t>
        </is>
      </c>
      <c r="D3489" t="inlineStr">
        <is>
          <t>Storage Warehouses</t>
        </is>
      </c>
    </row>
    <row r="3490">
      <c r="B3490" t="n">
        <v>407</v>
      </c>
      <c r="C3490" t="inlineStr">
        <is>
          <t>Distribution Warehouse</t>
        </is>
      </c>
      <c r="D3490" t="inlineStr">
        <is>
          <t>Distribution Warehouses</t>
        </is>
      </c>
    </row>
    <row r="3491">
      <c r="B3491" t="n">
        <v>409</v>
      </c>
      <c r="C3491" t="inlineStr">
        <is>
          <t>T-Hanger</t>
        </is>
      </c>
      <c r="D3491" t="inlineStr">
        <is>
          <t>T-Hangars</t>
        </is>
      </c>
    </row>
    <row r="3492">
      <c r="B3492" t="n">
        <v>410</v>
      </c>
      <c r="C3492" t="inlineStr">
        <is>
          <t>Automotive Center</t>
        </is>
      </c>
      <c r="D3492" t="inlineStr">
        <is>
          <t>Automotive Service Centers</t>
        </is>
      </c>
    </row>
    <row r="3493">
      <c r="B3493" t="n">
        <v>412</v>
      </c>
      <c r="C3493" t="inlineStr">
        <is>
          <t>Neighborhood Shopping Center</t>
        </is>
      </c>
      <c r="D3493" t="inlineStr">
        <is>
          <t>Neighborhood Shopping Centers</t>
        </is>
      </c>
    </row>
    <row r="3494">
      <c r="B3494" t="n">
        <v>413</v>
      </c>
      <c r="C3494" t="inlineStr">
        <is>
          <t>Community Shopping Center</t>
        </is>
      </c>
      <c r="D3494" t="inlineStr">
        <is>
          <t>Community Shopping Centers</t>
        </is>
      </c>
    </row>
    <row r="3495">
      <c r="B3495" t="n">
        <v>414</v>
      </c>
      <c r="C3495" t="inlineStr">
        <is>
          <t>Regional Shopping Center</t>
        </is>
      </c>
      <c r="D3495" t="inlineStr">
        <is>
          <t>Regional Shopping Centers</t>
        </is>
      </c>
    </row>
    <row r="3496">
      <c r="B3496" t="n">
        <v>418</v>
      </c>
      <c r="C3496" t="inlineStr">
        <is>
          <t>Health Club</t>
        </is>
      </c>
      <c r="D3496" t="inlineStr">
        <is>
          <t>Health Clubs (Spas)</t>
        </is>
      </c>
    </row>
    <row r="3497">
      <c r="B3497" t="n">
        <v>419</v>
      </c>
      <c r="C3497" t="inlineStr">
        <is>
          <t>Convenience Store</t>
        </is>
      </c>
      <c r="D3497" t="inlineStr">
        <is>
          <t>Convenience Stores</t>
        </is>
      </c>
    </row>
    <row r="3498">
      <c r="B3498" t="n">
        <v>421</v>
      </c>
      <c r="C3498" t="inlineStr">
        <is>
          <t>Shed - Tool</t>
        </is>
      </c>
      <c r="D3498" t="inlineStr">
        <is>
          <t>Toolshed Buildings</t>
        </is>
      </c>
    </row>
    <row r="3499">
      <c r="B3499" t="n">
        <v>423</v>
      </c>
      <c r="C3499" t="inlineStr">
        <is>
          <t>Mini Lube Garage</t>
        </is>
      </c>
      <c r="D3499" t="inlineStr">
        <is>
          <t>Mini-Lube Garages</t>
        </is>
      </c>
    </row>
    <row r="3500">
      <c r="B3500" t="n">
        <v>425</v>
      </c>
      <c r="C3500" t="inlineStr">
        <is>
          <t>Industrial WH Condo</t>
        </is>
      </c>
      <c r="D3500" t="inlineStr">
        <is>
          <t>Storage Warehouses</t>
        </is>
      </c>
    </row>
    <row r="3501">
      <c r="B3501" t="n">
        <v>426</v>
      </c>
      <c r="C3501" t="inlineStr">
        <is>
          <t>Day Care Center</t>
        </is>
      </c>
      <c r="D3501" t="inlineStr">
        <is>
          <t>Day Care Centers</t>
        </is>
      </c>
    </row>
    <row r="3502">
      <c r="B3502" t="n">
        <v>430</v>
      </c>
      <c r="C3502" t="inlineStr">
        <is>
          <t>Storage - Utility Grain</t>
        </is>
      </c>
      <c r="D3502" t="inlineStr">
        <is>
          <t>Farm Utility/Grain Storage (Granary) Buildings</t>
        </is>
      </c>
    </row>
    <row r="3503">
      <c r="B3503" t="n">
        <v>431</v>
      </c>
      <c r="C3503" t="inlineStr">
        <is>
          <t>Surgical Center - Out patient</t>
        </is>
      </c>
      <c r="D3503" t="inlineStr">
        <is>
          <t>Outpatient (Surgical) Centers</t>
        </is>
      </c>
    </row>
    <row r="3504">
      <c r="B3504" t="n">
        <v>432</v>
      </c>
      <c r="C3504" t="inlineStr">
        <is>
          <t>Restroom Building/Concessions</t>
        </is>
      </c>
      <c r="D3504" t="inlineStr">
        <is>
          <t>Restroom Buildings</t>
        </is>
      </c>
    </row>
    <row r="3505">
      <c r="B3505" t="n">
        <v>441</v>
      </c>
      <c r="C3505" t="inlineStr">
        <is>
          <t>Cocktail Lounge</t>
        </is>
      </c>
      <c r="D3505" t="inlineStr">
        <is>
          <t>Cocktail Lounges</t>
        </is>
      </c>
    </row>
    <row r="3506">
      <c r="B3506" t="n">
        <v>442</v>
      </c>
      <c r="C3506" t="inlineStr">
        <is>
          <t>Bar/Tavern</t>
        </is>
      </c>
      <c r="D3506" t="inlineStr">
        <is>
          <t>Bars/Taverns</t>
        </is>
      </c>
    </row>
    <row r="3507">
      <c r="B3507" t="n">
        <v>444</v>
      </c>
      <c r="C3507" t="inlineStr">
        <is>
          <t>Dental Office/ Clinic</t>
        </is>
      </c>
      <c r="D3507" t="inlineStr">
        <is>
          <t>Dental Clinics</t>
        </is>
      </c>
    </row>
    <row r="3508">
      <c r="B3508" t="n">
        <v>446</v>
      </c>
      <c r="C3508" t="inlineStr">
        <is>
          <t>SuperMarket</t>
        </is>
      </c>
      <c r="D3508" t="inlineStr">
        <is>
          <t>Supermarkets</t>
        </is>
      </c>
    </row>
    <row r="3509">
      <c r="B3509" t="n">
        <v>447</v>
      </c>
      <c r="C3509" t="inlineStr">
        <is>
          <t>Cold Storage Warehouse</t>
        </is>
      </c>
      <c r="D3509" t="inlineStr">
        <is>
          <t>Cold Storage Facilities</t>
        </is>
      </c>
    </row>
    <row r="3510">
      <c r="B3510" t="n">
        <v>468</v>
      </c>
      <c r="C3510" t="inlineStr">
        <is>
          <t>Farm Office</t>
        </is>
      </c>
      <c r="D3510" t="inlineStr">
        <is>
          <t>Shed Office Structures</t>
        </is>
      </c>
    </row>
    <row r="3511">
      <c r="B3511" t="n">
        <v>473</v>
      </c>
      <c r="C3511" t="inlineStr">
        <is>
          <t>Equipment Building</t>
        </is>
      </c>
      <c r="D3511" t="inlineStr">
        <is>
          <t>Light Commercial Equipment (Shop) Buildings</t>
        </is>
      </c>
    </row>
    <row r="3512">
      <c r="B3512" t="n">
        <v>474</v>
      </c>
      <c r="C3512" t="inlineStr">
        <is>
          <t>Modular Office</t>
        </is>
      </c>
      <c r="D3512" t="inlineStr">
        <is>
          <t>Relocatable Offices</t>
        </is>
      </c>
    </row>
    <row r="3513">
      <c r="B3513" t="n">
        <v>480</v>
      </c>
      <c r="C3513" t="inlineStr">
        <is>
          <t>Vegetable Building</t>
        </is>
      </c>
      <c r="D3513" t="inlineStr">
        <is>
          <t>Vegetable Buildings – Environmental</t>
        </is>
      </c>
    </row>
    <row r="3514">
      <c r="B3514" t="n">
        <v>482</v>
      </c>
      <c r="C3514" t="inlineStr">
        <is>
          <t>Convention Center</t>
        </is>
      </c>
      <c r="D3514" t="inlineStr">
        <is>
          <t>Convention Centers</t>
        </is>
      </c>
    </row>
    <row r="3515">
      <c r="B3515" t="n">
        <v>483</v>
      </c>
      <c r="C3515" t="inlineStr">
        <is>
          <t>Fitness Center</t>
        </is>
      </c>
      <c r="D3515" t="inlineStr">
        <is>
          <t>Fitness Centers</t>
        </is>
      </c>
    </row>
    <row r="3516">
      <c r="B3516" t="n">
        <v>501</v>
      </c>
      <c r="C3516" t="inlineStr">
        <is>
          <t>Mini-Mart Convenience Stores</t>
        </is>
      </c>
      <c r="D3516" t="inlineStr">
        <is>
          <t>Mini-Mart Convenience Stores</t>
        </is>
      </c>
    </row>
    <row r="3517">
      <c r="B3517" t="n">
        <v>519</v>
      </c>
      <c r="C3517" t="inlineStr">
        <is>
          <t>Greenhouse Shade Shelters</t>
        </is>
      </c>
      <c r="D3517" t="inlineStr">
        <is>
          <t>Greenhouse Shade Shelters</t>
        </is>
      </c>
    </row>
    <row r="3518">
      <c r="B3518" t="n">
        <v>523</v>
      </c>
      <c r="C3518" t="inlineStr">
        <is>
          <t>Golf Cart Storage Bldgs</t>
        </is>
      </c>
      <c r="D3518" t="inlineStr">
        <is>
          <t>Golf Cart Storage Buildings</t>
        </is>
      </c>
    </row>
    <row r="3519">
      <c r="B3519" t="n">
        <v>525</v>
      </c>
      <c r="C3519" t="inlineStr">
        <is>
          <t>Mini Warehouse Hi-rise</t>
        </is>
      </c>
      <c r="D3519" t="inlineStr">
        <is>
          <t>Mini-Warehouses, High-Rise</t>
        </is>
      </c>
    </row>
    <row r="3520">
      <c r="B3520" t="n">
        <v>526</v>
      </c>
      <c r="C3520" t="inlineStr">
        <is>
          <t>Service Garage Sheds</t>
        </is>
      </c>
      <c r="D3520" t="inlineStr">
        <is>
          <t>Service Garage Sheds</t>
        </is>
      </c>
    </row>
    <row r="3521">
      <c r="B3521" t="n">
        <v>529</v>
      </c>
      <c r="C3521" t="inlineStr">
        <is>
          <t>Snack Bar</t>
        </is>
      </c>
      <c r="D3521" t="inlineStr">
        <is>
          <t>Snack Bars</t>
        </is>
      </c>
    </row>
    <row r="3522">
      <c r="B3522" t="n">
        <v>533</v>
      </c>
      <c r="C3522" t="inlineStr">
        <is>
          <t>Warehouse Food Store</t>
        </is>
      </c>
      <c r="D3522" t="inlineStr">
        <is>
          <t>Warehouse Food Stores</t>
        </is>
      </c>
    </row>
    <row r="3523">
      <c r="B3523" t="n">
        <v>534</v>
      </c>
      <c r="C3523" t="inlineStr">
        <is>
          <t>Warehouse Showroom Store</t>
        </is>
      </c>
      <c r="D3523" t="inlineStr">
        <is>
          <t>Warehouse Showroom Stores</t>
        </is>
      </c>
    </row>
    <row r="3524">
      <c r="B3524" t="n">
        <v>540</v>
      </c>
      <c r="C3524" t="inlineStr">
        <is>
          <t>Motel Guest Rooms</t>
        </is>
      </c>
      <c r="D3524" t="inlineStr">
        <is>
          <t>Motel Guest Rooms</t>
        </is>
      </c>
    </row>
    <row r="3525">
      <c r="B3525" t="n">
        <v>544</v>
      </c>
      <c r="C3525" t="inlineStr">
        <is>
          <t>Office-Apartment</t>
        </is>
      </c>
      <c r="D3525" t="inlineStr">
        <is>
          <t>Office-Apartments</t>
        </is>
      </c>
    </row>
    <row r="3526">
      <c r="B3526" t="n">
        <v>557</v>
      </c>
      <c r="C3526" t="inlineStr">
        <is>
          <t>Arch-Rib Quonset Utility</t>
        </is>
      </c>
      <c r="D3526" t="inlineStr">
        <is>
          <t>Arch-Rib (Quonset) Farm Utility Buildings</t>
        </is>
      </c>
    </row>
    <row r="3527">
      <c r="B3527" t="n">
        <v>558</v>
      </c>
      <c r="C3527" t="inlineStr">
        <is>
          <t>Arch-Rib Quonset Farm Implement</t>
        </is>
      </c>
      <c r="D3527" t="inlineStr">
        <is>
          <t>Arch-Rib (Quonset) Farm Implement Buildings</t>
        </is>
      </c>
    </row>
    <row r="3528">
      <c r="B3528" t="n">
        <v>573</v>
      </c>
      <c r="C3528" t="inlineStr">
        <is>
          <t>Arcade</t>
        </is>
      </c>
      <c r="D3528" t="inlineStr">
        <is>
          <t>Arcade Buildings</t>
        </is>
      </c>
    </row>
    <row r="3529">
      <c r="B3529" t="n">
        <v>580</v>
      </c>
      <c r="C3529" t="inlineStr">
        <is>
          <t>Truck Stop Restaurant</t>
        </is>
      </c>
      <c r="D3529" t="inlineStr">
        <is>
          <t>Truck Stop Restaurants</t>
        </is>
      </c>
    </row>
    <row r="3530">
      <c r="B3530" t="n">
        <v>582</v>
      </c>
      <c r="C3530" t="inlineStr">
        <is>
          <t>Branch Post Office</t>
        </is>
      </c>
      <c r="D3530" t="inlineStr">
        <is>
          <t>Branch Post Offices</t>
        </is>
      </c>
    </row>
    <row r="3531">
      <c r="B3531" t="n">
        <v>584</v>
      </c>
      <c r="C3531" t="inlineStr">
        <is>
          <t>Mega Warehouse</t>
        </is>
      </c>
      <c r="D3531" t="inlineStr">
        <is>
          <t>Mega (Storage/Distribution) Warehouses</t>
        </is>
      </c>
    </row>
    <row r="3532">
      <c r="B3532" t="n">
        <v>718</v>
      </c>
      <c r="C3532" t="inlineStr">
        <is>
          <t>Banquet Halls</t>
        </is>
      </c>
      <c r="D3532" t="inlineStr">
        <is>
          <t>Banquet Halls</t>
        </is>
      </c>
    </row>
    <row r="3533">
      <c r="B3533" t="n">
        <v>1104</v>
      </c>
      <c r="C3533" t="inlineStr">
        <is>
          <t>Light Commercial-Commodity Warehouse</t>
        </is>
      </c>
      <c r="D3533" t="inlineStr">
        <is>
          <t>Light Commercial – Commodity Warehouse</t>
        </is>
      </c>
    </row>
    <row r="3534">
      <c r="B3534" t="n">
        <v>1157</v>
      </c>
      <c r="C3534" t="inlineStr">
        <is>
          <t>Maintenance (Storage) Buildings</t>
        </is>
      </c>
      <c r="D3534" t="inlineStr">
        <is>
          <t>Maintenance (Storage) Buildings</t>
        </is>
      </c>
    </row>
    <row r="3535">
      <c r="B3535" t="n">
        <v>1332</v>
      </c>
      <c r="C3535" t="inlineStr">
        <is>
          <t>Hotels - Limited Service</t>
        </is>
      </c>
      <c r="D3535" t="inlineStr">
        <is>
          <t>Hotels, Limited Service</t>
        </is>
      </c>
    </row>
    <row r="3536">
      <c r="B3536" t="n">
        <v>1343</v>
      </c>
      <c r="C3536" t="inlineStr">
        <is>
          <t>Extended Stay Motels</t>
        </is>
      </c>
      <c r="D3536" t="inlineStr">
        <is>
          <t>Extended-Stay Motels</t>
        </is>
      </c>
    </row>
    <row r="3537">
      <c r="B3537" t="n">
        <v>1344</v>
      </c>
      <c r="C3537" t="inlineStr">
        <is>
          <t>Office Building - Condo</t>
        </is>
      </c>
      <c r="D3537" t="inlineStr">
        <is>
          <t>Office Buildings</t>
        </is>
      </c>
    </row>
    <row r="3538">
      <c r="B3538" t="n">
        <v>1353</v>
      </c>
      <c r="C3538" t="inlineStr">
        <is>
          <t>Retail Store - Condo</t>
        </is>
      </c>
      <c r="D3538" t="inlineStr">
        <is>
          <t>Retail Stores</t>
        </is>
      </c>
    </row>
    <row r="3539">
      <c r="B3539" t="n">
        <v>1458</v>
      </c>
      <c r="C3539" t="inlineStr">
        <is>
          <t>Warehouse Discount Store</t>
        </is>
      </c>
      <c r="D3539" t="inlineStr">
        <is>
          <t>Warehouse Discount Stores</t>
        </is>
      </c>
    </row>
    <row r="3540">
      <c r="B3540" t="n">
        <v>1467</v>
      </c>
      <c r="C3540" t="inlineStr">
        <is>
          <t>Boat Storage Buildings</t>
        </is>
      </c>
      <c r="D3540" t="inlineStr">
        <is>
          <t>Boat Storage Buildings</t>
        </is>
      </c>
    </row>
    <row r="3541">
      <c r="B3541" t="n">
        <v>1468</v>
      </c>
      <c r="C3541" t="inlineStr">
        <is>
          <t>Material Storage Sheds</t>
        </is>
      </c>
      <c r="D3541" t="inlineStr">
        <is>
          <t>Material Storage Sheds</t>
        </is>
      </c>
    </row>
    <row r="3542">
      <c r="B3542" t="n">
        <v>1471</v>
      </c>
      <c r="C3542" t="inlineStr">
        <is>
          <t>Light Commercial Utility</t>
        </is>
      </c>
      <c r="D3542" t="inlineStr">
        <is>
          <t>Light Commercial Utility Buildings</t>
        </is>
      </c>
    </row>
    <row r="3543">
      <c r="B3543" t="n">
        <v>1473</v>
      </c>
      <c r="C3543" t="inlineStr">
        <is>
          <t>Material Shelters</t>
        </is>
      </c>
      <c r="D3543" t="inlineStr">
        <is>
          <t>Material – Commodity Shelters</t>
        </is>
      </c>
    </row>
    <row r="3544">
      <c r="B3544" t="n">
        <v>1513</v>
      </c>
      <c r="C3544" t="inlineStr">
        <is>
          <t>Regional Discount Shopping Centers</t>
        </is>
      </c>
      <c r="D3544" t="inlineStr">
        <is>
          <t>Regional Discount Shopping Centers</t>
        </is>
      </c>
    </row>
    <row r="3545">
      <c r="B3545" t="n">
        <v>3441</v>
      </c>
      <c r="C3545" t="inlineStr">
        <is>
          <t>Office Conversion</t>
        </is>
      </c>
      <c r="D3545" t="inlineStr">
        <is>
          <t>Office Buildings</t>
        </is>
      </c>
    </row>
    <row r="3546">
      <c r="B3546" s="899" t="inlineStr">
        <is>
          <t>County codes with NO calculator-method table (Cost Approach will ask for manual selection/override):</t>
        </is>
      </c>
    </row>
    <row r="3547">
      <c r="B3547" t="n">
        <v>90</v>
      </c>
      <c r="C3547" t="inlineStr">
        <is>
          <t>Residential Out Structure</t>
        </is>
      </c>
      <c r="D3547" t="inlineStr">
        <is>
          <t>Residential out structure -- no commercial MVS table; price from MVS Sec.12/64 directly</t>
        </is>
      </c>
    </row>
    <row r="3548">
      <c r="B3548" t="n">
        <v>99</v>
      </c>
      <c r="C3548" t="inlineStr">
        <is>
          <t>Detached Garage</t>
        </is>
      </c>
      <c r="D3548" t="inlineStr">
        <is>
          <t>Detached garage -- MVS 12-35 residential garages are size-priced; see Reference 14</t>
        </is>
      </c>
    </row>
    <row r="3549">
      <c r="B3549" t="n">
        <v>140</v>
      </c>
      <c r="C3549" t="inlineStr">
        <is>
          <t>Parking Lot</t>
        </is>
      </c>
      <c r="D3549" t="inlineStr">
        <is>
          <t>Parking lot -- land/yard improvement (MVS Sec.66), no building cost table</t>
        </is>
      </c>
    </row>
    <row r="3550">
      <c r="B3550" t="n">
        <v>207</v>
      </c>
      <c r="C3550" t="inlineStr">
        <is>
          <t>Firing Range Buildings</t>
        </is>
      </c>
      <c r="D3550" t="inlineStr">
        <is>
          <t>Firing range -- MVS 15-31 Miscellaneous Structures; price manually</t>
        </is>
      </c>
    </row>
    <row r="3551">
      <c r="B3551" t="n">
        <v>208</v>
      </c>
      <c r="C3551" t="inlineStr">
        <is>
          <t>Golf Course *CODE</t>
        </is>
      </c>
      <c r="D3551" t="inlineStr">
        <is>
          <t>Golf course -- MVS Sec.67 recreation; land improvement</t>
        </is>
      </c>
    </row>
    <row r="3552">
      <c r="B3552" t="n">
        <v>211</v>
      </c>
      <c r="C3552" t="inlineStr">
        <is>
          <t>Industiral Interior Office Space</t>
        </is>
      </c>
      <c r="D3552" t="inlineStr">
        <is>
          <t>Industrial interior office space -- component add-on (MVS 14-35); see Reference 14</t>
        </is>
      </c>
    </row>
    <row r="3553">
      <c r="B3553" t="n">
        <v>217</v>
      </c>
      <c r="C3553" t="inlineStr">
        <is>
          <t>Miscellaneous OB</t>
        </is>
      </c>
      <c r="D3553" t="inlineStr">
        <is>
          <t>Miscellaneous OB -- no matching MVS occupancy; select manually</t>
        </is>
      </c>
    </row>
    <row r="3554">
      <c r="B3554" t="n">
        <v>408</v>
      </c>
      <c r="C3554" t="inlineStr">
        <is>
          <t>Service Station</t>
        </is>
      </c>
      <c r="D3554" t="inlineStr">
        <is>
          <t>Service station -- MVS Sec.64 prefabricated buildings; price manually</t>
        </is>
      </c>
    </row>
    <row r="3555">
      <c r="B3555" t="n">
        <v>415</v>
      </c>
      <c r="C3555" t="inlineStr">
        <is>
          <t>Utility Bldg Res</t>
        </is>
      </c>
      <c r="D3555" t="inlineStr">
        <is>
          <t>Residential utility building -- price from MVS Sec.12/17 directly</t>
        </is>
      </c>
    </row>
    <row r="3556">
      <c r="B3556" t="n">
        <v>434</v>
      </c>
      <c r="C3556" t="inlineStr">
        <is>
          <t>Car Wash - Self Service</t>
        </is>
      </c>
      <c r="D3556" t="inlineStr">
        <is>
          <t>Car wash (self service) -- MVS Sec.64 p.4; price manually</t>
        </is>
      </c>
    </row>
    <row r="3557">
      <c r="B3557" t="n">
        <v>435</v>
      </c>
      <c r="C3557" t="inlineStr">
        <is>
          <t>Car Wash - Drive thru</t>
        </is>
      </c>
      <c r="D3557" t="inlineStr">
        <is>
          <t>Car wash (drive-thru) -- MVS Sec.64 p.4; price manually</t>
        </is>
      </c>
    </row>
    <row r="3558">
      <c r="B3558" t="n">
        <v>436</v>
      </c>
      <c r="C3558" t="inlineStr">
        <is>
          <t>Car Wash - Automatic</t>
        </is>
      </c>
      <c r="D3558" t="inlineStr">
        <is>
          <t>Car wash (automatic) -- MVS Sec.64 p.4; price manually</t>
        </is>
      </c>
    </row>
    <row r="3559">
      <c r="B3559" t="n">
        <v>438</v>
      </c>
      <c r="C3559" t="inlineStr">
        <is>
          <t>Prefab Metal Building *CODE</t>
        </is>
      </c>
      <c r="D3559" t="inlineStr">
        <is>
          <t>Prefab metal building (*CODE flagged) -- pick the matching occupancy manually</t>
        </is>
      </c>
    </row>
    <row r="3560">
      <c r="B3560" t="n">
        <v>448</v>
      </c>
      <c r="C3560" t="inlineStr">
        <is>
          <t>Self Service Booth</t>
        </is>
      </c>
      <c r="D3560" t="inlineStr">
        <is>
          <t>Self service booth -- MVS Sec.64 food booths; price manually</t>
        </is>
      </c>
    </row>
    <row r="3561">
      <c r="B3561" t="n">
        <v>451</v>
      </c>
      <c r="C3561" t="inlineStr">
        <is>
          <t>Grain Elevator Concrete</t>
        </is>
      </c>
      <c r="D3561" t="inlineStr">
        <is>
          <t>Grain elevator (concrete) -- MVS 17-51 per-bushel schedule; see Reference 14</t>
        </is>
      </c>
    </row>
    <row r="3562">
      <c r="B3562" t="n">
        <v>452</v>
      </c>
      <c r="C3562" t="inlineStr">
        <is>
          <t>Grain Elevator Conc Annex</t>
        </is>
      </c>
      <c r="D3562" t="inlineStr">
        <is>
          <t>Grain elevator annex -- MVS 17-51; see Reference 14</t>
        </is>
      </c>
    </row>
    <row r="3563">
      <c r="B3563" t="n">
        <v>464</v>
      </c>
      <c r="C3563" t="inlineStr">
        <is>
          <t>Grain Elevator Low</t>
        </is>
      </c>
      <c r="D3563" t="inlineStr">
        <is>
          <t>Grain elevator (low) -- MVS 17-51; see Reference 14</t>
        </is>
      </c>
    </row>
    <row r="3564">
      <c r="B3564" t="n">
        <v>465</v>
      </c>
      <c r="C3564" t="inlineStr">
        <is>
          <t>Grain Elevator Average</t>
        </is>
      </c>
      <c r="D3564" t="inlineStr">
        <is>
          <t>Grain elevator (average) -- MVS 17-51; see Reference 14</t>
        </is>
      </c>
    </row>
    <row r="3565">
      <c r="B3565" t="n">
        <v>499</v>
      </c>
      <c r="C3565" t="inlineStr">
        <is>
          <t>Salvage</t>
        </is>
      </c>
      <c r="D3565" t="inlineStr">
        <is>
          <t>Salvage -- condition category, not an occupancy</t>
        </is>
      </c>
    </row>
    <row r="3566">
      <c r="B3566" t="n">
        <v>500</v>
      </c>
      <c r="C3566" t="inlineStr">
        <is>
          <t>R V Parks *CODE</t>
        </is>
      </c>
      <c r="D3566" t="inlineStr">
        <is>
          <t>RV park (*CODE flagged) -- MVS Sec.63; land improvement schedule</t>
        </is>
      </c>
    </row>
    <row r="3567">
      <c r="B3567" t="n">
        <v>531</v>
      </c>
      <c r="C3567" t="inlineStr">
        <is>
          <t>Mobile Home Parks *CODE</t>
        </is>
      </c>
      <c r="D3567" t="inlineStr">
        <is>
          <t>Mobile home park (*CODE flagged) -- MVS Sec.63; land improvement schedule</t>
        </is>
      </c>
    </row>
    <row r="3568">
      <c r="B3568" t="n">
        <v>1111</v>
      </c>
      <c r="C3568" t="inlineStr">
        <is>
          <t>Parking Lot</t>
        </is>
      </c>
      <c r="D3568" t="inlineStr">
        <is>
          <t>Parking lot -- land/yard improvement (MVS Sec.66)</t>
        </is>
      </c>
    </row>
    <row r="3569">
      <c r="B3569" t="n">
        <v>1112</v>
      </c>
      <c r="C3569" t="inlineStr">
        <is>
          <t>Parking Lot Income Producing</t>
        </is>
      </c>
      <c r="D3569" t="inlineStr">
        <is>
          <t>Parking lot (income producing) -- land/yard improvement (MVS Sec.66)</t>
        </is>
      </c>
    </row>
    <row r="3572">
      <c r="B3572" s="1250" t="inlineStr">
        <is>
          <t>REFERENCE 5 -- Story Height Multiplier Tables (per MVS section). Sections 12 and 17 publish no story-height multiplier table -- multiplier 1.000 is used automatically.</t>
        </is>
      </c>
    </row>
    <row r="3573">
      <c r="B3573" s="899" t="inlineStr">
        <is>
          <t>Section 11 (base = 10 ft) -- MVS 11-36</t>
        </is>
      </c>
      <c r="C3573" s="1251" t="inlineStr">
        <is>
          <t>Height (ft)</t>
        </is>
      </c>
      <c r="D3573" s="1251" t="inlineStr">
        <is>
          <t>Multiplier</t>
        </is>
      </c>
    </row>
    <row r="3574">
      <c r="C3574" t="n">
        <v>7</v>
      </c>
      <c r="D3574" t="n">
        <v>0.922</v>
      </c>
    </row>
    <row r="3575">
      <c r="C3575" t="n">
        <v>8</v>
      </c>
      <c r="D3575" t="n">
        <v>0.947</v>
      </c>
    </row>
    <row r="3576">
      <c r="C3576" t="n">
        <v>9</v>
      </c>
      <c r="D3576" t="n">
        <v>0.973</v>
      </c>
    </row>
    <row r="3577">
      <c r="C3577" t="n">
        <v>10</v>
      </c>
      <c r="D3577" t="n">
        <v>1</v>
      </c>
    </row>
    <row r="3578">
      <c r="C3578" t="n">
        <v>11</v>
      </c>
      <c r="D3578" t="n">
        <v>1.027</v>
      </c>
    </row>
    <row r="3579">
      <c r="C3579" t="n">
        <v>12</v>
      </c>
      <c r="D3579" t="n">
        <v>1.055</v>
      </c>
    </row>
    <row r="3580">
      <c r="C3580" t="n">
        <v>13</v>
      </c>
      <c r="D3580" t="n">
        <v>1.084</v>
      </c>
    </row>
    <row r="3581">
      <c r="C3581" t="n">
        <v>14</v>
      </c>
      <c r="D3581" t="n">
        <v>1.114</v>
      </c>
    </row>
    <row r="3582">
      <c r="C3582" t="n">
        <v>15</v>
      </c>
      <c r="D3582" t="n">
        <v>1.144</v>
      </c>
    </row>
    <row r="3583">
      <c r="C3583" t="n">
        <v>16</v>
      </c>
      <c r="D3583" t="n">
        <v>1.175</v>
      </c>
    </row>
    <row r="3584">
      <c r="C3584" t="n">
        <v>17</v>
      </c>
      <c r="D3584" t="n">
        <v>1.207</v>
      </c>
    </row>
    <row r="3585">
      <c r="C3585" t="n">
        <v>18</v>
      </c>
      <c r="D3585" t="n">
        <v>1.24</v>
      </c>
    </row>
    <row r="3586">
      <c r="C3586" t="n">
        <v>19</v>
      </c>
      <c r="D3586" t="n">
        <v>1.274</v>
      </c>
    </row>
    <row r="3587">
      <c r="C3587" t="n">
        <v>20</v>
      </c>
      <c r="D3587" t="n">
        <v>1.309</v>
      </c>
    </row>
    <row r="3588">
      <c r="C3588" t="n">
        <v>22</v>
      </c>
      <c r="D3588" t="n">
        <v>1.381</v>
      </c>
    </row>
    <row r="3589">
      <c r="C3589" t="n">
        <v>24</v>
      </c>
      <c r="D3589" t="n">
        <v>1.458</v>
      </c>
    </row>
    <row r="3591">
      <c r="B3591" s="899" t="inlineStr">
        <is>
          <t>Section 13 (base = 12 ft) -- MVS 13-41</t>
        </is>
      </c>
      <c r="C3591" s="1251" t="inlineStr">
        <is>
          <t>Height (ft)</t>
        </is>
      </c>
      <c r="D3591" s="1251" t="inlineStr">
        <is>
          <t>Multiplier</t>
        </is>
      </c>
    </row>
    <row r="3592">
      <c r="C3592" t="n">
        <v>8</v>
      </c>
      <c r="D3592" t="n">
        <v>0.915</v>
      </c>
    </row>
    <row r="3593">
      <c r="C3593" t="n">
        <v>9</v>
      </c>
      <c r="D3593" t="n">
        <v>0.9360000000000001</v>
      </c>
    </row>
    <row r="3594">
      <c r="C3594" t="n">
        <v>10</v>
      </c>
      <c r="D3594" t="n">
        <v>0.957</v>
      </c>
    </row>
    <row r="3595">
      <c r="C3595" t="n">
        <v>11</v>
      </c>
      <c r="D3595" t="n">
        <v>0.979</v>
      </c>
    </row>
    <row r="3596">
      <c r="C3596" t="n">
        <v>12</v>
      </c>
      <c r="D3596" t="n">
        <v>1</v>
      </c>
    </row>
    <row r="3597">
      <c r="C3597" t="n">
        <v>13</v>
      </c>
      <c r="D3597" t="n">
        <v>1.021</v>
      </c>
    </row>
    <row r="3598">
      <c r="C3598" t="n">
        <v>14</v>
      </c>
      <c r="D3598" t="n">
        <v>1.042</v>
      </c>
    </row>
    <row r="3599">
      <c r="C3599" t="n">
        <v>15</v>
      </c>
      <c r="D3599" t="n">
        <v>1.064</v>
      </c>
    </row>
    <row r="3600">
      <c r="C3600" t="n">
        <v>16</v>
      </c>
      <c r="D3600" t="n">
        <v>1.085</v>
      </c>
    </row>
    <row r="3601">
      <c r="C3601" t="n">
        <v>18</v>
      </c>
      <c r="D3601" t="n">
        <v>1.127</v>
      </c>
    </row>
    <row r="3602">
      <c r="C3602" t="n">
        <v>20</v>
      </c>
      <c r="D3602" t="n">
        <v>1.17</v>
      </c>
    </row>
    <row r="3603">
      <c r="C3603" t="n">
        <v>22</v>
      </c>
      <c r="D3603" t="n">
        <v>1.213</v>
      </c>
    </row>
    <row r="3604">
      <c r="C3604" t="n">
        <v>24</v>
      </c>
      <c r="D3604" t="n">
        <v>1.255</v>
      </c>
    </row>
    <row r="3605">
      <c r="C3605" t="n">
        <v>26</v>
      </c>
      <c r="D3605" t="n">
        <v>1.298</v>
      </c>
    </row>
    <row r="3606">
      <c r="C3606" t="n">
        <v>28</v>
      </c>
      <c r="D3606" t="n">
        <v>1.34</v>
      </c>
    </row>
    <row r="3607">
      <c r="C3607" t="n">
        <v>30</v>
      </c>
      <c r="D3607" t="n">
        <v>1.383</v>
      </c>
    </row>
    <row r="3608">
      <c r="C3608" t="n">
        <v>32</v>
      </c>
      <c r="D3608" t="n">
        <v>1.425</v>
      </c>
    </row>
    <row r="3609">
      <c r="C3609" t="n">
        <v>34</v>
      </c>
      <c r="D3609" t="n">
        <v>1.468</v>
      </c>
    </row>
    <row r="3611">
      <c r="B3611" s="899" t="inlineStr">
        <is>
          <t>Section 14 (base = 14 ft) -- MVS 14-38</t>
        </is>
      </c>
      <c r="C3611" s="1251" t="inlineStr">
        <is>
          <t>Height (ft)</t>
        </is>
      </c>
      <c r="D3611" s="1251" t="inlineStr">
        <is>
          <t>Multiplier</t>
        </is>
      </c>
    </row>
    <row r="3612">
      <c r="C3612" t="n">
        <v>8</v>
      </c>
      <c r="D3612" t="n">
        <v>0.885</v>
      </c>
    </row>
    <row r="3613">
      <c r="C3613" t="n">
        <v>10</v>
      </c>
      <c r="D3613" t="n">
        <v>0.921</v>
      </c>
    </row>
    <row r="3614">
      <c r="C3614" t="n">
        <v>12</v>
      </c>
      <c r="D3614" t="n">
        <v>0.96</v>
      </c>
    </row>
    <row r="3615">
      <c r="C3615" t="n">
        <v>14</v>
      </c>
      <c r="D3615" t="n">
        <v>1</v>
      </c>
    </row>
    <row r="3616">
      <c r="C3616" t="n">
        <v>16</v>
      </c>
      <c r="D3616" t="n">
        <v>1.041</v>
      </c>
    </row>
    <row r="3617">
      <c r="C3617" t="n">
        <v>18</v>
      </c>
      <c r="D3617" t="n">
        <v>1.086</v>
      </c>
    </row>
    <row r="3618">
      <c r="C3618" t="n">
        <v>20</v>
      </c>
      <c r="D3618" t="n">
        <v>1.133</v>
      </c>
    </row>
    <row r="3619">
      <c r="C3619" t="n">
        <v>22</v>
      </c>
      <c r="D3619" t="n">
        <v>1.181</v>
      </c>
    </row>
    <row r="3620">
      <c r="C3620" t="n">
        <v>24</v>
      </c>
      <c r="D3620" t="n">
        <v>1.231</v>
      </c>
    </row>
    <row r="3621">
      <c r="C3621" t="n">
        <v>26</v>
      </c>
      <c r="D3621" t="n">
        <v>1.281</v>
      </c>
    </row>
    <row r="3622">
      <c r="C3622" t="n">
        <v>28</v>
      </c>
      <c r="D3622" t="n">
        <v>1.331</v>
      </c>
    </row>
    <row r="3623">
      <c r="C3623" t="n">
        <v>30</v>
      </c>
      <c r="D3623" t="n">
        <v>1.382</v>
      </c>
    </row>
    <row r="3624">
      <c r="C3624" t="n">
        <v>35</v>
      </c>
      <c r="D3624" t="n">
        <v>1.515</v>
      </c>
    </row>
    <row r="3625">
      <c r="C3625" t="n">
        <v>40</v>
      </c>
      <c r="D3625" t="n">
        <v>1.65</v>
      </c>
    </row>
    <row r="3626">
      <c r="C3626" t="n">
        <v>45</v>
      </c>
      <c r="D3626" t="n">
        <v>1.788</v>
      </c>
    </row>
    <row r="3627">
      <c r="C3627" t="n">
        <v>50</v>
      </c>
      <c r="D3627" t="n">
        <v>1.93</v>
      </c>
    </row>
    <row r="3628">
      <c r="C3628" t="n">
        <v>55</v>
      </c>
      <c r="D3628" t="n">
        <v>2.075</v>
      </c>
    </row>
    <row r="3629">
      <c r="C3629" t="n">
        <v>60</v>
      </c>
      <c r="D3629" t="n">
        <v>2.225</v>
      </c>
    </row>
    <row r="3630">
      <c r="C3630" t="n">
        <v>70</v>
      </c>
      <c r="D3630" t="n">
        <v>2.53</v>
      </c>
    </row>
    <row r="3631">
      <c r="C3631" t="n">
        <v>80</v>
      </c>
      <c r="D3631" t="n">
        <v>2.845</v>
      </c>
    </row>
    <row r="3632">
      <c r="C3632" t="n">
        <v>90</v>
      </c>
      <c r="D3632" t="n">
        <v>3.161</v>
      </c>
    </row>
    <row r="3633">
      <c r="C3633" t="n">
        <v>100</v>
      </c>
      <c r="D3633" t="n">
        <v>3.461</v>
      </c>
    </row>
    <row r="3634">
      <c r="C3634" t="n">
        <v>110</v>
      </c>
      <c r="D3634" t="n">
        <v>3.738</v>
      </c>
    </row>
    <row r="3635">
      <c r="C3635" t="n">
        <v>120</v>
      </c>
      <c r="D3635" t="n">
        <v>3.977</v>
      </c>
    </row>
    <row r="3637">
      <c r="B3637" s="899" t="inlineStr">
        <is>
          <t>Section 15 (base = 12 ft) -- MVS 15-38</t>
        </is>
      </c>
      <c r="C3637" s="1251" t="inlineStr">
        <is>
          <t>Height (ft)</t>
        </is>
      </c>
      <c r="D3637" s="1251" t="inlineStr">
        <is>
          <t>Multiplier</t>
        </is>
      </c>
    </row>
    <row r="3638">
      <c r="C3638" t="n">
        <v>8</v>
      </c>
      <c r="D3638" t="n">
        <v>0.9</v>
      </c>
    </row>
    <row r="3639">
      <c r="C3639" t="n">
        <v>9</v>
      </c>
      <c r="D3639" t="n">
        <v>0.928</v>
      </c>
    </row>
    <row r="3640">
      <c r="C3640" t="n">
        <v>10</v>
      </c>
      <c r="D3640" t="n">
        <v>0.953</v>
      </c>
    </row>
    <row r="3641">
      <c r="C3641" t="n">
        <v>11</v>
      </c>
      <c r="D3641" t="n">
        <v>0.977</v>
      </c>
    </row>
    <row r="3642">
      <c r="C3642" t="n">
        <v>12</v>
      </c>
      <c r="D3642" t="n">
        <v>1</v>
      </c>
    </row>
    <row r="3643">
      <c r="C3643" t="n">
        <v>13</v>
      </c>
      <c r="D3643" t="n">
        <v>1.023</v>
      </c>
    </row>
    <row r="3644">
      <c r="C3644" t="n">
        <v>14</v>
      </c>
      <c r="D3644" t="n">
        <v>1.046</v>
      </c>
    </row>
    <row r="3645">
      <c r="C3645" t="n">
        <v>15</v>
      </c>
      <c r="D3645" t="n">
        <v>1.069</v>
      </c>
    </row>
    <row r="3646">
      <c r="C3646" t="n">
        <v>16</v>
      </c>
      <c r="D3646" t="n">
        <v>1.092</v>
      </c>
    </row>
    <row r="3647">
      <c r="C3647" t="n">
        <v>18</v>
      </c>
      <c r="D3647" t="n">
        <v>1.138</v>
      </c>
    </row>
    <row r="3648">
      <c r="C3648" t="n">
        <v>20</v>
      </c>
      <c r="D3648" t="n">
        <v>1.184</v>
      </c>
    </row>
    <row r="3649">
      <c r="C3649" t="n">
        <v>24</v>
      </c>
      <c r="D3649" t="n">
        <v>1.276</v>
      </c>
    </row>
    <row r="3650">
      <c r="C3650" t="n">
        <v>28</v>
      </c>
      <c r="D3650" t="n">
        <v>1.367</v>
      </c>
    </row>
    <row r="3651">
      <c r="C3651" t="n">
        <v>32</v>
      </c>
      <c r="D3651" t="n">
        <v>1.459</v>
      </c>
    </row>
    <row r="3652">
      <c r="C3652" t="n">
        <v>36</v>
      </c>
      <c r="D3652" t="n">
        <v>1.552</v>
      </c>
    </row>
    <row r="3654">
      <c r="B3654" s="899" t="inlineStr">
        <is>
          <t>Section 16 (base = 16 ft) -- MVS 16-26</t>
        </is>
      </c>
      <c r="C3654" s="1251" t="inlineStr">
        <is>
          <t>Height (ft)</t>
        </is>
      </c>
      <c r="D3654" s="1251" t="inlineStr">
        <is>
          <t>Multiplier</t>
        </is>
      </c>
    </row>
    <row r="3655">
      <c r="C3655" t="n">
        <v>8</v>
      </c>
      <c r="D3655" t="n">
        <v>0.776</v>
      </c>
    </row>
    <row r="3656">
      <c r="C3656" t="n">
        <v>10</v>
      </c>
      <c r="D3656" t="n">
        <v>0.833</v>
      </c>
    </row>
    <row r="3657">
      <c r="C3657" t="n">
        <v>12</v>
      </c>
      <c r="D3657" t="n">
        <v>0.889</v>
      </c>
    </row>
    <row r="3658">
      <c r="C3658" t="n">
        <v>14</v>
      </c>
      <c r="D3658" t="n">
        <v>0.945</v>
      </c>
    </row>
    <row r="3659">
      <c r="C3659" t="n">
        <v>16</v>
      </c>
      <c r="D3659" t="n">
        <v>1</v>
      </c>
    </row>
    <row r="3660">
      <c r="C3660" t="n">
        <v>18</v>
      </c>
      <c r="D3660" t="n">
        <v>1.054</v>
      </c>
    </row>
    <row r="3661">
      <c r="C3661" t="n">
        <v>20</v>
      </c>
      <c r="D3661" t="n">
        <v>1.106</v>
      </c>
    </row>
    <row r="3662">
      <c r="C3662" t="n">
        <v>22</v>
      </c>
      <c r="D3662" t="n">
        <v>1.158</v>
      </c>
    </row>
    <row r="3663">
      <c r="C3663" t="n">
        <v>24</v>
      </c>
      <c r="D3663" t="n">
        <v>1.21</v>
      </c>
    </row>
    <row r="3664">
      <c r="C3664" t="n">
        <v>26</v>
      </c>
      <c r="D3664" t="n">
        <v>1.262</v>
      </c>
    </row>
    <row r="3665">
      <c r="C3665" t="n">
        <v>28</v>
      </c>
      <c r="D3665" t="n">
        <v>1.313</v>
      </c>
    </row>
    <row r="3666">
      <c r="C3666" t="n">
        <v>30</v>
      </c>
      <c r="D3666" t="n">
        <v>1.364</v>
      </c>
    </row>
    <row r="3667">
      <c r="C3667" t="n">
        <v>34</v>
      </c>
      <c r="D3667" t="n">
        <v>1.463</v>
      </c>
    </row>
    <row r="3668">
      <c r="C3668" t="n">
        <v>38</v>
      </c>
      <c r="D3668" t="n">
        <v>1.561</v>
      </c>
    </row>
    <row r="3669">
      <c r="C3669" t="n">
        <v>42</v>
      </c>
      <c r="D3669" t="n">
        <v>1.658</v>
      </c>
    </row>
    <row r="3670">
      <c r="C3670" t="n">
        <v>46</v>
      </c>
      <c r="D3670" t="n">
        <v>1.754</v>
      </c>
    </row>
    <row r="3671">
      <c r="C3671" t="n">
        <v>50</v>
      </c>
      <c r="D3671" t="n">
        <v>1.849</v>
      </c>
    </row>
    <row r="3672">
      <c r="C3672" t="n">
        <v>54</v>
      </c>
      <c r="D3672" t="n">
        <v>1.943</v>
      </c>
    </row>
    <row r="3673">
      <c r="C3673" t="n">
        <v>58</v>
      </c>
      <c r="D3673" t="n">
        <v>2.036</v>
      </c>
    </row>
    <row r="3674">
      <c r="C3674" t="n">
        <v>62</v>
      </c>
      <c r="D3674" t="n">
        <v>2.128</v>
      </c>
    </row>
    <row r="3675">
      <c r="C3675" t="n">
        <v>66</v>
      </c>
      <c r="D3675" t="n">
        <v>2.219</v>
      </c>
    </row>
    <row r="3676">
      <c r="C3676" t="n">
        <v>70</v>
      </c>
      <c r="D3676" t="n">
        <v>2.309</v>
      </c>
    </row>
    <row r="3677">
      <c r="C3677" t="n">
        <v>74</v>
      </c>
      <c r="D3677" t="n">
        <v>2.398</v>
      </c>
    </row>
    <row r="3678">
      <c r="C3678" t="n">
        <v>78</v>
      </c>
      <c r="D3678" t="n">
        <v>2.486</v>
      </c>
    </row>
    <row r="3679">
      <c r="C3679" t="n">
        <v>82</v>
      </c>
      <c r="D3679" t="n">
        <v>2.573</v>
      </c>
    </row>
    <row r="3680">
      <c r="C3680" t="n">
        <v>86</v>
      </c>
      <c r="D3680" t="n">
        <v>2.659</v>
      </c>
    </row>
    <row r="3681">
      <c r="C3681" t="n">
        <v>90</v>
      </c>
      <c r="D3681" t="n">
        <v>2.744</v>
      </c>
    </row>
    <row r="3682">
      <c r="C3682" t="n">
        <v>100</v>
      </c>
      <c r="D3682" t="n">
        <v>2.952</v>
      </c>
    </row>
    <row r="3683">
      <c r="C3683" t="n">
        <v>110</v>
      </c>
      <c r="D3683" t="n">
        <v>3.154</v>
      </c>
    </row>
    <row r="3684">
      <c r="C3684" t="n">
        <v>120</v>
      </c>
      <c r="D3684" t="n">
        <v>3.35</v>
      </c>
    </row>
    <row r="3686">
      <c r="B3686" s="899" t="inlineStr">
        <is>
          <t>Section 18 (base = 10 ft) -- MVS 18-37</t>
        </is>
      </c>
      <c r="C3686" s="1251" t="inlineStr">
        <is>
          <t>Height (ft)</t>
        </is>
      </c>
      <c r="D3686" s="1251" t="inlineStr">
        <is>
          <t>Multiplier</t>
        </is>
      </c>
    </row>
    <row r="3687">
      <c r="C3687" t="n">
        <v>8</v>
      </c>
      <c r="D3687" t="n">
        <v>0.963</v>
      </c>
    </row>
    <row r="3688">
      <c r="C3688" t="n">
        <v>9</v>
      </c>
      <c r="D3688" t="n">
        <v>0.981</v>
      </c>
    </row>
    <row r="3689">
      <c r="C3689" t="n">
        <v>10</v>
      </c>
      <c r="D3689" t="n">
        <v>1</v>
      </c>
    </row>
    <row r="3690">
      <c r="C3690" t="n">
        <v>11</v>
      </c>
      <c r="D3690" t="n">
        <v>1.018</v>
      </c>
    </row>
    <row r="3691">
      <c r="C3691" t="n">
        <v>12</v>
      </c>
      <c r="D3691" t="n">
        <v>1.037</v>
      </c>
    </row>
    <row r="3692">
      <c r="C3692" t="n">
        <v>13</v>
      </c>
      <c r="D3692" t="n">
        <v>1.055</v>
      </c>
    </row>
    <row r="3693">
      <c r="C3693" t="n">
        <v>14</v>
      </c>
      <c r="D3693" t="n">
        <v>1.073</v>
      </c>
    </row>
    <row r="3694">
      <c r="C3694" t="n">
        <v>15</v>
      </c>
      <c r="D3694" t="n">
        <v>1.092</v>
      </c>
    </row>
    <row r="3695">
      <c r="C3695" t="n">
        <v>16</v>
      </c>
      <c r="D3695" t="n">
        <v>1.11</v>
      </c>
    </row>
    <row r="3696">
      <c r="C3696" t="n">
        <v>18</v>
      </c>
      <c r="D3696" t="n">
        <v>1.147</v>
      </c>
    </row>
    <row r="3697">
      <c r="C3697" t="n">
        <v>20</v>
      </c>
      <c r="D3697" t="n">
        <v>1.183</v>
      </c>
    </row>
    <row r="3698">
      <c r="C3698" t="n">
        <v>22</v>
      </c>
      <c r="D3698" t="n">
        <v>1.22</v>
      </c>
    </row>
    <row r="3699">
      <c r="C3699" t="n">
        <v>24</v>
      </c>
      <c r="D3699" t="n">
        <v>1.257</v>
      </c>
    </row>
    <row r="3700">
      <c r="C3700" t="n">
        <v>30</v>
      </c>
      <c r="D3700" t="n">
        <v>1.367</v>
      </c>
    </row>
    <row r="3701">
      <c r="C3701" t="n">
        <v>36</v>
      </c>
      <c r="D3701" t="n">
        <v>1.476</v>
      </c>
    </row>
    <row r="3704">
      <c r="B3704" s="1250" t="inlineStr">
        <is>
          <t>REFERENCE 6 -- Sprinkler Add-On Cost Tables ($/SF, wet systems by coverage; dry columns for reference). Section 17 publishes no sprinkler table -- 0 is used; price manually from MVS Sec.53 if sprinklered.</t>
        </is>
      </c>
    </row>
    <row r="3705">
      <c r="B3705" t="inlineStr">
        <is>
          <t>(quality header row, used by lookup formulas)</t>
        </is>
      </c>
      <c r="C3705" s="1251" t="inlineStr">
        <is>
          <t>Low Cost</t>
        </is>
      </c>
      <c r="D3705" s="1251" t="inlineStr">
        <is>
          <t>Average</t>
        </is>
      </c>
      <c r="E3705" s="1251" t="inlineStr">
        <is>
          <t>Good</t>
        </is>
      </c>
      <c r="F3705" s="1251" t="inlineStr">
        <is>
          <t>Excellent</t>
        </is>
      </c>
    </row>
    <row r="3706">
      <c r="B3706" s="899" t="inlineStr">
        <is>
          <t>Section 11 -- MVS 11-35</t>
        </is>
      </c>
      <c r="C3706" s="1251" t="inlineStr">
        <is>
          <t>Coverage (SF)</t>
        </is>
      </c>
      <c r="D3706" s="1251" t="inlineStr">
        <is>
          <t>Wet-Low</t>
        </is>
      </c>
      <c r="E3706" s="1251" t="inlineStr">
        <is>
          <t>Wet-Avg</t>
        </is>
      </c>
      <c r="F3706" s="1251" t="inlineStr">
        <is>
          <t>Wet-Good</t>
        </is>
      </c>
      <c r="G3706" s="1251" t="inlineStr">
        <is>
          <t>Wet-Excl</t>
        </is>
      </c>
      <c r="H3706" s="1251" t="inlineStr">
        <is>
          <t>Dry-Low</t>
        </is>
      </c>
      <c r="I3706" s="1251" t="inlineStr">
        <is>
          <t>Dry-Avg</t>
        </is>
      </c>
      <c r="J3706" s="1251" t="inlineStr">
        <is>
          <t>Dry-Good</t>
        </is>
      </c>
      <c r="K3706" s="1251" t="inlineStr">
        <is>
          <t>Dry-Excl</t>
        </is>
      </c>
    </row>
    <row r="3707">
      <c r="C3707" t="n">
        <v>1500</v>
      </c>
      <c r="D3707" t="n">
        <v>5.81</v>
      </c>
      <c r="E3707" t="n">
        <v>6.91</v>
      </c>
      <c r="F3707" t="n">
        <v>8.220000000000001</v>
      </c>
      <c r="G3707" t="n">
        <v>9.77</v>
      </c>
      <c r="H3707" t="n">
        <v>7.55</v>
      </c>
      <c r="I3707" t="n">
        <v>8.98</v>
      </c>
      <c r="J3707" t="n">
        <v>10.7</v>
      </c>
      <c r="K3707" t="n">
        <v>12.7</v>
      </c>
    </row>
    <row r="3708">
      <c r="C3708" t="n">
        <v>3000</v>
      </c>
      <c r="D3708" t="n">
        <v>5.22</v>
      </c>
      <c r="E3708" t="n">
        <v>6.18</v>
      </c>
      <c r="F3708" t="n">
        <v>7.33</v>
      </c>
      <c r="G3708" t="n">
        <v>8.68</v>
      </c>
      <c r="H3708" t="n">
        <v>6.73</v>
      </c>
      <c r="I3708" t="n">
        <v>7.98</v>
      </c>
      <c r="J3708" t="n">
        <v>9.449999999999999</v>
      </c>
      <c r="K3708" t="n">
        <v>11.2</v>
      </c>
    </row>
    <row r="3709">
      <c r="C3709" t="n">
        <v>5000</v>
      </c>
      <c r="D3709" t="n">
        <v>4.83</v>
      </c>
      <c r="E3709" t="n">
        <v>5.7</v>
      </c>
      <c r="F3709" t="n">
        <v>6.72</v>
      </c>
      <c r="G3709" t="n">
        <v>7.92</v>
      </c>
      <c r="H3709" t="n">
        <v>6.18</v>
      </c>
      <c r="I3709" t="n">
        <v>7.29</v>
      </c>
      <c r="J3709" t="n">
        <v>8.6</v>
      </c>
      <c r="K3709" t="n">
        <v>10.15</v>
      </c>
    </row>
    <row r="3710">
      <c r="C3710" t="n">
        <v>10000</v>
      </c>
      <c r="D3710" t="n">
        <v>4.35</v>
      </c>
      <c r="E3710" t="n">
        <v>5.1</v>
      </c>
      <c r="F3710" t="n">
        <v>5.98</v>
      </c>
      <c r="G3710" t="n">
        <v>7.02</v>
      </c>
      <c r="H3710" t="n">
        <v>5.52</v>
      </c>
      <c r="I3710" t="n">
        <v>6.47</v>
      </c>
      <c r="J3710" t="n">
        <v>7.59</v>
      </c>
      <c r="K3710" t="n">
        <v>8.9</v>
      </c>
    </row>
    <row r="3711">
      <c r="C3711" t="n">
        <v>15000</v>
      </c>
      <c r="D3711" t="n">
        <v>4.09</v>
      </c>
      <c r="E3711" t="n">
        <v>4.78</v>
      </c>
      <c r="F3711" t="n">
        <v>5.59</v>
      </c>
      <c r="G3711" t="n">
        <v>6.54</v>
      </c>
      <c r="H3711" t="n">
        <v>5.17</v>
      </c>
      <c r="I3711" t="n">
        <v>6.05</v>
      </c>
      <c r="J3711" t="n">
        <v>7.08</v>
      </c>
      <c r="K3711" t="n">
        <v>8.279999999999999</v>
      </c>
    </row>
    <row r="3712">
      <c r="C3712" t="n">
        <v>20000</v>
      </c>
      <c r="D3712" t="n">
        <v>3.93</v>
      </c>
      <c r="E3712" t="n">
        <v>4.58</v>
      </c>
      <c r="F3712" t="n">
        <v>5.33</v>
      </c>
      <c r="G3712" t="n">
        <v>6.2</v>
      </c>
      <c r="H3712" t="n">
        <v>4.94</v>
      </c>
      <c r="I3712" t="n">
        <v>5.75</v>
      </c>
      <c r="J3712" t="n">
        <v>6.7</v>
      </c>
      <c r="K3712" t="n">
        <v>7.81</v>
      </c>
    </row>
    <row r="3713">
      <c r="C3713" t="n">
        <v>30000</v>
      </c>
      <c r="D3713" t="n">
        <v>3.64</v>
      </c>
      <c r="E3713" t="n">
        <v>4.24</v>
      </c>
      <c r="F3713" t="n">
        <v>4.94</v>
      </c>
      <c r="G3713" t="n">
        <v>5.76</v>
      </c>
      <c r="H3713" t="n">
        <v>4.59</v>
      </c>
      <c r="I3713" t="n">
        <v>5.35</v>
      </c>
      <c r="J3713" t="n">
        <v>6.23</v>
      </c>
      <c r="K3713" t="n">
        <v>7.26</v>
      </c>
    </row>
    <row r="3714">
      <c r="C3714" t="n">
        <v>40000</v>
      </c>
      <c r="D3714" t="n">
        <v>3.53</v>
      </c>
      <c r="E3714" t="n">
        <v>4.09</v>
      </c>
      <c r="F3714" t="n">
        <v>4.75</v>
      </c>
      <c r="G3714" t="n">
        <v>5.51</v>
      </c>
      <c r="H3714" t="n">
        <v>4.4</v>
      </c>
      <c r="I3714" t="n">
        <v>5.11</v>
      </c>
      <c r="J3714" t="n">
        <v>5.93</v>
      </c>
      <c r="K3714" t="n">
        <v>6.88</v>
      </c>
    </row>
    <row r="3715">
      <c r="C3715" t="n">
        <v>50000</v>
      </c>
      <c r="D3715" t="n">
        <v>3.41</v>
      </c>
      <c r="E3715" t="n">
        <v>3.95</v>
      </c>
      <c r="F3715" t="n">
        <v>4.58</v>
      </c>
      <c r="G3715" t="n">
        <v>5.31</v>
      </c>
      <c r="H3715" t="n">
        <v>4.27</v>
      </c>
      <c r="I3715" t="n">
        <v>4.94</v>
      </c>
      <c r="J3715" t="n">
        <v>5.71</v>
      </c>
      <c r="K3715" t="n">
        <v>6.6</v>
      </c>
    </row>
    <row r="3716">
      <c r="C3716" t="n">
        <v>75000</v>
      </c>
      <c r="D3716" t="n">
        <v>3.19</v>
      </c>
      <c r="E3716" t="n">
        <v>3.69</v>
      </c>
      <c r="F3716" t="n">
        <v>4.26</v>
      </c>
      <c r="G3716" t="n">
        <v>4.93</v>
      </c>
      <c r="H3716" t="n">
        <v>3.96</v>
      </c>
      <c r="I3716" t="n">
        <v>4.58</v>
      </c>
      <c r="J3716" t="n">
        <v>5.29</v>
      </c>
      <c r="K3716" t="n">
        <v>6.12</v>
      </c>
    </row>
    <row r="3717">
      <c r="C3717" t="n">
        <v>100000</v>
      </c>
      <c r="D3717" t="n">
        <v>3.04</v>
      </c>
      <c r="E3717" t="n">
        <v>3.51</v>
      </c>
      <c r="F3717" t="n">
        <v>4.05</v>
      </c>
      <c r="G3717" t="n">
        <v>4.67</v>
      </c>
      <c r="H3717" t="n">
        <v>3.78</v>
      </c>
      <c r="I3717" t="n">
        <v>4.36</v>
      </c>
      <c r="J3717" t="n">
        <v>5.03</v>
      </c>
      <c r="K3717" t="n">
        <v>5.8</v>
      </c>
    </row>
    <row r="3718">
      <c r="C3718" t="n">
        <v>125000</v>
      </c>
      <c r="D3718" t="n">
        <v>2.96</v>
      </c>
      <c r="E3718" t="n">
        <v>3.4</v>
      </c>
      <c r="F3718" t="n">
        <v>3.91</v>
      </c>
      <c r="G3718" t="n">
        <v>4.49</v>
      </c>
      <c r="H3718" t="n">
        <v>3.64</v>
      </c>
      <c r="I3718" t="n">
        <v>4.19</v>
      </c>
      <c r="J3718" t="n">
        <v>4.82</v>
      </c>
      <c r="K3718" t="n">
        <v>5.54</v>
      </c>
    </row>
    <row r="3719">
      <c r="C3719" t="n">
        <v>150000</v>
      </c>
      <c r="D3719" t="n">
        <v>2.87</v>
      </c>
      <c r="E3719" t="n">
        <v>3.3</v>
      </c>
      <c r="F3719" t="n">
        <v>3.79</v>
      </c>
      <c r="G3719" t="n">
        <v>4.35</v>
      </c>
      <c r="H3719" t="n">
        <v>3.53</v>
      </c>
      <c r="I3719" t="n">
        <v>4.06</v>
      </c>
      <c r="J3719" t="n">
        <v>4.66</v>
      </c>
      <c r="K3719" t="n">
        <v>5.36</v>
      </c>
    </row>
    <row r="3720">
      <c r="C3720" t="n">
        <v>200000</v>
      </c>
      <c r="D3720" t="n">
        <v>2.74</v>
      </c>
      <c r="E3720" t="n">
        <v>3.14</v>
      </c>
      <c r="F3720" t="n">
        <v>3.6</v>
      </c>
      <c r="G3720" t="n">
        <v>4.12</v>
      </c>
      <c r="H3720" t="n">
        <v>3.35</v>
      </c>
      <c r="I3720" t="n">
        <v>3.85</v>
      </c>
      <c r="J3720" t="n">
        <v>4.43</v>
      </c>
      <c r="K3720" t="n">
        <v>5.09</v>
      </c>
    </row>
    <row r="3721">
      <c r="C3721" t="n">
        <v>300000</v>
      </c>
      <c r="D3721" t="n">
        <v>2.59</v>
      </c>
      <c r="E3721" t="n">
        <v>2.97</v>
      </c>
      <c r="F3721" t="n">
        <v>3.4</v>
      </c>
      <c r="G3721" t="n">
        <v>3.9</v>
      </c>
      <c r="H3721" t="n">
        <v>3.19</v>
      </c>
      <c r="I3721" t="n">
        <v>3.64</v>
      </c>
      <c r="J3721" t="n">
        <v>4.15</v>
      </c>
      <c r="K3721" t="n">
        <v>4.73</v>
      </c>
    </row>
    <row r="3722">
      <c r="C3722" t="n">
        <v>400000</v>
      </c>
      <c r="D3722" t="n">
        <v>2.46</v>
      </c>
      <c r="E3722" t="n">
        <v>2.81</v>
      </c>
      <c r="F3722" t="n">
        <v>3.21</v>
      </c>
      <c r="G3722" t="n">
        <v>3.67</v>
      </c>
      <c r="H3722" t="n">
        <v>3.01</v>
      </c>
      <c r="I3722" t="n">
        <v>3.44</v>
      </c>
      <c r="J3722" t="n">
        <v>3.93</v>
      </c>
      <c r="K3722" t="n">
        <v>4.49</v>
      </c>
    </row>
    <row r="3723">
      <c r="C3723" t="n">
        <v>500000</v>
      </c>
      <c r="D3723" t="n">
        <v>2.38</v>
      </c>
      <c r="E3723" t="n">
        <v>2.71</v>
      </c>
      <c r="F3723" t="n">
        <v>3.1</v>
      </c>
      <c r="G3723" t="n">
        <v>3.53</v>
      </c>
      <c r="H3723" t="n">
        <v>2.9</v>
      </c>
      <c r="I3723" t="n">
        <v>3.31</v>
      </c>
      <c r="J3723" t="n">
        <v>3.77</v>
      </c>
      <c r="K3723" t="n">
        <v>4.3</v>
      </c>
    </row>
    <row r="3725">
      <c r="B3725" s="899" t="inlineStr">
        <is>
          <t>Section 12 -- MVS 12-39 (simple residential installs run 4.04-6.22/SF flat)</t>
        </is>
      </c>
      <c r="C3725" s="1251" t="inlineStr">
        <is>
          <t>Coverage (SF)</t>
        </is>
      </c>
      <c r="D3725" s="1251" t="inlineStr">
        <is>
          <t>Wet-Low</t>
        </is>
      </c>
      <c r="E3725" s="1251" t="inlineStr">
        <is>
          <t>Wet-Avg</t>
        </is>
      </c>
      <c r="F3725" s="1251" t="inlineStr">
        <is>
          <t>Wet-Good</t>
        </is>
      </c>
      <c r="G3725" s="1251" t="inlineStr">
        <is>
          <t>Wet-Excl</t>
        </is>
      </c>
      <c r="H3725" s="1251" t="inlineStr">
        <is>
          <t>Dry-Low</t>
        </is>
      </c>
      <c r="I3725" s="1251" t="inlineStr">
        <is>
          <t>Dry-Avg</t>
        </is>
      </c>
      <c r="J3725" s="1251" t="inlineStr">
        <is>
          <t>Dry-Good</t>
        </is>
      </c>
      <c r="K3725" s="1251" t="inlineStr">
        <is>
          <t>Dry-Excl</t>
        </is>
      </c>
    </row>
    <row r="3726">
      <c r="C3726" t="n">
        <v>1500</v>
      </c>
      <c r="D3726" t="n">
        <v>5.02</v>
      </c>
      <c r="E3726" t="n">
        <v>5.94</v>
      </c>
      <c r="F3726" t="n">
        <v>7.04</v>
      </c>
      <c r="G3726" t="n">
        <v>8.33</v>
      </c>
      <c r="H3726" t="n">
        <v>6.47</v>
      </c>
      <c r="I3726" t="n">
        <v>7.65</v>
      </c>
      <c r="J3726" t="n">
        <v>9.050000000000001</v>
      </c>
      <c r="K3726" t="n">
        <v>10.7</v>
      </c>
    </row>
    <row r="3727">
      <c r="C3727" t="n">
        <v>3000</v>
      </c>
      <c r="D3727" t="n">
        <v>4.51</v>
      </c>
      <c r="E3727" t="n">
        <v>5.31</v>
      </c>
      <c r="F3727" t="n">
        <v>6.26</v>
      </c>
      <c r="G3727" t="n">
        <v>7.38</v>
      </c>
      <c r="H3727" t="n">
        <v>5.78</v>
      </c>
      <c r="I3727" t="n">
        <v>6.8</v>
      </c>
      <c r="J3727" t="n">
        <v>8</v>
      </c>
      <c r="K3727" t="n">
        <v>9.42</v>
      </c>
    </row>
    <row r="3728">
      <c r="C3728" t="n">
        <v>5000</v>
      </c>
      <c r="D3728" t="n">
        <v>4.21</v>
      </c>
      <c r="E3728" t="n">
        <v>4.93</v>
      </c>
      <c r="F3728" t="n">
        <v>5.78</v>
      </c>
      <c r="G3728" t="n">
        <v>6.77</v>
      </c>
      <c r="H3728" t="n">
        <v>5.34</v>
      </c>
      <c r="I3728" t="n">
        <v>6.25</v>
      </c>
      <c r="J3728" t="n">
        <v>7.31</v>
      </c>
      <c r="K3728" t="n">
        <v>8.550000000000001</v>
      </c>
    </row>
    <row r="3729">
      <c r="C3729" t="n">
        <v>10000</v>
      </c>
      <c r="D3729" t="n">
        <v>3.77</v>
      </c>
      <c r="E3729" t="n">
        <v>4.4</v>
      </c>
      <c r="F3729" t="n">
        <v>5.13</v>
      </c>
      <c r="G3729" t="n">
        <v>5.98</v>
      </c>
      <c r="H3729" t="n">
        <v>4.74</v>
      </c>
      <c r="I3729" t="n">
        <v>5.54</v>
      </c>
      <c r="J3729" t="n">
        <v>6.46</v>
      </c>
      <c r="K3729" t="n">
        <v>7.55</v>
      </c>
    </row>
    <row r="3730">
      <c r="C3730" t="n">
        <v>15000</v>
      </c>
      <c r="D3730" t="n">
        <v>3.55</v>
      </c>
      <c r="E3730" t="n">
        <v>4.13</v>
      </c>
      <c r="F3730" t="n">
        <v>4.8</v>
      </c>
      <c r="G3730" t="n">
        <v>5.58</v>
      </c>
      <c r="H3730" t="n">
        <v>4.45</v>
      </c>
      <c r="I3730" t="n">
        <v>5.18</v>
      </c>
      <c r="J3730" t="n">
        <v>6.02</v>
      </c>
      <c r="K3730" t="n">
        <v>7</v>
      </c>
    </row>
    <row r="3731">
      <c r="C3731" t="n">
        <v>20000</v>
      </c>
      <c r="D3731" t="n">
        <v>3.39</v>
      </c>
      <c r="E3731" t="n">
        <v>3.93</v>
      </c>
      <c r="F3731" t="n">
        <v>4.56</v>
      </c>
      <c r="G3731" t="n">
        <v>5.29</v>
      </c>
      <c r="H3731" t="n">
        <v>4.24</v>
      </c>
      <c r="I3731" t="n">
        <v>4.92</v>
      </c>
      <c r="J3731" t="n">
        <v>5.71</v>
      </c>
      <c r="K3731" t="n">
        <v>6.62</v>
      </c>
    </row>
    <row r="3732">
      <c r="C3732" t="n">
        <v>40000</v>
      </c>
      <c r="D3732" t="n">
        <v>3.08</v>
      </c>
      <c r="E3732" t="n">
        <v>3.55</v>
      </c>
      <c r="F3732" t="n">
        <v>4.09</v>
      </c>
      <c r="G3732" t="n">
        <v>4.71</v>
      </c>
      <c r="H3732" t="n">
        <v>3.81</v>
      </c>
      <c r="I3732" t="n">
        <v>4.39</v>
      </c>
      <c r="J3732" t="n">
        <v>5.07</v>
      </c>
      <c r="K3732" t="n">
        <v>5.84</v>
      </c>
    </row>
    <row r="3733">
      <c r="C3733" t="n">
        <v>50000</v>
      </c>
      <c r="D3733" t="n">
        <v>2.94</v>
      </c>
      <c r="E3733" t="n">
        <v>3.4</v>
      </c>
      <c r="F3733" t="n">
        <v>3.92</v>
      </c>
      <c r="G3733" t="n">
        <v>4.53</v>
      </c>
      <c r="H3733" t="n">
        <v>3.66</v>
      </c>
      <c r="I3733" t="n">
        <v>4.22</v>
      </c>
      <c r="J3733" t="n">
        <v>4.87</v>
      </c>
      <c r="K3733" t="n">
        <v>5.61</v>
      </c>
    </row>
    <row r="3734">
      <c r="C3734" t="n">
        <v>100000</v>
      </c>
      <c r="D3734" t="n">
        <v>2.65</v>
      </c>
      <c r="E3734" t="n">
        <v>3.04</v>
      </c>
      <c r="F3734" t="n">
        <v>3.49</v>
      </c>
      <c r="G3734" t="n">
        <v>4.01</v>
      </c>
      <c r="H3734" t="n">
        <v>3.26</v>
      </c>
      <c r="I3734" t="n">
        <v>3.74</v>
      </c>
      <c r="J3734" t="n">
        <v>4.3</v>
      </c>
      <c r="K3734" t="n">
        <v>4.94</v>
      </c>
    </row>
    <row r="3735">
      <c r="C3735" t="n">
        <v>150000</v>
      </c>
      <c r="D3735" t="n">
        <v>2.55</v>
      </c>
      <c r="E3735" t="n">
        <v>2.9</v>
      </c>
      <c r="F3735" t="n">
        <v>3.3</v>
      </c>
      <c r="G3735" t="n">
        <v>3.75</v>
      </c>
      <c r="H3735" t="n">
        <v>3.08</v>
      </c>
      <c r="I3735" t="n">
        <v>3.51</v>
      </c>
      <c r="J3735" t="n">
        <v>3.99</v>
      </c>
      <c r="K3735" t="n">
        <v>4.54</v>
      </c>
    </row>
    <row r="3736">
      <c r="C3736" t="n">
        <v>200000</v>
      </c>
      <c r="D3736" t="n">
        <v>2.41</v>
      </c>
      <c r="E3736" t="n">
        <v>2.74</v>
      </c>
      <c r="F3736" t="n">
        <v>3.12</v>
      </c>
      <c r="G3736" t="n">
        <v>3.55</v>
      </c>
      <c r="H3736" t="n">
        <v>2.91</v>
      </c>
      <c r="I3736" t="n">
        <v>3.31</v>
      </c>
      <c r="J3736" t="n">
        <v>3.78</v>
      </c>
      <c r="K3736" t="n">
        <v>4.3</v>
      </c>
    </row>
    <row r="3738">
      <c r="B3738" s="899" t="inlineStr">
        <is>
          <t>Section 13 -- MVS 13-40</t>
        </is>
      </c>
      <c r="C3738" s="1251" t="inlineStr">
        <is>
          <t>Coverage (SF)</t>
        </is>
      </c>
      <c r="D3738" s="1251" t="inlineStr">
        <is>
          <t>Wet-Low</t>
        </is>
      </c>
      <c r="E3738" s="1251" t="inlineStr">
        <is>
          <t>Wet-Avg</t>
        </is>
      </c>
      <c r="F3738" s="1251" t="inlineStr">
        <is>
          <t>Wet-Good</t>
        </is>
      </c>
      <c r="G3738" s="1251" t="inlineStr">
        <is>
          <t>Wet-Excl</t>
        </is>
      </c>
      <c r="H3738" s="1251" t="inlineStr">
        <is>
          <t>Dry-Low</t>
        </is>
      </c>
      <c r="I3738" s="1251" t="inlineStr">
        <is>
          <t>Dry-Avg</t>
        </is>
      </c>
      <c r="J3738" s="1251" t="inlineStr">
        <is>
          <t>Dry-Good</t>
        </is>
      </c>
      <c r="K3738" s="1251" t="inlineStr">
        <is>
          <t>Dry-Excl</t>
        </is>
      </c>
    </row>
    <row r="3739">
      <c r="C3739" t="n">
        <v>1000</v>
      </c>
      <c r="D3739" t="n">
        <v>6.05</v>
      </c>
      <c r="E3739" t="n">
        <v>7.18</v>
      </c>
      <c r="F3739" t="n">
        <v>8.51</v>
      </c>
      <c r="G3739" t="n">
        <v>10.1</v>
      </c>
      <c r="H3739" t="n">
        <v>7.83</v>
      </c>
      <c r="I3739" t="n">
        <v>9.300000000000001</v>
      </c>
      <c r="J3739" t="n">
        <v>11.05</v>
      </c>
      <c r="K3739" t="n">
        <v>13.1</v>
      </c>
    </row>
    <row r="3740">
      <c r="C3740" t="n">
        <v>2000</v>
      </c>
      <c r="D3740" t="n">
        <v>5.46</v>
      </c>
      <c r="E3740" t="n">
        <v>6.43</v>
      </c>
      <c r="F3740" t="n">
        <v>7.57</v>
      </c>
      <c r="G3740" t="n">
        <v>8.92</v>
      </c>
      <c r="H3740" t="n">
        <v>6.99</v>
      </c>
      <c r="I3740" t="n">
        <v>8.24</v>
      </c>
      <c r="J3740" t="n">
        <v>9.710000000000001</v>
      </c>
      <c r="K3740" t="n">
        <v>11.45</v>
      </c>
    </row>
    <row r="3741">
      <c r="C3741" t="n">
        <v>3000</v>
      </c>
      <c r="D3741" t="n">
        <v>5.13</v>
      </c>
      <c r="E3741" t="n">
        <v>6.03</v>
      </c>
      <c r="F3741" t="n">
        <v>7.08</v>
      </c>
      <c r="G3741" t="n">
        <v>8.32</v>
      </c>
      <c r="H3741" t="n">
        <v>6.53</v>
      </c>
      <c r="I3741" t="n">
        <v>7.67</v>
      </c>
      <c r="J3741" t="n">
        <v>9.02</v>
      </c>
      <c r="K3741" t="n">
        <v>10.6</v>
      </c>
    </row>
    <row r="3742">
      <c r="C3742" t="n">
        <v>5000</v>
      </c>
      <c r="D3742" t="n">
        <v>4.73</v>
      </c>
      <c r="E3742" t="n">
        <v>5.54</v>
      </c>
      <c r="F3742" t="n">
        <v>6.5</v>
      </c>
      <c r="G3742" t="n">
        <v>7.62</v>
      </c>
      <c r="H3742" t="n">
        <v>6.02</v>
      </c>
      <c r="I3742" t="n">
        <v>7.05</v>
      </c>
      <c r="J3742" t="n">
        <v>8.26</v>
      </c>
      <c r="K3742" t="n">
        <v>9.67</v>
      </c>
    </row>
    <row r="3743">
      <c r="C3743" t="n">
        <v>10000</v>
      </c>
      <c r="D3743" t="n">
        <v>4.26</v>
      </c>
      <c r="E3743" t="n">
        <v>4.96</v>
      </c>
      <c r="F3743" t="n">
        <v>5.77</v>
      </c>
      <c r="G3743" t="n">
        <v>6.72</v>
      </c>
      <c r="H3743" t="n">
        <v>5.35</v>
      </c>
      <c r="I3743" t="n">
        <v>6.23</v>
      </c>
      <c r="J3743" t="n">
        <v>7.26</v>
      </c>
      <c r="K3743" t="n">
        <v>8.449999999999999</v>
      </c>
    </row>
    <row r="3744">
      <c r="C3744" t="n">
        <v>15000</v>
      </c>
      <c r="D3744" t="n">
        <v>3.99</v>
      </c>
      <c r="E3744" t="n">
        <v>4.64</v>
      </c>
      <c r="F3744" t="n">
        <v>5.39</v>
      </c>
      <c r="G3744" t="n">
        <v>6.26</v>
      </c>
      <c r="H3744" t="n">
        <v>5</v>
      </c>
      <c r="I3744" t="n">
        <v>5.81</v>
      </c>
      <c r="J3744" t="n">
        <v>6.74</v>
      </c>
      <c r="K3744" t="n">
        <v>7.83</v>
      </c>
    </row>
    <row r="3745">
      <c r="C3745" t="n">
        <v>20000</v>
      </c>
      <c r="D3745" t="n">
        <v>3.83</v>
      </c>
      <c r="E3745" t="n">
        <v>4.44</v>
      </c>
      <c r="F3745" t="n">
        <v>5.15</v>
      </c>
      <c r="G3745" t="n">
        <v>5.97</v>
      </c>
      <c r="H3745" t="n">
        <v>4.78</v>
      </c>
      <c r="I3745" t="n">
        <v>5.54</v>
      </c>
      <c r="J3745" t="n">
        <v>6.41</v>
      </c>
      <c r="K3745" t="n">
        <v>7.43</v>
      </c>
    </row>
    <row r="3746">
      <c r="C3746" t="n">
        <v>30000</v>
      </c>
      <c r="D3746" t="n">
        <v>3.6</v>
      </c>
      <c r="E3746" t="n">
        <v>4.16</v>
      </c>
      <c r="F3746" t="n">
        <v>4.8</v>
      </c>
      <c r="G3746" t="n">
        <v>5.54</v>
      </c>
      <c r="H3746" t="n">
        <v>4.48</v>
      </c>
      <c r="I3746" t="n">
        <v>5.17</v>
      </c>
      <c r="J3746" t="n">
        <v>5.97</v>
      </c>
      <c r="K3746" t="n">
        <v>6.89</v>
      </c>
    </row>
    <row r="3747">
      <c r="C3747" t="n">
        <v>50000</v>
      </c>
      <c r="D3747" t="n">
        <v>3.35</v>
      </c>
      <c r="E3747" t="n">
        <v>3.85</v>
      </c>
      <c r="F3747" t="n">
        <v>4.42</v>
      </c>
      <c r="G3747" t="n">
        <v>5.07</v>
      </c>
      <c r="H3747" t="n">
        <v>4.13</v>
      </c>
      <c r="I3747" t="n">
        <v>4.73</v>
      </c>
      <c r="J3747" t="n">
        <v>5.43</v>
      </c>
      <c r="K3747" t="n">
        <v>6.22</v>
      </c>
    </row>
    <row r="3748">
      <c r="C3748" t="n">
        <v>75000</v>
      </c>
      <c r="D3748" t="n">
        <v>3.11</v>
      </c>
      <c r="E3748" t="n">
        <v>3.57</v>
      </c>
      <c r="F3748" t="n">
        <v>4.1</v>
      </c>
      <c r="G3748" t="n">
        <v>4.7</v>
      </c>
      <c r="H3748" t="n">
        <v>3.83</v>
      </c>
      <c r="I3748" t="n">
        <v>4.39</v>
      </c>
      <c r="J3748" t="n">
        <v>5.03</v>
      </c>
      <c r="K3748" t="n">
        <v>5.76</v>
      </c>
    </row>
    <row r="3749">
      <c r="C3749" t="n">
        <v>100000</v>
      </c>
      <c r="D3749" t="n">
        <v>2.97</v>
      </c>
      <c r="E3749" t="n">
        <v>3.41</v>
      </c>
      <c r="F3749" t="n">
        <v>3.91</v>
      </c>
      <c r="G3749" t="n">
        <v>4.48</v>
      </c>
      <c r="H3749" t="n">
        <v>3.65</v>
      </c>
      <c r="I3749" t="n">
        <v>4.18</v>
      </c>
      <c r="J3749" t="n">
        <v>4.79</v>
      </c>
      <c r="K3749" t="n">
        <v>5.49</v>
      </c>
    </row>
    <row r="3750">
      <c r="C3750" t="n">
        <v>150000</v>
      </c>
      <c r="D3750" t="n">
        <v>2.79</v>
      </c>
      <c r="E3750" t="n">
        <v>3.2</v>
      </c>
      <c r="F3750" t="n">
        <v>3.66</v>
      </c>
      <c r="G3750" t="n">
        <v>4.19</v>
      </c>
      <c r="H3750" t="n">
        <v>3.43</v>
      </c>
      <c r="I3750" t="n">
        <v>3.92</v>
      </c>
      <c r="J3750" t="n">
        <v>4.49</v>
      </c>
      <c r="K3750" t="n">
        <v>5.13</v>
      </c>
    </row>
    <row r="3751">
      <c r="C3751" t="n">
        <v>200000</v>
      </c>
      <c r="D3751" t="n">
        <v>2.7</v>
      </c>
      <c r="E3751" t="n">
        <v>3.07</v>
      </c>
      <c r="F3751" t="n">
        <v>3.49</v>
      </c>
      <c r="G3751" t="n">
        <v>3.97</v>
      </c>
      <c r="H3751" t="n">
        <v>3.29</v>
      </c>
      <c r="I3751" t="n">
        <v>3.73</v>
      </c>
      <c r="J3751" t="n">
        <v>4.24</v>
      </c>
      <c r="K3751" t="n">
        <v>4.81</v>
      </c>
    </row>
    <row r="3752">
      <c r="C3752" t="n">
        <v>300000</v>
      </c>
      <c r="D3752" t="n">
        <v>2.52</v>
      </c>
      <c r="E3752" t="n">
        <v>2.86</v>
      </c>
      <c r="F3752" t="n">
        <v>3.24</v>
      </c>
      <c r="G3752" t="n">
        <v>3.68</v>
      </c>
      <c r="H3752" t="n">
        <v>3.05</v>
      </c>
      <c r="I3752" t="n">
        <v>3.46</v>
      </c>
      <c r="J3752" t="n">
        <v>3.93</v>
      </c>
      <c r="K3752" t="n">
        <v>4.46</v>
      </c>
    </row>
    <row r="3753">
      <c r="C3753" t="n">
        <v>400000</v>
      </c>
      <c r="D3753" t="n">
        <v>2.43</v>
      </c>
      <c r="E3753" t="n">
        <v>2.74</v>
      </c>
      <c r="F3753" t="n">
        <v>3.09</v>
      </c>
      <c r="G3753" t="n">
        <v>3.49</v>
      </c>
      <c r="H3753" t="n">
        <v>2.91</v>
      </c>
      <c r="I3753" t="n">
        <v>3.29</v>
      </c>
      <c r="J3753" t="n">
        <v>3.71</v>
      </c>
      <c r="K3753" t="n">
        <v>4.19</v>
      </c>
    </row>
    <row r="3754">
      <c r="C3754" t="n">
        <v>600000</v>
      </c>
      <c r="D3754" t="n">
        <v>2.27</v>
      </c>
      <c r="E3754" t="n">
        <v>2.56</v>
      </c>
      <c r="F3754" t="n">
        <v>2.9</v>
      </c>
      <c r="G3754" t="n">
        <v>3.27</v>
      </c>
      <c r="H3754" t="n">
        <v>2.72</v>
      </c>
      <c r="I3754" t="n">
        <v>3.07</v>
      </c>
      <c r="J3754" t="n">
        <v>3.46</v>
      </c>
      <c r="K3754" t="n">
        <v>3.91</v>
      </c>
    </row>
    <row r="3755">
      <c r="C3755" t="n">
        <v>800000</v>
      </c>
      <c r="D3755" t="n">
        <v>2.19</v>
      </c>
      <c r="E3755" t="n">
        <v>2.46</v>
      </c>
      <c r="F3755" t="n">
        <v>2.77</v>
      </c>
      <c r="G3755" t="n">
        <v>3.11</v>
      </c>
      <c r="H3755" t="n">
        <v>2.62</v>
      </c>
      <c r="I3755" t="n">
        <v>2.94</v>
      </c>
      <c r="J3755" t="n">
        <v>3.31</v>
      </c>
      <c r="K3755" t="n">
        <v>3.72</v>
      </c>
    </row>
    <row r="3756">
      <c r="C3756" t="n">
        <v>1000000</v>
      </c>
      <c r="D3756" t="n">
        <v>2.11</v>
      </c>
      <c r="E3756" t="n">
        <v>2.37</v>
      </c>
      <c r="F3756" t="n">
        <v>2.66</v>
      </c>
      <c r="G3756" t="n">
        <v>2.99</v>
      </c>
      <c r="H3756" t="n">
        <v>2.52</v>
      </c>
      <c r="I3756" t="n">
        <v>2.83</v>
      </c>
      <c r="J3756" t="n">
        <v>3.17</v>
      </c>
      <c r="K3756" t="n">
        <v>3.56</v>
      </c>
    </row>
    <row r="3758">
      <c r="B3758" s="899" t="inlineStr">
        <is>
          <t>Section 14 -- MVS 14-37</t>
        </is>
      </c>
      <c r="C3758" s="1251" t="inlineStr">
        <is>
          <t>Coverage (SF)</t>
        </is>
      </c>
      <c r="D3758" s="1251" t="inlineStr">
        <is>
          <t>Wet-Low</t>
        </is>
      </c>
      <c r="E3758" s="1251" t="inlineStr">
        <is>
          <t>Wet-Avg</t>
        </is>
      </c>
      <c r="F3758" s="1251" t="inlineStr">
        <is>
          <t>Wet-Good</t>
        </is>
      </c>
      <c r="G3758" s="1251" t="inlineStr">
        <is>
          <t>Wet-Excl</t>
        </is>
      </c>
      <c r="H3758" s="1251" t="inlineStr">
        <is>
          <t>Dry-Low</t>
        </is>
      </c>
      <c r="I3758" s="1251" t="inlineStr">
        <is>
          <t>Dry-Avg</t>
        </is>
      </c>
      <c r="J3758" s="1251" t="inlineStr">
        <is>
          <t>Dry-Good</t>
        </is>
      </c>
      <c r="K3758" s="1251" t="inlineStr">
        <is>
          <t>Dry-Excl</t>
        </is>
      </c>
    </row>
    <row r="3759">
      <c r="C3759" t="n">
        <v>2500</v>
      </c>
      <c r="D3759" t="n">
        <v>4.64</v>
      </c>
      <c r="E3759" t="n">
        <v>5.62</v>
      </c>
      <c r="F3759" t="n">
        <v>6.8</v>
      </c>
      <c r="G3759" t="n">
        <v>8.24</v>
      </c>
      <c r="H3759" t="n">
        <v>6.17</v>
      </c>
      <c r="I3759" t="n">
        <v>7.47</v>
      </c>
      <c r="J3759" t="n">
        <v>9.039999999999999</v>
      </c>
      <c r="K3759" t="n">
        <v>10.95</v>
      </c>
    </row>
    <row r="3760">
      <c r="C3760" t="n">
        <v>5000</v>
      </c>
      <c r="D3760" t="n">
        <v>4.17</v>
      </c>
      <c r="E3760" t="n">
        <v>5.02</v>
      </c>
      <c r="F3760" t="n">
        <v>6.05</v>
      </c>
      <c r="G3760" t="n">
        <v>7.28</v>
      </c>
      <c r="H3760" t="n">
        <v>5.51</v>
      </c>
      <c r="I3760" t="n">
        <v>6.64</v>
      </c>
      <c r="J3760" t="n">
        <v>7.99</v>
      </c>
      <c r="K3760" t="n">
        <v>9.630000000000001</v>
      </c>
    </row>
    <row r="3761">
      <c r="C3761" t="n">
        <v>10000</v>
      </c>
      <c r="D3761" t="n">
        <v>3.77</v>
      </c>
      <c r="E3761" t="n">
        <v>4.52</v>
      </c>
      <c r="F3761" t="n">
        <v>5.41</v>
      </c>
      <c r="G3761" t="n">
        <v>6.48</v>
      </c>
      <c r="H3761" t="n">
        <v>4.95</v>
      </c>
      <c r="I3761" t="n">
        <v>5.93</v>
      </c>
      <c r="J3761" t="n">
        <v>7.09</v>
      </c>
      <c r="K3761" t="n">
        <v>8.49</v>
      </c>
    </row>
    <row r="3762">
      <c r="C3762" t="n">
        <v>15000</v>
      </c>
      <c r="D3762" t="n">
        <v>3.54</v>
      </c>
      <c r="E3762" t="n">
        <v>4.23</v>
      </c>
      <c r="F3762" t="n">
        <v>5.05</v>
      </c>
      <c r="G3762" t="n">
        <v>6.03</v>
      </c>
      <c r="H3762" t="n">
        <v>4.62</v>
      </c>
      <c r="I3762" t="n">
        <v>5.52</v>
      </c>
      <c r="J3762" t="n">
        <v>6.6</v>
      </c>
      <c r="K3762" t="n">
        <v>7.88</v>
      </c>
    </row>
    <row r="3763">
      <c r="C3763" t="n">
        <v>20000</v>
      </c>
      <c r="D3763" t="n">
        <v>3.37</v>
      </c>
      <c r="E3763" t="n">
        <v>4.02</v>
      </c>
      <c r="F3763" t="n">
        <v>4.78</v>
      </c>
      <c r="G3763" t="n">
        <v>5.7</v>
      </c>
      <c r="H3763" t="n">
        <v>4.37</v>
      </c>
      <c r="I3763" t="n">
        <v>5.21</v>
      </c>
      <c r="J3763" t="n">
        <v>6.22</v>
      </c>
      <c r="K3763" t="n">
        <v>7.42</v>
      </c>
    </row>
    <row r="3764">
      <c r="C3764" t="n">
        <v>30000</v>
      </c>
      <c r="D3764" t="n">
        <v>3.18</v>
      </c>
      <c r="E3764" t="n">
        <v>3.78</v>
      </c>
      <c r="F3764" t="n">
        <v>4.49</v>
      </c>
      <c r="G3764" t="n">
        <v>5.34</v>
      </c>
      <c r="H3764" t="n">
        <v>4.12</v>
      </c>
      <c r="I3764" t="n">
        <v>4.89</v>
      </c>
      <c r="J3764" t="n">
        <v>5.8</v>
      </c>
      <c r="K3764" t="n">
        <v>6.89</v>
      </c>
    </row>
    <row r="3765">
      <c r="C3765" t="n">
        <v>40000</v>
      </c>
      <c r="D3765" t="n">
        <v>3.04</v>
      </c>
      <c r="E3765" t="n">
        <v>3.6</v>
      </c>
      <c r="F3765" t="n">
        <v>4.27</v>
      </c>
      <c r="G3765" t="n">
        <v>5.06</v>
      </c>
      <c r="H3765" t="n">
        <v>3.93</v>
      </c>
      <c r="I3765" t="n">
        <v>4.65</v>
      </c>
      <c r="J3765" t="n">
        <v>5.51</v>
      </c>
      <c r="K3765" t="n">
        <v>6.53</v>
      </c>
    </row>
    <row r="3766">
      <c r="C3766" t="n">
        <v>50000</v>
      </c>
      <c r="D3766" t="n">
        <v>2.96</v>
      </c>
      <c r="E3766" t="n">
        <v>3.5</v>
      </c>
      <c r="F3766" t="n">
        <v>4.14</v>
      </c>
      <c r="G3766" t="n">
        <v>4.89</v>
      </c>
      <c r="H3766" t="n">
        <v>3.79</v>
      </c>
      <c r="I3766" t="n">
        <v>4.48</v>
      </c>
      <c r="J3766" t="n">
        <v>5.3</v>
      </c>
      <c r="K3766" t="n">
        <v>6.27</v>
      </c>
    </row>
    <row r="3767">
      <c r="C3767" t="n">
        <v>60000</v>
      </c>
      <c r="D3767" t="n">
        <v>2.87</v>
      </c>
      <c r="E3767" t="n">
        <v>3.39</v>
      </c>
      <c r="F3767" t="n">
        <v>3.99</v>
      </c>
      <c r="G3767" t="n">
        <v>4.71</v>
      </c>
      <c r="H3767" t="n">
        <v>3.67</v>
      </c>
      <c r="I3767" t="n">
        <v>4.33</v>
      </c>
      <c r="J3767" t="n">
        <v>5.11</v>
      </c>
      <c r="K3767" t="n">
        <v>6.03</v>
      </c>
    </row>
    <row r="3768">
      <c r="C3768" t="n">
        <v>80000</v>
      </c>
      <c r="D3768" t="n">
        <v>2.74</v>
      </c>
      <c r="E3768" t="n">
        <v>3.22</v>
      </c>
      <c r="F3768" t="n">
        <v>3.79</v>
      </c>
      <c r="G3768" t="n">
        <v>4.46</v>
      </c>
      <c r="H3768" t="n">
        <v>3.49</v>
      </c>
      <c r="I3768" t="n">
        <v>4.11</v>
      </c>
      <c r="J3768" t="n">
        <v>4.85</v>
      </c>
      <c r="K3768" t="n">
        <v>5.72</v>
      </c>
    </row>
    <row r="3769">
      <c r="C3769" t="n">
        <v>100000</v>
      </c>
      <c r="D3769" t="n">
        <v>2.66</v>
      </c>
      <c r="E3769" t="n">
        <v>3.13</v>
      </c>
      <c r="F3769" t="n">
        <v>3.68</v>
      </c>
      <c r="G3769" t="n">
        <v>4.32</v>
      </c>
      <c r="H3769" t="n">
        <v>3.4</v>
      </c>
      <c r="I3769" t="n">
        <v>3.99</v>
      </c>
      <c r="J3769" t="n">
        <v>4.69</v>
      </c>
      <c r="K3769" t="n">
        <v>5.51</v>
      </c>
    </row>
    <row r="3770">
      <c r="C3770" t="n">
        <v>125000</v>
      </c>
      <c r="D3770" t="n">
        <v>2.57</v>
      </c>
      <c r="E3770" t="n">
        <v>3.02</v>
      </c>
      <c r="F3770" t="n">
        <v>3.54</v>
      </c>
      <c r="G3770" t="n">
        <v>4.15</v>
      </c>
      <c r="H3770" t="n">
        <v>3.26</v>
      </c>
      <c r="I3770" t="n">
        <v>3.83</v>
      </c>
      <c r="J3770" t="n">
        <v>4.5</v>
      </c>
      <c r="K3770" t="n">
        <v>5.28</v>
      </c>
    </row>
    <row r="3771">
      <c r="C3771" t="n">
        <v>150000</v>
      </c>
      <c r="D3771" t="n">
        <v>2.49</v>
      </c>
      <c r="E3771" t="n">
        <v>2.92</v>
      </c>
      <c r="F3771" t="n">
        <v>3.43</v>
      </c>
      <c r="G3771" t="n">
        <v>4.03</v>
      </c>
      <c r="H3771" t="n">
        <v>3.16</v>
      </c>
      <c r="I3771" t="n">
        <v>3.71</v>
      </c>
      <c r="J3771" t="n">
        <v>4.35</v>
      </c>
      <c r="K3771" t="n">
        <v>5.11</v>
      </c>
    </row>
    <row r="3772">
      <c r="C3772" t="n">
        <v>200000</v>
      </c>
      <c r="D3772" t="n">
        <v>2.4</v>
      </c>
      <c r="E3772" t="n">
        <v>2.81</v>
      </c>
      <c r="F3772" t="n">
        <v>3.28</v>
      </c>
      <c r="G3772" t="n">
        <v>3.84</v>
      </c>
      <c r="H3772" t="n">
        <v>3.04</v>
      </c>
      <c r="I3772" t="n">
        <v>3.55</v>
      </c>
      <c r="J3772" t="n">
        <v>4.16</v>
      </c>
      <c r="K3772" t="n">
        <v>4.86</v>
      </c>
    </row>
    <row r="3773">
      <c r="C3773" t="n">
        <v>250000</v>
      </c>
      <c r="D3773" t="n">
        <v>2.32</v>
      </c>
      <c r="E3773" t="n">
        <v>2.71</v>
      </c>
      <c r="F3773" t="n">
        <v>3.16</v>
      </c>
      <c r="G3773" t="n">
        <v>3.68</v>
      </c>
      <c r="H3773" t="n">
        <v>2.91</v>
      </c>
      <c r="I3773" t="n">
        <v>3.4</v>
      </c>
      <c r="J3773" t="n">
        <v>3.97</v>
      </c>
      <c r="K3773" t="n">
        <v>4.64</v>
      </c>
    </row>
    <row r="3774">
      <c r="C3774" t="n">
        <v>300000</v>
      </c>
      <c r="D3774" t="n">
        <v>2.26</v>
      </c>
      <c r="E3774" t="n">
        <v>2.63</v>
      </c>
      <c r="F3774" t="n">
        <v>3.06</v>
      </c>
      <c r="G3774" t="n">
        <v>3.56</v>
      </c>
      <c r="H3774" t="n">
        <v>2.83</v>
      </c>
      <c r="I3774" t="n">
        <v>3.29</v>
      </c>
      <c r="J3774" t="n">
        <v>3.83</v>
      </c>
      <c r="K3774" t="n">
        <v>4.45</v>
      </c>
    </row>
    <row r="3775">
      <c r="C3775" t="n">
        <v>400000</v>
      </c>
      <c r="D3775" t="n">
        <v>2.18</v>
      </c>
      <c r="E3775" t="n">
        <v>2.53</v>
      </c>
      <c r="F3775" t="n">
        <v>2.93</v>
      </c>
      <c r="G3775" t="n">
        <v>3.4</v>
      </c>
      <c r="H3775" t="n">
        <v>2.73</v>
      </c>
      <c r="I3775" t="n">
        <v>3.16</v>
      </c>
      <c r="J3775" t="n">
        <v>3.66</v>
      </c>
      <c r="K3775" t="n">
        <v>4.23</v>
      </c>
    </row>
    <row r="3776">
      <c r="C3776" t="n">
        <v>600000</v>
      </c>
      <c r="D3776" t="n">
        <v>2.02</v>
      </c>
      <c r="E3776" t="n">
        <v>2.34</v>
      </c>
      <c r="F3776" t="n">
        <v>2.72</v>
      </c>
      <c r="G3776" t="n">
        <v>3.15</v>
      </c>
      <c r="H3776" t="n">
        <v>2.52</v>
      </c>
      <c r="I3776" t="n">
        <v>2.93</v>
      </c>
      <c r="J3776" t="n">
        <v>3.4</v>
      </c>
      <c r="K3776" t="n">
        <v>3.95</v>
      </c>
    </row>
    <row r="3777">
      <c r="C3777" t="n">
        <v>800000</v>
      </c>
      <c r="D3777" t="n">
        <v>1.94</v>
      </c>
      <c r="E3777" t="n">
        <v>2.25</v>
      </c>
      <c r="F3777" t="n">
        <v>2.61</v>
      </c>
      <c r="G3777" t="n">
        <v>3.02</v>
      </c>
      <c r="H3777" t="n">
        <v>2.43</v>
      </c>
      <c r="I3777" t="n">
        <v>2.81</v>
      </c>
      <c r="J3777" t="n">
        <v>3.25</v>
      </c>
      <c r="K3777" t="n">
        <v>3.76</v>
      </c>
    </row>
    <row r="3778">
      <c r="C3778" t="n">
        <v>1000000</v>
      </c>
      <c r="D3778" t="n">
        <v>1.86</v>
      </c>
      <c r="E3778" t="n">
        <v>2.15</v>
      </c>
      <c r="F3778" t="n">
        <v>2.49</v>
      </c>
      <c r="G3778" t="n">
        <v>2.88</v>
      </c>
      <c r="H3778" t="n">
        <v>2.32</v>
      </c>
      <c r="I3778" t="n">
        <v>2.68</v>
      </c>
      <c r="J3778" t="n">
        <v>3.1</v>
      </c>
      <c r="K3778" t="n">
        <v>3.59</v>
      </c>
    </row>
    <row r="3780">
      <c r="B3780" s="899" t="inlineStr">
        <is>
          <t>Section 15 -- MVS 15-37</t>
        </is>
      </c>
      <c r="C3780" s="1251" t="inlineStr">
        <is>
          <t>Coverage (SF)</t>
        </is>
      </c>
      <c r="D3780" s="1251" t="inlineStr">
        <is>
          <t>Wet-Low</t>
        </is>
      </c>
      <c r="E3780" s="1251" t="inlineStr">
        <is>
          <t>Wet-Avg</t>
        </is>
      </c>
      <c r="F3780" s="1251" t="inlineStr">
        <is>
          <t>Wet-Good</t>
        </is>
      </c>
      <c r="G3780" s="1251" t="inlineStr">
        <is>
          <t>Wet-Excl</t>
        </is>
      </c>
      <c r="H3780" s="1251" t="inlineStr">
        <is>
          <t>Dry-Low</t>
        </is>
      </c>
      <c r="I3780" s="1251" t="inlineStr">
        <is>
          <t>Dry-Avg</t>
        </is>
      </c>
      <c r="J3780" s="1251" t="inlineStr">
        <is>
          <t>Dry-Good</t>
        </is>
      </c>
      <c r="K3780" s="1251" t="inlineStr">
        <is>
          <t>Dry-Excl</t>
        </is>
      </c>
    </row>
    <row r="3781">
      <c r="C3781" t="n">
        <v>1500</v>
      </c>
      <c r="D3781" t="n">
        <v>6.24</v>
      </c>
      <c r="E3781" t="n">
        <v>7.41</v>
      </c>
      <c r="F3781" t="n">
        <v>8.800000000000001</v>
      </c>
      <c r="G3781" t="n">
        <v>10.45</v>
      </c>
      <c r="H3781" t="n">
        <v>8.08</v>
      </c>
      <c r="I3781" t="n">
        <v>9.6</v>
      </c>
      <c r="J3781" t="n">
        <v>11.4</v>
      </c>
      <c r="K3781" t="n">
        <v>13.55</v>
      </c>
    </row>
    <row r="3782">
      <c r="C3782" t="n">
        <v>5000</v>
      </c>
      <c r="D3782" t="n">
        <v>5.17</v>
      </c>
      <c r="E3782" t="n">
        <v>6.09</v>
      </c>
      <c r="F3782" t="n">
        <v>7.16</v>
      </c>
      <c r="G3782" t="n">
        <v>8.43</v>
      </c>
      <c r="H3782" t="n">
        <v>6.58</v>
      </c>
      <c r="I3782" t="n">
        <v>7.75</v>
      </c>
      <c r="J3782" t="n">
        <v>9.130000000000001</v>
      </c>
      <c r="K3782" t="n">
        <v>10.75</v>
      </c>
    </row>
    <row r="3783">
      <c r="C3783" t="n">
        <v>10000</v>
      </c>
      <c r="D3783" t="n">
        <v>4.65</v>
      </c>
      <c r="E3783" t="n">
        <v>5.45</v>
      </c>
      <c r="F3783" t="n">
        <v>6.38</v>
      </c>
      <c r="G3783" t="n">
        <v>7.47</v>
      </c>
      <c r="H3783" t="n">
        <v>5.89</v>
      </c>
      <c r="I3783" t="n">
        <v>6.9</v>
      </c>
      <c r="J3783" t="n">
        <v>8.07</v>
      </c>
      <c r="K3783" t="n">
        <v>9.449999999999999</v>
      </c>
    </row>
    <row r="3784">
      <c r="C3784" t="n">
        <v>20000</v>
      </c>
      <c r="D3784" t="n">
        <v>4.14</v>
      </c>
      <c r="E3784" t="n">
        <v>4.83</v>
      </c>
      <c r="F3784" t="n">
        <v>5.64</v>
      </c>
      <c r="G3784" t="n">
        <v>6.58</v>
      </c>
      <c r="H3784" t="n">
        <v>5.23</v>
      </c>
      <c r="I3784" t="n">
        <v>6.1</v>
      </c>
      <c r="J3784" t="n">
        <v>7.12</v>
      </c>
      <c r="K3784" t="n">
        <v>8.300000000000001</v>
      </c>
    </row>
    <row r="3785">
      <c r="C3785" t="n">
        <v>50000</v>
      </c>
      <c r="D3785" t="n">
        <v>3.61</v>
      </c>
      <c r="E3785" t="n">
        <v>4.17</v>
      </c>
      <c r="F3785" t="n">
        <v>4.83</v>
      </c>
      <c r="G3785" t="n">
        <v>5.58</v>
      </c>
      <c r="H3785" t="n">
        <v>4.47</v>
      </c>
      <c r="I3785" t="n">
        <v>5.18</v>
      </c>
      <c r="J3785" t="n">
        <v>6</v>
      </c>
      <c r="K3785" t="n">
        <v>6.96</v>
      </c>
    </row>
    <row r="3786">
      <c r="C3786" t="n">
        <v>100000</v>
      </c>
      <c r="D3786" t="n">
        <v>3.26</v>
      </c>
      <c r="E3786" t="n">
        <v>3.75</v>
      </c>
      <c r="F3786" t="n">
        <v>4.31</v>
      </c>
      <c r="G3786" t="n">
        <v>4.95</v>
      </c>
      <c r="H3786" t="n">
        <v>4</v>
      </c>
      <c r="I3786" t="n">
        <v>4.61</v>
      </c>
      <c r="J3786" t="n">
        <v>5.31</v>
      </c>
      <c r="K3786" t="n">
        <v>6.11</v>
      </c>
    </row>
    <row r="3787">
      <c r="C3787" t="n">
        <v>250000</v>
      </c>
      <c r="D3787" t="n">
        <v>2.8</v>
      </c>
      <c r="E3787" t="n">
        <v>3.21</v>
      </c>
      <c r="F3787" t="n">
        <v>3.67</v>
      </c>
      <c r="G3787" t="n">
        <v>4.21</v>
      </c>
      <c r="H3787" t="n">
        <v>3.43</v>
      </c>
      <c r="I3787" t="n">
        <v>3.93</v>
      </c>
      <c r="J3787" t="n">
        <v>4.5</v>
      </c>
      <c r="K3787" t="n">
        <v>5.15</v>
      </c>
    </row>
    <row r="3788">
      <c r="C3788" t="n">
        <v>500000</v>
      </c>
      <c r="D3788" t="n">
        <v>2.52</v>
      </c>
      <c r="E3788" t="n">
        <v>2.87</v>
      </c>
      <c r="F3788" t="n">
        <v>3.27</v>
      </c>
      <c r="G3788" t="n">
        <v>3.72</v>
      </c>
      <c r="H3788" t="n">
        <v>3.06</v>
      </c>
      <c r="I3788" t="n">
        <v>3.48</v>
      </c>
      <c r="J3788" t="n">
        <v>3.95</v>
      </c>
      <c r="K3788" t="n">
        <v>4.49</v>
      </c>
    </row>
    <row r="3790">
      <c r="B3790" s="899" t="inlineStr">
        <is>
          <t>Section 16 -- MVS 16-25</t>
        </is>
      </c>
      <c r="C3790" s="1251" t="inlineStr">
        <is>
          <t>Coverage (SF)</t>
        </is>
      </c>
      <c r="D3790" s="1251" t="inlineStr">
        <is>
          <t>Wet-Low</t>
        </is>
      </c>
      <c r="E3790" s="1251" t="inlineStr">
        <is>
          <t>Wet-Avg</t>
        </is>
      </c>
      <c r="F3790" s="1251" t="inlineStr">
        <is>
          <t>Wet-Good</t>
        </is>
      </c>
      <c r="G3790" s="1251" t="inlineStr">
        <is>
          <t>Wet-Excl</t>
        </is>
      </c>
      <c r="H3790" s="1251" t="inlineStr">
        <is>
          <t>Dry-Low</t>
        </is>
      </c>
      <c r="I3790" s="1251" t="inlineStr">
        <is>
          <t>Dry-Avg</t>
        </is>
      </c>
      <c r="J3790" s="1251" t="inlineStr">
        <is>
          <t>Dry-Good</t>
        </is>
      </c>
      <c r="K3790" s="1251" t="inlineStr">
        <is>
          <t>Dry-Excl</t>
        </is>
      </c>
    </row>
    <row r="3791">
      <c r="C3791" t="n">
        <v>3000</v>
      </c>
      <c r="D3791" t="n">
        <v>5.55</v>
      </c>
      <c r="E3791" t="n">
        <v>6.53</v>
      </c>
      <c r="F3791" t="n">
        <v>7.67</v>
      </c>
      <c r="G3791" t="n">
        <v>9.02</v>
      </c>
      <c r="H3791" t="n">
        <v>7.09</v>
      </c>
      <c r="I3791" t="n">
        <v>8.33</v>
      </c>
      <c r="J3791" t="n">
        <v>9.789999999999999</v>
      </c>
      <c r="K3791" t="n">
        <v>11.5</v>
      </c>
    </row>
    <row r="3792">
      <c r="C3792" t="n">
        <v>5000</v>
      </c>
      <c r="D3792" t="n">
        <v>5.15</v>
      </c>
      <c r="E3792" t="n">
        <v>6.02</v>
      </c>
      <c r="F3792" t="n">
        <v>7.05</v>
      </c>
      <c r="G3792" t="n">
        <v>8.24</v>
      </c>
      <c r="H3792" t="n">
        <v>6.51</v>
      </c>
      <c r="I3792" t="n">
        <v>7.61</v>
      </c>
      <c r="J3792" t="n">
        <v>8.9</v>
      </c>
      <c r="K3792" t="n">
        <v>10.4</v>
      </c>
    </row>
    <row r="3793">
      <c r="C3793" t="n">
        <v>10000</v>
      </c>
      <c r="D3793" t="n">
        <v>4.64</v>
      </c>
      <c r="E3793" t="n">
        <v>5.39</v>
      </c>
      <c r="F3793" t="n">
        <v>6.27</v>
      </c>
      <c r="G3793" t="n">
        <v>7.28</v>
      </c>
      <c r="H3793" t="n">
        <v>5.8</v>
      </c>
      <c r="I3793" t="n">
        <v>6.73</v>
      </c>
      <c r="J3793" t="n">
        <v>7.82</v>
      </c>
      <c r="K3793" t="n">
        <v>9.08</v>
      </c>
    </row>
    <row r="3794">
      <c r="C3794" t="n">
        <v>15000</v>
      </c>
      <c r="D3794" t="n">
        <v>4.33</v>
      </c>
      <c r="E3794" t="n">
        <v>5.03</v>
      </c>
      <c r="F3794" t="n">
        <v>5.84</v>
      </c>
      <c r="G3794" t="n">
        <v>6.78</v>
      </c>
      <c r="H3794" t="n">
        <v>5.41</v>
      </c>
      <c r="I3794" t="n">
        <v>6.28</v>
      </c>
      <c r="J3794" t="n">
        <v>7.3</v>
      </c>
      <c r="K3794" t="n">
        <v>8.48</v>
      </c>
    </row>
    <row r="3795">
      <c r="C3795" t="n">
        <v>20000</v>
      </c>
      <c r="D3795" t="n">
        <v>4.15</v>
      </c>
      <c r="E3795" t="n">
        <v>4.81</v>
      </c>
      <c r="F3795" t="n">
        <v>5.57</v>
      </c>
      <c r="G3795" t="n">
        <v>6.45</v>
      </c>
      <c r="H3795" t="n">
        <v>5.17</v>
      </c>
      <c r="I3795" t="n">
        <v>5.98</v>
      </c>
      <c r="J3795" t="n">
        <v>6.93</v>
      </c>
      <c r="K3795" t="n">
        <v>8.02</v>
      </c>
    </row>
    <row r="3796">
      <c r="C3796" t="n">
        <v>30000</v>
      </c>
      <c r="D3796" t="n">
        <v>3.88</v>
      </c>
      <c r="E3796" t="n">
        <v>4.49</v>
      </c>
      <c r="F3796" t="n">
        <v>5.19</v>
      </c>
      <c r="G3796" t="n">
        <v>6.01</v>
      </c>
      <c r="H3796" t="n">
        <v>4.83</v>
      </c>
      <c r="I3796" t="n">
        <v>5.59</v>
      </c>
      <c r="J3796" t="n">
        <v>6.46</v>
      </c>
      <c r="K3796" t="n">
        <v>7.47</v>
      </c>
    </row>
    <row r="3797">
      <c r="C3797" t="n">
        <v>40000</v>
      </c>
      <c r="D3797" t="n">
        <v>3.73</v>
      </c>
      <c r="E3797" t="n">
        <v>4.3</v>
      </c>
      <c r="F3797" t="n">
        <v>4.95</v>
      </c>
      <c r="G3797" t="n">
        <v>5.71</v>
      </c>
      <c r="H3797" t="n">
        <v>4.61</v>
      </c>
      <c r="I3797" t="n">
        <v>5.31</v>
      </c>
      <c r="J3797" t="n">
        <v>6.12</v>
      </c>
      <c r="K3797" t="n">
        <v>7.05</v>
      </c>
    </row>
    <row r="3798">
      <c r="C3798" t="n">
        <v>60000</v>
      </c>
      <c r="D3798" t="n">
        <v>3.52</v>
      </c>
      <c r="E3798" t="n">
        <v>4.03</v>
      </c>
      <c r="F3798" t="n">
        <v>4.62</v>
      </c>
      <c r="G3798" t="n">
        <v>5.29</v>
      </c>
      <c r="H3798" t="n">
        <v>4.31</v>
      </c>
      <c r="I3798" t="n">
        <v>4.95</v>
      </c>
      <c r="J3798" t="n">
        <v>5.67</v>
      </c>
      <c r="K3798" t="n">
        <v>6.51</v>
      </c>
    </row>
    <row r="3799">
      <c r="C3799" t="n">
        <v>80000</v>
      </c>
      <c r="D3799" t="n">
        <v>3.36</v>
      </c>
      <c r="E3799" t="n">
        <v>3.85</v>
      </c>
      <c r="F3799" t="n">
        <v>4.4</v>
      </c>
      <c r="G3799" t="n">
        <v>5.04</v>
      </c>
      <c r="H3799" t="n">
        <v>4.12</v>
      </c>
      <c r="I3799" t="n">
        <v>4.72</v>
      </c>
      <c r="J3799" t="n">
        <v>5.4</v>
      </c>
      <c r="K3799" t="n">
        <v>6.18</v>
      </c>
    </row>
    <row r="3800">
      <c r="C3800" t="n">
        <v>100000</v>
      </c>
      <c r="D3800" t="n">
        <v>3.23</v>
      </c>
      <c r="E3800" t="n">
        <v>3.69</v>
      </c>
      <c r="F3800" t="n">
        <v>4.22</v>
      </c>
      <c r="G3800" t="n">
        <v>4.83</v>
      </c>
      <c r="H3800" t="n">
        <v>3.96</v>
      </c>
      <c r="I3800" t="n">
        <v>4.53</v>
      </c>
      <c r="J3800" t="n">
        <v>5.17</v>
      </c>
      <c r="K3800" t="n">
        <v>5.91</v>
      </c>
    </row>
    <row r="3801">
      <c r="C3801" t="n">
        <v>125000</v>
      </c>
      <c r="D3801" t="n">
        <v>3.15</v>
      </c>
      <c r="E3801" t="n">
        <v>3.59</v>
      </c>
      <c r="F3801" t="n">
        <v>4.09</v>
      </c>
      <c r="G3801" t="n">
        <v>4.66</v>
      </c>
      <c r="H3801" t="n">
        <v>3.84</v>
      </c>
      <c r="I3801" t="n">
        <v>4.37</v>
      </c>
      <c r="J3801" t="n">
        <v>4.98</v>
      </c>
      <c r="K3801" t="n">
        <v>5.67</v>
      </c>
    </row>
    <row r="3802">
      <c r="C3802" t="n">
        <v>150000</v>
      </c>
      <c r="D3802" t="n">
        <v>3.03</v>
      </c>
      <c r="E3802" t="n">
        <v>3.45</v>
      </c>
      <c r="F3802" t="n">
        <v>3.93</v>
      </c>
      <c r="G3802" t="n">
        <v>4.47</v>
      </c>
      <c r="H3802" t="n">
        <v>3.68</v>
      </c>
      <c r="I3802" t="n">
        <v>4.19</v>
      </c>
      <c r="J3802" t="n">
        <v>4.78</v>
      </c>
      <c r="K3802" t="n">
        <v>5.45</v>
      </c>
    </row>
    <row r="3803">
      <c r="C3803" t="n">
        <v>200000</v>
      </c>
      <c r="D3803" t="n">
        <v>2.92</v>
      </c>
      <c r="E3803" t="n">
        <v>3.32</v>
      </c>
      <c r="F3803" t="n">
        <v>3.77</v>
      </c>
      <c r="G3803" t="n">
        <v>4.28</v>
      </c>
      <c r="H3803" t="n">
        <v>3.53</v>
      </c>
      <c r="I3803" t="n">
        <v>4.01</v>
      </c>
      <c r="J3803" t="n">
        <v>4.56</v>
      </c>
      <c r="K3803" t="n">
        <v>5.18</v>
      </c>
    </row>
    <row r="3804">
      <c r="C3804" t="n">
        <v>250000</v>
      </c>
      <c r="D3804" t="n">
        <v>2.81</v>
      </c>
      <c r="E3804" t="n">
        <v>3.19</v>
      </c>
      <c r="F3804" t="n">
        <v>3.63</v>
      </c>
      <c r="G3804" t="n">
        <v>4.12</v>
      </c>
      <c r="H3804" t="n">
        <v>3.39</v>
      </c>
      <c r="I3804" t="n">
        <v>3.85</v>
      </c>
      <c r="J3804" t="n">
        <v>4.38</v>
      </c>
      <c r="K3804" t="n">
        <v>4.98</v>
      </c>
    </row>
    <row r="3805">
      <c r="C3805" t="n">
        <v>300000</v>
      </c>
      <c r="D3805" t="n">
        <v>2.74</v>
      </c>
      <c r="E3805" t="n">
        <v>3.1</v>
      </c>
      <c r="F3805" t="n">
        <v>3.51</v>
      </c>
      <c r="G3805" t="n">
        <v>3.98</v>
      </c>
      <c r="H3805" t="n">
        <v>3.3</v>
      </c>
      <c r="I3805" t="n">
        <v>3.74</v>
      </c>
      <c r="J3805" t="n">
        <v>4.23</v>
      </c>
      <c r="K3805" t="n">
        <v>4.79</v>
      </c>
    </row>
    <row r="3806">
      <c r="C3806" t="n">
        <v>400000</v>
      </c>
      <c r="D3806" t="n">
        <v>2.62</v>
      </c>
      <c r="E3806" t="n">
        <v>2.96</v>
      </c>
      <c r="F3806" t="n">
        <v>3.35</v>
      </c>
      <c r="G3806" t="n">
        <v>3.79</v>
      </c>
      <c r="H3806" t="n">
        <v>3.15</v>
      </c>
      <c r="I3806" t="n">
        <v>3.57</v>
      </c>
      <c r="J3806" t="n">
        <v>4.04</v>
      </c>
      <c r="K3806" t="n">
        <v>4.57</v>
      </c>
    </row>
    <row r="3807">
      <c r="C3807" t="n">
        <v>500000</v>
      </c>
      <c r="D3807" t="n">
        <v>2.55</v>
      </c>
      <c r="E3807" t="n">
        <v>2.87</v>
      </c>
      <c r="F3807" t="n">
        <v>3.24</v>
      </c>
      <c r="G3807" t="n">
        <v>3.65</v>
      </c>
      <c r="H3807" t="n">
        <v>3.04</v>
      </c>
      <c r="I3807" t="n">
        <v>3.42</v>
      </c>
      <c r="J3807" t="n">
        <v>3.85</v>
      </c>
      <c r="K3807" t="n">
        <v>4.34</v>
      </c>
    </row>
    <row r="3809">
      <c r="B3809" s="899" t="inlineStr">
        <is>
          <t>Section 18 -- MVS 18-36</t>
        </is>
      </c>
      <c r="C3809" s="1251" t="inlineStr">
        <is>
          <t>Coverage (SF)</t>
        </is>
      </c>
      <c r="D3809" s="1251" t="inlineStr">
        <is>
          <t>Wet-Low</t>
        </is>
      </c>
      <c r="E3809" s="1251" t="inlineStr">
        <is>
          <t>Wet-Avg</t>
        </is>
      </c>
      <c r="F3809" s="1251" t="inlineStr">
        <is>
          <t>Wet-Good</t>
        </is>
      </c>
      <c r="G3809" s="1251" t="inlineStr">
        <is>
          <t>Wet-Excl</t>
        </is>
      </c>
      <c r="H3809" s="1251" t="inlineStr">
        <is>
          <t>Dry-Low</t>
        </is>
      </c>
      <c r="I3809" s="1251" t="inlineStr">
        <is>
          <t>Dry-Avg</t>
        </is>
      </c>
      <c r="J3809" s="1251" t="inlineStr">
        <is>
          <t>Dry-Good</t>
        </is>
      </c>
      <c r="K3809" s="1251" t="inlineStr">
        <is>
          <t>Dry-Excl</t>
        </is>
      </c>
    </row>
    <row r="3810">
      <c r="C3810" t="n">
        <v>3000</v>
      </c>
      <c r="D3810" t="n">
        <v>5.58</v>
      </c>
      <c r="E3810" t="n">
        <v>6.58</v>
      </c>
      <c r="F3810" t="n">
        <v>7.76</v>
      </c>
      <c r="G3810" t="n">
        <v>9.15</v>
      </c>
      <c r="H3810" t="n">
        <v>7.16</v>
      </c>
      <c r="I3810" t="n">
        <v>8.43</v>
      </c>
      <c r="J3810" t="n">
        <v>9.93</v>
      </c>
      <c r="K3810" t="n">
        <v>11.7</v>
      </c>
    </row>
    <row r="3811">
      <c r="C3811" t="n">
        <v>5000</v>
      </c>
      <c r="D3811" t="n">
        <v>5.19</v>
      </c>
      <c r="E3811" t="n">
        <v>6.09</v>
      </c>
      <c r="F3811" t="n">
        <v>7.14</v>
      </c>
      <c r="G3811" t="n">
        <v>8.369999999999999</v>
      </c>
      <c r="H3811" t="n">
        <v>6.59</v>
      </c>
      <c r="I3811" t="n">
        <v>7.73</v>
      </c>
      <c r="J3811" t="n">
        <v>9.08</v>
      </c>
      <c r="K3811" t="n">
        <v>10.65</v>
      </c>
    </row>
    <row r="3812">
      <c r="C3812" t="n">
        <v>10000</v>
      </c>
      <c r="D3812" t="n">
        <v>4.67</v>
      </c>
      <c r="E3812" t="n">
        <v>5.45</v>
      </c>
      <c r="F3812" t="n">
        <v>6.35</v>
      </c>
      <c r="G3812" t="n">
        <v>7.41</v>
      </c>
      <c r="H3812" t="n">
        <v>5.87</v>
      </c>
      <c r="I3812" t="n">
        <v>6.85</v>
      </c>
      <c r="J3812" t="n">
        <v>7.98</v>
      </c>
      <c r="K3812" t="n">
        <v>9.31</v>
      </c>
    </row>
    <row r="3813">
      <c r="C3813" t="n">
        <v>15000</v>
      </c>
      <c r="D3813" t="n">
        <v>4.38</v>
      </c>
      <c r="E3813" t="n">
        <v>5.09</v>
      </c>
      <c r="F3813" t="n">
        <v>5.92</v>
      </c>
      <c r="G3813" t="n">
        <v>6.88</v>
      </c>
      <c r="H3813" t="n">
        <v>5.49</v>
      </c>
      <c r="I3813" t="n">
        <v>6.38</v>
      </c>
      <c r="J3813" t="n">
        <v>7.41</v>
      </c>
      <c r="K3813" t="n">
        <v>8.609999999999999</v>
      </c>
    </row>
    <row r="3814">
      <c r="C3814" t="n">
        <v>20000</v>
      </c>
      <c r="D3814" t="n">
        <v>4.16</v>
      </c>
      <c r="E3814" t="n">
        <v>4.83</v>
      </c>
      <c r="F3814" t="n">
        <v>5.61</v>
      </c>
      <c r="G3814" t="n">
        <v>6.51</v>
      </c>
      <c r="H3814" t="n">
        <v>5.2</v>
      </c>
      <c r="I3814" t="n">
        <v>6.04</v>
      </c>
      <c r="J3814" t="n">
        <v>7.02</v>
      </c>
      <c r="K3814" t="n">
        <v>8.15</v>
      </c>
    </row>
    <row r="3815">
      <c r="C3815" t="n">
        <v>30000</v>
      </c>
      <c r="D3815" t="n">
        <v>3.93</v>
      </c>
      <c r="E3815" t="n">
        <v>4.55</v>
      </c>
      <c r="F3815" t="n">
        <v>5.26</v>
      </c>
      <c r="G3815" t="n">
        <v>6.09</v>
      </c>
      <c r="H3815" t="n">
        <v>4.89</v>
      </c>
      <c r="I3815" t="n">
        <v>5.65</v>
      </c>
      <c r="J3815" t="n">
        <v>6.53</v>
      </c>
      <c r="K3815" t="n">
        <v>7.55</v>
      </c>
    </row>
    <row r="3816">
      <c r="C3816" t="n">
        <v>50000</v>
      </c>
      <c r="D3816" t="n">
        <v>3.64</v>
      </c>
      <c r="E3816" t="n">
        <v>4.19</v>
      </c>
      <c r="F3816" t="n">
        <v>4.82</v>
      </c>
      <c r="G3816" t="n">
        <v>5.55</v>
      </c>
      <c r="H3816" t="n">
        <v>4.49</v>
      </c>
      <c r="I3816" t="n">
        <v>5.17</v>
      </c>
      <c r="J3816" t="n">
        <v>5.96</v>
      </c>
      <c r="K3816" t="n">
        <v>6.86</v>
      </c>
    </row>
    <row r="3817">
      <c r="C3817" t="n">
        <v>75000</v>
      </c>
      <c r="D3817" t="n">
        <v>3.45</v>
      </c>
      <c r="E3817" t="n">
        <v>3.95</v>
      </c>
      <c r="F3817" t="n">
        <v>4.53</v>
      </c>
      <c r="G3817" t="n">
        <v>5.19</v>
      </c>
      <c r="H3817" t="n">
        <v>4.23</v>
      </c>
      <c r="I3817" t="n">
        <v>4.85</v>
      </c>
      <c r="J3817" t="n">
        <v>5.55</v>
      </c>
      <c r="K3817" t="n">
        <v>6.36</v>
      </c>
    </row>
    <row r="3818">
      <c r="C3818" t="n">
        <v>100000</v>
      </c>
      <c r="D3818" t="n">
        <v>3.3</v>
      </c>
      <c r="E3818" t="n">
        <v>3.76</v>
      </c>
      <c r="F3818" t="n">
        <v>4.3</v>
      </c>
      <c r="G3818" t="n">
        <v>4.9</v>
      </c>
      <c r="H3818" t="n">
        <v>4.02</v>
      </c>
      <c r="I3818" t="n">
        <v>4.59</v>
      </c>
      <c r="J3818" t="n">
        <v>5.24</v>
      </c>
      <c r="K3818" t="n">
        <v>5.99</v>
      </c>
    </row>
    <row r="3819">
      <c r="C3819" t="n">
        <v>125000</v>
      </c>
      <c r="D3819" t="n">
        <v>3.17</v>
      </c>
      <c r="E3819" t="n">
        <v>3.62</v>
      </c>
      <c r="F3819" t="n">
        <v>4.14</v>
      </c>
      <c r="G3819" t="n">
        <v>4.73</v>
      </c>
      <c r="H3819" t="n">
        <v>3.86</v>
      </c>
      <c r="I3819" t="n">
        <v>4.41</v>
      </c>
      <c r="J3819" t="n">
        <v>5.05</v>
      </c>
      <c r="K3819" t="n">
        <v>5.77</v>
      </c>
    </row>
    <row r="3820">
      <c r="C3820" t="n">
        <v>150000</v>
      </c>
      <c r="D3820" t="n">
        <v>3.11</v>
      </c>
      <c r="E3820" t="n">
        <v>3.54</v>
      </c>
      <c r="F3820" t="n">
        <v>4.02</v>
      </c>
      <c r="G3820" t="n">
        <v>4.57</v>
      </c>
      <c r="H3820" t="n">
        <v>3.77</v>
      </c>
      <c r="I3820" t="n">
        <v>4.29</v>
      </c>
      <c r="J3820" t="n">
        <v>4.88</v>
      </c>
      <c r="K3820" t="n">
        <v>5.55</v>
      </c>
    </row>
    <row r="3821">
      <c r="C3821" t="n">
        <v>200000</v>
      </c>
      <c r="D3821" t="n">
        <v>2.98</v>
      </c>
      <c r="E3821" t="n">
        <v>3.38</v>
      </c>
      <c r="F3821" t="n">
        <v>3.83</v>
      </c>
      <c r="G3821" t="n">
        <v>4.35</v>
      </c>
      <c r="H3821" t="n">
        <v>3.6</v>
      </c>
      <c r="I3821" t="n">
        <v>4.08</v>
      </c>
      <c r="J3821" t="n">
        <v>4.63</v>
      </c>
      <c r="K3821" t="n">
        <v>5.25</v>
      </c>
    </row>
    <row r="3822">
      <c r="C3822" t="n">
        <v>250000</v>
      </c>
      <c r="D3822" t="n">
        <v>2.87</v>
      </c>
      <c r="E3822" t="n">
        <v>3.25</v>
      </c>
      <c r="F3822" t="n">
        <v>3.69</v>
      </c>
      <c r="G3822" t="n">
        <v>4.18</v>
      </c>
      <c r="H3822" t="n">
        <v>3.47</v>
      </c>
      <c r="I3822" t="n">
        <v>3.93</v>
      </c>
      <c r="J3822" t="n">
        <v>4.46</v>
      </c>
      <c r="K3822" t="n">
        <v>5.05</v>
      </c>
    </row>
    <row r="3823">
      <c r="C3823" t="n">
        <v>300000</v>
      </c>
      <c r="D3823" t="n">
        <v>2.78</v>
      </c>
      <c r="E3823" t="n">
        <v>3.15</v>
      </c>
      <c r="F3823" t="n">
        <v>3.57</v>
      </c>
      <c r="G3823" t="n">
        <v>4.04</v>
      </c>
      <c r="H3823" t="n">
        <v>3.34</v>
      </c>
      <c r="I3823" t="n">
        <v>3.78</v>
      </c>
      <c r="J3823" t="n">
        <v>4.29</v>
      </c>
      <c r="K3823" t="n">
        <v>4.86</v>
      </c>
    </row>
    <row r="3824">
      <c r="C3824" t="n">
        <v>400000</v>
      </c>
      <c r="D3824" t="n">
        <v>2.67</v>
      </c>
      <c r="E3824" t="n">
        <v>3.01</v>
      </c>
      <c r="F3824" t="n">
        <v>3.4</v>
      </c>
      <c r="G3824" t="n">
        <v>3.83</v>
      </c>
      <c r="H3824" t="n">
        <v>3.19</v>
      </c>
      <c r="I3824" t="n">
        <v>3.61</v>
      </c>
      <c r="J3824" t="n">
        <v>4.08</v>
      </c>
      <c r="K3824" t="n">
        <v>4.61</v>
      </c>
    </row>
    <row r="3825">
      <c r="C3825" t="n">
        <v>500000</v>
      </c>
      <c r="D3825" t="n">
        <v>2.57</v>
      </c>
      <c r="E3825" t="n">
        <v>2.9</v>
      </c>
      <c r="F3825" t="n">
        <v>3.27</v>
      </c>
      <c r="G3825" t="n">
        <v>3.69</v>
      </c>
      <c r="H3825" t="n">
        <v>3.09</v>
      </c>
      <c r="I3825" t="n">
        <v>3.48</v>
      </c>
      <c r="J3825" t="n">
        <v>3.92</v>
      </c>
      <c r="K3825" t="n">
        <v>4.42</v>
      </c>
    </row>
    <row r="3828">
      <c r="B3828" s="1250" t="inlineStr">
        <is>
          <t>REFERENCE 7 -- Elevator Lump-Sum + Per-Stop Cost Tables (per MVS section) -- for manual add/deduct</t>
        </is>
      </c>
    </row>
    <row r="3829">
      <c r="B3829" s="899" t="inlineStr">
        <is>
          <t>Section 11 -- MVS 11-35</t>
        </is>
      </c>
      <c r="C3829" s="1251" t="inlineStr">
        <is>
          <t>Type</t>
        </is>
      </c>
      <c r="D3829" s="1251" t="inlineStr">
        <is>
          <t>Low</t>
        </is>
      </c>
      <c r="E3829" s="1251" t="inlineStr">
        <is>
          <t>Average</t>
        </is>
      </c>
      <c r="F3829" s="1251" t="inlineStr">
        <is>
          <t>Good</t>
        </is>
      </c>
      <c r="G3829" s="1251" t="inlineStr">
        <is>
          <t>Excellent</t>
        </is>
      </c>
    </row>
    <row r="3830">
      <c r="C3830" t="inlineStr">
        <is>
          <t>Passenger, 2-3 story (base)</t>
        </is>
      </c>
      <c r="D3830" t="n">
        <v>67500</v>
      </c>
      <c r="E3830" t="n">
        <v>79500</v>
      </c>
      <c r="F3830" t="n">
        <v>93750</v>
      </c>
      <c r="G3830" t="n">
        <v>110000</v>
      </c>
    </row>
    <row r="3831">
      <c r="C3831" t="inlineStr">
        <is>
          <t>Passenger, 4-7 story (base)</t>
        </is>
      </c>
      <c r="D3831" t="n">
        <v>117000</v>
      </c>
      <c r="E3831" t="n">
        <v>135000</v>
      </c>
      <c r="F3831" t="n">
        <v>154000</v>
      </c>
      <c r="G3831" t="n">
        <v>177000</v>
      </c>
    </row>
    <row r="3832">
      <c r="C3832" t="inlineStr">
        <is>
          <t>Passenger, 8-story+ (base)</t>
        </is>
      </c>
      <c r="D3832" t="n">
        <v>180000</v>
      </c>
      <c r="E3832" t="n">
        <v>228000</v>
      </c>
      <c r="F3832" t="n">
        <v>287000</v>
      </c>
      <c r="G3832" t="n">
        <v>363000</v>
      </c>
    </row>
    <row r="3833">
      <c r="C3833" t="inlineStr">
        <is>
          <t>Passenger, per stop</t>
        </is>
      </c>
      <c r="D3833" t="n">
        <v>9700</v>
      </c>
      <c r="E3833" t="n">
        <v>11100</v>
      </c>
      <c r="F3833" t="n">
        <v>12800</v>
      </c>
      <c r="G3833" t="n">
        <v>14700</v>
      </c>
    </row>
    <row r="3834">
      <c r="C3834" t="inlineStr">
        <is>
          <t>Freight, 2-3 story (base)</t>
        </is>
      </c>
      <c r="D3834" t="n">
        <v>51000</v>
      </c>
      <c r="E3834" t="n">
        <v>67500</v>
      </c>
      <c r="F3834" t="n">
        <v>89000</v>
      </c>
      <c r="G3834" t="n">
        <v>118000</v>
      </c>
    </row>
    <row r="3835">
      <c r="C3835" t="inlineStr">
        <is>
          <t>Freight, 4-story+ (base)</t>
        </is>
      </c>
      <c r="D3835" t="n">
        <v>100000</v>
      </c>
      <c r="E3835" t="n">
        <v>126000</v>
      </c>
      <c r="F3835" t="n">
        <v>160000</v>
      </c>
      <c r="G3835" t="n">
        <v>202000</v>
      </c>
    </row>
    <row r="3836">
      <c r="C3836" t="inlineStr">
        <is>
          <t>Freight, per stop (manual doors)</t>
        </is>
      </c>
      <c r="D3836" t="n">
        <v>12900</v>
      </c>
      <c r="E3836" t="n">
        <v>14100</v>
      </c>
      <c r="F3836" t="n">
        <v>15300</v>
      </c>
      <c r="G3836" t="n">
        <v>16700</v>
      </c>
    </row>
    <row r="3837">
      <c r="C3837" t="inlineStr">
        <is>
          <t>Freight, per stop (power doors)</t>
        </is>
      </c>
      <c r="D3837" t="n">
        <v>22400</v>
      </c>
      <c r="E3837" t="n">
        <v>24400</v>
      </c>
      <c r="F3837" t="n">
        <v>26600</v>
      </c>
      <c r="G3837" t="n">
        <v>29000</v>
      </c>
    </row>
    <row r="3838">
      <c r="C3838" t="inlineStr">
        <is>
          <t>Escalator, per stairway</t>
        </is>
      </c>
      <c r="D3838" t="n">
        <v>260000</v>
      </c>
      <c r="E3838" t="n">
        <v>276000</v>
      </c>
      <c r="F3838" t="n">
        <v>294000</v>
      </c>
      <c r="G3838" t="n">
        <v>312000</v>
      </c>
    </row>
    <row r="3839">
      <c r="C3839" t="inlineStr">
        <is>
          <t>Vertical wheelchair lift, each</t>
        </is>
      </c>
      <c r="D3839" t="n">
        <v>17200</v>
      </c>
      <c r="E3839" t="n">
        <v>22300</v>
      </c>
      <c r="F3839" t="n">
        <v>29000</v>
      </c>
      <c r="G3839" t="n">
        <v>37600</v>
      </c>
    </row>
    <row r="3841">
      <c r="B3841" s="899" t="inlineStr">
        <is>
          <t>Section 12 -- MVS 12-38</t>
        </is>
      </c>
      <c r="C3841" s="1251" t="inlineStr">
        <is>
          <t>Type</t>
        </is>
      </c>
      <c r="D3841" s="1251" t="inlineStr">
        <is>
          <t>Low</t>
        </is>
      </c>
      <c r="E3841" s="1251" t="inlineStr">
        <is>
          <t>Average</t>
        </is>
      </c>
      <c r="F3841" s="1251" t="inlineStr">
        <is>
          <t>Good</t>
        </is>
      </c>
      <c r="G3841" s="1251" t="inlineStr">
        <is>
          <t>Excellent</t>
        </is>
      </c>
    </row>
    <row r="3842">
      <c r="C3842" t="inlineStr">
        <is>
          <t>Passenger, 2-3 story (base)</t>
        </is>
      </c>
      <c r="D3842" t="n">
        <v>61500</v>
      </c>
      <c r="E3842" t="n">
        <v>71750</v>
      </c>
      <c r="F3842" t="n">
        <v>84000</v>
      </c>
      <c r="G3842" t="n">
        <v>99000</v>
      </c>
    </row>
    <row r="3843">
      <c r="C3843" t="inlineStr">
        <is>
          <t>Passenger, per stop</t>
        </is>
      </c>
      <c r="D3843" t="n">
        <v>8550</v>
      </c>
      <c r="E3843" t="n">
        <v>9950</v>
      </c>
      <c r="F3843" t="n">
        <v>11700</v>
      </c>
      <c r="G3843" t="n">
        <v>13700</v>
      </c>
    </row>
    <row r="3844">
      <c r="C3844" t="inlineStr">
        <is>
          <t>Vertical wheelchair lift, each</t>
        </is>
      </c>
      <c r="D3844" t="n">
        <v>14800</v>
      </c>
      <c r="E3844" t="n">
        <v>19000</v>
      </c>
      <c r="F3844" t="n">
        <v>24500</v>
      </c>
      <c r="G3844" t="n">
        <v>31400</v>
      </c>
    </row>
    <row r="3846">
      <c r="B3846" s="899" t="inlineStr">
        <is>
          <t>Section 13 [Sec.14 schedule applies] -- MVS 13-39</t>
        </is>
      </c>
      <c r="C3846" s="1251" t="inlineStr">
        <is>
          <t>Type</t>
        </is>
      </c>
      <c r="D3846" s="1251" t="inlineStr">
        <is>
          <t>Low</t>
        </is>
      </c>
      <c r="E3846" s="1251" t="inlineStr">
        <is>
          <t>Average</t>
        </is>
      </c>
      <c r="F3846" s="1251" t="inlineStr">
        <is>
          <t>Good</t>
        </is>
      </c>
      <c r="G3846" s="1251" t="inlineStr">
        <is>
          <t>Excellent</t>
        </is>
      </c>
    </row>
    <row r="3847">
      <c r="C3847" t="inlineStr">
        <is>
          <t>Passenger, 2-3 story (base) [see Sec.14 sched.]</t>
        </is>
      </c>
      <c r="D3847" t="n">
        <v>66250</v>
      </c>
      <c r="E3847" t="n">
        <v>78000</v>
      </c>
      <c r="F3847" t="n">
        <v>92000</v>
      </c>
      <c r="G3847" t="n">
        <v>108000</v>
      </c>
    </row>
    <row r="3848">
      <c r="C3848" t="inlineStr">
        <is>
          <t>Passenger, per stop [see Sec.14 sched.]</t>
        </is>
      </c>
      <c r="D3848" t="n">
        <v>9650</v>
      </c>
      <c r="E3848" t="n">
        <v>11100</v>
      </c>
      <c r="F3848" t="n">
        <v>12700</v>
      </c>
      <c r="G3848" t="n">
        <v>14600</v>
      </c>
    </row>
    <row r="3850">
      <c r="B3850" s="899" t="inlineStr">
        <is>
          <t>Section 14 -- MVS 14-36</t>
        </is>
      </c>
      <c r="C3850" s="1251" t="inlineStr">
        <is>
          <t>Type</t>
        </is>
      </c>
      <c r="D3850" s="1251" t="inlineStr">
        <is>
          <t>Low</t>
        </is>
      </c>
      <c r="E3850" s="1251" t="inlineStr">
        <is>
          <t>Average</t>
        </is>
      </c>
      <c r="F3850" s="1251" t="inlineStr">
        <is>
          <t>Good</t>
        </is>
      </c>
      <c r="G3850" s="1251" t="inlineStr">
        <is>
          <t>Excellent</t>
        </is>
      </c>
    </row>
    <row r="3851">
      <c r="C3851" t="inlineStr">
        <is>
          <t>Passenger, 2-3 story (base)</t>
        </is>
      </c>
      <c r="D3851" t="n">
        <v>66250</v>
      </c>
      <c r="E3851" t="n">
        <v>78000</v>
      </c>
      <c r="F3851" t="n">
        <v>92000</v>
      </c>
      <c r="G3851" t="n">
        <v>108000</v>
      </c>
    </row>
    <row r="3852">
      <c r="C3852" t="inlineStr">
        <is>
          <t>Passenger, 4-story+ (base)</t>
        </is>
      </c>
      <c r="D3852" t="n">
        <v>116000</v>
      </c>
      <c r="E3852" t="n">
        <v>133000</v>
      </c>
      <c r="F3852" t="n">
        <v>152000</v>
      </c>
      <c r="G3852" t="n">
        <v>175000</v>
      </c>
    </row>
    <row r="3853">
      <c r="C3853" t="inlineStr">
        <is>
          <t>Passenger, per stop</t>
        </is>
      </c>
      <c r="D3853" t="n">
        <v>9650</v>
      </c>
      <c r="E3853" t="n">
        <v>11100</v>
      </c>
      <c r="F3853" t="n">
        <v>12700</v>
      </c>
      <c r="G3853" t="n">
        <v>14600</v>
      </c>
    </row>
    <row r="3854">
      <c r="C3854" t="inlineStr">
        <is>
          <t>Freight, 2-3 story (base)</t>
        </is>
      </c>
      <c r="D3854" t="n">
        <v>51250</v>
      </c>
      <c r="E3854" t="n">
        <v>67750</v>
      </c>
      <c r="F3854" t="n">
        <v>89500</v>
      </c>
      <c r="G3854" t="n">
        <v>118000</v>
      </c>
    </row>
    <row r="3855">
      <c r="C3855" t="inlineStr">
        <is>
          <t>Freight, 4-story+ (base)</t>
        </is>
      </c>
      <c r="D3855" t="n">
        <v>101000</v>
      </c>
      <c r="E3855" t="n">
        <v>127000</v>
      </c>
      <c r="F3855" t="n">
        <v>160000</v>
      </c>
      <c r="G3855" t="n">
        <v>203000</v>
      </c>
    </row>
    <row r="3856">
      <c r="C3856" t="inlineStr">
        <is>
          <t>Freight, per stop (manual doors)</t>
        </is>
      </c>
      <c r="D3856" t="n">
        <v>13000</v>
      </c>
      <c r="E3856" t="n">
        <v>14100</v>
      </c>
      <c r="F3856" t="n">
        <v>15400</v>
      </c>
      <c r="G3856" t="n">
        <v>16700</v>
      </c>
    </row>
    <row r="3857">
      <c r="C3857" t="inlineStr">
        <is>
          <t>Freight, per stop (power doors)</t>
        </is>
      </c>
      <c r="D3857" t="n">
        <v>22600</v>
      </c>
      <c r="E3857" t="n">
        <v>24600</v>
      </c>
      <c r="F3857" t="n">
        <v>26900</v>
      </c>
      <c r="G3857" t="n">
        <v>29300</v>
      </c>
    </row>
    <row r="3858">
      <c r="C3858" t="inlineStr">
        <is>
          <t>Escalator, per stairway</t>
        </is>
      </c>
      <c r="D3858" t="n">
        <v>270000</v>
      </c>
      <c r="E3858" t="n">
        <v>289000</v>
      </c>
      <c r="F3858" t="n">
        <v>309000</v>
      </c>
      <c r="G3858" t="n">
        <v>330000</v>
      </c>
    </row>
    <row r="3859">
      <c r="C3859" t="inlineStr">
        <is>
          <t>Vertical wheelchair lift, each</t>
        </is>
      </c>
      <c r="D3859" t="n">
        <v>17500</v>
      </c>
      <c r="E3859" t="n">
        <v>22200</v>
      </c>
      <c r="F3859" t="n">
        <v>28300</v>
      </c>
      <c r="G3859" t="n">
        <v>36000</v>
      </c>
    </row>
    <row r="3861">
      <c r="B3861" s="899" t="inlineStr">
        <is>
          <t>Section 15 -- MVS 15-36</t>
        </is>
      </c>
      <c r="C3861" s="1251" t="inlineStr">
        <is>
          <t>Type</t>
        </is>
      </c>
      <c r="D3861" s="1251" t="inlineStr">
        <is>
          <t>Low</t>
        </is>
      </c>
      <c r="E3861" s="1251" t="inlineStr">
        <is>
          <t>Average</t>
        </is>
      </c>
      <c r="F3861" s="1251" t="inlineStr">
        <is>
          <t>Good</t>
        </is>
      </c>
      <c r="G3861" s="1251" t="inlineStr">
        <is>
          <t>Excellent</t>
        </is>
      </c>
    </row>
    <row r="3862">
      <c r="C3862" t="inlineStr">
        <is>
          <t>Passenger, 2-3 story (base)</t>
        </is>
      </c>
      <c r="D3862" t="n">
        <v>67500</v>
      </c>
      <c r="E3862" t="n">
        <v>80000</v>
      </c>
      <c r="F3862" t="n">
        <v>94250</v>
      </c>
      <c r="G3862" t="n">
        <v>111000</v>
      </c>
    </row>
    <row r="3863">
      <c r="C3863" t="inlineStr">
        <is>
          <t>Passenger, 4-7 story (base)</t>
        </is>
      </c>
      <c r="D3863" t="n">
        <v>117000</v>
      </c>
      <c r="E3863" t="n">
        <v>134000</v>
      </c>
      <c r="F3863" t="n">
        <v>154000</v>
      </c>
      <c r="G3863" t="n">
        <v>176000</v>
      </c>
    </row>
    <row r="3864">
      <c r="C3864" t="inlineStr">
        <is>
          <t>Passenger, 8-story+ (base)</t>
        </is>
      </c>
      <c r="D3864" t="n">
        <v>179000</v>
      </c>
      <c r="E3864" t="n">
        <v>227000</v>
      </c>
      <c r="F3864" t="n">
        <v>285000</v>
      </c>
      <c r="G3864" t="n">
        <v>362000</v>
      </c>
    </row>
    <row r="3865">
      <c r="C3865" t="inlineStr">
        <is>
          <t>Passenger, per stop</t>
        </is>
      </c>
      <c r="D3865" t="n">
        <v>9350</v>
      </c>
      <c r="E3865" t="n">
        <v>10800</v>
      </c>
      <c r="F3865" t="n">
        <v>12500</v>
      </c>
      <c r="G3865" t="n">
        <v>14300</v>
      </c>
    </row>
    <row r="3866">
      <c r="C3866" t="inlineStr">
        <is>
          <t>Freight, 2-3 story (base)</t>
        </is>
      </c>
      <c r="D3866" t="n">
        <v>49800</v>
      </c>
      <c r="E3866" t="n">
        <v>66000</v>
      </c>
      <c r="F3866" t="n">
        <v>87500</v>
      </c>
      <c r="G3866" t="n">
        <v>115000</v>
      </c>
    </row>
    <row r="3867">
      <c r="C3867" t="inlineStr">
        <is>
          <t>Freight, 4-story+ (base)</t>
        </is>
      </c>
      <c r="D3867" t="n">
        <v>97500</v>
      </c>
      <c r="E3867" t="n">
        <v>123000</v>
      </c>
      <c r="F3867" t="n">
        <v>157000</v>
      </c>
      <c r="G3867" t="n">
        <v>199000</v>
      </c>
    </row>
    <row r="3868">
      <c r="C3868" t="inlineStr">
        <is>
          <t>Freight, per stop (manual doors)</t>
        </is>
      </c>
      <c r="D3868" t="n">
        <v>12600</v>
      </c>
      <c r="E3868" t="n">
        <v>13700</v>
      </c>
      <c r="F3868" t="n">
        <v>15100</v>
      </c>
      <c r="G3868" t="n">
        <v>16400</v>
      </c>
    </row>
    <row r="3869">
      <c r="C3869" t="inlineStr">
        <is>
          <t>Freight, per stop (power doors)</t>
        </is>
      </c>
      <c r="D3869" t="n">
        <v>22000</v>
      </c>
      <c r="E3869" t="n">
        <v>23900</v>
      </c>
      <c r="F3869" t="n">
        <v>26200</v>
      </c>
      <c r="G3869" t="n">
        <v>28400</v>
      </c>
    </row>
    <row r="3870">
      <c r="C3870" t="inlineStr">
        <is>
          <t>Escalator, per stairway</t>
        </is>
      </c>
      <c r="D3870" t="n">
        <v>262000</v>
      </c>
      <c r="E3870" t="n">
        <v>278000</v>
      </c>
      <c r="F3870" t="n">
        <v>296000</v>
      </c>
      <c r="G3870" t="n">
        <v>315000</v>
      </c>
    </row>
    <row r="3871">
      <c r="C3871" t="inlineStr">
        <is>
          <t>Vertical wheelchair lift, each</t>
        </is>
      </c>
      <c r="D3871" t="n">
        <v>18100</v>
      </c>
      <c r="E3871" t="n">
        <v>23300</v>
      </c>
      <c r="F3871" t="n">
        <v>30300</v>
      </c>
      <c r="G3871" t="n">
        <v>39000</v>
      </c>
    </row>
    <row r="3873">
      <c r="B3873" s="899" t="inlineStr">
        <is>
          <t>Section 16 -- MVS 16-24</t>
        </is>
      </c>
      <c r="C3873" s="1251" t="inlineStr">
        <is>
          <t>Type</t>
        </is>
      </c>
      <c r="D3873" s="1251" t="inlineStr">
        <is>
          <t>Low</t>
        </is>
      </c>
      <c r="E3873" s="1251" t="inlineStr">
        <is>
          <t>Average</t>
        </is>
      </c>
      <c r="F3873" s="1251" t="inlineStr">
        <is>
          <t>Good</t>
        </is>
      </c>
      <c r="G3873" s="1251" t="inlineStr">
        <is>
          <t>Excellent</t>
        </is>
      </c>
    </row>
    <row r="3874">
      <c r="C3874" t="inlineStr">
        <is>
          <t>Passenger, 2-3 story (base)</t>
        </is>
      </c>
      <c r="D3874" t="n">
        <v>64250</v>
      </c>
      <c r="E3874" t="n">
        <v>76000</v>
      </c>
      <c r="F3874" t="n">
        <v>89000</v>
      </c>
      <c r="G3874" t="n">
        <v>105000</v>
      </c>
    </row>
    <row r="3875">
      <c r="C3875" t="inlineStr">
        <is>
          <t>Passenger, 4-story+ (base)</t>
        </is>
      </c>
      <c r="D3875" t="n">
        <v>110000</v>
      </c>
      <c r="E3875" t="n">
        <v>127000</v>
      </c>
      <c r="F3875" t="n">
        <v>145000</v>
      </c>
      <c r="G3875" t="n">
        <v>167000</v>
      </c>
    </row>
    <row r="3876">
      <c r="C3876" t="inlineStr">
        <is>
          <t>Passenger, per stop</t>
        </is>
      </c>
      <c r="D3876" t="n">
        <v>8850</v>
      </c>
      <c r="E3876" t="n">
        <v>10200</v>
      </c>
      <c r="F3876" t="n">
        <v>11800</v>
      </c>
      <c r="G3876" t="n">
        <v>13500</v>
      </c>
    </row>
    <row r="3877">
      <c r="C3877" t="inlineStr">
        <is>
          <t>Freight, 2-3 story (base)</t>
        </is>
      </c>
      <c r="D3877" t="n">
        <v>46400</v>
      </c>
      <c r="E3877" t="n">
        <v>61250</v>
      </c>
      <c r="F3877" t="n">
        <v>81000</v>
      </c>
      <c r="G3877" t="n">
        <v>107000</v>
      </c>
    </row>
    <row r="3878">
      <c r="C3878" t="inlineStr">
        <is>
          <t>Freight, 4-story+ (base)</t>
        </is>
      </c>
      <c r="D3878" t="n">
        <v>91250</v>
      </c>
      <c r="E3878" t="n">
        <v>115000</v>
      </c>
      <c r="F3878" t="n">
        <v>145000</v>
      </c>
      <c r="G3878" t="n">
        <v>183000</v>
      </c>
    </row>
    <row r="3879">
      <c r="C3879" t="inlineStr">
        <is>
          <t>Freight, per stop (manual doors)</t>
        </is>
      </c>
      <c r="D3879" t="n">
        <v>11800</v>
      </c>
      <c r="E3879" t="n">
        <v>12800</v>
      </c>
      <c r="F3879" t="n">
        <v>13900</v>
      </c>
      <c r="G3879" t="n">
        <v>15200</v>
      </c>
    </row>
    <row r="3880">
      <c r="C3880" t="inlineStr">
        <is>
          <t>Freight, per stop (power doors)</t>
        </is>
      </c>
      <c r="D3880" t="n">
        <v>20400</v>
      </c>
      <c r="E3880" t="n">
        <v>22200</v>
      </c>
      <c r="F3880" t="n">
        <v>24300</v>
      </c>
      <c r="G3880" t="n">
        <v>26300</v>
      </c>
    </row>
    <row r="3881">
      <c r="C3881" t="inlineStr">
        <is>
          <t>Orchestra lifts</t>
        </is>
      </c>
      <c r="D3881" t="n">
        <v>155000</v>
      </c>
      <c r="E3881" t="n">
        <v>193000</v>
      </c>
      <c r="F3881" t="n">
        <v>243000</v>
      </c>
      <c r="G3881" t="n">
        <v>301000</v>
      </c>
    </row>
    <row r="3882">
      <c r="C3882" t="inlineStr">
        <is>
          <t>Escalator, per stairway</t>
        </is>
      </c>
      <c r="D3882" t="n">
        <v>256000</v>
      </c>
      <c r="E3882" t="n">
        <v>274000</v>
      </c>
      <c r="F3882" t="n">
        <v>293000</v>
      </c>
      <c r="G3882" t="n">
        <v>314000</v>
      </c>
    </row>
    <row r="3883">
      <c r="C3883" t="inlineStr">
        <is>
          <t>Vertical wheelchair lift, each</t>
        </is>
      </c>
      <c r="D3883" t="n">
        <v>17100</v>
      </c>
      <c r="E3883" t="n">
        <v>21600</v>
      </c>
      <c r="F3883" t="n">
        <v>27200</v>
      </c>
      <c r="G3883" t="n">
        <v>34400</v>
      </c>
    </row>
    <row r="3885">
      <c r="B3885" s="899" t="inlineStr">
        <is>
          <t>Section 18 -- MVS 18-35</t>
        </is>
      </c>
      <c r="C3885" s="1251" t="inlineStr">
        <is>
          <t>Type</t>
        </is>
      </c>
      <c r="D3885" s="1251" t="inlineStr">
        <is>
          <t>Low</t>
        </is>
      </c>
      <c r="E3885" s="1251" t="inlineStr">
        <is>
          <t>Average</t>
        </is>
      </c>
      <c r="F3885" s="1251" t="inlineStr">
        <is>
          <t>Good</t>
        </is>
      </c>
      <c r="G3885" s="1251" t="inlineStr">
        <is>
          <t>Excellent</t>
        </is>
      </c>
    </row>
    <row r="3886">
      <c r="C3886" t="inlineStr">
        <is>
          <t>Passenger, 2-3 story (base)</t>
        </is>
      </c>
      <c r="D3886" t="n">
        <v>68750</v>
      </c>
      <c r="E3886" t="n">
        <v>81500</v>
      </c>
      <c r="F3886" t="n">
        <v>95500</v>
      </c>
      <c r="G3886" t="n">
        <v>113000</v>
      </c>
    </row>
    <row r="3887">
      <c r="C3887" t="inlineStr">
        <is>
          <t>Passenger, 4-7 story (base)</t>
        </is>
      </c>
      <c r="D3887" t="n">
        <v>119000</v>
      </c>
      <c r="E3887" t="n">
        <v>137000</v>
      </c>
      <c r="F3887" t="n">
        <v>158000</v>
      </c>
      <c r="G3887" t="n">
        <v>181000</v>
      </c>
    </row>
    <row r="3888">
      <c r="C3888" t="inlineStr">
        <is>
          <t>Passenger, 8-story+ (base)</t>
        </is>
      </c>
      <c r="D3888" t="n">
        <v>183000</v>
      </c>
      <c r="E3888" t="n">
        <v>228000</v>
      </c>
      <c r="F3888" t="n">
        <v>286000</v>
      </c>
      <c r="G3888" t="n">
        <v>361000</v>
      </c>
    </row>
    <row r="3889">
      <c r="C3889" t="inlineStr">
        <is>
          <t>Passenger, per stop</t>
        </is>
      </c>
      <c r="D3889" t="n">
        <v>9650</v>
      </c>
      <c r="E3889" t="n">
        <v>11000</v>
      </c>
      <c r="F3889" t="n">
        <v>12500</v>
      </c>
      <c r="G3889" t="n">
        <v>14300</v>
      </c>
    </row>
    <row r="3890">
      <c r="C3890" t="inlineStr">
        <is>
          <t>Freight, 2-3 story (base)</t>
        </is>
      </c>
      <c r="D3890" t="n">
        <v>49700</v>
      </c>
      <c r="E3890" t="n">
        <v>65500</v>
      </c>
      <c r="F3890" t="n">
        <v>86500</v>
      </c>
      <c r="G3890" t="n">
        <v>114000</v>
      </c>
    </row>
    <row r="3891">
      <c r="C3891" t="inlineStr">
        <is>
          <t>Freight, 4-story+ (base)</t>
        </is>
      </c>
      <c r="D3891" t="n">
        <v>97000</v>
      </c>
      <c r="E3891" t="n">
        <v>123000</v>
      </c>
      <c r="F3891" t="n">
        <v>157000</v>
      </c>
      <c r="G3891" t="n">
        <v>198000</v>
      </c>
    </row>
    <row r="3892">
      <c r="C3892" t="inlineStr">
        <is>
          <t>Freight, per stop (manual doors)</t>
        </is>
      </c>
      <c r="D3892" t="n">
        <v>12400</v>
      </c>
      <c r="E3892" t="n">
        <v>13600</v>
      </c>
      <c r="F3892" t="n">
        <v>14900</v>
      </c>
      <c r="G3892" t="n">
        <v>16300</v>
      </c>
    </row>
    <row r="3893">
      <c r="C3893" t="inlineStr">
        <is>
          <t>Freight, per stop (power doors)</t>
        </is>
      </c>
      <c r="D3893" t="n">
        <v>21900</v>
      </c>
      <c r="E3893" t="n">
        <v>24200</v>
      </c>
      <c r="F3893" t="n">
        <v>27000</v>
      </c>
      <c r="G3893" t="n">
        <v>29900</v>
      </c>
    </row>
    <row r="3894">
      <c r="C3894" t="inlineStr">
        <is>
          <t>Escalator, per stairway</t>
        </is>
      </c>
      <c r="D3894" t="n">
        <v>256000</v>
      </c>
      <c r="E3894" t="n">
        <v>271000</v>
      </c>
      <c r="F3894" t="n">
        <v>286000</v>
      </c>
      <c r="G3894" t="n">
        <v>305000</v>
      </c>
    </row>
    <row r="3895">
      <c r="C3895" t="inlineStr">
        <is>
          <t>Orchestra lifts</t>
        </is>
      </c>
      <c r="D3895" t="n">
        <v>169000</v>
      </c>
      <c r="E3895" t="n">
        <v>210000</v>
      </c>
      <c r="F3895" t="n">
        <v>260000</v>
      </c>
      <c r="G3895" t="n">
        <v>326000</v>
      </c>
    </row>
    <row r="3896">
      <c r="C3896" t="inlineStr">
        <is>
          <t>Vertical wheelchair lift, each</t>
        </is>
      </c>
      <c r="D3896" t="n">
        <v>18600</v>
      </c>
      <c r="E3896" t="n">
        <v>23200</v>
      </c>
      <c r="F3896" t="n">
        <v>28800</v>
      </c>
      <c r="G3896" t="n">
        <v>36100</v>
      </c>
    </row>
    <row r="3898">
      <c r="B3898" s="1250" t="inlineStr">
        <is>
          <t>REFERENCE 8 -- Current Cost Multipliers, by Region x Class x Calculator Section (MVS Sec.99 p.3, Jan 2025 insert). Colorado assumed WESTERN region.</t>
        </is>
      </c>
    </row>
    <row r="3899">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c r="B3900" t="inlineStr">
        <is>
          <t>EASTERN</t>
        </is>
      </c>
      <c r="C3900" t="inlineStr">
        <is>
          <t>A</t>
        </is>
      </c>
      <c r="D3900" t="n">
        <v>1.04</v>
      </c>
      <c r="E3900" t="n">
        <v>1.04</v>
      </c>
      <c r="F3900" t="n">
        <v>1.04</v>
      </c>
      <c r="G3900" t="n">
        <v>1.02</v>
      </c>
      <c r="H3900" t="n">
        <v>1.04</v>
      </c>
      <c r="I3900" t="n">
        <v>1.06</v>
      </c>
      <c r="J3900" t="n">
        <v>1.08</v>
      </c>
      <c r="K3900" t="n">
        <v>1.1</v>
      </c>
    </row>
    <row r="3901">
      <c r="B3901" t="inlineStr">
        <is>
          <t>EASTERN</t>
        </is>
      </c>
      <c r="C3901" t="inlineStr">
        <is>
          <t>B</t>
        </is>
      </c>
      <c r="D3901" t="n">
        <v>1.04</v>
      </c>
      <c r="E3901" t="n">
        <v>1.05</v>
      </c>
      <c r="F3901" t="n">
        <v>1.02</v>
      </c>
      <c r="G3901" t="n">
        <v>1.04</v>
      </c>
      <c r="H3901" t="n">
        <v>1.01</v>
      </c>
      <c r="I3901" t="n">
        <v>1.02</v>
      </c>
      <c r="J3901" t="n">
        <v>1.05</v>
      </c>
      <c r="K3901" t="n">
        <v>1.07</v>
      </c>
    </row>
    <row r="3902">
      <c r="B3902" t="inlineStr">
        <is>
          <t>EASTERN</t>
        </is>
      </c>
      <c r="C3902" t="inlineStr">
        <is>
          <t>C</t>
        </is>
      </c>
      <c r="D3902" t="n">
        <v>1.02</v>
      </c>
      <c r="E3902" t="n">
        <v>1.01</v>
      </c>
      <c r="F3902" t="n">
        <v>1.03</v>
      </c>
      <c r="G3902" t="n">
        <v>1.03</v>
      </c>
      <c r="H3902" t="n">
        <v>1.04</v>
      </c>
      <c r="I3902" t="n">
        <v>1.05</v>
      </c>
      <c r="J3902" t="n">
        <v>1.06</v>
      </c>
      <c r="K3902" t="n">
        <v>1.01</v>
      </c>
    </row>
    <row r="3903">
      <c r="B3903" t="inlineStr">
        <is>
          <t>EASTERN</t>
        </is>
      </c>
      <c r="C3903" t="inlineStr">
        <is>
          <t>D</t>
        </is>
      </c>
      <c r="D3903" t="n">
        <v>1.01</v>
      </c>
      <c r="E3903" t="n">
        <v>1.02</v>
      </c>
      <c r="F3903" t="n">
        <v>1.02</v>
      </c>
      <c r="G3903" t="n">
        <v>1.01</v>
      </c>
      <c r="H3903" t="n">
        <v>1.01</v>
      </c>
      <c r="I3903" t="n">
        <v>1.02</v>
      </c>
      <c r="J3903" t="n">
        <v>1</v>
      </c>
      <c r="K3903" t="n">
        <v>0.99</v>
      </c>
    </row>
    <row r="3904">
      <c r="B3904" t="inlineStr">
        <is>
          <t>EASTERN</t>
        </is>
      </c>
      <c r="C3904" t="inlineStr">
        <is>
          <t>S</t>
        </is>
      </c>
      <c r="D3904" t="n">
        <v>1.07</v>
      </c>
      <c r="E3904" t="n">
        <v>1.06</v>
      </c>
      <c r="F3904" t="n">
        <v>1.04</v>
      </c>
      <c r="G3904" t="n">
        <v>1.03</v>
      </c>
      <c r="H3904" t="n">
        <v>1.05</v>
      </c>
      <c r="I3904" t="n">
        <v>1.02</v>
      </c>
      <c r="J3904" t="n">
        <v>1.01</v>
      </c>
      <c r="K3904" t="n">
        <v>1.05</v>
      </c>
    </row>
    <row r="3905">
      <c r="B3905" t="inlineStr">
        <is>
          <t>CENTRAL</t>
        </is>
      </c>
      <c r="C3905" t="inlineStr">
        <is>
          <t>A</t>
        </is>
      </c>
      <c r="D3905" t="n">
        <v>0.99</v>
      </c>
      <c r="E3905" t="n">
        <v>0.98</v>
      </c>
      <c r="F3905" t="n">
        <v>0.98</v>
      </c>
      <c r="G3905" t="n">
        <v>1</v>
      </c>
      <c r="H3905" t="n">
        <v>1</v>
      </c>
      <c r="I3905" t="n">
        <v>1.02</v>
      </c>
      <c r="J3905" t="n">
        <v>1.02</v>
      </c>
      <c r="K3905" t="n">
        <v>1.02</v>
      </c>
    </row>
    <row r="3906">
      <c r="B3906" t="inlineStr">
        <is>
          <t>CENTRAL</t>
        </is>
      </c>
      <c r="C3906" t="inlineStr">
        <is>
          <t>B</t>
        </is>
      </c>
      <c r="D3906" t="n">
        <v>0.98</v>
      </c>
      <c r="E3906" t="n">
        <v>0.99</v>
      </c>
      <c r="F3906" t="n">
        <v>0.98</v>
      </c>
      <c r="G3906" t="n">
        <v>0.99</v>
      </c>
      <c r="H3906" t="n">
        <v>1.01</v>
      </c>
      <c r="I3906" t="n">
        <v>0.99</v>
      </c>
      <c r="J3906" t="n">
        <v>0.98</v>
      </c>
      <c r="K3906" t="n">
        <v>0.99</v>
      </c>
    </row>
    <row r="3907">
      <c r="B3907" t="inlineStr">
        <is>
          <t>CENTRAL</t>
        </is>
      </c>
      <c r="C3907" t="inlineStr">
        <is>
          <t>C</t>
        </is>
      </c>
      <c r="D3907" t="n">
        <v>0.99</v>
      </c>
      <c r="E3907" t="n">
        <v>0.99</v>
      </c>
      <c r="F3907" t="n">
        <v>1</v>
      </c>
      <c r="G3907" t="n">
        <v>0.99</v>
      </c>
      <c r="H3907" t="n">
        <v>1</v>
      </c>
      <c r="I3907" t="n">
        <v>0.98</v>
      </c>
      <c r="J3907" t="n">
        <v>0.99</v>
      </c>
      <c r="K3907" t="n">
        <v>0.98</v>
      </c>
    </row>
    <row r="3908">
      <c r="B3908" t="inlineStr">
        <is>
          <t>CENTRAL</t>
        </is>
      </c>
      <c r="C3908" t="inlineStr">
        <is>
          <t>D</t>
        </is>
      </c>
      <c r="D3908" t="n">
        <v>0.97</v>
      </c>
      <c r="E3908" t="n">
        <v>0.99</v>
      </c>
      <c r="F3908" t="n">
        <v>0.99</v>
      </c>
      <c r="G3908" t="n">
        <v>0.99</v>
      </c>
      <c r="H3908" t="n">
        <v>1.02</v>
      </c>
      <c r="I3908" t="n">
        <v>1.02</v>
      </c>
      <c r="J3908" t="n">
        <v>0.97</v>
      </c>
      <c r="K3908" t="n">
        <v>0.97</v>
      </c>
    </row>
    <row r="3909">
      <c r="B3909" t="inlineStr">
        <is>
          <t>CENTRAL</t>
        </is>
      </c>
      <c r="C3909" t="inlineStr">
        <is>
          <t>S</t>
        </is>
      </c>
      <c r="D3909" t="n">
        <v>0.95</v>
      </c>
      <c r="E3909" t="n">
        <v>0.98</v>
      </c>
      <c r="F3909" t="n">
        <v>0.95</v>
      </c>
      <c r="G3909" t="n">
        <v>0.99</v>
      </c>
      <c r="H3909" t="n">
        <v>0.99</v>
      </c>
      <c r="I3909" t="n">
        <v>0.97</v>
      </c>
      <c r="J3909" t="n">
        <v>1</v>
      </c>
      <c r="K3909" t="n">
        <v>0.97</v>
      </c>
    </row>
    <row r="3910">
      <c r="B3910" t="inlineStr">
        <is>
          <t>WESTERN</t>
        </is>
      </c>
      <c r="C3910" t="inlineStr">
        <is>
          <t>A</t>
        </is>
      </c>
      <c r="D3910" t="n">
        <v>0.99</v>
      </c>
      <c r="E3910" t="n">
        <v>1.03</v>
      </c>
      <c r="F3910" t="n">
        <v>1.05</v>
      </c>
      <c r="G3910" t="n">
        <v>1.07</v>
      </c>
      <c r="H3910" t="n">
        <v>1.06</v>
      </c>
      <c r="I3910" t="n">
        <v>1.05</v>
      </c>
      <c r="J3910" t="n">
        <v>1.05</v>
      </c>
      <c r="K3910" t="n">
        <v>1.01</v>
      </c>
    </row>
    <row r="3911">
      <c r="B3911" t="inlineStr">
        <is>
          <t>WESTERN</t>
        </is>
      </c>
      <c r="C3911" t="inlineStr">
        <is>
          <t>B</t>
        </is>
      </c>
      <c r="D3911" t="n">
        <v>0.99</v>
      </c>
      <c r="E3911" t="n">
        <v>1</v>
      </c>
      <c r="F3911" t="n">
        <v>1.06</v>
      </c>
      <c r="G3911" t="n">
        <v>1.04</v>
      </c>
      <c r="H3911" t="n">
        <v>1.05</v>
      </c>
      <c r="I3911" t="n">
        <v>1.06</v>
      </c>
      <c r="J3911" t="n">
        <v>1.05</v>
      </c>
      <c r="K3911" t="n">
        <v>1.02</v>
      </c>
    </row>
    <row r="3912">
      <c r="B3912" t="inlineStr">
        <is>
          <t>WESTERN</t>
        </is>
      </c>
      <c r="C3912" t="inlineStr">
        <is>
          <t>C</t>
        </is>
      </c>
      <c r="D3912" t="n">
        <v>1</v>
      </c>
      <c r="E3912" t="n">
        <v>1.03</v>
      </c>
      <c r="F3912" t="n">
        <v>1.02</v>
      </c>
      <c r="G3912" t="n">
        <v>1.06</v>
      </c>
      <c r="H3912" t="n">
        <v>1.04</v>
      </c>
      <c r="I3912" t="n">
        <v>1.05</v>
      </c>
      <c r="J3912" t="n">
        <v>1.03</v>
      </c>
      <c r="K3912" t="n">
        <v>1.04</v>
      </c>
    </row>
    <row r="3913">
      <c r="B3913" t="inlineStr">
        <is>
          <t>WESTERN</t>
        </is>
      </c>
      <c r="C3913" t="inlineStr">
        <is>
          <t>D</t>
        </is>
      </c>
      <c r="D3913" t="n">
        <v>1.03</v>
      </c>
      <c r="E3913" t="n">
        <v>1.02</v>
      </c>
      <c r="F3913" t="n">
        <v>1.03</v>
      </c>
      <c r="G3913" t="n">
        <v>1.05</v>
      </c>
      <c r="H3913" t="n">
        <v>1.02</v>
      </c>
      <c r="I3913" t="n">
        <v>1.01</v>
      </c>
      <c r="J3913" t="n">
        <v>1.05</v>
      </c>
      <c r="K3913" t="n">
        <v>1.01</v>
      </c>
    </row>
    <row r="3914">
      <c r="B3914" t="inlineStr">
        <is>
          <t>WESTERN</t>
        </is>
      </c>
      <c r="C3914" t="inlineStr">
        <is>
          <t>S</t>
        </is>
      </c>
      <c r="D3914" t="n">
        <v>1</v>
      </c>
      <c r="E3914" t="n">
        <v>1</v>
      </c>
      <c r="F3914" t="n">
        <v>1.05</v>
      </c>
      <c r="G3914" t="n">
        <v>1.04</v>
      </c>
      <c r="H3914" t="n">
        <v>1.02</v>
      </c>
      <c r="I3914" t="n">
        <v>1.07</v>
      </c>
      <c r="J3914" t="n">
        <v>1.04</v>
      </c>
      <c r="K3914" t="n">
        <v>0.98</v>
      </c>
    </row>
    <row r="3916">
      <c r="B3916" s="1250" t="inlineStr">
        <is>
          <t>REFERENCE 9 -- Local Area Multipliers, Colorado (MVS Sec.99 p.7, Jan 2025 insert)</t>
        </is>
      </c>
    </row>
    <row r="3917">
      <c r="B3917" t="inlineStr">
        <is>
          <t>City / Area</t>
        </is>
      </c>
      <c r="C3917" t="inlineStr">
        <is>
          <t>Class A</t>
        </is>
      </c>
      <c r="D3917" t="inlineStr">
        <is>
          <t>Class B</t>
        </is>
      </c>
      <c r="E3917" t="inlineStr">
        <is>
          <t>Class C</t>
        </is>
      </c>
      <c r="F3917" t="inlineStr">
        <is>
          <t>Class D</t>
        </is>
      </c>
      <c r="G3917" t="inlineStr">
        <is>
          <t>Class S</t>
        </is>
      </c>
    </row>
    <row r="3918">
      <c r="B3918" t="inlineStr">
        <is>
          <t>Colorado (statewide average)</t>
        </is>
      </c>
      <c r="C3918" t="n">
        <v>1</v>
      </c>
      <c r="D3918" t="n">
        <v>1.02</v>
      </c>
      <c r="E3918" t="n">
        <v>1.02</v>
      </c>
      <c r="F3918" t="n">
        <v>1.01</v>
      </c>
      <c r="G3918" t="n">
        <v>1.02</v>
      </c>
    </row>
    <row r="3919">
      <c r="B3919" t="inlineStr">
        <is>
          <t>Aspen</t>
        </is>
      </c>
      <c r="C3919" t="n">
        <v>1.08</v>
      </c>
      <c r="D3919" t="n">
        <v>1.13</v>
      </c>
      <c r="E3919" t="n">
        <v>1.11</v>
      </c>
      <c r="F3919" t="n">
        <v>1.11</v>
      </c>
      <c r="G3919" t="n">
        <v>1.1</v>
      </c>
    </row>
    <row r="3920">
      <c r="B3920" t="inlineStr">
        <is>
          <t>Boulder</t>
        </is>
      </c>
      <c r="C3920" t="n">
        <v>0.98</v>
      </c>
      <c r="D3920" t="n">
        <v>0.98</v>
      </c>
      <c r="E3920" t="n">
        <v>0.98</v>
      </c>
      <c r="F3920" t="n">
        <v>0.97</v>
      </c>
      <c r="G3920" t="n">
        <v>0.99</v>
      </c>
    </row>
    <row r="3921">
      <c r="B3921" t="inlineStr">
        <is>
          <t>Colorado Springs</t>
        </is>
      </c>
      <c r="C3921" t="n">
        <v>0.98</v>
      </c>
      <c r="D3921" t="n">
        <v>0.99</v>
      </c>
      <c r="E3921" t="n">
        <v>0.96</v>
      </c>
      <c r="F3921" t="n">
        <v>0.98</v>
      </c>
      <c r="G3921" t="n">
        <v>1</v>
      </c>
    </row>
    <row r="3922">
      <c r="B3922" t="inlineStr">
        <is>
          <t>Costilla County</t>
        </is>
      </c>
      <c r="C3922" t="n">
        <v>0.86</v>
      </c>
      <c r="D3922" t="n">
        <v>0.88</v>
      </c>
      <c r="E3922" t="n">
        <v>0.88</v>
      </c>
      <c r="F3922" t="n">
        <v>0.87</v>
      </c>
      <c r="G3922" t="n">
        <v>0.89</v>
      </c>
    </row>
    <row r="3923">
      <c r="B3923" t="inlineStr">
        <is>
          <t>Denver</t>
        </is>
      </c>
      <c r="C3923" t="n">
        <v>1.01</v>
      </c>
      <c r="D3923" t="n">
        <v>1</v>
      </c>
      <c r="E3923" t="n">
        <v>1</v>
      </c>
      <c r="F3923" t="n">
        <v>1</v>
      </c>
      <c r="G3923" t="n">
        <v>1.03</v>
      </c>
    </row>
    <row r="3924">
      <c r="B3924" t="inlineStr">
        <is>
          <t>Durango</t>
        </is>
      </c>
      <c r="C3924" t="n">
        <v>0.9</v>
      </c>
      <c r="D3924" t="n">
        <v>0.92</v>
      </c>
      <c r="E3924" t="n">
        <v>0.93</v>
      </c>
      <c r="F3924" t="n">
        <v>0.91</v>
      </c>
      <c r="G3924" t="n">
        <v>0.9399999999999999</v>
      </c>
    </row>
    <row r="3925">
      <c r="B3925" t="inlineStr">
        <is>
          <t>Eagle County (excl. resort areas)</t>
        </is>
      </c>
      <c r="C3925" t="n">
        <v>0.9399999999999999</v>
      </c>
      <c r="D3925" t="n">
        <v>0.95</v>
      </c>
      <c r="E3925" t="n">
        <v>0.9399999999999999</v>
      </c>
      <c r="F3925" t="n">
        <v>0.9399999999999999</v>
      </c>
      <c r="G3925" t="n">
        <v>0.95</v>
      </c>
    </row>
    <row r="3926">
      <c r="B3926" t="inlineStr">
        <is>
          <t>Fort Collins</t>
        </is>
      </c>
      <c r="C3926" t="n">
        <v>0.98</v>
      </c>
      <c r="D3926" t="n">
        <v>1</v>
      </c>
      <c r="E3926" t="n">
        <v>1.01</v>
      </c>
      <c r="F3926" t="n">
        <v>0.99</v>
      </c>
      <c r="G3926" t="n">
        <v>1.01</v>
      </c>
    </row>
    <row r="3927">
      <c r="B3927" t="inlineStr">
        <is>
          <t>Grand Junction</t>
        </is>
      </c>
      <c r="C3927" t="n">
        <v>0.98</v>
      </c>
      <c r="D3927" t="n">
        <v>0.99</v>
      </c>
      <c r="E3927" t="n">
        <v>1</v>
      </c>
      <c r="F3927" t="n">
        <v>1</v>
      </c>
      <c r="G3927" t="n">
        <v>1.02</v>
      </c>
    </row>
    <row r="3928">
      <c r="B3928" t="inlineStr">
        <is>
          <t>Greeley</t>
        </is>
      </c>
      <c r="C3928" t="n">
        <v>0.98</v>
      </c>
      <c r="D3928" t="n">
        <v>1</v>
      </c>
      <c r="E3928" t="n">
        <v>1.01</v>
      </c>
      <c r="F3928" t="n">
        <v>0.99</v>
      </c>
      <c r="G3928" t="n">
        <v>0.99</v>
      </c>
    </row>
    <row r="3929">
      <c r="B3929" t="inlineStr">
        <is>
          <t>Gunnison County</t>
        </is>
      </c>
      <c r="C3929" t="n">
        <v>0.93</v>
      </c>
      <c r="D3929" t="n">
        <v>0.99</v>
      </c>
      <c r="E3929" t="n">
        <v>0.97</v>
      </c>
      <c r="F3929" t="n">
        <v>0.96</v>
      </c>
      <c r="G3929" t="n">
        <v>0.97</v>
      </c>
    </row>
    <row r="3930">
      <c r="B3930" t="inlineStr">
        <is>
          <t>Kit Carson County</t>
        </is>
      </c>
      <c r="C3930" t="n">
        <v>0.89</v>
      </c>
      <c r="D3930" t="n">
        <v>0.89</v>
      </c>
      <c r="E3930" t="n">
        <v>0.9</v>
      </c>
      <c r="F3930" t="n">
        <v>0.89</v>
      </c>
      <c r="G3930" t="n">
        <v>0.91</v>
      </c>
    </row>
    <row r="3931">
      <c r="B3931" t="inlineStr">
        <is>
          <t>Logan County</t>
        </is>
      </c>
      <c r="C3931" t="n">
        <v>0.91</v>
      </c>
      <c r="D3931" t="n">
        <v>0.91</v>
      </c>
      <c r="E3931" t="n">
        <v>0.92</v>
      </c>
      <c r="F3931" t="n">
        <v>0.9</v>
      </c>
      <c r="G3931" t="n">
        <v>0.92</v>
      </c>
    </row>
    <row r="3932">
      <c r="B3932" t="inlineStr">
        <is>
          <t>Longmont</t>
        </is>
      </c>
      <c r="C3932" t="n">
        <v>0.97</v>
      </c>
      <c r="D3932" t="n">
        <v>0.97</v>
      </c>
      <c r="E3932" t="n">
        <v>1</v>
      </c>
      <c r="F3932" t="n">
        <v>0.98</v>
      </c>
      <c r="G3932" t="n">
        <v>1</v>
      </c>
    </row>
    <row r="3933">
      <c r="B3933" t="inlineStr">
        <is>
          <t>Loveland</t>
        </is>
      </c>
      <c r="C3933" t="n">
        <v>0.96</v>
      </c>
      <c r="D3933" t="n">
        <v>0.98</v>
      </c>
      <c r="E3933" t="n">
        <v>1.01</v>
      </c>
      <c r="F3933" t="n">
        <v>0.99</v>
      </c>
      <c r="G3933" t="n">
        <v>0.99</v>
      </c>
    </row>
    <row r="3934">
      <c r="B3934" t="inlineStr">
        <is>
          <t>Moffat County</t>
        </is>
      </c>
      <c r="C3934" t="n">
        <v>0.9</v>
      </c>
      <c r="D3934" t="n">
        <v>0.93</v>
      </c>
      <c r="E3934" t="n">
        <v>0.91</v>
      </c>
      <c r="F3934" t="n">
        <v>0.92</v>
      </c>
      <c r="G3934" t="n">
        <v>0.93</v>
      </c>
    </row>
    <row r="3935">
      <c r="B3935" t="inlineStr">
        <is>
          <t>Montrose County</t>
        </is>
      </c>
      <c r="C3935" t="n">
        <v>0.9</v>
      </c>
      <c r="D3935" t="n">
        <v>0.92</v>
      </c>
      <c r="E3935" t="n">
        <v>0.93</v>
      </c>
      <c r="F3935" t="n">
        <v>0.9</v>
      </c>
      <c r="G3935" t="n">
        <v>0.92</v>
      </c>
    </row>
    <row r="3936">
      <c r="B3936" t="inlineStr">
        <is>
          <t>Prowers County</t>
        </is>
      </c>
      <c r="C3936" t="n">
        <v>0.9</v>
      </c>
      <c r="D3936" t="n">
        <v>0.92</v>
      </c>
      <c r="E3936" t="n">
        <v>0.91</v>
      </c>
      <c r="F3936" t="n">
        <v>0.91</v>
      </c>
      <c r="G3936" t="n">
        <v>0.91</v>
      </c>
    </row>
    <row r="3937">
      <c r="B3937" t="inlineStr">
        <is>
          <t>Pueblo</t>
        </is>
      </c>
      <c r="C3937" t="n">
        <v>0.95</v>
      </c>
      <c r="D3937" t="n">
        <v>0.95</v>
      </c>
      <c r="E3937" t="n">
        <v>0.95</v>
      </c>
      <c r="F3937" t="n">
        <v>0.95</v>
      </c>
      <c r="G3937" t="n">
        <v>0.95</v>
      </c>
    </row>
    <row r="3938">
      <c r="B3938" t="inlineStr">
        <is>
          <t>Steamboat Springs</t>
        </is>
      </c>
      <c r="C3938" t="n">
        <v>1.15</v>
      </c>
      <c r="D3938" t="n">
        <v>1.17</v>
      </c>
      <c r="E3938" t="n">
        <v>1.16</v>
      </c>
      <c r="F3938" t="n">
        <v>1.14</v>
      </c>
      <c r="G3938" t="n">
        <v>1.14</v>
      </c>
    </row>
    <row r="3939">
      <c r="B3939" t="inlineStr">
        <is>
          <t>Vail</t>
        </is>
      </c>
      <c r="C3939" t="n">
        <v>1.13</v>
      </c>
      <c r="D3939" t="n">
        <v>1.16</v>
      </c>
      <c r="E3939" t="n">
        <v>1.14</v>
      </c>
      <c r="F3939" t="n">
        <v>1.13</v>
      </c>
      <c r="G3939" t="n">
        <v>1.13</v>
      </c>
    </row>
    <row r="3941">
      <c r="B3941" s="1250" t="inlineStr">
        <is>
          <t>REFERENCE 10 -- Section 98 Denver-Specific Quarterly Cost Index (for De-Trend to Appraisal Date; Jan 2025 = 1.000)</t>
        </is>
      </c>
    </row>
    <row r="3942">
      <c r="B3942" t="inlineStr">
        <is>
          <t>Do NOT combine with the Local Area Multiplier above -- Sec.98's district/city index is already geographically resolved to Denver (MVS explicit warning, Sec.98 p.1/p.5).</t>
        </is>
      </c>
    </row>
    <row r="3943">
      <c r="B3943" t="inlineStr">
        <is>
          <t>Quarter</t>
        </is>
      </c>
      <c r="C3943" t="inlineStr">
        <is>
          <t>Class A</t>
        </is>
      </c>
      <c r="D3943" t="inlineStr">
        <is>
          <t>Class B</t>
        </is>
      </c>
      <c r="E3943" t="inlineStr">
        <is>
          <t>Class C</t>
        </is>
      </c>
      <c r="F3943" t="inlineStr">
        <is>
          <t>Class D</t>
        </is>
      </c>
      <c r="G3943" t="inlineStr">
        <is>
          <t>Class S</t>
        </is>
      </c>
    </row>
    <row r="3944">
      <c r="B3944" t="inlineStr">
        <is>
          <t>Jan 2025</t>
        </is>
      </c>
      <c r="C3944" t="n">
        <v>1</v>
      </c>
      <c r="D3944" t="n">
        <v>1</v>
      </c>
      <c r="E3944" t="n">
        <v>1</v>
      </c>
      <c r="F3944" t="n">
        <v>1</v>
      </c>
      <c r="G3944" t="n">
        <v>1</v>
      </c>
    </row>
    <row r="3945">
      <c r="B3945" t="inlineStr">
        <is>
          <t>Oct 2024</t>
        </is>
      </c>
      <c r="C3945" t="n">
        <v>1.016</v>
      </c>
      <c r="D3945" t="n">
        <v>1.008</v>
      </c>
      <c r="E3945" t="n">
        <v>0.999</v>
      </c>
      <c r="F3945" t="n">
        <v>1.006</v>
      </c>
      <c r="G3945" t="n">
        <v>1.01</v>
      </c>
    </row>
    <row r="3946">
      <c r="B3946" t="inlineStr">
        <is>
          <t>Jul 2024</t>
        </is>
      </c>
      <c r="C3946" t="n">
        <v>1.017</v>
      </c>
      <c r="D3946" t="n">
        <v>1.014</v>
      </c>
      <c r="E3946" t="n">
        <v>1.004</v>
      </c>
      <c r="F3946" t="n">
        <v>1.008</v>
      </c>
      <c r="G3946" t="n">
        <v>1.014</v>
      </c>
    </row>
    <row r="3947">
      <c r="B3947" t="inlineStr">
        <is>
          <t>Apr 2024</t>
        </is>
      </c>
      <c r="C3947" t="n">
        <v>1.034</v>
      </c>
      <c r="D3947" t="n">
        <v>1.027</v>
      </c>
      <c r="E3947" t="n">
        <v>1.012</v>
      </c>
      <c r="F3947" t="n">
        <v>1.016</v>
      </c>
      <c r="G3947" t="n">
        <v>1.024</v>
      </c>
    </row>
    <row r="3948">
      <c r="B3948" t="inlineStr">
        <is>
          <t>Jan 2024</t>
        </is>
      </c>
      <c r="C3948" t="n">
        <v>1.037</v>
      </c>
      <c r="D3948" t="n">
        <v>1.027</v>
      </c>
      <c r="E3948" t="n">
        <v>1.02</v>
      </c>
      <c r="F3948" t="n">
        <v>1.015</v>
      </c>
      <c r="G3948" t="n">
        <v>1.026</v>
      </c>
    </row>
    <row r="3949">
      <c r="B3949" t="inlineStr">
        <is>
          <t>Oct 2023</t>
        </is>
      </c>
      <c r="C3949" t="n">
        <v>1.046</v>
      </c>
      <c r="D3949" t="n">
        <v>1.025</v>
      </c>
      <c r="E3949" t="n">
        <v>1.021</v>
      </c>
      <c r="F3949" t="n">
        <v>1.015</v>
      </c>
      <c r="G3949" t="n">
        <v>1.029</v>
      </c>
    </row>
    <row r="3950">
      <c r="B3950" t="inlineStr">
        <is>
          <t>Jul 2023</t>
        </is>
      </c>
      <c r="C3950" t="n">
        <v>1.064</v>
      </c>
      <c r="D3950" t="n">
        <v>1.029</v>
      </c>
      <c r="E3950" t="n">
        <v>1.022</v>
      </c>
      <c r="F3950" t="n">
        <v>1.014</v>
      </c>
      <c r="G3950" t="n">
        <v>1.034</v>
      </c>
    </row>
    <row r="3951">
      <c r="B3951" t="inlineStr">
        <is>
          <t>Apr 2023</t>
        </is>
      </c>
      <c r="C3951" t="n">
        <v>1.078</v>
      </c>
      <c r="D3951" t="n">
        <v>1.034</v>
      </c>
      <c r="E3951" t="n">
        <v>1.017</v>
      </c>
      <c r="F3951" t="n">
        <v>1.007</v>
      </c>
      <c r="G3951" t="n">
        <v>1.03</v>
      </c>
    </row>
    <row r="3952">
      <c r="B3952" t="inlineStr">
        <is>
          <t>Jan 2023</t>
        </is>
      </c>
      <c r="C3952" t="n">
        <v>1.076</v>
      </c>
      <c r="D3952" t="n">
        <v>1.033</v>
      </c>
      <c r="E3952" t="n">
        <v>1.011</v>
      </c>
      <c r="F3952" t="n">
        <v>0.998</v>
      </c>
      <c r="G3952" t="n">
        <v>1.023</v>
      </c>
    </row>
    <row r="3953">
      <c r="B3953" t="inlineStr">
        <is>
          <t>Oct 2022</t>
        </is>
      </c>
      <c r="C3953" t="n">
        <v>1.077</v>
      </c>
      <c r="D3953" t="n">
        <v>1.032</v>
      </c>
      <c r="E3953" t="n">
        <v>1.005</v>
      </c>
      <c r="F3953" t="n">
        <v>0.987</v>
      </c>
      <c r="G3953" t="n">
        <v>1.005</v>
      </c>
    </row>
    <row r="3954">
      <c r="B3954" t="inlineStr">
        <is>
          <t>Jul 2022</t>
        </is>
      </c>
      <c r="C3954" t="n">
        <v>1.091</v>
      </c>
      <c r="D3954" t="n">
        <v>1.046</v>
      </c>
      <c r="E3954" t="n">
        <v>1.011</v>
      </c>
      <c r="F3954" t="n">
        <v>0.985</v>
      </c>
      <c r="G3954" t="n">
        <v>1.006</v>
      </c>
    </row>
    <row r="3955">
      <c r="B3955" t="inlineStr">
        <is>
          <t>Apr 2022</t>
        </is>
      </c>
      <c r="C3955" t="n">
        <v>1.156</v>
      </c>
      <c r="D3955" t="n">
        <v>1.134</v>
      </c>
      <c r="E3955" t="n">
        <v>1.103</v>
      </c>
      <c r="F3955" t="n">
        <v>1.089</v>
      </c>
      <c r="G3955" t="n">
        <v>1.108</v>
      </c>
    </row>
    <row r="3956">
      <c r="B3956" t="inlineStr">
        <is>
          <t>Jan 2022</t>
        </is>
      </c>
      <c r="C3956" t="n">
        <v>1.229</v>
      </c>
      <c r="D3956" t="n">
        <v>1.179</v>
      </c>
      <c r="E3956" t="n">
        <v>1.148</v>
      </c>
      <c r="F3956" t="n">
        <v>1.123</v>
      </c>
      <c r="G3956" t="n">
        <v>1.158</v>
      </c>
    </row>
    <row r="3958">
      <c r="B3958" s="1250"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c r="B3959" s="1251" t="inlineStr">
        <is>
          <t>Occupancy Name</t>
        </is>
      </c>
      <c r="C3959" s="1251" t="inlineStr">
        <is>
          <t>Quality</t>
        </is>
      </c>
      <c r="D3959" s="1251" t="inlineStr">
        <is>
          <t>Class A</t>
        </is>
      </c>
      <c r="E3959" s="1251" t="inlineStr">
        <is>
          <t>Class B</t>
        </is>
      </c>
      <c r="F3959" s="1251" t="inlineStr">
        <is>
          <t>Class C</t>
        </is>
      </c>
      <c r="G3959" s="1251" t="inlineStr">
        <is>
          <t>Class D</t>
        </is>
      </c>
      <c r="H3959" s="1251" t="inlineStr">
        <is>
          <t>Class S</t>
        </is>
      </c>
      <c r="I3959" s="1251" t="inlineStr">
        <is>
          <t>Key</t>
        </is>
      </c>
      <c r="J3959" s="1251" t="inlineStr">
        <is>
          <t>MVS bucket used</t>
        </is>
      </c>
    </row>
    <row r="3960">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c r="B3963" t="inlineStr">
        <is>
          <t>Dormitories</t>
        </is>
      </c>
      <c r="C3963" t="inlineStr">
        <is>
          <t>Excellent</t>
        </is>
      </c>
      <c r="D3963" t="n">
        <v>60</v>
      </c>
      <c r="E3963" t="n">
        <v>60</v>
      </c>
      <c r="F3963" t="n">
        <v>55</v>
      </c>
      <c r="G3963" t="n">
        <v>50</v>
      </c>
      <c r="I3963">
        <f>B3963&amp;"|"&amp;C3963</f>
        <v/>
      </c>
      <c r="J3963" t="inlineStr">
        <is>
          <t>Dormitories, good and excellent</t>
        </is>
      </c>
    </row>
    <row r="3964">
      <c r="B3964" t="inlineStr">
        <is>
          <t>Dormitories</t>
        </is>
      </c>
      <c r="C3964" t="inlineStr">
        <is>
          <t>Very Good</t>
        </is>
      </c>
      <c r="D3964" t="n">
        <v>60</v>
      </c>
      <c r="E3964" t="n">
        <v>60</v>
      </c>
      <c r="F3964" t="n">
        <v>55</v>
      </c>
      <c r="G3964" t="n">
        <v>50</v>
      </c>
      <c r="I3964">
        <f>B3964&amp;"|"&amp;C3964</f>
        <v/>
      </c>
      <c r="J3964" t="inlineStr">
        <is>
          <t>Dormitories, good and excellent</t>
        </is>
      </c>
    </row>
    <row r="3965">
      <c r="B3965" t="inlineStr">
        <is>
          <t>Dormitories</t>
        </is>
      </c>
      <c r="C3965" t="inlineStr">
        <is>
          <t>Good</t>
        </is>
      </c>
      <c r="D3965" t="n">
        <v>60</v>
      </c>
      <c r="E3965" t="n">
        <v>60</v>
      </c>
      <c r="F3965" t="n">
        <v>55</v>
      </c>
      <c r="G3965" t="n">
        <v>50</v>
      </c>
      <c r="I3965">
        <f>B3965&amp;"|"&amp;C3965</f>
        <v/>
      </c>
      <c r="J3965" t="inlineStr">
        <is>
          <t>Dormitories, good and excellent</t>
        </is>
      </c>
    </row>
    <row r="3966">
      <c r="B3966" t="inlineStr">
        <is>
          <t>Dormitories</t>
        </is>
      </c>
      <c r="C3966" t="inlineStr">
        <is>
          <t>Average</t>
        </is>
      </c>
      <c r="D3966" t="n">
        <v>50</v>
      </c>
      <c r="E3966" t="n">
        <v>50</v>
      </c>
      <c r="F3966" t="n">
        <v>45</v>
      </c>
      <c r="G3966" t="n">
        <v>40</v>
      </c>
      <c r="H3966" t="n">
        <v>40</v>
      </c>
      <c r="I3966">
        <f>B3966&amp;"|"&amp;C3966</f>
        <v/>
      </c>
      <c r="J3966" t="inlineStr">
        <is>
          <t>low cost and average</t>
        </is>
      </c>
    </row>
    <row r="3967">
      <c r="B3967" t="inlineStr">
        <is>
          <t>Dormitories</t>
        </is>
      </c>
      <c r="C3967" t="inlineStr">
        <is>
          <t>Low Cost</t>
        </is>
      </c>
      <c r="D3967" t="n">
        <v>50</v>
      </c>
      <c r="E3967" t="n">
        <v>50</v>
      </c>
      <c r="F3967" t="n">
        <v>45</v>
      </c>
      <c r="G3967" t="n">
        <v>40</v>
      </c>
      <c r="H3967" t="n">
        <v>40</v>
      </c>
      <c r="I3967">
        <f>B3967&amp;"|"&amp;C3967</f>
        <v/>
      </c>
      <c r="J3967" t="inlineStr">
        <is>
          <t>low cost and average</t>
        </is>
      </c>
    </row>
    <row r="3968">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c r="B3977" t="inlineStr">
        <is>
          <t>City Clubs</t>
        </is>
      </c>
      <c r="C3977" t="inlineStr">
        <is>
          <t>Good</t>
        </is>
      </c>
      <c r="D3977" t="n">
        <v>60</v>
      </c>
      <c r="E3977" t="n">
        <v>60</v>
      </c>
      <c r="F3977" t="n">
        <v>50</v>
      </c>
      <c r="I3977">
        <f>B3977&amp;"|"&amp;C3977</f>
        <v/>
      </c>
      <c r="J3977" t="inlineStr">
        <is>
          <t>City clubs, good</t>
        </is>
      </c>
    </row>
    <row r="3978">
      <c r="B3978" t="inlineStr">
        <is>
          <t>City Clubs</t>
        </is>
      </c>
      <c r="C3978" t="inlineStr">
        <is>
          <t>Average</t>
        </is>
      </c>
      <c r="D3978" t="n">
        <v>50</v>
      </c>
      <c r="E3978" t="n">
        <v>50</v>
      </c>
      <c r="F3978" t="n">
        <v>45</v>
      </c>
      <c r="I3978">
        <f>B3978&amp;"|"&amp;C3978</f>
        <v/>
      </c>
      <c r="J3978" t="inlineStr">
        <is>
          <t>average</t>
        </is>
      </c>
    </row>
    <row r="3979">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c r="B3982" t="inlineStr">
        <is>
          <t>Hotels, Limited Service</t>
        </is>
      </c>
      <c r="C3982" t="inlineStr">
        <is>
          <t>Excellent</t>
        </is>
      </c>
      <c r="D3982" t="n">
        <v>60</v>
      </c>
      <c r="E3982" t="n">
        <v>60</v>
      </c>
      <c r="F3982" t="n">
        <v>50</v>
      </c>
      <c r="I3982">
        <f>B3982&amp;"|"&amp;C3982</f>
        <v/>
      </c>
      <c r="J3982" t="inlineStr">
        <is>
          <t>limited service, excellent</t>
        </is>
      </c>
    </row>
    <row r="3983">
      <c r="B3983" t="inlineStr">
        <is>
          <t>Hotels, Limited Service</t>
        </is>
      </c>
      <c r="C3983" t="inlineStr">
        <is>
          <t>Good</t>
        </is>
      </c>
      <c r="D3983" t="n">
        <v>55</v>
      </c>
      <c r="E3983" t="n">
        <v>55</v>
      </c>
      <c r="F3983" t="n">
        <v>50</v>
      </c>
      <c r="G3983" t="n">
        <v>45</v>
      </c>
      <c r="I3983">
        <f>B3983&amp;"|"&amp;C3983</f>
        <v/>
      </c>
      <c r="J3983" t="inlineStr">
        <is>
          <t>good</t>
        </is>
      </c>
    </row>
    <row r="3984">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c r="B3986" t="inlineStr">
        <is>
          <t>Shell Hotels: Limited Service Buildings</t>
        </is>
      </c>
      <c r="C3986" t="inlineStr">
        <is>
          <t>Excellent</t>
        </is>
      </c>
      <c r="D3986" t="n">
        <v>60</v>
      </c>
      <c r="E3986" t="n">
        <v>60</v>
      </c>
      <c r="F3986" t="n">
        <v>50</v>
      </c>
      <c r="I3986">
        <f>B3986&amp;"|"&amp;C3986</f>
        <v/>
      </c>
      <c r="J3986" t="inlineStr">
        <is>
          <t>limited service, excellent</t>
        </is>
      </c>
    </row>
    <row r="3987">
      <c r="B3987" t="inlineStr">
        <is>
          <t>Shell Hotels: Limited Service Buildings</t>
        </is>
      </c>
      <c r="C3987" t="inlineStr">
        <is>
          <t>Good</t>
        </is>
      </c>
      <c r="D3987" t="n">
        <v>55</v>
      </c>
      <c r="E3987" t="n">
        <v>55</v>
      </c>
      <c r="F3987" t="n">
        <v>50</v>
      </c>
      <c r="G3987" t="n">
        <v>45</v>
      </c>
      <c r="I3987">
        <f>B3987&amp;"|"&amp;C3987</f>
        <v/>
      </c>
      <c r="J3987" t="inlineStr">
        <is>
          <t>good</t>
        </is>
      </c>
    </row>
    <row r="3988">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c r="B3991" t="inlineStr">
        <is>
          <t>Hotels, Full Service</t>
        </is>
      </c>
      <c r="C3991" t="inlineStr">
        <is>
          <t>Good</t>
        </is>
      </c>
      <c r="D3991" t="n">
        <v>60</v>
      </c>
      <c r="E3991" t="n">
        <v>60</v>
      </c>
      <c r="F3991" t="n">
        <v>50</v>
      </c>
      <c r="G3991" t="n">
        <v>45</v>
      </c>
      <c r="I3991">
        <f>B3991&amp;"|"&amp;C3991</f>
        <v/>
      </c>
      <c r="J3991" t="inlineStr">
        <is>
          <t>Hotels, full service, good and excellent</t>
        </is>
      </c>
    </row>
    <row r="3992">
      <c r="B3992" t="inlineStr">
        <is>
          <t>Hotels, Full Service</t>
        </is>
      </c>
      <c r="C3992" t="inlineStr">
        <is>
          <t>Average</t>
        </is>
      </c>
      <c r="D3992" t="n">
        <v>55</v>
      </c>
      <c r="E3992" t="n">
        <v>55</v>
      </c>
      <c r="F3992" t="n">
        <v>50</v>
      </c>
      <c r="G3992" t="n">
        <v>45</v>
      </c>
      <c r="I3992">
        <f>B3992&amp;"|"&amp;C3992</f>
        <v/>
      </c>
      <c r="J3992" t="inlineStr">
        <is>
          <t>average</t>
        </is>
      </c>
    </row>
    <row r="3993">
      <c r="B3993" t="inlineStr">
        <is>
          <t>Hotels, Full Service</t>
        </is>
      </c>
      <c r="C3993" t="inlineStr">
        <is>
          <t>Low Cost</t>
        </is>
      </c>
      <c r="D3993" t="n">
        <v>50</v>
      </c>
      <c r="E3993" t="n">
        <v>50</v>
      </c>
      <c r="F3993" t="n">
        <v>45</v>
      </c>
      <c r="G3993" t="n">
        <v>40</v>
      </c>
      <c r="I3993">
        <f>B3993&amp;"|"&amp;C3993</f>
        <v/>
      </c>
      <c r="J3993" t="inlineStr">
        <is>
          <t>low cost</t>
        </is>
      </c>
    </row>
    <row r="3994">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c r="B3996" t="inlineStr">
        <is>
          <t>Shell Hotels: Full Service Buildings</t>
        </is>
      </c>
      <c r="C3996" t="inlineStr">
        <is>
          <t>Average</t>
        </is>
      </c>
      <c r="D3996" t="n">
        <v>55</v>
      </c>
      <c r="E3996" t="n">
        <v>55</v>
      </c>
      <c r="F3996" t="n">
        <v>50</v>
      </c>
      <c r="G3996" t="n">
        <v>45</v>
      </c>
      <c r="I3996">
        <f>B3996&amp;"|"&amp;C3996</f>
        <v/>
      </c>
      <c r="J3996" t="inlineStr">
        <is>
          <t>average</t>
        </is>
      </c>
    </row>
    <row r="3997">
      <c r="B3997" t="inlineStr">
        <is>
          <t>Shell Hotels: Full Service Buildings</t>
        </is>
      </c>
      <c r="C3997" t="inlineStr">
        <is>
          <t>Low Cost</t>
        </is>
      </c>
      <c r="D3997" t="n">
        <v>50</v>
      </c>
      <c r="E3997" t="n">
        <v>50</v>
      </c>
      <c r="F3997" t="n">
        <v>45</v>
      </c>
      <c r="G3997" t="n">
        <v>40</v>
      </c>
      <c r="I3997">
        <f>B3997&amp;"|"&amp;C3997</f>
        <v/>
      </c>
      <c r="J3997" t="inlineStr">
        <is>
          <t>low cost</t>
        </is>
      </c>
    </row>
    <row r="3998">
      <c r="B3998" t="inlineStr">
        <is>
          <t>Rooming Houses</t>
        </is>
      </c>
      <c r="C3998" t="inlineStr">
        <is>
          <t>Good</t>
        </is>
      </c>
      <c r="F3998" t="n">
        <v>55</v>
      </c>
      <c r="G3998" t="n">
        <v>50</v>
      </c>
      <c r="I3998">
        <f>B3998&amp;"|"&amp;C3998</f>
        <v/>
      </c>
      <c r="J3998" t="inlineStr">
        <is>
          <t>Rooming houses, good</t>
        </is>
      </c>
    </row>
    <row r="3999">
      <c r="B3999" t="inlineStr">
        <is>
          <t>Rooming Houses</t>
        </is>
      </c>
      <c r="C3999" t="inlineStr">
        <is>
          <t>Average</t>
        </is>
      </c>
      <c r="F3999" t="n">
        <v>50</v>
      </c>
      <c r="G3999" t="n">
        <v>45</v>
      </c>
      <c r="I3999">
        <f>B3999&amp;"|"&amp;C3999</f>
        <v/>
      </c>
      <c r="J3999" t="inlineStr">
        <is>
          <t>average</t>
        </is>
      </c>
    </row>
    <row r="4000">
      <c r="B4000" t="inlineStr">
        <is>
          <t>Rooming Houses</t>
        </is>
      </c>
      <c r="C4000" t="inlineStr">
        <is>
          <t>Fair</t>
        </is>
      </c>
      <c r="F4000" t="n">
        <v>45</v>
      </c>
      <c r="G4000" t="n">
        <v>40</v>
      </c>
      <c r="I4000">
        <f>B4000&amp;"|"&amp;C4000</f>
        <v/>
      </c>
      <c r="J4000" t="inlineStr">
        <is>
          <t>low cost and fair</t>
        </is>
      </c>
    </row>
    <row r="4001">
      <c r="B4001" t="inlineStr">
        <is>
          <t>Rooming Houses</t>
        </is>
      </c>
      <c r="C4001" t="inlineStr">
        <is>
          <t>Low Cost</t>
        </is>
      </c>
      <c r="F4001" t="n">
        <v>45</v>
      </c>
      <c r="G4001" t="n">
        <v>40</v>
      </c>
      <c r="I4001">
        <f>B4001&amp;"|"&amp;C4001</f>
        <v/>
      </c>
      <c r="J4001" t="inlineStr">
        <is>
          <t>low cost and fair</t>
        </is>
      </c>
    </row>
    <row r="4002">
      <c r="B4002" t="inlineStr">
        <is>
          <t>Rectories</t>
        </is>
      </c>
      <c r="C4002" t="inlineStr">
        <is>
          <t>Excellent</t>
        </is>
      </c>
      <c r="F4002" t="n">
        <v>55</v>
      </c>
      <c r="G4002" t="n">
        <v>50</v>
      </c>
      <c r="I4002">
        <f>B4002&amp;"|"&amp;C4002</f>
        <v/>
      </c>
      <c r="J4002" t="inlineStr">
        <is>
          <t>Rectories, good and excellent</t>
        </is>
      </c>
    </row>
    <row r="4003">
      <c r="B4003" t="inlineStr">
        <is>
          <t>Rectories</t>
        </is>
      </c>
      <c r="C4003" t="inlineStr">
        <is>
          <t>Good</t>
        </is>
      </c>
      <c r="F4003" t="n">
        <v>55</v>
      </c>
      <c r="G4003" t="n">
        <v>50</v>
      </c>
      <c r="I4003">
        <f>B4003&amp;"|"&amp;C4003</f>
        <v/>
      </c>
      <c r="J4003" t="inlineStr">
        <is>
          <t>Rectories, good and excellent</t>
        </is>
      </c>
    </row>
    <row r="4004">
      <c r="B4004" t="inlineStr">
        <is>
          <t>Rectories</t>
        </is>
      </c>
      <c r="C4004" t="inlineStr">
        <is>
          <t>Average</t>
        </is>
      </c>
      <c r="F4004" t="n">
        <v>50</v>
      </c>
      <c r="G4004" t="n">
        <v>45</v>
      </c>
      <c r="I4004">
        <f>B4004&amp;"|"&amp;C4004</f>
        <v/>
      </c>
      <c r="J4004" t="inlineStr">
        <is>
          <t>average</t>
        </is>
      </c>
    </row>
    <row r="4005">
      <c r="B4005" t="inlineStr">
        <is>
          <t>Rectories</t>
        </is>
      </c>
      <c r="C4005" t="inlineStr">
        <is>
          <t>Low Cost</t>
        </is>
      </c>
      <c r="F4005" t="n">
        <v>45</v>
      </c>
      <c r="G4005" t="n">
        <v>40</v>
      </c>
      <c r="I4005">
        <f>B4005&amp;"|"&amp;C4005</f>
        <v/>
      </c>
      <c r="J4005" t="inlineStr">
        <is>
          <t>low cost</t>
        </is>
      </c>
    </row>
    <row r="4006">
      <c r="B4006" t="inlineStr">
        <is>
          <t>Fraternity Housing</t>
        </is>
      </c>
      <c r="C4006" t="inlineStr">
        <is>
          <t>Excellent</t>
        </is>
      </c>
      <c r="F4006" t="n">
        <v>55</v>
      </c>
      <c r="G4006" t="n">
        <v>50</v>
      </c>
      <c r="I4006">
        <f>B4006&amp;"|"&amp;C4006</f>
        <v/>
      </c>
      <c r="J4006" t="inlineStr">
        <is>
          <t>Fraternity houses, good and excellent</t>
        </is>
      </c>
    </row>
    <row r="4007">
      <c r="B4007" t="inlineStr">
        <is>
          <t>Fraternity Housing</t>
        </is>
      </c>
      <c r="C4007" t="inlineStr">
        <is>
          <t>Good</t>
        </is>
      </c>
      <c r="F4007" t="n">
        <v>55</v>
      </c>
      <c r="G4007" t="n">
        <v>50</v>
      </c>
      <c r="I4007">
        <f>B4007&amp;"|"&amp;C4007</f>
        <v/>
      </c>
      <c r="J4007" t="inlineStr">
        <is>
          <t>Fraternity houses, good and excellent</t>
        </is>
      </c>
    </row>
    <row r="4008">
      <c r="B4008" t="inlineStr">
        <is>
          <t>Fraternity Housing</t>
        </is>
      </c>
      <c r="C4008" t="inlineStr">
        <is>
          <t>Average</t>
        </is>
      </c>
      <c r="F4008" t="n">
        <v>50</v>
      </c>
      <c r="G4008" t="n">
        <v>45</v>
      </c>
      <c r="I4008">
        <f>B4008&amp;"|"&amp;C4008</f>
        <v/>
      </c>
      <c r="J4008" t="inlineStr">
        <is>
          <t>average</t>
        </is>
      </c>
    </row>
    <row r="4009">
      <c r="B4009" t="inlineStr">
        <is>
          <t>Group Care Homes</t>
        </is>
      </c>
      <c r="C4009" t="inlineStr">
        <is>
          <t>Excellent</t>
        </is>
      </c>
      <c r="F4009" t="n">
        <v>55</v>
      </c>
      <c r="G4009" t="n">
        <v>50</v>
      </c>
      <c r="I4009">
        <f>B4009&amp;"|"&amp;C4009</f>
        <v/>
      </c>
      <c r="J4009" t="inlineStr">
        <is>
          <t>Group care homes, good, very good and excellent</t>
        </is>
      </c>
    </row>
    <row r="4010">
      <c r="B4010" t="inlineStr">
        <is>
          <t>Group Care Homes</t>
        </is>
      </c>
      <c r="C4010" t="inlineStr">
        <is>
          <t>Very Good</t>
        </is>
      </c>
      <c r="F4010" t="n">
        <v>55</v>
      </c>
      <c r="G4010" t="n">
        <v>50</v>
      </c>
      <c r="I4010">
        <f>B4010&amp;"|"&amp;C4010</f>
        <v/>
      </c>
      <c r="J4010" t="inlineStr">
        <is>
          <t>Group care homes, good, very good and excellent</t>
        </is>
      </c>
    </row>
    <row r="4011">
      <c r="B4011" t="inlineStr">
        <is>
          <t>Group Care Homes</t>
        </is>
      </c>
      <c r="C4011" t="inlineStr">
        <is>
          <t>Good</t>
        </is>
      </c>
      <c r="F4011" t="n">
        <v>55</v>
      </c>
      <c r="G4011" t="n">
        <v>50</v>
      </c>
      <c r="I4011">
        <f>B4011&amp;"|"&amp;C4011</f>
        <v/>
      </c>
      <c r="J4011" t="inlineStr">
        <is>
          <t>Group care homes, good, very good and excellent</t>
        </is>
      </c>
    </row>
    <row r="4012">
      <c r="B4012" t="inlineStr">
        <is>
          <t>Group Care Homes</t>
        </is>
      </c>
      <c r="C4012" t="inlineStr">
        <is>
          <t>Average</t>
        </is>
      </c>
      <c r="F4012" t="n">
        <v>50</v>
      </c>
      <c r="G4012" t="n">
        <v>45</v>
      </c>
      <c r="I4012">
        <f>B4012&amp;"|"&amp;C4012</f>
        <v/>
      </c>
      <c r="J4012" t="inlineStr">
        <is>
          <t>average</t>
        </is>
      </c>
    </row>
    <row r="4013">
      <c r="B4013" t="inlineStr">
        <is>
          <t>Group Care Homes</t>
        </is>
      </c>
      <c r="C4013" t="inlineStr">
        <is>
          <t>Low Cost</t>
        </is>
      </c>
      <c r="F4013" t="n">
        <v>45</v>
      </c>
      <c r="G4013" t="n">
        <v>40</v>
      </c>
      <c r="I4013">
        <f>B4013&amp;"|"&amp;C4013</f>
        <v/>
      </c>
      <c r="J4013" t="inlineStr">
        <is>
          <t>low cost</t>
        </is>
      </c>
    </row>
    <row r="4014">
      <c r="B4014" t="inlineStr">
        <is>
          <t>Recreational (Pool) Enclosures</t>
        </is>
      </c>
      <c r="C4014" t="inlineStr">
        <is>
          <t>Good</t>
        </is>
      </c>
      <c r="F4014" t="n">
        <v>45</v>
      </c>
      <c r="G4014" t="n">
        <v>40</v>
      </c>
      <c r="H4014" t="n">
        <v>40</v>
      </c>
      <c r="I4014">
        <f>B4014&amp;"|"&amp;C4014</f>
        <v/>
      </c>
      <c r="J4014" t="inlineStr">
        <is>
          <t>Recreational (pool) enclosures, good</t>
        </is>
      </c>
    </row>
    <row r="4015">
      <c r="B4015" t="inlineStr">
        <is>
          <t>Recreational (Pool) Enclosures</t>
        </is>
      </c>
      <c r="C4015" t="inlineStr">
        <is>
          <t>Average</t>
        </is>
      </c>
      <c r="F4015" t="n">
        <v>40</v>
      </c>
      <c r="G4015" t="n">
        <v>35</v>
      </c>
      <c r="H4015" t="n">
        <v>35</v>
      </c>
      <c r="I4015">
        <f>B4015&amp;"|"&amp;C4015</f>
        <v/>
      </c>
      <c r="J4015" t="inlineStr">
        <is>
          <t>average</t>
        </is>
      </c>
    </row>
    <row r="4016">
      <c r="B4016" t="inlineStr">
        <is>
          <t>Recreational (Pool) Enclosures</t>
        </is>
      </c>
      <c r="C4016" t="inlineStr">
        <is>
          <t>Low Cost</t>
        </is>
      </c>
      <c r="F4016" t="n">
        <v>35</v>
      </c>
      <c r="G4016" t="n">
        <v>25</v>
      </c>
      <c r="H4016" t="n">
        <v>20</v>
      </c>
      <c r="I4016">
        <f>B4016&amp;"|"&amp;C4016</f>
        <v/>
      </c>
      <c r="J4016" t="inlineStr">
        <is>
          <t>low cost</t>
        </is>
      </c>
    </row>
    <row r="4017">
      <c r="B4017" t="inlineStr">
        <is>
          <t>Recreational (Pool) Enclosures</t>
        </is>
      </c>
      <c r="C4017" t="inlineStr">
        <is>
          <t>Cheap</t>
        </is>
      </c>
      <c r="H4017" t="n">
        <v>10</v>
      </c>
      <c r="I4017">
        <f>B4017&amp;"|"&amp;C4017</f>
        <v/>
      </c>
      <c r="J4017" t="inlineStr">
        <is>
          <t>cheap</t>
        </is>
      </c>
    </row>
    <row r="4018">
      <c r="B4018" t="inlineStr">
        <is>
          <t>Clubhouses</t>
        </is>
      </c>
      <c r="C4018" t="inlineStr">
        <is>
          <t>Excellent</t>
        </is>
      </c>
      <c r="F4018" t="n">
        <v>45</v>
      </c>
      <c r="G4018" t="n">
        <v>40</v>
      </c>
      <c r="H4018" t="n">
        <v>40</v>
      </c>
      <c r="I4018">
        <f>B4018&amp;"|"&amp;C4018</f>
        <v/>
      </c>
      <c r="J4018" t="inlineStr">
        <is>
          <t>Clubhouses and senior centers, good and excellent</t>
        </is>
      </c>
    </row>
    <row r="4019">
      <c r="B4019" t="inlineStr">
        <is>
          <t>Clubhouses</t>
        </is>
      </c>
      <c r="C4019" t="inlineStr">
        <is>
          <t>Good</t>
        </is>
      </c>
      <c r="F4019" t="n">
        <v>45</v>
      </c>
      <c r="G4019" t="n">
        <v>40</v>
      </c>
      <c r="H4019" t="n">
        <v>40</v>
      </c>
      <c r="I4019">
        <f>B4019&amp;"|"&amp;C4019</f>
        <v/>
      </c>
      <c r="J4019" t="inlineStr">
        <is>
          <t>Clubhouses and senior centers, good and excellent</t>
        </is>
      </c>
    </row>
    <row r="4020">
      <c r="B4020" t="inlineStr">
        <is>
          <t>Clubhouses</t>
        </is>
      </c>
      <c r="C4020" t="inlineStr">
        <is>
          <t>Average</t>
        </is>
      </c>
      <c r="F4020" t="n">
        <v>40</v>
      </c>
      <c r="G4020" t="n">
        <v>35</v>
      </c>
      <c r="H4020" t="n">
        <v>35</v>
      </c>
      <c r="I4020">
        <f>B4020&amp;"|"&amp;C4020</f>
        <v/>
      </c>
      <c r="J4020" t="inlineStr">
        <is>
          <t>low cost and average</t>
        </is>
      </c>
    </row>
    <row r="4021">
      <c r="B4021" t="inlineStr">
        <is>
          <t>Clubhouses</t>
        </is>
      </c>
      <c r="C4021" t="inlineStr">
        <is>
          <t>Low Cost</t>
        </is>
      </c>
      <c r="F4021" t="n">
        <v>40</v>
      </c>
      <c r="G4021" t="n">
        <v>35</v>
      </c>
      <c r="H4021" t="n">
        <v>35</v>
      </c>
      <c r="I4021">
        <f>B4021&amp;"|"&amp;C4021</f>
        <v/>
      </c>
      <c r="J4021" t="inlineStr">
        <is>
          <t>low cost and average</t>
        </is>
      </c>
    </row>
    <row r="4022">
      <c r="B4022" t="inlineStr">
        <is>
          <t>Senior (Clubhouse) Centers</t>
        </is>
      </c>
      <c r="C4022" t="inlineStr">
        <is>
          <t>Excellent</t>
        </is>
      </c>
      <c r="F4022" t="n">
        <v>45</v>
      </c>
      <c r="G4022" t="n">
        <v>40</v>
      </c>
      <c r="H4022" t="n">
        <v>40</v>
      </c>
      <c r="I4022">
        <f>B4022&amp;"|"&amp;C4022</f>
        <v/>
      </c>
      <c r="J4022" t="inlineStr">
        <is>
          <t>Clubhouses and senior centers, good and excellent</t>
        </is>
      </c>
    </row>
    <row r="4023">
      <c r="B4023" t="inlineStr">
        <is>
          <t>Senior (Clubhouse) Centers</t>
        </is>
      </c>
      <c r="C4023" t="inlineStr">
        <is>
          <t>Good</t>
        </is>
      </c>
      <c r="F4023" t="n">
        <v>45</v>
      </c>
      <c r="G4023" t="n">
        <v>40</v>
      </c>
      <c r="H4023" t="n">
        <v>40</v>
      </c>
      <c r="I4023">
        <f>B4023&amp;"|"&amp;C4023</f>
        <v/>
      </c>
      <c r="J4023" t="inlineStr">
        <is>
          <t>Clubhouses and senior centers, good and excellent</t>
        </is>
      </c>
    </row>
    <row r="4024">
      <c r="B4024" t="inlineStr">
        <is>
          <t>Senior (Clubhouse) Centers</t>
        </is>
      </c>
      <c r="C4024" t="inlineStr">
        <is>
          <t>Average</t>
        </is>
      </c>
      <c r="F4024" t="n">
        <v>40</v>
      </c>
      <c r="G4024" t="n">
        <v>35</v>
      </c>
      <c r="H4024" t="n">
        <v>35</v>
      </c>
      <c r="I4024">
        <f>B4024&amp;"|"&amp;C4024</f>
        <v/>
      </c>
      <c r="J4024" t="inlineStr">
        <is>
          <t>low cost and average</t>
        </is>
      </c>
    </row>
    <row r="4025">
      <c r="B4025" t="inlineStr">
        <is>
          <t>Senior (Clubhouse) Centers</t>
        </is>
      </c>
      <c r="C4025" t="inlineStr">
        <is>
          <t>Low Cost</t>
        </is>
      </c>
      <c r="F4025" t="n">
        <v>40</v>
      </c>
      <c r="G4025" t="n">
        <v>35</v>
      </c>
      <c r="H4025" t="n">
        <v>35</v>
      </c>
      <c r="I4025">
        <f>B4025&amp;"|"&amp;C4025</f>
        <v/>
      </c>
      <c r="J4025" t="inlineStr">
        <is>
          <t>low cost and average</t>
        </is>
      </c>
    </row>
    <row r="4026">
      <c r="B4026" t="inlineStr">
        <is>
          <t>Country Clubs</t>
        </is>
      </c>
      <c r="C4026" t="inlineStr">
        <is>
          <t>Excellent</t>
        </is>
      </c>
      <c r="F4026" t="n">
        <v>50</v>
      </c>
      <c r="G4026" t="n">
        <v>45</v>
      </c>
      <c r="I4026">
        <f>B4026&amp;"|"&amp;C4026</f>
        <v/>
      </c>
      <c r="J4026" t="inlineStr">
        <is>
          <t>Country clubs, good and excellent</t>
        </is>
      </c>
    </row>
    <row r="4027">
      <c r="B4027" t="inlineStr">
        <is>
          <t>Country Clubs</t>
        </is>
      </c>
      <c r="C4027" t="inlineStr">
        <is>
          <t>Good</t>
        </is>
      </c>
      <c r="F4027" t="n">
        <v>50</v>
      </c>
      <c r="G4027" t="n">
        <v>45</v>
      </c>
      <c r="I4027">
        <f>B4027&amp;"|"&amp;C4027</f>
        <v/>
      </c>
      <c r="J4027" t="inlineStr">
        <is>
          <t>Country clubs, good and excellent</t>
        </is>
      </c>
    </row>
    <row r="4028">
      <c r="B4028" t="inlineStr">
        <is>
          <t>Country Clubs</t>
        </is>
      </c>
      <c r="C4028" t="inlineStr">
        <is>
          <t>Average</t>
        </is>
      </c>
      <c r="F4028" t="n">
        <v>45</v>
      </c>
      <c r="G4028" t="n">
        <v>40</v>
      </c>
      <c r="H4028" t="n">
        <v>40</v>
      </c>
      <c r="I4028">
        <f>B4028&amp;"|"&amp;C4028</f>
        <v/>
      </c>
      <c r="J4028" t="inlineStr">
        <is>
          <t>low cost and average</t>
        </is>
      </c>
    </row>
    <row r="4029">
      <c r="B4029" t="inlineStr">
        <is>
          <t>Country Clubs</t>
        </is>
      </c>
      <c r="C4029" t="inlineStr">
        <is>
          <t>Low Cost</t>
        </is>
      </c>
      <c r="F4029" t="n">
        <v>45</v>
      </c>
      <c r="G4029" t="n">
        <v>40</v>
      </c>
      <c r="H4029" t="n">
        <v>40</v>
      </c>
      <c r="I4029">
        <f>B4029&amp;"|"&amp;C4029</f>
        <v/>
      </c>
      <c r="J4029" t="inlineStr">
        <is>
          <t>low cost and average</t>
        </is>
      </c>
    </row>
    <row r="4030">
      <c r="B4030" t="inlineStr">
        <is>
          <t>Health Clubs (Spas)</t>
        </is>
      </c>
      <c r="C4030" t="inlineStr">
        <is>
          <t>Good</t>
        </is>
      </c>
      <c r="F4030" t="n">
        <v>45</v>
      </c>
      <c r="G4030" t="n">
        <v>40</v>
      </c>
      <c r="H4030" t="n">
        <v>40</v>
      </c>
      <c r="I4030">
        <f>B4030&amp;"|"&amp;C4030</f>
        <v/>
      </c>
      <c r="J4030" t="inlineStr">
        <is>
          <t>Health clubs and spas, good and excellent</t>
        </is>
      </c>
    </row>
    <row r="4031">
      <c r="B4031" t="inlineStr">
        <is>
          <t>Health Clubs (Spas)</t>
        </is>
      </c>
      <c r="C4031" t="inlineStr">
        <is>
          <t>Average</t>
        </is>
      </c>
      <c r="F4031" t="n">
        <v>40</v>
      </c>
      <c r="G4031" t="n">
        <v>35</v>
      </c>
      <c r="H4031" t="n">
        <v>35</v>
      </c>
      <c r="I4031">
        <f>B4031&amp;"|"&amp;C4031</f>
        <v/>
      </c>
      <c r="J4031" t="inlineStr">
        <is>
          <t>low cost and average</t>
        </is>
      </c>
    </row>
    <row r="4032">
      <c r="B4032" t="inlineStr">
        <is>
          <t>Health Clubs (Spas)</t>
        </is>
      </c>
      <c r="C4032" t="inlineStr">
        <is>
          <t>Low Cost</t>
        </is>
      </c>
      <c r="F4032" t="n">
        <v>40</v>
      </c>
      <c r="G4032" t="n">
        <v>35</v>
      </c>
      <c r="H4032" t="n">
        <v>35</v>
      </c>
      <c r="I4032">
        <f>B4032&amp;"|"&amp;C4032</f>
        <v/>
      </c>
      <c r="J4032" t="inlineStr">
        <is>
          <t>low cost and average</t>
        </is>
      </c>
    </row>
    <row r="4033">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c r="B4035" t="inlineStr">
        <is>
          <t>Mortuaries / Funeral Homes</t>
        </is>
      </c>
      <c r="C4035" t="inlineStr">
        <is>
          <t>Excellent</t>
        </is>
      </c>
      <c r="F4035" t="n">
        <v>50</v>
      </c>
      <c r="G4035" t="n">
        <v>50</v>
      </c>
      <c r="I4035">
        <f>B4035&amp;"|"&amp;C4035</f>
        <v/>
      </c>
      <c r="J4035" t="inlineStr">
        <is>
          <t>Mortuaries, excellent</t>
        </is>
      </c>
    </row>
    <row r="4036">
      <c r="B4036" t="inlineStr">
        <is>
          <t>Mortuaries / Funeral Homes</t>
        </is>
      </c>
      <c r="C4036" t="inlineStr">
        <is>
          <t>Low Cost</t>
        </is>
      </c>
      <c r="F4036" t="n">
        <v>40</v>
      </c>
      <c r="G4036" t="n">
        <v>35</v>
      </c>
      <c r="H4036" t="n">
        <v>35</v>
      </c>
      <c r="I4036">
        <f>B4036&amp;"|"&amp;C4036</f>
        <v/>
      </c>
      <c r="J4036" t="inlineStr">
        <is>
          <t>low cost</t>
        </is>
      </c>
    </row>
    <row r="4037">
      <c r="B4037" t="inlineStr">
        <is>
          <t>High-Rise Row (Town) Houses</t>
        </is>
      </c>
      <c r="C4037" t="inlineStr">
        <is>
          <t>Excellent</t>
        </is>
      </c>
      <c r="F4037" t="n">
        <v>60</v>
      </c>
      <c r="G4037" t="n">
        <v>55</v>
      </c>
      <c r="I4037">
        <f>B4037&amp;"|"&amp;C4037</f>
        <v/>
      </c>
      <c r="J4037" t="inlineStr">
        <is>
          <t>Row houses, high-rise, good and excellent</t>
        </is>
      </c>
    </row>
    <row r="4038">
      <c r="B4038" t="inlineStr">
        <is>
          <t>High-Rise Row (Town) Houses</t>
        </is>
      </c>
      <c r="C4038" t="inlineStr">
        <is>
          <t>Good</t>
        </is>
      </c>
      <c r="F4038" t="n">
        <v>60</v>
      </c>
      <c r="G4038" t="n">
        <v>55</v>
      </c>
      <c r="I4038">
        <f>B4038&amp;"|"&amp;C4038</f>
        <v/>
      </c>
      <c r="J4038" t="inlineStr">
        <is>
          <t>Row houses, high-rise, good and excellent</t>
        </is>
      </c>
    </row>
    <row r="4039">
      <c r="B4039" t="inlineStr">
        <is>
          <t>High-Rise Row (Town) Houses</t>
        </is>
      </c>
      <c r="C4039" t="inlineStr">
        <is>
          <t>Average</t>
        </is>
      </c>
      <c r="F4039" t="n">
        <v>55</v>
      </c>
      <c r="G4039" t="n">
        <v>50</v>
      </c>
      <c r="I4039">
        <f>B4039&amp;"|"&amp;C4039</f>
        <v/>
      </c>
      <c r="J4039" t="inlineStr">
        <is>
          <t>low cost and average</t>
        </is>
      </c>
    </row>
    <row r="4040">
      <c r="B4040" t="inlineStr">
        <is>
          <t>Motels</t>
        </is>
      </c>
      <c r="C4040" t="inlineStr">
        <is>
          <t>Excellent</t>
        </is>
      </c>
      <c r="F4040" t="n">
        <v>45</v>
      </c>
      <c r="G4040" t="n">
        <v>40</v>
      </c>
      <c r="I4040">
        <f>B4040&amp;"|"&amp;C4040</f>
        <v/>
      </c>
      <c r="J4040" t="inlineStr">
        <is>
          <t>Motels and extended-stay motels, good and excellent</t>
        </is>
      </c>
    </row>
    <row r="4041">
      <c r="B4041" t="inlineStr">
        <is>
          <t>Motels</t>
        </is>
      </c>
      <c r="C4041" t="inlineStr">
        <is>
          <t>Good</t>
        </is>
      </c>
      <c r="F4041" t="n">
        <v>45</v>
      </c>
      <c r="G4041" t="n">
        <v>40</v>
      </c>
      <c r="I4041">
        <f>B4041&amp;"|"&amp;C4041</f>
        <v/>
      </c>
      <c r="J4041" t="inlineStr">
        <is>
          <t>Motels and extended-stay motels, good and excellent</t>
        </is>
      </c>
    </row>
    <row r="4042">
      <c r="B4042" t="inlineStr">
        <is>
          <t>Motels</t>
        </is>
      </c>
      <c r="C4042" t="inlineStr">
        <is>
          <t>Average</t>
        </is>
      </c>
      <c r="F4042" t="n">
        <v>40</v>
      </c>
      <c r="G4042" t="n">
        <v>35</v>
      </c>
      <c r="H4042" t="n">
        <v>35</v>
      </c>
      <c r="I4042">
        <f>B4042&amp;"|"&amp;C4042</f>
        <v/>
      </c>
      <c r="J4042" t="inlineStr">
        <is>
          <t>average</t>
        </is>
      </c>
    </row>
    <row r="4043">
      <c r="B4043" t="inlineStr">
        <is>
          <t>Motels</t>
        </is>
      </c>
      <c r="C4043" t="inlineStr">
        <is>
          <t>Fair</t>
        </is>
      </c>
      <c r="F4043" t="n">
        <v>35</v>
      </c>
      <c r="G4043" t="n">
        <v>30</v>
      </c>
      <c r="I4043">
        <f>B4043&amp;"|"&amp;C4043</f>
        <v/>
      </c>
      <c r="J4043" t="inlineStr">
        <is>
          <t>fair, low cost and cheap</t>
        </is>
      </c>
    </row>
    <row r="4044">
      <c r="B4044" t="inlineStr">
        <is>
          <t>Motels</t>
        </is>
      </c>
      <c r="C4044" t="inlineStr">
        <is>
          <t>Low Cost</t>
        </is>
      </c>
      <c r="F4044" t="n">
        <v>35</v>
      </c>
      <c r="G4044" t="n">
        <v>30</v>
      </c>
      <c r="I4044">
        <f>B4044&amp;"|"&amp;C4044</f>
        <v/>
      </c>
      <c r="J4044" t="inlineStr">
        <is>
          <t>fair, low cost and cheap</t>
        </is>
      </c>
    </row>
    <row r="4045">
      <c r="B4045" t="inlineStr">
        <is>
          <t>Motels</t>
        </is>
      </c>
      <c r="C4045" t="inlineStr">
        <is>
          <t>Cheap</t>
        </is>
      </c>
      <c r="F4045" t="n">
        <v>35</v>
      </c>
      <c r="G4045" t="n">
        <v>30</v>
      </c>
      <c r="I4045">
        <f>B4045&amp;"|"&amp;C4045</f>
        <v/>
      </c>
      <c r="J4045" t="inlineStr">
        <is>
          <t>fair, low cost and cheap</t>
        </is>
      </c>
    </row>
    <row r="4046">
      <c r="B4046" t="inlineStr">
        <is>
          <t>Shell Motels</t>
        </is>
      </c>
      <c r="C4046" t="inlineStr">
        <is>
          <t>Excellent</t>
        </is>
      </c>
      <c r="F4046" t="n">
        <v>45</v>
      </c>
      <c r="G4046" t="n">
        <v>40</v>
      </c>
      <c r="I4046">
        <f>B4046&amp;"|"&amp;C4046</f>
        <v/>
      </c>
      <c r="J4046" t="inlineStr">
        <is>
          <t>Motels and extended-stay motels, good and excellent</t>
        </is>
      </c>
    </row>
    <row r="4047">
      <c r="B4047" t="inlineStr">
        <is>
          <t>Shell Motels</t>
        </is>
      </c>
      <c r="C4047" t="inlineStr">
        <is>
          <t>Good</t>
        </is>
      </c>
      <c r="F4047" t="n">
        <v>45</v>
      </c>
      <c r="G4047" t="n">
        <v>40</v>
      </c>
      <c r="I4047">
        <f>B4047&amp;"|"&amp;C4047</f>
        <v/>
      </c>
      <c r="J4047" t="inlineStr">
        <is>
          <t>Motels and extended-stay motels, good and excellent</t>
        </is>
      </c>
    </row>
    <row r="4048">
      <c r="B4048" t="inlineStr">
        <is>
          <t>Shell Motels</t>
        </is>
      </c>
      <c r="C4048" t="inlineStr">
        <is>
          <t>Average</t>
        </is>
      </c>
      <c r="F4048" t="n">
        <v>40</v>
      </c>
      <c r="G4048" t="n">
        <v>35</v>
      </c>
      <c r="H4048" t="n">
        <v>35</v>
      </c>
      <c r="I4048">
        <f>B4048&amp;"|"&amp;C4048</f>
        <v/>
      </c>
      <c r="J4048" t="inlineStr">
        <is>
          <t>average</t>
        </is>
      </c>
    </row>
    <row r="4049">
      <c r="B4049" t="inlineStr">
        <is>
          <t>Shell Motels</t>
        </is>
      </c>
      <c r="C4049" t="inlineStr">
        <is>
          <t>Fair</t>
        </is>
      </c>
      <c r="F4049" t="n">
        <v>35</v>
      </c>
      <c r="G4049" t="n">
        <v>30</v>
      </c>
      <c r="I4049">
        <f>B4049&amp;"|"&amp;C4049</f>
        <v/>
      </c>
      <c r="J4049" t="inlineStr">
        <is>
          <t>fair, low cost and cheap</t>
        </is>
      </c>
    </row>
    <row r="4050">
      <c r="B4050" t="inlineStr">
        <is>
          <t>Shell Motels</t>
        </is>
      </c>
      <c r="C4050" t="inlineStr">
        <is>
          <t>Low Cost</t>
        </is>
      </c>
      <c r="F4050" t="n">
        <v>35</v>
      </c>
      <c r="G4050" t="n">
        <v>30</v>
      </c>
      <c r="I4050">
        <f>B4050&amp;"|"&amp;C4050</f>
        <v/>
      </c>
      <c r="J4050" t="inlineStr">
        <is>
          <t>fair, low cost and cheap</t>
        </is>
      </c>
    </row>
    <row r="4051">
      <c r="B4051" t="inlineStr">
        <is>
          <t>Shell Motels</t>
        </is>
      </c>
      <c r="C4051" t="inlineStr">
        <is>
          <t>Cheap</t>
        </is>
      </c>
      <c r="F4051" t="n">
        <v>35</v>
      </c>
      <c r="G4051" t="n">
        <v>30</v>
      </c>
      <c r="I4051">
        <f>B4051&amp;"|"&amp;C4051</f>
        <v/>
      </c>
      <c r="J4051" t="inlineStr">
        <is>
          <t>fair, low cost and cheap</t>
        </is>
      </c>
    </row>
    <row r="4052">
      <c r="B4052" t="inlineStr">
        <is>
          <t>Extended-Stay Motels</t>
        </is>
      </c>
      <c r="C4052" t="inlineStr">
        <is>
          <t>Excellent</t>
        </is>
      </c>
      <c r="F4052" t="n">
        <v>45</v>
      </c>
      <c r="G4052" t="n">
        <v>40</v>
      </c>
      <c r="I4052">
        <f>B4052&amp;"|"&amp;C4052</f>
        <v/>
      </c>
      <c r="J4052" t="inlineStr">
        <is>
          <t>Motels and extended-stay motels, good and excellent</t>
        </is>
      </c>
    </row>
    <row r="4053">
      <c r="B4053" t="inlineStr">
        <is>
          <t>Extended-Stay Motels</t>
        </is>
      </c>
      <c r="C4053" t="inlineStr">
        <is>
          <t>Good</t>
        </is>
      </c>
      <c r="F4053" t="n">
        <v>45</v>
      </c>
      <c r="G4053" t="n">
        <v>40</v>
      </c>
      <c r="I4053">
        <f>B4053&amp;"|"&amp;C4053</f>
        <v/>
      </c>
      <c r="J4053" t="inlineStr">
        <is>
          <t>Motels and extended-stay motels, good and excellent</t>
        </is>
      </c>
    </row>
    <row r="4054">
      <c r="B4054" t="inlineStr">
        <is>
          <t>Extended-Stay Motels</t>
        </is>
      </c>
      <c r="C4054" t="inlineStr">
        <is>
          <t>Average</t>
        </is>
      </c>
      <c r="F4054" t="n">
        <v>40</v>
      </c>
      <c r="G4054" t="n">
        <v>35</v>
      </c>
      <c r="H4054" t="n">
        <v>35</v>
      </c>
      <c r="I4054">
        <f>B4054&amp;"|"&amp;C4054</f>
        <v/>
      </c>
      <c r="J4054" t="inlineStr">
        <is>
          <t>average</t>
        </is>
      </c>
    </row>
    <row r="4055">
      <c r="B4055" t="inlineStr">
        <is>
          <t>Extended-Stay Motels</t>
        </is>
      </c>
      <c r="C4055" t="inlineStr">
        <is>
          <t>Fair</t>
        </is>
      </c>
      <c r="F4055" t="n">
        <v>35</v>
      </c>
      <c r="G4055" t="n">
        <v>30</v>
      </c>
      <c r="I4055">
        <f>B4055&amp;"|"&amp;C4055</f>
        <v/>
      </c>
      <c r="J4055" t="inlineStr">
        <is>
          <t>fair, low cost and cheap</t>
        </is>
      </c>
    </row>
    <row r="4056">
      <c r="B4056" t="inlineStr">
        <is>
          <t>Extended-Stay Motels</t>
        </is>
      </c>
      <c r="C4056" t="inlineStr">
        <is>
          <t>Low Cost</t>
        </is>
      </c>
      <c r="F4056" t="n">
        <v>35</v>
      </c>
      <c r="G4056" t="n">
        <v>30</v>
      </c>
      <c r="I4056">
        <f>B4056&amp;"|"&amp;C4056</f>
        <v/>
      </c>
      <c r="J4056" t="inlineStr">
        <is>
          <t>fair, low cost and cheap</t>
        </is>
      </c>
    </row>
    <row r="4057">
      <c r="B4057" t="inlineStr">
        <is>
          <t>Shell Extended Stay - Motels</t>
        </is>
      </c>
      <c r="C4057" t="inlineStr">
        <is>
          <t>Excellent</t>
        </is>
      </c>
      <c r="F4057" t="n">
        <v>45</v>
      </c>
      <c r="G4057" t="n">
        <v>40</v>
      </c>
      <c r="I4057">
        <f>B4057&amp;"|"&amp;C4057</f>
        <v/>
      </c>
      <c r="J4057" t="inlineStr">
        <is>
          <t>Motels and extended-stay motels, good and excellent</t>
        </is>
      </c>
    </row>
    <row r="4058">
      <c r="B4058" t="inlineStr">
        <is>
          <t>Shell Extended Stay - Motels</t>
        </is>
      </c>
      <c r="C4058" t="inlineStr">
        <is>
          <t>Good</t>
        </is>
      </c>
      <c r="F4058" t="n">
        <v>45</v>
      </c>
      <c r="G4058" t="n">
        <v>40</v>
      </c>
      <c r="I4058">
        <f>B4058&amp;"|"&amp;C4058</f>
        <v/>
      </c>
      <c r="J4058" t="inlineStr">
        <is>
          <t>Motels and extended-stay motels, good and excellent</t>
        </is>
      </c>
    </row>
    <row r="4059">
      <c r="B4059" t="inlineStr">
        <is>
          <t>Shell Extended Stay - Motels</t>
        </is>
      </c>
      <c r="C4059" t="inlineStr">
        <is>
          <t>Average</t>
        </is>
      </c>
      <c r="F4059" t="n">
        <v>40</v>
      </c>
      <c r="G4059" t="n">
        <v>35</v>
      </c>
      <c r="H4059" t="n">
        <v>35</v>
      </c>
      <c r="I4059">
        <f>B4059&amp;"|"&amp;C4059</f>
        <v/>
      </c>
      <c r="J4059" t="inlineStr">
        <is>
          <t>average</t>
        </is>
      </c>
    </row>
    <row r="4060">
      <c r="B4060" t="inlineStr">
        <is>
          <t>Shell Extended Stay - Motels</t>
        </is>
      </c>
      <c r="C4060" t="inlineStr">
        <is>
          <t>Fair</t>
        </is>
      </c>
      <c r="F4060" t="n">
        <v>35</v>
      </c>
      <c r="G4060" t="n">
        <v>30</v>
      </c>
      <c r="I4060">
        <f>B4060&amp;"|"&amp;C4060</f>
        <v/>
      </c>
      <c r="J4060" t="inlineStr">
        <is>
          <t>fair, low cost and cheap</t>
        </is>
      </c>
    </row>
    <row r="4061">
      <c r="B4061" t="inlineStr">
        <is>
          <t>Shell Extended Stay - Motels</t>
        </is>
      </c>
      <c r="C4061" t="inlineStr">
        <is>
          <t>Low Cost</t>
        </is>
      </c>
      <c r="F4061" t="n">
        <v>35</v>
      </c>
      <c r="G4061" t="n">
        <v>30</v>
      </c>
      <c r="I4061">
        <f>B4061&amp;"|"&amp;C4061</f>
        <v/>
      </c>
      <c r="J4061" t="inlineStr">
        <is>
          <t>fair, low cost and cheap</t>
        </is>
      </c>
    </row>
    <row r="4062">
      <c r="B4062" t="inlineStr">
        <is>
          <t>Office-Apartments</t>
        </is>
      </c>
      <c r="C4062" t="inlineStr">
        <is>
          <t>Excellent</t>
        </is>
      </c>
      <c r="F4062" t="n">
        <v>45</v>
      </c>
      <c r="G4062" t="n">
        <v>40</v>
      </c>
      <c r="I4062">
        <f>B4062&amp;"|"&amp;C4062</f>
        <v/>
      </c>
      <c r="J4062" t="inlineStr">
        <is>
          <t>Office apartments, good and excellent</t>
        </is>
      </c>
    </row>
    <row r="4063">
      <c r="B4063" t="inlineStr">
        <is>
          <t>Office-Apartments</t>
        </is>
      </c>
      <c r="C4063" t="inlineStr">
        <is>
          <t>Good</t>
        </is>
      </c>
      <c r="F4063" t="n">
        <v>45</v>
      </c>
      <c r="G4063" t="n">
        <v>40</v>
      </c>
      <c r="I4063">
        <f>B4063&amp;"|"&amp;C4063</f>
        <v/>
      </c>
      <c r="J4063" t="inlineStr">
        <is>
          <t>Office apartments, good and excellent</t>
        </is>
      </c>
    </row>
    <row r="4064">
      <c r="B4064" t="inlineStr">
        <is>
          <t>Office-Apartments</t>
        </is>
      </c>
      <c r="C4064" t="inlineStr">
        <is>
          <t>Average</t>
        </is>
      </c>
      <c r="F4064" t="n">
        <v>40</v>
      </c>
      <c r="G4064" t="n">
        <v>35</v>
      </c>
      <c r="H4064" t="n">
        <v>35</v>
      </c>
      <c r="I4064">
        <f>B4064&amp;"|"&amp;C4064</f>
        <v/>
      </c>
      <c r="J4064" t="inlineStr">
        <is>
          <t>average</t>
        </is>
      </c>
    </row>
    <row r="4065">
      <c r="B4065" t="inlineStr">
        <is>
          <t>Office-Apartments</t>
        </is>
      </c>
      <c r="C4065" t="inlineStr">
        <is>
          <t>Low Cost</t>
        </is>
      </c>
      <c r="F4065" t="n">
        <v>35</v>
      </c>
      <c r="G4065" t="n">
        <v>30</v>
      </c>
      <c r="I4065">
        <f>B4065&amp;"|"&amp;C4065</f>
        <v/>
      </c>
      <c r="J4065" t="inlineStr">
        <is>
          <t>low cost</t>
        </is>
      </c>
    </row>
    <row r="4066">
      <c r="B4066" t="inlineStr">
        <is>
          <t>Office-Apartments</t>
        </is>
      </c>
      <c r="C4066" t="inlineStr">
        <is>
          <t>Cheap</t>
        </is>
      </c>
      <c r="F4066" t="n">
        <v>35</v>
      </c>
      <c r="G4066" t="n">
        <v>30</v>
      </c>
      <c r="I4066">
        <f>B4066&amp;"|"&amp;C4066</f>
        <v/>
      </c>
      <c r="J4066" t="inlineStr">
        <is>
          <t>cheap</t>
        </is>
      </c>
    </row>
    <row r="4067">
      <c r="B4067" t="inlineStr">
        <is>
          <t>Motel Guest Rooms</t>
        </is>
      </c>
      <c r="C4067" t="inlineStr">
        <is>
          <t>Excellent</t>
        </is>
      </c>
      <c r="F4067" t="n">
        <v>45</v>
      </c>
      <c r="G4067" t="n">
        <v>40</v>
      </c>
      <c r="I4067">
        <f>B4067&amp;"|"&amp;C4067</f>
        <v/>
      </c>
      <c r="J4067" t="inlineStr">
        <is>
          <t>Motels and extended-stay motels, good and excellent</t>
        </is>
      </c>
    </row>
    <row r="4068">
      <c r="B4068" t="inlineStr">
        <is>
          <t>Motel Guest Rooms</t>
        </is>
      </c>
      <c r="C4068" t="inlineStr">
        <is>
          <t>Good</t>
        </is>
      </c>
      <c r="F4068" t="n">
        <v>45</v>
      </c>
      <c r="G4068" t="n">
        <v>40</v>
      </c>
      <c r="I4068">
        <f>B4068&amp;"|"&amp;C4068</f>
        <v/>
      </c>
      <c r="J4068" t="inlineStr">
        <is>
          <t>Motels and extended-stay motels, good and excellent</t>
        </is>
      </c>
    </row>
    <row r="4069">
      <c r="B4069" t="inlineStr">
        <is>
          <t>Motel Guest Rooms</t>
        </is>
      </c>
      <c r="C4069" t="inlineStr">
        <is>
          <t>Average</t>
        </is>
      </c>
      <c r="F4069" t="n">
        <v>40</v>
      </c>
      <c r="G4069" t="n">
        <v>35</v>
      </c>
      <c r="H4069" t="n">
        <v>35</v>
      </c>
      <c r="I4069">
        <f>B4069&amp;"|"&amp;C4069</f>
        <v/>
      </c>
      <c r="J4069" t="inlineStr">
        <is>
          <t>average</t>
        </is>
      </c>
    </row>
    <row r="4070">
      <c r="B4070" t="inlineStr">
        <is>
          <t>Motel Guest Rooms</t>
        </is>
      </c>
      <c r="C4070" t="inlineStr">
        <is>
          <t>Low Cost</t>
        </is>
      </c>
      <c r="F4070" t="n">
        <v>35</v>
      </c>
      <c r="G4070" t="n">
        <v>30</v>
      </c>
      <c r="I4070">
        <f>B4070&amp;"|"&amp;C4070</f>
        <v/>
      </c>
      <c r="J4070" t="inlineStr">
        <is>
          <t>fair, low cost and cheap</t>
        </is>
      </c>
    </row>
    <row r="4071">
      <c r="B4071" t="inlineStr">
        <is>
          <t>Motel Guest Rooms</t>
        </is>
      </c>
      <c r="C4071" t="inlineStr">
        <is>
          <t>Cheap</t>
        </is>
      </c>
      <c r="F4071" t="n">
        <v>35</v>
      </c>
      <c r="G4071" t="n">
        <v>30</v>
      </c>
      <c r="I4071">
        <f>B4071&amp;"|"&amp;C4071</f>
        <v/>
      </c>
      <c r="J4071" t="inlineStr">
        <is>
          <t>fair, low cost and cheap</t>
        </is>
      </c>
    </row>
    <row r="4072">
      <c r="B4072" t="inlineStr">
        <is>
          <t>Lodges</t>
        </is>
      </c>
      <c r="C4072" t="inlineStr">
        <is>
          <t>Excellent</t>
        </is>
      </c>
      <c r="F4072" t="n">
        <v>50</v>
      </c>
      <c r="G4072" t="n">
        <v>45</v>
      </c>
      <c r="I4072">
        <f>B4072&amp;"|"&amp;C4072</f>
        <v/>
      </c>
      <c r="J4072" t="inlineStr">
        <is>
          <t>Lodges, very good and excellent</t>
        </is>
      </c>
    </row>
    <row r="4073">
      <c r="B4073" t="inlineStr">
        <is>
          <t>Lodges</t>
        </is>
      </c>
      <c r="C4073" t="inlineStr">
        <is>
          <t>Very Good</t>
        </is>
      </c>
      <c r="F4073" t="n">
        <v>50</v>
      </c>
      <c r="G4073" t="n">
        <v>45</v>
      </c>
      <c r="I4073">
        <f>B4073&amp;"|"&amp;C4073</f>
        <v/>
      </c>
      <c r="J4073" t="inlineStr">
        <is>
          <t>Lodges, very good and excellent</t>
        </is>
      </c>
    </row>
    <row r="4074">
      <c r="B4074" t="inlineStr">
        <is>
          <t>Lodges</t>
        </is>
      </c>
      <c r="C4074" t="inlineStr">
        <is>
          <t>Good</t>
        </is>
      </c>
      <c r="F4074" t="n">
        <v>45</v>
      </c>
      <c r="G4074" t="n">
        <v>40</v>
      </c>
      <c r="I4074">
        <f>B4074&amp;"|"&amp;C4074</f>
        <v/>
      </c>
      <c r="J4074" t="inlineStr">
        <is>
          <t>good</t>
        </is>
      </c>
    </row>
    <row r="4075">
      <c r="B4075" t="inlineStr">
        <is>
          <t>Lodges</t>
        </is>
      </c>
      <c r="C4075" t="inlineStr">
        <is>
          <t>Average</t>
        </is>
      </c>
      <c r="F4075" t="n">
        <v>40</v>
      </c>
      <c r="G4075" t="n">
        <v>35</v>
      </c>
      <c r="I4075">
        <f>B4075&amp;"|"&amp;C4075</f>
        <v/>
      </c>
      <c r="J4075" t="inlineStr">
        <is>
          <t>average</t>
        </is>
      </c>
    </row>
    <row r="4076">
      <c r="B4076" t="inlineStr">
        <is>
          <t>Lodges</t>
        </is>
      </c>
      <c r="C4076" t="inlineStr">
        <is>
          <t>Fair</t>
        </is>
      </c>
      <c r="F4076" t="n">
        <v>35</v>
      </c>
      <c r="G4076" t="n">
        <v>30</v>
      </c>
      <c r="I4076">
        <f>B4076&amp;"|"&amp;C4076</f>
        <v/>
      </c>
      <c r="J4076" t="inlineStr">
        <is>
          <t>low cost and fair</t>
        </is>
      </c>
    </row>
    <row r="4077">
      <c r="B4077" t="inlineStr">
        <is>
          <t>Lodges</t>
        </is>
      </c>
      <c r="C4077" t="inlineStr">
        <is>
          <t>Low Cost</t>
        </is>
      </c>
      <c r="F4077" t="n">
        <v>35</v>
      </c>
      <c r="G4077" t="n">
        <v>30</v>
      </c>
      <c r="I4077">
        <f>B4077&amp;"|"&amp;C4077</f>
        <v/>
      </c>
      <c r="J4077" t="inlineStr">
        <is>
          <t>low cost and fair</t>
        </is>
      </c>
    </row>
    <row r="4078">
      <c r="B4078" t="inlineStr">
        <is>
          <t>Lodges</t>
        </is>
      </c>
      <c r="C4078" t="inlineStr">
        <is>
          <t>Cheap</t>
        </is>
      </c>
      <c r="F4078" t="n">
        <v>35</v>
      </c>
      <c r="G4078" t="n">
        <v>30</v>
      </c>
      <c r="I4078">
        <f>B4078&amp;"|"&amp;C4078</f>
        <v/>
      </c>
      <c r="J4078" t="inlineStr">
        <is>
          <t>cheap</t>
        </is>
      </c>
    </row>
    <row r="4079">
      <c r="B4079" t="inlineStr">
        <is>
          <t>Guest Cottages</t>
        </is>
      </c>
      <c r="C4079" t="inlineStr">
        <is>
          <t>Excellent</t>
        </is>
      </c>
      <c r="F4079" t="n">
        <v>50</v>
      </c>
      <c r="G4079" t="n">
        <v>45</v>
      </c>
      <c r="I4079">
        <f>B4079&amp;"|"&amp;C4079</f>
        <v/>
      </c>
      <c r="J4079" t="inlineStr">
        <is>
          <t>Guest cottages, excellent</t>
        </is>
      </c>
    </row>
    <row r="4080">
      <c r="B4080" t="inlineStr">
        <is>
          <t>Guest Cottages</t>
        </is>
      </c>
      <c r="C4080" t="inlineStr">
        <is>
          <t>Good</t>
        </is>
      </c>
      <c r="F4080" t="n">
        <v>45</v>
      </c>
      <c r="G4080" t="n">
        <v>40</v>
      </c>
      <c r="I4080">
        <f>B4080&amp;"|"&amp;C4080</f>
        <v/>
      </c>
      <c r="J4080" t="inlineStr">
        <is>
          <t>good</t>
        </is>
      </c>
    </row>
    <row r="4081">
      <c r="B4081" t="inlineStr">
        <is>
          <t>Guest Cottages</t>
        </is>
      </c>
      <c r="C4081" t="inlineStr">
        <is>
          <t>Average</t>
        </is>
      </c>
      <c r="F4081" t="n">
        <v>40</v>
      </c>
      <c r="G4081" t="n">
        <v>35</v>
      </c>
      <c r="I4081">
        <f>B4081&amp;"|"&amp;C4081</f>
        <v/>
      </c>
      <c r="J4081" t="inlineStr">
        <is>
          <t>average</t>
        </is>
      </c>
    </row>
    <row r="4082">
      <c r="B4082" t="inlineStr">
        <is>
          <t>Guest Cottages</t>
        </is>
      </c>
      <c r="C4082" t="inlineStr">
        <is>
          <t>Fair</t>
        </is>
      </c>
      <c r="F4082" t="n">
        <v>35</v>
      </c>
      <c r="G4082" t="n">
        <v>30</v>
      </c>
      <c r="I4082">
        <f>B4082&amp;"|"&amp;C4082</f>
        <v/>
      </c>
      <c r="J4082" t="inlineStr">
        <is>
          <t>low cost and fair</t>
        </is>
      </c>
    </row>
    <row r="4083">
      <c r="B4083" t="inlineStr">
        <is>
          <t>Guest Cottages</t>
        </is>
      </c>
      <c r="C4083" t="inlineStr">
        <is>
          <t>Low Cost</t>
        </is>
      </c>
      <c r="F4083" t="n">
        <v>35</v>
      </c>
      <c r="G4083" t="n">
        <v>30</v>
      </c>
      <c r="I4083">
        <f>B4083&amp;"|"&amp;C4083</f>
        <v/>
      </c>
      <c r="J4083" t="inlineStr">
        <is>
          <t>low cost and fair</t>
        </is>
      </c>
    </row>
    <row r="4084">
      <c r="B4084" t="inlineStr">
        <is>
          <t>Guest Cottages</t>
        </is>
      </c>
      <c r="C4084" t="inlineStr">
        <is>
          <t>Cheap</t>
        </is>
      </c>
      <c r="G4084" t="n">
        <v>25</v>
      </c>
      <c r="I4084">
        <f>B4084&amp;"|"&amp;C4084</f>
        <v/>
      </c>
      <c r="J4084" t="inlineStr">
        <is>
          <t>cheap</t>
        </is>
      </c>
    </row>
    <row r="4085">
      <c r="B4085" t="inlineStr">
        <is>
          <t>Bed and Breakfast Inns</t>
        </is>
      </c>
      <c r="C4085" t="inlineStr">
        <is>
          <t>Excellent</t>
        </is>
      </c>
      <c r="F4085" t="n">
        <v>65</v>
      </c>
      <c r="G4085" t="n">
        <v>60</v>
      </c>
      <c r="I4085">
        <f>B4085&amp;"|"&amp;C4085</f>
        <v/>
      </c>
      <c r="J4085" t="inlineStr">
        <is>
          <t>Bed and breakfast inns, excellent</t>
        </is>
      </c>
    </row>
    <row r="4086">
      <c r="B4086" t="inlineStr">
        <is>
          <t>Bed and Breakfast Inns</t>
        </is>
      </c>
      <c r="C4086" t="inlineStr">
        <is>
          <t>Good</t>
        </is>
      </c>
      <c r="F4086" t="n">
        <v>60</v>
      </c>
      <c r="G4086" t="n">
        <v>55</v>
      </c>
      <c r="I4086">
        <f>B4086&amp;"|"&amp;C4086</f>
        <v/>
      </c>
      <c r="J4086" t="inlineStr">
        <is>
          <t>good</t>
        </is>
      </c>
    </row>
    <row r="4087">
      <c r="B4087" t="inlineStr">
        <is>
          <t>Bed and Breakfast Inns</t>
        </is>
      </c>
      <c r="C4087" t="inlineStr">
        <is>
          <t>Average</t>
        </is>
      </c>
      <c r="F4087" t="n">
        <v>55</v>
      </c>
      <c r="G4087" t="n">
        <v>50</v>
      </c>
      <c r="I4087">
        <f>B4087&amp;"|"&amp;C4087</f>
        <v/>
      </c>
      <c r="J4087" t="inlineStr">
        <is>
          <t>average</t>
        </is>
      </c>
    </row>
    <row r="4088">
      <c r="B4088" t="inlineStr">
        <is>
          <t>Bed and Breakfast Inns</t>
        </is>
      </c>
      <c r="C4088" t="inlineStr">
        <is>
          <t>Low Cost</t>
        </is>
      </c>
      <c r="F4088" t="n">
        <v>50</v>
      </c>
      <c r="G4088" t="n">
        <v>45</v>
      </c>
      <c r="I4088">
        <f>B4088&amp;"|"&amp;C4088</f>
        <v/>
      </c>
      <c r="J4088" t="inlineStr">
        <is>
          <t>low cost</t>
        </is>
      </c>
    </row>
    <row r="4089">
      <c r="B4089" t="inlineStr">
        <is>
          <t>Multiple Residences</t>
        </is>
      </c>
      <c r="C4089" t="inlineStr">
        <is>
          <t>Excellent</t>
        </is>
      </c>
      <c r="F4089" t="n">
        <v>60</v>
      </c>
      <c r="G4089" t="n">
        <v>55</v>
      </c>
      <c r="I4089">
        <f>B4089&amp;"|"&amp;C4089</f>
        <v/>
      </c>
      <c r="J4089" t="inlineStr">
        <is>
          <t>Multiple residences, excellent</t>
        </is>
      </c>
    </row>
    <row r="4090">
      <c r="B4090" t="inlineStr">
        <is>
          <t>Multiple Residences</t>
        </is>
      </c>
      <c r="C4090" t="inlineStr">
        <is>
          <t>Good</t>
        </is>
      </c>
      <c r="F4090" t="n">
        <v>55</v>
      </c>
      <c r="G4090" t="n">
        <v>50</v>
      </c>
      <c r="H4090" t="n">
        <v>50</v>
      </c>
      <c r="I4090">
        <f>B4090&amp;"|"&amp;C4090</f>
        <v/>
      </c>
      <c r="J4090" t="inlineStr">
        <is>
          <t>good</t>
        </is>
      </c>
    </row>
    <row r="4091">
      <c r="B4091" t="inlineStr">
        <is>
          <t>Multiple Residences</t>
        </is>
      </c>
      <c r="C4091" t="inlineStr">
        <is>
          <t>Average</t>
        </is>
      </c>
      <c r="F4091" t="n">
        <v>55</v>
      </c>
      <c r="G4091" t="n">
        <v>50</v>
      </c>
      <c r="H4091" t="n">
        <v>50</v>
      </c>
      <c r="I4091">
        <f>B4091&amp;"|"&amp;C4091</f>
        <v/>
      </c>
      <c r="J4091" t="inlineStr">
        <is>
          <t>average</t>
        </is>
      </c>
    </row>
    <row r="4092">
      <c r="B4092" t="inlineStr">
        <is>
          <t>Multiple Residences</t>
        </is>
      </c>
      <c r="C4092" t="inlineStr">
        <is>
          <t>Fair</t>
        </is>
      </c>
      <c r="F4092" t="n">
        <v>50</v>
      </c>
      <c r="G4092" t="n">
        <v>45</v>
      </c>
      <c r="I4092">
        <f>B4092&amp;"|"&amp;C4092</f>
        <v/>
      </c>
      <c r="J4092" t="inlineStr">
        <is>
          <t>low cost and fair</t>
        </is>
      </c>
    </row>
    <row r="4093">
      <c r="B4093" t="inlineStr">
        <is>
          <t>Multiple Residences</t>
        </is>
      </c>
      <c r="C4093" t="inlineStr">
        <is>
          <t>Low Cost</t>
        </is>
      </c>
      <c r="F4093" t="n">
        <v>50</v>
      </c>
      <c r="G4093" t="n">
        <v>45</v>
      </c>
      <c r="I4093">
        <f>B4093&amp;"|"&amp;C4093</f>
        <v/>
      </c>
      <c r="J4093" t="inlineStr">
        <is>
          <t>low cost and fair</t>
        </is>
      </c>
    </row>
    <row r="4094">
      <c r="B4094" t="inlineStr">
        <is>
          <t>Shell Multiple Residence Buildings</t>
        </is>
      </c>
      <c r="C4094" t="inlineStr">
        <is>
          <t>Excellent</t>
        </is>
      </c>
      <c r="F4094" t="n">
        <v>60</v>
      </c>
      <c r="G4094" t="n">
        <v>55</v>
      </c>
      <c r="I4094">
        <f>B4094&amp;"|"&amp;C4094</f>
        <v/>
      </c>
      <c r="J4094" t="inlineStr">
        <is>
          <t>Multiple residences, excellent</t>
        </is>
      </c>
    </row>
    <row r="4095">
      <c r="B4095" t="inlineStr">
        <is>
          <t>Shell Multiple Residence Buildings</t>
        </is>
      </c>
      <c r="C4095" t="inlineStr">
        <is>
          <t>Good</t>
        </is>
      </c>
      <c r="F4095" t="n">
        <v>55</v>
      </c>
      <c r="G4095" t="n">
        <v>50</v>
      </c>
      <c r="H4095" t="n">
        <v>50</v>
      </c>
      <c r="I4095">
        <f>B4095&amp;"|"&amp;C4095</f>
        <v/>
      </c>
      <c r="J4095" t="inlineStr">
        <is>
          <t>good</t>
        </is>
      </c>
    </row>
    <row r="4096">
      <c r="B4096" t="inlineStr">
        <is>
          <t>Shell Multiple Residence Buildings</t>
        </is>
      </c>
      <c r="C4096" t="inlineStr">
        <is>
          <t>Average</t>
        </is>
      </c>
      <c r="F4096" t="n">
        <v>55</v>
      </c>
      <c r="G4096" t="n">
        <v>50</v>
      </c>
      <c r="H4096" t="n">
        <v>50</v>
      </c>
      <c r="I4096">
        <f>B4096&amp;"|"&amp;C4096</f>
        <v/>
      </c>
      <c r="J4096" t="inlineStr">
        <is>
          <t>average</t>
        </is>
      </c>
    </row>
    <row r="4097">
      <c r="B4097" t="inlineStr">
        <is>
          <t>Shell Multiple Residence Buildings</t>
        </is>
      </c>
      <c r="C4097" t="inlineStr">
        <is>
          <t>Fair</t>
        </is>
      </c>
      <c r="F4097" t="n">
        <v>50</v>
      </c>
      <c r="G4097" t="n">
        <v>45</v>
      </c>
      <c r="I4097">
        <f>B4097&amp;"|"&amp;C4097</f>
        <v/>
      </c>
      <c r="J4097" t="inlineStr">
        <is>
          <t>low cost and fair</t>
        </is>
      </c>
    </row>
    <row r="4098">
      <c r="B4098" t="inlineStr">
        <is>
          <t>Multiple Residences – Senior Citizen</t>
        </is>
      </c>
      <c r="C4098" t="inlineStr">
        <is>
          <t>Excellent</t>
        </is>
      </c>
      <c r="F4098" t="n">
        <v>60</v>
      </c>
      <c r="G4098" t="n">
        <v>55</v>
      </c>
      <c r="I4098">
        <f>B4098&amp;"|"&amp;C4098</f>
        <v/>
      </c>
      <c r="J4098" t="inlineStr">
        <is>
          <t>Multiple residences, excellent</t>
        </is>
      </c>
    </row>
    <row r="4099">
      <c r="B4099" t="inlineStr">
        <is>
          <t>Multiple Residences – Senior Citizen</t>
        </is>
      </c>
      <c r="C4099" t="inlineStr">
        <is>
          <t>Good</t>
        </is>
      </c>
      <c r="F4099" t="n">
        <v>55</v>
      </c>
      <c r="G4099" t="n">
        <v>50</v>
      </c>
      <c r="H4099" t="n">
        <v>50</v>
      </c>
      <c r="I4099">
        <f>B4099&amp;"|"&amp;C4099</f>
        <v/>
      </c>
      <c r="J4099" t="inlineStr">
        <is>
          <t>good</t>
        </is>
      </c>
    </row>
    <row r="4100">
      <c r="B4100" t="inlineStr">
        <is>
          <t>Multiple Residences – Senior Citizen</t>
        </is>
      </c>
      <c r="C4100" t="inlineStr">
        <is>
          <t>Average</t>
        </is>
      </c>
      <c r="F4100" t="n">
        <v>55</v>
      </c>
      <c r="G4100" t="n">
        <v>50</v>
      </c>
      <c r="H4100" t="n">
        <v>50</v>
      </c>
      <c r="I4100">
        <f>B4100&amp;"|"&amp;C4100</f>
        <v/>
      </c>
      <c r="J4100" t="inlineStr">
        <is>
          <t>average</t>
        </is>
      </c>
    </row>
    <row r="4101">
      <c r="B4101" t="inlineStr">
        <is>
          <t>Multiple Residences – Senior Citizen</t>
        </is>
      </c>
      <c r="C4101" t="inlineStr">
        <is>
          <t>Fair</t>
        </is>
      </c>
      <c r="F4101" t="n">
        <v>50</v>
      </c>
      <c r="G4101" t="n">
        <v>45</v>
      </c>
      <c r="I4101">
        <f>B4101&amp;"|"&amp;C4101</f>
        <v/>
      </c>
      <c r="J4101" t="inlineStr">
        <is>
          <t>low cost and fair</t>
        </is>
      </c>
    </row>
    <row r="4102">
      <c r="B4102" t="inlineStr">
        <is>
          <t>Multiple Residences – Senior Citizen</t>
        </is>
      </c>
      <c r="C4102" t="inlineStr">
        <is>
          <t>Low Cost</t>
        </is>
      </c>
      <c r="F4102" t="n">
        <v>50</v>
      </c>
      <c r="G4102" t="n">
        <v>45</v>
      </c>
      <c r="I4102">
        <f>B4102&amp;"|"&amp;C4102</f>
        <v/>
      </c>
      <c r="J4102" t="inlineStr">
        <is>
          <t>low cost and fair</t>
        </is>
      </c>
    </row>
    <row r="4103">
      <c r="B4103" t="inlineStr">
        <is>
          <t>Shell Multiple Residences - Senior Citizen</t>
        </is>
      </c>
      <c r="C4103" t="inlineStr">
        <is>
          <t>Excellent</t>
        </is>
      </c>
      <c r="F4103" t="n">
        <v>60</v>
      </c>
      <c r="G4103" t="n">
        <v>55</v>
      </c>
      <c r="I4103">
        <f>B4103&amp;"|"&amp;C4103</f>
        <v/>
      </c>
      <c r="J4103" t="inlineStr">
        <is>
          <t>Multiple residences, excellent</t>
        </is>
      </c>
    </row>
    <row r="4104">
      <c r="B4104" t="inlineStr">
        <is>
          <t>Shell Multiple Residences - Senior Citizen</t>
        </is>
      </c>
      <c r="C4104" t="inlineStr">
        <is>
          <t>Good</t>
        </is>
      </c>
      <c r="F4104" t="n">
        <v>55</v>
      </c>
      <c r="G4104" t="n">
        <v>50</v>
      </c>
      <c r="H4104" t="n">
        <v>50</v>
      </c>
      <c r="I4104">
        <f>B4104&amp;"|"&amp;C4104</f>
        <v/>
      </c>
      <c r="J4104" t="inlineStr">
        <is>
          <t>good</t>
        </is>
      </c>
    </row>
    <row r="4105">
      <c r="B4105" t="inlineStr">
        <is>
          <t>Shell Multiple Residences - Senior Citizen</t>
        </is>
      </c>
      <c r="C4105" t="inlineStr">
        <is>
          <t>Average</t>
        </is>
      </c>
      <c r="F4105" t="n">
        <v>55</v>
      </c>
      <c r="G4105" t="n">
        <v>50</v>
      </c>
      <c r="H4105" t="n">
        <v>50</v>
      </c>
      <c r="I4105">
        <f>B4105&amp;"|"&amp;C4105</f>
        <v/>
      </c>
      <c r="J4105" t="inlineStr">
        <is>
          <t>average</t>
        </is>
      </c>
    </row>
    <row r="4106">
      <c r="B4106" t="inlineStr">
        <is>
          <t>Shell Multiple Residences - Senior Citizen</t>
        </is>
      </c>
      <c r="C4106" t="inlineStr">
        <is>
          <t>Fair</t>
        </is>
      </c>
      <c r="F4106" t="n">
        <v>50</v>
      </c>
      <c r="G4106" t="n">
        <v>45</v>
      </c>
      <c r="I4106">
        <f>B4106&amp;"|"&amp;C4106</f>
        <v/>
      </c>
      <c r="J4106" t="inlineStr">
        <is>
          <t>low cost and fair</t>
        </is>
      </c>
    </row>
    <row r="4107">
      <c r="B4107" t="inlineStr">
        <is>
          <t>Shell Multiple Residences - Senior Citizen</t>
        </is>
      </c>
      <c r="C4107" t="inlineStr">
        <is>
          <t>Low Cost</t>
        </is>
      </c>
      <c r="F4107" t="n">
        <v>50</v>
      </c>
      <c r="G4107" t="n">
        <v>45</v>
      </c>
      <c r="I4107">
        <f>B4107&amp;"|"&amp;C4107</f>
        <v/>
      </c>
      <c r="J4107" t="inlineStr">
        <is>
          <t>low cost and fair</t>
        </is>
      </c>
    </row>
    <row r="4108">
      <c r="B4108" t="inlineStr">
        <is>
          <t>Multiple Residences – Elderly Assisted Living</t>
        </is>
      </c>
      <c r="C4108" t="inlineStr">
        <is>
          <t>Excellent</t>
        </is>
      </c>
      <c r="F4108" t="n">
        <v>60</v>
      </c>
      <c r="G4108" t="n">
        <v>55</v>
      </c>
      <c r="I4108">
        <f>B4108&amp;"|"&amp;C4108</f>
        <v/>
      </c>
      <c r="J4108" t="inlineStr">
        <is>
          <t>Assisted living/retirement complexes, excellent</t>
        </is>
      </c>
    </row>
    <row r="4109">
      <c r="B4109" t="inlineStr">
        <is>
          <t>Multiple Residences – Elderly Assisted Living</t>
        </is>
      </c>
      <c r="C4109" t="inlineStr">
        <is>
          <t>Good</t>
        </is>
      </c>
      <c r="F4109" t="n">
        <v>55</v>
      </c>
      <c r="G4109" t="n">
        <v>50</v>
      </c>
      <c r="H4109" t="n">
        <v>50</v>
      </c>
      <c r="I4109">
        <f>B4109&amp;"|"&amp;C4109</f>
        <v/>
      </c>
      <c r="J4109" t="inlineStr">
        <is>
          <t>average and good</t>
        </is>
      </c>
    </row>
    <row r="4110">
      <c r="B4110" t="inlineStr">
        <is>
          <t>Multiple Residences – Elderly Assisted Living</t>
        </is>
      </c>
      <c r="C4110" t="inlineStr">
        <is>
          <t>Average</t>
        </is>
      </c>
      <c r="F4110" t="n">
        <v>55</v>
      </c>
      <c r="G4110" t="n">
        <v>50</v>
      </c>
      <c r="H4110" t="n">
        <v>50</v>
      </c>
      <c r="I4110">
        <f>B4110&amp;"|"&amp;C4110</f>
        <v/>
      </c>
      <c r="J4110" t="inlineStr">
        <is>
          <t>average and good</t>
        </is>
      </c>
    </row>
    <row r="4111">
      <c r="B4111" t="inlineStr">
        <is>
          <t>Multiple Residences – Elderly Assisted Living</t>
        </is>
      </c>
      <c r="C4111" t="inlineStr">
        <is>
          <t>Fair</t>
        </is>
      </c>
      <c r="F4111" t="n">
        <v>50</v>
      </c>
      <c r="G4111" t="n">
        <v>45</v>
      </c>
      <c r="H4111" t="n">
        <v>45</v>
      </c>
      <c r="I4111">
        <f>B4111&amp;"|"&amp;C4111</f>
        <v/>
      </c>
      <c r="J4111" t="inlineStr">
        <is>
          <t>low cost and fair</t>
        </is>
      </c>
    </row>
    <row r="4112">
      <c r="B4112" t="inlineStr">
        <is>
          <t>Multiple Residences – Elderly Assisted Living</t>
        </is>
      </c>
      <c r="C4112" t="inlineStr">
        <is>
          <t>Low Cost</t>
        </is>
      </c>
      <c r="F4112" t="n">
        <v>50</v>
      </c>
      <c r="G4112" t="n">
        <v>45</v>
      </c>
      <c r="H4112" t="n">
        <v>45</v>
      </c>
      <c r="I4112">
        <f>B4112&amp;"|"&amp;C4112</f>
        <v/>
      </c>
      <c r="J4112" t="inlineStr">
        <is>
          <t>low cost and fair</t>
        </is>
      </c>
    </row>
    <row r="4113">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c r="B4114" t="inlineStr">
        <is>
          <t>Shell Multiple Residences - Elderly Assisted Living</t>
        </is>
      </c>
      <c r="C4114" t="inlineStr">
        <is>
          <t>Good</t>
        </is>
      </c>
      <c r="F4114" t="n">
        <v>55</v>
      </c>
      <c r="G4114" t="n">
        <v>50</v>
      </c>
      <c r="H4114" t="n">
        <v>50</v>
      </c>
      <c r="I4114">
        <f>B4114&amp;"|"&amp;C4114</f>
        <v/>
      </c>
      <c r="J4114" t="inlineStr">
        <is>
          <t>average and good</t>
        </is>
      </c>
    </row>
    <row r="4115">
      <c r="B4115" t="inlineStr">
        <is>
          <t>Shell Multiple Residences - Elderly Assisted Living</t>
        </is>
      </c>
      <c r="C4115" t="inlineStr">
        <is>
          <t>Average</t>
        </is>
      </c>
      <c r="F4115" t="n">
        <v>55</v>
      </c>
      <c r="G4115" t="n">
        <v>50</v>
      </c>
      <c r="H4115" t="n">
        <v>50</v>
      </c>
      <c r="I4115">
        <f>B4115&amp;"|"&amp;C4115</f>
        <v/>
      </c>
      <c r="J4115" t="inlineStr">
        <is>
          <t>average and good</t>
        </is>
      </c>
    </row>
    <row r="4116">
      <c r="B4116" t="inlineStr">
        <is>
          <t>Shell Multiple Residences - Elderly Assisted Living</t>
        </is>
      </c>
      <c r="C4116" t="inlineStr">
        <is>
          <t>Fair</t>
        </is>
      </c>
      <c r="F4116" t="n">
        <v>50</v>
      </c>
      <c r="G4116" t="n">
        <v>45</v>
      </c>
      <c r="H4116" t="n">
        <v>45</v>
      </c>
      <c r="I4116">
        <f>B4116&amp;"|"&amp;C4116</f>
        <v/>
      </c>
      <c r="J4116" t="inlineStr">
        <is>
          <t>low cost and fair</t>
        </is>
      </c>
    </row>
    <row r="4117">
      <c r="B4117" t="inlineStr">
        <is>
          <t>Shell Multiple Residences - Elderly Assisted Living</t>
        </is>
      </c>
      <c r="C4117" t="inlineStr">
        <is>
          <t>Low Cost</t>
        </is>
      </c>
      <c r="F4117" t="n">
        <v>50</v>
      </c>
      <c r="G4117" t="n">
        <v>45</v>
      </c>
      <c r="H4117" t="n">
        <v>45</v>
      </c>
      <c r="I4117">
        <f>B4117&amp;"|"&amp;C4117</f>
        <v/>
      </c>
      <c r="J4117" t="inlineStr">
        <is>
          <t>low cost and fair</t>
        </is>
      </c>
    </row>
    <row r="4118">
      <c r="B4118" t="inlineStr">
        <is>
          <t>Multiple Residences – Retirement Community Complex</t>
        </is>
      </c>
      <c r="C4118" t="inlineStr">
        <is>
          <t>Good</t>
        </is>
      </c>
      <c r="F4118" t="n">
        <v>55</v>
      </c>
      <c r="G4118" t="n">
        <v>50</v>
      </c>
      <c r="H4118" t="n">
        <v>50</v>
      </c>
      <c r="I4118">
        <f>B4118&amp;"|"&amp;C4118</f>
        <v/>
      </c>
      <c r="J4118" t="inlineStr">
        <is>
          <t>average and good</t>
        </is>
      </c>
    </row>
    <row r="4119">
      <c r="B4119" t="inlineStr">
        <is>
          <t>Multiple Residences – Retirement Community Complex</t>
        </is>
      </c>
      <c r="C4119" t="inlineStr">
        <is>
          <t>Average</t>
        </is>
      </c>
      <c r="F4119" t="n">
        <v>55</v>
      </c>
      <c r="G4119" t="n">
        <v>50</v>
      </c>
      <c r="H4119" t="n">
        <v>50</v>
      </c>
      <c r="I4119">
        <f>B4119&amp;"|"&amp;C4119</f>
        <v/>
      </c>
      <c r="J4119" t="inlineStr">
        <is>
          <t>average and good</t>
        </is>
      </c>
    </row>
    <row r="4120">
      <c r="B4120" t="inlineStr">
        <is>
          <t>Multiple Residences – Retirement Community Complex</t>
        </is>
      </c>
      <c r="C4120" t="inlineStr">
        <is>
          <t>Fair</t>
        </is>
      </c>
      <c r="F4120" t="n">
        <v>50</v>
      </c>
      <c r="G4120" t="n">
        <v>45</v>
      </c>
      <c r="H4120" t="n">
        <v>45</v>
      </c>
      <c r="I4120">
        <f>B4120&amp;"|"&amp;C4120</f>
        <v/>
      </c>
      <c r="J4120" t="inlineStr">
        <is>
          <t>low cost and fair</t>
        </is>
      </c>
    </row>
    <row r="4121">
      <c r="B4121" t="inlineStr">
        <is>
          <t>Multiple Residences – Retirement Community Complex</t>
        </is>
      </c>
      <c r="C4121" t="inlineStr">
        <is>
          <t>Low Cost</t>
        </is>
      </c>
      <c r="F4121" t="n">
        <v>50</v>
      </c>
      <c r="G4121" t="n">
        <v>45</v>
      </c>
      <c r="H4121" t="n">
        <v>45</v>
      </c>
      <c r="I4121">
        <f>B4121&amp;"|"&amp;C4121</f>
        <v/>
      </c>
      <c r="J4121" t="inlineStr">
        <is>
          <t>low cost and fair</t>
        </is>
      </c>
    </row>
    <row r="4122">
      <c r="B4122" t="inlineStr">
        <is>
          <t>Shell Multiple Residences - Retirement Community Complex</t>
        </is>
      </c>
      <c r="C4122" t="inlineStr">
        <is>
          <t>Good</t>
        </is>
      </c>
      <c r="F4122" t="n">
        <v>55</v>
      </c>
      <c r="G4122" t="n">
        <v>50</v>
      </c>
      <c r="H4122" t="n">
        <v>50</v>
      </c>
      <c r="I4122">
        <f>B4122&amp;"|"&amp;C4122</f>
        <v/>
      </c>
      <c r="J4122" t="inlineStr">
        <is>
          <t>average and good</t>
        </is>
      </c>
    </row>
    <row r="4123">
      <c r="B4123" t="inlineStr">
        <is>
          <t>Shell Multiple Residences - Retirement Community Complex</t>
        </is>
      </c>
      <c r="C4123" t="inlineStr">
        <is>
          <t>Average</t>
        </is>
      </c>
      <c r="F4123" t="n">
        <v>55</v>
      </c>
      <c r="G4123" t="n">
        <v>50</v>
      </c>
      <c r="H4123" t="n">
        <v>50</v>
      </c>
      <c r="I4123">
        <f>B4123&amp;"|"&amp;C4123</f>
        <v/>
      </c>
      <c r="J4123" t="inlineStr">
        <is>
          <t>average and good</t>
        </is>
      </c>
    </row>
    <row r="4124">
      <c r="B4124" t="inlineStr">
        <is>
          <t>Shell Multiple Residences - Retirement Community Complex</t>
        </is>
      </c>
      <c r="C4124" t="inlineStr">
        <is>
          <t>Fair</t>
        </is>
      </c>
      <c r="F4124" t="n">
        <v>50</v>
      </c>
      <c r="G4124" t="n">
        <v>45</v>
      </c>
      <c r="H4124" t="n">
        <v>45</v>
      </c>
      <c r="I4124">
        <f>B4124&amp;"|"&amp;C4124</f>
        <v/>
      </c>
      <c r="J4124" t="inlineStr">
        <is>
          <t>low cost and fair</t>
        </is>
      </c>
    </row>
    <row r="4125">
      <c r="B4125" t="inlineStr">
        <is>
          <t>Shell Multiple Residences - Retirement Community Complex</t>
        </is>
      </c>
      <c r="C4125" t="inlineStr">
        <is>
          <t>Low Cost</t>
        </is>
      </c>
      <c r="F4125" t="n">
        <v>50</v>
      </c>
      <c r="G4125" t="n">
        <v>45</v>
      </c>
      <c r="H4125" t="n">
        <v>45</v>
      </c>
      <c r="I4125">
        <f>B4125&amp;"|"&amp;C4125</f>
        <v/>
      </c>
      <c r="J4125" t="inlineStr">
        <is>
          <t>low cost and fair</t>
        </is>
      </c>
    </row>
    <row r="4126">
      <c r="B4126" t="inlineStr">
        <is>
          <t>Single-Family Residences</t>
        </is>
      </c>
      <c r="C4126" t="inlineStr">
        <is>
          <t>Excellent</t>
        </is>
      </c>
      <c r="F4126" t="n">
        <v>65</v>
      </c>
      <c r="G4126" t="n">
        <v>60</v>
      </c>
      <c r="I4126">
        <f>B4126&amp;"|"&amp;C4126</f>
        <v/>
      </c>
      <c r="J4126" t="inlineStr">
        <is>
          <t>Single-family and guest houses, excellent and high value</t>
        </is>
      </c>
    </row>
    <row r="4127">
      <c r="B4127" t="inlineStr">
        <is>
          <t>Single-Family Residences</t>
        </is>
      </c>
      <c r="C4127" t="inlineStr">
        <is>
          <t>Very Good</t>
        </is>
      </c>
      <c r="F4127" t="n">
        <v>60</v>
      </c>
      <c r="G4127" t="n">
        <v>55</v>
      </c>
      <c r="H4127" t="n">
        <v>55</v>
      </c>
      <c r="I4127">
        <f>B4127&amp;"|"&amp;C4127</f>
        <v/>
      </c>
      <c r="J4127" t="inlineStr">
        <is>
          <t>average, good and very good</t>
        </is>
      </c>
    </row>
    <row r="4128">
      <c r="B4128" t="inlineStr">
        <is>
          <t>Single-Family Residences</t>
        </is>
      </c>
      <c r="C4128" t="inlineStr">
        <is>
          <t>Good</t>
        </is>
      </c>
      <c r="F4128" t="n">
        <v>60</v>
      </c>
      <c r="G4128" t="n">
        <v>55</v>
      </c>
      <c r="H4128" t="n">
        <v>55</v>
      </c>
      <c r="I4128">
        <f>B4128&amp;"|"&amp;C4128</f>
        <v/>
      </c>
      <c r="J4128" t="inlineStr">
        <is>
          <t>average, good and very good</t>
        </is>
      </c>
    </row>
    <row r="4129">
      <c r="B4129" t="inlineStr">
        <is>
          <t>Single-Family Residences</t>
        </is>
      </c>
      <c r="C4129" t="inlineStr">
        <is>
          <t>Average</t>
        </is>
      </c>
      <c r="F4129" t="n">
        <v>60</v>
      </c>
      <c r="G4129" t="n">
        <v>55</v>
      </c>
      <c r="H4129" t="n">
        <v>55</v>
      </c>
      <c r="I4129">
        <f>B4129&amp;"|"&amp;C4129</f>
        <v/>
      </c>
      <c r="J4129" t="inlineStr">
        <is>
          <t>average, good and very good</t>
        </is>
      </c>
    </row>
    <row r="4130">
      <c r="B4130" t="inlineStr">
        <is>
          <t>Single-Family Residences</t>
        </is>
      </c>
      <c r="C4130" t="inlineStr">
        <is>
          <t>Fair</t>
        </is>
      </c>
      <c r="F4130" t="n">
        <v>55</v>
      </c>
      <c r="G4130" t="n">
        <v>50</v>
      </c>
      <c r="I4130">
        <f>B4130&amp;"|"&amp;C4130</f>
        <v/>
      </c>
      <c r="J4130" t="inlineStr">
        <is>
          <t>fair quality</t>
        </is>
      </c>
    </row>
    <row r="4131">
      <c r="B4131" t="inlineStr">
        <is>
          <t>Single-Family Residences</t>
        </is>
      </c>
      <c r="C4131" t="inlineStr">
        <is>
          <t>Low Cost</t>
        </is>
      </c>
      <c r="F4131" t="n">
        <v>50</v>
      </c>
      <c r="G4131" t="n">
        <v>45</v>
      </c>
      <c r="I4131">
        <f>B4131&amp;"|"&amp;C4131</f>
        <v/>
      </c>
      <c r="J4131" t="inlineStr">
        <is>
          <t>low cost</t>
        </is>
      </c>
    </row>
    <row r="4132">
      <c r="B4132" t="inlineStr">
        <is>
          <t>Single-Family Residences</t>
        </is>
      </c>
      <c r="C4132" t="inlineStr">
        <is>
          <t>Cheap</t>
        </is>
      </c>
      <c r="F4132" t="n">
        <v>35</v>
      </c>
      <c r="G4132" t="n">
        <v>30</v>
      </c>
      <c r="I4132">
        <f>B4132&amp;"|"&amp;C4132</f>
        <v/>
      </c>
      <c r="J4132" t="inlineStr">
        <is>
          <t>substandard</t>
        </is>
      </c>
    </row>
    <row r="4133">
      <c r="B4133" t="inlineStr">
        <is>
          <t>Guest Houses</t>
        </is>
      </c>
      <c r="C4133" t="inlineStr">
        <is>
          <t>Excellent</t>
        </is>
      </c>
      <c r="F4133" t="n">
        <v>65</v>
      </c>
      <c r="G4133" t="n">
        <v>60</v>
      </c>
      <c r="I4133">
        <f>B4133&amp;"|"&amp;C4133</f>
        <v/>
      </c>
      <c r="J4133" t="inlineStr">
        <is>
          <t>Single-family and guest houses, excellent and high value</t>
        </is>
      </c>
    </row>
    <row r="4134">
      <c r="B4134" t="inlineStr">
        <is>
          <t>Guest Houses</t>
        </is>
      </c>
      <c r="C4134" t="inlineStr">
        <is>
          <t>Very Good</t>
        </is>
      </c>
      <c r="F4134" t="n">
        <v>60</v>
      </c>
      <c r="G4134" t="n">
        <v>55</v>
      </c>
      <c r="H4134" t="n">
        <v>55</v>
      </c>
      <c r="I4134">
        <f>B4134&amp;"|"&amp;C4134</f>
        <v/>
      </c>
      <c r="J4134" t="inlineStr">
        <is>
          <t>average, good and very good</t>
        </is>
      </c>
    </row>
    <row r="4135">
      <c r="B4135" t="inlineStr">
        <is>
          <t>Guest Houses</t>
        </is>
      </c>
      <c r="C4135" t="inlineStr">
        <is>
          <t>Good</t>
        </is>
      </c>
      <c r="F4135" t="n">
        <v>60</v>
      </c>
      <c r="G4135" t="n">
        <v>55</v>
      </c>
      <c r="H4135" t="n">
        <v>55</v>
      </c>
      <c r="I4135">
        <f>B4135&amp;"|"&amp;C4135</f>
        <v/>
      </c>
      <c r="J4135" t="inlineStr">
        <is>
          <t>average, good and very good</t>
        </is>
      </c>
    </row>
    <row r="4136">
      <c r="B4136" t="inlineStr">
        <is>
          <t>Guest Houses</t>
        </is>
      </c>
      <c r="C4136" t="inlineStr">
        <is>
          <t>Average</t>
        </is>
      </c>
      <c r="F4136" t="n">
        <v>60</v>
      </c>
      <c r="G4136" t="n">
        <v>55</v>
      </c>
      <c r="H4136" t="n">
        <v>55</v>
      </c>
      <c r="I4136">
        <f>B4136&amp;"|"&amp;C4136</f>
        <v/>
      </c>
      <c r="J4136" t="inlineStr">
        <is>
          <t>average, good and very good</t>
        </is>
      </c>
    </row>
    <row r="4137">
      <c r="B4137" t="inlineStr">
        <is>
          <t>Guest Houses</t>
        </is>
      </c>
      <c r="C4137" t="inlineStr">
        <is>
          <t>Low Cost</t>
        </is>
      </c>
      <c r="F4137" t="n">
        <v>50</v>
      </c>
      <c r="G4137" t="n">
        <v>45</v>
      </c>
      <c r="I4137">
        <f>B4137&amp;"|"&amp;C4137</f>
        <v/>
      </c>
      <c r="J4137" t="inlineStr">
        <is>
          <t>low cost</t>
        </is>
      </c>
    </row>
    <row r="4138">
      <c r="B4138" t="inlineStr">
        <is>
          <t>Guest Houses</t>
        </is>
      </c>
      <c r="C4138" t="inlineStr">
        <is>
          <t>Cheap</t>
        </is>
      </c>
      <c r="F4138" t="n">
        <v>35</v>
      </c>
      <c r="G4138" t="n">
        <v>30</v>
      </c>
      <c r="I4138">
        <f>B4138&amp;"|"&amp;C4138</f>
        <v/>
      </c>
      <c r="J4138" t="inlineStr">
        <is>
          <t>substandard</t>
        </is>
      </c>
    </row>
    <row r="4139">
      <c r="B4139" t="inlineStr">
        <is>
          <t>Log Homes</t>
        </is>
      </c>
      <c r="C4139" t="inlineStr">
        <is>
          <t>Excellent</t>
        </is>
      </c>
      <c r="G4139" t="n">
        <v>55</v>
      </c>
      <c r="I4139">
        <f>B4139&amp;"|"&amp;C4139</f>
        <v/>
      </c>
      <c r="J4139" t="inlineStr">
        <is>
          <t>Log homes, excellent</t>
        </is>
      </c>
    </row>
    <row r="4140">
      <c r="B4140" t="inlineStr">
        <is>
          <t>Log Homes</t>
        </is>
      </c>
      <c r="C4140" t="inlineStr">
        <is>
          <t>Good</t>
        </is>
      </c>
      <c r="G4140" t="n">
        <v>50</v>
      </c>
      <c r="I4140">
        <f>B4140&amp;"|"&amp;C4140</f>
        <v/>
      </c>
      <c r="J4140" t="inlineStr">
        <is>
          <t>average and good</t>
        </is>
      </c>
    </row>
    <row r="4141">
      <c r="B4141" t="inlineStr">
        <is>
          <t>Log Homes</t>
        </is>
      </c>
      <c r="C4141" t="inlineStr">
        <is>
          <t>Average</t>
        </is>
      </c>
      <c r="G4141" t="n">
        <v>50</v>
      </c>
      <c r="I4141">
        <f>B4141&amp;"|"&amp;C4141</f>
        <v/>
      </c>
      <c r="J4141" t="inlineStr">
        <is>
          <t>average and good</t>
        </is>
      </c>
    </row>
    <row r="4142">
      <c r="B4142" t="inlineStr">
        <is>
          <t>Log Homes</t>
        </is>
      </c>
      <c r="C4142" t="inlineStr">
        <is>
          <t>Low Cost</t>
        </is>
      </c>
      <c r="G4142" t="n">
        <v>45</v>
      </c>
      <c r="I4142">
        <f>B4142&amp;"|"&amp;C4142</f>
        <v/>
      </c>
      <c r="J4142" t="inlineStr">
        <is>
          <t>low cost</t>
        </is>
      </c>
    </row>
    <row r="4143">
      <c r="B4143" t="inlineStr">
        <is>
          <t>Town Houses</t>
        </is>
      </c>
      <c r="C4143" t="inlineStr">
        <is>
          <t>Excellent</t>
        </is>
      </c>
      <c r="F4143" t="n">
        <v>60</v>
      </c>
      <c r="G4143" t="n">
        <v>55</v>
      </c>
      <c r="I4143">
        <f>B4143&amp;"|"&amp;C4143</f>
        <v/>
      </c>
      <c r="J4143" t="inlineStr">
        <is>
          <t>Town and row houses, excellent</t>
        </is>
      </c>
    </row>
    <row r="4144">
      <c r="B4144" t="inlineStr">
        <is>
          <t>Town Houses</t>
        </is>
      </c>
      <c r="C4144" t="inlineStr">
        <is>
          <t>Good</t>
        </is>
      </c>
      <c r="F4144" t="n">
        <v>55</v>
      </c>
      <c r="G4144" t="n">
        <v>50</v>
      </c>
      <c r="H4144" t="n">
        <v>50</v>
      </c>
      <c r="I4144">
        <f>B4144&amp;"|"&amp;C4144</f>
        <v/>
      </c>
      <c r="J4144" t="inlineStr">
        <is>
          <t>good</t>
        </is>
      </c>
    </row>
    <row r="4145">
      <c r="B4145" t="inlineStr">
        <is>
          <t>Town Houses</t>
        </is>
      </c>
      <c r="C4145" t="inlineStr">
        <is>
          <t>Average</t>
        </is>
      </c>
      <c r="F4145" t="n">
        <v>55</v>
      </c>
      <c r="G4145" t="n">
        <v>50</v>
      </c>
      <c r="H4145" t="n">
        <v>50</v>
      </c>
      <c r="I4145">
        <f>B4145&amp;"|"&amp;C4145</f>
        <v/>
      </c>
      <c r="J4145" t="inlineStr">
        <is>
          <t>average</t>
        </is>
      </c>
    </row>
    <row r="4146">
      <c r="B4146" t="inlineStr">
        <is>
          <t>Town Houses</t>
        </is>
      </c>
      <c r="C4146" t="inlineStr">
        <is>
          <t>Fair</t>
        </is>
      </c>
      <c r="F4146" t="n">
        <v>50</v>
      </c>
      <c r="G4146" t="n">
        <v>45</v>
      </c>
      <c r="I4146">
        <f>B4146&amp;"|"&amp;C4146</f>
        <v/>
      </c>
      <c r="J4146" t="inlineStr">
        <is>
          <t>low cost and fair</t>
        </is>
      </c>
    </row>
    <row r="4147">
      <c r="B4147" t="inlineStr">
        <is>
          <t>Town Houses</t>
        </is>
      </c>
      <c r="C4147" t="inlineStr">
        <is>
          <t>Low Cost</t>
        </is>
      </c>
      <c r="F4147" t="n">
        <v>50</v>
      </c>
      <c r="G4147" t="n">
        <v>45</v>
      </c>
      <c r="I4147">
        <f>B4147&amp;"|"&amp;C4147</f>
        <v/>
      </c>
      <c r="J4147" t="inlineStr">
        <is>
          <t>low cost and fair</t>
        </is>
      </c>
    </row>
    <row r="4148">
      <c r="B4148" t="inlineStr">
        <is>
          <t>Senior Citizen Town Houses</t>
        </is>
      </c>
      <c r="C4148" t="inlineStr">
        <is>
          <t>Excellent</t>
        </is>
      </c>
      <c r="F4148" t="n">
        <v>60</v>
      </c>
      <c r="G4148" t="n">
        <v>55</v>
      </c>
      <c r="I4148">
        <f>B4148&amp;"|"&amp;C4148</f>
        <v/>
      </c>
      <c r="J4148" t="inlineStr">
        <is>
          <t>Town and row houses, excellent</t>
        </is>
      </c>
    </row>
    <row r="4149">
      <c r="B4149" t="inlineStr">
        <is>
          <t>Senior Citizen Town Houses</t>
        </is>
      </c>
      <c r="C4149" t="inlineStr">
        <is>
          <t>Good</t>
        </is>
      </c>
      <c r="F4149" t="n">
        <v>55</v>
      </c>
      <c r="G4149" t="n">
        <v>50</v>
      </c>
      <c r="H4149" t="n">
        <v>50</v>
      </c>
      <c r="I4149">
        <f>B4149&amp;"|"&amp;C4149</f>
        <v/>
      </c>
      <c r="J4149" t="inlineStr">
        <is>
          <t>good</t>
        </is>
      </c>
    </row>
    <row r="4150">
      <c r="B4150" t="inlineStr">
        <is>
          <t>Senior Citizen Town Houses</t>
        </is>
      </c>
      <c r="C4150" t="inlineStr">
        <is>
          <t>Average</t>
        </is>
      </c>
      <c r="F4150" t="n">
        <v>55</v>
      </c>
      <c r="G4150" t="n">
        <v>50</v>
      </c>
      <c r="H4150" t="n">
        <v>50</v>
      </c>
      <c r="I4150">
        <f>B4150&amp;"|"&amp;C4150</f>
        <v/>
      </c>
      <c r="J4150" t="inlineStr">
        <is>
          <t>average</t>
        </is>
      </c>
    </row>
    <row r="4151">
      <c r="B4151" t="inlineStr">
        <is>
          <t>Senior Citizen Town Houses</t>
        </is>
      </c>
      <c r="C4151" t="inlineStr">
        <is>
          <t>Fair</t>
        </is>
      </c>
      <c r="F4151" t="n">
        <v>50</v>
      </c>
      <c r="G4151" t="n">
        <v>45</v>
      </c>
      <c r="I4151">
        <f>B4151&amp;"|"&amp;C4151</f>
        <v/>
      </c>
      <c r="J4151" t="inlineStr">
        <is>
          <t>low cost and fair</t>
        </is>
      </c>
    </row>
    <row r="4152">
      <c r="B4152" t="inlineStr">
        <is>
          <t>Urban Row (Town) Houses</t>
        </is>
      </c>
      <c r="C4152" t="inlineStr">
        <is>
          <t>Excellent</t>
        </is>
      </c>
      <c r="F4152" t="n">
        <v>60</v>
      </c>
      <c r="G4152" t="n">
        <v>55</v>
      </c>
      <c r="I4152">
        <f>B4152&amp;"|"&amp;C4152</f>
        <v/>
      </c>
      <c r="J4152" t="inlineStr">
        <is>
          <t>Town and row houses, excellent</t>
        </is>
      </c>
    </row>
    <row r="4153">
      <c r="B4153" t="inlineStr">
        <is>
          <t>Urban Row (Town) Houses</t>
        </is>
      </c>
      <c r="C4153" t="inlineStr">
        <is>
          <t>Good</t>
        </is>
      </c>
      <c r="F4153" t="n">
        <v>55</v>
      </c>
      <c r="G4153" t="n">
        <v>50</v>
      </c>
      <c r="H4153" t="n">
        <v>50</v>
      </c>
      <c r="I4153">
        <f>B4153&amp;"|"&amp;C4153</f>
        <v/>
      </c>
      <c r="J4153" t="inlineStr">
        <is>
          <t>good</t>
        </is>
      </c>
    </row>
    <row r="4154">
      <c r="B4154" t="inlineStr">
        <is>
          <t>Urban Row (Town) Houses</t>
        </is>
      </c>
      <c r="C4154" t="inlineStr">
        <is>
          <t>Average</t>
        </is>
      </c>
      <c r="F4154" t="n">
        <v>55</v>
      </c>
      <c r="G4154" t="n">
        <v>50</v>
      </c>
      <c r="H4154" t="n">
        <v>50</v>
      </c>
      <c r="I4154">
        <f>B4154&amp;"|"&amp;C4154</f>
        <v/>
      </c>
      <c r="J4154" t="inlineStr">
        <is>
          <t>average</t>
        </is>
      </c>
    </row>
    <row r="4155">
      <c r="B4155" t="inlineStr">
        <is>
          <t>Urban Row (Town) Houses</t>
        </is>
      </c>
      <c r="C4155" t="inlineStr">
        <is>
          <t>Fair</t>
        </is>
      </c>
      <c r="F4155" t="n">
        <v>50</v>
      </c>
      <c r="G4155" t="n">
        <v>45</v>
      </c>
      <c r="I4155">
        <f>B4155&amp;"|"&amp;C4155</f>
        <v/>
      </c>
      <c r="J4155" t="inlineStr">
        <is>
          <t>low cost and fair</t>
        </is>
      </c>
    </row>
    <row r="4156">
      <c r="B4156" t="inlineStr">
        <is>
          <t>Shell Town House Buildings</t>
        </is>
      </c>
      <c r="C4156" t="inlineStr">
        <is>
          <t>Excellent</t>
        </is>
      </c>
      <c r="F4156" t="n">
        <v>60</v>
      </c>
      <c r="G4156" t="n">
        <v>55</v>
      </c>
      <c r="I4156">
        <f>B4156&amp;"|"&amp;C4156</f>
        <v/>
      </c>
      <c r="J4156" t="inlineStr">
        <is>
          <t>Town and row houses, excellent</t>
        </is>
      </c>
    </row>
    <row r="4157">
      <c r="B4157" t="inlineStr">
        <is>
          <t>Shell Town House Buildings</t>
        </is>
      </c>
      <c r="C4157" t="inlineStr">
        <is>
          <t>Good</t>
        </is>
      </c>
      <c r="F4157" t="n">
        <v>55</v>
      </c>
      <c r="G4157" t="n">
        <v>50</v>
      </c>
      <c r="H4157" t="n">
        <v>50</v>
      </c>
      <c r="I4157">
        <f>B4157&amp;"|"&amp;C4157</f>
        <v/>
      </c>
      <c r="J4157" t="inlineStr">
        <is>
          <t>good</t>
        </is>
      </c>
    </row>
    <row r="4158">
      <c r="B4158" t="inlineStr">
        <is>
          <t>Shell Town House Buildings</t>
        </is>
      </c>
      <c r="C4158" t="inlineStr">
        <is>
          <t>Average</t>
        </is>
      </c>
      <c r="F4158" t="n">
        <v>55</v>
      </c>
      <c r="G4158" t="n">
        <v>50</v>
      </c>
      <c r="H4158" t="n">
        <v>50</v>
      </c>
      <c r="I4158">
        <f>B4158&amp;"|"&amp;C4158</f>
        <v/>
      </c>
      <c r="J4158" t="inlineStr">
        <is>
          <t>average</t>
        </is>
      </c>
    </row>
    <row r="4159">
      <c r="B4159" t="inlineStr">
        <is>
          <t>Shell Town House Buildings</t>
        </is>
      </c>
      <c r="C4159" t="inlineStr">
        <is>
          <t>Fair</t>
        </is>
      </c>
      <c r="F4159" t="n">
        <v>50</v>
      </c>
      <c r="G4159" t="n">
        <v>45</v>
      </c>
      <c r="I4159">
        <f>B4159&amp;"|"&amp;C4159</f>
        <v/>
      </c>
      <c r="J4159" t="inlineStr">
        <is>
          <t>low cost and fair</t>
        </is>
      </c>
    </row>
    <row r="4160">
      <c r="B4160" t="inlineStr">
        <is>
          <t>Bars/Taverns</t>
        </is>
      </c>
      <c r="C4160" t="inlineStr">
        <is>
          <t>Average</t>
        </is>
      </c>
      <c r="D4160" t="n">
        <v>45</v>
      </c>
      <c r="E4160" t="n">
        <v>45</v>
      </c>
      <c r="F4160" t="n">
        <v>40</v>
      </c>
      <c r="G4160" t="n">
        <v>40</v>
      </c>
      <c r="H4160" t="n">
        <v>40</v>
      </c>
      <c r="I4160">
        <f>B4160&amp;"|"&amp;C4160</f>
        <v/>
      </c>
      <c r="J4160" t="inlineStr">
        <is>
          <t>average</t>
        </is>
      </c>
    </row>
    <row r="4161">
      <c r="B4161" t="inlineStr">
        <is>
          <t>Bars/Taverns</t>
        </is>
      </c>
      <c r="C4161" t="inlineStr">
        <is>
          <t>Good</t>
        </is>
      </c>
      <c r="F4161" t="n">
        <v>45</v>
      </c>
      <c r="G4161" t="n">
        <v>40</v>
      </c>
      <c r="I4161">
        <f>B4161&amp;"|"&amp;C4161</f>
        <v/>
      </c>
      <c r="J4161" t="inlineStr">
        <is>
          <t>Bars and taverns, good</t>
        </is>
      </c>
    </row>
    <row r="4162">
      <c r="B4162" t="inlineStr">
        <is>
          <t>Bars/Taverns</t>
        </is>
      </c>
      <c r="C4162" t="inlineStr">
        <is>
          <t>Low Cost</t>
        </is>
      </c>
      <c r="F4162" t="n">
        <v>40</v>
      </c>
      <c r="G4162" t="n">
        <v>35</v>
      </c>
      <c r="H4162" t="n">
        <v>35</v>
      </c>
      <c r="I4162">
        <f>B4162&amp;"|"&amp;C4162</f>
        <v/>
      </c>
      <c r="J4162" t="inlineStr">
        <is>
          <t>low cost</t>
        </is>
      </c>
    </row>
    <row r="4163">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c r="B4164" t="inlineStr">
        <is>
          <t>Cocktail Lounges</t>
        </is>
      </c>
      <c r="C4164" t="inlineStr">
        <is>
          <t>Average</t>
        </is>
      </c>
      <c r="D4164" t="n">
        <v>40</v>
      </c>
      <c r="E4164" t="n">
        <v>40</v>
      </c>
      <c r="F4164" t="n">
        <v>40</v>
      </c>
      <c r="G4164" t="n">
        <v>35</v>
      </c>
      <c r="H4164" t="n">
        <v>35</v>
      </c>
      <c r="I4164">
        <f>B4164&amp;"|"&amp;C4164</f>
        <v/>
      </c>
      <c r="J4164" t="inlineStr">
        <is>
          <t>average</t>
        </is>
      </c>
    </row>
    <row r="416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c r="B4166" t="inlineStr">
        <is>
          <t>Cocktail Lounges</t>
        </is>
      </c>
      <c r="C4166" t="inlineStr">
        <is>
          <t>Low Cost</t>
        </is>
      </c>
      <c r="F4166" t="n">
        <v>35</v>
      </c>
      <c r="G4166" t="n">
        <v>35</v>
      </c>
      <c r="H4166" t="n">
        <v>35</v>
      </c>
      <c r="I4166">
        <f>B4166&amp;"|"&amp;C4166</f>
        <v/>
      </c>
      <c r="J4166" t="inlineStr">
        <is>
          <t>low cost</t>
        </is>
      </c>
    </row>
    <row r="4167">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c r="B4168" t="inlineStr">
        <is>
          <t>Restaurants</t>
        </is>
      </c>
      <c r="C4168" t="inlineStr">
        <is>
          <t>Good</t>
        </is>
      </c>
      <c r="D4168" t="n">
        <v>40</v>
      </c>
      <c r="E4168" t="n">
        <v>40</v>
      </c>
      <c r="F4168" t="n">
        <v>35</v>
      </c>
      <c r="G4168" t="n">
        <v>35</v>
      </c>
      <c r="H4168" t="n">
        <v>35</v>
      </c>
      <c r="I4168">
        <f>B4168&amp;"|"&amp;C4168</f>
        <v/>
      </c>
      <c r="J4168" t="inlineStr">
        <is>
          <t>average and good</t>
        </is>
      </c>
    </row>
    <row r="4169">
      <c r="B4169" t="inlineStr">
        <is>
          <t>Restaurants</t>
        </is>
      </c>
      <c r="C4169" t="inlineStr">
        <is>
          <t>Average</t>
        </is>
      </c>
      <c r="D4169" t="n">
        <v>40</v>
      </c>
      <c r="E4169" t="n">
        <v>40</v>
      </c>
      <c r="F4169" t="n">
        <v>35</v>
      </c>
      <c r="G4169" t="n">
        <v>35</v>
      </c>
      <c r="H4169" t="n">
        <v>35</v>
      </c>
      <c r="I4169">
        <f>B4169&amp;"|"&amp;C4169</f>
        <v/>
      </c>
      <c r="J4169" t="inlineStr">
        <is>
          <t>average and good</t>
        </is>
      </c>
    </row>
    <row r="4170">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c r="B4171" t="inlineStr">
        <is>
          <t>Restaurants</t>
        </is>
      </c>
      <c r="C4171" t="inlineStr">
        <is>
          <t>Low Cost</t>
        </is>
      </c>
      <c r="F4171" t="n">
        <v>30</v>
      </c>
      <c r="G4171" t="n">
        <v>30</v>
      </c>
      <c r="H4171" t="n">
        <v>30</v>
      </c>
      <c r="I4171">
        <f>B4171&amp;"|"&amp;C4171</f>
        <v/>
      </c>
      <c r="J4171" t="inlineStr">
        <is>
          <t>low cost</t>
        </is>
      </c>
    </row>
    <row r="4172">
      <c r="B4172" t="inlineStr">
        <is>
          <t>Restaurants – Cafeterias</t>
        </is>
      </c>
      <c r="C4172" t="inlineStr">
        <is>
          <t>Good</t>
        </is>
      </c>
      <c r="D4172" t="n">
        <v>45</v>
      </c>
      <c r="E4172" t="n">
        <v>45</v>
      </c>
      <c r="F4172" t="n">
        <v>35</v>
      </c>
      <c r="G4172" t="n">
        <v>35</v>
      </c>
      <c r="H4172" t="n">
        <v>35</v>
      </c>
      <c r="I4172">
        <f>B4172&amp;"|"&amp;C4172</f>
        <v/>
      </c>
      <c r="J4172" t="inlineStr">
        <is>
          <t>good</t>
        </is>
      </c>
    </row>
    <row r="4173">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c r="B4174" t="inlineStr">
        <is>
          <t>Restaurants – Cafeterias</t>
        </is>
      </c>
      <c r="C4174" t="inlineStr">
        <is>
          <t>Excellent</t>
        </is>
      </c>
      <c r="F4174" t="n">
        <v>45</v>
      </c>
      <c r="G4174" t="n">
        <v>40</v>
      </c>
      <c r="I4174">
        <f>B4174&amp;"|"&amp;C4174</f>
        <v/>
      </c>
      <c r="J4174" t="inlineStr">
        <is>
          <t>Cafeterias, excellent</t>
        </is>
      </c>
    </row>
    <row r="417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c r="B4176" t="inlineStr">
        <is>
          <t>Truck Stop Restaurants</t>
        </is>
      </c>
      <c r="C4176" t="inlineStr">
        <is>
          <t>Excellent</t>
        </is>
      </c>
      <c r="F4176" t="n">
        <v>35</v>
      </c>
      <c r="G4176" t="n">
        <v>35</v>
      </c>
      <c r="H4176" t="n">
        <v>35</v>
      </c>
      <c r="I4176">
        <f>B4176&amp;"|"&amp;C4176</f>
        <v/>
      </c>
      <c r="J4176" t="inlineStr">
        <is>
          <t>Truck stop restaurants, good</t>
        </is>
      </c>
    </row>
    <row r="4177">
      <c r="B4177" t="inlineStr">
        <is>
          <t>Truck Stop Restaurants</t>
        </is>
      </c>
      <c r="C4177" t="inlineStr">
        <is>
          <t>Good</t>
        </is>
      </c>
      <c r="F4177" t="n">
        <v>35</v>
      </c>
      <c r="G4177" t="n">
        <v>35</v>
      </c>
      <c r="H4177" t="n">
        <v>35</v>
      </c>
      <c r="I4177">
        <f>B4177&amp;"|"&amp;C4177</f>
        <v/>
      </c>
      <c r="J4177" t="inlineStr">
        <is>
          <t>Truck stop restaurants, good</t>
        </is>
      </c>
    </row>
    <row r="4178">
      <c r="B4178" t="inlineStr">
        <is>
          <t>Truck Stop Restaurants</t>
        </is>
      </c>
      <c r="C4178" t="inlineStr">
        <is>
          <t>Average</t>
        </is>
      </c>
      <c r="F4178" t="n">
        <v>30</v>
      </c>
      <c r="G4178" t="n">
        <v>30</v>
      </c>
      <c r="H4178" t="n">
        <v>30</v>
      </c>
      <c r="I4178">
        <f>B4178&amp;"|"&amp;C4178</f>
        <v/>
      </c>
      <c r="J4178" t="inlineStr">
        <is>
          <t>average</t>
        </is>
      </c>
    </row>
    <row r="4179">
      <c r="B4179" t="inlineStr">
        <is>
          <t>Dining Atriums/Play Rooms</t>
        </is>
      </c>
      <c r="C4179" t="inlineStr">
        <is>
          <t>Good</t>
        </is>
      </c>
      <c r="F4179" t="n">
        <v>35</v>
      </c>
      <c r="G4179" t="n">
        <v>35</v>
      </c>
      <c r="H4179" t="n">
        <v>35</v>
      </c>
      <c r="I4179">
        <f>B4179&amp;"|"&amp;C4179</f>
        <v/>
      </c>
      <c r="J4179" t="inlineStr">
        <is>
          <t>Dining atriums and playrooms, good to excellent</t>
        </is>
      </c>
    </row>
    <row r="4180">
      <c r="B4180" t="inlineStr">
        <is>
          <t>Dining Atriums/Play Rooms</t>
        </is>
      </c>
      <c r="C4180" t="inlineStr">
        <is>
          <t>Average</t>
        </is>
      </c>
      <c r="F4180" t="n">
        <v>30</v>
      </c>
      <c r="G4180" t="n">
        <v>30</v>
      </c>
      <c r="H4180" t="n">
        <v>30</v>
      </c>
      <c r="I4180">
        <f>B4180&amp;"|"&amp;C4180</f>
        <v/>
      </c>
      <c r="J4180" t="inlineStr">
        <is>
          <t>low cost and average</t>
        </is>
      </c>
    </row>
    <row r="4181">
      <c r="B4181" t="inlineStr">
        <is>
          <t>Dining Atriums/Play Rooms</t>
        </is>
      </c>
      <c r="C4181" t="inlineStr">
        <is>
          <t>Low Cost</t>
        </is>
      </c>
      <c r="F4181" t="n">
        <v>30</v>
      </c>
      <c r="G4181" t="n">
        <v>30</v>
      </c>
      <c r="H4181" t="n">
        <v>30</v>
      </c>
      <c r="I4181">
        <f>B4181&amp;"|"&amp;C4181</f>
        <v/>
      </c>
      <c r="J4181" t="inlineStr">
        <is>
          <t>low cost and average</t>
        </is>
      </c>
    </row>
    <row r="4182">
      <c r="B4182" t="inlineStr">
        <is>
          <t>Dining Atriums/Play Rooms</t>
        </is>
      </c>
      <c r="C4182" t="inlineStr">
        <is>
          <t>Excellent</t>
        </is>
      </c>
      <c r="F4182" t="n">
        <v>35</v>
      </c>
      <c r="G4182" t="n">
        <v>35</v>
      </c>
      <c r="H4182" t="n">
        <v>35</v>
      </c>
      <c r="I4182">
        <f>B4182&amp;"|"&amp;C4182</f>
        <v/>
      </c>
      <c r="J4182" t="inlineStr">
        <is>
          <t>Dining atriums and playrooms, good to excellent</t>
        </is>
      </c>
    </row>
    <row r="4183">
      <c r="B4183" t="inlineStr">
        <is>
          <t>Dining Atriums/Play Rooms</t>
        </is>
      </c>
      <c r="C4183" t="inlineStr">
        <is>
          <t>Very Good</t>
        </is>
      </c>
      <c r="F4183" t="n">
        <v>35</v>
      </c>
      <c r="G4183" t="n">
        <v>35</v>
      </c>
      <c r="H4183" t="n">
        <v>35</v>
      </c>
      <c r="I4183">
        <f>B4183&amp;"|"&amp;C4183</f>
        <v/>
      </c>
      <c r="J4183" t="inlineStr">
        <is>
          <t>Dining atriums and playrooms, good to excellent</t>
        </is>
      </c>
    </row>
    <row r="4184">
      <c r="B4184" t="inlineStr">
        <is>
          <t>Dining Atriums/Play Rooms</t>
        </is>
      </c>
      <c r="C4184" t="inlineStr">
        <is>
          <t>Cheap</t>
        </is>
      </c>
      <c r="H4184" t="n">
        <v>10</v>
      </c>
      <c r="I4184">
        <f>B4184&amp;"|"&amp;C4184</f>
        <v/>
      </c>
      <c r="J4184" t="inlineStr">
        <is>
          <t>cheap</t>
        </is>
      </c>
    </row>
    <row r="418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c r="B4190" t="inlineStr">
        <is>
          <t>Snack Bars</t>
        </is>
      </c>
      <c r="C4190" t="inlineStr">
        <is>
          <t>Excellent</t>
        </is>
      </c>
      <c r="F4190" t="n">
        <v>35</v>
      </c>
      <c r="G4190" t="n">
        <v>35</v>
      </c>
      <c r="I4190">
        <f>B4190&amp;"|"&amp;C4190</f>
        <v/>
      </c>
      <c r="J4190" t="inlineStr">
        <is>
          <t>Snack bars, excellent</t>
        </is>
      </c>
    </row>
    <row r="4191">
      <c r="B4191" t="inlineStr">
        <is>
          <t>Snack Bars</t>
        </is>
      </c>
      <c r="C4191" t="inlineStr">
        <is>
          <t>Good</t>
        </is>
      </c>
      <c r="F4191" t="n">
        <v>35</v>
      </c>
      <c r="G4191" t="n">
        <v>30</v>
      </c>
      <c r="I4191">
        <f>B4191&amp;"|"&amp;C4191</f>
        <v/>
      </c>
      <c r="J4191" t="inlineStr">
        <is>
          <t>good</t>
        </is>
      </c>
    </row>
    <row r="4192">
      <c r="B4192" t="inlineStr">
        <is>
          <t>Snack Bars</t>
        </is>
      </c>
      <c r="C4192" t="inlineStr">
        <is>
          <t>Average</t>
        </is>
      </c>
      <c r="F4192" t="n">
        <v>30</v>
      </c>
      <c r="G4192" t="n">
        <v>25</v>
      </c>
      <c r="H4192" t="n">
        <v>25</v>
      </c>
      <c r="I4192">
        <f>B4192&amp;"|"&amp;C4192</f>
        <v/>
      </c>
      <c r="J4192" t="inlineStr">
        <is>
          <t>average</t>
        </is>
      </c>
    </row>
    <row r="4193">
      <c r="B4193" t="inlineStr">
        <is>
          <t>Snack Bars</t>
        </is>
      </c>
      <c r="C4193" t="inlineStr">
        <is>
          <t>Low Cost</t>
        </is>
      </c>
      <c r="F4193" t="n">
        <v>25</v>
      </c>
      <c r="G4193" t="n">
        <v>20</v>
      </c>
      <c r="H4193" t="n">
        <v>20</v>
      </c>
      <c r="I4193">
        <f>B4193&amp;"|"&amp;C4193</f>
        <v/>
      </c>
      <c r="J4193" t="inlineStr">
        <is>
          <t>low cost</t>
        </is>
      </c>
    </row>
    <row r="4194">
      <c r="B4194" t="inlineStr">
        <is>
          <t>Snack Bars</t>
        </is>
      </c>
      <c r="C4194" t="inlineStr">
        <is>
          <t>Cheap</t>
        </is>
      </c>
      <c r="F4194" t="n">
        <v>20</v>
      </c>
      <c r="G4194" t="n">
        <v>15</v>
      </c>
      <c r="H4194" t="n">
        <v>15</v>
      </c>
      <c r="I4194">
        <f>B4194&amp;"|"&amp;C4194</f>
        <v/>
      </c>
      <c r="J4194" t="inlineStr">
        <is>
          <t>cheap</t>
        </is>
      </c>
    </row>
    <row r="4195">
      <c r="B4195" t="inlineStr">
        <is>
          <t>Banquet Halls</t>
        </is>
      </c>
      <c r="C4195" t="inlineStr">
        <is>
          <t>Excellent</t>
        </is>
      </c>
      <c r="F4195" t="n">
        <v>50</v>
      </c>
      <c r="G4195" t="n">
        <v>45</v>
      </c>
      <c r="I4195">
        <f>B4195&amp;"|"&amp;C4195</f>
        <v/>
      </c>
      <c r="J4195" t="inlineStr">
        <is>
          <t>Banquet halls, excellent</t>
        </is>
      </c>
    </row>
    <row r="4196">
      <c r="B4196" t="inlineStr">
        <is>
          <t>Banquet Halls</t>
        </is>
      </c>
      <c r="C4196" t="inlineStr">
        <is>
          <t>Good</t>
        </is>
      </c>
      <c r="F4196" t="n">
        <v>45</v>
      </c>
      <c r="G4196" t="n">
        <v>40</v>
      </c>
      <c r="H4196" t="n">
        <v>40</v>
      </c>
      <c r="I4196">
        <f>B4196&amp;"|"&amp;C4196</f>
        <v/>
      </c>
      <c r="J4196" t="inlineStr">
        <is>
          <t>good</t>
        </is>
      </c>
    </row>
    <row r="4197">
      <c r="B4197" t="inlineStr">
        <is>
          <t>Banquet Halls</t>
        </is>
      </c>
      <c r="C4197" t="inlineStr">
        <is>
          <t>Average</t>
        </is>
      </c>
      <c r="F4197" t="n">
        <v>40</v>
      </c>
      <c r="G4197" t="n">
        <v>35</v>
      </c>
      <c r="H4197" t="n">
        <v>35</v>
      </c>
      <c r="I4197">
        <f>B4197&amp;"|"&amp;C4197</f>
        <v/>
      </c>
      <c r="J4197" t="inlineStr">
        <is>
          <t>average</t>
        </is>
      </c>
    </row>
    <row r="4198">
      <c r="B4198" t="inlineStr">
        <is>
          <t>Banquet Halls</t>
        </is>
      </c>
      <c r="C4198" t="inlineStr">
        <is>
          <t>Low Cost</t>
        </is>
      </c>
      <c r="F4198" t="n">
        <v>35</v>
      </c>
      <c r="G4198" t="n">
        <v>30</v>
      </c>
      <c r="H4198" t="n">
        <v>30</v>
      </c>
      <c r="I4198">
        <f>B4198&amp;"|"&amp;C4198</f>
        <v/>
      </c>
      <c r="J4198" t="inlineStr">
        <is>
          <t>low cost</t>
        </is>
      </c>
    </row>
    <row r="4199">
      <c r="B4199" t="inlineStr">
        <is>
          <t>Modular Restaurants – Diners</t>
        </is>
      </c>
      <c r="C4199" t="inlineStr">
        <is>
          <t>Excellent</t>
        </is>
      </c>
      <c r="H4199" t="n">
        <v>35</v>
      </c>
      <c r="I4199">
        <f>B4199&amp;"|"&amp;C4199</f>
        <v/>
      </c>
      <c r="J4199" t="inlineStr">
        <is>
          <t>Modular, resturants excellent</t>
        </is>
      </c>
    </row>
    <row r="4200">
      <c r="B4200" t="inlineStr">
        <is>
          <t>Modular Restaurants – Diners</t>
        </is>
      </c>
      <c r="C4200" t="inlineStr">
        <is>
          <t>Good</t>
        </is>
      </c>
      <c r="H4200" t="n">
        <v>30</v>
      </c>
      <c r="I4200">
        <f>B4200&amp;"|"&amp;C4200</f>
        <v/>
      </c>
      <c r="J4200" t="inlineStr">
        <is>
          <t>low cost, average and good</t>
        </is>
      </c>
    </row>
    <row r="4201">
      <c r="B4201" t="inlineStr">
        <is>
          <t>Modular Restaurants – Diners</t>
        </is>
      </c>
      <c r="C4201" t="inlineStr">
        <is>
          <t>Average</t>
        </is>
      </c>
      <c r="H4201" t="n">
        <v>30</v>
      </c>
      <c r="I4201">
        <f>B4201&amp;"|"&amp;C4201</f>
        <v/>
      </c>
      <c r="J4201" t="inlineStr">
        <is>
          <t>low cost, average and good</t>
        </is>
      </c>
    </row>
    <row r="4202">
      <c r="B4202" t="inlineStr">
        <is>
          <t>Modular Restaurants – Diners</t>
        </is>
      </c>
      <c r="C4202" t="inlineStr">
        <is>
          <t>Low Cost</t>
        </is>
      </c>
      <c r="H4202" t="n">
        <v>30</v>
      </c>
      <c r="I4202">
        <f>B4202&amp;"|"&amp;C4202</f>
        <v/>
      </c>
      <c r="J4202" t="inlineStr">
        <is>
          <t>low cost, average and good</t>
        </is>
      </c>
    </row>
    <row r="4203">
      <c r="B4203" t="inlineStr">
        <is>
          <t>Supermarkets</t>
        </is>
      </c>
      <c r="C4203" t="inlineStr">
        <is>
          <t>Good</t>
        </is>
      </c>
      <c r="D4203" t="n">
        <v>40</v>
      </c>
      <c r="E4203" t="n">
        <v>40</v>
      </c>
      <c r="F4203" t="n">
        <v>40</v>
      </c>
      <c r="G4203" t="n">
        <v>35</v>
      </c>
      <c r="H4203" t="n">
        <v>35</v>
      </c>
      <c r="I4203">
        <f>B4203&amp;"|"&amp;C4203</f>
        <v/>
      </c>
      <c r="J4203" t="inlineStr">
        <is>
          <t>average and good</t>
        </is>
      </c>
    </row>
    <row r="4204">
      <c r="B4204" t="inlineStr">
        <is>
          <t>Supermarkets</t>
        </is>
      </c>
      <c r="C4204" t="inlineStr">
        <is>
          <t>Average</t>
        </is>
      </c>
      <c r="D4204" t="n">
        <v>40</v>
      </c>
      <c r="E4204" t="n">
        <v>40</v>
      </c>
      <c r="F4204" t="n">
        <v>40</v>
      </c>
      <c r="G4204" t="n">
        <v>35</v>
      </c>
      <c r="H4204" t="n">
        <v>35</v>
      </c>
      <c r="I4204">
        <f>B4204&amp;"|"&amp;C4204</f>
        <v/>
      </c>
      <c r="J4204" t="inlineStr">
        <is>
          <t>average and good</t>
        </is>
      </c>
    </row>
    <row r="4205">
      <c r="B4205" t="inlineStr">
        <is>
          <t>Supermarkets</t>
        </is>
      </c>
      <c r="C4205" t="inlineStr">
        <is>
          <t>Excellent</t>
        </is>
      </c>
      <c r="F4205" t="n">
        <v>45</v>
      </c>
      <c r="G4205" t="n">
        <v>40</v>
      </c>
      <c r="H4205" t="n">
        <v>40</v>
      </c>
      <c r="I4205">
        <f>B4205&amp;"|"&amp;C4205</f>
        <v/>
      </c>
      <c r="J4205" t="inlineStr">
        <is>
          <t>Markets and supermarkets, excellent</t>
        </is>
      </c>
    </row>
    <row r="4206">
      <c r="B4206" t="inlineStr">
        <is>
          <t>Supermarkets</t>
        </is>
      </c>
      <c r="C4206" t="inlineStr">
        <is>
          <t>Low Cost</t>
        </is>
      </c>
      <c r="F4206" t="n">
        <v>35</v>
      </c>
      <c r="G4206" t="n">
        <v>30</v>
      </c>
      <c r="H4206" t="n">
        <v>30</v>
      </c>
      <c r="I4206">
        <f>B4206&amp;"|"&amp;C4206</f>
        <v/>
      </c>
      <c r="J4206" t="inlineStr">
        <is>
          <t>low cost</t>
        </is>
      </c>
    </row>
    <row r="4207">
      <c r="B4207" t="inlineStr">
        <is>
          <t>Drug Stores</t>
        </is>
      </c>
      <c r="C4207" t="inlineStr">
        <is>
          <t>Average</t>
        </is>
      </c>
      <c r="D4207" t="n">
        <v>45</v>
      </c>
      <c r="E4207" t="n">
        <v>45</v>
      </c>
      <c r="F4207" t="n">
        <v>40</v>
      </c>
      <c r="G4207" t="n">
        <v>35</v>
      </c>
      <c r="I4207">
        <f>B4207&amp;"|"&amp;C4207</f>
        <v/>
      </c>
      <c r="J4207" t="inlineStr">
        <is>
          <t>average and good</t>
        </is>
      </c>
    </row>
    <row r="4208">
      <c r="B4208" t="inlineStr">
        <is>
          <t>Drug Stores</t>
        </is>
      </c>
      <c r="C4208" t="inlineStr">
        <is>
          <t>Excellent</t>
        </is>
      </c>
      <c r="F4208" t="n">
        <v>45</v>
      </c>
      <c r="G4208" t="n">
        <v>40</v>
      </c>
      <c r="I4208">
        <f>B4208&amp;"|"&amp;C4208</f>
        <v/>
      </c>
      <c r="J4208" t="inlineStr">
        <is>
          <t>Drug stores, excellent</t>
        </is>
      </c>
    </row>
    <row r="4209">
      <c r="B4209" t="inlineStr">
        <is>
          <t>Drug Stores</t>
        </is>
      </c>
      <c r="C4209" t="inlineStr">
        <is>
          <t>Good</t>
        </is>
      </c>
      <c r="D4209" t="n">
        <v>45</v>
      </c>
      <c r="E4209" t="n">
        <v>45</v>
      </c>
      <c r="F4209" t="n">
        <v>40</v>
      </c>
      <c r="G4209" t="n">
        <v>35</v>
      </c>
      <c r="I4209">
        <f>B4209&amp;"|"&amp;C4209</f>
        <v/>
      </c>
      <c r="J4209" t="inlineStr">
        <is>
          <t>average and good</t>
        </is>
      </c>
    </row>
    <row r="4210">
      <c r="B4210" t="inlineStr">
        <is>
          <t>Drug Stores</t>
        </is>
      </c>
      <c r="C4210" t="inlineStr">
        <is>
          <t>Low Cost</t>
        </is>
      </c>
      <c r="F4210" t="n">
        <v>35</v>
      </c>
      <c r="G4210" t="n">
        <v>30</v>
      </c>
      <c r="H4210" t="n">
        <v>30</v>
      </c>
      <c r="I4210">
        <f>B4210&amp;"|"&amp;C4210</f>
        <v/>
      </c>
      <c r="J4210" t="inlineStr">
        <is>
          <t>low cost</t>
        </is>
      </c>
    </row>
    <row r="4211">
      <c r="B4211" t="inlineStr">
        <is>
          <t>Markets</t>
        </is>
      </c>
      <c r="C4211" t="inlineStr">
        <is>
          <t>Average</t>
        </is>
      </c>
      <c r="D4211" t="n">
        <v>40</v>
      </c>
      <c r="E4211" t="n">
        <v>40</v>
      </c>
      <c r="F4211" t="n">
        <v>40</v>
      </c>
      <c r="G4211" t="n">
        <v>35</v>
      </c>
      <c r="H4211" t="n">
        <v>35</v>
      </c>
      <c r="I4211">
        <f>B4211&amp;"|"&amp;C4211</f>
        <v/>
      </c>
      <c r="J4211" t="inlineStr">
        <is>
          <t>average and good</t>
        </is>
      </c>
    </row>
    <row r="4212">
      <c r="B4212" t="inlineStr">
        <is>
          <t>Markets</t>
        </is>
      </c>
      <c r="C4212" t="inlineStr">
        <is>
          <t>Excellent</t>
        </is>
      </c>
      <c r="F4212" t="n">
        <v>45</v>
      </c>
      <c r="G4212" t="n">
        <v>40</v>
      </c>
      <c r="H4212" t="n">
        <v>40</v>
      </c>
      <c r="I4212">
        <f>B4212&amp;"|"&amp;C4212</f>
        <v/>
      </c>
      <c r="J4212" t="inlineStr">
        <is>
          <t>Markets and supermarkets, excellent</t>
        </is>
      </c>
    </row>
    <row r="4213">
      <c r="B4213" t="inlineStr">
        <is>
          <t>Markets</t>
        </is>
      </c>
      <c r="C4213" t="inlineStr">
        <is>
          <t>Good</t>
        </is>
      </c>
      <c r="D4213" t="n">
        <v>40</v>
      </c>
      <c r="E4213" t="n">
        <v>40</v>
      </c>
      <c r="F4213" t="n">
        <v>40</v>
      </c>
      <c r="G4213" t="n">
        <v>35</v>
      </c>
      <c r="H4213" t="n">
        <v>35</v>
      </c>
      <c r="I4213">
        <f>B4213&amp;"|"&amp;C4213</f>
        <v/>
      </c>
      <c r="J4213" t="inlineStr">
        <is>
          <t>average and good</t>
        </is>
      </c>
    </row>
    <row r="4214">
      <c r="B4214" t="inlineStr">
        <is>
          <t>Markets</t>
        </is>
      </c>
      <c r="C4214" t="inlineStr">
        <is>
          <t>Low Cost</t>
        </is>
      </c>
      <c r="F4214" t="n">
        <v>35</v>
      </c>
      <c r="G4214" t="n">
        <v>30</v>
      </c>
      <c r="H4214" t="n">
        <v>30</v>
      </c>
      <c r="I4214">
        <f>B4214&amp;"|"&amp;C4214</f>
        <v/>
      </c>
      <c r="J4214" t="inlineStr">
        <is>
          <t>low cost</t>
        </is>
      </c>
    </row>
    <row r="4215">
      <c r="B4215" t="inlineStr">
        <is>
          <t>Florist Shops</t>
        </is>
      </c>
      <c r="C4215" t="inlineStr">
        <is>
          <t>Average</t>
        </is>
      </c>
      <c r="D4215" t="n">
        <v>50</v>
      </c>
      <c r="E4215" t="n">
        <v>50</v>
      </c>
      <c r="F4215" t="n">
        <v>40</v>
      </c>
      <c r="G4215" t="n">
        <v>35</v>
      </c>
      <c r="H4215" t="n">
        <v>35</v>
      </c>
      <c r="I4215">
        <f>B4215&amp;"|"&amp;C4215</f>
        <v/>
      </c>
      <c r="J4215" t="inlineStr">
        <is>
          <t>average and good</t>
        </is>
      </c>
    </row>
    <row r="4216">
      <c r="B4216" t="inlineStr">
        <is>
          <t>Florist Shops</t>
        </is>
      </c>
      <c r="C4216" t="inlineStr">
        <is>
          <t>Excellent</t>
        </is>
      </c>
      <c r="F4216" t="n">
        <v>45</v>
      </c>
      <c r="G4216" t="n">
        <v>40</v>
      </c>
      <c r="H4216" t="n">
        <v>40</v>
      </c>
      <c r="I4216">
        <f>B4216&amp;"|"&amp;C4216</f>
        <v/>
      </c>
      <c r="J4216" t="inlineStr">
        <is>
          <t>Florist shops, excellent</t>
        </is>
      </c>
    </row>
    <row r="4217">
      <c r="B4217" t="inlineStr">
        <is>
          <t>Florist Shops</t>
        </is>
      </c>
      <c r="C4217" t="inlineStr">
        <is>
          <t>Good</t>
        </is>
      </c>
      <c r="D4217" t="n">
        <v>50</v>
      </c>
      <c r="E4217" t="n">
        <v>50</v>
      </c>
      <c r="F4217" t="n">
        <v>40</v>
      </c>
      <c r="G4217" t="n">
        <v>35</v>
      </c>
      <c r="H4217" t="n">
        <v>35</v>
      </c>
      <c r="I4217">
        <f>B4217&amp;"|"&amp;C4217</f>
        <v/>
      </c>
      <c r="J4217" t="inlineStr">
        <is>
          <t>average and good</t>
        </is>
      </c>
    </row>
    <row r="4218">
      <c r="B4218" t="inlineStr">
        <is>
          <t>Florist Shops</t>
        </is>
      </c>
      <c r="C4218" t="inlineStr">
        <is>
          <t>Low Cost</t>
        </is>
      </c>
      <c r="F4218" t="n">
        <v>35</v>
      </c>
      <c r="G4218" t="n">
        <v>30</v>
      </c>
      <c r="H4218" t="n">
        <v>30</v>
      </c>
      <c r="I4218">
        <f>B4218&amp;"|"&amp;C4218</f>
        <v/>
      </c>
      <c r="J4218" t="inlineStr">
        <is>
          <t>low cost</t>
        </is>
      </c>
    </row>
    <row r="4219">
      <c r="B4219" t="inlineStr">
        <is>
          <t>Convenience Stores</t>
        </is>
      </c>
      <c r="C4219" t="inlineStr">
        <is>
          <t>Average</t>
        </is>
      </c>
      <c r="D4219" t="n">
        <v>45</v>
      </c>
      <c r="E4219" t="n">
        <v>45</v>
      </c>
      <c r="F4219" t="n">
        <v>40</v>
      </c>
      <c r="G4219" t="n">
        <v>35</v>
      </c>
      <c r="H4219" t="n">
        <v>35</v>
      </c>
      <c r="I4219">
        <f>B4219&amp;"|"&amp;C4219</f>
        <v/>
      </c>
      <c r="J4219" t="inlineStr">
        <is>
          <t>average and good</t>
        </is>
      </c>
    </row>
    <row r="4220">
      <c r="B4220" t="inlineStr">
        <is>
          <t>Convenience Stores</t>
        </is>
      </c>
      <c r="C4220" t="inlineStr">
        <is>
          <t>Excellent</t>
        </is>
      </c>
      <c r="F4220" t="n">
        <v>45</v>
      </c>
      <c r="G4220" t="n">
        <v>40</v>
      </c>
      <c r="H4220" t="n">
        <v>40</v>
      </c>
      <c r="I4220">
        <f>B4220&amp;"|"&amp;C4220</f>
        <v/>
      </c>
      <c r="J4220" t="inlineStr">
        <is>
          <t>Convenience stores, excellent</t>
        </is>
      </c>
    </row>
    <row r="4221">
      <c r="B4221" t="inlineStr">
        <is>
          <t>Convenience Stores</t>
        </is>
      </c>
      <c r="C4221" t="inlineStr">
        <is>
          <t>Good</t>
        </is>
      </c>
      <c r="D4221" t="n">
        <v>45</v>
      </c>
      <c r="E4221" t="n">
        <v>45</v>
      </c>
      <c r="F4221" t="n">
        <v>40</v>
      </c>
      <c r="G4221" t="n">
        <v>35</v>
      </c>
      <c r="H4221" t="n">
        <v>35</v>
      </c>
      <c r="I4221">
        <f>B4221&amp;"|"&amp;C4221</f>
        <v/>
      </c>
      <c r="J4221" t="inlineStr">
        <is>
          <t>average and good</t>
        </is>
      </c>
    </row>
    <row r="4222">
      <c r="B4222" t="inlineStr">
        <is>
          <t>Convenience Stores</t>
        </is>
      </c>
      <c r="C4222" t="inlineStr">
        <is>
          <t>Low Cost</t>
        </is>
      </c>
      <c r="F4222" t="n">
        <v>35</v>
      </c>
      <c r="G4222" t="n">
        <v>30</v>
      </c>
      <c r="H4222" t="n">
        <v>30</v>
      </c>
      <c r="I4222">
        <f>B4222&amp;"|"&amp;C4222</f>
        <v/>
      </c>
      <c r="J4222" t="inlineStr">
        <is>
          <t>low cost</t>
        </is>
      </c>
    </row>
    <row r="4223">
      <c r="B4223" t="inlineStr">
        <is>
          <t>Mini-Mart Convenience Stores</t>
        </is>
      </c>
      <c r="C4223" t="inlineStr">
        <is>
          <t>Excellent</t>
        </is>
      </c>
      <c r="F4223" t="n">
        <v>40</v>
      </c>
      <c r="G4223" t="n">
        <v>35</v>
      </c>
      <c r="H4223" t="n">
        <v>30</v>
      </c>
      <c r="I4223">
        <f>B4223&amp;"|"&amp;C4223</f>
        <v/>
      </c>
      <c r="J4223" t="inlineStr">
        <is>
          <t>Mini-marts, good and excellent</t>
        </is>
      </c>
    </row>
    <row r="4224">
      <c r="B4224" t="inlineStr">
        <is>
          <t>Mini-Mart Convenience Stores</t>
        </is>
      </c>
      <c r="C4224" t="inlineStr">
        <is>
          <t>Good</t>
        </is>
      </c>
      <c r="F4224" t="n">
        <v>40</v>
      </c>
      <c r="G4224" t="n">
        <v>35</v>
      </c>
      <c r="H4224" t="n">
        <v>30</v>
      </c>
      <c r="I4224">
        <f>B4224&amp;"|"&amp;C4224</f>
        <v/>
      </c>
      <c r="J4224" t="inlineStr">
        <is>
          <t>Mini-marts, good and excellent</t>
        </is>
      </c>
    </row>
    <row r="4225">
      <c r="B4225" t="inlineStr">
        <is>
          <t>Mini-Mart Convenience Stores</t>
        </is>
      </c>
      <c r="C4225" t="inlineStr">
        <is>
          <t>Average</t>
        </is>
      </c>
      <c r="F4225" t="n">
        <v>35</v>
      </c>
      <c r="G4225" t="n">
        <v>30</v>
      </c>
      <c r="H4225" t="n">
        <v>25</v>
      </c>
      <c r="I4225">
        <f>B4225&amp;"|"&amp;C4225</f>
        <v/>
      </c>
      <c r="J4225" t="inlineStr">
        <is>
          <t>low cost and average</t>
        </is>
      </c>
    </row>
    <row r="4226">
      <c r="B4226" t="inlineStr">
        <is>
          <t>Mini-Mart Convenience Stores</t>
        </is>
      </c>
      <c r="C4226" t="inlineStr">
        <is>
          <t>Low Cost</t>
        </is>
      </c>
      <c r="F4226" t="n">
        <v>35</v>
      </c>
      <c r="G4226" t="n">
        <v>30</v>
      </c>
      <c r="H4226" t="n">
        <v>25</v>
      </c>
      <c r="I4226">
        <f>B4226&amp;"|"&amp;C4226</f>
        <v/>
      </c>
      <c r="J4226" t="inlineStr">
        <is>
          <t>low cost and average</t>
        </is>
      </c>
    </row>
    <row r="4227">
      <c r="B4227" t="inlineStr">
        <is>
          <t>Roadside Markets</t>
        </is>
      </c>
      <c r="C4227" t="inlineStr">
        <is>
          <t>Excellent</t>
        </is>
      </c>
      <c r="F4227" t="n">
        <v>40</v>
      </c>
      <c r="G4227" t="n">
        <v>35</v>
      </c>
      <c r="H4227" t="n">
        <v>35</v>
      </c>
      <c r="I4227">
        <f>B4227&amp;"|"&amp;C4227</f>
        <v/>
      </c>
      <c r="J4227" t="inlineStr">
        <is>
          <t>Roadside markets, excellent</t>
        </is>
      </c>
    </row>
    <row r="4228">
      <c r="B4228" t="inlineStr">
        <is>
          <t>Roadside Markets</t>
        </is>
      </c>
      <c r="C4228" t="inlineStr">
        <is>
          <t>Good</t>
        </is>
      </c>
      <c r="F4228" t="n">
        <v>35</v>
      </c>
      <c r="G4228" t="n">
        <v>30</v>
      </c>
      <c r="H4228" t="n">
        <v>30</v>
      </c>
      <c r="I4228">
        <f>B4228&amp;"|"&amp;C4228</f>
        <v/>
      </c>
      <c r="J4228" t="inlineStr">
        <is>
          <t>good</t>
        </is>
      </c>
    </row>
    <row r="4229">
      <c r="B4229" t="inlineStr">
        <is>
          <t>Roadside Markets</t>
        </is>
      </c>
      <c r="C4229" t="inlineStr">
        <is>
          <t>Average</t>
        </is>
      </c>
      <c r="F4229" t="n">
        <v>30</v>
      </c>
      <c r="G4229" t="n">
        <v>25</v>
      </c>
      <c r="H4229" t="n">
        <v>25</v>
      </c>
      <c r="I4229">
        <f>B4229&amp;"|"&amp;C4229</f>
        <v/>
      </c>
      <c r="J4229" t="inlineStr">
        <is>
          <t>average</t>
        </is>
      </c>
    </row>
    <row r="4230">
      <c r="B4230" t="inlineStr">
        <is>
          <t>Roadside Markets</t>
        </is>
      </c>
      <c r="C4230" t="inlineStr">
        <is>
          <t>Low Cost</t>
        </is>
      </c>
      <c r="G4230" t="n">
        <v>20</v>
      </c>
      <c r="H4230" t="n">
        <v>20</v>
      </c>
      <c r="I4230">
        <f>B4230&amp;"|"&amp;C4230</f>
        <v/>
      </c>
      <c r="J4230" t="inlineStr">
        <is>
          <t>low cost</t>
        </is>
      </c>
    </row>
    <row r="4231">
      <c r="B4231" t="inlineStr">
        <is>
          <t>Roadside Markets</t>
        </is>
      </c>
      <c r="C4231" t="inlineStr">
        <is>
          <t>Cheap</t>
        </is>
      </c>
      <c r="G4231" t="n">
        <v>15</v>
      </c>
      <c r="I4231">
        <f>B4231&amp;"|"&amp;C4231</f>
        <v/>
      </c>
      <c r="J4231" t="inlineStr">
        <is>
          <t>cheap</t>
        </is>
      </c>
    </row>
    <row r="4232">
      <c r="B4232" t="inlineStr">
        <is>
          <t>Luxury Boutiques</t>
        </is>
      </c>
      <c r="C4232" t="inlineStr">
        <is>
          <t>Good</t>
        </is>
      </c>
      <c r="D4232" t="n">
        <v>60</v>
      </c>
      <c r="E4232" t="n">
        <v>60</v>
      </c>
      <c r="F4232" t="n">
        <v>55</v>
      </c>
      <c r="G4232" t="n">
        <v>50</v>
      </c>
      <c r="I4232">
        <f>B4232&amp;"|"&amp;C4232</f>
        <v/>
      </c>
      <c r="J4232" t="inlineStr">
        <is>
          <t>Luxury boutiques, good</t>
        </is>
      </c>
    </row>
    <row r="4233">
      <c r="B4233" t="inlineStr">
        <is>
          <t>Luxury Boutiques</t>
        </is>
      </c>
      <c r="C4233" t="inlineStr">
        <is>
          <t>Average</t>
        </is>
      </c>
      <c r="D4233" t="n">
        <v>55</v>
      </c>
      <c r="E4233" t="n">
        <v>55</v>
      </c>
      <c r="F4233" t="n">
        <v>50</v>
      </c>
      <c r="G4233" t="n">
        <v>45</v>
      </c>
      <c r="I4233">
        <f>B4233&amp;"|"&amp;C4233</f>
        <v/>
      </c>
      <c r="J4233" t="inlineStr">
        <is>
          <t>low cost and average</t>
        </is>
      </c>
    </row>
    <row r="4234">
      <c r="B4234" t="inlineStr">
        <is>
          <t>Luxury Boutiques</t>
        </is>
      </c>
      <c r="C4234" t="inlineStr">
        <is>
          <t>Low Cost</t>
        </is>
      </c>
      <c r="D4234" t="n">
        <v>55</v>
      </c>
      <c r="E4234" t="n">
        <v>55</v>
      </c>
      <c r="F4234" t="n">
        <v>50</v>
      </c>
      <c r="G4234" t="n">
        <v>45</v>
      </c>
      <c r="I4234">
        <f>B4234&amp;"|"&amp;C4234</f>
        <v/>
      </c>
      <c r="J4234" t="inlineStr">
        <is>
          <t>low cost and average</t>
        </is>
      </c>
    </row>
    <row r="4235">
      <c r="B4235" t="inlineStr">
        <is>
          <t>Winery (Tasting – Display) Shops</t>
        </is>
      </c>
      <c r="C4235" t="inlineStr">
        <is>
          <t>Excellent</t>
        </is>
      </c>
      <c r="F4235" t="n">
        <v>50</v>
      </c>
      <c r="G4235" t="n">
        <v>45</v>
      </c>
      <c r="I4235">
        <f>B4235&amp;"|"&amp;C4235</f>
        <v/>
      </c>
      <c r="J4235" t="inlineStr">
        <is>
          <t>Winery shops, excellent</t>
        </is>
      </c>
    </row>
    <row r="4236">
      <c r="B4236" t="inlineStr">
        <is>
          <t>Winery (Tasting – Display) Shops</t>
        </is>
      </c>
      <c r="C4236" t="inlineStr">
        <is>
          <t>Good</t>
        </is>
      </c>
      <c r="F4236" t="n">
        <v>45</v>
      </c>
      <c r="G4236" t="n">
        <v>40</v>
      </c>
      <c r="I4236">
        <f>B4236&amp;"|"&amp;C4236</f>
        <v/>
      </c>
      <c r="J4236" t="inlineStr">
        <is>
          <t>good</t>
        </is>
      </c>
    </row>
    <row r="4237">
      <c r="B4237" t="inlineStr">
        <is>
          <t>Winery (Tasting – Display) Shops</t>
        </is>
      </c>
      <c r="C4237" t="inlineStr">
        <is>
          <t>Average</t>
        </is>
      </c>
      <c r="F4237" t="n">
        <v>40</v>
      </c>
      <c r="G4237" t="n">
        <v>35</v>
      </c>
      <c r="H4237" t="n">
        <v>35</v>
      </c>
      <c r="I4237">
        <f>B4237&amp;"|"&amp;C4237</f>
        <v/>
      </c>
      <c r="J4237" t="inlineStr">
        <is>
          <t>average</t>
        </is>
      </c>
    </row>
    <row r="4238">
      <c r="B4238" t="inlineStr">
        <is>
          <t>Winery (Tasting – Display) Shops</t>
        </is>
      </c>
      <c r="C4238" t="inlineStr">
        <is>
          <t>Low Cost</t>
        </is>
      </c>
      <c r="F4238" t="n">
        <v>35</v>
      </c>
      <c r="G4238" t="n">
        <v>30</v>
      </c>
      <c r="H4238" t="n">
        <v>30</v>
      </c>
      <c r="I4238">
        <f>B4238&amp;"|"&amp;C4238</f>
        <v/>
      </c>
      <c r="J4238" t="inlineStr">
        <is>
          <t>low cost</t>
        </is>
      </c>
    </row>
    <row r="4239">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c r="B4241" t="inlineStr">
        <is>
          <t>Laundromats</t>
        </is>
      </c>
      <c r="C4241" t="inlineStr">
        <is>
          <t>Average</t>
        </is>
      </c>
      <c r="F4241" t="n">
        <v>35</v>
      </c>
      <c r="G4241" t="n">
        <v>30</v>
      </c>
      <c r="H4241" t="n">
        <v>30</v>
      </c>
      <c r="I4241">
        <f>B4241&amp;"|"&amp;C4241</f>
        <v/>
      </c>
      <c r="J4241" t="inlineStr">
        <is>
          <t>Laundromats, average</t>
        </is>
      </c>
    </row>
    <row r="4242">
      <c r="B4242" t="inlineStr">
        <is>
          <t>Laundry/Dry Cleaning</t>
        </is>
      </c>
      <c r="C4242" t="inlineStr">
        <is>
          <t>Good</t>
        </is>
      </c>
      <c r="F4242" t="n">
        <v>45</v>
      </c>
      <c r="G4242" t="n">
        <v>40</v>
      </c>
      <c r="H4242" t="n">
        <v>40</v>
      </c>
      <c r="I4242">
        <f>B4242&amp;"|"&amp;C4242</f>
        <v/>
      </c>
      <c r="J4242" t="inlineStr">
        <is>
          <t>Laundry/dry cleaning, good</t>
        </is>
      </c>
    </row>
    <row r="4243">
      <c r="B4243" t="inlineStr">
        <is>
          <t>Laundry/Dry Cleaning</t>
        </is>
      </c>
      <c r="C4243" t="inlineStr">
        <is>
          <t>Average</t>
        </is>
      </c>
      <c r="F4243" t="n">
        <v>40</v>
      </c>
      <c r="G4243" t="n">
        <v>35</v>
      </c>
      <c r="H4243" t="n">
        <v>35</v>
      </c>
      <c r="I4243">
        <f>B4243&amp;"|"&amp;C4243</f>
        <v/>
      </c>
      <c r="J4243" t="inlineStr">
        <is>
          <t>average</t>
        </is>
      </c>
    </row>
    <row r="4244">
      <c r="B4244" t="inlineStr">
        <is>
          <t>Dairy Sales</t>
        </is>
      </c>
      <c r="C4244" t="inlineStr">
        <is>
          <t>Average</t>
        </is>
      </c>
      <c r="F4244" t="n">
        <v>35</v>
      </c>
      <c r="G4244" t="n">
        <v>30</v>
      </c>
      <c r="H4244" t="n">
        <v>30</v>
      </c>
      <c r="I4244">
        <f>B4244&amp;"|"&amp;C4244</f>
        <v/>
      </c>
      <c r="J4244" t="inlineStr">
        <is>
          <t>Dairy sales buildings, average</t>
        </is>
      </c>
    </row>
    <row r="42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c r="B4247" t="inlineStr">
        <is>
          <t>Retail Stores</t>
        </is>
      </c>
      <c r="C4247" t="inlineStr">
        <is>
          <t>Average</t>
        </is>
      </c>
      <c r="D4247" t="n">
        <v>50</v>
      </c>
      <c r="E4247" t="n">
        <v>50</v>
      </c>
      <c r="F4247" t="n">
        <v>45</v>
      </c>
      <c r="G4247" t="n">
        <v>40</v>
      </c>
      <c r="H4247" t="n">
        <v>40</v>
      </c>
      <c r="I4247">
        <f>B4247&amp;"|"&amp;C4247</f>
        <v/>
      </c>
      <c r="J4247" t="inlineStr">
        <is>
          <t>average</t>
        </is>
      </c>
    </row>
    <row r="4248">
      <c r="B4248" t="inlineStr">
        <is>
          <t>Retail Stores</t>
        </is>
      </c>
      <c r="C4248" t="inlineStr">
        <is>
          <t>Low Cost</t>
        </is>
      </c>
      <c r="D4248" t="n">
        <v>45</v>
      </c>
      <c r="E4248" t="n">
        <v>45</v>
      </c>
      <c r="F4248" t="n">
        <v>40</v>
      </c>
      <c r="G4248" t="n">
        <v>40</v>
      </c>
      <c r="H4248" t="n">
        <v>40</v>
      </c>
      <c r="I4248">
        <f>B4248&amp;"|"&amp;C4248</f>
        <v/>
      </c>
      <c r="J4248" t="inlineStr">
        <is>
          <t>low cost</t>
        </is>
      </c>
    </row>
    <row r="4249">
      <c r="B4249" t="inlineStr">
        <is>
          <t>Department Stores</t>
        </is>
      </c>
      <c r="C4249" t="inlineStr">
        <is>
          <t>Excellent</t>
        </is>
      </c>
      <c r="D4249" t="n">
        <v>55</v>
      </c>
      <c r="E4249" t="n">
        <v>55</v>
      </c>
      <c r="F4249" t="n">
        <v>50</v>
      </c>
      <c r="I4249">
        <f>B4249&amp;"|"&amp;C4249</f>
        <v/>
      </c>
      <c r="J4249" t="inlineStr">
        <is>
          <t>Department stores, good and excellent</t>
        </is>
      </c>
    </row>
    <row r="4250">
      <c r="B4250" t="inlineStr">
        <is>
          <t>Department Stores</t>
        </is>
      </c>
      <c r="C4250" t="inlineStr">
        <is>
          <t>Good</t>
        </is>
      </c>
      <c r="D4250" t="n">
        <v>55</v>
      </c>
      <c r="E4250" t="n">
        <v>55</v>
      </c>
      <c r="F4250" t="n">
        <v>50</v>
      </c>
      <c r="I4250">
        <f>B4250&amp;"|"&amp;C4250</f>
        <v/>
      </c>
      <c r="J4250" t="inlineStr">
        <is>
          <t>Department stores, good and excellent</t>
        </is>
      </c>
    </row>
    <row r="4251">
      <c r="B4251" t="inlineStr">
        <is>
          <t>Department Stores</t>
        </is>
      </c>
      <c r="C4251" t="inlineStr">
        <is>
          <t>Average</t>
        </is>
      </c>
      <c r="D4251" t="n">
        <v>50</v>
      </c>
      <c r="E4251" t="n">
        <v>50</v>
      </c>
      <c r="F4251" t="n">
        <v>45</v>
      </c>
      <c r="I4251">
        <f>B4251&amp;"|"&amp;C4251</f>
        <v/>
      </c>
      <c r="J4251" t="inlineStr">
        <is>
          <t>low cost and average</t>
        </is>
      </c>
    </row>
    <row r="4252">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c r="B4255" t="inlineStr">
        <is>
          <t>Discount Stores</t>
        </is>
      </c>
      <c r="C4255" t="inlineStr">
        <is>
          <t>Average</t>
        </is>
      </c>
      <c r="D4255" t="n">
        <v>40</v>
      </c>
      <c r="E4255" t="n">
        <v>40</v>
      </c>
      <c r="F4255" t="n">
        <v>35</v>
      </c>
      <c r="G4255" t="n">
        <v>30</v>
      </c>
      <c r="H4255" t="n">
        <v>30</v>
      </c>
      <c r="I4255">
        <f>B4255&amp;"|"&amp;C4255</f>
        <v/>
      </c>
      <c r="J4255" t="inlineStr">
        <is>
          <t>low cost and average</t>
        </is>
      </c>
    </row>
    <row r="4256">
      <c r="B4256" t="inlineStr">
        <is>
          <t>Discount Stores</t>
        </is>
      </c>
      <c r="C4256" t="inlineStr">
        <is>
          <t>Good</t>
        </is>
      </c>
      <c r="F4256" t="n">
        <v>40</v>
      </c>
      <c r="G4256" t="n">
        <v>35</v>
      </c>
      <c r="H4256" t="n">
        <v>35</v>
      </c>
      <c r="I4256">
        <f>B4256&amp;"|"&amp;C4256</f>
        <v/>
      </c>
      <c r="J4256" t="inlineStr">
        <is>
          <t>Discount stores, good</t>
        </is>
      </c>
    </row>
    <row r="4257">
      <c r="B4257" t="inlineStr">
        <is>
          <t>Discount Stores</t>
        </is>
      </c>
      <c r="C4257" t="inlineStr">
        <is>
          <t>Low Cost</t>
        </is>
      </c>
      <c r="D4257" t="n">
        <v>40</v>
      </c>
      <c r="E4257" t="n">
        <v>40</v>
      </c>
      <c r="F4257" t="n">
        <v>35</v>
      </c>
      <c r="G4257" t="n">
        <v>30</v>
      </c>
      <c r="H4257" t="n">
        <v>30</v>
      </c>
      <c r="I4257">
        <f>B4257&amp;"|"&amp;C4257</f>
        <v/>
      </c>
      <c r="J4257" t="inlineStr">
        <is>
          <t>low cost and average</t>
        </is>
      </c>
    </row>
    <row r="4258">
      <c r="B4258" t="inlineStr">
        <is>
          <t>Warehouse Discount Stores</t>
        </is>
      </c>
      <c r="C4258" t="inlineStr">
        <is>
          <t>Good</t>
        </is>
      </c>
      <c r="F4258" t="n">
        <v>35</v>
      </c>
      <c r="G4258" t="n">
        <v>30</v>
      </c>
      <c r="H4258" t="n">
        <v>30</v>
      </c>
      <c r="I4258">
        <f>B4258&amp;"|"&amp;C4258</f>
        <v/>
      </c>
      <c r="J4258" t="inlineStr">
        <is>
          <t>Warehouse discount stores, good</t>
        </is>
      </c>
    </row>
    <row r="4259">
      <c r="B4259" t="inlineStr">
        <is>
          <t>Warehouse Discount Stores</t>
        </is>
      </c>
      <c r="C4259" t="inlineStr">
        <is>
          <t>Average</t>
        </is>
      </c>
      <c r="F4259" t="n">
        <v>30</v>
      </c>
      <c r="G4259" t="n">
        <v>30</v>
      </c>
      <c r="H4259" t="n">
        <v>30</v>
      </c>
      <c r="I4259">
        <f>B4259&amp;"|"&amp;C4259</f>
        <v/>
      </c>
      <c r="J4259" t="inlineStr">
        <is>
          <t>low cost and average</t>
        </is>
      </c>
    </row>
    <row r="4260">
      <c r="B4260" t="inlineStr">
        <is>
          <t>Warehouse Discount Stores</t>
        </is>
      </c>
      <c r="C4260" t="inlineStr">
        <is>
          <t>Low Cost</t>
        </is>
      </c>
      <c r="F4260" t="n">
        <v>30</v>
      </c>
      <c r="G4260" t="n">
        <v>30</v>
      </c>
      <c r="H4260" t="n">
        <v>30</v>
      </c>
      <c r="I4260">
        <f>B4260&amp;"|"&amp;C4260</f>
        <v/>
      </c>
      <c r="J4260" t="inlineStr">
        <is>
          <t>low cost and average</t>
        </is>
      </c>
    </row>
    <row r="4261">
      <c r="B4261" t="inlineStr">
        <is>
          <t>Warehouse Showroom Stores</t>
        </is>
      </c>
      <c r="C4261" t="inlineStr">
        <is>
          <t>Good</t>
        </is>
      </c>
      <c r="F4261" t="n">
        <v>40</v>
      </c>
      <c r="G4261" t="n">
        <v>35</v>
      </c>
      <c r="H4261" t="n">
        <v>35</v>
      </c>
      <c r="I4261">
        <f>B4261&amp;"|"&amp;C4261</f>
        <v/>
      </c>
      <c r="J4261" t="inlineStr">
        <is>
          <t>showroom, good</t>
        </is>
      </c>
    </row>
    <row r="4262">
      <c r="B4262" t="inlineStr">
        <is>
          <t>Warehouse Showroom Stores</t>
        </is>
      </c>
      <c r="C4262" t="inlineStr">
        <is>
          <t>Average</t>
        </is>
      </c>
      <c r="F4262" t="n">
        <v>35</v>
      </c>
      <c r="G4262" t="n">
        <v>30</v>
      </c>
      <c r="H4262" t="n">
        <v>30</v>
      </c>
      <c r="I4262">
        <f>B4262&amp;"|"&amp;C4262</f>
        <v/>
      </c>
      <c r="J4262" t="inlineStr">
        <is>
          <t>low cost and average</t>
        </is>
      </c>
    </row>
    <row r="4263">
      <c r="B4263" t="inlineStr">
        <is>
          <t>Warehouse Showroom Stores</t>
        </is>
      </c>
      <c r="C4263" t="inlineStr">
        <is>
          <t>Low Cost</t>
        </is>
      </c>
      <c r="F4263" t="n">
        <v>35</v>
      </c>
      <c r="G4263" t="n">
        <v>30</v>
      </c>
      <c r="H4263" t="n">
        <v>30</v>
      </c>
      <c r="I4263">
        <f>B4263&amp;"|"&amp;C4263</f>
        <v/>
      </c>
      <c r="J4263" t="inlineStr">
        <is>
          <t>low cost and average</t>
        </is>
      </c>
    </row>
    <row r="4264">
      <c r="B4264" t="inlineStr">
        <is>
          <t>Warehouse Food Stores</t>
        </is>
      </c>
      <c r="C4264" t="inlineStr">
        <is>
          <t>Good</t>
        </is>
      </c>
      <c r="F4264" t="n">
        <v>40</v>
      </c>
      <c r="G4264" t="n">
        <v>35</v>
      </c>
      <c r="H4264" t="n">
        <v>35</v>
      </c>
      <c r="I4264">
        <f>B4264&amp;"|"&amp;C4264</f>
        <v/>
      </c>
      <c r="J4264" t="inlineStr">
        <is>
          <t>food, good</t>
        </is>
      </c>
    </row>
    <row r="4265">
      <c r="B4265" t="inlineStr">
        <is>
          <t>Warehouse Food Stores</t>
        </is>
      </c>
      <c r="C4265" t="inlineStr">
        <is>
          <t>Average</t>
        </is>
      </c>
      <c r="F4265" t="n">
        <v>35</v>
      </c>
      <c r="G4265" t="n">
        <v>30</v>
      </c>
      <c r="H4265" t="n">
        <v>30</v>
      </c>
      <c r="I4265">
        <f>B4265&amp;"|"&amp;C4265</f>
        <v/>
      </c>
      <c r="J4265" t="inlineStr">
        <is>
          <t>average</t>
        </is>
      </c>
    </row>
    <row r="4266">
      <c r="B4266" t="inlineStr">
        <is>
          <t>Warehouse Food Stores</t>
        </is>
      </c>
      <c r="C4266" t="inlineStr">
        <is>
          <t>Low Cost</t>
        </is>
      </c>
      <c r="F4266" t="n">
        <v>30</v>
      </c>
      <c r="G4266" t="n">
        <v>30</v>
      </c>
      <c r="H4266" t="n">
        <v>30</v>
      </c>
      <c r="I4266">
        <f>B4266&amp;"|"&amp;C4266</f>
        <v/>
      </c>
      <c r="J4266" t="inlineStr">
        <is>
          <t>low cost</t>
        </is>
      </c>
    </row>
    <row r="4267">
      <c r="B4267" t="inlineStr">
        <is>
          <t>Mega Warehouse Stores</t>
        </is>
      </c>
      <c r="C4267" t="inlineStr">
        <is>
          <t>Good</t>
        </is>
      </c>
      <c r="F4267" t="n">
        <v>35</v>
      </c>
      <c r="H4267" t="n">
        <v>30</v>
      </c>
      <c r="I4267">
        <f>B4267&amp;"|"&amp;C4267</f>
        <v/>
      </c>
      <c r="J4267" t="inlineStr">
        <is>
          <t>mega discount, average and good</t>
        </is>
      </c>
    </row>
    <row r="4268">
      <c r="B4268" t="inlineStr">
        <is>
          <t>Mega Warehouse Stores</t>
        </is>
      </c>
      <c r="C4268" t="inlineStr">
        <is>
          <t>Average</t>
        </is>
      </c>
      <c r="F4268" t="n">
        <v>35</v>
      </c>
      <c r="H4268" t="n">
        <v>30</v>
      </c>
      <c r="I4268">
        <f>B4268&amp;"|"&amp;C4268</f>
        <v/>
      </c>
      <c r="J4268" t="inlineStr">
        <is>
          <t>mega discount, average and good</t>
        </is>
      </c>
    </row>
    <row r="4269">
      <c r="B4269" t="inlineStr">
        <is>
          <t>Mega Warehouse Stores</t>
        </is>
      </c>
      <c r="C4269" t="inlineStr">
        <is>
          <t>Low Cost</t>
        </is>
      </c>
      <c r="F4269" t="n">
        <v>30</v>
      </c>
      <c r="H4269" t="n">
        <v>30</v>
      </c>
      <c r="I4269">
        <f>B4269&amp;"|"&amp;C4269</f>
        <v/>
      </c>
      <c r="J4269" t="inlineStr">
        <is>
          <t>low cost</t>
        </is>
      </c>
    </row>
    <row r="4270">
      <c r="B4270" t="inlineStr">
        <is>
          <t>Neighborhood Shopping Centers</t>
        </is>
      </c>
      <c r="C4270" t="inlineStr">
        <is>
          <t>Good</t>
        </is>
      </c>
      <c r="F4270" t="n">
        <v>45</v>
      </c>
      <c r="G4270" t="n">
        <v>40</v>
      </c>
      <c r="I4270">
        <f>B4270&amp;"|"&amp;C4270</f>
        <v/>
      </c>
      <c r="J4270" t="inlineStr">
        <is>
          <t>Shopping centers, neighborhood, good</t>
        </is>
      </c>
    </row>
    <row r="4271">
      <c r="B4271" t="inlineStr">
        <is>
          <t>Neighborhood Shopping Centers</t>
        </is>
      </c>
      <c r="C4271" t="inlineStr">
        <is>
          <t>Average</t>
        </is>
      </c>
      <c r="F4271" t="n">
        <v>40</v>
      </c>
      <c r="G4271" t="n">
        <v>35</v>
      </c>
      <c r="H4271" t="n">
        <v>35</v>
      </c>
      <c r="I4271">
        <f>B4271&amp;"|"&amp;C4271</f>
        <v/>
      </c>
      <c r="J4271" t="inlineStr">
        <is>
          <t>average</t>
        </is>
      </c>
    </row>
    <row r="4272">
      <c r="B4272" t="inlineStr">
        <is>
          <t>Neighborhood Shopping Centers</t>
        </is>
      </c>
      <c r="C4272" t="inlineStr">
        <is>
          <t>Low Cost</t>
        </is>
      </c>
      <c r="F4272" t="n">
        <v>35</v>
      </c>
      <c r="G4272" t="n">
        <v>30</v>
      </c>
      <c r="H4272" t="n">
        <v>30</v>
      </c>
      <c r="I4272">
        <f>B4272&amp;"|"&amp;C4272</f>
        <v/>
      </c>
      <c r="J4272" t="inlineStr">
        <is>
          <t>low cost</t>
        </is>
      </c>
    </row>
    <row r="4273">
      <c r="B4273" t="inlineStr">
        <is>
          <t>Mixed Retail Centers with Residential Units</t>
        </is>
      </c>
      <c r="C4273" t="inlineStr">
        <is>
          <t>Good</t>
        </is>
      </c>
      <c r="F4273" t="n">
        <v>50</v>
      </c>
      <c r="G4273" t="n">
        <v>45</v>
      </c>
      <c r="I4273">
        <f>B4273&amp;"|"&amp;C4273</f>
        <v/>
      </c>
      <c r="J4273" t="inlineStr">
        <is>
          <t>mixed retail centers with office/residential units, good</t>
        </is>
      </c>
    </row>
    <row r="4274">
      <c r="B4274" t="inlineStr">
        <is>
          <t>Mixed Retail Centers with Residential Units</t>
        </is>
      </c>
      <c r="C4274" t="inlineStr">
        <is>
          <t>Average</t>
        </is>
      </c>
      <c r="F4274" t="n">
        <v>45</v>
      </c>
      <c r="G4274" t="n">
        <v>40</v>
      </c>
      <c r="I4274">
        <f>B4274&amp;"|"&amp;C4274</f>
        <v/>
      </c>
      <c r="J4274" t="inlineStr">
        <is>
          <t>low cost and average</t>
        </is>
      </c>
    </row>
    <row r="4275">
      <c r="B4275" t="inlineStr">
        <is>
          <t>Mixed Retail Centers with Residential Units</t>
        </is>
      </c>
      <c r="C4275" t="inlineStr">
        <is>
          <t>Low Cost</t>
        </is>
      </c>
      <c r="F4275" t="n">
        <v>45</v>
      </c>
      <c r="G4275" t="n">
        <v>40</v>
      </c>
      <c r="I4275">
        <f>B4275&amp;"|"&amp;C4275</f>
        <v/>
      </c>
      <c r="J4275" t="inlineStr">
        <is>
          <t>low cost and average</t>
        </is>
      </c>
    </row>
    <row r="4276">
      <c r="B4276" t="inlineStr">
        <is>
          <t>Mixed Retail Centers with Office Units</t>
        </is>
      </c>
      <c r="C4276" t="inlineStr">
        <is>
          <t>Good</t>
        </is>
      </c>
      <c r="F4276" t="n">
        <v>50</v>
      </c>
      <c r="G4276" t="n">
        <v>45</v>
      </c>
      <c r="I4276">
        <f>B4276&amp;"|"&amp;C4276</f>
        <v/>
      </c>
      <c r="J4276" t="inlineStr">
        <is>
          <t>mixed retail centers with office/residential units, good</t>
        </is>
      </c>
    </row>
    <row r="4277">
      <c r="B4277" t="inlineStr">
        <is>
          <t>Mixed Retail Centers with Office Units</t>
        </is>
      </c>
      <c r="C4277" t="inlineStr">
        <is>
          <t>Average</t>
        </is>
      </c>
      <c r="F4277" t="n">
        <v>45</v>
      </c>
      <c r="G4277" t="n">
        <v>40</v>
      </c>
      <c r="I4277">
        <f>B4277&amp;"|"&amp;C4277</f>
        <v/>
      </c>
      <c r="J4277" t="inlineStr">
        <is>
          <t>low cost and average</t>
        </is>
      </c>
    </row>
    <row r="4278">
      <c r="B4278" t="inlineStr">
        <is>
          <t>Mixed Retail Centers with Office Units</t>
        </is>
      </c>
      <c r="C4278" t="inlineStr">
        <is>
          <t>Low Cost</t>
        </is>
      </c>
      <c r="F4278" t="n">
        <v>45</v>
      </c>
      <c r="G4278" t="n">
        <v>40</v>
      </c>
      <c r="I4278">
        <f>B4278&amp;"|"&amp;C4278</f>
        <v/>
      </c>
      <c r="J4278" t="inlineStr">
        <is>
          <t>low cost and average</t>
        </is>
      </c>
    </row>
    <row r="4279">
      <c r="B4279" t="inlineStr">
        <is>
          <t>Community Shopping Centers</t>
        </is>
      </c>
      <c r="C4279" t="inlineStr">
        <is>
          <t>Excellent</t>
        </is>
      </c>
      <c r="F4279" t="n">
        <v>50</v>
      </c>
      <c r="G4279" t="n">
        <v>45</v>
      </c>
      <c r="H4279" t="n">
        <v>45</v>
      </c>
      <c r="I4279">
        <f>B4279&amp;"|"&amp;C4279</f>
        <v/>
      </c>
      <c r="J4279" t="inlineStr">
        <is>
          <t>community, good and excellent</t>
        </is>
      </c>
    </row>
    <row r="4280">
      <c r="B4280" t="inlineStr">
        <is>
          <t>Community Shopping Centers</t>
        </is>
      </c>
      <c r="C4280" t="inlineStr">
        <is>
          <t>Good</t>
        </is>
      </c>
      <c r="F4280" t="n">
        <v>50</v>
      </c>
      <c r="G4280" t="n">
        <v>45</v>
      </c>
      <c r="H4280" t="n">
        <v>45</v>
      </c>
      <c r="I4280">
        <f>B4280&amp;"|"&amp;C4280</f>
        <v/>
      </c>
      <c r="J4280" t="inlineStr">
        <is>
          <t>community, good and excellent</t>
        </is>
      </c>
    </row>
    <row r="4281">
      <c r="B4281" t="inlineStr">
        <is>
          <t>Community Shopping Centers</t>
        </is>
      </c>
      <c r="C4281" t="inlineStr">
        <is>
          <t>Average</t>
        </is>
      </c>
      <c r="F4281" t="n">
        <v>45</v>
      </c>
      <c r="G4281" t="n">
        <v>40</v>
      </c>
      <c r="H4281" t="n">
        <v>40</v>
      </c>
      <c r="I4281">
        <f>B4281&amp;"|"&amp;C4281</f>
        <v/>
      </c>
      <c r="J4281" t="inlineStr">
        <is>
          <t>average</t>
        </is>
      </c>
    </row>
    <row r="4282">
      <c r="B4282" t="inlineStr">
        <is>
          <t>Community Shopping Centers</t>
        </is>
      </c>
      <c r="C4282" t="inlineStr">
        <is>
          <t>Low Cost</t>
        </is>
      </c>
      <c r="F4282" t="n">
        <v>45</v>
      </c>
      <c r="G4282" t="n">
        <v>40</v>
      </c>
      <c r="H4282" t="n">
        <v>40</v>
      </c>
      <c r="I4282">
        <f>B4282&amp;"|"&amp;C4282</f>
        <v/>
      </c>
      <c r="J4282" t="inlineStr">
        <is>
          <t>average</t>
        </is>
      </c>
    </row>
    <row r="4283">
      <c r="B4283" t="inlineStr">
        <is>
          <t>Regional Discount Shopping Centers</t>
        </is>
      </c>
      <c r="C4283" t="inlineStr">
        <is>
          <t>Good</t>
        </is>
      </c>
      <c r="D4283" t="n">
        <v>50</v>
      </c>
      <c r="E4283" t="n">
        <v>50</v>
      </c>
      <c r="F4283" t="n">
        <v>50</v>
      </c>
      <c r="G4283" t="n">
        <v>45</v>
      </c>
      <c r="I4283">
        <f>B4283&amp;"|"&amp;C4283</f>
        <v/>
      </c>
      <c r="J4283" t="inlineStr">
        <is>
          <t>regional discount, good</t>
        </is>
      </c>
    </row>
    <row r="4284">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c r="B4286" t="inlineStr">
        <is>
          <t>Regional Shopping Centers</t>
        </is>
      </c>
      <c r="C4286" t="inlineStr">
        <is>
          <t>Excellent</t>
        </is>
      </c>
      <c r="D4286" t="n">
        <v>55</v>
      </c>
      <c r="E4286" t="n">
        <v>55</v>
      </c>
      <c r="F4286" t="n">
        <v>55</v>
      </c>
      <c r="G4286" t="n">
        <v>50</v>
      </c>
      <c r="I4286">
        <f>B4286&amp;"|"&amp;C4286</f>
        <v/>
      </c>
      <c r="J4286" t="inlineStr">
        <is>
          <t>regional, good and excellent</t>
        </is>
      </c>
    </row>
    <row r="4287">
      <c r="B4287" t="inlineStr">
        <is>
          <t>Regional Shopping Centers</t>
        </is>
      </c>
      <c r="C4287" t="inlineStr">
        <is>
          <t>Good</t>
        </is>
      </c>
      <c r="D4287" t="n">
        <v>55</v>
      </c>
      <c r="E4287" t="n">
        <v>55</v>
      </c>
      <c r="F4287" t="n">
        <v>55</v>
      </c>
      <c r="G4287" t="n">
        <v>50</v>
      </c>
      <c r="I4287">
        <f>B4287&amp;"|"&amp;C4287</f>
        <v/>
      </c>
      <c r="J4287" t="inlineStr">
        <is>
          <t>regional, good and excellent</t>
        </is>
      </c>
    </row>
    <row r="4288">
      <c r="B4288" t="inlineStr">
        <is>
          <t>Regional Shopping Centers</t>
        </is>
      </c>
      <c r="C4288" t="inlineStr">
        <is>
          <t>Average</t>
        </is>
      </c>
      <c r="F4288" t="n">
        <v>50</v>
      </c>
      <c r="G4288" t="n">
        <v>45</v>
      </c>
      <c r="H4288" t="n">
        <v>45</v>
      </c>
      <c r="I4288">
        <f>B4288&amp;"|"&amp;C4288</f>
        <v/>
      </c>
      <c r="J4288" t="inlineStr">
        <is>
          <t>average</t>
        </is>
      </c>
    </row>
    <row r="4289">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c r="B4291" t="inlineStr">
        <is>
          <t>Regional Shopping Center Shell Buildings</t>
        </is>
      </c>
      <c r="C4291" t="inlineStr">
        <is>
          <t>Average</t>
        </is>
      </c>
      <c r="F4291" t="n">
        <v>50</v>
      </c>
      <c r="G4291" t="n">
        <v>45</v>
      </c>
      <c r="H4291" t="n">
        <v>45</v>
      </c>
      <c r="I4291">
        <f>B4291&amp;"|"&amp;C4291</f>
        <v/>
      </c>
      <c r="J4291" t="inlineStr">
        <is>
          <t>average</t>
        </is>
      </c>
    </row>
    <row r="4292">
      <c r="B4292" t="inlineStr">
        <is>
          <t>Community Shopping Center Shell Buildings</t>
        </is>
      </c>
      <c r="C4292" t="inlineStr">
        <is>
          <t>Excellent</t>
        </is>
      </c>
      <c r="F4292" t="n">
        <v>50</v>
      </c>
      <c r="G4292" t="n">
        <v>45</v>
      </c>
      <c r="H4292" t="n">
        <v>45</v>
      </c>
      <c r="I4292">
        <f>B4292&amp;"|"&amp;C4292</f>
        <v/>
      </c>
      <c r="J4292" t="inlineStr">
        <is>
          <t>community, good and excellent</t>
        </is>
      </c>
    </row>
    <row r="4293">
      <c r="B4293" t="inlineStr">
        <is>
          <t>Community Shopping Center Shell Buildings</t>
        </is>
      </c>
      <c r="C4293" t="inlineStr">
        <is>
          <t>Good</t>
        </is>
      </c>
      <c r="F4293" t="n">
        <v>50</v>
      </c>
      <c r="G4293" t="n">
        <v>45</v>
      </c>
      <c r="H4293" t="n">
        <v>45</v>
      </c>
      <c r="I4293">
        <f>B4293&amp;"|"&amp;C4293</f>
        <v/>
      </c>
      <c r="J4293" t="inlineStr">
        <is>
          <t>community, good and excellent</t>
        </is>
      </c>
    </row>
    <row r="4294">
      <c r="B4294" t="inlineStr">
        <is>
          <t>Community Shopping Center Shell Buildings</t>
        </is>
      </c>
      <c r="C4294" t="inlineStr">
        <is>
          <t>Average</t>
        </is>
      </c>
      <c r="F4294" t="n">
        <v>45</v>
      </c>
      <c r="G4294" t="n">
        <v>40</v>
      </c>
      <c r="H4294" t="n">
        <v>40</v>
      </c>
      <c r="I4294">
        <f>B4294&amp;"|"&amp;C4294</f>
        <v/>
      </c>
      <c r="J4294" t="inlineStr">
        <is>
          <t>average</t>
        </is>
      </c>
    </row>
    <row r="4295">
      <c r="B4295" t="inlineStr">
        <is>
          <t>Neighborhood Shopping Center Shell Buildings</t>
        </is>
      </c>
      <c r="C4295" t="inlineStr">
        <is>
          <t>Good</t>
        </is>
      </c>
      <c r="F4295" t="n">
        <v>45</v>
      </c>
      <c r="G4295" t="n">
        <v>40</v>
      </c>
      <c r="I4295">
        <f>B4295&amp;"|"&amp;C4295</f>
        <v/>
      </c>
      <c r="J4295" t="inlineStr">
        <is>
          <t>Shopping centers, neighborhood, good</t>
        </is>
      </c>
    </row>
    <row r="4296">
      <c r="B4296" t="inlineStr">
        <is>
          <t>Neighborhood Shopping Center Shell Buildings</t>
        </is>
      </c>
      <c r="C4296" t="inlineStr">
        <is>
          <t>Average</t>
        </is>
      </c>
      <c r="F4296" t="n">
        <v>40</v>
      </c>
      <c r="G4296" t="n">
        <v>35</v>
      </c>
      <c r="H4296" t="n">
        <v>35</v>
      </c>
      <c r="I4296">
        <f>B4296&amp;"|"&amp;C4296</f>
        <v/>
      </c>
      <c r="J4296" t="inlineStr">
        <is>
          <t>average</t>
        </is>
      </c>
    </row>
    <row r="4297">
      <c r="B4297" t="inlineStr">
        <is>
          <t>Neighborhood Shopping Center Shell Buildings</t>
        </is>
      </c>
      <c r="C4297" t="inlineStr">
        <is>
          <t>Low Cost</t>
        </is>
      </c>
      <c r="F4297" t="n">
        <v>35</v>
      </c>
      <c r="G4297" t="n">
        <v>30</v>
      </c>
      <c r="H4297" t="n">
        <v>30</v>
      </c>
      <c r="I4297">
        <f>B4297&amp;"|"&amp;C4297</f>
        <v/>
      </c>
      <c r="J4297" t="inlineStr">
        <is>
          <t>low cost</t>
        </is>
      </c>
    </row>
    <row r="4298">
      <c r="B4298" t="inlineStr">
        <is>
          <t>Neighborhood Shopping Center Shell Buildings</t>
        </is>
      </c>
      <c r="C4298" t="inlineStr">
        <is>
          <t>Cheap</t>
        </is>
      </c>
      <c r="F4298" t="n">
        <v>35</v>
      </c>
      <c r="G4298" t="n">
        <v>30</v>
      </c>
      <c r="H4298" t="n">
        <v>30</v>
      </c>
      <c r="I4298">
        <f>B4298&amp;"|"&amp;C4298</f>
        <v/>
      </c>
      <c r="J4298" t="inlineStr">
        <is>
          <t>low cost</t>
        </is>
      </c>
    </row>
    <row r="4299">
      <c r="B4299" t="inlineStr">
        <is>
          <t>Lofts</t>
        </is>
      </c>
      <c r="C4299" t="inlineStr">
        <is>
          <t>Excellent</t>
        </is>
      </c>
      <c r="D4299" t="n">
        <v>60</v>
      </c>
      <c r="E4299" t="n">
        <v>60</v>
      </c>
      <c r="I4299">
        <f>B4299&amp;"|"&amp;C4299</f>
        <v/>
      </c>
      <c r="J4299" t="inlineStr">
        <is>
          <t>Lofts, excellent</t>
        </is>
      </c>
    </row>
    <row r="4300">
      <c r="B4300" t="inlineStr">
        <is>
          <t>Lofts</t>
        </is>
      </c>
      <c r="C4300" t="inlineStr">
        <is>
          <t>Good</t>
        </is>
      </c>
      <c r="D4300" t="n">
        <v>55</v>
      </c>
      <c r="E4300" t="n">
        <v>55</v>
      </c>
      <c r="F4300" t="n">
        <v>50</v>
      </c>
      <c r="G4300" t="n">
        <v>40</v>
      </c>
      <c r="H4300" t="n">
        <v>40</v>
      </c>
      <c r="I4300">
        <f>B4300&amp;"|"&amp;C4300</f>
        <v/>
      </c>
      <c r="J4300" t="inlineStr">
        <is>
          <t>average and good</t>
        </is>
      </c>
    </row>
    <row r="4301">
      <c r="B4301" t="inlineStr">
        <is>
          <t>Lofts</t>
        </is>
      </c>
      <c r="C4301" t="inlineStr">
        <is>
          <t>Average</t>
        </is>
      </c>
      <c r="D4301" t="n">
        <v>55</v>
      </c>
      <c r="E4301" t="n">
        <v>55</v>
      </c>
      <c r="F4301" t="n">
        <v>50</v>
      </c>
      <c r="G4301" t="n">
        <v>40</v>
      </c>
      <c r="H4301" t="n">
        <v>40</v>
      </c>
      <c r="I4301">
        <f>B4301&amp;"|"&amp;C4301</f>
        <v/>
      </c>
      <c r="J4301" t="inlineStr">
        <is>
          <t>average and good</t>
        </is>
      </c>
    </row>
    <row r="4302">
      <c r="B4302" t="inlineStr">
        <is>
          <t>Lofts</t>
        </is>
      </c>
      <c r="C4302" t="inlineStr">
        <is>
          <t>Low Cost</t>
        </is>
      </c>
      <c r="D4302" t="n">
        <v>50</v>
      </c>
      <c r="E4302" t="n">
        <v>50</v>
      </c>
      <c r="F4302" t="n">
        <v>40</v>
      </c>
      <c r="G4302" t="n">
        <v>35</v>
      </c>
      <c r="I4302">
        <f>B4302&amp;"|"&amp;C4302</f>
        <v/>
      </c>
      <c r="J4302" t="inlineStr">
        <is>
          <t>low cost</t>
        </is>
      </c>
    </row>
    <row r="4303">
      <c r="B4303" t="inlineStr">
        <is>
          <t>Industrial Flex (Mall) Buildings</t>
        </is>
      </c>
      <c r="C4303" t="inlineStr">
        <is>
          <t>Good</t>
        </is>
      </c>
      <c r="F4303" t="n">
        <v>50</v>
      </c>
      <c r="G4303" t="n">
        <v>40</v>
      </c>
      <c r="H4303" t="n">
        <v>40</v>
      </c>
      <c r="I4303">
        <f>B4303&amp;"|"&amp;C4303</f>
        <v/>
      </c>
      <c r="J4303" t="inlineStr">
        <is>
          <t>Industrial flex-mall buildings, average and good</t>
        </is>
      </c>
    </row>
    <row r="4304">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c r="B4305" t="inlineStr">
        <is>
          <t>Industrial Flex (Mall) Buildings</t>
        </is>
      </c>
      <c r="C4305" t="inlineStr">
        <is>
          <t>Low Cost</t>
        </is>
      </c>
      <c r="F4305" t="n">
        <v>40</v>
      </c>
      <c r="G4305" t="n">
        <v>35</v>
      </c>
      <c r="H4305" t="n">
        <v>35</v>
      </c>
      <c r="I4305">
        <f>B4305&amp;"|"&amp;C4305</f>
        <v/>
      </c>
      <c r="J4305" t="inlineStr">
        <is>
          <t>low cost</t>
        </is>
      </c>
    </row>
    <row r="4306">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c r="B4326" t="inlineStr">
        <is>
          <t>Broadcasting Facilities</t>
        </is>
      </c>
      <c r="C4326" t="inlineStr">
        <is>
          <t>Average</t>
        </is>
      </c>
      <c r="D4326" t="n">
        <v>50</v>
      </c>
      <c r="E4326" t="n">
        <v>50</v>
      </c>
      <c r="F4326" t="n">
        <v>45</v>
      </c>
      <c r="G4326" t="n">
        <v>40</v>
      </c>
      <c r="H4326" t="n">
        <v>40</v>
      </c>
      <c r="I4326">
        <f>B4326&amp;"|"&amp;C4326</f>
        <v/>
      </c>
      <c r="J4326" t="inlineStr">
        <is>
          <t>average</t>
        </is>
      </c>
    </row>
    <row r="4327">
      <c r="B4327" t="inlineStr">
        <is>
          <t>Broadcasting Facilities</t>
        </is>
      </c>
      <c r="C4327" t="inlineStr">
        <is>
          <t>Low Cost</t>
        </is>
      </c>
      <c r="D4327" t="n">
        <v>45</v>
      </c>
      <c r="E4327" t="n">
        <v>45</v>
      </c>
      <c r="F4327" t="n">
        <v>40</v>
      </c>
      <c r="G4327" t="n">
        <v>35</v>
      </c>
      <c r="H4327" t="n">
        <v>35</v>
      </c>
      <c r="I4327">
        <f>B4327&amp;"|"&amp;C4327</f>
        <v/>
      </c>
      <c r="J4327" t="inlineStr">
        <is>
          <t>low cost</t>
        </is>
      </c>
    </row>
    <row r="4328">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c r="B4330" t="inlineStr">
        <is>
          <t>Passenger Terminals</t>
        </is>
      </c>
      <c r="C4330" t="inlineStr">
        <is>
          <t>Good</t>
        </is>
      </c>
      <c r="D4330" t="n">
        <v>40</v>
      </c>
      <c r="E4330" t="n">
        <v>40</v>
      </c>
      <c r="F4330" t="n">
        <v>35</v>
      </c>
      <c r="G4330" t="n">
        <v>35</v>
      </c>
      <c r="H4330" t="n">
        <v>35</v>
      </c>
      <c r="I4330">
        <f>B4330&amp;"|"&amp;C4330</f>
        <v/>
      </c>
      <c r="J4330" t="inlineStr">
        <is>
          <t>average and good</t>
        </is>
      </c>
    </row>
    <row r="4331">
      <c r="B4331" t="inlineStr">
        <is>
          <t>Passenger Terminals</t>
        </is>
      </c>
      <c r="C4331" t="inlineStr">
        <is>
          <t>Average</t>
        </is>
      </c>
      <c r="D4331" t="n">
        <v>40</v>
      </c>
      <c r="E4331" t="n">
        <v>40</v>
      </c>
      <c r="F4331" t="n">
        <v>35</v>
      </c>
      <c r="G4331" t="n">
        <v>35</v>
      </c>
      <c r="H4331" t="n">
        <v>35</v>
      </c>
      <c r="I4331">
        <f>B4331&amp;"|"&amp;C4331</f>
        <v/>
      </c>
      <c r="J4331" t="inlineStr">
        <is>
          <t>average and good</t>
        </is>
      </c>
    </row>
    <row r="4332">
      <c r="B4332" t="inlineStr">
        <is>
          <t>Passenger Terminals</t>
        </is>
      </c>
      <c r="C4332" t="inlineStr">
        <is>
          <t>Low Cost</t>
        </is>
      </c>
      <c r="D4332" t="n">
        <v>35</v>
      </c>
      <c r="E4332" t="n">
        <v>35</v>
      </c>
      <c r="F4332" t="n">
        <v>30</v>
      </c>
      <c r="G4332" t="n">
        <v>30</v>
      </c>
      <c r="H4332" t="n">
        <v>30</v>
      </c>
      <c r="I4332">
        <f>B4332&amp;"|"&amp;C4332</f>
        <v/>
      </c>
      <c r="J4332" t="inlineStr">
        <is>
          <t>low cost and fair</t>
        </is>
      </c>
    </row>
    <row r="4333">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c r="B4334" t="inlineStr">
        <is>
          <t>Passenger Terminals</t>
        </is>
      </c>
      <c r="C4334" t="inlineStr">
        <is>
          <t>Fair</t>
        </is>
      </c>
      <c r="D4334" t="n">
        <v>35</v>
      </c>
      <c r="E4334" t="n">
        <v>35</v>
      </c>
      <c r="F4334" t="n">
        <v>30</v>
      </c>
      <c r="G4334" t="n">
        <v>30</v>
      </c>
      <c r="H4334" t="n">
        <v>30</v>
      </c>
      <c r="I4334">
        <f>B4334&amp;"|"&amp;C4334</f>
        <v/>
      </c>
      <c r="J4334" t="inlineStr">
        <is>
          <t>low cost and fair</t>
        </is>
      </c>
    </row>
    <row r="433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c r="B4336" t="inlineStr">
        <is>
          <t>Main Post Offices</t>
        </is>
      </c>
      <c r="C4336" t="inlineStr">
        <is>
          <t>Average</t>
        </is>
      </c>
      <c r="D4336" t="n">
        <v>55</v>
      </c>
      <c r="E4336" t="n">
        <v>55</v>
      </c>
      <c r="F4336" t="n">
        <v>50</v>
      </c>
      <c r="G4336" t="n">
        <v>45</v>
      </c>
      <c r="H4336" t="n">
        <v>45</v>
      </c>
      <c r="I4336">
        <f>B4336&amp;"|"&amp;C4336</f>
        <v/>
      </c>
      <c r="J4336" t="inlineStr">
        <is>
          <t>low cost and average</t>
        </is>
      </c>
    </row>
    <row r="4337">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c r="B4339" t="inlineStr">
        <is>
          <t>Mail - Processing Facilities</t>
        </is>
      </c>
      <c r="C4339" t="inlineStr">
        <is>
          <t>Average</t>
        </is>
      </c>
      <c r="D4339" t="n">
        <v>50</v>
      </c>
      <c r="E4339" t="n">
        <v>50</v>
      </c>
      <c r="F4339" t="n">
        <v>45</v>
      </c>
      <c r="H4339" t="n">
        <v>40</v>
      </c>
      <c r="I4339">
        <f>B4339&amp;"|"&amp;C4339</f>
        <v/>
      </c>
      <c r="J4339" t="inlineStr">
        <is>
          <t>average</t>
        </is>
      </c>
    </row>
    <row r="4340">
      <c r="B4340" t="inlineStr">
        <is>
          <t>Mail - Processing Facilities</t>
        </is>
      </c>
      <c r="C4340" t="inlineStr">
        <is>
          <t>Good</t>
        </is>
      </c>
      <c r="F4340" t="n">
        <v>50</v>
      </c>
      <c r="H4340" t="n">
        <v>45</v>
      </c>
      <c r="I4340">
        <f>B4340&amp;"|"&amp;C4340</f>
        <v/>
      </c>
      <c r="J4340" t="inlineStr">
        <is>
          <t>mail processing facilities, good</t>
        </is>
      </c>
    </row>
    <row r="4341">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c r="B4345" t="inlineStr">
        <is>
          <t>Armories</t>
        </is>
      </c>
      <c r="C4345" t="inlineStr">
        <is>
          <t>Excellent</t>
        </is>
      </c>
      <c r="F4345" t="n">
        <v>55</v>
      </c>
      <c r="G4345" t="n">
        <v>50</v>
      </c>
      <c r="I4345">
        <f>B4345&amp;"|"&amp;C4345</f>
        <v/>
      </c>
      <c r="J4345" t="inlineStr">
        <is>
          <t>Armories, good and excellent</t>
        </is>
      </c>
    </row>
    <row r="4346">
      <c r="B4346" t="inlineStr">
        <is>
          <t>Armories</t>
        </is>
      </c>
      <c r="C4346" t="inlineStr">
        <is>
          <t>Good</t>
        </is>
      </c>
      <c r="F4346" t="n">
        <v>55</v>
      </c>
      <c r="G4346" t="n">
        <v>50</v>
      </c>
      <c r="I4346">
        <f>B4346&amp;"|"&amp;C4346</f>
        <v/>
      </c>
      <c r="J4346" t="inlineStr">
        <is>
          <t>Armories, good and excellent</t>
        </is>
      </c>
    </row>
    <row r="4347">
      <c r="B4347" t="inlineStr">
        <is>
          <t>Armories</t>
        </is>
      </c>
      <c r="C4347" t="inlineStr">
        <is>
          <t>Average</t>
        </is>
      </c>
      <c r="F4347" t="n">
        <v>50</v>
      </c>
      <c r="G4347" t="n">
        <v>40</v>
      </c>
      <c r="H4347" t="n">
        <v>40</v>
      </c>
      <c r="I4347">
        <f>B4347&amp;"|"&amp;C4347</f>
        <v/>
      </c>
      <c r="J4347" t="inlineStr">
        <is>
          <t>average</t>
        </is>
      </c>
    </row>
    <row r="4348">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c r="B4349" t="inlineStr">
        <is>
          <t>Distribution Warehouses</t>
        </is>
      </c>
      <c r="C4349" t="inlineStr">
        <is>
          <t>Average</t>
        </is>
      </c>
      <c r="D4349" t="n">
        <v>50</v>
      </c>
      <c r="E4349" t="n">
        <v>50</v>
      </c>
      <c r="F4349" t="n">
        <v>45</v>
      </c>
      <c r="G4349" t="n">
        <v>40</v>
      </c>
      <c r="H4349" t="n">
        <v>40</v>
      </c>
      <c r="I4349">
        <f>B4349&amp;"|"&amp;C4349</f>
        <v/>
      </c>
      <c r="J4349" t="inlineStr">
        <is>
          <t>average</t>
        </is>
      </c>
    </row>
    <row r="4350">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c r="B4351" t="inlineStr">
        <is>
          <t>Distribution Warehouses</t>
        </is>
      </c>
      <c r="C4351" t="inlineStr">
        <is>
          <t>Low Cost</t>
        </is>
      </c>
      <c r="F4351" t="n">
        <v>40</v>
      </c>
      <c r="G4351" t="n">
        <v>35</v>
      </c>
      <c r="H4351" t="n">
        <v>35</v>
      </c>
      <c r="I4351">
        <f>B4351&amp;"|"&amp;C4351</f>
        <v/>
      </c>
      <c r="J4351" t="inlineStr">
        <is>
          <t>low cost</t>
        </is>
      </c>
    </row>
    <row r="4352">
      <c r="B4352" t="inlineStr">
        <is>
          <t>Transit Warehouses</t>
        </is>
      </c>
      <c r="C4352" t="inlineStr">
        <is>
          <t>Good</t>
        </is>
      </c>
      <c r="F4352" t="n">
        <v>45</v>
      </c>
      <c r="G4352" t="n">
        <v>40</v>
      </c>
      <c r="H4352" t="n">
        <v>40</v>
      </c>
      <c r="I4352">
        <f>B4352&amp;"|"&amp;C4352</f>
        <v/>
      </c>
      <c r="J4352" t="inlineStr">
        <is>
          <t>Transit warehouses, average and good</t>
        </is>
      </c>
    </row>
    <row r="4353">
      <c r="B4353" t="inlineStr">
        <is>
          <t>Transit Warehouses</t>
        </is>
      </c>
      <c r="C4353" t="inlineStr">
        <is>
          <t>Average</t>
        </is>
      </c>
      <c r="F4353" t="n">
        <v>45</v>
      </c>
      <c r="G4353" t="n">
        <v>40</v>
      </c>
      <c r="H4353" t="n">
        <v>40</v>
      </c>
      <c r="I4353">
        <f>B4353&amp;"|"&amp;C4353</f>
        <v/>
      </c>
      <c r="J4353" t="inlineStr">
        <is>
          <t>Transit warehouses, average and good</t>
        </is>
      </c>
    </row>
    <row r="4354">
      <c r="B4354" t="inlineStr">
        <is>
          <t>Cold Storage Facilities</t>
        </is>
      </c>
      <c r="C4354" t="inlineStr">
        <is>
          <t>Good</t>
        </is>
      </c>
      <c r="D4354" t="n">
        <v>50</v>
      </c>
      <c r="E4354" t="n">
        <v>50</v>
      </c>
      <c r="F4354" t="n">
        <v>45</v>
      </c>
      <c r="G4354" t="n">
        <v>40</v>
      </c>
      <c r="H4354" t="n">
        <v>40</v>
      </c>
      <c r="I4354">
        <f>B4354&amp;"|"&amp;C4354</f>
        <v/>
      </c>
      <c r="J4354" t="inlineStr">
        <is>
          <t>average and good</t>
        </is>
      </c>
    </row>
    <row r="435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c r="B4356" t="inlineStr">
        <is>
          <t>Cold Storage Facilities</t>
        </is>
      </c>
      <c r="C4356" t="inlineStr">
        <is>
          <t>Excellent</t>
        </is>
      </c>
      <c r="F4356" t="n">
        <v>50</v>
      </c>
      <c r="H4356" t="n">
        <v>45</v>
      </c>
      <c r="I4356">
        <f>B4356&amp;"|"&amp;C4356</f>
        <v/>
      </c>
      <c r="J4356" t="inlineStr">
        <is>
          <t>Cold storage facilities, excellent</t>
        </is>
      </c>
    </row>
    <row r="4357">
      <c r="B4357" t="inlineStr">
        <is>
          <t>Cold Storage Facilities</t>
        </is>
      </c>
      <c r="C4357" t="inlineStr">
        <is>
          <t>Fair</t>
        </is>
      </c>
      <c r="F4357" t="n">
        <v>40</v>
      </c>
      <c r="G4357" t="n">
        <v>35</v>
      </c>
      <c r="H4357" t="n">
        <v>35</v>
      </c>
      <c r="I4357">
        <f>B4357&amp;"|"&amp;C4357</f>
        <v/>
      </c>
      <c r="J4357" t="inlineStr">
        <is>
          <t>low cost and fair</t>
        </is>
      </c>
    </row>
    <row r="4358">
      <c r="B4358" t="inlineStr">
        <is>
          <t>Cold Storage Facilities</t>
        </is>
      </c>
      <c r="C4358" t="inlineStr">
        <is>
          <t>Low Cost</t>
        </is>
      </c>
      <c r="F4358" t="n">
        <v>40</v>
      </c>
      <c r="G4358" t="n">
        <v>35</v>
      </c>
      <c r="H4358" t="n">
        <v>35</v>
      </c>
      <c r="I4358">
        <f>B4358&amp;"|"&amp;C4358</f>
        <v/>
      </c>
      <c r="J4358" t="inlineStr">
        <is>
          <t>low cost and fair</t>
        </is>
      </c>
    </row>
    <row r="4359">
      <c r="B4359" t="inlineStr">
        <is>
          <t>Creameries</t>
        </is>
      </c>
      <c r="C4359" t="inlineStr">
        <is>
          <t>Average</t>
        </is>
      </c>
      <c r="D4359" t="n">
        <v>45</v>
      </c>
      <c r="E4359" t="n">
        <v>45</v>
      </c>
      <c r="F4359" t="n">
        <v>35</v>
      </c>
      <c r="G4359" t="n">
        <v>30</v>
      </c>
      <c r="H4359" t="n">
        <v>30</v>
      </c>
      <c r="I4359">
        <f>B4359&amp;"|"&amp;C4359</f>
        <v/>
      </c>
      <c r="J4359" t="inlineStr">
        <is>
          <t>average</t>
        </is>
      </c>
    </row>
    <row r="4360">
      <c r="B4360" t="inlineStr">
        <is>
          <t>Creameries</t>
        </is>
      </c>
      <c r="C4360" t="inlineStr">
        <is>
          <t>Good</t>
        </is>
      </c>
      <c r="F4360" t="n">
        <v>45</v>
      </c>
      <c r="G4360" t="n">
        <v>45</v>
      </c>
      <c r="H4360" t="n">
        <v>45</v>
      </c>
      <c r="I4360">
        <f>B4360&amp;"|"&amp;C4360</f>
        <v/>
      </c>
      <c r="J4360" t="inlineStr">
        <is>
          <t>Creameries, good</t>
        </is>
      </c>
    </row>
    <row r="4361">
      <c r="B4361" t="inlineStr">
        <is>
          <t>Creameries</t>
        </is>
      </c>
      <c r="C4361" t="inlineStr">
        <is>
          <t>Low Cost</t>
        </is>
      </c>
      <c r="F4361" t="n">
        <v>25</v>
      </c>
      <c r="G4361" t="n">
        <v>20</v>
      </c>
      <c r="H4361" t="n">
        <v>20</v>
      </c>
      <c r="I4361">
        <f>B4361&amp;"|"&amp;C4361</f>
        <v/>
      </c>
      <c r="J4361" t="inlineStr">
        <is>
          <t>low cost</t>
        </is>
      </c>
    </row>
    <row r="4362">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c r="B4366" t="inlineStr">
        <is>
          <t>Storage Warehouses</t>
        </is>
      </c>
      <c r="C4366" t="inlineStr">
        <is>
          <t>Good</t>
        </is>
      </c>
      <c r="D4366" t="n">
        <v>50</v>
      </c>
      <c r="E4366" t="n">
        <v>50</v>
      </c>
      <c r="F4366" t="n">
        <v>45</v>
      </c>
      <c r="G4366" t="n">
        <v>40</v>
      </c>
      <c r="H4366" t="n">
        <v>40</v>
      </c>
      <c r="I4366">
        <f>B4366&amp;"|"&amp;C4366</f>
        <v/>
      </c>
      <c r="J4366" t="inlineStr">
        <is>
          <t>average and good</t>
        </is>
      </c>
    </row>
    <row r="4367">
      <c r="B4367" t="inlineStr">
        <is>
          <t>Storage Warehouses</t>
        </is>
      </c>
      <c r="C4367" t="inlineStr">
        <is>
          <t>Average</t>
        </is>
      </c>
      <c r="D4367" t="n">
        <v>50</v>
      </c>
      <c r="E4367" t="n">
        <v>50</v>
      </c>
      <c r="F4367" t="n">
        <v>45</v>
      </c>
      <c r="G4367" t="n">
        <v>40</v>
      </c>
      <c r="H4367" t="n">
        <v>40</v>
      </c>
      <c r="I4367">
        <f>B4367&amp;"|"&amp;C4367</f>
        <v/>
      </c>
      <c r="J4367" t="inlineStr">
        <is>
          <t>average and good</t>
        </is>
      </c>
    </row>
    <row r="4368">
      <c r="B4368" t="inlineStr">
        <is>
          <t>Storage Warehouses</t>
        </is>
      </c>
      <c r="C4368" t="inlineStr">
        <is>
          <t>Low Cost</t>
        </is>
      </c>
      <c r="D4368" t="n">
        <v>45</v>
      </c>
      <c r="E4368" t="n">
        <v>45</v>
      </c>
      <c r="F4368" t="n">
        <v>40</v>
      </c>
      <c r="G4368" t="n">
        <v>35</v>
      </c>
      <c r="H4368" t="n">
        <v>35</v>
      </c>
      <c r="I4368">
        <f>B4368&amp;"|"&amp;C4368</f>
        <v/>
      </c>
      <c r="J4368" t="inlineStr">
        <is>
          <t>cheap and low cost</t>
        </is>
      </c>
    </row>
    <row r="4369">
      <c r="B4369" t="inlineStr">
        <is>
          <t>Storage Warehouses</t>
        </is>
      </c>
      <c r="C4369" t="inlineStr">
        <is>
          <t>Excellent</t>
        </is>
      </c>
      <c r="F4369" t="n">
        <v>50</v>
      </c>
      <c r="H4369" t="n">
        <v>45</v>
      </c>
      <c r="I4369">
        <f>B4369&amp;"|"&amp;C4369</f>
        <v/>
      </c>
      <c r="J4369" t="inlineStr">
        <is>
          <t>Storage and mega storage, excellent</t>
        </is>
      </c>
    </row>
    <row r="4370">
      <c r="B4370" t="inlineStr">
        <is>
          <t>Mini-Warehouses / Self-Storage</t>
        </is>
      </c>
      <c r="C4370" t="inlineStr">
        <is>
          <t>Good</t>
        </is>
      </c>
      <c r="F4370" t="n">
        <v>45</v>
      </c>
      <c r="G4370" t="n">
        <v>40</v>
      </c>
      <c r="H4370" t="n">
        <v>40</v>
      </c>
      <c r="I4370">
        <f>B4370&amp;"|"&amp;C4370</f>
        <v/>
      </c>
      <c r="J4370" t="inlineStr">
        <is>
          <t>Mini-warehouses, low and high rise, good</t>
        </is>
      </c>
    </row>
    <row r="4371">
      <c r="B4371" t="inlineStr">
        <is>
          <t>Mini-Warehouses / Self-Storage</t>
        </is>
      </c>
      <c r="C4371" t="inlineStr">
        <is>
          <t>Average</t>
        </is>
      </c>
      <c r="D4371" t="n">
        <v>45</v>
      </c>
      <c r="E4371" t="n">
        <v>45</v>
      </c>
      <c r="F4371" t="n">
        <v>40</v>
      </c>
      <c r="G4371" t="n">
        <v>35</v>
      </c>
      <c r="H4371" t="n">
        <v>35</v>
      </c>
      <c r="I4371">
        <f>B4371&amp;"|"&amp;C4371</f>
        <v/>
      </c>
      <c r="J4371" t="inlineStr">
        <is>
          <t>average</t>
        </is>
      </c>
    </row>
    <row r="4372">
      <c r="B4372" t="inlineStr">
        <is>
          <t>Mini-Warehouses / Self-Storage</t>
        </is>
      </c>
      <c r="C4372" t="inlineStr">
        <is>
          <t>Low Cost</t>
        </is>
      </c>
      <c r="F4372" t="n">
        <v>35</v>
      </c>
      <c r="G4372" t="n">
        <v>30</v>
      </c>
      <c r="H4372" t="n">
        <v>30</v>
      </c>
      <c r="I4372">
        <f>B4372&amp;"|"&amp;C4372</f>
        <v/>
      </c>
      <c r="J4372" t="inlineStr">
        <is>
          <t>low cost</t>
        </is>
      </c>
    </row>
    <row r="4373">
      <c r="B4373" t="inlineStr">
        <is>
          <t>Mini-Warehouses / Self-Storage</t>
        </is>
      </c>
      <c r="C4373" t="inlineStr">
        <is>
          <t>Cheap</t>
        </is>
      </c>
      <c r="F4373" t="n">
        <v>35</v>
      </c>
      <c r="G4373" t="n">
        <v>30</v>
      </c>
      <c r="H4373" t="n">
        <v>30</v>
      </c>
      <c r="I4373">
        <f>B4373&amp;"|"&amp;C4373</f>
        <v/>
      </c>
      <c r="J4373" t="inlineStr">
        <is>
          <t>low cost</t>
        </is>
      </c>
    </row>
    <row r="4374">
      <c r="B4374" t="inlineStr">
        <is>
          <t>Mini-Warehouses, High-Rise</t>
        </is>
      </c>
      <c r="C4374" t="inlineStr">
        <is>
          <t>Average</t>
        </is>
      </c>
      <c r="D4374" t="n">
        <v>45</v>
      </c>
      <c r="E4374" t="n">
        <v>45</v>
      </c>
      <c r="F4374" t="n">
        <v>40</v>
      </c>
      <c r="G4374" t="n">
        <v>35</v>
      </c>
      <c r="H4374" t="n">
        <v>35</v>
      </c>
      <c r="I4374">
        <f>B4374&amp;"|"&amp;C4374</f>
        <v/>
      </c>
      <c r="J4374" t="inlineStr">
        <is>
          <t>average</t>
        </is>
      </c>
    </row>
    <row r="4375">
      <c r="B4375" t="inlineStr">
        <is>
          <t>Mini-Warehouses, High-Rise</t>
        </is>
      </c>
      <c r="C4375" t="inlineStr">
        <is>
          <t>Good</t>
        </is>
      </c>
      <c r="F4375" t="n">
        <v>45</v>
      </c>
      <c r="G4375" t="n">
        <v>40</v>
      </c>
      <c r="H4375" t="n">
        <v>40</v>
      </c>
      <c r="I4375">
        <f>B4375&amp;"|"&amp;C4375</f>
        <v/>
      </c>
      <c r="J4375" t="inlineStr">
        <is>
          <t>Mini-warehouses, low and high rise, good</t>
        </is>
      </c>
    </row>
    <row r="4376">
      <c r="B4376" t="inlineStr">
        <is>
          <t>Maintenance Hangars</t>
        </is>
      </c>
      <c r="C4376" t="inlineStr">
        <is>
          <t>Excellent</t>
        </is>
      </c>
      <c r="F4376" t="n">
        <v>45</v>
      </c>
      <c r="H4376" t="n">
        <v>40</v>
      </c>
      <c r="I4376">
        <f>B4376&amp;"|"&amp;C4376</f>
        <v/>
      </c>
      <c r="J4376" t="inlineStr">
        <is>
          <t>Hangars, maintenance, excellent</t>
        </is>
      </c>
    </row>
    <row r="4377">
      <c r="B4377" t="inlineStr">
        <is>
          <t>Maintenance Hangars</t>
        </is>
      </c>
      <c r="C4377" t="inlineStr">
        <is>
          <t>Good</t>
        </is>
      </c>
      <c r="F4377" t="n">
        <v>40</v>
      </c>
      <c r="H4377" t="n">
        <v>40</v>
      </c>
      <c r="I4377">
        <f>B4377&amp;"|"&amp;C4377</f>
        <v/>
      </c>
      <c r="J4377" t="inlineStr">
        <is>
          <t>good</t>
        </is>
      </c>
    </row>
    <row r="4378">
      <c r="B4378" t="inlineStr">
        <is>
          <t>Maintenance Hangars</t>
        </is>
      </c>
      <c r="C4378" t="inlineStr">
        <is>
          <t>Average</t>
        </is>
      </c>
      <c r="F4378" t="n">
        <v>40</v>
      </c>
      <c r="G4378" t="n">
        <v>35</v>
      </c>
      <c r="H4378" t="n">
        <v>35</v>
      </c>
      <c r="I4378">
        <f>B4378&amp;"|"&amp;C4378</f>
        <v/>
      </c>
      <c r="J4378" t="inlineStr">
        <is>
          <t>average</t>
        </is>
      </c>
    </row>
    <row r="4379">
      <c r="B4379" t="inlineStr">
        <is>
          <t>Maintenance Hangars</t>
        </is>
      </c>
      <c r="C4379" t="inlineStr">
        <is>
          <t>Low Cost</t>
        </is>
      </c>
      <c r="F4379" t="n">
        <v>35</v>
      </c>
      <c r="G4379" t="n">
        <v>30</v>
      </c>
      <c r="H4379" t="n">
        <v>30</v>
      </c>
      <c r="I4379">
        <f>B4379&amp;"|"&amp;C4379</f>
        <v/>
      </c>
      <c r="J4379" t="inlineStr">
        <is>
          <t>low cost</t>
        </is>
      </c>
    </row>
    <row r="4380">
      <c r="B4380" t="inlineStr">
        <is>
          <t>Storage Hangars</t>
        </is>
      </c>
      <c r="C4380" t="inlineStr">
        <is>
          <t>Excellent</t>
        </is>
      </c>
      <c r="F4380" t="n">
        <v>40</v>
      </c>
      <c r="H4380" t="n">
        <v>40</v>
      </c>
      <c r="I4380">
        <f>B4380&amp;"|"&amp;C4380</f>
        <v/>
      </c>
      <c r="J4380" t="inlineStr">
        <is>
          <t>Storage, excellent</t>
        </is>
      </c>
    </row>
    <row r="4381">
      <c r="B4381" t="inlineStr">
        <is>
          <t>Storage Hangars</t>
        </is>
      </c>
      <c r="C4381" t="inlineStr">
        <is>
          <t>Good</t>
        </is>
      </c>
      <c r="F4381" t="n">
        <v>40</v>
      </c>
      <c r="H4381" t="n">
        <v>35</v>
      </c>
      <c r="I4381">
        <f>B4381&amp;"|"&amp;C4381</f>
        <v/>
      </c>
      <c r="J4381" t="inlineStr">
        <is>
          <t>good</t>
        </is>
      </c>
    </row>
    <row r="4382">
      <c r="B4382" t="inlineStr">
        <is>
          <t>Storage Hangars</t>
        </is>
      </c>
      <c r="C4382" t="inlineStr">
        <is>
          <t>Average</t>
        </is>
      </c>
      <c r="F4382" t="n">
        <v>35</v>
      </c>
      <c r="G4382" t="n">
        <v>30</v>
      </c>
      <c r="H4382" t="n">
        <v>30</v>
      </c>
      <c r="I4382">
        <f>B4382&amp;"|"&amp;C4382</f>
        <v/>
      </c>
      <c r="J4382" t="inlineStr">
        <is>
          <t>average</t>
        </is>
      </c>
    </row>
    <row r="4383">
      <c r="B4383" t="inlineStr">
        <is>
          <t>Storage Hangars</t>
        </is>
      </c>
      <c r="C4383" t="inlineStr">
        <is>
          <t>Low Cost</t>
        </is>
      </c>
      <c r="F4383" t="n">
        <v>30</v>
      </c>
      <c r="G4383" t="n">
        <v>30</v>
      </c>
      <c r="H4383" t="n">
        <v>30</v>
      </c>
      <c r="I4383">
        <f>B4383&amp;"|"&amp;C4383</f>
        <v/>
      </c>
      <c r="J4383" t="inlineStr">
        <is>
          <t>low cost</t>
        </is>
      </c>
    </row>
    <row r="4384">
      <c r="B4384" t="inlineStr">
        <is>
          <t>Storage Hangars</t>
        </is>
      </c>
      <c r="C4384" t="inlineStr">
        <is>
          <t>Cheap</t>
        </is>
      </c>
      <c r="G4384" t="n">
        <v>20</v>
      </c>
      <c r="H4384" t="n">
        <v>20</v>
      </c>
      <c r="I4384">
        <f>B4384&amp;"|"&amp;C4384</f>
        <v/>
      </c>
      <c r="J4384" t="inlineStr">
        <is>
          <t>cheap</t>
        </is>
      </c>
    </row>
    <row r="4385">
      <c r="B4385" t="inlineStr">
        <is>
          <t>T-Hangars</t>
        </is>
      </c>
      <c r="C4385" t="inlineStr">
        <is>
          <t>Average</t>
        </is>
      </c>
      <c r="F4385" t="n">
        <v>30</v>
      </c>
      <c r="H4385" t="n">
        <v>30</v>
      </c>
      <c r="I4385">
        <f>B4385&amp;"|"&amp;C4385</f>
        <v/>
      </c>
      <c r="J4385" t="inlineStr">
        <is>
          <t>T-hangars, average</t>
        </is>
      </c>
    </row>
    <row r="4386">
      <c r="B4386" t="inlineStr">
        <is>
          <t>T-Hangars</t>
        </is>
      </c>
      <c r="C4386" t="inlineStr">
        <is>
          <t>Low Cost</t>
        </is>
      </c>
      <c r="G4386" t="n">
        <v>20</v>
      </c>
      <c r="H4386" t="n">
        <v>20</v>
      </c>
      <c r="I4386">
        <f>B4386&amp;"|"&amp;C4386</f>
        <v/>
      </c>
      <c r="J4386" t="inlineStr">
        <is>
          <t>low cost</t>
        </is>
      </c>
    </row>
    <row r="4387">
      <c r="B4387" t="inlineStr">
        <is>
          <t>Complete Auto Dealerships</t>
        </is>
      </c>
      <c r="C4387" t="inlineStr">
        <is>
          <t>Average</t>
        </is>
      </c>
      <c r="D4387" t="n">
        <v>45</v>
      </c>
      <c r="E4387" t="n">
        <v>45</v>
      </c>
      <c r="F4387" t="n">
        <v>40</v>
      </c>
      <c r="G4387" t="n">
        <v>35</v>
      </c>
      <c r="H4387" t="n">
        <v>35</v>
      </c>
      <c r="I4387">
        <f>B4387&amp;"|"&amp;C4387</f>
        <v/>
      </c>
      <c r="J4387" t="inlineStr">
        <is>
          <t>average</t>
        </is>
      </c>
    </row>
    <row r="4388">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c r="B4390" t="inlineStr">
        <is>
          <t>Complete Auto Dealerships</t>
        </is>
      </c>
      <c r="C4390" t="inlineStr">
        <is>
          <t>Low Cost</t>
        </is>
      </c>
      <c r="F4390" t="n">
        <v>35</v>
      </c>
      <c r="G4390" t="n">
        <v>30</v>
      </c>
      <c r="H4390" t="n">
        <v>30</v>
      </c>
      <c r="I4390">
        <f>B4390&amp;"|"&amp;C4390</f>
        <v/>
      </c>
      <c r="J4390" t="inlineStr">
        <is>
          <t>low cost</t>
        </is>
      </c>
    </row>
    <row r="4391">
      <c r="B4391" t="inlineStr">
        <is>
          <t>Automotive Service Centers</t>
        </is>
      </c>
      <c r="C4391" t="inlineStr">
        <is>
          <t>Good</t>
        </is>
      </c>
      <c r="F4391" t="n">
        <v>45</v>
      </c>
      <c r="G4391" t="n">
        <v>40</v>
      </c>
      <c r="H4391" t="n">
        <v>40</v>
      </c>
      <c r="I4391">
        <f>B4391&amp;"|"&amp;C4391</f>
        <v/>
      </c>
      <c r="J4391" t="inlineStr">
        <is>
          <t>Automotive service centers, good</t>
        </is>
      </c>
    </row>
    <row r="4392">
      <c r="B4392" t="inlineStr">
        <is>
          <t>Automotive Service Centers</t>
        </is>
      </c>
      <c r="C4392" t="inlineStr">
        <is>
          <t>Average</t>
        </is>
      </c>
      <c r="F4392" t="n">
        <v>40</v>
      </c>
      <c r="G4392" t="n">
        <v>35</v>
      </c>
      <c r="H4392" t="n">
        <v>35</v>
      </c>
      <c r="I4392">
        <f>B4392&amp;"|"&amp;C4392</f>
        <v/>
      </c>
      <c r="J4392" t="inlineStr">
        <is>
          <t>average</t>
        </is>
      </c>
    </row>
    <row r="4393">
      <c r="B4393" t="inlineStr">
        <is>
          <t>Automotive Service Centers</t>
        </is>
      </c>
      <c r="C4393" t="inlineStr">
        <is>
          <t>Low Cost</t>
        </is>
      </c>
      <c r="F4393" t="n">
        <v>35</v>
      </c>
      <c r="G4393" t="n">
        <v>30</v>
      </c>
      <c r="H4393" t="n">
        <v>30</v>
      </c>
      <c r="I4393">
        <f>B4393&amp;"|"&amp;C4393</f>
        <v/>
      </c>
      <c r="J4393" t="inlineStr">
        <is>
          <t>low cost</t>
        </is>
      </c>
    </row>
    <row r="4394">
      <c r="B4394" t="inlineStr">
        <is>
          <t>Showrooms</t>
        </is>
      </c>
      <c r="C4394" t="inlineStr">
        <is>
          <t>Average</t>
        </is>
      </c>
      <c r="D4394" t="n">
        <v>45</v>
      </c>
      <c r="E4394" t="n">
        <v>45</v>
      </c>
      <c r="F4394" t="n">
        <v>40</v>
      </c>
      <c r="G4394" t="n">
        <v>35</v>
      </c>
      <c r="H4394" t="n">
        <v>35</v>
      </c>
      <c r="I4394">
        <f>B4394&amp;"|"&amp;C4394</f>
        <v/>
      </c>
      <c r="J4394" t="inlineStr">
        <is>
          <t>average</t>
        </is>
      </c>
    </row>
    <row r="439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c r="B4396" t="inlineStr">
        <is>
          <t>Showrooms</t>
        </is>
      </c>
      <c r="C4396" t="inlineStr">
        <is>
          <t>Good</t>
        </is>
      </c>
      <c r="D4396" t="n">
        <v>50</v>
      </c>
      <c r="E4396" t="n">
        <v>50</v>
      </c>
      <c r="F4396" t="n">
        <v>45</v>
      </c>
      <c r="G4396" t="n">
        <v>40</v>
      </c>
      <c r="H4396" t="n">
        <v>40</v>
      </c>
      <c r="I4396">
        <f>B4396&amp;"|"&amp;C4396</f>
        <v/>
      </c>
      <c r="J4396" t="inlineStr">
        <is>
          <t>Showrooms, good and excellent</t>
        </is>
      </c>
    </row>
    <row r="4397">
      <c r="B4397" t="inlineStr">
        <is>
          <t>Showrooms</t>
        </is>
      </c>
      <c r="C4397" t="inlineStr">
        <is>
          <t>Low Cost</t>
        </is>
      </c>
      <c r="F4397" t="n">
        <v>35</v>
      </c>
      <c r="G4397" t="n">
        <v>30</v>
      </c>
      <c r="H4397" t="n">
        <v>30</v>
      </c>
      <c r="I4397">
        <f>B4397&amp;"|"&amp;C4397</f>
        <v/>
      </c>
      <c r="J4397" t="inlineStr">
        <is>
          <t>low cost</t>
        </is>
      </c>
    </row>
    <row r="4398">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c r="B4400" t="inlineStr">
        <is>
          <t>Service Garages (Commercial/Repair)</t>
        </is>
      </c>
      <c r="C4400" t="inlineStr">
        <is>
          <t>Good</t>
        </is>
      </c>
      <c r="F4400" t="n">
        <v>40</v>
      </c>
      <c r="G4400" t="n">
        <v>35</v>
      </c>
      <c r="H4400" t="n">
        <v>35</v>
      </c>
      <c r="I4400">
        <f>B4400&amp;"|"&amp;C4400</f>
        <v/>
      </c>
      <c r="J4400" t="inlineStr">
        <is>
          <t>Service and repair garages, good and excellent</t>
        </is>
      </c>
    </row>
    <row r="4401">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c r="B4402" t="inlineStr">
        <is>
          <t>Service Garage Sheds</t>
        </is>
      </c>
      <c r="C4402" t="inlineStr">
        <is>
          <t>Good</t>
        </is>
      </c>
      <c r="F4402" t="n">
        <v>35</v>
      </c>
      <c r="G4402" t="n">
        <v>30</v>
      </c>
      <c r="H4402" t="n">
        <v>30</v>
      </c>
      <c r="I4402">
        <f>B4402&amp;"|"&amp;C4402</f>
        <v/>
      </c>
      <c r="J4402" t="inlineStr">
        <is>
          <t>Service garage sheds, good</t>
        </is>
      </c>
    </row>
    <row r="4403">
      <c r="B4403" t="inlineStr">
        <is>
          <t>Service Garage Sheds</t>
        </is>
      </c>
      <c r="C4403" t="inlineStr">
        <is>
          <t>Average</t>
        </is>
      </c>
      <c r="F4403" t="n">
        <v>30</v>
      </c>
      <c r="G4403" t="n">
        <v>25</v>
      </c>
      <c r="H4403" t="n">
        <v>25</v>
      </c>
      <c r="I4403">
        <f>B4403&amp;"|"&amp;C4403</f>
        <v/>
      </c>
      <c r="J4403" t="inlineStr">
        <is>
          <t>low cost and average</t>
        </is>
      </c>
    </row>
    <row r="4404">
      <c r="B4404" t="inlineStr">
        <is>
          <t>Service Garage Sheds</t>
        </is>
      </c>
      <c r="C4404" t="inlineStr">
        <is>
          <t>Low Cost</t>
        </is>
      </c>
      <c r="F4404" t="n">
        <v>30</v>
      </c>
      <c r="G4404" t="n">
        <v>25</v>
      </c>
      <c r="H4404" t="n">
        <v>25</v>
      </c>
      <c r="I4404">
        <f>B4404&amp;"|"&amp;C4404</f>
        <v/>
      </c>
      <c r="J4404" t="inlineStr">
        <is>
          <t>low cost and average</t>
        </is>
      </c>
    </row>
    <row r="4405">
      <c r="B4405" t="inlineStr">
        <is>
          <t>Municipal Service Garages</t>
        </is>
      </c>
      <c r="C4405" t="inlineStr">
        <is>
          <t>Excellent</t>
        </is>
      </c>
      <c r="F4405" t="n">
        <v>45</v>
      </c>
      <c r="H4405" t="n">
        <v>40</v>
      </c>
      <c r="I4405">
        <f>B4405&amp;"|"&amp;C4405</f>
        <v/>
      </c>
      <c r="J4405" t="inlineStr">
        <is>
          <t>Garages, municipal service, excellent</t>
        </is>
      </c>
    </row>
    <row r="4406">
      <c r="B4406" t="inlineStr">
        <is>
          <t>Municipal Service Garages</t>
        </is>
      </c>
      <c r="C4406" t="inlineStr">
        <is>
          <t>Good</t>
        </is>
      </c>
      <c r="F4406" t="n">
        <v>40</v>
      </c>
      <c r="G4406" t="n">
        <v>35</v>
      </c>
      <c r="H4406" t="n">
        <v>35</v>
      </c>
      <c r="I4406">
        <f>B4406&amp;"|"&amp;C4406</f>
        <v/>
      </c>
      <c r="J4406" t="inlineStr">
        <is>
          <t>average and good</t>
        </is>
      </c>
    </row>
    <row r="4407">
      <c r="B4407" t="inlineStr">
        <is>
          <t>Municipal Service Garages</t>
        </is>
      </c>
      <c r="C4407" t="inlineStr">
        <is>
          <t>Average</t>
        </is>
      </c>
      <c r="F4407" t="n">
        <v>40</v>
      </c>
      <c r="G4407" t="n">
        <v>35</v>
      </c>
      <c r="H4407" t="n">
        <v>35</v>
      </c>
      <c r="I4407">
        <f>B4407&amp;"|"&amp;C4407</f>
        <v/>
      </c>
      <c r="J4407" t="inlineStr">
        <is>
          <t>average and good</t>
        </is>
      </c>
    </row>
    <row r="4408">
      <c r="B4408" t="inlineStr">
        <is>
          <t>Mini-Lube Garages</t>
        </is>
      </c>
      <c r="C4408" t="inlineStr">
        <is>
          <t>Excellent</t>
        </is>
      </c>
      <c r="F4408" t="n">
        <v>40</v>
      </c>
      <c r="G4408" t="n">
        <v>35</v>
      </c>
      <c r="H4408" t="n">
        <v>35</v>
      </c>
      <c r="I4408">
        <f>B4408&amp;"|"&amp;C4408</f>
        <v/>
      </c>
      <c r="J4408" t="inlineStr">
        <is>
          <t>Mini-lube garages, good and excellent</t>
        </is>
      </c>
    </row>
    <row r="4409">
      <c r="B4409" t="inlineStr">
        <is>
          <t>Mini-Lube Garages</t>
        </is>
      </c>
      <c r="C4409" t="inlineStr">
        <is>
          <t>Good</t>
        </is>
      </c>
      <c r="F4409" t="n">
        <v>40</v>
      </c>
      <c r="G4409" t="n">
        <v>35</v>
      </c>
      <c r="H4409" t="n">
        <v>35</v>
      </c>
      <c r="I4409">
        <f>B4409&amp;"|"&amp;C4409</f>
        <v/>
      </c>
      <c r="J4409" t="inlineStr">
        <is>
          <t>Mini-lube garages, good and excellent</t>
        </is>
      </c>
    </row>
    <row r="4410">
      <c r="B4410" t="inlineStr">
        <is>
          <t>Mini-Lube Garages</t>
        </is>
      </c>
      <c r="C4410" t="inlineStr">
        <is>
          <t>Average</t>
        </is>
      </c>
      <c r="F4410" t="n">
        <v>35</v>
      </c>
      <c r="G4410" t="n">
        <v>30</v>
      </c>
      <c r="H4410" t="n">
        <v>30</v>
      </c>
      <c r="I4410">
        <f>B4410&amp;"|"&amp;C4410</f>
        <v/>
      </c>
      <c r="J4410" t="inlineStr">
        <is>
          <t>low cost and average</t>
        </is>
      </c>
    </row>
    <row r="4411">
      <c r="B4411" t="inlineStr">
        <is>
          <t>Mini-Lube Garages</t>
        </is>
      </c>
      <c r="C4411" t="inlineStr">
        <is>
          <t>Low Cost</t>
        </is>
      </c>
      <c r="F4411" t="n">
        <v>35</v>
      </c>
      <c r="G4411" t="n">
        <v>30</v>
      </c>
      <c r="H4411" t="n">
        <v>30</v>
      </c>
      <c r="I4411">
        <f>B4411&amp;"|"&amp;C4411</f>
        <v/>
      </c>
      <c r="J4411" t="inlineStr">
        <is>
          <t>low cost and average</t>
        </is>
      </c>
    </row>
    <row r="4412">
      <c r="B4412" t="inlineStr">
        <is>
          <t>Parking (Parkade) Structures</t>
        </is>
      </c>
      <c r="C4412" t="inlineStr">
        <is>
          <t>Good</t>
        </is>
      </c>
      <c r="D4412" t="n">
        <v>45</v>
      </c>
      <c r="E4412" t="n">
        <v>45</v>
      </c>
      <c r="I4412">
        <f>B4412&amp;"|"&amp;C4412</f>
        <v/>
      </c>
      <c r="J4412" t="inlineStr">
        <is>
          <t>Parking structures/parkades, good</t>
        </is>
      </c>
    </row>
    <row r="4413">
      <c r="B4413" t="inlineStr">
        <is>
          <t>Parking (Parkade) Structures</t>
        </is>
      </c>
      <c r="C4413" t="inlineStr">
        <is>
          <t>Average</t>
        </is>
      </c>
      <c r="D4413" t="n">
        <v>40</v>
      </c>
      <c r="E4413" t="n">
        <v>40</v>
      </c>
      <c r="H4413" t="n">
        <v>35</v>
      </c>
      <c r="I4413">
        <f>B4413&amp;"|"&amp;C4413</f>
        <v/>
      </c>
      <c r="J4413" t="inlineStr">
        <is>
          <t>low cost and average</t>
        </is>
      </c>
    </row>
    <row r="4414">
      <c r="B4414" t="inlineStr">
        <is>
          <t>Parking (Parkade) Structures</t>
        </is>
      </c>
      <c r="C4414" t="inlineStr">
        <is>
          <t>Low Cost</t>
        </is>
      </c>
      <c r="D4414" t="n">
        <v>40</v>
      </c>
      <c r="E4414" t="n">
        <v>40</v>
      </c>
      <c r="H4414" t="n">
        <v>35</v>
      </c>
      <c r="I4414">
        <f>B4414&amp;"|"&amp;C4414</f>
        <v/>
      </c>
      <c r="J4414" t="inlineStr">
        <is>
          <t>low cost and average</t>
        </is>
      </c>
    </row>
    <row r="4415">
      <c r="B4415" t="inlineStr">
        <is>
          <t>Parking (Parkade) Structures</t>
        </is>
      </c>
      <c r="C4415" t="inlineStr">
        <is>
          <t>Cheap</t>
        </is>
      </c>
      <c r="H4415" t="n">
        <v>30</v>
      </c>
      <c r="I4415">
        <f>B4415&amp;"|"&amp;C4415</f>
        <v/>
      </c>
      <c r="J4415" t="inlineStr">
        <is>
          <t>cheap</t>
        </is>
      </c>
    </row>
    <row r="4416">
      <c r="B4416" t="inlineStr">
        <is>
          <t>Storage Garages</t>
        </is>
      </c>
      <c r="C4416" t="inlineStr">
        <is>
          <t>Average</t>
        </is>
      </c>
      <c r="D4416" t="n">
        <v>45</v>
      </c>
      <c r="E4416" t="n">
        <v>45</v>
      </c>
      <c r="F4416" t="n">
        <v>40</v>
      </c>
      <c r="G4416" t="n">
        <v>35</v>
      </c>
      <c r="H4416" t="n">
        <v>35</v>
      </c>
      <c r="I4416">
        <f>B4416&amp;"|"&amp;C4416</f>
        <v/>
      </c>
      <c r="J4416" t="inlineStr">
        <is>
          <t>Storage, average</t>
        </is>
      </c>
    </row>
    <row r="4417">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c r="B4423" t="inlineStr">
        <is>
          <t>Office Buildings</t>
        </is>
      </c>
      <c r="C4423" t="inlineStr">
        <is>
          <t>Average</t>
        </is>
      </c>
      <c r="D4423" t="n">
        <v>55</v>
      </c>
      <c r="E4423" t="n">
        <v>55</v>
      </c>
      <c r="F4423" t="n">
        <v>50</v>
      </c>
      <c r="G4423" t="n">
        <v>45</v>
      </c>
      <c r="H4423" t="n">
        <v>45</v>
      </c>
      <c r="I4423">
        <f>B4423&amp;"|"&amp;C4423</f>
        <v/>
      </c>
      <c r="J4423" t="inlineStr">
        <is>
          <t>average</t>
        </is>
      </c>
    </row>
    <row r="4424">
      <c r="B4424" t="inlineStr">
        <is>
          <t>Office Buildings</t>
        </is>
      </c>
      <c r="C4424" t="inlineStr">
        <is>
          <t>Low Cost</t>
        </is>
      </c>
      <c r="D4424" t="n">
        <v>50</v>
      </c>
      <c r="E4424" t="n">
        <v>50</v>
      </c>
      <c r="F4424" t="n">
        <v>45</v>
      </c>
      <c r="G4424" t="n">
        <v>40</v>
      </c>
      <c r="H4424" t="n">
        <v>40</v>
      </c>
      <c r="I4424">
        <f>B4424&amp;"|"&amp;C4424</f>
        <v/>
      </c>
      <c r="J4424" t="inlineStr">
        <is>
          <t>low cost</t>
        </is>
      </c>
    </row>
    <row r="442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c r="B4427" t="inlineStr">
        <is>
          <t>Atriums/Vestibules</t>
        </is>
      </c>
      <c r="C4427" t="inlineStr">
        <is>
          <t>Average</t>
        </is>
      </c>
      <c r="D4427" t="n">
        <v>55</v>
      </c>
      <c r="E4427" t="n">
        <v>55</v>
      </c>
      <c r="F4427" t="n">
        <v>50</v>
      </c>
      <c r="G4427" t="n">
        <v>45</v>
      </c>
      <c r="H4427" t="n">
        <v>45</v>
      </c>
      <c r="I4427">
        <f>B4427&amp;"|"&amp;C4427</f>
        <v/>
      </c>
      <c r="J4427" t="inlineStr">
        <is>
          <t>average</t>
        </is>
      </c>
    </row>
    <row r="4428">
      <c r="B4428" t="inlineStr">
        <is>
          <t>Atriums/Vestibules</t>
        </is>
      </c>
      <c r="C4428" t="inlineStr">
        <is>
          <t>Low Cost</t>
        </is>
      </c>
      <c r="D4428" t="n">
        <v>55</v>
      </c>
      <c r="E4428" t="n">
        <v>55</v>
      </c>
      <c r="F4428" t="n">
        <v>50</v>
      </c>
      <c r="G4428" t="n">
        <v>45</v>
      </c>
      <c r="H4428" t="n">
        <v>45</v>
      </c>
      <c r="I4428">
        <f>B4428&amp;"|"&amp;C4428</f>
        <v/>
      </c>
      <c r="J4428" t="inlineStr">
        <is>
          <t>average</t>
        </is>
      </c>
    </row>
    <row r="4429">
      <c r="B4429" t="inlineStr">
        <is>
          <t>Atriums/Vestibules</t>
        </is>
      </c>
      <c r="C4429" t="inlineStr">
        <is>
          <t>Cheap</t>
        </is>
      </c>
      <c r="D4429" t="n">
        <v>55</v>
      </c>
      <c r="E4429" t="n">
        <v>55</v>
      </c>
      <c r="F4429" t="n">
        <v>50</v>
      </c>
      <c r="G4429" t="n">
        <v>45</v>
      </c>
      <c r="H4429" t="n">
        <v>45</v>
      </c>
      <c r="I4429">
        <f>B4429&amp;"|"&amp;C4429</f>
        <v/>
      </c>
      <c r="J4429" t="inlineStr">
        <is>
          <t>average</t>
        </is>
      </c>
    </row>
    <row r="4430">
      <c r="B4430" t="inlineStr">
        <is>
          <t>Parking Levels (Intermediate/Under Building)</t>
        </is>
      </c>
      <c r="C4430" t="inlineStr">
        <is>
          <t>Excellent</t>
        </is>
      </c>
      <c r="D4430" t="n">
        <v>60</v>
      </c>
      <c r="E4430" t="n">
        <v>60</v>
      </c>
      <c r="I4430">
        <f>B4430&amp;"|"&amp;C4430</f>
        <v/>
      </c>
      <c r="J4430" t="inlineStr">
        <is>
          <t>Parking levels, excellent</t>
        </is>
      </c>
    </row>
    <row r="4431">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c r="B4437" t="inlineStr">
        <is>
          <t>Mechanical Penthouses</t>
        </is>
      </c>
      <c r="C4437" t="inlineStr">
        <is>
          <t>Average</t>
        </is>
      </c>
      <c r="D4437" t="n">
        <v>55</v>
      </c>
      <c r="E4437" t="n">
        <v>55</v>
      </c>
      <c r="F4437" t="n">
        <v>50</v>
      </c>
      <c r="G4437" t="n">
        <v>45</v>
      </c>
      <c r="H4437" t="n">
        <v>45</v>
      </c>
      <c r="I4437">
        <f>B4437&amp;"|"&amp;C4437</f>
        <v/>
      </c>
      <c r="J4437" t="inlineStr">
        <is>
          <t>average</t>
        </is>
      </c>
    </row>
    <row r="4438">
      <c r="B4438" t="inlineStr">
        <is>
          <t>Mechanical Penthouses</t>
        </is>
      </c>
      <c r="C4438" t="inlineStr">
        <is>
          <t>Low Cost</t>
        </is>
      </c>
      <c r="D4438" t="n">
        <v>50</v>
      </c>
      <c r="E4438" t="n">
        <v>50</v>
      </c>
      <c r="F4438" t="n">
        <v>45</v>
      </c>
      <c r="G4438" t="n">
        <v>40</v>
      </c>
      <c r="H4438" t="n">
        <v>40</v>
      </c>
      <c r="I4438">
        <f>B4438&amp;"|"&amp;C4438</f>
        <v/>
      </c>
      <c r="J4438" t="inlineStr">
        <is>
          <t>low cost</t>
        </is>
      </c>
    </row>
    <row r="4439">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c r="B4441" t="inlineStr">
        <is>
          <t>Banks – Central Offices</t>
        </is>
      </c>
      <c r="C4441" t="inlineStr">
        <is>
          <t>Average</t>
        </is>
      </c>
      <c r="D4441" t="n">
        <v>55</v>
      </c>
      <c r="E4441" t="n">
        <v>55</v>
      </c>
      <c r="F4441" t="n">
        <v>50</v>
      </c>
      <c r="G4441" t="n">
        <v>45</v>
      </c>
      <c r="H4441" t="n">
        <v>45</v>
      </c>
      <c r="I4441">
        <f>B4441&amp;"|"&amp;C4441</f>
        <v/>
      </c>
      <c r="J4441" t="inlineStr">
        <is>
          <t>average</t>
        </is>
      </c>
    </row>
    <row r="4442">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c r="B4447" t="inlineStr">
        <is>
          <t>Banks, Branch</t>
        </is>
      </c>
      <c r="C4447" t="inlineStr">
        <is>
          <t>Average</t>
        </is>
      </c>
      <c r="D4447" t="n">
        <v>55</v>
      </c>
      <c r="E4447" t="n">
        <v>55</v>
      </c>
      <c r="F4447" t="n">
        <v>50</v>
      </c>
      <c r="G4447" t="n">
        <v>45</v>
      </c>
      <c r="H4447" t="n">
        <v>45</v>
      </c>
      <c r="I4447">
        <f>B4447&amp;"|"&amp;C4447</f>
        <v/>
      </c>
      <c r="J4447" t="inlineStr">
        <is>
          <t>average</t>
        </is>
      </c>
    </row>
    <row r="4448">
      <c r="B4448" t="inlineStr">
        <is>
          <t>Banks, Branch</t>
        </is>
      </c>
      <c r="C4448" t="inlineStr">
        <is>
          <t>Low Cost</t>
        </is>
      </c>
      <c r="D4448" t="n">
        <v>50</v>
      </c>
      <c r="E4448" t="n">
        <v>50</v>
      </c>
      <c r="F4448" t="n">
        <v>45</v>
      </c>
      <c r="G4448" t="n">
        <v>40</v>
      </c>
      <c r="H4448" t="n">
        <v>40</v>
      </c>
      <c r="I4448">
        <f>B4448&amp;"|"&amp;C4448</f>
        <v/>
      </c>
      <c r="J4448" t="inlineStr">
        <is>
          <t>low cost</t>
        </is>
      </c>
    </row>
    <row r="4449">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c r="B4454" t="inlineStr">
        <is>
          <t>Dental Clinics</t>
        </is>
      </c>
      <c r="C4454" t="inlineStr">
        <is>
          <t>Excellent</t>
        </is>
      </c>
      <c r="F4454" t="n">
        <v>45</v>
      </c>
      <c r="G4454" t="n">
        <v>40</v>
      </c>
      <c r="H4454" t="n">
        <v>40</v>
      </c>
      <c r="I4454">
        <f>B4454&amp;"|"&amp;C4454</f>
        <v/>
      </c>
      <c r="J4454" t="inlineStr">
        <is>
          <t>Dental clinics, good and excellent</t>
        </is>
      </c>
    </row>
    <row r="4455">
      <c r="B4455" t="inlineStr">
        <is>
          <t>Dental Clinics</t>
        </is>
      </c>
      <c r="C4455" t="inlineStr">
        <is>
          <t>Good</t>
        </is>
      </c>
      <c r="F4455" t="n">
        <v>45</v>
      </c>
      <c r="G4455" t="n">
        <v>40</v>
      </c>
      <c r="H4455" t="n">
        <v>40</v>
      </c>
      <c r="I4455">
        <f>B4455&amp;"|"&amp;C4455</f>
        <v/>
      </c>
      <c r="J4455" t="inlineStr">
        <is>
          <t>Dental clinics, good and excellent</t>
        </is>
      </c>
    </row>
    <row r="4456">
      <c r="B4456" t="inlineStr">
        <is>
          <t>Dental Clinics</t>
        </is>
      </c>
      <c r="C4456" t="inlineStr">
        <is>
          <t>Average</t>
        </is>
      </c>
      <c r="F4456" t="n">
        <v>40</v>
      </c>
      <c r="G4456" t="n">
        <v>35</v>
      </c>
      <c r="H4456" t="n">
        <v>35</v>
      </c>
      <c r="I4456">
        <f>B4456&amp;"|"&amp;C4456</f>
        <v/>
      </c>
      <c r="J4456" t="inlineStr">
        <is>
          <t>low cost and average</t>
        </is>
      </c>
    </row>
    <row r="4457">
      <c r="B4457" t="inlineStr">
        <is>
          <t>Dental Clinics</t>
        </is>
      </c>
      <c r="C4457" t="inlineStr">
        <is>
          <t>Low Cost</t>
        </is>
      </c>
      <c r="F4457" t="n">
        <v>40</v>
      </c>
      <c r="G4457" t="n">
        <v>35</v>
      </c>
      <c r="H4457" t="n">
        <v>35</v>
      </c>
      <c r="I4457">
        <f>B4457&amp;"|"&amp;C4457</f>
        <v/>
      </c>
      <c r="J4457" t="inlineStr">
        <is>
          <t>low cost and average</t>
        </is>
      </c>
    </row>
    <row r="4458">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c r="B4459" t="inlineStr">
        <is>
          <t>Urgent Care Clinics</t>
        </is>
      </c>
      <c r="C4459" t="inlineStr">
        <is>
          <t>Average</t>
        </is>
      </c>
      <c r="D4459" t="n">
        <v>45</v>
      </c>
      <c r="E4459" t="n">
        <v>45</v>
      </c>
      <c r="F4459" t="n">
        <v>35</v>
      </c>
      <c r="G4459" t="n">
        <v>30</v>
      </c>
      <c r="H4459" t="n">
        <v>30</v>
      </c>
      <c r="I4459">
        <f>B4459&amp;"|"&amp;C4459</f>
        <v/>
      </c>
      <c r="J4459" t="inlineStr">
        <is>
          <t>average</t>
        </is>
      </c>
    </row>
    <row r="4460">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c r="B4461" t="inlineStr">
        <is>
          <t>General Hospitals</t>
        </is>
      </c>
      <c r="C4461" t="inlineStr">
        <is>
          <t>Excellent</t>
        </is>
      </c>
      <c r="D4461" t="n">
        <v>50</v>
      </c>
      <c r="E4461" t="n">
        <v>50</v>
      </c>
      <c r="F4461" t="n">
        <v>45</v>
      </c>
      <c r="G4461" t="n">
        <v>40</v>
      </c>
      <c r="I4461">
        <f>B4461&amp;"|"&amp;C4461</f>
        <v/>
      </c>
      <c r="J4461" t="inlineStr">
        <is>
          <t>General hospitals, good and excellent</t>
        </is>
      </c>
    </row>
    <row r="4462">
      <c r="B4462" t="inlineStr">
        <is>
          <t>General Hospitals</t>
        </is>
      </c>
      <c r="C4462" t="inlineStr">
        <is>
          <t>Good</t>
        </is>
      </c>
      <c r="D4462" t="n">
        <v>50</v>
      </c>
      <c r="E4462" t="n">
        <v>50</v>
      </c>
      <c r="F4462" t="n">
        <v>45</v>
      </c>
      <c r="G4462" t="n">
        <v>40</v>
      </c>
      <c r="I4462">
        <f>B4462&amp;"|"&amp;C4462</f>
        <v/>
      </c>
      <c r="J4462" t="inlineStr">
        <is>
          <t>General hospitals, good and excellent</t>
        </is>
      </c>
    </row>
    <row r="4463">
      <c r="B4463" t="inlineStr">
        <is>
          <t>General Hospitals</t>
        </is>
      </c>
      <c r="C4463" t="inlineStr">
        <is>
          <t>Average</t>
        </is>
      </c>
      <c r="D4463" t="n">
        <v>45</v>
      </c>
      <c r="E4463" t="n">
        <v>45</v>
      </c>
      <c r="F4463" t="n">
        <v>40</v>
      </c>
      <c r="G4463" t="n">
        <v>35</v>
      </c>
      <c r="H4463" t="n">
        <v>35</v>
      </c>
      <c r="I4463">
        <f>B4463&amp;"|"&amp;C4463</f>
        <v/>
      </c>
      <c r="J4463" t="inlineStr">
        <is>
          <t>low cost and average</t>
        </is>
      </c>
    </row>
    <row r="4464">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c r="B4474" t="inlineStr">
        <is>
          <t>Kennels</t>
        </is>
      </c>
      <c r="C4474" t="inlineStr">
        <is>
          <t>Excellent</t>
        </is>
      </c>
      <c r="F4474" t="n">
        <v>45</v>
      </c>
      <c r="G4474" t="n">
        <v>40</v>
      </c>
      <c r="I4474">
        <f>B4474&amp;"|"&amp;C4474</f>
        <v/>
      </c>
      <c r="J4474" t="inlineStr">
        <is>
          <t>Kennels, very good and excellent</t>
        </is>
      </c>
    </row>
    <row r="4475">
      <c r="B4475" t="inlineStr">
        <is>
          <t>Kennels</t>
        </is>
      </c>
      <c r="C4475" t="inlineStr">
        <is>
          <t>Very Good</t>
        </is>
      </c>
      <c r="F4475" t="n">
        <v>45</v>
      </c>
      <c r="G4475" t="n">
        <v>40</v>
      </c>
      <c r="I4475">
        <f>B4475&amp;"|"&amp;C4475</f>
        <v/>
      </c>
      <c r="J4475" t="inlineStr">
        <is>
          <t>Kennels, very good and excellent</t>
        </is>
      </c>
    </row>
    <row r="4476">
      <c r="B4476" t="inlineStr">
        <is>
          <t>Kennels</t>
        </is>
      </c>
      <c r="C4476" t="inlineStr">
        <is>
          <t>Good</t>
        </is>
      </c>
      <c r="F4476" t="n">
        <v>40</v>
      </c>
      <c r="G4476" t="n">
        <v>35</v>
      </c>
      <c r="H4476" t="n">
        <v>35</v>
      </c>
      <c r="I4476">
        <f>B4476&amp;"|"&amp;C4476</f>
        <v/>
      </c>
      <c r="J4476" t="inlineStr">
        <is>
          <t>average and good</t>
        </is>
      </c>
    </row>
    <row r="4477">
      <c r="B4477" t="inlineStr">
        <is>
          <t>Kennels</t>
        </is>
      </c>
      <c r="C4477" t="inlineStr">
        <is>
          <t>Average</t>
        </is>
      </c>
      <c r="F4477" t="n">
        <v>40</v>
      </c>
      <c r="G4477" t="n">
        <v>35</v>
      </c>
      <c r="H4477" t="n">
        <v>35</v>
      </c>
      <c r="I4477">
        <f>B4477&amp;"|"&amp;C4477</f>
        <v/>
      </c>
      <c r="J4477" t="inlineStr">
        <is>
          <t>average and good</t>
        </is>
      </c>
    </row>
    <row r="4478">
      <c r="B4478" t="inlineStr">
        <is>
          <t>Kennels</t>
        </is>
      </c>
      <c r="C4478" t="inlineStr">
        <is>
          <t>Low Cost</t>
        </is>
      </c>
      <c r="F4478" t="n">
        <v>35</v>
      </c>
      <c r="G4478" t="n">
        <v>30</v>
      </c>
      <c r="H4478" t="n">
        <v>30</v>
      </c>
      <c r="I4478">
        <f>B4478&amp;"|"&amp;C4478</f>
        <v/>
      </c>
      <c r="J4478" t="inlineStr">
        <is>
          <t>low cost</t>
        </is>
      </c>
    </row>
    <row r="4479">
      <c r="B4479" t="inlineStr">
        <is>
          <t>Kennels</t>
        </is>
      </c>
      <c r="C4479" t="inlineStr">
        <is>
          <t>Cheap</t>
        </is>
      </c>
      <c r="F4479" t="n">
        <v>25</v>
      </c>
      <c r="G4479" t="n">
        <v>20</v>
      </c>
      <c r="H4479" t="n">
        <v>20</v>
      </c>
      <c r="I4479">
        <f>B4479&amp;"|"&amp;C4479</f>
        <v/>
      </c>
      <c r="J4479" t="inlineStr">
        <is>
          <t>cheap</t>
        </is>
      </c>
    </row>
    <row r="4480">
      <c r="B4480" t="inlineStr">
        <is>
          <t>Veterinary Hospitals</t>
        </is>
      </c>
      <c r="C4480" t="inlineStr">
        <is>
          <t>Average</t>
        </is>
      </c>
      <c r="D4480" t="n">
        <v>45</v>
      </c>
      <c r="E4480" t="n">
        <v>45</v>
      </c>
      <c r="F4480" t="n">
        <v>40</v>
      </c>
      <c r="G4480" t="n">
        <v>35</v>
      </c>
      <c r="H4480" t="n">
        <v>35</v>
      </c>
      <c r="I4480">
        <f>B4480&amp;"|"&amp;C4480</f>
        <v/>
      </c>
      <c r="J4480" t="inlineStr">
        <is>
          <t>average and good</t>
        </is>
      </c>
    </row>
    <row r="4481">
      <c r="B4481" t="inlineStr">
        <is>
          <t>Veterinary Hospitals</t>
        </is>
      </c>
      <c r="C4481" t="inlineStr">
        <is>
          <t>Excellent</t>
        </is>
      </c>
      <c r="F4481" t="n">
        <v>45</v>
      </c>
      <c r="G4481" t="n">
        <v>40</v>
      </c>
      <c r="I4481">
        <f>B4481&amp;"|"&amp;C4481</f>
        <v/>
      </c>
      <c r="J4481" t="inlineStr">
        <is>
          <t>Veterinary hospitals, excellent</t>
        </is>
      </c>
    </row>
    <row r="4482">
      <c r="B4482" t="inlineStr">
        <is>
          <t>Veterinary Hospitals</t>
        </is>
      </c>
      <c r="C4482" t="inlineStr">
        <is>
          <t>Good</t>
        </is>
      </c>
      <c r="D4482" t="n">
        <v>45</v>
      </c>
      <c r="E4482" t="n">
        <v>45</v>
      </c>
      <c r="F4482" t="n">
        <v>40</v>
      </c>
      <c r="G4482" t="n">
        <v>35</v>
      </c>
      <c r="H4482" t="n">
        <v>35</v>
      </c>
      <c r="I4482">
        <f>B4482&amp;"|"&amp;C4482</f>
        <v/>
      </c>
      <c r="J4482" t="inlineStr">
        <is>
          <t>average and good</t>
        </is>
      </c>
    </row>
    <row r="4483">
      <c r="B4483" t="inlineStr">
        <is>
          <t>Veterinary Hospitals</t>
        </is>
      </c>
      <c r="C4483" t="inlineStr">
        <is>
          <t>Low Cost</t>
        </is>
      </c>
      <c r="F4483" t="n">
        <v>35</v>
      </c>
      <c r="G4483" t="n">
        <v>30</v>
      </c>
      <c r="H4483" t="n">
        <v>30</v>
      </c>
      <c r="I4483">
        <f>B4483&amp;"|"&amp;C4483</f>
        <v/>
      </c>
      <c r="J4483" t="inlineStr">
        <is>
          <t>low cost</t>
        </is>
      </c>
    </row>
    <row r="4484">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c r="B4486" t="inlineStr">
        <is>
          <t>Fire Stations – Volunteer</t>
        </is>
      </c>
      <c r="C4486" t="inlineStr">
        <is>
          <t>Good</t>
        </is>
      </c>
      <c r="F4486" t="n">
        <v>40</v>
      </c>
      <c r="G4486" t="n">
        <v>35</v>
      </c>
      <c r="H4486" t="n">
        <v>35</v>
      </c>
      <c r="I4486">
        <f>B4486&amp;"|"&amp;C4486</f>
        <v/>
      </c>
      <c r="J4486" t="inlineStr">
        <is>
          <t>volunteer, good</t>
        </is>
      </c>
    </row>
    <row r="4487">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c r="B4498" t="inlineStr">
        <is>
          <t>Governmental – Community Service Buildings</t>
        </is>
      </c>
      <c r="C4498" t="inlineStr">
        <is>
          <t>Excellent</t>
        </is>
      </c>
      <c r="F4498" t="n">
        <v>55</v>
      </c>
      <c r="G4498" t="n">
        <v>50</v>
      </c>
      <c r="I4498">
        <f>B4498&amp;"|"&amp;C4498</f>
        <v/>
      </c>
      <c r="J4498" t="inlineStr">
        <is>
          <t>Community service buildings, excellent</t>
        </is>
      </c>
    </row>
    <row r="4499">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c r="B4501" t="inlineStr">
        <is>
          <t>Public Libraries</t>
        </is>
      </c>
      <c r="C4501" t="inlineStr">
        <is>
          <t>Average</t>
        </is>
      </c>
      <c r="D4501" t="n">
        <v>55</v>
      </c>
      <c r="E4501" t="n">
        <v>55</v>
      </c>
      <c r="F4501" t="n">
        <v>50</v>
      </c>
      <c r="G4501" t="n">
        <v>45</v>
      </c>
      <c r="H4501" t="n">
        <v>45</v>
      </c>
      <c r="I4501">
        <f>B4501&amp;"|"&amp;C4501</f>
        <v/>
      </c>
      <c r="J4501" t="inlineStr">
        <is>
          <t>average</t>
        </is>
      </c>
    </row>
    <row r="4502">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c r="B4504" t="inlineStr">
        <is>
          <t>Public Libraries</t>
        </is>
      </c>
      <c r="C4504" t="inlineStr">
        <is>
          <t>Low Cost</t>
        </is>
      </c>
      <c r="F4504" t="n">
        <v>45</v>
      </c>
      <c r="G4504" t="n">
        <v>40</v>
      </c>
      <c r="H4504" t="n">
        <v>40</v>
      </c>
      <c r="I4504">
        <f>B4504&amp;"|"&amp;C4504</f>
        <v/>
      </c>
      <c r="J4504" t="inlineStr">
        <is>
          <t>low cost</t>
        </is>
      </c>
    </row>
    <row r="450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c r="B4510" t="inlineStr">
        <is>
          <t>Jails – Police Stations</t>
        </is>
      </c>
      <c r="C4510" t="inlineStr">
        <is>
          <t>Good</t>
        </is>
      </c>
      <c r="D4510" t="n">
        <v>55</v>
      </c>
      <c r="E4510" t="n">
        <v>55</v>
      </c>
      <c r="F4510" t="n">
        <v>50</v>
      </c>
      <c r="G4510" t="n">
        <v>45</v>
      </c>
      <c r="I4510">
        <f>B4510&amp;"|"&amp;C4510</f>
        <v/>
      </c>
      <c r="J4510" t="inlineStr">
        <is>
          <t>Police stations, good and excellent</t>
        </is>
      </c>
    </row>
    <row r="4511">
      <c r="B4511" t="inlineStr">
        <is>
          <t>Jails – Police Stations</t>
        </is>
      </c>
      <c r="C4511" t="inlineStr">
        <is>
          <t>Average</t>
        </is>
      </c>
      <c r="D4511" t="n">
        <v>50</v>
      </c>
      <c r="E4511" t="n">
        <v>50</v>
      </c>
      <c r="F4511" t="n">
        <v>45</v>
      </c>
      <c r="G4511" t="n">
        <v>40</v>
      </c>
      <c r="I4511">
        <f>B4511&amp;"|"&amp;C4511</f>
        <v/>
      </c>
      <c r="J4511" t="inlineStr">
        <is>
          <t>average</t>
        </is>
      </c>
    </row>
    <row r="4512">
      <c r="B4512" t="inlineStr">
        <is>
          <t>Jails – Police Stations</t>
        </is>
      </c>
      <c r="C4512" t="inlineStr">
        <is>
          <t>Low Cost</t>
        </is>
      </c>
      <c r="D4512" t="n">
        <v>45</v>
      </c>
      <c r="E4512" t="n">
        <v>45</v>
      </c>
      <c r="F4512" t="n">
        <v>40</v>
      </c>
      <c r="I4512">
        <f>B4512&amp;"|"&amp;C4512</f>
        <v/>
      </c>
      <c r="J4512" t="inlineStr">
        <is>
          <t>low cost</t>
        </is>
      </c>
    </row>
    <row r="4513">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c r="B4515" t="inlineStr">
        <is>
          <t>Shell Office Buildings</t>
        </is>
      </c>
      <c r="C4515" t="inlineStr">
        <is>
          <t>Average</t>
        </is>
      </c>
      <c r="D4515" t="n">
        <v>55</v>
      </c>
      <c r="E4515" t="n">
        <v>55</v>
      </c>
      <c r="F4515" t="n">
        <v>50</v>
      </c>
      <c r="G4515" t="n">
        <v>45</v>
      </c>
      <c r="H4515" t="n">
        <v>45</v>
      </c>
      <c r="I4515">
        <f>B4515&amp;"|"&amp;C4515</f>
        <v/>
      </c>
      <c r="J4515" t="inlineStr">
        <is>
          <t>average</t>
        </is>
      </c>
    </row>
    <row r="4516">
      <c r="B4516" t="inlineStr">
        <is>
          <t>Shell Office Buildings</t>
        </is>
      </c>
      <c r="C4516" t="inlineStr">
        <is>
          <t>Low Cost</t>
        </is>
      </c>
      <c r="D4516" t="n">
        <v>50</v>
      </c>
      <c r="E4516" t="n">
        <v>50</v>
      </c>
      <c r="F4516" t="n">
        <v>45</v>
      </c>
      <c r="G4516" t="n">
        <v>40</v>
      </c>
      <c r="H4516" t="n">
        <v>40</v>
      </c>
      <c r="I4516">
        <f>B4516&amp;"|"&amp;C4516</f>
        <v/>
      </c>
      <c r="J4516" t="inlineStr">
        <is>
          <t>low cost</t>
        </is>
      </c>
    </row>
    <row r="4517">
      <c r="B4517" t="inlineStr">
        <is>
          <t>Churches with Sunday Schools</t>
        </is>
      </c>
      <c r="C4517" t="inlineStr">
        <is>
          <t>Good</t>
        </is>
      </c>
      <c r="D4517" t="n">
        <v>60</v>
      </c>
      <c r="E4517" t="n">
        <v>60</v>
      </c>
      <c r="F4517" t="n">
        <v>50</v>
      </c>
      <c r="G4517" t="n">
        <v>45</v>
      </c>
      <c r="H4517" t="n">
        <v>45</v>
      </c>
      <c r="I4517">
        <f>B4517&amp;"|"&amp;C4517</f>
        <v/>
      </c>
      <c r="J4517" t="inlineStr">
        <is>
          <t>good</t>
        </is>
      </c>
    </row>
    <row r="4518">
      <c r="B4518" t="inlineStr">
        <is>
          <t>Churches with Sunday Schools</t>
        </is>
      </c>
      <c r="C4518" t="inlineStr">
        <is>
          <t>Average</t>
        </is>
      </c>
      <c r="D4518" t="n">
        <v>50</v>
      </c>
      <c r="E4518" t="n">
        <v>50</v>
      </c>
      <c r="F4518" t="n">
        <v>45</v>
      </c>
      <c r="G4518" t="n">
        <v>40</v>
      </c>
      <c r="H4518" t="n">
        <v>40</v>
      </c>
      <c r="I4518">
        <f>B4518&amp;"|"&amp;C4518</f>
        <v/>
      </c>
      <c r="J4518" t="inlineStr">
        <is>
          <t>average</t>
        </is>
      </c>
    </row>
    <row r="4519">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c r="B4521" t="inlineStr">
        <is>
          <t>Churches – Sanctuaries (Chapels)</t>
        </is>
      </c>
      <c r="C4521" t="inlineStr">
        <is>
          <t>Good</t>
        </is>
      </c>
      <c r="D4521" t="n">
        <v>60</v>
      </c>
      <c r="E4521" t="n">
        <v>60</v>
      </c>
      <c r="F4521" t="n">
        <v>50</v>
      </c>
      <c r="G4521" t="n">
        <v>45</v>
      </c>
      <c r="H4521" t="n">
        <v>45</v>
      </c>
      <c r="I4521">
        <f>B4521&amp;"|"&amp;C4521</f>
        <v/>
      </c>
      <c r="J4521" t="inlineStr">
        <is>
          <t>good</t>
        </is>
      </c>
    </row>
    <row r="4522">
      <c r="B4522" t="inlineStr">
        <is>
          <t>Churches – Sanctuaries (Chapels)</t>
        </is>
      </c>
      <c r="C4522" t="inlineStr">
        <is>
          <t>Average</t>
        </is>
      </c>
      <c r="D4522" t="n">
        <v>50</v>
      </c>
      <c r="E4522" t="n">
        <v>50</v>
      </c>
      <c r="F4522" t="n">
        <v>45</v>
      </c>
      <c r="G4522" t="n">
        <v>40</v>
      </c>
      <c r="H4522" t="n">
        <v>40</v>
      </c>
      <c r="I4522">
        <f>B4522&amp;"|"&amp;C4522</f>
        <v/>
      </c>
      <c r="J4522" t="inlineStr">
        <is>
          <t>average</t>
        </is>
      </c>
    </row>
    <row r="4523">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c r="B4524" t="inlineStr">
        <is>
          <t>Fellowship Halls</t>
        </is>
      </c>
      <c r="C4524" t="inlineStr">
        <is>
          <t>Average</t>
        </is>
      </c>
      <c r="D4524" t="n">
        <v>45</v>
      </c>
      <c r="E4524" t="n">
        <v>45</v>
      </c>
      <c r="F4524" t="n">
        <v>40</v>
      </c>
      <c r="G4524" t="n">
        <v>35</v>
      </c>
      <c r="H4524" t="n">
        <v>35</v>
      </c>
      <c r="I4524">
        <f>B4524&amp;"|"&amp;C4524</f>
        <v/>
      </c>
      <c r="J4524" t="inlineStr">
        <is>
          <t>low cost and average</t>
        </is>
      </c>
    </row>
    <row r="452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c r="B4526" t="inlineStr">
        <is>
          <t>Fellowship Halls</t>
        </is>
      </c>
      <c r="C4526" t="inlineStr">
        <is>
          <t>Cheap</t>
        </is>
      </c>
      <c r="G4526" t="n">
        <v>30</v>
      </c>
      <c r="H4526" t="n">
        <v>30</v>
      </c>
      <c r="I4526">
        <f>B4526&amp;"|"&amp;C4526</f>
        <v/>
      </c>
      <c r="J4526" t="inlineStr">
        <is>
          <t>cheap</t>
        </is>
      </c>
    </row>
    <row r="4527">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c r="B4528" t="inlineStr">
        <is>
          <t>Foyers / Narthexes</t>
        </is>
      </c>
      <c r="C4528" t="inlineStr">
        <is>
          <t>Good</t>
        </is>
      </c>
      <c r="D4528" t="n">
        <v>60</v>
      </c>
      <c r="E4528" t="n">
        <v>60</v>
      </c>
      <c r="F4528" t="n">
        <v>50</v>
      </c>
      <c r="G4528" t="n">
        <v>45</v>
      </c>
      <c r="H4528" t="n">
        <v>45</v>
      </c>
      <c r="I4528">
        <f>B4528&amp;"|"&amp;C4528</f>
        <v/>
      </c>
      <c r="J4528" t="inlineStr">
        <is>
          <t>good</t>
        </is>
      </c>
    </row>
    <row r="4529">
      <c r="B4529" t="inlineStr">
        <is>
          <t>Foyers / Narthexes</t>
        </is>
      </c>
      <c r="C4529" t="inlineStr">
        <is>
          <t>Average</t>
        </is>
      </c>
      <c r="D4529" t="n">
        <v>50</v>
      </c>
      <c r="E4529" t="n">
        <v>50</v>
      </c>
      <c r="F4529" t="n">
        <v>45</v>
      </c>
      <c r="G4529" t="n">
        <v>40</v>
      </c>
      <c r="H4529" t="n">
        <v>40</v>
      </c>
      <c r="I4529">
        <f>B4529&amp;"|"&amp;C4529</f>
        <v/>
      </c>
      <c r="J4529" t="inlineStr">
        <is>
          <t>average</t>
        </is>
      </c>
    </row>
    <row r="4530">
      <c r="B4530" t="inlineStr">
        <is>
          <t>Church Educational Wings</t>
        </is>
      </c>
      <c r="C4530" t="inlineStr">
        <is>
          <t>Good</t>
        </is>
      </c>
      <c r="D4530" t="n">
        <v>60</v>
      </c>
      <c r="E4530" t="n">
        <v>60</v>
      </c>
      <c r="F4530" t="n">
        <v>50</v>
      </c>
      <c r="G4530" t="n">
        <v>45</v>
      </c>
      <c r="H4530" t="n">
        <v>45</v>
      </c>
      <c r="I4530">
        <f>B4530&amp;"|"&amp;C4530</f>
        <v/>
      </c>
      <c r="J4530" t="inlineStr">
        <is>
          <t>good</t>
        </is>
      </c>
    </row>
    <row r="4531">
      <c r="B4531" t="inlineStr">
        <is>
          <t>Church Educational Wings</t>
        </is>
      </c>
      <c r="C4531" t="inlineStr">
        <is>
          <t>Average</t>
        </is>
      </c>
      <c r="D4531" t="n">
        <v>50</v>
      </c>
      <c r="E4531" t="n">
        <v>50</v>
      </c>
      <c r="F4531" t="n">
        <v>45</v>
      </c>
      <c r="G4531" t="n">
        <v>40</v>
      </c>
      <c r="H4531" t="n">
        <v>40</v>
      </c>
      <c r="I4531">
        <f>B4531&amp;"|"&amp;C4531</f>
        <v/>
      </c>
      <c r="J4531" t="inlineStr">
        <is>
          <t>average</t>
        </is>
      </c>
    </row>
    <row r="4532">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c r="B4535" t="inlineStr">
        <is>
          <t>Theaters: Live-Stage</t>
        </is>
      </c>
      <c r="C4535" t="inlineStr">
        <is>
          <t>Average</t>
        </is>
      </c>
      <c r="D4535" t="n">
        <v>45</v>
      </c>
      <c r="E4535" t="n">
        <v>45</v>
      </c>
      <c r="F4535" t="n">
        <v>45</v>
      </c>
      <c r="G4535" t="n">
        <v>40</v>
      </c>
      <c r="H4535" t="n">
        <v>40</v>
      </c>
      <c r="I4535">
        <f>B4535&amp;"|"&amp;C4535</f>
        <v/>
      </c>
      <c r="J4535" t="inlineStr">
        <is>
          <t>fair and average</t>
        </is>
      </c>
    </row>
    <row r="4536">
      <c r="B4536" t="inlineStr">
        <is>
          <t>Theaters: Cinema</t>
        </is>
      </c>
      <c r="C4536" t="inlineStr">
        <is>
          <t>Good</t>
        </is>
      </c>
      <c r="D4536" t="n">
        <v>45</v>
      </c>
      <c r="E4536" t="n">
        <v>45</v>
      </c>
      <c r="F4536" t="n">
        <v>40</v>
      </c>
      <c r="G4536" t="n">
        <v>35</v>
      </c>
      <c r="H4536" t="n">
        <v>35</v>
      </c>
      <c r="I4536">
        <f>B4536&amp;"|"&amp;C4536</f>
        <v/>
      </c>
      <c r="J4536" t="inlineStr">
        <is>
          <t>average and good</t>
        </is>
      </c>
    </row>
    <row r="4537">
      <c r="B4537" t="inlineStr">
        <is>
          <t>Theaters: Cinema</t>
        </is>
      </c>
      <c r="C4537" t="inlineStr">
        <is>
          <t>Average</t>
        </is>
      </c>
      <c r="D4537" t="n">
        <v>45</v>
      </c>
      <c r="E4537" t="n">
        <v>45</v>
      </c>
      <c r="F4537" t="n">
        <v>40</v>
      </c>
      <c r="G4537" t="n">
        <v>35</v>
      </c>
      <c r="H4537" t="n">
        <v>35</v>
      </c>
      <c r="I4537">
        <f>B4537&amp;"|"&amp;C4537</f>
        <v/>
      </c>
      <c r="J4537" t="inlineStr">
        <is>
          <t>average and good</t>
        </is>
      </c>
    </row>
    <row r="4538">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c r="B4540" t="inlineStr">
        <is>
          <t>Theaters: Cinema</t>
        </is>
      </c>
      <c r="C4540" t="inlineStr">
        <is>
          <t>Fair</t>
        </is>
      </c>
      <c r="F4540" t="n">
        <v>35</v>
      </c>
      <c r="G4540" t="n">
        <v>30</v>
      </c>
      <c r="H4540" t="n">
        <v>30</v>
      </c>
      <c r="I4540">
        <f>B4540&amp;"|"&amp;C4540</f>
        <v/>
      </c>
      <c r="J4540" t="inlineStr">
        <is>
          <t>low cost and fair</t>
        </is>
      </c>
    </row>
    <row r="4541">
      <c r="B4541" t="inlineStr">
        <is>
          <t>Auditoriums</t>
        </is>
      </c>
      <c r="C4541" t="inlineStr">
        <is>
          <t>Excellent</t>
        </is>
      </c>
      <c r="D4541" t="n">
        <v>55</v>
      </c>
      <c r="E4541" t="n">
        <v>55</v>
      </c>
      <c r="F4541" t="n">
        <v>50</v>
      </c>
      <c r="G4541" t="n">
        <v>45</v>
      </c>
      <c r="I4541">
        <f>B4541&amp;"|"&amp;C4541</f>
        <v/>
      </c>
      <c r="J4541" t="inlineStr">
        <is>
          <t>Auditoriums, excellent</t>
        </is>
      </c>
    </row>
    <row r="4542">
      <c r="B4542" t="inlineStr">
        <is>
          <t>Auditoriums</t>
        </is>
      </c>
      <c r="C4542" t="inlineStr">
        <is>
          <t>Good</t>
        </is>
      </c>
      <c r="D4542" t="n">
        <v>50</v>
      </c>
      <c r="E4542" t="n">
        <v>50</v>
      </c>
      <c r="F4542" t="n">
        <v>45</v>
      </c>
      <c r="G4542" t="n">
        <v>40</v>
      </c>
      <c r="H4542" t="n">
        <v>40</v>
      </c>
      <c r="I4542">
        <f>B4542&amp;"|"&amp;C4542</f>
        <v/>
      </c>
      <c r="J4542" t="inlineStr">
        <is>
          <t>average and good</t>
        </is>
      </c>
    </row>
    <row r="4543">
      <c r="B4543" t="inlineStr">
        <is>
          <t>Auditoriums</t>
        </is>
      </c>
      <c r="C4543" t="inlineStr">
        <is>
          <t>Average</t>
        </is>
      </c>
      <c r="D4543" t="n">
        <v>50</v>
      </c>
      <c r="E4543" t="n">
        <v>50</v>
      </c>
      <c r="F4543" t="n">
        <v>45</v>
      </c>
      <c r="G4543" t="n">
        <v>40</v>
      </c>
      <c r="H4543" t="n">
        <v>40</v>
      </c>
      <c r="I4543">
        <f>B4543&amp;"|"&amp;C4543</f>
        <v/>
      </c>
      <c r="J4543" t="inlineStr">
        <is>
          <t>average and good</t>
        </is>
      </c>
    </row>
    <row r="4544">
      <c r="B4544" t="inlineStr">
        <is>
          <t>Fraternal Buildings</t>
        </is>
      </c>
      <c r="C4544" t="inlineStr">
        <is>
          <t>Average</t>
        </is>
      </c>
      <c r="D4544" t="n">
        <v>45</v>
      </c>
      <c r="E4544" t="n">
        <v>45</v>
      </c>
      <c r="F4544" t="n">
        <v>40</v>
      </c>
      <c r="G4544" t="n">
        <v>35</v>
      </c>
      <c r="H4544" t="n">
        <v>35</v>
      </c>
      <c r="I4544">
        <f>B4544&amp;"|"&amp;C4544</f>
        <v/>
      </c>
      <c r="J4544" t="inlineStr">
        <is>
          <t>average</t>
        </is>
      </c>
    </row>
    <row r="4545">
      <c r="B4545" t="inlineStr">
        <is>
          <t>Fraternal Buildings</t>
        </is>
      </c>
      <c r="C4545" t="inlineStr">
        <is>
          <t>Excellent</t>
        </is>
      </c>
      <c r="D4545" t="n">
        <v>55</v>
      </c>
      <c r="E4545" t="n">
        <v>55</v>
      </c>
      <c r="F4545" t="n">
        <v>50</v>
      </c>
      <c r="G4545" t="n">
        <v>45</v>
      </c>
      <c r="I4545">
        <f>B4545&amp;"|"&amp;C4545</f>
        <v/>
      </c>
      <c r="J4545" t="inlineStr">
        <is>
          <t>Fraternal buildings, excellent</t>
        </is>
      </c>
    </row>
    <row r="4546">
      <c r="B4546" t="inlineStr">
        <is>
          <t>Fraternal Buildings</t>
        </is>
      </c>
      <c r="C4546" t="inlineStr">
        <is>
          <t>Good</t>
        </is>
      </c>
      <c r="D4546" t="n">
        <v>50</v>
      </c>
      <c r="E4546" t="n">
        <v>50</v>
      </c>
      <c r="F4546" t="n">
        <v>45</v>
      </c>
      <c r="G4546" t="n">
        <v>40</v>
      </c>
      <c r="I4546">
        <f>B4546&amp;"|"&amp;C4546</f>
        <v/>
      </c>
      <c r="J4546" t="inlineStr">
        <is>
          <t>good</t>
        </is>
      </c>
    </row>
    <row r="4547">
      <c r="B4547" t="inlineStr">
        <is>
          <t>Visitor Centers</t>
        </is>
      </c>
      <c r="C4547" t="inlineStr">
        <is>
          <t>Good</t>
        </is>
      </c>
      <c r="D4547" t="n">
        <v>55</v>
      </c>
      <c r="E4547" t="n">
        <v>55</v>
      </c>
      <c r="F4547" t="n">
        <v>50</v>
      </c>
      <c r="G4547" t="n">
        <v>45</v>
      </c>
      <c r="I4547">
        <f>B4547&amp;"|"&amp;C4547</f>
        <v/>
      </c>
      <c r="J4547" t="inlineStr">
        <is>
          <t>Visitor centers, good and excellent</t>
        </is>
      </c>
    </row>
    <row r="4548">
      <c r="B4548" t="inlineStr">
        <is>
          <t>Visitor Centers</t>
        </is>
      </c>
      <c r="C4548" t="inlineStr">
        <is>
          <t>Average</t>
        </is>
      </c>
      <c r="D4548" t="n">
        <v>50</v>
      </c>
      <c r="E4548" t="n">
        <v>50</v>
      </c>
      <c r="F4548" t="n">
        <v>45</v>
      </c>
      <c r="G4548" t="n">
        <v>40</v>
      </c>
      <c r="H4548" t="n">
        <v>40</v>
      </c>
      <c r="I4548">
        <f>B4548&amp;"|"&amp;C4548</f>
        <v/>
      </c>
      <c r="J4548" t="inlineStr">
        <is>
          <t>average</t>
        </is>
      </c>
    </row>
    <row r="4549">
      <c r="B4549" t="inlineStr">
        <is>
          <t>Visitor Centers</t>
        </is>
      </c>
      <c r="C4549" t="inlineStr">
        <is>
          <t>Excellent</t>
        </is>
      </c>
      <c r="D4549" t="n">
        <v>55</v>
      </c>
      <c r="E4549" t="n">
        <v>55</v>
      </c>
      <c r="F4549" t="n">
        <v>50</v>
      </c>
      <c r="G4549" t="n">
        <v>45</v>
      </c>
      <c r="I4549">
        <f>B4549&amp;"|"&amp;C4549</f>
        <v/>
      </c>
      <c r="J4549" t="inlineStr">
        <is>
          <t>Visitor centers, good and excellent</t>
        </is>
      </c>
    </row>
    <row r="4550">
      <c r="B4550" t="inlineStr">
        <is>
          <t>Convention Centers</t>
        </is>
      </c>
      <c r="C4550" t="inlineStr">
        <is>
          <t>Good</t>
        </is>
      </c>
      <c r="D4550" t="n">
        <v>55</v>
      </c>
      <c r="E4550" t="n">
        <v>55</v>
      </c>
      <c r="F4550" t="n">
        <v>50</v>
      </c>
      <c r="G4550" t="n">
        <v>45</v>
      </c>
      <c r="I4550">
        <f>B4550&amp;"|"&amp;C4550</f>
        <v/>
      </c>
      <c r="J4550" t="inlineStr">
        <is>
          <t>Convention centers, good and excellent</t>
        </is>
      </c>
    </row>
    <row r="4551">
      <c r="B4551" t="inlineStr">
        <is>
          <t>Convention Centers</t>
        </is>
      </c>
      <c r="C4551" t="inlineStr">
        <is>
          <t>Average</t>
        </is>
      </c>
      <c r="D4551" t="n">
        <v>50</v>
      </c>
      <c r="E4551" t="n">
        <v>50</v>
      </c>
      <c r="F4551" t="n">
        <v>45</v>
      </c>
      <c r="G4551" t="n">
        <v>40</v>
      </c>
      <c r="H4551" t="n">
        <v>40</v>
      </c>
      <c r="I4551">
        <f>B4551&amp;"|"&amp;C4551</f>
        <v/>
      </c>
      <c r="J4551" t="inlineStr">
        <is>
          <t>average</t>
        </is>
      </c>
    </row>
    <row r="4552">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c r="B4553" t="inlineStr">
        <is>
          <t>Casinos</t>
        </is>
      </c>
      <c r="C4553" t="inlineStr">
        <is>
          <t>Excellent</t>
        </is>
      </c>
      <c r="F4553" t="n">
        <v>50</v>
      </c>
      <c r="I4553">
        <f>B4553&amp;"|"&amp;C4553</f>
        <v/>
      </c>
      <c r="J4553" t="inlineStr">
        <is>
          <t>Casinos, very good</t>
        </is>
      </c>
    </row>
    <row r="4554">
      <c r="B4554" t="inlineStr">
        <is>
          <t>Casinos</t>
        </is>
      </c>
      <c r="C4554" t="inlineStr">
        <is>
          <t>Very Good</t>
        </is>
      </c>
      <c r="F4554" t="n">
        <v>50</v>
      </c>
      <c r="I4554">
        <f>B4554&amp;"|"&amp;C4554</f>
        <v/>
      </c>
      <c r="J4554" t="inlineStr">
        <is>
          <t>Casinos, very good</t>
        </is>
      </c>
    </row>
    <row r="4555">
      <c r="B4555" t="inlineStr">
        <is>
          <t>Casinos</t>
        </is>
      </c>
      <c r="C4555" t="inlineStr">
        <is>
          <t>Good</t>
        </is>
      </c>
      <c r="F4555" t="n">
        <v>45</v>
      </c>
      <c r="G4555" t="n">
        <v>40</v>
      </c>
      <c r="I4555">
        <f>B4555&amp;"|"&amp;C4555</f>
        <v/>
      </c>
      <c r="J4555" t="inlineStr">
        <is>
          <t>good</t>
        </is>
      </c>
    </row>
    <row r="4556">
      <c r="B4556" t="inlineStr">
        <is>
          <t>Casinos</t>
        </is>
      </c>
      <c r="C4556" t="inlineStr">
        <is>
          <t>Average</t>
        </is>
      </c>
      <c r="F4556" t="n">
        <v>40</v>
      </c>
      <c r="G4556" t="n">
        <v>35</v>
      </c>
      <c r="H4556" t="n">
        <v>35</v>
      </c>
      <c r="I4556">
        <f>B4556&amp;"|"&amp;C4556</f>
        <v/>
      </c>
      <c r="J4556" t="inlineStr">
        <is>
          <t>average</t>
        </is>
      </c>
    </row>
    <row r="4557">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c r="B4560" t="inlineStr">
        <is>
          <t>Arcade Buildings</t>
        </is>
      </c>
      <c r="C4560" t="inlineStr">
        <is>
          <t>Excellent</t>
        </is>
      </c>
      <c r="F4560" t="n">
        <v>45</v>
      </c>
      <c r="G4560" t="n">
        <v>40</v>
      </c>
      <c r="I4560">
        <f>B4560&amp;"|"&amp;C4560</f>
        <v/>
      </c>
      <c r="J4560" t="inlineStr">
        <is>
          <t>Arcade buildings, good and excellent</t>
        </is>
      </c>
    </row>
    <row r="4561">
      <c r="B4561" t="inlineStr">
        <is>
          <t>Arcade Buildings</t>
        </is>
      </c>
      <c r="C4561" t="inlineStr">
        <is>
          <t>Good</t>
        </is>
      </c>
      <c r="F4561" t="n">
        <v>45</v>
      </c>
      <c r="G4561" t="n">
        <v>40</v>
      </c>
      <c r="I4561">
        <f>B4561&amp;"|"&amp;C4561</f>
        <v/>
      </c>
      <c r="J4561" t="inlineStr">
        <is>
          <t>Arcade buildings, good and excellent</t>
        </is>
      </c>
    </row>
    <row r="4562">
      <c r="B4562" t="inlineStr">
        <is>
          <t>Arcade Buildings</t>
        </is>
      </c>
      <c r="C4562" t="inlineStr">
        <is>
          <t>Average</t>
        </is>
      </c>
      <c r="F4562" t="n">
        <v>40</v>
      </c>
      <c r="G4562" t="n">
        <v>35</v>
      </c>
      <c r="H4562" t="n">
        <v>35</v>
      </c>
      <c r="I4562">
        <f>B4562&amp;"|"&amp;C4562</f>
        <v/>
      </c>
      <c r="J4562" t="inlineStr">
        <is>
          <t>average</t>
        </is>
      </c>
    </row>
    <row r="4563">
      <c r="B4563" t="inlineStr">
        <is>
          <t>Museums</t>
        </is>
      </c>
      <c r="C4563" t="inlineStr">
        <is>
          <t>Good</t>
        </is>
      </c>
      <c r="D4563" t="n">
        <v>60</v>
      </c>
      <c r="E4563" t="n">
        <v>60</v>
      </c>
      <c r="F4563" t="n">
        <v>55</v>
      </c>
      <c r="G4563" t="n">
        <v>50</v>
      </c>
      <c r="I4563">
        <f>B4563&amp;"|"&amp;C4563</f>
        <v/>
      </c>
      <c r="J4563" t="inlineStr">
        <is>
          <t>Museums, good and excellent</t>
        </is>
      </c>
    </row>
    <row r="4564">
      <c r="B4564" t="inlineStr">
        <is>
          <t>Museums</t>
        </is>
      </c>
      <c r="C4564" t="inlineStr">
        <is>
          <t>Average</t>
        </is>
      </c>
      <c r="D4564" t="n">
        <v>55</v>
      </c>
      <c r="E4564" t="n">
        <v>55</v>
      </c>
      <c r="F4564" t="n">
        <v>50</v>
      </c>
      <c r="G4564" t="n">
        <v>45</v>
      </c>
      <c r="I4564">
        <f>B4564&amp;"|"&amp;C4564</f>
        <v/>
      </c>
      <c r="J4564" t="inlineStr">
        <is>
          <t>average</t>
        </is>
      </c>
    </row>
    <row r="4565">
      <c r="B4565" t="inlineStr">
        <is>
          <t>Museums</t>
        </is>
      </c>
      <c r="C4565" t="inlineStr">
        <is>
          <t>Excellent</t>
        </is>
      </c>
      <c r="D4565" t="n">
        <v>60</v>
      </c>
      <c r="E4565" t="n">
        <v>60</v>
      </c>
      <c r="F4565" t="n">
        <v>55</v>
      </c>
      <c r="G4565" t="n">
        <v>50</v>
      </c>
      <c r="I4565">
        <f>B4565&amp;"|"&amp;C4565</f>
        <v/>
      </c>
      <c r="J4565" t="inlineStr">
        <is>
          <t>Museums, good and excellent</t>
        </is>
      </c>
    </row>
    <row r="4566">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c r="B4567" t="inlineStr">
        <is>
          <t>Ice Skating Rinks</t>
        </is>
      </c>
      <c r="C4567" t="inlineStr">
        <is>
          <t>Average</t>
        </is>
      </c>
      <c r="D4567" t="n">
        <v>45</v>
      </c>
      <c r="E4567" t="n">
        <v>45</v>
      </c>
      <c r="F4567" t="n">
        <v>40</v>
      </c>
      <c r="G4567" t="n">
        <v>35</v>
      </c>
      <c r="H4567" t="n">
        <v>35</v>
      </c>
      <c r="I4567">
        <f>B4567&amp;"|"&amp;C4567</f>
        <v/>
      </c>
      <c r="J4567" t="inlineStr">
        <is>
          <t>average</t>
        </is>
      </c>
    </row>
    <row r="4568">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c r="B4570" t="inlineStr">
        <is>
          <t>Roller Skating Rinks</t>
        </is>
      </c>
      <c r="C4570" t="inlineStr">
        <is>
          <t>Average</t>
        </is>
      </c>
      <c r="D4570" t="n">
        <v>45</v>
      </c>
      <c r="E4570" t="n">
        <v>45</v>
      </c>
      <c r="F4570" t="n">
        <v>40</v>
      </c>
      <c r="G4570" t="n">
        <v>35</v>
      </c>
      <c r="H4570" t="n">
        <v>35</v>
      </c>
      <c r="I4570">
        <f>B4570&amp;"|"&amp;C4570</f>
        <v/>
      </c>
      <c r="J4570" t="inlineStr">
        <is>
          <t>average</t>
        </is>
      </c>
    </row>
    <row r="4571">
      <c r="B4571" t="inlineStr">
        <is>
          <t>Handball/Racquetball Clubs</t>
        </is>
      </c>
      <c r="C4571" t="inlineStr">
        <is>
          <t>Good</t>
        </is>
      </c>
      <c r="F4571" t="n">
        <v>45</v>
      </c>
      <c r="G4571" t="n">
        <v>40</v>
      </c>
      <c r="H4571" t="n">
        <v>40</v>
      </c>
      <c r="I4571">
        <f>B4571&amp;"|"&amp;C4571</f>
        <v/>
      </c>
      <c r="J4571" t="inlineStr">
        <is>
          <t>Handball/racquetball clubs, good</t>
        </is>
      </c>
    </row>
    <row r="4572">
      <c r="B4572" t="inlineStr">
        <is>
          <t>Handball/Racquetball Clubs</t>
        </is>
      </c>
      <c r="C4572" t="inlineStr">
        <is>
          <t>Average</t>
        </is>
      </c>
      <c r="F4572" t="n">
        <v>40</v>
      </c>
      <c r="G4572" t="n">
        <v>35</v>
      </c>
      <c r="H4572" t="n">
        <v>35</v>
      </c>
      <c r="I4572">
        <f>B4572&amp;"|"&amp;C4572</f>
        <v/>
      </c>
      <c r="J4572" t="inlineStr">
        <is>
          <t>average</t>
        </is>
      </c>
    </row>
    <row r="4573">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c r="B4574" t="inlineStr">
        <is>
          <t>Fitness Centers</t>
        </is>
      </c>
      <c r="C4574" t="inlineStr">
        <is>
          <t>Average</t>
        </is>
      </c>
      <c r="D4574" t="n">
        <v>45</v>
      </c>
      <c r="E4574" t="n">
        <v>45</v>
      </c>
      <c r="F4574" t="n">
        <v>40</v>
      </c>
      <c r="G4574" t="n">
        <v>35</v>
      </c>
      <c r="H4574" t="n">
        <v>35</v>
      </c>
      <c r="I4574">
        <f>B4574&amp;"|"&amp;C4574</f>
        <v/>
      </c>
      <c r="J4574" t="inlineStr">
        <is>
          <t>average</t>
        </is>
      </c>
    </row>
    <row r="457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c r="B4576" t="inlineStr">
        <is>
          <t>Bowling Centers</t>
        </is>
      </c>
      <c r="C4576" t="inlineStr">
        <is>
          <t>Excellent</t>
        </is>
      </c>
      <c r="F4576" t="n">
        <v>40</v>
      </c>
      <c r="G4576" t="n">
        <v>35</v>
      </c>
      <c r="H4576" t="n">
        <v>35</v>
      </c>
      <c r="I4576">
        <f>B4576&amp;"|"&amp;C4576</f>
        <v/>
      </c>
      <c r="J4576" t="inlineStr">
        <is>
          <t>Bowling centers, good and excellent</t>
        </is>
      </c>
    </row>
    <row r="4577">
      <c r="B4577" t="inlineStr">
        <is>
          <t>Bowling Centers</t>
        </is>
      </c>
      <c r="C4577" t="inlineStr">
        <is>
          <t>Good</t>
        </is>
      </c>
      <c r="F4577" t="n">
        <v>40</v>
      </c>
      <c r="G4577" t="n">
        <v>35</v>
      </c>
      <c r="H4577" t="n">
        <v>35</v>
      </c>
      <c r="I4577">
        <f>B4577&amp;"|"&amp;C4577</f>
        <v/>
      </c>
      <c r="J4577" t="inlineStr">
        <is>
          <t>Bowling centers, good and excellent</t>
        </is>
      </c>
    </row>
    <row r="4578">
      <c r="B4578" t="inlineStr">
        <is>
          <t>Bowling Centers</t>
        </is>
      </c>
      <c r="C4578" t="inlineStr">
        <is>
          <t>Average</t>
        </is>
      </c>
      <c r="F4578" t="n">
        <v>35</v>
      </c>
      <c r="G4578" t="n">
        <v>30</v>
      </c>
      <c r="H4578" t="n">
        <v>30</v>
      </c>
      <c r="I4578">
        <f>B4578&amp;"|"&amp;C4578</f>
        <v/>
      </c>
      <c r="J4578" t="inlineStr">
        <is>
          <t>low cost and average</t>
        </is>
      </c>
    </row>
    <row r="4579">
      <c r="B4579" t="inlineStr">
        <is>
          <t>Indoor Tennis Clubs</t>
        </is>
      </c>
      <c r="C4579" t="inlineStr">
        <is>
          <t>Good</t>
        </is>
      </c>
      <c r="F4579" t="n">
        <v>45</v>
      </c>
      <c r="G4579" t="n">
        <v>40</v>
      </c>
      <c r="H4579" t="n">
        <v>40</v>
      </c>
      <c r="I4579">
        <f>B4579&amp;"|"&amp;C4579</f>
        <v/>
      </c>
      <c r="J4579" t="inlineStr">
        <is>
          <t>Indoor tennis clubs, good</t>
        </is>
      </c>
    </row>
    <row r="4580">
      <c r="B4580" t="inlineStr">
        <is>
          <t>Indoor Tennis Clubs</t>
        </is>
      </c>
      <c r="C4580" t="inlineStr">
        <is>
          <t>Average</t>
        </is>
      </c>
      <c r="F4580" t="n">
        <v>40</v>
      </c>
      <c r="G4580" t="n">
        <v>35</v>
      </c>
      <c r="H4580" t="n">
        <v>35</v>
      </c>
      <c r="I4580">
        <f>B4580&amp;"|"&amp;C4580</f>
        <v/>
      </c>
      <c r="J4580" t="inlineStr">
        <is>
          <t>average</t>
        </is>
      </c>
    </row>
    <row r="4581">
      <c r="B4581" t="inlineStr">
        <is>
          <t>Pavilions</t>
        </is>
      </c>
      <c r="C4581" t="inlineStr">
        <is>
          <t>Excellent</t>
        </is>
      </c>
      <c r="F4581" t="n">
        <v>50</v>
      </c>
      <c r="G4581" t="n">
        <v>45</v>
      </c>
      <c r="I4581">
        <f>B4581&amp;"|"&amp;C4581</f>
        <v/>
      </c>
      <c r="J4581" t="inlineStr">
        <is>
          <t>Pavillions, excellent</t>
        </is>
      </c>
    </row>
    <row r="4582">
      <c r="B4582" t="inlineStr">
        <is>
          <t>Pavilions</t>
        </is>
      </c>
      <c r="C4582" t="inlineStr">
        <is>
          <t>Very Good</t>
        </is>
      </c>
      <c r="F4582" t="n">
        <v>45</v>
      </c>
      <c r="G4582" t="n">
        <v>40</v>
      </c>
      <c r="I4582">
        <f>B4582&amp;"|"&amp;C4582</f>
        <v/>
      </c>
      <c r="J4582" t="inlineStr">
        <is>
          <t>very good</t>
        </is>
      </c>
    </row>
    <row r="4583">
      <c r="B4583" t="inlineStr">
        <is>
          <t>Pavilions</t>
        </is>
      </c>
      <c r="C4583" t="inlineStr">
        <is>
          <t>Good</t>
        </is>
      </c>
      <c r="F4583" t="n">
        <v>40</v>
      </c>
      <c r="G4583" t="n">
        <v>35</v>
      </c>
      <c r="I4583">
        <f>B4583&amp;"|"&amp;C4583</f>
        <v/>
      </c>
      <c r="J4583" t="inlineStr">
        <is>
          <t>good</t>
        </is>
      </c>
    </row>
    <row r="4584">
      <c r="B4584" t="inlineStr">
        <is>
          <t>Pavilions</t>
        </is>
      </c>
      <c r="C4584" t="inlineStr">
        <is>
          <t>Average</t>
        </is>
      </c>
      <c r="F4584" t="n">
        <v>35</v>
      </c>
      <c r="G4584" t="n">
        <v>30</v>
      </c>
      <c r="H4584" t="n">
        <v>30</v>
      </c>
      <c r="I4584">
        <f>B4584&amp;"|"&amp;C4584</f>
        <v/>
      </c>
      <c r="J4584" t="inlineStr">
        <is>
          <t>fair and averge</t>
        </is>
      </c>
    </row>
    <row r="4585">
      <c r="B4585" t="inlineStr">
        <is>
          <t>Pavilions</t>
        </is>
      </c>
      <c r="C4585" t="inlineStr">
        <is>
          <t>Fair</t>
        </is>
      </c>
      <c r="F4585" t="n">
        <v>35</v>
      </c>
      <c r="G4585" t="n">
        <v>30</v>
      </c>
      <c r="H4585" t="n">
        <v>30</v>
      </c>
      <c r="I4585">
        <f>B4585&amp;"|"&amp;C4585</f>
        <v/>
      </c>
      <c r="J4585" t="inlineStr">
        <is>
          <t>fair and averge</t>
        </is>
      </c>
    </row>
    <row r="4586">
      <c r="B4586" t="inlineStr">
        <is>
          <t>Pavilions</t>
        </is>
      </c>
      <c r="C4586" t="inlineStr">
        <is>
          <t>Cheap</t>
        </is>
      </c>
      <c r="F4586" t="n">
        <v>25</v>
      </c>
      <c r="G4586" t="n">
        <v>20</v>
      </c>
      <c r="H4586" t="n">
        <v>20</v>
      </c>
      <c r="I4586">
        <f>B4586&amp;"|"&amp;C4586</f>
        <v/>
      </c>
      <c r="J4586" t="inlineStr">
        <is>
          <t>cheap</t>
        </is>
      </c>
    </row>
    <row r="4587">
      <c r="B4587" t="inlineStr">
        <is>
          <t>Light Commercial – Commodity Warehouse</t>
        </is>
      </c>
      <c r="C4587" t="inlineStr">
        <is>
          <t>Good</t>
        </is>
      </c>
      <c r="F4587" t="n">
        <v>35</v>
      </c>
      <c r="G4587" t="n">
        <v>30</v>
      </c>
      <c r="H4587" t="n">
        <v>30</v>
      </c>
      <c r="I4587">
        <f>B4587&amp;"|"&amp;C4587</f>
        <v/>
      </c>
      <c r="J4587" t="inlineStr">
        <is>
          <t>Commodity warehouse, light commercial, good</t>
        </is>
      </c>
    </row>
    <row r="4588">
      <c r="B4588" t="inlineStr">
        <is>
          <t>Light Commercial – Commodity Warehouse</t>
        </is>
      </c>
      <c r="C4588" t="inlineStr">
        <is>
          <t>Average</t>
        </is>
      </c>
      <c r="F4588" t="n">
        <v>30</v>
      </c>
      <c r="G4588" t="n">
        <v>25</v>
      </c>
      <c r="H4588" t="n">
        <v>25</v>
      </c>
      <c r="I4588">
        <f>B4588&amp;"|"&amp;C4588</f>
        <v/>
      </c>
      <c r="J4588" t="inlineStr">
        <is>
          <t>average</t>
        </is>
      </c>
    </row>
    <row r="4589">
      <c r="B4589" t="inlineStr">
        <is>
          <t>Light Commercial – Commodity Warehouse</t>
        </is>
      </c>
      <c r="C4589" t="inlineStr">
        <is>
          <t>Low Cost</t>
        </is>
      </c>
      <c r="G4589" t="n">
        <v>20</v>
      </c>
      <c r="H4589" t="n">
        <v>20</v>
      </c>
      <c r="I4589">
        <f>B4589&amp;"|"&amp;C4589</f>
        <v/>
      </c>
      <c r="J4589" t="inlineStr">
        <is>
          <t>low cost</t>
        </is>
      </c>
    </row>
    <row r="4590">
      <c r="B4590" t="inlineStr">
        <is>
          <t>Light Commercial – Manufacturing Utility Buildings</t>
        </is>
      </c>
      <c r="C4590" t="inlineStr">
        <is>
          <t>Good</t>
        </is>
      </c>
      <c r="G4590" t="n">
        <v>30</v>
      </c>
      <c r="H4590" t="n">
        <v>35</v>
      </c>
      <c r="I4590">
        <f>B4590&amp;"|"&amp;C4590</f>
        <v/>
      </c>
      <c r="J4590" t="inlineStr">
        <is>
          <t>Manufacturing, light commerical utility, good</t>
        </is>
      </c>
    </row>
    <row r="4591">
      <c r="B4591" t="inlineStr">
        <is>
          <t>Light Commercial – Manufacturing Utility Buildings</t>
        </is>
      </c>
      <c r="C4591" t="inlineStr">
        <is>
          <t>Average</t>
        </is>
      </c>
      <c r="G4591" t="n">
        <v>25</v>
      </c>
      <c r="H4591" t="n">
        <v>30</v>
      </c>
      <c r="I4591">
        <f>B4591&amp;"|"&amp;C4591</f>
        <v/>
      </c>
      <c r="J4591" t="inlineStr">
        <is>
          <t>average</t>
        </is>
      </c>
    </row>
    <row r="4592">
      <c r="B4592" t="inlineStr">
        <is>
          <t>Light Commercial – Manufacturing Utility Buildings</t>
        </is>
      </c>
      <c r="C4592" t="inlineStr">
        <is>
          <t>Low Cost</t>
        </is>
      </c>
      <c r="G4592" t="n">
        <v>20</v>
      </c>
      <c r="H4592" t="n">
        <v>25</v>
      </c>
      <c r="I4592">
        <f>B4592&amp;"|"&amp;C4592</f>
        <v/>
      </c>
      <c r="J4592" t="inlineStr">
        <is>
          <t>low cost</t>
        </is>
      </c>
    </row>
    <row r="4593">
      <c r="B4593" t="inlineStr">
        <is>
          <t>Material – Commodity Shelters</t>
        </is>
      </c>
      <c r="C4593" t="inlineStr">
        <is>
          <t>Good</t>
        </is>
      </c>
      <c r="G4593" t="n">
        <v>25</v>
      </c>
      <c r="H4593" t="n">
        <v>30</v>
      </c>
      <c r="I4593">
        <f>B4593&amp;"|"&amp;C4593</f>
        <v/>
      </c>
      <c r="J4593" t="inlineStr">
        <is>
          <t>Material shelters, good</t>
        </is>
      </c>
    </row>
    <row r="4594">
      <c r="B4594" t="inlineStr">
        <is>
          <t>Material – Commodity Shelters</t>
        </is>
      </c>
      <c r="C4594" t="inlineStr">
        <is>
          <t>Low Cost</t>
        </is>
      </c>
      <c r="G4594" t="n">
        <v>15</v>
      </c>
      <c r="H4594" t="n">
        <v>15</v>
      </c>
      <c r="I4594">
        <f>B4594&amp;"|"&amp;C4594</f>
        <v/>
      </c>
      <c r="J4594" t="inlineStr">
        <is>
          <t>low cost</t>
        </is>
      </c>
    </row>
    <row r="4595">
      <c r="B4595" t="inlineStr">
        <is>
          <t>Material – Commodity Shelters</t>
        </is>
      </c>
      <c r="C4595" t="inlineStr">
        <is>
          <t>Very Good</t>
        </is>
      </c>
      <c r="G4595" t="n">
        <v>25</v>
      </c>
      <c r="H4595" t="n">
        <v>30</v>
      </c>
      <c r="I4595">
        <f>B4595&amp;"|"&amp;C4595</f>
        <v/>
      </c>
      <c r="J4595" t="inlineStr">
        <is>
          <t>Material shelters, good</t>
        </is>
      </c>
    </row>
    <row r="4596">
      <c r="B4596" t="inlineStr">
        <is>
          <t>Material – Commodity Shelters</t>
        </is>
      </c>
      <c r="C4596" t="inlineStr">
        <is>
          <t>Average</t>
        </is>
      </c>
      <c r="G4596" t="n">
        <v>20</v>
      </c>
      <c r="H4596" t="n">
        <v>20</v>
      </c>
      <c r="I4596">
        <f>B4596&amp;"|"&amp;C4596</f>
        <v/>
      </c>
      <c r="J4596" t="inlineStr">
        <is>
          <t>average</t>
        </is>
      </c>
    </row>
    <row r="4597">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c r="B4598" t="inlineStr">
        <is>
          <t>Light Commercial Utility Buildings</t>
        </is>
      </c>
      <c r="C4598" t="inlineStr">
        <is>
          <t>Average</t>
        </is>
      </c>
      <c r="F4598" t="n">
        <v>30</v>
      </c>
      <c r="G4598" t="n">
        <v>25</v>
      </c>
      <c r="H4598" t="n">
        <v>25</v>
      </c>
      <c r="I4598">
        <f>B4598&amp;"|"&amp;C4598</f>
        <v/>
      </c>
      <c r="J4598" t="inlineStr">
        <is>
          <t>average</t>
        </is>
      </c>
    </row>
    <row r="4599">
      <c r="B4599" t="inlineStr">
        <is>
          <t>Light Commercial Utility Buildings</t>
        </is>
      </c>
      <c r="C4599" t="inlineStr">
        <is>
          <t>Low Cost</t>
        </is>
      </c>
      <c r="G4599" t="n">
        <v>20</v>
      </c>
      <c r="H4599" t="n">
        <v>20</v>
      </c>
      <c r="I4599">
        <f>B4599&amp;"|"&amp;C4599</f>
        <v/>
      </c>
      <c r="J4599" t="inlineStr">
        <is>
          <t>low cost</t>
        </is>
      </c>
    </row>
    <row r="4600">
      <c r="B4600" t="inlineStr">
        <is>
          <t>Toolshed Buildings</t>
        </is>
      </c>
      <c r="C4600" t="inlineStr">
        <is>
          <t>Good</t>
        </is>
      </c>
      <c r="F4600" t="n">
        <v>25</v>
      </c>
      <c r="G4600" t="n">
        <v>20</v>
      </c>
      <c r="I4600">
        <f>B4600&amp;"|"&amp;C4600</f>
        <v/>
      </c>
      <c r="J4600" t="inlineStr">
        <is>
          <t>Toolshed buildings, good</t>
        </is>
      </c>
    </row>
    <row r="4601">
      <c r="B4601" t="inlineStr">
        <is>
          <t>Toolshed Buildings</t>
        </is>
      </c>
      <c r="C4601" t="inlineStr">
        <is>
          <t>Average</t>
        </is>
      </c>
      <c r="G4601" t="n">
        <v>15</v>
      </c>
      <c r="I4601">
        <f>B4601&amp;"|"&amp;C4601</f>
        <v/>
      </c>
      <c r="J4601" t="inlineStr">
        <is>
          <t>average</t>
        </is>
      </c>
    </row>
    <row r="4602">
      <c r="B4602" t="inlineStr">
        <is>
          <t>Toolshed Buildings</t>
        </is>
      </c>
      <c r="C4602" t="inlineStr">
        <is>
          <t>Low Cost</t>
        </is>
      </c>
      <c r="G4602" t="n">
        <v>10</v>
      </c>
      <c r="I4602">
        <f>B4602&amp;"|"&amp;C4602</f>
        <v/>
      </c>
      <c r="J4602" t="inlineStr">
        <is>
          <t>low cost</t>
        </is>
      </c>
    </row>
    <row r="4603">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c r="B4604" t="inlineStr">
        <is>
          <t>Light Commercial Arch-Rib (Quonset) Buildings</t>
        </is>
      </c>
      <c r="C4604" t="inlineStr">
        <is>
          <t>Average</t>
        </is>
      </c>
      <c r="F4604" t="n">
        <v>30</v>
      </c>
      <c r="G4604" t="n">
        <v>25</v>
      </c>
      <c r="H4604" t="n">
        <v>25</v>
      </c>
      <c r="I4604">
        <f>B4604&amp;"|"&amp;C4604</f>
        <v/>
      </c>
      <c r="J4604" t="inlineStr">
        <is>
          <t>average</t>
        </is>
      </c>
    </row>
    <row r="4605">
      <c r="B4605" t="inlineStr">
        <is>
          <t>Light Commercial Arch-Rib (Quonset) Buildings</t>
        </is>
      </c>
      <c r="C4605" t="inlineStr">
        <is>
          <t>Low Cost</t>
        </is>
      </c>
      <c r="G4605" t="n">
        <v>20</v>
      </c>
      <c r="H4605" t="n">
        <v>20</v>
      </c>
      <c r="I4605">
        <f>B4605&amp;"|"&amp;C4605</f>
        <v/>
      </c>
      <c r="J4605" t="inlineStr">
        <is>
          <t>low cost</t>
        </is>
      </c>
    </row>
    <row r="4606">
      <c r="B4606" t="inlineStr">
        <is>
          <t>Light Commercial Equipment (Shop) Buildings</t>
        </is>
      </c>
      <c r="C4606" t="inlineStr">
        <is>
          <t>Good</t>
        </is>
      </c>
      <c r="F4606" t="n">
        <v>35</v>
      </c>
      <c r="G4606" t="n">
        <v>30</v>
      </c>
      <c r="H4606" t="n">
        <v>30</v>
      </c>
      <c r="I4606">
        <f>B4606&amp;"|"&amp;C4606</f>
        <v/>
      </c>
      <c r="J4606" t="inlineStr">
        <is>
          <t>Equipment shop buildings, good</t>
        </is>
      </c>
    </row>
    <row r="4607">
      <c r="B4607" t="inlineStr">
        <is>
          <t>Light Commercial Equipment (Shop) Buildings</t>
        </is>
      </c>
      <c r="C4607" t="inlineStr">
        <is>
          <t>Average</t>
        </is>
      </c>
      <c r="F4607" t="n">
        <v>30</v>
      </c>
      <c r="G4607" t="n">
        <v>25</v>
      </c>
      <c r="H4607" t="n">
        <v>25</v>
      </c>
      <c r="I4607">
        <f>B4607&amp;"|"&amp;C4607</f>
        <v/>
      </c>
      <c r="J4607" t="inlineStr">
        <is>
          <t>average</t>
        </is>
      </c>
    </row>
    <row r="4608">
      <c r="B4608" t="inlineStr">
        <is>
          <t>Light Commercial Equipment Sheds</t>
        </is>
      </c>
      <c r="C4608" t="inlineStr">
        <is>
          <t>Good</t>
        </is>
      </c>
      <c r="F4608" t="n">
        <v>30</v>
      </c>
      <c r="G4608" t="n">
        <v>25</v>
      </c>
      <c r="H4608" t="n">
        <v>25</v>
      </c>
      <c r="I4608">
        <f>B4608&amp;"|"&amp;C4608</f>
        <v/>
      </c>
      <c r="J4608" t="inlineStr">
        <is>
          <t>Equipment sheds, good</t>
        </is>
      </c>
    </row>
    <row r="4609">
      <c r="B4609" t="inlineStr">
        <is>
          <t>Light Commercial Equipment Sheds</t>
        </is>
      </c>
      <c r="C4609" t="inlineStr">
        <is>
          <t>Average</t>
        </is>
      </c>
      <c r="F4609" t="n">
        <v>25</v>
      </c>
      <c r="G4609" t="n">
        <v>20</v>
      </c>
      <c r="H4609" t="n">
        <v>20</v>
      </c>
      <c r="I4609">
        <f>B4609&amp;"|"&amp;C4609</f>
        <v/>
      </c>
      <c r="J4609" t="inlineStr">
        <is>
          <t>average</t>
        </is>
      </c>
    </row>
    <row r="4610">
      <c r="B4610" t="inlineStr">
        <is>
          <t>Shed Office Structures</t>
        </is>
      </c>
      <c r="C4610" t="inlineStr">
        <is>
          <t>Good</t>
        </is>
      </c>
      <c r="F4610" t="n">
        <v>40</v>
      </c>
      <c r="G4610" t="n">
        <v>35</v>
      </c>
      <c r="H4610" t="n">
        <v>35</v>
      </c>
      <c r="I4610">
        <f>B4610&amp;"|"&amp;C4610</f>
        <v/>
      </c>
      <c r="J4610" t="inlineStr">
        <is>
          <t>Shed office structures, good</t>
        </is>
      </c>
    </row>
    <row r="4611">
      <c r="B4611" t="inlineStr">
        <is>
          <t>Shed Office Structures</t>
        </is>
      </c>
      <c r="C4611" t="inlineStr">
        <is>
          <t>Average</t>
        </is>
      </c>
      <c r="F4611" t="n">
        <v>35</v>
      </c>
      <c r="G4611" t="n">
        <v>30</v>
      </c>
      <c r="H4611" t="n">
        <v>30</v>
      </c>
      <c r="I4611">
        <f>B4611&amp;"|"&amp;C4611</f>
        <v/>
      </c>
      <c r="J4611" t="inlineStr">
        <is>
          <t>average</t>
        </is>
      </c>
    </row>
    <row r="4612">
      <c r="B4612" t="inlineStr">
        <is>
          <t>Shed Office Structures</t>
        </is>
      </c>
      <c r="C4612" t="inlineStr">
        <is>
          <t>Low Cost</t>
        </is>
      </c>
      <c r="G4612" t="n">
        <v>25</v>
      </c>
      <c r="H4612" t="n">
        <v>25</v>
      </c>
      <c r="I4612">
        <f>B4612&amp;"|"&amp;C4612</f>
        <v/>
      </c>
      <c r="J4612" t="inlineStr">
        <is>
          <t>low cost</t>
        </is>
      </c>
    </row>
    <row r="4613">
      <c r="B4613" t="inlineStr">
        <is>
          <t>Golf Cart Storage Buildings</t>
        </is>
      </c>
      <c r="C4613" t="inlineStr">
        <is>
          <t>Excellent</t>
        </is>
      </c>
      <c r="G4613" t="n">
        <v>35</v>
      </c>
      <c r="H4613" t="n">
        <v>30</v>
      </c>
      <c r="I4613">
        <f>B4613&amp;"|"&amp;C4613</f>
        <v/>
      </c>
      <c r="J4613" t="inlineStr">
        <is>
          <t>Golf cart storage buildings, good</t>
        </is>
      </c>
    </row>
    <row r="4614">
      <c r="B4614" t="inlineStr">
        <is>
          <t>Golf Cart Storage Buildings</t>
        </is>
      </c>
      <c r="C4614" t="inlineStr">
        <is>
          <t>Good</t>
        </is>
      </c>
      <c r="G4614" t="n">
        <v>35</v>
      </c>
      <c r="H4614" t="n">
        <v>30</v>
      </c>
      <c r="I4614">
        <f>B4614&amp;"|"&amp;C4614</f>
        <v/>
      </c>
      <c r="J4614" t="inlineStr">
        <is>
          <t>Golf cart storage buildings, good</t>
        </is>
      </c>
    </row>
    <row r="4615">
      <c r="B4615" t="inlineStr">
        <is>
          <t>Golf Cart Storage Buildings</t>
        </is>
      </c>
      <c r="C4615" t="inlineStr">
        <is>
          <t>Average</t>
        </is>
      </c>
      <c r="G4615" t="n">
        <v>30</v>
      </c>
      <c r="H4615" t="n">
        <v>25</v>
      </c>
      <c r="I4615">
        <f>B4615&amp;"|"&amp;C4615</f>
        <v/>
      </c>
      <c r="J4615" t="inlineStr">
        <is>
          <t>average</t>
        </is>
      </c>
    </row>
    <row r="4616">
      <c r="B4616" t="inlineStr">
        <is>
          <t>Golf Starter (Guard House) Booths</t>
        </is>
      </c>
      <c r="C4616" t="inlineStr">
        <is>
          <t>Excellent</t>
        </is>
      </c>
      <c r="F4616" t="n">
        <v>40</v>
      </c>
      <c r="G4616" t="n">
        <v>35</v>
      </c>
      <c r="I4616">
        <f>B4616&amp;"|"&amp;C4616</f>
        <v/>
      </c>
      <c r="J4616" t="inlineStr">
        <is>
          <t>Golf starter booths, excellent</t>
        </is>
      </c>
    </row>
    <row r="4617">
      <c r="B4617" t="inlineStr">
        <is>
          <t>Golf Starter (Guard House) Booths</t>
        </is>
      </c>
      <c r="C4617" t="inlineStr">
        <is>
          <t>Good</t>
        </is>
      </c>
      <c r="F4617" t="n">
        <v>35</v>
      </c>
      <c r="G4617" t="n">
        <v>30</v>
      </c>
      <c r="H4617" t="n">
        <v>25</v>
      </c>
      <c r="I4617">
        <f>B4617&amp;"|"&amp;C4617</f>
        <v/>
      </c>
      <c r="J4617" t="inlineStr">
        <is>
          <t>good</t>
        </is>
      </c>
    </row>
    <row r="4618">
      <c r="B4618" t="inlineStr">
        <is>
          <t>Golf Starter (Guard House) Booths</t>
        </is>
      </c>
      <c r="C4618" t="inlineStr">
        <is>
          <t>Average</t>
        </is>
      </c>
      <c r="F4618" t="n">
        <v>25</v>
      </c>
      <c r="G4618" t="n">
        <v>20</v>
      </c>
      <c r="H4618" t="n">
        <v>20</v>
      </c>
      <c r="I4618">
        <f>B4618&amp;"|"&amp;C4618</f>
        <v/>
      </c>
      <c r="J4618" t="inlineStr">
        <is>
          <t>average</t>
        </is>
      </c>
    </row>
    <row r="4619">
      <c r="B4619" t="inlineStr">
        <is>
          <t>Golf Starter (Guard House) Booths</t>
        </is>
      </c>
      <c r="C4619" t="inlineStr">
        <is>
          <t>Low Cost</t>
        </is>
      </c>
      <c r="G4619" t="n">
        <v>15</v>
      </c>
      <c r="H4619" t="n">
        <v>10</v>
      </c>
      <c r="I4619">
        <f>B4619&amp;"|"&amp;C4619</f>
        <v/>
      </c>
      <c r="J4619" t="inlineStr">
        <is>
          <t>low cost</t>
        </is>
      </c>
    </row>
    <row r="4620">
      <c r="B4620" t="inlineStr">
        <is>
          <t>Material Storage Buildings</t>
        </is>
      </c>
      <c r="C4620" t="inlineStr">
        <is>
          <t>Very Good</t>
        </is>
      </c>
      <c r="F4620" t="n">
        <v>30</v>
      </c>
      <c r="G4620" t="n">
        <v>25</v>
      </c>
      <c r="H4620" t="n">
        <v>25</v>
      </c>
      <c r="I4620">
        <f>B4620&amp;"|"&amp;C4620</f>
        <v/>
      </c>
      <c r="J4620" t="inlineStr">
        <is>
          <t>Material storage buildings, good</t>
        </is>
      </c>
    </row>
    <row r="4621">
      <c r="B4621" t="inlineStr">
        <is>
          <t>Material Storage Buildings</t>
        </is>
      </c>
      <c r="C4621" t="inlineStr">
        <is>
          <t>Good</t>
        </is>
      </c>
      <c r="F4621" t="n">
        <v>30</v>
      </c>
      <c r="G4621" t="n">
        <v>25</v>
      </c>
      <c r="H4621" t="n">
        <v>25</v>
      </c>
      <c r="I4621">
        <f>B4621&amp;"|"&amp;C4621</f>
        <v/>
      </c>
      <c r="J4621" t="inlineStr">
        <is>
          <t>Material storage buildings, good</t>
        </is>
      </c>
    </row>
    <row r="4622">
      <c r="B4622" t="inlineStr">
        <is>
          <t>Material Storage Buildings</t>
        </is>
      </c>
      <c r="C4622" t="inlineStr">
        <is>
          <t>Average</t>
        </is>
      </c>
      <c r="F4622" t="n">
        <v>25</v>
      </c>
      <c r="G4622" t="n">
        <v>20</v>
      </c>
      <c r="H4622" t="n">
        <v>20</v>
      </c>
      <c r="I4622">
        <f>B4622&amp;"|"&amp;C4622</f>
        <v/>
      </c>
      <c r="J4622" t="inlineStr">
        <is>
          <t>average</t>
        </is>
      </c>
    </row>
    <row r="4623">
      <c r="B4623" t="inlineStr">
        <is>
          <t>Material Storage Sheds</t>
        </is>
      </c>
      <c r="C4623" t="inlineStr">
        <is>
          <t>Average</t>
        </is>
      </c>
      <c r="F4623" t="n">
        <v>25</v>
      </c>
      <c r="G4623" t="n">
        <v>20</v>
      </c>
      <c r="H4623" t="n">
        <v>20</v>
      </c>
      <c r="I4623">
        <f>B4623&amp;"|"&amp;C4623</f>
        <v/>
      </c>
      <c r="J4623" t="inlineStr">
        <is>
          <t>Material storage sheds, average</t>
        </is>
      </c>
    </row>
    <row r="4624">
      <c r="B4624" t="inlineStr">
        <is>
          <t>Material Storage Sheds</t>
        </is>
      </c>
      <c r="C4624" t="inlineStr">
        <is>
          <t>Low Cost</t>
        </is>
      </c>
      <c r="F4624" t="n">
        <v>20</v>
      </c>
      <c r="G4624" t="n">
        <v>15</v>
      </c>
      <c r="H4624" t="n">
        <v>15</v>
      </c>
      <c r="I4624">
        <f>B4624&amp;"|"&amp;C4624</f>
        <v/>
      </c>
      <c r="J4624" t="inlineStr">
        <is>
          <t>low cost</t>
        </is>
      </c>
    </row>
    <row r="4625">
      <c r="B4625" t="inlineStr">
        <is>
          <t>Bulk Oil Storage</t>
        </is>
      </c>
      <c r="C4625" t="inlineStr">
        <is>
          <t>Average</t>
        </is>
      </c>
      <c r="G4625" t="n">
        <v>30</v>
      </c>
      <c r="H4625" t="n">
        <v>30</v>
      </c>
      <c r="I4625">
        <f>B4625&amp;"|"&amp;C4625</f>
        <v/>
      </c>
      <c r="J4625" t="inlineStr">
        <is>
          <t>Bulk oil storage, average</t>
        </is>
      </c>
    </row>
    <row r="4626">
      <c r="B4626" t="inlineStr">
        <is>
          <t>Lumber Storage Buildings</t>
        </is>
      </c>
      <c r="C4626" t="inlineStr">
        <is>
          <t>Good</t>
        </is>
      </c>
      <c r="G4626" t="n">
        <v>25</v>
      </c>
      <c r="H4626" t="n">
        <v>25</v>
      </c>
      <c r="I4626">
        <f>B4626&amp;"|"&amp;C4626</f>
        <v/>
      </c>
      <c r="J4626" t="inlineStr">
        <is>
          <t>Lumber storage buildings, good</t>
        </is>
      </c>
    </row>
    <row r="4627">
      <c r="B4627" t="inlineStr">
        <is>
          <t>Lumber Storage Buildings</t>
        </is>
      </c>
      <c r="C4627" t="inlineStr">
        <is>
          <t>Average</t>
        </is>
      </c>
      <c r="G4627" t="n">
        <v>20</v>
      </c>
      <c r="H4627" t="n">
        <v>20</v>
      </c>
      <c r="I4627">
        <f>B4627&amp;"|"&amp;C4627</f>
        <v/>
      </c>
      <c r="J4627" t="inlineStr">
        <is>
          <t>average</t>
        </is>
      </c>
    </row>
    <row r="4628">
      <c r="B4628" t="inlineStr">
        <is>
          <t>Lumber Storage Buildings</t>
        </is>
      </c>
      <c r="C4628" t="inlineStr">
        <is>
          <t>Low Cost</t>
        </is>
      </c>
      <c r="G4628" t="n">
        <v>15</v>
      </c>
      <c r="H4628" t="n">
        <v>15</v>
      </c>
      <c r="I4628">
        <f>B4628&amp;"|"&amp;C4628</f>
        <v/>
      </c>
      <c r="J4628" t="inlineStr">
        <is>
          <t>low cost</t>
        </is>
      </c>
    </row>
    <row r="4629">
      <c r="B4629" t="inlineStr">
        <is>
          <t>Lumber Storage Sheds</t>
        </is>
      </c>
      <c r="C4629" t="inlineStr">
        <is>
          <t>Good</t>
        </is>
      </c>
      <c r="G4629" t="n">
        <v>25</v>
      </c>
      <c r="H4629" t="n">
        <v>20</v>
      </c>
      <c r="I4629">
        <f>B4629&amp;"|"&amp;C4629</f>
        <v/>
      </c>
      <c r="J4629" t="inlineStr">
        <is>
          <t>Lumber storage sheds, good</t>
        </is>
      </c>
    </row>
    <row r="4630">
      <c r="B4630" t="inlineStr">
        <is>
          <t>Lumber Storage Sheds</t>
        </is>
      </c>
      <c r="C4630" t="inlineStr">
        <is>
          <t>Average</t>
        </is>
      </c>
      <c r="G4630" t="n">
        <v>15</v>
      </c>
      <c r="H4630" t="n">
        <v>15</v>
      </c>
      <c r="I4630">
        <f>B4630&amp;"|"&amp;C4630</f>
        <v/>
      </c>
      <c r="J4630" t="inlineStr">
        <is>
          <t>low cost and average</t>
        </is>
      </c>
    </row>
    <row r="4631">
      <c r="B4631" t="inlineStr">
        <is>
          <t>Lumber Storage Sheds</t>
        </is>
      </c>
      <c r="C4631" t="inlineStr">
        <is>
          <t>Low Cost</t>
        </is>
      </c>
      <c r="G4631" t="n">
        <v>15</v>
      </c>
      <c r="H4631" t="n">
        <v>15</v>
      </c>
      <c r="I4631">
        <f>B4631&amp;"|"&amp;C4631</f>
        <v/>
      </c>
      <c r="J4631" t="inlineStr">
        <is>
          <t>low cost and average</t>
        </is>
      </c>
    </row>
    <row r="4632">
      <c r="B4632" t="inlineStr">
        <is>
          <t>Boat Storage Buildings</t>
        </is>
      </c>
      <c r="C4632" t="inlineStr">
        <is>
          <t>Average</t>
        </is>
      </c>
      <c r="G4632" t="n">
        <v>25</v>
      </c>
      <c r="H4632" t="n">
        <v>25</v>
      </c>
      <c r="I4632">
        <f>B4632&amp;"|"&amp;C4632</f>
        <v/>
      </c>
      <c r="J4632" t="inlineStr">
        <is>
          <t>average</t>
        </is>
      </c>
    </row>
    <row r="4633">
      <c r="B4633" t="inlineStr">
        <is>
          <t>Boat Storage Buildings</t>
        </is>
      </c>
      <c r="C4633" t="inlineStr">
        <is>
          <t>Low Cost</t>
        </is>
      </c>
      <c r="G4633" t="n">
        <v>20</v>
      </c>
      <c r="H4633" t="n">
        <v>20</v>
      </c>
      <c r="I4633">
        <f>B4633&amp;"|"&amp;C4633</f>
        <v/>
      </c>
      <c r="J4633" t="inlineStr">
        <is>
          <t>low cost</t>
        </is>
      </c>
    </row>
    <row r="4634">
      <c r="B4634" t="inlineStr">
        <is>
          <t>Boat Storage Buildings</t>
        </is>
      </c>
      <c r="C4634" t="inlineStr">
        <is>
          <t>Good</t>
        </is>
      </c>
      <c r="H4634" t="n">
        <v>30</v>
      </c>
      <c r="I4634">
        <f>B4634&amp;"|"&amp;C4634</f>
        <v/>
      </c>
      <c r="J4634" t="inlineStr">
        <is>
          <t>Boat storage buildings, good</t>
        </is>
      </c>
    </row>
    <row r="4635">
      <c r="B4635" t="inlineStr">
        <is>
          <t>Boat Storage Sheds</t>
        </is>
      </c>
      <c r="C4635" t="inlineStr">
        <is>
          <t>Good</t>
        </is>
      </c>
      <c r="G4635" t="n">
        <v>20</v>
      </c>
      <c r="H4635" t="n">
        <v>20</v>
      </c>
      <c r="I4635">
        <f>B4635&amp;"|"&amp;C4635</f>
        <v/>
      </c>
      <c r="J4635" t="inlineStr">
        <is>
          <t>Boat storage sheds, good</t>
        </is>
      </c>
    </row>
    <row r="4636">
      <c r="B4636" t="inlineStr">
        <is>
          <t>Boat Storage Sheds</t>
        </is>
      </c>
      <c r="C4636" t="inlineStr">
        <is>
          <t>Average</t>
        </is>
      </c>
      <c r="G4636" t="n">
        <v>15</v>
      </c>
      <c r="H4636" t="n">
        <v>15</v>
      </c>
      <c r="I4636">
        <f>B4636&amp;"|"&amp;C4636</f>
        <v/>
      </c>
      <c r="J4636" t="inlineStr">
        <is>
          <t>low cost and average</t>
        </is>
      </c>
    </row>
    <row r="4637">
      <c r="B4637" t="inlineStr">
        <is>
          <t>Boat Storage Sheds</t>
        </is>
      </c>
      <c r="C4637" t="inlineStr">
        <is>
          <t>Low Cost</t>
        </is>
      </c>
      <c r="G4637" t="n">
        <v>15</v>
      </c>
      <c r="H4637" t="n">
        <v>15</v>
      </c>
      <c r="I4637">
        <f>B4637&amp;"|"&amp;C4637</f>
        <v/>
      </c>
      <c r="J4637" t="inlineStr">
        <is>
          <t>low cost and average</t>
        </is>
      </c>
    </row>
    <row r="4638">
      <c r="B4638" t="inlineStr">
        <is>
          <t>Bag Fertilizer Storage</t>
        </is>
      </c>
      <c r="C4638" t="inlineStr">
        <is>
          <t>Average</t>
        </is>
      </c>
      <c r="G4638" t="n">
        <v>30</v>
      </c>
      <c r="H4638" t="n">
        <v>30</v>
      </c>
      <c r="I4638">
        <f>B4638&amp;"|"&amp;C4638</f>
        <v/>
      </c>
      <c r="J4638" t="inlineStr">
        <is>
          <t>Bag fertilizer storage, average</t>
        </is>
      </c>
    </row>
    <row r="4639">
      <c r="B4639" t="inlineStr">
        <is>
          <t>Bulk Fertilizer Storage</t>
        </is>
      </c>
      <c r="C4639" t="inlineStr">
        <is>
          <t>Average</t>
        </is>
      </c>
      <c r="F4639" t="n">
        <v>35</v>
      </c>
      <c r="G4639" t="n">
        <v>30</v>
      </c>
      <c r="H4639" t="n">
        <v>30</v>
      </c>
      <c r="I4639">
        <f>B4639&amp;"|"&amp;C4639</f>
        <v/>
      </c>
      <c r="J4639" t="inlineStr">
        <is>
          <t>Bulk fertilizer storage, average</t>
        </is>
      </c>
    </row>
    <row r="4640">
      <c r="B4640" t="inlineStr">
        <is>
          <t>Tobacco Barns – Flue Curing</t>
        </is>
      </c>
      <c r="C4640" t="inlineStr">
        <is>
          <t>Average</t>
        </is>
      </c>
      <c r="F4640" t="n">
        <v>25</v>
      </c>
      <c r="G4640" t="n">
        <v>20</v>
      </c>
      <c r="H4640" t="n">
        <v>20</v>
      </c>
      <c r="I4640">
        <f>B4640&amp;"|"&amp;C4640</f>
        <v/>
      </c>
      <c r="J4640" t="inlineStr">
        <is>
          <t>Tobacco barns, flue curing, average</t>
        </is>
      </c>
    </row>
    <row r="4641">
      <c r="B4641" t="inlineStr">
        <is>
          <t>Tobacco Barns – Air Curing</t>
        </is>
      </c>
      <c r="C4641" t="inlineStr">
        <is>
          <t>Average</t>
        </is>
      </c>
      <c r="G4641" t="n">
        <v>25</v>
      </c>
      <c r="I4641">
        <f>B4641&amp;"|"&amp;C4641</f>
        <v/>
      </c>
      <c r="J4641" t="inlineStr">
        <is>
          <t>air curing, average</t>
        </is>
      </c>
    </row>
    <row r="4642">
      <c r="B4642" t="inlineStr">
        <is>
          <t>Tobacco Barns – Air Curing</t>
        </is>
      </c>
      <c r="C4642" t="inlineStr">
        <is>
          <t>Low Cost</t>
        </is>
      </c>
      <c r="G4642" t="n">
        <v>20</v>
      </c>
      <c r="I4642">
        <f>B4642&amp;"|"&amp;C4642</f>
        <v/>
      </c>
      <c r="J4642" t="inlineStr">
        <is>
          <t>low cost</t>
        </is>
      </c>
    </row>
    <row r="4643">
      <c r="B4643" t="inlineStr">
        <is>
          <t>Dehydrator Shed Buildings</t>
        </is>
      </c>
      <c r="C4643" t="inlineStr">
        <is>
          <t>Average</t>
        </is>
      </c>
      <c r="F4643" t="n">
        <v>35</v>
      </c>
      <c r="I4643">
        <f>B4643&amp;"|"&amp;C4643</f>
        <v/>
      </c>
      <c r="J4643" t="inlineStr">
        <is>
          <t>Dehydrator buildings, average</t>
        </is>
      </c>
    </row>
    <row r="4644">
      <c r="B4644" t="inlineStr">
        <is>
          <t>Farm Cold Storage Buildings</t>
        </is>
      </c>
      <c r="C4644" t="inlineStr">
        <is>
          <t>Good</t>
        </is>
      </c>
      <c r="F4644" t="n">
        <v>40</v>
      </c>
      <c r="G4644" t="n">
        <v>35</v>
      </c>
      <c r="H4644" t="n">
        <v>35</v>
      </c>
      <c r="I4644">
        <f>B4644&amp;"|"&amp;C4644</f>
        <v/>
      </c>
      <c r="J4644" t="inlineStr">
        <is>
          <t>Cold storage buildings, good</t>
        </is>
      </c>
    </row>
    <row r="4645">
      <c r="B4645" t="inlineStr">
        <is>
          <t>Farm Cold Storage Buildings</t>
        </is>
      </c>
      <c r="C4645" t="inlineStr">
        <is>
          <t>Average</t>
        </is>
      </c>
      <c r="F4645" t="n">
        <v>35</v>
      </c>
      <c r="G4645" t="n">
        <v>30</v>
      </c>
      <c r="H4645" t="n">
        <v>30</v>
      </c>
      <c r="I4645">
        <f>B4645&amp;"|"&amp;C4645</f>
        <v/>
      </c>
      <c r="J4645" t="inlineStr">
        <is>
          <t>average</t>
        </is>
      </c>
    </row>
    <row r="4646">
      <c r="B4646" t="inlineStr">
        <is>
          <t>Farm Cold Storage Buildings</t>
        </is>
      </c>
      <c r="C4646" t="inlineStr">
        <is>
          <t>Low Cost</t>
        </is>
      </c>
      <c r="F4646" t="n">
        <v>30</v>
      </c>
      <c r="G4646" t="n">
        <v>25</v>
      </c>
      <c r="H4646" t="n">
        <v>25</v>
      </c>
      <c r="I4646">
        <f>B4646&amp;"|"&amp;C4646</f>
        <v/>
      </c>
      <c r="J4646" t="inlineStr">
        <is>
          <t>low cost</t>
        </is>
      </c>
    </row>
    <row r="4647">
      <c r="B4647" t="inlineStr">
        <is>
          <t>Fruit Packing Barns</t>
        </is>
      </c>
      <c r="C4647" t="inlineStr">
        <is>
          <t>Average</t>
        </is>
      </c>
      <c r="F4647" t="n">
        <v>30</v>
      </c>
      <c r="G4647" t="n">
        <v>25</v>
      </c>
      <c r="H4647" t="n">
        <v>25</v>
      </c>
      <c r="I4647">
        <f>B4647&amp;"|"&amp;C4647</f>
        <v/>
      </c>
      <c r="J4647" t="inlineStr">
        <is>
          <t>Fruit-packing barns, average</t>
        </is>
      </c>
    </row>
    <row r="4648">
      <c r="B4648" t="inlineStr">
        <is>
          <t>Potato Storage Buildings</t>
        </is>
      </c>
      <c r="C4648" t="inlineStr">
        <is>
          <t>Good</t>
        </is>
      </c>
      <c r="F4648" t="n">
        <v>30</v>
      </c>
      <c r="G4648" t="n">
        <v>25</v>
      </c>
      <c r="H4648" t="n">
        <v>25</v>
      </c>
      <c r="I4648">
        <f>B4648&amp;"|"&amp;C4648</f>
        <v/>
      </c>
      <c r="J4648" t="inlineStr">
        <is>
          <t>Potato storage buildings, good</t>
        </is>
      </c>
    </row>
    <row r="4649">
      <c r="B4649" t="inlineStr">
        <is>
          <t>Potato Storage Buildings</t>
        </is>
      </c>
      <c r="C4649" t="inlineStr">
        <is>
          <t>Average</t>
        </is>
      </c>
      <c r="F4649" t="n">
        <v>25</v>
      </c>
      <c r="G4649" t="n">
        <v>20</v>
      </c>
      <c r="H4649" t="n">
        <v>20</v>
      </c>
      <c r="I4649">
        <f>B4649&amp;"|"&amp;C4649</f>
        <v/>
      </c>
      <c r="J4649" t="inlineStr">
        <is>
          <t>average</t>
        </is>
      </c>
    </row>
    <row r="4650">
      <c r="B4650" t="inlineStr">
        <is>
          <t>Potato Storage Buildings</t>
        </is>
      </c>
      <c r="C4650" t="inlineStr">
        <is>
          <t>Low Cost</t>
        </is>
      </c>
      <c r="F4650" t="n">
        <v>20</v>
      </c>
      <c r="G4650" t="n">
        <v>15</v>
      </c>
      <c r="H4650" t="n">
        <v>15</v>
      </c>
      <c r="I4650">
        <f>B4650&amp;"|"&amp;C4650</f>
        <v/>
      </c>
      <c r="J4650" t="inlineStr">
        <is>
          <t>cheap and low cost</t>
        </is>
      </c>
    </row>
    <row r="4651">
      <c r="B4651" t="inlineStr">
        <is>
          <t>Potato Storage Buildings</t>
        </is>
      </c>
      <c r="C4651" t="inlineStr">
        <is>
          <t>Cheap</t>
        </is>
      </c>
      <c r="F4651" t="n">
        <v>20</v>
      </c>
      <c r="G4651" t="n">
        <v>15</v>
      </c>
      <c r="H4651" t="n">
        <v>15</v>
      </c>
      <c r="I4651">
        <f>B4651&amp;"|"&amp;C4651</f>
        <v/>
      </c>
      <c r="J4651" t="inlineStr">
        <is>
          <t>cheap and low cost</t>
        </is>
      </c>
    </row>
    <row r="4652">
      <c r="B4652" t="inlineStr">
        <is>
          <t>Vegetable Buildings – Environmental</t>
        </is>
      </c>
      <c r="C4652" t="inlineStr">
        <is>
          <t>Good</t>
        </is>
      </c>
      <c r="H4652" t="n">
        <v>35</v>
      </c>
      <c r="I4652">
        <f>B4652&amp;"|"&amp;C4652</f>
        <v/>
      </c>
      <c r="J4652" t="inlineStr">
        <is>
          <t>Vegetable storage buildings, good</t>
        </is>
      </c>
    </row>
    <row r="4653">
      <c r="B4653" t="inlineStr">
        <is>
          <t>Vegetable Buildings – Environmental</t>
        </is>
      </c>
      <c r="C4653" t="inlineStr">
        <is>
          <t>Fair</t>
        </is>
      </c>
      <c r="H4653" t="n">
        <v>30</v>
      </c>
      <c r="I4653">
        <f>B4653&amp;"|"&amp;C4653</f>
        <v/>
      </c>
      <c r="J4653" t="inlineStr">
        <is>
          <t>low cost and fair</t>
        </is>
      </c>
    </row>
    <row r="4654">
      <c r="B4654" t="inlineStr">
        <is>
          <t>Vegetable Buildings – Environmental</t>
        </is>
      </c>
      <c r="C4654" t="inlineStr">
        <is>
          <t>Low Cost</t>
        </is>
      </c>
      <c r="H4654" t="n">
        <v>30</v>
      </c>
      <c r="I4654">
        <f>B4654&amp;"|"&amp;C4654</f>
        <v/>
      </c>
      <c r="J4654" t="inlineStr">
        <is>
          <t>low cost and fair</t>
        </is>
      </c>
    </row>
    <row r="4655">
      <c r="B4655" t="inlineStr">
        <is>
          <t>Controlled Atmosphere Buildings</t>
        </is>
      </c>
      <c r="C4655" t="inlineStr">
        <is>
          <t>Average</t>
        </is>
      </c>
      <c r="F4655" t="n">
        <v>35</v>
      </c>
      <c r="G4655" t="n">
        <v>30</v>
      </c>
      <c r="H4655" t="n">
        <v>30</v>
      </c>
      <c r="I4655">
        <f>B4655&amp;"|"&amp;C4655</f>
        <v/>
      </c>
      <c r="J4655" t="inlineStr">
        <is>
          <t>Controlled atmosphere storage, average</t>
        </is>
      </c>
    </row>
    <row r="4656">
      <c r="B4656" t="inlineStr">
        <is>
          <t>Greenhouse – Straight-Wall Structures</t>
        </is>
      </c>
      <c r="C4656" t="inlineStr">
        <is>
          <t>Average</t>
        </is>
      </c>
      <c r="G4656" t="n">
        <v>20</v>
      </c>
      <c r="H4656" t="n">
        <v>25</v>
      </c>
      <c r="I4656">
        <f>B4656&amp;"|"&amp;C4656</f>
        <v/>
      </c>
      <c r="J4656" t="inlineStr">
        <is>
          <t>average</t>
        </is>
      </c>
    </row>
    <row r="4657">
      <c r="B4657" t="inlineStr">
        <is>
          <t>Greenhouse – Straight-Wall Structures</t>
        </is>
      </c>
      <c r="C4657" t="inlineStr">
        <is>
          <t>Fair</t>
        </is>
      </c>
      <c r="G4657" t="n">
        <v>15</v>
      </c>
      <c r="H4657" t="n">
        <v>20</v>
      </c>
      <c r="I4657">
        <f>B4657&amp;"|"&amp;C4657</f>
        <v/>
      </c>
      <c r="J4657" t="inlineStr">
        <is>
          <t>fair</t>
        </is>
      </c>
    </row>
    <row r="4658">
      <c r="B4658" t="inlineStr">
        <is>
          <t>Greenhouse – Straight-Wall Structures</t>
        </is>
      </c>
      <c r="C4658" t="inlineStr">
        <is>
          <t>Low Cost</t>
        </is>
      </c>
      <c r="G4658" t="n">
        <v>10</v>
      </c>
      <c r="H4658" t="n">
        <v>15</v>
      </c>
      <c r="I4658">
        <f>B4658&amp;"|"&amp;C4658</f>
        <v/>
      </c>
      <c r="J4658" t="inlineStr">
        <is>
          <t>cheap and low cost</t>
        </is>
      </c>
    </row>
    <row r="4659">
      <c r="B4659" t="inlineStr">
        <is>
          <t>Greenhouse – Straight-Wall Structures</t>
        </is>
      </c>
      <c r="C4659" t="inlineStr">
        <is>
          <t>Cheap</t>
        </is>
      </c>
      <c r="G4659" t="n">
        <v>10</v>
      </c>
      <c r="H4659" t="n">
        <v>15</v>
      </c>
      <c r="I4659">
        <f>B4659&amp;"|"&amp;C4659</f>
        <v/>
      </c>
      <c r="J4659" t="inlineStr">
        <is>
          <t>cheap and low cost</t>
        </is>
      </c>
    </row>
    <row r="4660">
      <c r="B4660" t="inlineStr">
        <is>
          <t>Greenhouse – Straight-Wall Structures</t>
        </is>
      </c>
      <c r="C4660" t="inlineStr">
        <is>
          <t>Excellent</t>
        </is>
      </c>
      <c r="H4660" t="n">
        <v>40</v>
      </c>
      <c r="I4660">
        <f>B4660&amp;"|"&amp;C4660</f>
        <v/>
      </c>
      <c r="J4660" t="inlineStr">
        <is>
          <t>Greenhouses, straight wall, very good and excellent</t>
        </is>
      </c>
    </row>
    <row r="4661">
      <c r="B4661" t="inlineStr">
        <is>
          <t>Greenhouse – Straight-Wall Structures</t>
        </is>
      </c>
      <c r="C4661" t="inlineStr">
        <is>
          <t>Very Good</t>
        </is>
      </c>
      <c r="H4661" t="n">
        <v>40</v>
      </c>
      <c r="I4661">
        <f>B4661&amp;"|"&amp;C4661</f>
        <v/>
      </c>
      <c r="J4661" t="inlineStr">
        <is>
          <t>Greenhouses, straight wall, very good and excellent</t>
        </is>
      </c>
    </row>
    <row r="4662">
      <c r="B4662" t="inlineStr">
        <is>
          <t>Greenhouse – Straight-Wall Structures</t>
        </is>
      </c>
      <c r="C4662" t="inlineStr">
        <is>
          <t>Good</t>
        </is>
      </c>
      <c r="H4662" t="n">
        <v>35</v>
      </c>
      <c r="I4662">
        <f>B4662&amp;"|"&amp;C4662</f>
        <v/>
      </c>
      <c r="J4662" t="inlineStr">
        <is>
          <t>good</t>
        </is>
      </c>
    </row>
    <row r="4663">
      <c r="B4663" t="inlineStr">
        <is>
          <t>Greenhouse – Hoop (Arch-Rib/Quonset) Structures</t>
        </is>
      </c>
      <c r="C4663" t="inlineStr">
        <is>
          <t>Low Cost</t>
        </is>
      </c>
      <c r="G4663" t="n">
        <v>10</v>
      </c>
      <c r="H4663" t="n">
        <v>10</v>
      </c>
      <c r="I4663">
        <f>B4663&amp;"|"&amp;C4663</f>
        <v/>
      </c>
      <c r="J4663" t="inlineStr">
        <is>
          <t>cheap and low cost</t>
        </is>
      </c>
    </row>
    <row r="4664">
      <c r="B4664" t="inlineStr">
        <is>
          <t>Greenhouse – Hoop (Arch-Rib/Quonset) Structures</t>
        </is>
      </c>
      <c r="C4664" t="inlineStr">
        <is>
          <t>Very Good</t>
        </is>
      </c>
      <c r="H4664" t="n">
        <v>35</v>
      </c>
      <c r="I4664">
        <f>B4664&amp;"|"&amp;C4664</f>
        <v/>
      </c>
      <c r="J4664" t="inlineStr">
        <is>
          <t>hoop structures, very good</t>
        </is>
      </c>
    </row>
    <row r="4665">
      <c r="B4665" t="inlineStr">
        <is>
          <t>Greenhouse – Hoop (Arch-Rib/Quonset) Structures</t>
        </is>
      </c>
      <c r="C4665" t="inlineStr">
        <is>
          <t>Good</t>
        </is>
      </c>
      <c r="H4665" t="n">
        <v>30</v>
      </c>
      <c r="I4665">
        <f>B4665&amp;"|"&amp;C4665</f>
        <v/>
      </c>
      <c r="J4665" t="inlineStr">
        <is>
          <t>good</t>
        </is>
      </c>
    </row>
    <row r="4666">
      <c r="B4666" t="inlineStr">
        <is>
          <t>Greenhouse – Hoop (Arch-Rib/Quonset) Structures</t>
        </is>
      </c>
      <c r="C4666" t="inlineStr">
        <is>
          <t>Average</t>
        </is>
      </c>
      <c r="H4666" t="n">
        <v>20</v>
      </c>
      <c r="I4666">
        <f>B4666&amp;"|"&amp;C4666</f>
        <v/>
      </c>
      <c r="J4666" t="inlineStr">
        <is>
          <t>average</t>
        </is>
      </c>
    </row>
    <row r="4667">
      <c r="B4667" t="inlineStr">
        <is>
          <t>Greenhouse – Hoop (Arch-Rib/Quonset) Structures</t>
        </is>
      </c>
      <c r="C4667" t="inlineStr">
        <is>
          <t>Fair</t>
        </is>
      </c>
      <c r="H4667" t="n">
        <v>15</v>
      </c>
      <c r="I4667">
        <f>B4667&amp;"|"&amp;C4667</f>
        <v/>
      </c>
      <c r="J4667" t="inlineStr">
        <is>
          <t>fair</t>
        </is>
      </c>
    </row>
    <row r="4668">
      <c r="B4668" t="inlineStr">
        <is>
          <t>Greenhouse – Hoop (Arch-Rib/Quonset) Structures</t>
        </is>
      </c>
      <c r="C4668" t="inlineStr">
        <is>
          <t>Cheap</t>
        </is>
      </c>
      <c r="G4668" t="n">
        <v>10</v>
      </c>
      <c r="H4668" t="n">
        <v>10</v>
      </c>
      <c r="I4668">
        <f>B4668&amp;"|"&amp;C4668</f>
        <v/>
      </c>
      <c r="J4668" t="inlineStr">
        <is>
          <t>cheap and low cost</t>
        </is>
      </c>
    </row>
    <row r="4669">
      <c r="B4669" t="inlineStr">
        <is>
          <t>Greenhouse Shade Shelters</t>
        </is>
      </c>
      <c r="C4669" t="inlineStr">
        <is>
          <t>Average</t>
        </is>
      </c>
      <c r="G4669" t="n">
        <v>10</v>
      </c>
      <c r="H4669" t="n">
        <v>10</v>
      </c>
      <c r="I4669">
        <f>B4669&amp;"|"&amp;C4669</f>
        <v/>
      </c>
      <c r="J4669" t="inlineStr">
        <is>
          <t>shade shelters, low cost and average</t>
        </is>
      </c>
    </row>
    <row r="4670">
      <c r="B4670" t="inlineStr">
        <is>
          <t>Greenhouse Shade Shelters</t>
        </is>
      </c>
      <c r="C4670" t="inlineStr">
        <is>
          <t>Low Cost</t>
        </is>
      </c>
      <c r="G4670" t="n">
        <v>10</v>
      </c>
      <c r="H4670" t="n">
        <v>10</v>
      </c>
      <c r="I4670">
        <f>B4670&amp;"|"&amp;C4670</f>
        <v/>
      </c>
      <c r="J4670" t="inlineStr">
        <is>
          <t>shade shelters, low cost and average</t>
        </is>
      </c>
    </row>
    <row r="4671">
      <c r="B4671" t="inlineStr">
        <is>
          <t>Lath Shade Houses</t>
        </is>
      </c>
      <c r="C4671" t="inlineStr">
        <is>
          <t>Average</t>
        </is>
      </c>
      <c r="G4671" t="n">
        <v>20</v>
      </c>
      <c r="H4671" t="n">
        <v>25</v>
      </c>
      <c r="I4671">
        <f>B4671&amp;"|"&amp;C4671</f>
        <v/>
      </c>
      <c r="J4671" t="inlineStr">
        <is>
          <t>Lath shade houses, average</t>
        </is>
      </c>
    </row>
    <row r="4672">
      <c r="B4672" t="inlineStr">
        <is>
          <t>Flathouse Storage Buildings</t>
        </is>
      </c>
      <c r="C4672" t="inlineStr">
        <is>
          <t>Good</t>
        </is>
      </c>
      <c r="F4672" t="n">
        <v>45</v>
      </c>
      <c r="G4672" t="n">
        <v>40</v>
      </c>
      <c r="H4672" t="n">
        <v>40</v>
      </c>
      <c r="I4672">
        <f>B4672&amp;"|"&amp;C4672</f>
        <v/>
      </c>
      <c r="J4672" t="inlineStr">
        <is>
          <t>Flathouse storage buildings, good</t>
        </is>
      </c>
    </row>
    <row r="4673">
      <c r="B4673" t="inlineStr">
        <is>
          <t>Flathouse Storage Buildings</t>
        </is>
      </c>
      <c r="C4673" t="inlineStr">
        <is>
          <t>Average</t>
        </is>
      </c>
      <c r="F4673" t="n">
        <v>35</v>
      </c>
      <c r="G4673" t="n">
        <v>30</v>
      </c>
      <c r="H4673" t="n">
        <v>30</v>
      </c>
      <c r="I4673">
        <f>B4673&amp;"|"&amp;C4673</f>
        <v/>
      </c>
      <c r="J4673" t="inlineStr">
        <is>
          <t>average</t>
        </is>
      </c>
    </row>
    <row r="4674">
      <c r="B4674" t="inlineStr">
        <is>
          <t>Feed Handling and Mixing Shed Building</t>
        </is>
      </c>
      <c r="C4674" t="inlineStr">
        <is>
          <t>Average</t>
        </is>
      </c>
      <c r="G4674" t="n">
        <v>20</v>
      </c>
      <c r="H4674" t="n">
        <v>20</v>
      </c>
      <c r="I4674">
        <f>B4674&amp;"|"&amp;C4674</f>
        <v/>
      </c>
      <c r="J4674" t="inlineStr">
        <is>
          <t>Feed handling and mixing, average</t>
        </is>
      </c>
    </row>
    <row r="4675">
      <c r="B4675" t="inlineStr">
        <is>
          <t>Cotton Gins</t>
        </is>
      </c>
      <c r="C4675" t="inlineStr">
        <is>
          <t>Average</t>
        </is>
      </c>
      <c r="H4675" t="n">
        <v>30</v>
      </c>
      <c r="I4675">
        <f>B4675&amp;"|"&amp;C4675</f>
        <v/>
      </c>
      <c r="J4675" t="inlineStr">
        <is>
          <t>Cotton gin buildings, average</t>
        </is>
      </c>
    </row>
    <row r="4676">
      <c r="B4676" t="inlineStr">
        <is>
          <t>Cotton Gins</t>
        </is>
      </c>
      <c r="C4676" t="inlineStr">
        <is>
          <t>Low Cost</t>
        </is>
      </c>
      <c r="H4676" t="n">
        <v>25</v>
      </c>
      <c r="I4676">
        <f>B4676&amp;"|"&amp;C4676</f>
        <v/>
      </c>
      <c r="J4676" t="inlineStr">
        <is>
          <t>low cost</t>
        </is>
      </c>
    </row>
    <row r="4677">
      <c r="B4677" t="inlineStr">
        <is>
          <t>Seed Processing Storage</t>
        </is>
      </c>
      <c r="C4677" t="inlineStr">
        <is>
          <t>Average</t>
        </is>
      </c>
      <c r="G4677" t="n">
        <v>30</v>
      </c>
      <c r="H4677" t="n">
        <v>30</v>
      </c>
      <c r="I4677">
        <f>B4677&amp;"|"&amp;C4677</f>
        <v/>
      </c>
      <c r="J4677" t="inlineStr">
        <is>
          <t>Seed processing storage, average</t>
        </is>
      </c>
    </row>
    <row r="4678">
      <c r="B4678" t="inlineStr">
        <is>
          <t>Secure Storage Modular Shed Buildings</t>
        </is>
      </c>
      <c r="C4678" t="inlineStr">
        <is>
          <t>Good</t>
        </is>
      </c>
      <c r="F4678" t="n">
        <v>25</v>
      </c>
      <c r="H4678" t="n">
        <v>20</v>
      </c>
      <c r="I4678">
        <f>B4678&amp;"|"&amp;C4678</f>
        <v/>
      </c>
      <c r="J4678" t="inlineStr">
        <is>
          <t>secure storage, average and good</t>
        </is>
      </c>
    </row>
    <row r="4679">
      <c r="B4679" t="inlineStr">
        <is>
          <t>Secure Storage Modular Shed Buildings</t>
        </is>
      </c>
      <c r="C4679" t="inlineStr">
        <is>
          <t>Average</t>
        </is>
      </c>
      <c r="F4679" t="n">
        <v>25</v>
      </c>
      <c r="H4679" t="n">
        <v>20</v>
      </c>
      <c r="I4679">
        <f>B4679&amp;"|"&amp;C4679</f>
        <v/>
      </c>
      <c r="J4679" t="inlineStr">
        <is>
          <t>secure storage, average and good</t>
        </is>
      </c>
    </row>
    <row r="4680">
      <c r="B4680" t="inlineStr">
        <is>
          <t>Secure Storage Modular Shed Buildings</t>
        </is>
      </c>
      <c r="C4680" t="inlineStr">
        <is>
          <t>Low Cost</t>
        </is>
      </c>
      <c r="H4680" t="n">
        <v>15</v>
      </c>
      <c r="I4680">
        <f>B4680&amp;"|"&amp;C4680</f>
        <v/>
      </c>
      <c r="J4680" t="inlineStr">
        <is>
          <t>low cost</t>
        </is>
      </c>
    </row>
    <row r="4681">
      <c r="B4681" t="inlineStr">
        <is>
          <t>Prefabricated Storage Shed Buildings</t>
        </is>
      </c>
      <c r="C4681" t="inlineStr">
        <is>
          <t>Excellent</t>
        </is>
      </c>
      <c r="G4681" t="n">
        <v>20</v>
      </c>
      <c r="H4681" t="n">
        <v>20</v>
      </c>
      <c r="I4681">
        <f>B4681&amp;"|"&amp;C4681</f>
        <v/>
      </c>
      <c r="J4681" t="inlineStr">
        <is>
          <t>Prefabricated storage sheds, good and excellent</t>
        </is>
      </c>
    </row>
    <row r="4682">
      <c r="B4682" t="inlineStr">
        <is>
          <t>Prefabricated Storage Shed Buildings</t>
        </is>
      </c>
      <c r="C4682" t="inlineStr">
        <is>
          <t>Good</t>
        </is>
      </c>
      <c r="G4682" t="n">
        <v>20</v>
      </c>
      <c r="H4682" t="n">
        <v>20</v>
      </c>
      <c r="I4682">
        <f>B4682&amp;"|"&amp;C4682</f>
        <v/>
      </c>
      <c r="J4682" t="inlineStr">
        <is>
          <t>Prefabricated storage sheds, good and excellent</t>
        </is>
      </c>
    </row>
    <row r="4683">
      <c r="B4683" t="inlineStr">
        <is>
          <t>Prefabricated Storage Shed Buildings</t>
        </is>
      </c>
      <c r="C4683" t="inlineStr">
        <is>
          <t>Average</t>
        </is>
      </c>
      <c r="G4683" t="n">
        <v>15</v>
      </c>
      <c r="H4683" t="n">
        <v>15</v>
      </c>
      <c r="I4683">
        <f>B4683&amp;"|"&amp;C4683</f>
        <v/>
      </c>
      <c r="J4683" t="inlineStr">
        <is>
          <t>average</t>
        </is>
      </c>
    </row>
    <row r="4684">
      <c r="B4684" t="inlineStr">
        <is>
          <t>Prefabricated Storage Shed Buildings</t>
        </is>
      </c>
      <c r="C4684" t="inlineStr">
        <is>
          <t>Low Cost</t>
        </is>
      </c>
      <c r="G4684" t="n">
        <v>10</v>
      </c>
      <c r="H4684" t="n">
        <v>10</v>
      </c>
      <c r="I4684">
        <f>B4684&amp;"|"&amp;C4684</f>
        <v/>
      </c>
      <c r="J4684" t="inlineStr">
        <is>
          <t>low cost</t>
        </is>
      </c>
    </row>
    <row r="4685">
      <c r="B4685" t="inlineStr">
        <is>
          <t>Corn Crib Bins</t>
        </is>
      </c>
      <c r="C4685" t="inlineStr">
        <is>
          <t>Excellent</t>
        </is>
      </c>
      <c r="G4685" t="n">
        <v>15</v>
      </c>
      <c r="I4685">
        <f>B4685&amp;"|"&amp;C4685</f>
        <v/>
      </c>
      <c r="J4685" t="inlineStr">
        <is>
          <t>Corncrib bins, good and excellent</t>
        </is>
      </c>
    </row>
    <row r="4686">
      <c r="B4686" t="inlineStr">
        <is>
          <t>Corn Crib Bins</t>
        </is>
      </c>
      <c r="C4686" t="inlineStr">
        <is>
          <t>Good</t>
        </is>
      </c>
      <c r="G4686" t="n">
        <v>15</v>
      </c>
      <c r="I4686">
        <f>B4686&amp;"|"&amp;C4686</f>
        <v/>
      </c>
      <c r="J4686" t="inlineStr">
        <is>
          <t>Corncrib bins, good and excellent</t>
        </is>
      </c>
    </row>
    <row r="4687">
      <c r="B4687" t="inlineStr">
        <is>
          <t>Corn Crib Bins</t>
        </is>
      </c>
      <c r="C4687" t="inlineStr">
        <is>
          <t>Average</t>
        </is>
      </c>
      <c r="G4687" t="n">
        <v>10</v>
      </c>
      <c r="I4687">
        <f>B4687&amp;"|"&amp;C4687</f>
        <v/>
      </c>
      <c r="J4687" t="inlineStr">
        <is>
          <t>low cost and average</t>
        </is>
      </c>
    </row>
    <row r="4688">
      <c r="B4688" t="inlineStr">
        <is>
          <t>Corn Crib Bins</t>
        </is>
      </c>
      <c r="C4688" t="inlineStr">
        <is>
          <t>Low Cost</t>
        </is>
      </c>
      <c r="G4688" t="n">
        <v>10</v>
      </c>
      <c r="I4688">
        <f>B4688&amp;"|"&amp;C4688</f>
        <v/>
      </c>
      <c r="J4688" t="inlineStr">
        <is>
          <t>low cost and average</t>
        </is>
      </c>
    </row>
    <row r="4689">
      <c r="B4689" t="inlineStr">
        <is>
          <t>Farm Utility Buildings</t>
        </is>
      </c>
      <c r="C4689" t="inlineStr">
        <is>
          <t>Good</t>
        </is>
      </c>
      <c r="F4689" t="n">
        <v>25</v>
      </c>
      <c r="G4689" t="n">
        <v>20</v>
      </c>
      <c r="H4689" t="n">
        <v>20</v>
      </c>
      <c r="I4689">
        <f>B4689&amp;"|"&amp;C4689</f>
        <v/>
      </c>
      <c r="J4689" t="inlineStr">
        <is>
          <t>good</t>
        </is>
      </c>
    </row>
    <row r="4690">
      <c r="B4690" t="inlineStr">
        <is>
          <t>Farm Utility Buildings</t>
        </is>
      </c>
      <c r="C4690" t="inlineStr">
        <is>
          <t>Average</t>
        </is>
      </c>
      <c r="F4690" t="n">
        <v>20</v>
      </c>
      <c r="G4690" t="n">
        <v>15</v>
      </c>
      <c r="H4690" t="n">
        <v>15</v>
      </c>
      <c r="I4690">
        <f>B4690&amp;"|"&amp;C4690</f>
        <v/>
      </c>
      <c r="J4690" t="inlineStr">
        <is>
          <t>low cost and average</t>
        </is>
      </c>
    </row>
    <row r="4691">
      <c r="B4691" t="inlineStr">
        <is>
          <t>Farm Utility Buildings</t>
        </is>
      </c>
      <c r="C4691" t="inlineStr">
        <is>
          <t>Low Cost</t>
        </is>
      </c>
      <c r="F4691" t="n">
        <v>20</v>
      </c>
      <c r="G4691" t="n">
        <v>15</v>
      </c>
      <c r="H4691" t="n">
        <v>15</v>
      </c>
      <c r="I4691">
        <f>B4691&amp;"|"&amp;C4691</f>
        <v/>
      </c>
      <c r="J4691" t="inlineStr">
        <is>
          <t>low cost and average</t>
        </is>
      </c>
    </row>
    <row r="4692">
      <c r="B4692" t="inlineStr">
        <is>
          <t>Arch-Rib (Quonset) Farm Utility Buildings</t>
        </is>
      </c>
      <c r="C4692" t="inlineStr">
        <is>
          <t>Good</t>
        </is>
      </c>
      <c r="G4692" t="n">
        <v>25</v>
      </c>
      <c r="H4692" t="n">
        <v>25</v>
      </c>
      <c r="I4692">
        <f>B4692&amp;"|"&amp;C4692</f>
        <v/>
      </c>
      <c r="J4692" t="inlineStr">
        <is>
          <t>Utility/arch-rib buildings, good</t>
        </is>
      </c>
    </row>
    <row r="4693">
      <c r="B4693" t="inlineStr">
        <is>
          <t>Arch-Rib (Quonset) Farm Utility Buildings</t>
        </is>
      </c>
      <c r="C4693" t="inlineStr">
        <is>
          <t>Average</t>
        </is>
      </c>
      <c r="G4693" t="n">
        <v>20</v>
      </c>
      <c r="H4693" t="n">
        <v>20</v>
      </c>
      <c r="I4693">
        <f>B4693&amp;"|"&amp;C4693</f>
        <v/>
      </c>
      <c r="J4693" t="inlineStr">
        <is>
          <t>average</t>
        </is>
      </c>
    </row>
    <row r="4694">
      <c r="B4694" t="inlineStr">
        <is>
          <t>Arch-Rib (Quonset) Farm Utility Buildings</t>
        </is>
      </c>
      <c r="C4694" t="inlineStr">
        <is>
          <t>Low Cost</t>
        </is>
      </c>
      <c r="G4694" t="n">
        <v>15</v>
      </c>
      <c r="H4694" t="n">
        <v>15</v>
      </c>
      <c r="I4694">
        <f>B4694&amp;"|"&amp;C4694</f>
        <v/>
      </c>
      <c r="J4694" t="inlineStr">
        <is>
          <t>low cost</t>
        </is>
      </c>
    </row>
    <row r="4695">
      <c r="B4695" t="inlineStr">
        <is>
          <t>Farm Utility/Grain Storage (Granary) Buildings</t>
        </is>
      </c>
      <c r="C4695" t="inlineStr">
        <is>
          <t>Very Good</t>
        </is>
      </c>
      <c r="G4695" t="n">
        <v>25</v>
      </c>
      <c r="I4695">
        <f>B4695&amp;"|"&amp;C4695</f>
        <v/>
      </c>
      <c r="J4695" t="inlineStr">
        <is>
          <t>Utility buildings, farm/grain storage, very good</t>
        </is>
      </c>
    </row>
    <row r="4696">
      <c r="B4696" t="inlineStr">
        <is>
          <t>Farm Utility/Grain Storage (Granary) Buildings</t>
        </is>
      </c>
      <c r="C4696" t="inlineStr">
        <is>
          <t>Good</t>
        </is>
      </c>
      <c r="F4696" t="n">
        <v>25</v>
      </c>
      <c r="G4696" t="n">
        <v>20</v>
      </c>
      <c r="H4696" t="n">
        <v>20</v>
      </c>
      <c r="I4696">
        <f>B4696&amp;"|"&amp;C4696</f>
        <v/>
      </c>
      <c r="J4696" t="inlineStr">
        <is>
          <t>good</t>
        </is>
      </c>
    </row>
    <row r="4697">
      <c r="B4697" t="inlineStr">
        <is>
          <t>Farm Utility Storage Sheds</t>
        </is>
      </c>
      <c r="C4697" t="inlineStr">
        <is>
          <t>Low Cost</t>
        </is>
      </c>
      <c r="F4697" t="n">
        <v>15</v>
      </c>
      <c r="G4697" t="n">
        <v>10</v>
      </c>
      <c r="H4697" t="n">
        <v>10</v>
      </c>
      <c r="I4697">
        <f>B4697&amp;"|"&amp;C4697</f>
        <v/>
      </c>
      <c r="J4697" t="inlineStr">
        <is>
          <t>low cost</t>
        </is>
      </c>
    </row>
    <row r="4698">
      <c r="B4698" t="inlineStr">
        <is>
          <t>Farm Utility Storage Sheds</t>
        </is>
      </c>
      <c r="C4698" t="inlineStr">
        <is>
          <t>Good</t>
        </is>
      </c>
      <c r="G4698" t="n">
        <v>20</v>
      </c>
      <c r="I4698">
        <f>B4698&amp;"|"&amp;C4698</f>
        <v/>
      </c>
      <c r="J4698" t="inlineStr">
        <is>
          <t>Utility storage/loafing sheds, good</t>
        </is>
      </c>
    </row>
    <row r="4699">
      <c r="B4699" t="inlineStr">
        <is>
          <t>Farm Utility Storage Sheds</t>
        </is>
      </c>
      <c r="C4699" t="inlineStr">
        <is>
          <t>Average</t>
        </is>
      </c>
      <c r="G4699" t="n">
        <v>15</v>
      </c>
      <c r="I4699">
        <f>B4699&amp;"|"&amp;C4699</f>
        <v/>
      </c>
      <c r="J4699" t="inlineStr">
        <is>
          <t>average</t>
        </is>
      </c>
    </row>
    <row r="4700">
      <c r="B4700" t="inlineStr">
        <is>
          <t>Farm Utility Lean-Tos</t>
        </is>
      </c>
      <c r="C4700" t="inlineStr">
        <is>
          <t>Good</t>
        </is>
      </c>
      <c r="G4700" t="n">
        <v>20</v>
      </c>
      <c r="H4700" t="n">
        <v>20</v>
      </c>
      <c r="I4700">
        <f>B4700&amp;"|"&amp;C4700</f>
        <v/>
      </c>
      <c r="J4700" t="inlineStr">
        <is>
          <t>farm utility, good</t>
        </is>
      </c>
    </row>
    <row r="4701">
      <c r="B4701" t="inlineStr">
        <is>
          <t>Farm Utility Lean-Tos</t>
        </is>
      </c>
      <c r="C4701" t="inlineStr">
        <is>
          <t>Average</t>
        </is>
      </c>
      <c r="G4701" t="n">
        <v>15</v>
      </c>
      <c r="H4701" t="n">
        <v>15</v>
      </c>
      <c r="I4701">
        <f>B4701&amp;"|"&amp;C4701</f>
        <v/>
      </c>
      <c r="J4701" t="inlineStr">
        <is>
          <t>low cost and average</t>
        </is>
      </c>
    </row>
    <row r="4702">
      <c r="B4702" t="inlineStr">
        <is>
          <t>Farm Utility Lean-Tos</t>
        </is>
      </c>
      <c r="C4702" t="inlineStr">
        <is>
          <t>Low Cost</t>
        </is>
      </c>
      <c r="G4702" t="n">
        <v>15</v>
      </c>
      <c r="H4702" t="n">
        <v>15</v>
      </c>
      <c r="I4702">
        <f>B4702&amp;"|"&amp;C4702</f>
        <v/>
      </c>
      <c r="J4702" t="inlineStr">
        <is>
          <t>low cost and average</t>
        </is>
      </c>
    </row>
    <row r="4703">
      <c r="B4703" t="inlineStr">
        <is>
          <t>Farm Commodity Storage Sheds</t>
        </is>
      </c>
      <c r="C4703" t="inlineStr">
        <is>
          <t>Average</t>
        </is>
      </c>
      <c r="F4703" t="n">
        <v>25</v>
      </c>
      <c r="G4703" t="n">
        <v>20</v>
      </c>
      <c r="H4703" t="n">
        <v>20</v>
      </c>
      <c r="I4703">
        <f>B4703&amp;"|"&amp;C4703</f>
        <v/>
      </c>
      <c r="J4703" t="inlineStr">
        <is>
          <t>Commodity storage sheds, average</t>
        </is>
      </c>
    </row>
    <row r="4704">
      <c r="B4704" t="inlineStr">
        <is>
          <t>Corn Crib Buildings – Spaced Boards</t>
        </is>
      </c>
      <c r="C4704" t="inlineStr">
        <is>
          <t>Good</t>
        </is>
      </c>
      <c r="G4704" t="n">
        <v>20</v>
      </c>
      <c r="I4704">
        <f>B4704&amp;"|"&amp;C4704</f>
        <v/>
      </c>
      <c r="J4704" t="inlineStr">
        <is>
          <t>Corncrib buildings, spaced board, average and good</t>
        </is>
      </c>
    </row>
    <row r="4705">
      <c r="B4705" t="inlineStr">
        <is>
          <t>Corn Crib Buildings – Spaced Boards</t>
        </is>
      </c>
      <c r="C4705" t="inlineStr">
        <is>
          <t>Average</t>
        </is>
      </c>
      <c r="G4705" t="n">
        <v>20</v>
      </c>
      <c r="I4705">
        <f>B4705&amp;"|"&amp;C4705</f>
        <v/>
      </c>
      <c r="J4705" t="inlineStr">
        <is>
          <t>Corncrib buildings, spaced board, average and good</t>
        </is>
      </c>
    </row>
    <row r="4706">
      <c r="B4706" t="inlineStr">
        <is>
          <t>Corn Crib Buildings – Wire Mesh</t>
        </is>
      </c>
      <c r="C4706" t="inlineStr">
        <is>
          <t>Good</t>
        </is>
      </c>
      <c r="G4706" t="n">
        <v>20</v>
      </c>
      <c r="I4706">
        <f>B4706&amp;"|"&amp;C4706</f>
        <v/>
      </c>
      <c r="J4706" t="inlineStr">
        <is>
          <t>wire mesh, good</t>
        </is>
      </c>
    </row>
    <row r="4707">
      <c r="B4707" t="inlineStr">
        <is>
          <t>Corn Crib Buildings – Wire Mesh</t>
        </is>
      </c>
      <c r="C4707" t="inlineStr">
        <is>
          <t>Average</t>
        </is>
      </c>
      <c r="G4707" t="n">
        <v>15</v>
      </c>
      <c r="I4707">
        <f>B4707&amp;"|"&amp;C4707</f>
        <v/>
      </c>
      <c r="J4707" t="inlineStr">
        <is>
          <t>average</t>
        </is>
      </c>
    </row>
    <row r="4708">
      <c r="B4708" t="inlineStr">
        <is>
          <t>Farm Implement (Equipment Shop) Buildings</t>
        </is>
      </c>
      <c r="C4708" t="inlineStr">
        <is>
          <t>Good</t>
        </is>
      </c>
      <c r="F4708" t="n">
        <v>30</v>
      </c>
      <c r="G4708" t="n">
        <v>25</v>
      </c>
      <c r="H4708" t="n">
        <v>25</v>
      </c>
      <c r="I4708">
        <f>B4708&amp;"|"&amp;C4708</f>
        <v/>
      </c>
      <c r="J4708" t="inlineStr">
        <is>
          <t>implement/equipment buildings, good</t>
        </is>
      </c>
    </row>
    <row r="4709">
      <c r="B4709" t="inlineStr">
        <is>
          <t>Farm Implement (Equipment Shop) Buildings</t>
        </is>
      </c>
      <c r="C4709" t="inlineStr">
        <is>
          <t>Average</t>
        </is>
      </c>
      <c r="F4709" t="n">
        <v>25</v>
      </c>
      <c r="G4709" t="n">
        <v>20</v>
      </c>
      <c r="H4709" t="n">
        <v>20</v>
      </c>
      <c r="I4709">
        <f>B4709&amp;"|"&amp;C4709</f>
        <v/>
      </c>
      <c r="J4709" t="inlineStr">
        <is>
          <t>low cost and average</t>
        </is>
      </c>
    </row>
    <row r="4710">
      <c r="B4710" t="inlineStr">
        <is>
          <t>Farm Implement (Equipment Shop) Buildings</t>
        </is>
      </c>
      <c r="C4710" t="inlineStr">
        <is>
          <t>Low Cost</t>
        </is>
      </c>
      <c r="F4710" t="n">
        <v>25</v>
      </c>
      <c r="G4710" t="n">
        <v>20</v>
      </c>
      <c r="H4710" t="n">
        <v>20</v>
      </c>
      <c r="I4710">
        <f>B4710&amp;"|"&amp;C4710</f>
        <v/>
      </c>
      <c r="J4710" t="inlineStr">
        <is>
          <t>low cost and average</t>
        </is>
      </c>
    </row>
    <row r="4711">
      <c r="B4711" t="inlineStr">
        <is>
          <t>Arch-Rib (Quonset) Farm Implement Buildings</t>
        </is>
      </c>
      <c r="C4711" t="inlineStr">
        <is>
          <t>Good</t>
        </is>
      </c>
      <c r="G4711" t="n">
        <v>30</v>
      </c>
      <c r="H4711" t="n">
        <v>30</v>
      </c>
      <c r="I4711">
        <f>B4711&amp;"|"&amp;C4711</f>
        <v/>
      </c>
      <c r="J4711" t="inlineStr">
        <is>
          <t>Implement, arch-rib buildings, good</t>
        </is>
      </c>
    </row>
    <row r="4712">
      <c r="B4712" t="inlineStr">
        <is>
          <t>Arch-Rib (Quonset) Farm Implement Buildings</t>
        </is>
      </c>
      <c r="C4712" t="inlineStr">
        <is>
          <t>Average</t>
        </is>
      </c>
      <c r="G4712" t="n">
        <v>25</v>
      </c>
      <c r="H4712" t="n">
        <v>25</v>
      </c>
      <c r="I4712">
        <f>B4712&amp;"|"&amp;C4712</f>
        <v/>
      </c>
      <c r="J4712" t="inlineStr">
        <is>
          <t>average</t>
        </is>
      </c>
    </row>
    <row r="4713">
      <c r="B4713" t="inlineStr">
        <is>
          <t>Arch-Rib (Quonset) Farm Implement Buildings</t>
        </is>
      </c>
      <c r="C4713" t="inlineStr">
        <is>
          <t>Low Cost</t>
        </is>
      </c>
      <c r="G4713" t="n">
        <v>20</v>
      </c>
      <c r="H4713" t="n">
        <v>20</v>
      </c>
      <c r="I4713">
        <f>B4713&amp;"|"&amp;C4713</f>
        <v/>
      </c>
      <c r="J4713" t="inlineStr">
        <is>
          <t>low cost</t>
        </is>
      </c>
    </row>
    <row r="4714">
      <c r="B4714" t="inlineStr">
        <is>
          <t>Arch-Rib (Quonset) Farm Implement Buildings</t>
        </is>
      </c>
      <c r="C4714" t="inlineStr">
        <is>
          <t>Cheap</t>
        </is>
      </c>
      <c r="G4714" t="n">
        <v>20</v>
      </c>
      <c r="H4714" t="n">
        <v>20</v>
      </c>
      <c r="I4714">
        <f>B4714&amp;"|"&amp;C4714</f>
        <v/>
      </c>
      <c r="J4714" t="inlineStr">
        <is>
          <t>low cost</t>
        </is>
      </c>
    </row>
    <row r="4715">
      <c r="B4715" t="inlineStr">
        <is>
          <t>Farm Implement – Equipment Sheds</t>
        </is>
      </c>
      <c r="C4715" t="inlineStr">
        <is>
          <t>Average</t>
        </is>
      </c>
      <c r="F4715" t="n">
        <v>25</v>
      </c>
      <c r="G4715" t="n">
        <v>20</v>
      </c>
      <c r="H4715" t="n">
        <v>20</v>
      </c>
      <c r="I4715">
        <f>B4715&amp;"|"&amp;C4715</f>
        <v/>
      </c>
      <c r="J4715" t="inlineStr">
        <is>
          <t>implement/equipment sheds, average</t>
        </is>
      </c>
    </row>
    <row r="4716">
      <c r="B4716" t="inlineStr">
        <is>
          <t>Farm Implement – Equipment Sheds</t>
        </is>
      </c>
      <c r="C4716" t="inlineStr">
        <is>
          <t>Low Cost</t>
        </is>
      </c>
      <c r="F4716" t="n">
        <v>20</v>
      </c>
      <c r="G4716" t="n">
        <v>15</v>
      </c>
      <c r="H4716" t="n">
        <v>15</v>
      </c>
      <c r="I4716">
        <f>B4716&amp;"|"&amp;C4716</f>
        <v/>
      </c>
      <c r="J4716" t="inlineStr">
        <is>
          <t>low cost</t>
        </is>
      </c>
    </row>
    <row r="4717">
      <c r="B4717" t="inlineStr">
        <is>
          <t>Barns – General Purpose</t>
        </is>
      </c>
      <c r="C4717" t="inlineStr">
        <is>
          <t>Good</t>
        </is>
      </c>
      <c r="F4717" t="n">
        <v>35</v>
      </c>
      <c r="G4717" t="n">
        <v>30</v>
      </c>
      <c r="H4717" t="n">
        <v>30</v>
      </c>
      <c r="I4717">
        <f>B4717&amp;"|"&amp;C4717</f>
        <v/>
      </c>
      <c r="J4717" t="inlineStr">
        <is>
          <t>general purpose, good</t>
        </is>
      </c>
    </row>
    <row r="4718">
      <c r="B4718" t="inlineStr">
        <is>
          <t>Barns – General Purpose</t>
        </is>
      </c>
      <c r="C4718" t="inlineStr">
        <is>
          <t>Average</t>
        </is>
      </c>
      <c r="F4718" t="n">
        <v>30</v>
      </c>
      <c r="G4718" t="n">
        <v>25</v>
      </c>
      <c r="H4718" t="n">
        <v>25</v>
      </c>
      <c r="I4718">
        <f>B4718&amp;"|"&amp;C4718</f>
        <v/>
      </c>
      <c r="J4718" t="inlineStr">
        <is>
          <t>average</t>
        </is>
      </c>
    </row>
    <row r="4719">
      <c r="B4719" t="inlineStr">
        <is>
          <t>Barns – General Purpose</t>
        </is>
      </c>
      <c r="C4719" t="inlineStr">
        <is>
          <t>Low Cost</t>
        </is>
      </c>
      <c r="F4719" t="n">
        <v>20</v>
      </c>
      <c r="G4719" t="n">
        <v>15</v>
      </c>
      <c r="H4719" t="n">
        <v>15</v>
      </c>
      <c r="I4719">
        <f>B4719&amp;"|"&amp;C4719</f>
        <v/>
      </c>
      <c r="J4719" t="inlineStr">
        <is>
          <t>low cost</t>
        </is>
      </c>
    </row>
    <row r="4720">
      <c r="B4720" t="inlineStr">
        <is>
          <t>Bank Barns (Two-Story) – General Purpose</t>
        </is>
      </c>
      <c r="C4720" t="inlineStr">
        <is>
          <t>Good</t>
        </is>
      </c>
      <c r="F4720" t="n">
        <v>35</v>
      </c>
      <c r="G4720" t="n">
        <v>30</v>
      </c>
      <c r="H4720" t="n">
        <v>30</v>
      </c>
      <c r="I4720">
        <f>B4720&amp;"|"&amp;C4720</f>
        <v/>
      </c>
      <c r="J4720" t="inlineStr">
        <is>
          <t>general purpose, good</t>
        </is>
      </c>
    </row>
    <row r="4721">
      <c r="B4721" t="inlineStr">
        <is>
          <t>Bank Barns (Two-Story) – General Purpose</t>
        </is>
      </c>
      <c r="C4721" t="inlineStr">
        <is>
          <t>Average</t>
        </is>
      </c>
      <c r="F4721" t="n">
        <v>30</v>
      </c>
      <c r="G4721" t="n">
        <v>25</v>
      </c>
      <c r="H4721" t="n">
        <v>25</v>
      </c>
      <c r="I4721">
        <f>B4721&amp;"|"&amp;C4721</f>
        <v/>
      </c>
      <c r="J4721" t="inlineStr">
        <is>
          <t>average</t>
        </is>
      </c>
    </row>
    <row r="4722">
      <c r="B4722" t="inlineStr">
        <is>
          <t>Bank Barns (Two-Story) – General Purpose</t>
        </is>
      </c>
      <c r="C4722" t="inlineStr">
        <is>
          <t>Low Cost</t>
        </is>
      </c>
      <c r="F4722" t="n">
        <v>20</v>
      </c>
      <c r="G4722" t="n">
        <v>15</v>
      </c>
      <c r="H4722" t="n">
        <v>15</v>
      </c>
      <c r="I4722">
        <f>B4722&amp;"|"&amp;C4722</f>
        <v/>
      </c>
      <c r="J4722" t="inlineStr">
        <is>
          <t>low cost</t>
        </is>
      </c>
    </row>
    <row r="4723">
      <c r="B4723" t="inlineStr">
        <is>
          <t>Barns – Special Purpose</t>
        </is>
      </c>
      <c r="C4723" t="inlineStr">
        <is>
          <t>Excellent</t>
        </is>
      </c>
      <c r="F4723" t="n">
        <v>40</v>
      </c>
      <c r="G4723" t="n">
        <v>35</v>
      </c>
      <c r="I4723">
        <f>B4723&amp;"|"&amp;C4723</f>
        <v/>
      </c>
      <c r="J4723" t="inlineStr">
        <is>
          <t>special purpose, excellent</t>
        </is>
      </c>
    </row>
    <row r="4724">
      <c r="B4724" t="inlineStr">
        <is>
          <t>Barns – Special Purpose</t>
        </is>
      </c>
      <c r="C4724" t="inlineStr">
        <is>
          <t>Good</t>
        </is>
      </c>
      <c r="F4724" t="n">
        <v>35</v>
      </c>
      <c r="G4724" t="n">
        <v>30</v>
      </c>
      <c r="I4724">
        <f>B4724&amp;"|"&amp;C4724</f>
        <v/>
      </c>
      <c r="J4724" t="inlineStr">
        <is>
          <t>good</t>
        </is>
      </c>
    </row>
    <row r="4725">
      <c r="B4725" t="inlineStr">
        <is>
          <t>Barns – Special Purpose</t>
        </is>
      </c>
      <c r="C4725" t="inlineStr">
        <is>
          <t>Average</t>
        </is>
      </c>
      <c r="F4725" t="n">
        <v>30</v>
      </c>
      <c r="G4725" t="n">
        <v>25</v>
      </c>
      <c r="I4725">
        <f>B4725&amp;"|"&amp;C4725</f>
        <v/>
      </c>
      <c r="J4725" t="inlineStr">
        <is>
          <t>low cost and average</t>
        </is>
      </c>
    </row>
    <row r="4726">
      <c r="B4726" t="inlineStr">
        <is>
          <t>Barns – Special Purpose</t>
        </is>
      </c>
      <c r="C4726" t="inlineStr">
        <is>
          <t>Low Cost</t>
        </is>
      </c>
      <c r="F4726" t="n">
        <v>30</v>
      </c>
      <c r="G4726" t="n">
        <v>25</v>
      </c>
      <c r="I4726">
        <f>B4726&amp;"|"&amp;C4726</f>
        <v/>
      </c>
      <c r="J4726" t="inlineStr">
        <is>
          <t>low cost and average</t>
        </is>
      </c>
    </row>
    <row r="4727">
      <c r="B4727" t="inlineStr">
        <is>
          <t>Bank Barns (Two-Story) – Special Purpose</t>
        </is>
      </c>
      <c r="C4727" t="inlineStr">
        <is>
          <t>Excellent</t>
        </is>
      </c>
      <c r="F4727" t="n">
        <v>40</v>
      </c>
      <c r="G4727" t="n">
        <v>35</v>
      </c>
      <c r="I4727">
        <f>B4727&amp;"|"&amp;C4727</f>
        <v/>
      </c>
      <c r="J4727" t="inlineStr">
        <is>
          <t>special purpose, excellent</t>
        </is>
      </c>
    </row>
    <row r="4728">
      <c r="B4728" t="inlineStr">
        <is>
          <t>Bank Barns (Two-Story) – Special Purpose</t>
        </is>
      </c>
      <c r="C4728" t="inlineStr">
        <is>
          <t>Good</t>
        </is>
      </c>
      <c r="F4728" t="n">
        <v>35</v>
      </c>
      <c r="G4728" t="n">
        <v>30</v>
      </c>
      <c r="I4728">
        <f>B4728&amp;"|"&amp;C4728</f>
        <v/>
      </c>
      <c r="J4728" t="inlineStr">
        <is>
          <t>good</t>
        </is>
      </c>
    </row>
    <row r="4729">
      <c r="B4729" t="inlineStr">
        <is>
          <t>Bank Barns (Two-Story) – Special Purpose</t>
        </is>
      </c>
      <c r="C4729" t="inlineStr">
        <is>
          <t>Average</t>
        </is>
      </c>
      <c r="F4729" t="n">
        <v>30</v>
      </c>
      <c r="G4729" t="n">
        <v>25</v>
      </c>
      <c r="I4729">
        <f>B4729&amp;"|"&amp;C4729</f>
        <v/>
      </c>
      <c r="J4729" t="inlineStr">
        <is>
          <t>low cost and average</t>
        </is>
      </c>
    </row>
    <row r="4730">
      <c r="B4730" t="inlineStr">
        <is>
          <t>Bank Barns (Two-Story) – Special Purpose</t>
        </is>
      </c>
      <c r="C4730" t="inlineStr">
        <is>
          <t>Low Cost</t>
        </is>
      </c>
      <c r="F4730" t="n">
        <v>30</v>
      </c>
      <c r="G4730" t="n">
        <v>25</v>
      </c>
      <c r="I4730">
        <f>B4730&amp;"|"&amp;C4730</f>
        <v/>
      </c>
      <c r="J4730" t="inlineStr">
        <is>
          <t>low cost and average</t>
        </is>
      </c>
    </row>
    <row r="4731">
      <c r="B4731" t="inlineStr">
        <is>
          <t>Free-Stall Barns</t>
        </is>
      </c>
      <c r="C4731" t="inlineStr">
        <is>
          <t>Excellent</t>
        </is>
      </c>
      <c r="G4731" t="n">
        <v>30</v>
      </c>
      <c r="H4731" t="n">
        <v>30</v>
      </c>
      <c r="I4731">
        <f>B4731&amp;"|"&amp;C4731</f>
        <v/>
      </c>
      <c r="J4731" t="inlineStr">
        <is>
          <t>Barns, freestall and confinement, good and excellent</t>
        </is>
      </c>
    </row>
    <row r="4732">
      <c r="B4732" t="inlineStr">
        <is>
          <t>Free-Stall Barns</t>
        </is>
      </c>
      <c r="C4732" t="inlineStr">
        <is>
          <t>Good</t>
        </is>
      </c>
      <c r="G4732" t="n">
        <v>30</v>
      </c>
      <c r="H4732" t="n">
        <v>30</v>
      </c>
      <c r="I4732">
        <f>B4732&amp;"|"&amp;C4732</f>
        <v/>
      </c>
      <c r="J4732" t="inlineStr">
        <is>
          <t>Barns, freestall and confinement, good and excellent</t>
        </is>
      </c>
    </row>
    <row r="4733">
      <c r="B4733" t="inlineStr">
        <is>
          <t>Free-Stall Barns</t>
        </is>
      </c>
      <c r="C4733" t="inlineStr">
        <is>
          <t>Average</t>
        </is>
      </c>
      <c r="G4733" t="n">
        <v>25</v>
      </c>
      <c r="H4733" t="n">
        <v>25</v>
      </c>
      <c r="I4733">
        <f>B4733&amp;"|"&amp;C4733</f>
        <v/>
      </c>
      <c r="J4733" t="inlineStr">
        <is>
          <t>average</t>
        </is>
      </c>
    </row>
    <row r="4734">
      <c r="B4734" t="inlineStr">
        <is>
          <t>Free-Stall Barns</t>
        </is>
      </c>
      <c r="C4734" t="inlineStr">
        <is>
          <t>Low Cost</t>
        </is>
      </c>
      <c r="G4734" t="n">
        <v>15</v>
      </c>
      <c r="H4734" t="n">
        <v>15</v>
      </c>
      <c r="I4734">
        <f>B4734&amp;"|"&amp;C4734</f>
        <v/>
      </c>
      <c r="J4734" t="inlineStr">
        <is>
          <t>cheap and low cost</t>
        </is>
      </c>
    </row>
    <row r="4735">
      <c r="B4735" t="inlineStr">
        <is>
          <t>Free-Stall Barns</t>
        </is>
      </c>
      <c r="C4735" t="inlineStr">
        <is>
          <t>Cheap</t>
        </is>
      </c>
      <c r="G4735" t="n">
        <v>15</v>
      </c>
      <c r="H4735" t="n">
        <v>15</v>
      </c>
      <c r="I4735">
        <f>B4735&amp;"|"&amp;C4735</f>
        <v/>
      </c>
      <c r="J4735" t="inlineStr">
        <is>
          <t>cheap and low cost</t>
        </is>
      </c>
    </row>
    <row r="4736">
      <c r="B4736" t="inlineStr">
        <is>
          <t>Confinement Barns</t>
        </is>
      </c>
      <c r="C4736" t="inlineStr">
        <is>
          <t>Average</t>
        </is>
      </c>
      <c r="G4736" t="n">
        <v>25</v>
      </c>
      <c r="H4736" t="n">
        <v>25</v>
      </c>
      <c r="I4736">
        <f>B4736&amp;"|"&amp;C4736</f>
        <v/>
      </c>
      <c r="J4736" t="inlineStr">
        <is>
          <t>average</t>
        </is>
      </c>
    </row>
    <row r="4737">
      <c r="B4737" t="inlineStr">
        <is>
          <t>Confinement Barns</t>
        </is>
      </c>
      <c r="C4737" t="inlineStr">
        <is>
          <t>Low Cost</t>
        </is>
      </c>
      <c r="G4737" t="n">
        <v>15</v>
      </c>
      <c r="H4737" t="n">
        <v>15</v>
      </c>
      <c r="I4737">
        <f>B4737&amp;"|"&amp;C4737</f>
        <v/>
      </c>
      <c r="J4737" t="inlineStr">
        <is>
          <t>cheap and low cost</t>
        </is>
      </c>
    </row>
    <row r="4738">
      <c r="B4738" t="inlineStr">
        <is>
          <t>Feeder Barns – Sheds</t>
        </is>
      </c>
      <c r="C4738" t="inlineStr">
        <is>
          <t>Good</t>
        </is>
      </c>
      <c r="G4738" t="n">
        <v>20</v>
      </c>
      <c r="H4738" t="n">
        <v>20</v>
      </c>
      <c r="I4738">
        <f>B4738&amp;"|"&amp;C4738</f>
        <v/>
      </c>
      <c r="J4738" t="inlineStr">
        <is>
          <t>Feeder barns/loafing sheds, good</t>
        </is>
      </c>
    </row>
    <row r="4739">
      <c r="B4739" t="inlineStr">
        <is>
          <t>Feeder Barns – Sheds</t>
        </is>
      </c>
      <c r="C4739" t="inlineStr">
        <is>
          <t>Average</t>
        </is>
      </c>
      <c r="G4739" t="n">
        <v>15</v>
      </c>
      <c r="H4739" t="n">
        <v>15</v>
      </c>
      <c r="I4739">
        <f>B4739&amp;"|"&amp;C4739</f>
        <v/>
      </c>
      <c r="J4739" t="inlineStr">
        <is>
          <t>low cost and average</t>
        </is>
      </c>
    </row>
    <row r="4740">
      <c r="B4740" t="inlineStr">
        <is>
          <t>Feeder Barns – Sheds</t>
        </is>
      </c>
      <c r="C4740" t="inlineStr">
        <is>
          <t>Low Cost</t>
        </is>
      </c>
      <c r="G4740" t="n">
        <v>15</v>
      </c>
      <c r="H4740" t="n">
        <v>15</v>
      </c>
      <c r="I4740">
        <f>B4740&amp;"|"&amp;C4740</f>
        <v/>
      </c>
      <c r="J4740" t="inlineStr">
        <is>
          <t>low cost and average</t>
        </is>
      </c>
    </row>
    <row r="4741">
      <c r="B4741" t="inlineStr">
        <is>
          <t>Loafing Sheds</t>
        </is>
      </c>
      <c r="C4741" t="inlineStr">
        <is>
          <t>Good</t>
        </is>
      </c>
      <c r="G4741" t="n">
        <v>20</v>
      </c>
      <c r="H4741" t="n">
        <v>20</v>
      </c>
      <c r="I4741">
        <f>B4741&amp;"|"&amp;C4741</f>
        <v/>
      </c>
      <c r="J4741" t="inlineStr">
        <is>
          <t>Feeder barns/loafing sheds, good</t>
        </is>
      </c>
    </row>
    <row r="4742">
      <c r="B4742" t="inlineStr">
        <is>
          <t>Loafing Sheds</t>
        </is>
      </c>
      <c r="C4742" t="inlineStr">
        <is>
          <t>Average</t>
        </is>
      </c>
      <c r="G4742" t="n">
        <v>15</v>
      </c>
      <c r="H4742" t="n">
        <v>15</v>
      </c>
      <c r="I4742">
        <f>B4742&amp;"|"&amp;C4742</f>
        <v/>
      </c>
      <c r="J4742" t="inlineStr">
        <is>
          <t>low cost and average</t>
        </is>
      </c>
    </row>
    <row r="4743">
      <c r="B4743" t="inlineStr">
        <is>
          <t>Loafing Sheds</t>
        </is>
      </c>
      <c r="C4743" t="inlineStr">
        <is>
          <t>Low Cost</t>
        </is>
      </c>
      <c r="G4743" t="n">
        <v>15</v>
      </c>
      <c r="H4743" t="n">
        <v>15</v>
      </c>
      <c r="I4743">
        <f>B4743&amp;"|"&amp;C4743</f>
        <v/>
      </c>
      <c r="J4743" t="inlineStr">
        <is>
          <t>low cost and average</t>
        </is>
      </c>
    </row>
    <row r="4744">
      <c r="B4744" t="inlineStr">
        <is>
          <t>Farm Utility Shelters (Open Hay Sheds)</t>
        </is>
      </c>
      <c r="C4744" t="inlineStr">
        <is>
          <t>Good</t>
        </is>
      </c>
      <c r="G4744" t="n">
        <v>20</v>
      </c>
      <c r="H4744" t="n">
        <v>20</v>
      </c>
      <c r="I4744">
        <f>B4744&amp;"|"&amp;C4744</f>
        <v/>
      </c>
      <c r="J4744" t="inlineStr">
        <is>
          <t>Hay sheds/shelters, good</t>
        </is>
      </c>
    </row>
    <row r="4745">
      <c r="B4745" t="inlineStr">
        <is>
          <t>Farm Utility Shelters (Open Hay Sheds)</t>
        </is>
      </c>
      <c r="C4745" t="inlineStr">
        <is>
          <t>Average</t>
        </is>
      </c>
      <c r="G4745" t="n">
        <v>15</v>
      </c>
      <c r="H4745" t="n">
        <v>15</v>
      </c>
      <c r="I4745">
        <f>B4745&amp;"|"&amp;C4745</f>
        <v/>
      </c>
      <c r="J4745" t="inlineStr">
        <is>
          <t>average</t>
        </is>
      </c>
    </row>
    <row r="4746">
      <c r="B4746" t="inlineStr">
        <is>
          <t>Calving Barns – Sheds</t>
        </is>
      </c>
      <c r="C4746" t="inlineStr">
        <is>
          <t>Good</t>
        </is>
      </c>
      <c r="G4746" t="n">
        <v>20</v>
      </c>
      <c r="H4746" t="n">
        <v>20</v>
      </c>
      <c r="I4746">
        <f>B4746&amp;"|"&amp;C4746</f>
        <v/>
      </c>
      <c r="J4746" t="inlineStr">
        <is>
          <t>Calving barn shed, good</t>
        </is>
      </c>
    </row>
    <row r="4747">
      <c r="B4747" t="inlineStr">
        <is>
          <t>Calving Barns – Sheds</t>
        </is>
      </c>
      <c r="C4747" t="inlineStr">
        <is>
          <t>Average</t>
        </is>
      </c>
      <c r="G4747" t="n">
        <v>15</v>
      </c>
      <c r="H4747" t="n">
        <v>15</v>
      </c>
      <c r="I4747">
        <f>B4747&amp;"|"&amp;C4747</f>
        <v/>
      </c>
      <c r="J4747" t="inlineStr">
        <is>
          <t>low cost and average</t>
        </is>
      </c>
    </row>
    <row r="4748">
      <c r="B4748" t="inlineStr">
        <is>
          <t>Calving Barns – Sheds</t>
        </is>
      </c>
      <c r="C4748" t="inlineStr">
        <is>
          <t>Low Cost</t>
        </is>
      </c>
      <c r="G4748" t="n">
        <v>15</v>
      </c>
      <c r="H4748" t="n">
        <v>15</v>
      </c>
      <c r="I4748">
        <f>B4748&amp;"|"&amp;C4748</f>
        <v/>
      </c>
      <c r="J4748" t="inlineStr">
        <is>
          <t>low cost and average</t>
        </is>
      </c>
    </row>
    <row r="4749">
      <c r="B4749" t="inlineStr">
        <is>
          <t>Arena Shelters</t>
        </is>
      </c>
      <c r="C4749" t="inlineStr">
        <is>
          <t>Low Cost</t>
        </is>
      </c>
      <c r="G4749" t="n">
        <v>15</v>
      </c>
      <c r="H4749" t="n">
        <v>15</v>
      </c>
      <c r="I4749">
        <f>B4749&amp;"|"&amp;C4749</f>
        <v/>
      </c>
      <c r="J4749" t="inlineStr">
        <is>
          <t>low cost</t>
        </is>
      </c>
    </row>
    <row r="4750">
      <c r="B4750" t="inlineStr">
        <is>
          <t>Arena Shelters</t>
        </is>
      </c>
      <c r="C4750" t="inlineStr">
        <is>
          <t>Good</t>
        </is>
      </c>
      <c r="H4750" t="n">
        <v>25</v>
      </c>
      <c r="I4750">
        <f>B4750&amp;"|"&amp;C4750</f>
        <v/>
      </c>
      <c r="J4750" t="inlineStr">
        <is>
          <t>Arena shelters, good</t>
        </is>
      </c>
    </row>
    <row r="4751">
      <c r="B4751" t="inlineStr">
        <is>
          <t>Arena Shelters</t>
        </is>
      </c>
      <c r="C4751" t="inlineStr">
        <is>
          <t>Average</t>
        </is>
      </c>
      <c r="H4751" t="n">
        <v>20</v>
      </c>
      <c r="I4751">
        <f>B4751&amp;"|"&amp;C4751</f>
        <v/>
      </c>
      <c r="J4751" t="inlineStr">
        <is>
          <t>average</t>
        </is>
      </c>
    </row>
    <row r="4752">
      <c r="B4752" t="inlineStr">
        <is>
          <t>Farm Sun Shelters</t>
        </is>
      </c>
      <c r="C4752" t="inlineStr">
        <is>
          <t>Average</t>
        </is>
      </c>
      <c r="G4752" t="n">
        <v>10</v>
      </c>
      <c r="I4752">
        <f>B4752&amp;"|"&amp;C4752</f>
        <v/>
      </c>
      <c r="J4752" t="inlineStr">
        <is>
          <t>low cost and average</t>
        </is>
      </c>
    </row>
    <row r="4753">
      <c r="B4753" t="inlineStr">
        <is>
          <t>Farm Sun Shelters</t>
        </is>
      </c>
      <c r="C4753" t="inlineStr">
        <is>
          <t>Low Cost</t>
        </is>
      </c>
      <c r="G4753" t="n">
        <v>10</v>
      </c>
      <c r="I4753">
        <f>B4753&amp;"|"&amp;C4753</f>
        <v/>
      </c>
      <c r="J4753" t="inlineStr">
        <is>
          <t>low cost and average</t>
        </is>
      </c>
    </row>
    <row r="4754">
      <c r="B4754" t="inlineStr">
        <is>
          <t>Arenas</t>
        </is>
      </c>
      <c r="C4754" t="inlineStr">
        <is>
          <t>Excellent</t>
        </is>
      </c>
      <c r="F4754" t="n">
        <v>40</v>
      </c>
      <c r="G4754" t="n">
        <v>35</v>
      </c>
      <c r="H4754" t="n">
        <v>35</v>
      </c>
      <c r="I4754">
        <f>B4754&amp;"|"&amp;C4754</f>
        <v/>
      </c>
      <c r="J4754" t="inlineStr">
        <is>
          <t>Arenas, excellent</t>
        </is>
      </c>
    </row>
    <row r="4755">
      <c r="B4755" t="inlineStr">
        <is>
          <t>Arenas</t>
        </is>
      </c>
      <c r="C4755" t="inlineStr">
        <is>
          <t>Good</t>
        </is>
      </c>
      <c r="F4755" t="n">
        <v>35</v>
      </c>
      <c r="G4755" t="n">
        <v>30</v>
      </c>
      <c r="H4755" t="n">
        <v>30</v>
      </c>
      <c r="I4755">
        <f>B4755&amp;"|"&amp;C4755</f>
        <v/>
      </c>
      <c r="J4755" t="inlineStr">
        <is>
          <t>good</t>
        </is>
      </c>
    </row>
    <row r="4756">
      <c r="B4756" t="inlineStr">
        <is>
          <t>Arenas</t>
        </is>
      </c>
      <c r="C4756" t="inlineStr">
        <is>
          <t>Average</t>
        </is>
      </c>
      <c r="F4756" t="n">
        <v>30</v>
      </c>
      <c r="G4756" t="n">
        <v>25</v>
      </c>
      <c r="H4756" t="n">
        <v>25</v>
      </c>
      <c r="I4756">
        <f>B4756&amp;"|"&amp;C4756</f>
        <v/>
      </c>
      <c r="J4756" t="inlineStr">
        <is>
          <t>average</t>
        </is>
      </c>
    </row>
    <row r="4757">
      <c r="B4757" t="inlineStr">
        <is>
          <t>Arenas</t>
        </is>
      </c>
      <c r="C4757" t="inlineStr">
        <is>
          <t>Low Cost</t>
        </is>
      </c>
      <c r="F4757" t="n">
        <v>20</v>
      </c>
      <c r="G4757" t="n">
        <v>15</v>
      </c>
      <c r="H4757" t="n">
        <v>15</v>
      </c>
      <c r="I4757">
        <f>B4757&amp;"|"&amp;C4757</f>
        <v/>
      </c>
      <c r="J4757" t="inlineStr">
        <is>
          <t>cheap and low cost</t>
        </is>
      </c>
    </row>
    <row r="4758">
      <c r="B4758" t="inlineStr">
        <is>
          <t>Arenas</t>
        </is>
      </c>
      <c r="C4758" t="inlineStr">
        <is>
          <t>Cheap</t>
        </is>
      </c>
      <c r="F4758" t="n">
        <v>20</v>
      </c>
      <c r="G4758" t="n">
        <v>15</v>
      </c>
      <c r="H4758" t="n">
        <v>15</v>
      </c>
      <c r="I4758">
        <f>B4758&amp;"|"&amp;C4758</f>
        <v/>
      </c>
      <c r="J4758" t="inlineStr">
        <is>
          <t>cheap and low cost</t>
        </is>
      </c>
    </row>
    <row r="4759">
      <c r="B4759" t="inlineStr">
        <is>
          <t>Equestrian Lean-Tos</t>
        </is>
      </c>
      <c r="C4759" t="inlineStr">
        <is>
          <t>Average</t>
        </is>
      </c>
      <c r="G4759" t="n">
        <v>25</v>
      </c>
      <c r="H4759" t="n">
        <v>25</v>
      </c>
      <c r="I4759">
        <f>B4759&amp;"|"&amp;C4759</f>
        <v/>
      </c>
      <c r="J4759" t="inlineStr">
        <is>
          <t>Lean-tos, equestrian, average</t>
        </is>
      </c>
    </row>
    <row r="4760">
      <c r="B4760" t="inlineStr">
        <is>
          <t>Equestrian Lean-Tos</t>
        </is>
      </c>
      <c r="C4760" t="inlineStr">
        <is>
          <t>Low Cost</t>
        </is>
      </c>
      <c r="G4760" t="n">
        <v>15</v>
      </c>
      <c r="H4760" t="n">
        <v>15</v>
      </c>
      <c r="I4760">
        <f>B4760&amp;"|"&amp;C4760</f>
        <v/>
      </c>
      <c r="J4760" t="inlineStr">
        <is>
          <t>low cost</t>
        </is>
      </c>
    </row>
    <row r="4761">
      <c r="B4761" t="inlineStr">
        <is>
          <t>Stables</t>
        </is>
      </c>
      <c r="C4761" t="inlineStr">
        <is>
          <t>Good</t>
        </is>
      </c>
      <c r="F4761" t="n">
        <v>35</v>
      </c>
      <c r="G4761" t="n">
        <v>30</v>
      </c>
      <c r="H4761" t="n">
        <v>30</v>
      </c>
      <c r="I4761">
        <f>B4761&amp;"|"&amp;C4761</f>
        <v/>
      </c>
      <c r="J4761" t="inlineStr">
        <is>
          <t>Stables, good</t>
        </is>
      </c>
    </row>
    <row r="4762">
      <c r="B4762" t="inlineStr">
        <is>
          <t>Stables</t>
        </is>
      </c>
      <c r="C4762" t="inlineStr">
        <is>
          <t>Average</t>
        </is>
      </c>
      <c r="F4762" t="n">
        <v>30</v>
      </c>
      <c r="G4762" t="n">
        <v>25</v>
      </c>
      <c r="H4762" t="n">
        <v>25</v>
      </c>
      <c r="I4762">
        <f>B4762&amp;"|"&amp;C4762</f>
        <v/>
      </c>
      <c r="J4762" t="inlineStr">
        <is>
          <t>average</t>
        </is>
      </c>
    </row>
    <row r="4763">
      <c r="B4763" t="inlineStr">
        <is>
          <t>Stables</t>
        </is>
      </c>
      <c r="C4763" t="inlineStr">
        <is>
          <t>Low Cost</t>
        </is>
      </c>
      <c r="F4763" t="n">
        <v>20</v>
      </c>
      <c r="G4763" t="n">
        <v>15</v>
      </c>
      <c r="H4763" t="n">
        <v>15</v>
      </c>
      <c r="I4763">
        <f>B4763&amp;"|"&amp;C4763</f>
        <v/>
      </c>
      <c r="J4763" t="inlineStr">
        <is>
          <t>low cost</t>
        </is>
      </c>
    </row>
    <row r="4764">
      <c r="B4764" t="inlineStr">
        <is>
          <t>Stables</t>
        </is>
      </c>
      <c r="C4764" t="inlineStr">
        <is>
          <t>Cheap</t>
        </is>
      </c>
      <c r="F4764" t="n">
        <v>20</v>
      </c>
      <c r="G4764" t="n">
        <v>15</v>
      </c>
      <c r="H4764" t="n">
        <v>15</v>
      </c>
      <c r="I4764">
        <f>B4764&amp;"|"&amp;C4764</f>
        <v/>
      </c>
      <c r="J4764" t="inlineStr">
        <is>
          <t>low cost</t>
        </is>
      </c>
    </row>
    <row r="4765">
      <c r="B4765" t="inlineStr">
        <is>
          <t>High-Value (Estate) Stables – Horse Barns</t>
        </is>
      </c>
      <c r="C4765" t="inlineStr">
        <is>
          <t>Excellent</t>
        </is>
      </c>
      <c r="F4765" t="n">
        <v>50</v>
      </c>
      <c r="G4765" t="n">
        <v>45</v>
      </c>
      <c r="I4765">
        <f>B4765&amp;"|"&amp;C4765</f>
        <v/>
      </c>
      <c r="J4765" t="inlineStr">
        <is>
          <t>high-value estate stables, excellent</t>
        </is>
      </c>
    </row>
    <row r="4766">
      <c r="B4766" t="inlineStr">
        <is>
          <t>High-Value (Estate) Stables – Horse Barns</t>
        </is>
      </c>
      <c r="C4766" t="inlineStr">
        <is>
          <t>Good</t>
        </is>
      </c>
      <c r="F4766" t="n">
        <v>45</v>
      </c>
      <c r="G4766" t="n">
        <v>40</v>
      </c>
      <c r="I4766">
        <f>B4766&amp;"|"&amp;C4766</f>
        <v/>
      </c>
      <c r="J4766" t="inlineStr">
        <is>
          <t>good</t>
        </is>
      </c>
    </row>
    <row r="4767">
      <c r="B4767" t="inlineStr">
        <is>
          <t>High-Value (Estate) Stables – Horse Barns</t>
        </is>
      </c>
      <c r="C4767" t="inlineStr">
        <is>
          <t>Average</t>
        </is>
      </c>
      <c r="F4767" t="n">
        <v>40</v>
      </c>
      <c r="G4767" t="n">
        <v>35</v>
      </c>
      <c r="H4767" t="n">
        <v>35</v>
      </c>
      <c r="I4767">
        <f>B4767&amp;"|"&amp;C4767</f>
        <v/>
      </c>
      <c r="J4767" t="inlineStr">
        <is>
          <t>low-cost and average</t>
        </is>
      </c>
    </row>
    <row r="4768">
      <c r="B4768" t="inlineStr">
        <is>
          <t>High-Value (Estate) Stables – Horse Barns</t>
        </is>
      </c>
      <c r="C4768" t="inlineStr">
        <is>
          <t>Low Cost</t>
        </is>
      </c>
      <c r="F4768" t="n">
        <v>40</v>
      </c>
      <c r="G4768" t="n">
        <v>35</v>
      </c>
      <c r="H4768" t="n">
        <v>35</v>
      </c>
      <c r="I4768">
        <f>B4768&amp;"|"&amp;C4768</f>
        <v/>
      </c>
      <c r="J4768" t="inlineStr">
        <is>
          <t>low-cost and average</t>
        </is>
      </c>
    </row>
    <row r="4769">
      <c r="B4769" t="inlineStr">
        <is>
          <t>Dairies (Milking Parlors)</t>
        </is>
      </c>
      <c r="C4769" t="inlineStr">
        <is>
          <t>Excellent</t>
        </is>
      </c>
      <c r="F4769" t="n">
        <v>35</v>
      </c>
      <c r="G4769" t="n">
        <v>30</v>
      </c>
      <c r="H4769" t="n">
        <v>30</v>
      </c>
      <c r="I4769">
        <f>B4769&amp;"|"&amp;C4769</f>
        <v/>
      </c>
      <c r="J4769" t="inlineStr">
        <is>
          <t>Dairies/milking parlors, good and excellent</t>
        </is>
      </c>
    </row>
    <row r="4770">
      <c r="B4770" t="inlineStr">
        <is>
          <t>Dairies (Milking Parlors)</t>
        </is>
      </c>
      <c r="C4770" t="inlineStr">
        <is>
          <t>Good</t>
        </is>
      </c>
      <c r="F4770" t="n">
        <v>35</v>
      </c>
      <c r="G4770" t="n">
        <v>30</v>
      </c>
      <c r="H4770" t="n">
        <v>30</v>
      </c>
      <c r="I4770">
        <f>B4770&amp;"|"&amp;C4770</f>
        <v/>
      </c>
      <c r="J4770" t="inlineStr">
        <is>
          <t>Dairies/milking parlors, good and excellent</t>
        </is>
      </c>
    </row>
    <row r="4771">
      <c r="B4771" t="inlineStr">
        <is>
          <t>Dairies (Milking Parlors)</t>
        </is>
      </c>
      <c r="C4771" t="inlineStr">
        <is>
          <t>Average</t>
        </is>
      </c>
      <c r="F4771" t="n">
        <v>30</v>
      </c>
      <c r="G4771" t="n">
        <v>25</v>
      </c>
      <c r="H4771" t="n">
        <v>25</v>
      </c>
      <c r="I4771">
        <f>B4771&amp;"|"&amp;C4771</f>
        <v/>
      </c>
      <c r="J4771" t="inlineStr">
        <is>
          <t>average</t>
        </is>
      </c>
    </row>
    <row r="4772">
      <c r="B4772" t="inlineStr">
        <is>
          <t>Dairies (Milking Parlors)</t>
        </is>
      </c>
      <c r="C4772" t="inlineStr">
        <is>
          <t>Low Cost</t>
        </is>
      </c>
      <c r="F4772" t="n">
        <v>20</v>
      </c>
      <c r="G4772" t="n">
        <v>15</v>
      </c>
      <c r="H4772" t="n">
        <v>15</v>
      </c>
      <c r="I4772">
        <f>B4772&amp;"|"&amp;C4772</f>
        <v/>
      </c>
      <c r="J4772" t="inlineStr">
        <is>
          <t>low cost</t>
        </is>
      </c>
    </row>
    <row r="4773">
      <c r="B4773" t="inlineStr">
        <is>
          <t>Milkhouses</t>
        </is>
      </c>
      <c r="C4773" t="inlineStr">
        <is>
          <t>Good</t>
        </is>
      </c>
      <c r="F4773" t="n">
        <v>35</v>
      </c>
      <c r="G4773" t="n">
        <v>30</v>
      </c>
      <c r="I4773">
        <f>B4773&amp;"|"&amp;C4773</f>
        <v/>
      </c>
      <c r="J4773" t="inlineStr">
        <is>
          <t>Milkhouses and sheds, good</t>
        </is>
      </c>
    </row>
    <row r="4774">
      <c r="B4774" t="inlineStr">
        <is>
          <t>Milkhouses</t>
        </is>
      </c>
      <c r="C4774" t="inlineStr">
        <is>
          <t>Average</t>
        </is>
      </c>
      <c r="F4774" t="n">
        <v>30</v>
      </c>
      <c r="G4774" t="n">
        <v>25</v>
      </c>
      <c r="I4774">
        <f>B4774&amp;"|"&amp;C4774</f>
        <v/>
      </c>
      <c r="J4774" t="inlineStr">
        <is>
          <t>average</t>
        </is>
      </c>
    </row>
    <row r="4775">
      <c r="B4775" t="inlineStr">
        <is>
          <t>Milkhouse Sheds</t>
        </is>
      </c>
      <c r="C4775" t="inlineStr">
        <is>
          <t>Good</t>
        </is>
      </c>
      <c r="F4775" t="n">
        <v>35</v>
      </c>
      <c r="G4775" t="n">
        <v>30</v>
      </c>
      <c r="I4775">
        <f>B4775&amp;"|"&amp;C4775</f>
        <v/>
      </c>
      <c r="J4775" t="inlineStr">
        <is>
          <t>Milkhouses and sheds, good</t>
        </is>
      </c>
    </row>
    <row r="4776">
      <c r="B4776" t="inlineStr">
        <is>
          <t>Milkhouse Sheds</t>
        </is>
      </c>
      <c r="C4776" t="inlineStr">
        <is>
          <t>Average</t>
        </is>
      </c>
      <c r="F4776" t="n">
        <v>30</v>
      </c>
      <c r="G4776" t="n">
        <v>25</v>
      </c>
      <c r="I4776">
        <f>B4776&amp;"|"&amp;C4776</f>
        <v/>
      </c>
      <c r="J4776" t="inlineStr">
        <is>
          <t>average</t>
        </is>
      </c>
    </row>
    <row r="4777">
      <c r="B4777" t="inlineStr">
        <is>
          <t>Hog Barns – Nursery</t>
        </is>
      </c>
      <c r="C4777" t="inlineStr">
        <is>
          <t>Good</t>
        </is>
      </c>
      <c r="F4777" t="n">
        <v>35</v>
      </c>
      <c r="G4777" t="n">
        <v>30</v>
      </c>
      <c r="H4777" t="n">
        <v>30</v>
      </c>
      <c r="I4777">
        <f>B4777&amp;"|"&amp;C4777</f>
        <v/>
      </c>
      <c r="J4777" t="inlineStr">
        <is>
          <t>nursery, good</t>
        </is>
      </c>
    </row>
    <row r="4778">
      <c r="B4778" t="inlineStr">
        <is>
          <t>Hog Barns – Nursery</t>
        </is>
      </c>
      <c r="C4778" t="inlineStr">
        <is>
          <t>Average</t>
        </is>
      </c>
      <c r="F4778" t="n">
        <v>30</v>
      </c>
      <c r="G4778" t="n">
        <v>25</v>
      </c>
      <c r="H4778" t="n">
        <v>25</v>
      </c>
      <c r="I4778">
        <f>B4778&amp;"|"&amp;C4778</f>
        <v/>
      </c>
      <c r="J4778" t="inlineStr">
        <is>
          <t>average</t>
        </is>
      </c>
    </row>
    <row r="4779">
      <c r="B4779" t="inlineStr">
        <is>
          <t>Hog Barns – Breeding/Gestation</t>
        </is>
      </c>
      <c r="C4779" t="inlineStr">
        <is>
          <t>Good</t>
        </is>
      </c>
      <c r="F4779" t="n">
        <v>35</v>
      </c>
      <c r="G4779" t="n">
        <v>30</v>
      </c>
      <c r="H4779" t="n">
        <v>30</v>
      </c>
      <c r="I4779">
        <f>B4779&amp;"|"&amp;C4779</f>
        <v/>
      </c>
      <c r="J4779" t="inlineStr">
        <is>
          <t>Hog barns, breeding, farrowing, good and excellent</t>
        </is>
      </c>
    </row>
    <row r="4780">
      <c r="B4780" t="inlineStr">
        <is>
          <t>Hog Barns – Breeding/Gestation</t>
        </is>
      </c>
      <c r="C4780" t="inlineStr">
        <is>
          <t>Average</t>
        </is>
      </c>
      <c r="F4780" t="n">
        <v>30</v>
      </c>
      <c r="G4780" t="n">
        <v>25</v>
      </c>
      <c r="H4780" t="n">
        <v>25</v>
      </c>
      <c r="I4780">
        <f>B4780&amp;"|"&amp;C4780</f>
        <v/>
      </c>
      <c r="J4780" t="inlineStr">
        <is>
          <t>average</t>
        </is>
      </c>
    </row>
    <row r="4781">
      <c r="B4781" t="inlineStr">
        <is>
          <t>Hog Barns – Breeding/Gestation</t>
        </is>
      </c>
      <c r="C4781" t="inlineStr">
        <is>
          <t>Low Cost</t>
        </is>
      </c>
      <c r="F4781" t="n">
        <v>20</v>
      </c>
      <c r="G4781" t="n">
        <v>15</v>
      </c>
      <c r="H4781" t="n">
        <v>15</v>
      </c>
      <c r="I4781">
        <f>B4781&amp;"|"&amp;C4781</f>
        <v/>
      </c>
      <c r="J4781" t="inlineStr">
        <is>
          <t>cheap and low cost</t>
        </is>
      </c>
    </row>
    <row r="4782">
      <c r="B4782" t="inlineStr">
        <is>
          <t>Hog Barns – Breeding/Gestation</t>
        </is>
      </c>
      <c r="C4782" t="inlineStr">
        <is>
          <t>Cheap</t>
        </is>
      </c>
      <c r="F4782" t="n">
        <v>20</v>
      </c>
      <c r="G4782" t="n">
        <v>15</v>
      </c>
      <c r="H4782" t="n">
        <v>15</v>
      </c>
      <c r="I4782">
        <f>B4782&amp;"|"&amp;C4782</f>
        <v/>
      </c>
      <c r="J4782" t="inlineStr">
        <is>
          <t>cheap and low cost</t>
        </is>
      </c>
    </row>
    <row r="4783">
      <c r="B4783" t="inlineStr">
        <is>
          <t>Hog Barns – Farrowing</t>
        </is>
      </c>
      <c r="C4783" t="inlineStr">
        <is>
          <t>Good</t>
        </is>
      </c>
      <c r="F4783" t="n">
        <v>35</v>
      </c>
      <c r="G4783" t="n">
        <v>30</v>
      </c>
      <c r="H4783" t="n">
        <v>30</v>
      </c>
      <c r="I4783">
        <f>B4783&amp;"|"&amp;C4783</f>
        <v/>
      </c>
      <c r="J4783" t="inlineStr">
        <is>
          <t>Hog barns, breeding, farrowing, good and excellent</t>
        </is>
      </c>
    </row>
    <row r="4784">
      <c r="B4784" t="inlineStr">
        <is>
          <t>Hog Barns – Farrowing</t>
        </is>
      </c>
      <c r="C4784" t="inlineStr">
        <is>
          <t>Average</t>
        </is>
      </c>
      <c r="F4784" t="n">
        <v>30</v>
      </c>
      <c r="G4784" t="n">
        <v>25</v>
      </c>
      <c r="H4784" t="n">
        <v>25</v>
      </c>
      <c r="I4784">
        <f>B4784&amp;"|"&amp;C4784</f>
        <v/>
      </c>
      <c r="J4784" t="inlineStr">
        <is>
          <t>average</t>
        </is>
      </c>
    </row>
    <row r="4785">
      <c r="B4785" t="inlineStr">
        <is>
          <t>Hog Barns – Farrowing</t>
        </is>
      </c>
      <c r="C4785" t="inlineStr">
        <is>
          <t>Low Cost</t>
        </is>
      </c>
      <c r="F4785" t="n">
        <v>20</v>
      </c>
      <c r="G4785" t="n">
        <v>15</v>
      </c>
      <c r="H4785" t="n">
        <v>15</v>
      </c>
      <c r="I4785">
        <f>B4785&amp;"|"&amp;C4785</f>
        <v/>
      </c>
      <c r="J4785" t="inlineStr">
        <is>
          <t>cheap and low cost</t>
        </is>
      </c>
    </row>
    <row r="4786">
      <c r="B4786" t="inlineStr">
        <is>
          <t>Hog Barns – Farrowing</t>
        </is>
      </c>
      <c r="C4786" t="inlineStr">
        <is>
          <t>Cheap</t>
        </is>
      </c>
      <c r="F4786" t="n">
        <v>20</v>
      </c>
      <c r="G4786" t="n">
        <v>15</v>
      </c>
      <c r="H4786" t="n">
        <v>15</v>
      </c>
      <c r="I4786">
        <f>B4786&amp;"|"&amp;C4786</f>
        <v/>
      </c>
      <c r="J4786" t="inlineStr">
        <is>
          <t>cheap and low cost</t>
        </is>
      </c>
    </row>
    <row r="4787">
      <c r="B4787" t="inlineStr">
        <is>
          <t>Hog Barns – Finishing</t>
        </is>
      </c>
      <c r="C4787" t="inlineStr">
        <is>
          <t>Average</t>
        </is>
      </c>
      <c r="F4787" t="n">
        <v>25</v>
      </c>
      <c r="G4787" t="n">
        <v>20</v>
      </c>
      <c r="H4787" t="n">
        <v>20</v>
      </c>
      <c r="I4787">
        <f>B4787&amp;"|"&amp;C4787</f>
        <v/>
      </c>
      <c r="J4787" t="inlineStr">
        <is>
          <t>finishing, average</t>
        </is>
      </c>
    </row>
    <row r="4788">
      <c r="B4788" t="inlineStr">
        <is>
          <t>Hog Barns – Finishing</t>
        </is>
      </c>
      <c r="C4788" t="inlineStr">
        <is>
          <t>Low Cost</t>
        </is>
      </c>
      <c r="F4788" t="n">
        <v>20</v>
      </c>
      <c r="G4788" t="n">
        <v>15</v>
      </c>
      <c r="H4788" t="n">
        <v>15</v>
      </c>
      <c r="I4788">
        <f>B4788&amp;"|"&amp;C4788</f>
        <v/>
      </c>
      <c r="J4788" t="inlineStr">
        <is>
          <t>cheap and low cost</t>
        </is>
      </c>
    </row>
    <row r="4789">
      <c r="B4789" t="inlineStr">
        <is>
          <t>Hog Barns – Finishing</t>
        </is>
      </c>
      <c r="C4789" t="inlineStr">
        <is>
          <t>Cheap</t>
        </is>
      </c>
      <c r="F4789" t="n">
        <v>20</v>
      </c>
      <c r="G4789" t="n">
        <v>15</v>
      </c>
      <c r="H4789" t="n">
        <v>15</v>
      </c>
      <c r="I4789">
        <f>B4789&amp;"|"&amp;C4789</f>
        <v/>
      </c>
      <c r="J4789" t="inlineStr">
        <is>
          <t>cheap and low cost</t>
        </is>
      </c>
    </row>
    <row r="4790">
      <c r="B4790" t="inlineStr">
        <is>
          <t>Modified Hog Sheds</t>
        </is>
      </c>
      <c r="C4790" t="inlineStr">
        <is>
          <t>Average</t>
        </is>
      </c>
      <c r="F4790" t="n">
        <v>25</v>
      </c>
      <c r="G4790" t="n">
        <v>20</v>
      </c>
      <c r="H4790" t="n">
        <v>20</v>
      </c>
      <c r="I4790">
        <f>B4790&amp;"|"&amp;C4790</f>
        <v/>
      </c>
      <c r="J4790" t="inlineStr">
        <is>
          <t>Hog sheds and modified sheds, average</t>
        </is>
      </c>
    </row>
    <row r="4791">
      <c r="B4791" t="inlineStr">
        <is>
          <t>Modified Hog Sheds</t>
        </is>
      </c>
      <c r="C4791" t="inlineStr">
        <is>
          <t>Low Cost</t>
        </is>
      </c>
      <c r="F4791" t="n">
        <v>20</v>
      </c>
      <c r="G4791" t="n">
        <v>15</v>
      </c>
      <c r="H4791" t="n">
        <v>15</v>
      </c>
      <c r="I4791">
        <f>B4791&amp;"|"&amp;C4791</f>
        <v/>
      </c>
      <c r="J4791" t="inlineStr">
        <is>
          <t>cheap and low cost</t>
        </is>
      </c>
    </row>
    <row r="4792">
      <c r="B4792" t="inlineStr">
        <is>
          <t>Hog Sheds</t>
        </is>
      </c>
      <c r="C4792" t="inlineStr">
        <is>
          <t>Average</t>
        </is>
      </c>
      <c r="F4792" t="n">
        <v>25</v>
      </c>
      <c r="G4792" t="n">
        <v>20</v>
      </c>
      <c r="H4792" t="n">
        <v>20</v>
      </c>
      <c r="I4792">
        <f>B4792&amp;"|"&amp;C4792</f>
        <v/>
      </c>
      <c r="J4792" t="inlineStr">
        <is>
          <t>Hog sheds and modified sheds, average</t>
        </is>
      </c>
    </row>
    <row r="4793">
      <c r="B4793" t="inlineStr">
        <is>
          <t>Hog Sheds</t>
        </is>
      </c>
      <c r="C4793" t="inlineStr">
        <is>
          <t>Low Cost</t>
        </is>
      </c>
      <c r="F4793" t="n">
        <v>20</v>
      </c>
      <c r="G4793" t="n">
        <v>15</v>
      </c>
      <c r="H4793" t="n">
        <v>15</v>
      </c>
      <c r="I4793">
        <f>B4793&amp;"|"&amp;C4793</f>
        <v/>
      </c>
      <c r="J4793" t="inlineStr">
        <is>
          <t>cheap and low cost</t>
        </is>
      </c>
    </row>
    <row r="4794">
      <c r="B4794" t="inlineStr">
        <is>
          <t>Hog Sheds</t>
        </is>
      </c>
      <c r="C4794" t="inlineStr">
        <is>
          <t>Cheap</t>
        </is>
      </c>
      <c r="F4794" t="n">
        <v>20</v>
      </c>
      <c r="G4794" t="n">
        <v>15</v>
      </c>
      <c r="H4794" t="n">
        <v>15</v>
      </c>
      <c r="I4794">
        <f>B4794&amp;"|"&amp;C4794</f>
        <v/>
      </c>
      <c r="J4794" t="inlineStr">
        <is>
          <t>cheap and low cost</t>
        </is>
      </c>
    </row>
    <row r="4795">
      <c r="B4795" t="inlineStr">
        <is>
          <t>Sheep Barns</t>
        </is>
      </c>
      <c r="C4795" t="inlineStr">
        <is>
          <t>Good</t>
        </is>
      </c>
      <c r="G4795" t="n">
        <v>25</v>
      </c>
      <c r="H4795" t="n">
        <v>25</v>
      </c>
      <c r="I4795">
        <f>B4795&amp;"|"&amp;C4795</f>
        <v/>
      </c>
      <c r="J4795" t="inlineStr">
        <is>
          <t>Sheep barns, average and good</t>
        </is>
      </c>
    </row>
    <row r="4796">
      <c r="B4796" t="inlineStr">
        <is>
          <t>Sheep Barns</t>
        </is>
      </c>
      <c r="C4796" t="inlineStr">
        <is>
          <t>Average</t>
        </is>
      </c>
      <c r="G4796" t="n">
        <v>25</v>
      </c>
      <c r="H4796" t="n">
        <v>25</v>
      </c>
      <c r="I4796">
        <f>B4796&amp;"|"&amp;C4796</f>
        <v/>
      </c>
      <c r="J4796" t="inlineStr">
        <is>
          <t>Sheep barns, average and good</t>
        </is>
      </c>
    </row>
    <row r="4797">
      <c r="B4797" t="inlineStr">
        <is>
          <t>Sheep Sheds</t>
        </is>
      </c>
      <c r="C4797" t="inlineStr">
        <is>
          <t>Good</t>
        </is>
      </c>
      <c r="G4797" t="n">
        <v>25</v>
      </c>
      <c r="H4797" t="n">
        <v>25</v>
      </c>
      <c r="I4797">
        <f>B4797&amp;"|"&amp;C4797</f>
        <v/>
      </c>
      <c r="J4797" t="inlineStr">
        <is>
          <t>sheds, good</t>
        </is>
      </c>
    </row>
    <row r="4798">
      <c r="B4798" t="inlineStr">
        <is>
          <t>Sheep Sheds</t>
        </is>
      </c>
      <c r="C4798" t="inlineStr">
        <is>
          <t>Average</t>
        </is>
      </c>
      <c r="G4798" t="n">
        <v>20</v>
      </c>
      <c r="H4798" t="n">
        <v>20</v>
      </c>
      <c r="I4798">
        <f>B4798&amp;"|"&amp;C4798</f>
        <v/>
      </c>
      <c r="J4798" t="inlineStr">
        <is>
          <t>average</t>
        </is>
      </c>
    </row>
    <row r="4799">
      <c r="B4799" t="inlineStr">
        <is>
          <t>Sheep Sheds</t>
        </is>
      </c>
      <c r="C4799" t="inlineStr">
        <is>
          <t>Low Cost</t>
        </is>
      </c>
      <c r="G4799" t="n">
        <v>15</v>
      </c>
      <c r="H4799" t="n">
        <v>15</v>
      </c>
      <c r="I4799">
        <f>B4799&amp;"|"&amp;C4799</f>
        <v/>
      </c>
      <c r="J4799" t="inlineStr">
        <is>
          <t>cheap and low cost</t>
        </is>
      </c>
    </row>
    <row r="4800">
      <c r="B4800" t="inlineStr">
        <is>
          <t>Sheep Sheds</t>
        </is>
      </c>
      <c r="C4800" t="inlineStr">
        <is>
          <t>Cheap</t>
        </is>
      </c>
      <c r="G4800" t="n">
        <v>15</v>
      </c>
      <c r="H4800" t="n">
        <v>15</v>
      </c>
      <c r="I4800">
        <f>B4800&amp;"|"&amp;C4800</f>
        <v/>
      </c>
      <c r="J4800" t="inlineStr">
        <is>
          <t>cheap and low cost</t>
        </is>
      </c>
    </row>
    <row r="4801">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c r="B4802" t="inlineStr">
        <is>
          <t>Poultry Floor Operation – Breeder Houses</t>
        </is>
      </c>
      <c r="C4802" t="inlineStr">
        <is>
          <t>Average</t>
        </is>
      </c>
      <c r="F4802" t="n">
        <v>20</v>
      </c>
      <c r="G4802" t="n">
        <v>15</v>
      </c>
      <c r="H4802" t="n">
        <v>15</v>
      </c>
      <c r="I4802">
        <f>B4802&amp;"|"&amp;C4802</f>
        <v/>
      </c>
      <c r="J4802" t="inlineStr">
        <is>
          <t>average</t>
        </is>
      </c>
    </row>
    <row r="4803">
      <c r="B4803" t="inlineStr">
        <is>
          <t>Poultry Floor Operation – Breeder Houses</t>
        </is>
      </c>
      <c r="C4803" t="inlineStr">
        <is>
          <t>Fair</t>
        </is>
      </c>
      <c r="G4803" t="n">
        <v>15</v>
      </c>
      <c r="H4803" t="n">
        <v>15</v>
      </c>
      <c r="I4803">
        <f>B4803&amp;"|"&amp;C4803</f>
        <v/>
      </c>
      <c r="J4803" t="inlineStr">
        <is>
          <t>cheap, low cost and fair</t>
        </is>
      </c>
    </row>
    <row r="4804">
      <c r="B4804" t="inlineStr">
        <is>
          <t>Poultry Floor Operation – Breeder Houses</t>
        </is>
      </c>
      <c r="C4804" t="inlineStr">
        <is>
          <t>Low Cost</t>
        </is>
      </c>
      <c r="G4804" t="n">
        <v>15</v>
      </c>
      <c r="H4804" t="n">
        <v>15</v>
      </c>
      <c r="I4804">
        <f>B4804&amp;"|"&amp;C4804</f>
        <v/>
      </c>
      <c r="J4804" t="inlineStr">
        <is>
          <t>cheap, low cost and fair</t>
        </is>
      </c>
    </row>
    <row r="4805">
      <c r="B4805" t="inlineStr">
        <is>
          <t>Poultry Floor Operation – Breeder Houses</t>
        </is>
      </c>
      <c r="C4805" t="inlineStr">
        <is>
          <t>Cheap</t>
        </is>
      </c>
      <c r="G4805" t="n">
        <v>15</v>
      </c>
      <c r="H4805" t="n">
        <v>15</v>
      </c>
      <c r="I4805">
        <f>B4805&amp;"|"&amp;C4805</f>
        <v/>
      </c>
      <c r="J4805" t="inlineStr">
        <is>
          <t>cheap, low cost and fair</t>
        </is>
      </c>
    </row>
    <row r="4806">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c r="B4807" t="inlineStr">
        <is>
          <t>Poultry Floor Operation – Broiler Houses</t>
        </is>
      </c>
      <c r="C4807" t="inlineStr">
        <is>
          <t>Average</t>
        </is>
      </c>
      <c r="F4807" t="n">
        <v>20</v>
      </c>
      <c r="G4807" t="n">
        <v>15</v>
      </c>
      <c r="H4807" t="n">
        <v>15</v>
      </c>
      <c r="I4807">
        <f>B4807&amp;"|"&amp;C4807</f>
        <v/>
      </c>
      <c r="J4807" t="inlineStr">
        <is>
          <t>average</t>
        </is>
      </c>
    </row>
    <row r="4808">
      <c r="B4808" t="inlineStr">
        <is>
          <t>Poultry Floor Operation – Broiler Houses</t>
        </is>
      </c>
      <c r="C4808" t="inlineStr">
        <is>
          <t>Fair</t>
        </is>
      </c>
      <c r="G4808" t="n">
        <v>15</v>
      </c>
      <c r="H4808" t="n">
        <v>15</v>
      </c>
      <c r="I4808">
        <f>B4808&amp;"|"&amp;C4808</f>
        <v/>
      </c>
      <c r="J4808" t="inlineStr">
        <is>
          <t>cheap, low cost and fair</t>
        </is>
      </c>
    </row>
    <row r="4809">
      <c r="B4809" t="inlineStr">
        <is>
          <t>Poultry Floor Operation – Broiler Houses</t>
        </is>
      </c>
      <c r="C4809" t="inlineStr">
        <is>
          <t>Low Cost</t>
        </is>
      </c>
      <c r="G4809" t="n">
        <v>15</v>
      </c>
      <c r="H4809" t="n">
        <v>15</v>
      </c>
      <c r="I4809">
        <f>B4809&amp;"|"&amp;C4809</f>
        <v/>
      </c>
      <c r="J4809" t="inlineStr">
        <is>
          <t>cheap, low cost and fair</t>
        </is>
      </c>
    </row>
    <row r="4810">
      <c r="B4810" t="inlineStr">
        <is>
          <t>Poultry Floor Operation – Broiler Houses</t>
        </is>
      </c>
      <c r="C4810" t="inlineStr">
        <is>
          <t>Cheap</t>
        </is>
      </c>
      <c r="G4810" t="n">
        <v>15</v>
      </c>
      <c r="H4810" t="n">
        <v>15</v>
      </c>
      <c r="I4810">
        <f>B4810&amp;"|"&amp;C4810</f>
        <v/>
      </c>
      <c r="J4810" t="inlineStr">
        <is>
          <t>cheap, low cost and fair</t>
        </is>
      </c>
    </row>
    <row r="4811">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c r="B4812" t="inlineStr">
        <is>
          <t>Poultry Cage Operation – Enclosed Houses</t>
        </is>
      </c>
      <c r="C4812" t="inlineStr">
        <is>
          <t>Average</t>
        </is>
      </c>
      <c r="F4812" t="n">
        <v>25</v>
      </c>
      <c r="G4812" t="n">
        <v>20</v>
      </c>
      <c r="H4812" t="n">
        <v>20</v>
      </c>
      <c r="I4812">
        <f>B4812&amp;"|"&amp;C4812</f>
        <v/>
      </c>
      <c r="J4812" t="inlineStr">
        <is>
          <t>average</t>
        </is>
      </c>
    </row>
    <row r="4813">
      <c r="B4813" t="inlineStr">
        <is>
          <t>Poultry Cage Operation – Enclosed Houses</t>
        </is>
      </c>
      <c r="C4813" t="inlineStr">
        <is>
          <t>Low Cost</t>
        </is>
      </c>
      <c r="F4813" t="n">
        <v>20</v>
      </c>
      <c r="G4813" t="n">
        <v>15</v>
      </c>
      <c r="H4813" t="n">
        <v>15</v>
      </c>
      <c r="I4813">
        <f>B4813&amp;"|"&amp;C4813</f>
        <v/>
      </c>
      <c r="J4813" t="inlineStr">
        <is>
          <t>cheap and low cost</t>
        </is>
      </c>
    </row>
    <row r="4814">
      <c r="B4814" t="inlineStr">
        <is>
          <t>Poultry Cage Operation – Enclosed Houses</t>
        </is>
      </c>
      <c r="C4814" t="inlineStr">
        <is>
          <t>Cheap</t>
        </is>
      </c>
      <c r="F4814" t="n">
        <v>20</v>
      </c>
      <c r="G4814" t="n">
        <v>15</v>
      </c>
      <c r="H4814" t="n">
        <v>15</v>
      </c>
      <c r="I4814">
        <f>B4814&amp;"|"&amp;C4814</f>
        <v/>
      </c>
      <c r="J4814" t="inlineStr">
        <is>
          <t>cheap and low cost</t>
        </is>
      </c>
    </row>
    <row r="4815">
      <c r="B4815" t="inlineStr">
        <is>
          <t>Poultry Cage Operation – Screened Houses</t>
        </is>
      </c>
      <c r="C4815" t="inlineStr">
        <is>
          <t>Average</t>
        </is>
      </c>
      <c r="F4815" t="n">
        <v>25</v>
      </c>
      <c r="G4815" t="n">
        <v>20</v>
      </c>
      <c r="H4815" t="n">
        <v>20</v>
      </c>
      <c r="I4815">
        <f>B4815&amp;"|"&amp;C4815</f>
        <v/>
      </c>
      <c r="J4815" t="inlineStr">
        <is>
          <t>average</t>
        </is>
      </c>
    </row>
    <row r="4816">
      <c r="B4816" t="inlineStr">
        <is>
          <t>Poultry Cage Operation – Screened Houses</t>
        </is>
      </c>
      <c r="C4816" t="inlineStr">
        <is>
          <t>Fair</t>
        </is>
      </c>
      <c r="F4816" t="n">
        <v>20</v>
      </c>
      <c r="G4816" t="n">
        <v>15</v>
      </c>
      <c r="H4816" t="n">
        <v>15</v>
      </c>
      <c r="I4816">
        <f>B4816&amp;"|"&amp;C4816</f>
        <v/>
      </c>
      <c r="J4816" t="inlineStr">
        <is>
          <t>cheap and low cost</t>
        </is>
      </c>
    </row>
    <row r="4817">
      <c r="B4817" t="inlineStr">
        <is>
          <t>Poultry Cage Operation – Screened Houses</t>
        </is>
      </c>
      <c r="C4817" t="inlineStr">
        <is>
          <t>Low Cost</t>
        </is>
      </c>
      <c r="F4817" t="n">
        <v>20</v>
      </c>
      <c r="G4817" t="n">
        <v>15</v>
      </c>
      <c r="H4817" t="n">
        <v>15</v>
      </c>
      <c r="I4817">
        <f>B4817&amp;"|"&amp;C4817</f>
        <v/>
      </c>
      <c r="J4817" t="inlineStr">
        <is>
          <t>cheap and low cost</t>
        </is>
      </c>
    </row>
    <row r="4818">
      <c r="B4818" t="inlineStr">
        <is>
          <t>Poultry Cage Operation – Screened Houses</t>
        </is>
      </c>
      <c r="C4818" t="inlineStr">
        <is>
          <t>Cheap</t>
        </is>
      </c>
      <c r="F4818" t="n">
        <v>20</v>
      </c>
      <c r="G4818" t="n">
        <v>15</v>
      </c>
      <c r="H4818" t="n">
        <v>15</v>
      </c>
      <c r="I4818">
        <f>B4818&amp;"|"&amp;C4818</f>
        <v/>
      </c>
      <c r="J4818" t="inlineStr">
        <is>
          <t>cheap and low cost</t>
        </is>
      </c>
    </row>
    <row r="4819">
      <c r="B4819" t="inlineStr">
        <is>
          <t>Farm Labor Housing – Dormitories</t>
        </is>
      </c>
      <c r="C4819" t="inlineStr">
        <is>
          <t>Good</t>
        </is>
      </c>
      <c r="F4819" t="n">
        <v>30</v>
      </c>
      <c r="G4819" t="n">
        <v>25</v>
      </c>
      <c r="H4819" t="n">
        <v>25</v>
      </c>
      <c r="I4819">
        <f>B4819&amp;"|"&amp;C4819</f>
        <v/>
      </c>
      <c r="J4819" t="inlineStr">
        <is>
          <t>Labor dormitories, good</t>
        </is>
      </c>
    </row>
    <row r="4820">
      <c r="B4820" t="inlineStr">
        <is>
          <t>Farm Labor Housing – Dormitories</t>
        </is>
      </c>
      <c r="C4820" t="inlineStr">
        <is>
          <t>Average</t>
        </is>
      </c>
      <c r="F4820" t="n">
        <v>25</v>
      </c>
      <c r="G4820" t="n">
        <v>20</v>
      </c>
      <c r="H4820" t="n">
        <v>20</v>
      </c>
      <c r="I4820">
        <f>B4820&amp;"|"&amp;C4820</f>
        <v/>
      </c>
      <c r="J4820" t="inlineStr">
        <is>
          <t>average</t>
        </is>
      </c>
    </row>
    <row r="4821">
      <c r="B4821" t="inlineStr">
        <is>
          <t>Farm Labor Housing – Dormitories</t>
        </is>
      </c>
      <c r="C4821" t="inlineStr">
        <is>
          <t>Low Cost</t>
        </is>
      </c>
      <c r="F4821" t="n">
        <v>20</v>
      </c>
      <c r="G4821" t="n">
        <v>15</v>
      </c>
      <c r="I4821">
        <f>B4821&amp;"|"&amp;C4821</f>
        <v/>
      </c>
      <c r="J4821" t="inlineStr">
        <is>
          <t>low cost</t>
        </is>
      </c>
    </row>
    <row r="4822">
      <c r="B4822" t="inlineStr">
        <is>
          <t>Transient Labor Cabins</t>
        </is>
      </c>
      <c r="C4822" t="inlineStr">
        <is>
          <t>Average</t>
        </is>
      </c>
      <c r="G4822" t="n">
        <v>15</v>
      </c>
      <c r="I4822">
        <f>B4822&amp;"|"&amp;C4822</f>
        <v/>
      </c>
      <c r="J4822" t="inlineStr">
        <is>
          <t>Transient labor cabins, average</t>
        </is>
      </c>
    </row>
    <row r="4823">
      <c r="B4823" t="inlineStr">
        <is>
          <t>Hunting Shelters</t>
        </is>
      </c>
      <c r="C4823" t="inlineStr">
        <is>
          <t>Good</t>
        </is>
      </c>
      <c r="G4823" t="n">
        <v>15</v>
      </c>
      <c r="I4823">
        <f>B4823&amp;"|"&amp;C4823</f>
        <v/>
      </c>
      <c r="J4823" t="inlineStr">
        <is>
          <t>Hunting shelters, good</t>
        </is>
      </c>
    </row>
    <row r="4824">
      <c r="B4824" t="inlineStr">
        <is>
          <t>Hunting Shelters</t>
        </is>
      </c>
      <c r="C4824" t="inlineStr">
        <is>
          <t>Average</t>
        </is>
      </c>
      <c r="G4824" t="n">
        <v>10</v>
      </c>
      <c r="I4824">
        <f>B4824&amp;"|"&amp;C4824</f>
        <v/>
      </c>
      <c r="J4824" t="inlineStr">
        <is>
          <t>cheap, low cost and average</t>
        </is>
      </c>
    </row>
    <row r="4825">
      <c r="B4825" t="inlineStr">
        <is>
          <t>Hunting Shelters</t>
        </is>
      </c>
      <c r="C4825" t="inlineStr">
        <is>
          <t>Low Cost</t>
        </is>
      </c>
      <c r="G4825" t="n">
        <v>10</v>
      </c>
      <c r="I4825">
        <f>B4825&amp;"|"&amp;C4825</f>
        <v/>
      </c>
      <c r="J4825" t="inlineStr">
        <is>
          <t>cheap, low cost and average</t>
        </is>
      </c>
    </row>
    <row r="4826">
      <c r="B4826" t="inlineStr">
        <is>
          <t>Hunting Shelters</t>
        </is>
      </c>
      <c r="C4826" t="inlineStr">
        <is>
          <t>Cheap</t>
        </is>
      </c>
      <c r="G4826" t="n">
        <v>10</v>
      </c>
      <c r="I4826">
        <f>B4826&amp;"|"&amp;C4826</f>
        <v/>
      </c>
      <c r="J4826" t="inlineStr">
        <is>
          <t>cheap, low cost and average</t>
        </is>
      </c>
    </row>
    <row r="4827">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c r="B4829" t="inlineStr">
        <is>
          <t>High Schools</t>
        </is>
      </c>
      <c r="C4829" t="inlineStr">
        <is>
          <t>Average</t>
        </is>
      </c>
      <c r="D4829" t="n">
        <v>45</v>
      </c>
      <c r="E4829" t="n">
        <v>45</v>
      </c>
      <c r="F4829" t="n">
        <v>45</v>
      </c>
      <c r="G4829" t="n">
        <v>40</v>
      </c>
      <c r="H4829" t="n">
        <v>40</v>
      </c>
      <c r="I4829">
        <f>B4829&amp;"|"&amp;C4829</f>
        <v/>
      </c>
      <c r="J4829" t="inlineStr">
        <is>
          <t>average</t>
        </is>
      </c>
    </row>
    <row r="4830">
      <c r="B4830" t="inlineStr">
        <is>
          <t>High Schools</t>
        </is>
      </c>
      <c r="C4830" t="inlineStr">
        <is>
          <t>Low Cost</t>
        </is>
      </c>
      <c r="F4830" t="n">
        <v>40</v>
      </c>
      <c r="G4830" t="n">
        <v>35</v>
      </c>
      <c r="H4830" t="n">
        <v>35</v>
      </c>
      <c r="I4830">
        <f>B4830&amp;"|"&amp;C4830</f>
        <v/>
      </c>
      <c r="J4830" t="inlineStr">
        <is>
          <t>low cost</t>
        </is>
      </c>
    </row>
    <row r="4831">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c r="B4833" t="inlineStr">
        <is>
          <t>Middle (Junior High) Schools</t>
        </is>
      </c>
      <c r="C4833" t="inlineStr">
        <is>
          <t>Average</t>
        </is>
      </c>
      <c r="D4833" t="n">
        <v>45</v>
      </c>
      <c r="E4833" t="n">
        <v>45</v>
      </c>
      <c r="F4833" t="n">
        <v>45</v>
      </c>
      <c r="G4833" t="n">
        <v>40</v>
      </c>
      <c r="H4833" t="n">
        <v>40</v>
      </c>
      <c r="I4833">
        <f>B4833&amp;"|"&amp;C4833</f>
        <v/>
      </c>
      <c r="J4833" t="inlineStr">
        <is>
          <t>average</t>
        </is>
      </c>
    </row>
    <row r="4834">
      <c r="B4834" t="inlineStr">
        <is>
          <t>Middle (Junior High) Schools</t>
        </is>
      </c>
      <c r="C4834" t="inlineStr">
        <is>
          <t>Low Cost</t>
        </is>
      </c>
      <c r="F4834" t="n">
        <v>40</v>
      </c>
      <c r="G4834" t="n">
        <v>35</v>
      </c>
      <c r="H4834" t="n">
        <v>35</v>
      </c>
      <c r="I4834">
        <f>B4834&amp;"|"&amp;C4834</f>
        <v/>
      </c>
      <c r="J4834" t="inlineStr">
        <is>
          <t>low cost</t>
        </is>
      </c>
    </row>
    <row r="483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c r="B4837" t="inlineStr">
        <is>
          <t>Elementary Schools</t>
        </is>
      </c>
      <c r="C4837" t="inlineStr">
        <is>
          <t>Average</t>
        </is>
      </c>
      <c r="D4837" t="n">
        <v>45</v>
      </c>
      <c r="E4837" t="n">
        <v>45</v>
      </c>
      <c r="F4837" t="n">
        <v>45</v>
      </c>
      <c r="G4837" t="n">
        <v>40</v>
      </c>
      <c r="H4837" t="n">
        <v>40</v>
      </c>
      <c r="I4837">
        <f>B4837&amp;"|"&amp;C4837</f>
        <v/>
      </c>
      <c r="J4837" t="inlineStr">
        <is>
          <t>average</t>
        </is>
      </c>
    </row>
    <row r="4838">
      <c r="B4838" t="inlineStr">
        <is>
          <t>Elementary Schools</t>
        </is>
      </c>
      <c r="C4838" t="inlineStr">
        <is>
          <t>Low Cost</t>
        </is>
      </c>
      <c r="F4838" t="n">
        <v>40</v>
      </c>
      <c r="G4838" t="n">
        <v>35</v>
      </c>
      <c r="H4838" t="n">
        <v>35</v>
      </c>
      <c r="I4838">
        <f>B4838&amp;"|"&amp;C4838</f>
        <v/>
      </c>
      <c r="J4838" t="inlineStr">
        <is>
          <t>low cost</t>
        </is>
      </c>
    </row>
    <row r="4839">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c r="B4840" t="inlineStr">
        <is>
          <t>Vocational Schools</t>
        </is>
      </c>
      <c r="C4840" t="inlineStr">
        <is>
          <t>Average</t>
        </is>
      </c>
      <c r="D4840" t="n">
        <v>45</v>
      </c>
      <c r="E4840" t="n">
        <v>45</v>
      </c>
      <c r="F4840" t="n">
        <v>45</v>
      </c>
      <c r="G4840" t="n">
        <v>40</v>
      </c>
      <c r="H4840" t="n">
        <v>40</v>
      </c>
      <c r="I4840">
        <f>B4840&amp;"|"&amp;C4840</f>
        <v/>
      </c>
      <c r="J4840" t="inlineStr">
        <is>
          <t>average</t>
        </is>
      </c>
    </row>
    <row r="4841">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c r="B4842" t="inlineStr">
        <is>
          <t>Vocational Schools</t>
        </is>
      </c>
      <c r="C4842" t="inlineStr">
        <is>
          <t>Low Cost</t>
        </is>
      </c>
      <c r="F4842" t="n">
        <v>40</v>
      </c>
      <c r="G4842" t="n">
        <v>35</v>
      </c>
      <c r="H4842" t="n">
        <v>35</v>
      </c>
      <c r="I4842">
        <f>B4842&amp;"|"&amp;C4842</f>
        <v/>
      </c>
      <c r="J4842" t="inlineStr">
        <is>
          <t>low cost</t>
        </is>
      </c>
    </row>
    <row r="4843">
      <c r="B4843" t="inlineStr">
        <is>
          <t>Alternative (High) Schools</t>
        </is>
      </c>
      <c r="C4843" t="inlineStr">
        <is>
          <t>Average</t>
        </is>
      </c>
      <c r="D4843" t="n">
        <v>45</v>
      </c>
      <c r="E4843" t="n">
        <v>45</v>
      </c>
      <c r="F4843" t="n">
        <v>45</v>
      </c>
      <c r="G4843" t="n">
        <v>40</v>
      </c>
      <c r="H4843" t="n">
        <v>40</v>
      </c>
      <c r="I4843">
        <f>B4843&amp;"|"&amp;C4843</f>
        <v/>
      </c>
      <c r="J4843" t="inlineStr">
        <is>
          <t>average</t>
        </is>
      </c>
    </row>
    <row r="4844">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c r="B4846" t="inlineStr">
        <is>
          <t>Day Care Centers</t>
        </is>
      </c>
      <c r="C4846" t="inlineStr">
        <is>
          <t>Average</t>
        </is>
      </c>
      <c r="D4846" t="n">
        <v>45</v>
      </c>
      <c r="E4846" t="n">
        <v>45</v>
      </c>
      <c r="F4846" t="n">
        <v>40</v>
      </c>
      <c r="G4846" t="n">
        <v>35</v>
      </c>
      <c r="H4846" t="n">
        <v>35</v>
      </c>
      <c r="I4846">
        <f>B4846&amp;"|"&amp;C4846</f>
        <v/>
      </c>
      <c r="J4846" t="inlineStr">
        <is>
          <t>low cost and average</t>
        </is>
      </c>
    </row>
    <row r="4847">
      <c r="B4847" t="inlineStr">
        <is>
          <t>Day Care Centers</t>
        </is>
      </c>
      <c r="C4847" t="inlineStr">
        <is>
          <t>Excellent</t>
        </is>
      </c>
      <c r="F4847" t="n">
        <v>45</v>
      </c>
      <c r="G4847" t="n">
        <v>40</v>
      </c>
      <c r="I4847">
        <f>B4847&amp;"|"&amp;C4847</f>
        <v/>
      </c>
      <c r="J4847" t="inlineStr">
        <is>
          <t>Daycare centers, good and excellent</t>
        </is>
      </c>
    </row>
    <row r="4848">
      <c r="B4848" t="inlineStr">
        <is>
          <t>Day Care Centers</t>
        </is>
      </c>
      <c r="C4848" t="inlineStr">
        <is>
          <t>Good</t>
        </is>
      </c>
      <c r="F4848" t="n">
        <v>45</v>
      </c>
      <c r="G4848" t="n">
        <v>40</v>
      </c>
      <c r="I4848">
        <f>B4848&amp;"|"&amp;C4848</f>
        <v/>
      </c>
      <c r="J4848" t="inlineStr">
        <is>
          <t>Daycare centers, good and excellent</t>
        </is>
      </c>
    </row>
    <row r="4849">
      <c r="B4849" t="inlineStr">
        <is>
          <t>Day Care Centers</t>
        </is>
      </c>
      <c r="C4849" t="inlineStr">
        <is>
          <t>Low Cost</t>
        </is>
      </c>
      <c r="D4849" t="n">
        <v>45</v>
      </c>
      <c r="E4849" t="n">
        <v>45</v>
      </c>
      <c r="F4849" t="n">
        <v>40</v>
      </c>
      <c r="G4849" t="n">
        <v>35</v>
      </c>
      <c r="H4849" t="n">
        <v>35</v>
      </c>
      <c r="I4849">
        <f>B4849&amp;"|"&amp;C4849</f>
        <v/>
      </c>
      <c r="J4849" t="inlineStr">
        <is>
          <t>low cost and average</t>
        </is>
      </c>
    </row>
    <row r="4850">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c r="B4852" t="inlineStr">
        <is>
          <t>Classrooms</t>
        </is>
      </c>
      <c r="C4852" t="inlineStr">
        <is>
          <t>Average</t>
        </is>
      </c>
      <c r="D4852" t="n">
        <v>45</v>
      </c>
      <c r="E4852" t="n">
        <v>45</v>
      </c>
      <c r="F4852" t="n">
        <v>40</v>
      </c>
      <c r="G4852" t="n">
        <v>35</v>
      </c>
      <c r="H4852" t="n">
        <v>35</v>
      </c>
      <c r="I4852">
        <f>B4852&amp;"|"&amp;C4852</f>
        <v/>
      </c>
      <c r="J4852" t="inlineStr">
        <is>
          <t>low cost and average</t>
        </is>
      </c>
    </row>
    <row r="4853">
      <c r="B4853" t="inlineStr">
        <is>
          <t>Classrooms</t>
        </is>
      </c>
      <c r="C4853" t="inlineStr">
        <is>
          <t>Low Cost</t>
        </is>
      </c>
      <c r="D4853" t="n">
        <v>45</v>
      </c>
      <c r="E4853" t="n">
        <v>45</v>
      </c>
      <c r="F4853" t="n">
        <v>40</v>
      </c>
      <c r="G4853" t="n">
        <v>35</v>
      </c>
      <c r="H4853" t="n">
        <v>35</v>
      </c>
      <c r="I4853">
        <f>B4853&amp;"|"&amp;C4853</f>
        <v/>
      </c>
      <c r="J4853" t="inlineStr">
        <is>
          <t>low cost and average</t>
        </is>
      </c>
    </row>
    <row r="4854">
      <c r="B4854" t="inlineStr">
        <is>
          <t>Classrooms</t>
        </is>
      </c>
      <c r="C4854" t="inlineStr">
        <is>
          <t>Cheap</t>
        </is>
      </c>
      <c r="F4854" t="n">
        <v>35</v>
      </c>
      <c r="G4854" t="n">
        <v>30</v>
      </c>
      <c r="H4854" t="n">
        <v>30</v>
      </c>
      <c r="I4854">
        <f>B4854&amp;"|"&amp;C4854</f>
        <v/>
      </c>
      <c r="J4854" t="inlineStr">
        <is>
          <t>cheap</t>
        </is>
      </c>
    </row>
    <row r="485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c r="B4858" t="inlineStr">
        <is>
          <t>Relocatable Classrooms</t>
        </is>
      </c>
      <c r="C4858" t="inlineStr">
        <is>
          <t>Excellent</t>
        </is>
      </c>
      <c r="G4858" t="n">
        <v>35</v>
      </c>
      <c r="I4858">
        <f>B4858&amp;"|"&amp;C4858</f>
        <v/>
      </c>
      <c r="J4858" t="inlineStr">
        <is>
          <t>Relocatable classrooms and offices, excellent</t>
        </is>
      </c>
    </row>
    <row r="4859">
      <c r="B4859" t="inlineStr">
        <is>
          <t>Relocatable Classrooms</t>
        </is>
      </c>
      <c r="C4859" t="inlineStr">
        <is>
          <t>Good</t>
        </is>
      </c>
      <c r="G4859" t="n">
        <v>30</v>
      </c>
      <c r="I4859">
        <f>B4859&amp;"|"&amp;C4859</f>
        <v/>
      </c>
      <c r="J4859" t="inlineStr">
        <is>
          <t>good</t>
        </is>
      </c>
    </row>
    <row r="4860">
      <c r="B4860" t="inlineStr">
        <is>
          <t>Relocatable Classrooms</t>
        </is>
      </c>
      <c r="C4860" t="inlineStr">
        <is>
          <t>Average</t>
        </is>
      </c>
      <c r="G4860" t="n">
        <v>25</v>
      </c>
      <c r="I4860">
        <f>B4860&amp;"|"&amp;C4860</f>
        <v/>
      </c>
      <c r="J4860" t="inlineStr">
        <is>
          <t>average</t>
        </is>
      </c>
    </row>
    <row r="4861">
      <c r="B4861" t="inlineStr">
        <is>
          <t>Relocatable Classrooms</t>
        </is>
      </c>
      <c r="C4861" t="inlineStr">
        <is>
          <t>Low Cost</t>
        </is>
      </c>
      <c r="G4861" t="n">
        <v>20</v>
      </c>
      <c r="I4861">
        <f>B4861&amp;"|"&amp;C4861</f>
        <v/>
      </c>
      <c r="J4861" t="inlineStr">
        <is>
          <t>low cost</t>
        </is>
      </c>
    </row>
    <row r="4862">
      <c r="B4862" t="inlineStr">
        <is>
          <t>Relocatable Classrooms</t>
        </is>
      </c>
      <c r="C4862" t="inlineStr">
        <is>
          <t>Cheap</t>
        </is>
      </c>
      <c r="G4862" t="n">
        <v>10</v>
      </c>
      <c r="I4862">
        <f>B4862&amp;"|"&amp;C4862</f>
        <v/>
      </c>
      <c r="J4862" t="inlineStr">
        <is>
          <t>cheap</t>
        </is>
      </c>
    </row>
    <row r="4863">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c r="B4864" t="inlineStr">
        <is>
          <t>Manual Arts (Shop) Buildings</t>
        </is>
      </c>
      <c r="C4864" t="inlineStr">
        <is>
          <t>Low Cost</t>
        </is>
      </c>
      <c r="F4864" t="n">
        <v>35</v>
      </c>
      <c r="G4864" t="n">
        <v>30</v>
      </c>
      <c r="H4864" t="n">
        <v>30</v>
      </c>
      <c r="I4864">
        <f>B4864&amp;"|"&amp;C4864</f>
        <v/>
      </c>
      <c r="J4864" t="inlineStr">
        <is>
          <t>low cost</t>
        </is>
      </c>
    </row>
    <row r="486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c r="B4868" t="inlineStr">
        <is>
          <t>Multipurpose Buildings</t>
        </is>
      </c>
      <c r="C4868" t="inlineStr">
        <is>
          <t>Good</t>
        </is>
      </c>
      <c r="D4868" t="n">
        <v>45</v>
      </c>
      <c r="E4868" t="n">
        <v>45</v>
      </c>
      <c r="F4868" t="n">
        <v>40</v>
      </c>
      <c r="G4868" t="n">
        <v>35</v>
      </c>
      <c r="H4868" t="n">
        <v>35</v>
      </c>
      <c r="I4868">
        <f>B4868&amp;"|"&amp;C4868</f>
        <v/>
      </c>
      <c r="J4868" t="inlineStr">
        <is>
          <t>average and good</t>
        </is>
      </c>
    </row>
    <row r="4869">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c r="B4870" t="inlineStr">
        <is>
          <t>Multipurpose Buildings</t>
        </is>
      </c>
      <c r="C4870" t="inlineStr">
        <is>
          <t>Excellent</t>
        </is>
      </c>
      <c r="F4870" t="n">
        <v>45</v>
      </c>
      <c r="I4870">
        <f>B4870&amp;"|"&amp;C4870</f>
        <v/>
      </c>
      <c r="J4870" t="inlineStr">
        <is>
          <t>Multipurpose buildings, excellent</t>
        </is>
      </c>
    </row>
    <row r="4871">
      <c r="B4871" t="inlineStr">
        <is>
          <t>Multipurpose Buildings</t>
        </is>
      </c>
      <c r="C4871" t="inlineStr">
        <is>
          <t>Low Cost</t>
        </is>
      </c>
      <c r="F4871" t="n">
        <v>35</v>
      </c>
      <c r="G4871" t="n">
        <v>30</v>
      </c>
      <c r="H4871" t="n">
        <v>30</v>
      </c>
      <c r="I4871">
        <f>B4871&amp;"|"&amp;C4871</f>
        <v/>
      </c>
      <c r="J4871" t="inlineStr">
        <is>
          <t>low cost</t>
        </is>
      </c>
    </row>
    <row r="4872">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c r="B4881" t="inlineStr">
        <is>
          <t>Academic (College) Libraries</t>
        </is>
      </c>
      <c r="C4881" t="inlineStr">
        <is>
          <t>Average</t>
        </is>
      </c>
      <c r="D4881" t="n">
        <v>55</v>
      </c>
      <c r="E4881" t="n">
        <v>55</v>
      </c>
      <c r="F4881" t="n">
        <v>50</v>
      </c>
      <c r="G4881" t="n">
        <v>45</v>
      </c>
      <c r="H4881" t="n">
        <v>45</v>
      </c>
      <c r="I4881">
        <f>B4881&amp;"|"&amp;C4881</f>
        <v/>
      </c>
      <c r="J4881" t="inlineStr">
        <is>
          <t>average</t>
        </is>
      </c>
    </row>
    <row r="4882">
      <c r="B4882" t="inlineStr">
        <is>
          <t>Academic (College) Libraries</t>
        </is>
      </c>
      <c r="C4882" t="inlineStr">
        <is>
          <t>Low Cost</t>
        </is>
      </c>
      <c r="D4882" t="n">
        <v>50</v>
      </c>
      <c r="E4882" t="n">
        <v>50</v>
      </c>
      <c r="F4882" t="n">
        <v>45</v>
      </c>
      <c r="G4882" t="n">
        <v>40</v>
      </c>
      <c r="H4882" t="n">
        <v>40</v>
      </c>
      <c r="I4882">
        <f>B4882&amp;"|"&amp;C4882</f>
        <v/>
      </c>
      <c r="J4882" t="inlineStr">
        <is>
          <t>low cost</t>
        </is>
      </c>
    </row>
    <row r="4883">
      <c r="B4883" t="inlineStr">
        <is>
          <t>Fine Arts Buildings</t>
        </is>
      </c>
      <c r="C4883" t="inlineStr">
        <is>
          <t>Good</t>
        </is>
      </c>
      <c r="D4883" t="n">
        <v>45</v>
      </c>
      <c r="E4883" t="n">
        <v>45</v>
      </c>
      <c r="F4883" t="n">
        <v>40</v>
      </c>
      <c r="G4883" t="n">
        <v>35</v>
      </c>
      <c r="H4883" t="n">
        <v>35</v>
      </c>
      <c r="I4883">
        <f>B4883&amp;"|"&amp;C4883</f>
        <v/>
      </c>
      <c r="J4883" t="inlineStr">
        <is>
          <t>average and good</t>
        </is>
      </c>
    </row>
    <row r="4884">
      <c r="B4884" t="inlineStr">
        <is>
          <t>Fine Arts Buildings</t>
        </is>
      </c>
      <c r="C4884" t="inlineStr">
        <is>
          <t>Average</t>
        </is>
      </c>
      <c r="D4884" t="n">
        <v>45</v>
      </c>
      <c r="E4884" t="n">
        <v>45</v>
      </c>
      <c r="F4884" t="n">
        <v>40</v>
      </c>
      <c r="G4884" t="n">
        <v>35</v>
      </c>
      <c r="H4884" t="n">
        <v>35</v>
      </c>
      <c r="I4884">
        <f>B4884&amp;"|"&amp;C4884</f>
        <v/>
      </c>
      <c r="J4884" t="inlineStr">
        <is>
          <t>average and good</t>
        </is>
      </c>
    </row>
    <row r="4885">
      <c r="B4885" t="inlineStr">
        <is>
          <t>Fine Arts Buildings</t>
        </is>
      </c>
      <c r="C4885" t="inlineStr">
        <is>
          <t>Excellent</t>
        </is>
      </c>
      <c r="F4885" t="n">
        <v>45</v>
      </c>
      <c r="I4885">
        <f>B4885&amp;"|"&amp;C4885</f>
        <v/>
      </c>
      <c r="J4885" t="inlineStr">
        <is>
          <t>Fine arts buildings, excellent</t>
        </is>
      </c>
    </row>
    <row r="4886">
      <c r="B4886" t="inlineStr">
        <is>
          <t>Fine Arts Buildings</t>
        </is>
      </c>
      <c r="C4886" t="inlineStr">
        <is>
          <t>Low Cost</t>
        </is>
      </c>
      <c r="F4886" t="n">
        <v>35</v>
      </c>
      <c r="G4886" t="n">
        <v>30</v>
      </c>
      <c r="H4886" t="n">
        <v>30</v>
      </c>
      <c r="I4886">
        <f>B4886&amp;"|"&amp;C4886</f>
        <v/>
      </c>
      <c r="J4886" t="inlineStr">
        <is>
          <t>low cost</t>
        </is>
      </c>
    </row>
    <row r="4887">
      <c r="B4887" t="inlineStr">
        <is>
          <t>Book Stores</t>
        </is>
      </c>
      <c r="C4887" t="inlineStr">
        <is>
          <t>Average</t>
        </is>
      </c>
      <c r="D4887" t="n">
        <v>45</v>
      </c>
      <c r="E4887" t="n">
        <v>45</v>
      </c>
      <c r="F4887" t="n">
        <v>40</v>
      </c>
      <c r="G4887" t="n">
        <v>35</v>
      </c>
      <c r="H4887" t="n">
        <v>35</v>
      </c>
      <c r="I4887">
        <f>B4887&amp;"|"&amp;C4887</f>
        <v/>
      </c>
      <c r="J4887" t="inlineStr">
        <is>
          <t>average</t>
        </is>
      </c>
    </row>
    <row r="4888">
      <c r="B4888" t="inlineStr">
        <is>
          <t>Book Stores</t>
        </is>
      </c>
      <c r="C4888" t="inlineStr">
        <is>
          <t>Low Cost</t>
        </is>
      </c>
      <c r="D4888" t="n">
        <v>40</v>
      </c>
      <c r="E4888" t="n">
        <v>40</v>
      </c>
      <c r="F4888" t="n">
        <v>35</v>
      </c>
      <c r="G4888" t="n">
        <v>30</v>
      </c>
      <c r="H4888" t="n">
        <v>30</v>
      </c>
      <c r="I4888">
        <f>B4888&amp;"|"&amp;C4888</f>
        <v/>
      </c>
      <c r="J4888" t="inlineStr">
        <is>
          <t>low cost</t>
        </is>
      </c>
    </row>
    <row r="4889">
      <c r="B4889" t="inlineStr">
        <is>
          <t>Book Stores</t>
        </is>
      </c>
      <c r="C4889" t="inlineStr">
        <is>
          <t>Good</t>
        </is>
      </c>
      <c r="F4889" t="n">
        <v>45</v>
      </c>
      <c r="G4889" t="n">
        <v>40</v>
      </c>
      <c r="I4889">
        <f>B4889&amp;"|"&amp;C4889</f>
        <v/>
      </c>
      <c r="J4889" t="inlineStr">
        <is>
          <t>Bookstores, good</t>
        </is>
      </c>
    </row>
    <row r="4890">
      <c r="B4890" t="inlineStr">
        <is>
          <t>Restroom Buildings</t>
        </is>
      </c>
      <c r="C4890" t="inlineStr">
        <is>
          <t>Average</t>
        </is>
      </c>
      <c r="D4890" t="n">
        <v>35</v>
      </c>
      <c r="E4890" t="n">
        <v>35</v>
      </c>
      <c r="F4890" t="n">
        <v>30</v>
      </c>
      <c r="G4890" t="n">
        <v>25</v>
      </c>
      <c r="I4890">
        <f>B4890&amp;"|"&amp;C4890</f>
        <v/>
      </c>
      <c r="J4890" t="inlineStr">
        <is>
          <t>average</t>
        </is>
      </c>
    </row>
    <row r="4891">
      <c r="B4891" t="inlineStr">
        <is>
          <t>Restroom Buildings</t>
        </is>
      </c>
      <c r="C4891" t="inlineStr">
        <is>
          <t>Excellent</t>
        </is>
      </c>
      <c r="F4891" t="n">
        <v>35</v>
      </c>
      <c r="G4891" t="n">
        <v>30</v>
      </c>
      <c r="I4891">
        <f>B4891&amp;"|"&amp;C4891</f>
        <v/>
      </c>
      <c r="J4891" t="inlineStr">
        <is>
          <t>Restroom buildings, good and excellent</t>
        </is>
      </c>
    </row>
    <row r="4892">
      <c r="B4892" t="inlineStr">
        <is>
          <t>Restroom Buildings</t>
        </is>
      </c>
      <c r="C4892" t="inlineStr">
        <is>
          <t>Good</t>
        </is>
      </c>
      <c r="F4892" t="n">
        <v>35</v>
      </c>
      <c r="G4892" t="n">
        <v>30</v>
      </c>
      <c r="I4892">
        <f>B4892&amp;"|"&amp;C4892</f>
        <v/>
      </c>
      <c r="J4892" t="inlineStr">
        <is>
          <t>Restroom buildings, good and excellent</t>
        </is>
      </c>
    </row>
    <row r="4893">
      <c r="B4893" t="inlineStr">
        <is>
          <t>Restroom Buildings</t>
        </is>
      </c>
      <c r="C4893" t="inlineStr">
        <is>
          <t>Low Cost</t>
        </is>
      </c>
      <c r="F4893" t="n">
        <v>25</v>
      </c>
      <c r="G4893" t="n">
        <v>20</v>
      </c>
      <c r="H4893" t="n">
        <v>20</v>
      </c>
      <c r="I4893">
        <f>B4893&amp;"|"&amp;C4893</f>
        <v/>
      </c>
      <c r="J4893" t="inlineStr">
        <is>
          <t>low cost</t>
        </is>
      </c>
    </row>
    <row r="4894">
      <c r="B4894" t="inlineStr">
        <is>
          <t>Restroom Buildings</t>
        </is>
      </c>
      <c r="C4894" t="inlineStr">
        <is>
          <t>Cheap</t>
        </is>
      </c>
      <c r="F4894" t="n">
        <v>20</v>
      </c>
      <c r="G4894" t="n">
        <v>15</v>
      </c>
      <c r="H4894" t="n">
        <v>15</v>
      </c>
      <c r="I4894">
        <f>B4894&amp;"|"&amp;C4894</f>
        <v/>
      </c>
      <c r="J4894" t="inlineStr">
        <is>
          <t>cheap</t>
        </is>
      </c>
    </row>
    <row r="4895">
      <c r="B4895" t="inlineStr">
        <is>
          <t>Maintenance (Storage) Buildings</t>
        </is>
      </c>
      <c r="C4895" t="inlineStr">
        <is>
          <t>Good</t>
        </is>
      </c>
      <c r="F4895" t="n">
        <v>35</v>
      </c>
      <c r="G4895" t="n">
        <v>30</v>
      </c>
      <c r="H4895" t="n">
        <v>30</v>
      </c>
      <c r="I4895">
        <f>B4895&amp;"|"&amp;C4895</f>
        <v/>
      </c>
      <c r="J4895" t="inlineStr">
        <is>
          <t>Maintenance buildings, good</t>
        </is>
      </c>
    </row>
    <row r="4896">
      <c r="B4896" t="inlineStr">
        <is>
          <t>Maintenance (Storage) Buildings</t>
        </is>
      </c>
      <c r="C4896" t="inlineStr">
        <is>
          <t>Average</t>
        </is>
      </c>
      <c r="F4896" t="n">
        <v>30</v>
      </c>
      <c r="G4896" t="n">
        <v>25</v>
      </c>
      <c r="H4896" t="n">
        <v>25</v>
      </c>
      <c r="I4896">
        <f>B4896&amp;"|"&amp;C4896</f>
        <v/>
      </c>
      <c r="J4896" t="inlineStr">
        <is>
          <t>average</t>
        </is>
      </c>
    </row>
    <row r="4897">
      <c r="B4897" t="inlineStr">
        <is>
          <t>Natatoriums</t>
        </is>
      </c>
      <c r="C4897" t="inlineStr">
        <is>
          <t>Good</t>
        </is>
      </c>
      <c r="D4897" t="n">
        <v>45</v>
      </c>
      <c r="E4897" t="n">
        <v>45</v>
      </c>
      <c r="F4897" t="n">
        <v>40</v>
      </c>
      <c r="G4897" t="n">
        <v>35</v>
      </c>
      <c r="H4897" t="n">
        <v>35</v>
      </c>
      <c r="I4897">
        <f>B4897&amp;"|"&amp;C4897</f>
        <v/>
      </c>
      <c r="J4897" t="inlineStr">
        <is>
          <t>Natatoriums, average and good</t>
        </is>
      </c>
    </row>
    <row r="4898">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c r="B4899" t="inlineStr">
        <is>
          <t>Natatoriums</t>
        </is>
      </c>
      <c r="C4899" t="inlineStr">
        <is>
          <t>Low Cost</t>
        </is>
      </c>
      <c r="F4899" t="n">
        <v>35</v>
      </c>
      <c r="G4899" t="n">
        <v>30</v>
      </c>
      <c r="H4899" t="n">
        <v>30</v>
      </c>
      <c r="I4899">
        <f>B4899&amp;"|"&amp;C4899</f>
        <v/>
      </c>
      <c r="J4899" t="inlineStr">
        <is>
          <t>low cost</t>
        </is>
      </c>
    </row>
    <row r="4900">
      <c r="B4900" t="inlineStr">
        <is>
          <t>Shower Room Buildings</t>
        </is>
      </c>
      <c r="C4900" t="inlineStr">
        <is>
          <t>Average</t>
        </is>
      </c>
      <c r="D4900" t="n">
        <v>35</v>
      </c>
      <c r="E4900" t="n">
        <v>35</v>
      </c>
      <c r="F4900" t="n">
        <v>30</v>
      </c>
      <c r="G4900" t="n">
        <v>25</v>
      </c>
      <c r="H4900" t="n">
        <v>25</v>
      </c>
      <c r="I4900">
        <f>B4900&amp;"|"&amp;C4900</f>
        <v/>
      </c>
      <c r="J4900" t="inlineStr">
        <is>
          <t>average</t>
        </is>
      </c>
    </row>
    <row r="4901">
      <c r="B4901" t="inlineStr">
        <is>
          <t>Shower Room Buildings</t>
        </is>
      </c>
      <c r="C4901" t="inlineStr">
        <is>
          <t>Excellent</t>
        </is>
      </c>
      <c r="F4901" t="n">
        <v>35</v>
      </c>
      <c r="G4901" t="n">
        <v>30</v>
      </c>
      <c r="I4901">
        <f>B4901&amp;"|"&amp;C4901</f>
        <v/>
      </c>
      <c r="J4901" t="inlineStr">
        <is>
          <t>Shower buildings, good and excellent</t>
        </is>
      </c>
    </row>
    <row r="4902">
      <c r="B4902" t="inlineStr">
        <is>
          <t>Shower Room Buildings</t>
        </is>
      </c>
      <c r="C4902" t="inlineStr">
        <is>
          <t>Good</t>
        </is>
      </c>
      <c r="F4902" t="n">
        <v>35</v>
      </c>
      <c r="G4902" t="n">
        <v>30</v>
      </c>
      <c r="I4902">
        <f>B4902&amp;"|"&amp;C4902</f>
        <v/>
      </c>
      <c r="J4902" t="inlineStr">
        <is>
          <t>Shower buildings, good and excellent</t>
        </is>
      </c>
    </row>
    <row r="4903">
      <c r="B4903" t="inlineStr">
        <is>
          <t>Shower Room Buildings</t>
        </is>
      </c>
      <c r="C4903" t="inlineStr">
        <is>
          <t>Low Cost</t>
        </is>
      </c>
      <c r="F4903" t="n">
        <v>25</v>
      </c>
      <c r="G4903" t="n">
        <v>20</v>
      </c>
      <c r="H4903" t="n">
        <v>20</v>
      </c>
      <c r="I4903">
        <f>B4903&amp;"|"&amp;C4903</f>
        <v/>
      </c>
      <c r="J4903" t="inlineStr">
        <is>
          <t>low cost</t>
        </is>
      </c>
    </row>
    <row r="4904">
      <c r="B4904" t="inlineStr">
        <is>
          <t>Shower Room Buildings</t>
        </is>
      </c>
      <c r="C4904" t="inlineStr">
        <is>
          <t>Cheap</t>
        </is>
      </c>
      <c r="F4904" t="n">
        <v>20</v>
      </c>
      <c r="G4904" t="n">
        <v>15</v>
      </c>
      <c r="H4904" t="n">
        <v>15</v>
      </c>
      <c r="I4904">
        <f>B4904&amp;"|"&amp;C4904</f>
        <v/>
      </c>
      <c r="J4904" t="inlineStr">
        <is>
          <t>cheap</t>
        </is>
      </c>
    </row>
    <row r="4905">
      <c r="B4905" t="inlineStr">
        <is>
          <t>Fieldhouses</t>
        </is>
      </c>
      <c r="C4905" t="inlineStr">
        <is>
          <t>Good</t>
        </is>
      </c>
      <c r="D4905" t="n">
        <v>45</v>
      </c>
      <c r="E4905" t="n">
        <v>45</v>
      </c>
      <c r="F4905" t="n">
        <v>40</v>
      </c>
      <c r="G4905" t="n">
        <v>35</v>
      </c>
      <c r="H4905" t="n">
        <v>35</v>
      </c>
      <c r="I4905">
        <f>B4905&amp;"|"&amp;C4905</f>
        <v/>
      </c>
      <c r="J4905" t="inlineStr">
        <is>
          <t>average and good</t>
        </is>
      </c>
    </row>
    <row r="4906">
      <c r="B4906" t="inlineStr">
        <is>
          <t>Fieldhouses</t>
        </is>
      </c>
      <c r="C4906" t="inlineStr">
        <is>
          <t>Average</t>
        </is>
      </c>
      <c r="D4906" t="n">
        <v>45</v>
      </c>
      <c r="E4906" t="n">
        <v>45</v>
      </c>
      <c r="F4906" t="n">
        <v>40</v>
      </c>
      <c r="G4906" t="n">
        <v>35</v>
      </c>
      <c r="H4906" t="n">
        <v>35</v>
      </c>
      <c r="I4906">
        <f>B4906&amp;"|"&amp;C4906</f>
        <v/>
      </c>
      <c r="J4906" t="inlineStr">
        <is>
          <t>average and good</t>
        </is>
      </c>
    </row>
    <row r="4907">
      <c r="B4907" t="inlineStr">
        <is>
          <t>Fieldhouses</t>
        </is>
      </c>
      <c r="C4907" t="inlineStr">
        <is>
          <t>Excellent</t>
        </is>
      </c>
      <c r="D4907" t="n">
        <v>50</v>
      </c>
      <c r="E4907" t="n">
        <v>50</v>
      </c>
      <c r="F4907" t="n">
        <v>45</v>
      </c>
      <c r="G4907" t="n">
        <v>40</v>
      </c>
      <c r="H4907" t="n">
        <v>40</v>
      </c>
      <c r="I4907">
        <f>B4907&amp;"|"&amp;C4907</f>
        <v/>
      </c>
      <c r="J4907" t="inlineStr">
        <is>
          <t>Field houses, excellent</t>
        </is>
      </c>
    </row>
    <row r="4908">
      <c r="B4908" t="inlineStr">
        <is>
          <t>Fieldhouses</t>
        </is>
      </c>
      <c r="C4908" t="inlineStr">
        <is>
          <t>Low Cost</t>
        </is>
      </c>
      <c r="F4908" t="n">
        <v>35</v>
      </c>
      <c r="G4908" t="n">
        <v>30</v>
      </c>
      <c r="H4908" t="n">
        <v>30</v>
      </c>
      <c r="I4908">
        <f>B4908&amp;"|"&amp;C4908</f>
        <v/>
      </c>
      <c r="J4908" t="inlineStr">
        <is>
          <t>low cost</t>
        </is>
      </c>
    </row>
    <row r="4909">
      <c r="B4909" t="inlineStr">
        <is>
          <t>Fieldhouses</t>
        </is>
      </c>
      <c r="C4909" t="inlineStr">
        <is>
          <t>Cheap</t>
        </is>
      </c>
      <c r="G4909" t="n">
        <v>25</v>
      </c>
      <c r="H4909" t="n">
        <v>25</v>
      </c>
      <c r="I4909">
        <f>B4909&amp;"|"&amp;C4909</f>
        <v/>
      </c>
      <c r="J4909" t="inlineStr">
        <is>
          <t>cheap</t>
        </is>
      </c>
    </row>
    <row r="4910">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c r="B4912" t="inlineStr">
        <is>
          <t>Physical Education Buildings</t>
        </is>
      </c>
      <c r="C4912" t="inlineStr">
        <is>
          <t>Excellent</t>
        </is>
      </c>
      <c r="F4912" t="n">
        <v>45</v>
      </c>
      <c r="G4912" t="n">
        <v>40</v>
      </c>
      <c r="I4912">
        <f>B4912&amp;"|"&amp;C4912</f>
        <v/>
      </c>
      <c r="J4912" t="inlineStr">
        <is>
          <t>College physical education, excellent</t>
        </is>
      </c>
    </row>
    <row r="4913">
      <c r="B4913" t="inlineStr">
        <is>
          <t>Physical Education Buildings</t>
        </is>
      </c>
      <c r="C4913" t="inlineStr">
        <is>
          <t>Low Cost</t>
        </is>
      </c>
      <c r="F4913" t="n">
        <v>35</v>
      </c>
      <c r="G4913" t="n">
        <v>30</v>
      </c>
      <c r="H4913" t="n">
        <v>30</v>
      </c>
      <c r="I4913">
        <f>B4913&amp;"|"&amp;C4913</f>
        <v/>
      </c>
      <c r="J4913" t="inlineStr">
        <is>
          <t>low cost</t>
        </is>
      </c>
    </row>
    <row r="4914">
      <c r="B4914" t="inlineStr">
        <is>
          <t>Gymnasiums</t>
        </is>
      </c>
      <c r="C4914" t="inlineStr">
        <is>
          <t>Good</t>
        </is>
      </c>
      <c r="D4914" t="n">
        <v>45</v>
      </c>
      <c r="E4914" t="n">
        <v>45</v>
      </c>
      <c r="F4914" t="n">
        <v>40</v>
      </c>
      <c r="G4914" t="n">
        <v>35</v>
      </c>
      <c r="H4914" t="n">
        <v>35</v>
      </c>
      <c r="I4914">
        <f>B4914&amp;"|"&amp;C4914</f>
        <v/>
      </c>
      <c r="J4914" t="inlineStr">
        <is>
          <t>average and good</t>
        </is>
      </c>
    </row>
    <row r="4915">
      <c r="B4915" t="inlineStr">
        <is>
          <t>Gymnasiums</t>
        </is>
      </c>
      <c r="C4915" t="inlineStr">
        <is>
          <t>Average</t>
        </is>
      </c>
      <c r="D4915" t="n">
        <v>45</v>
      </c>
      <c r="E4915" t="n">
        <v>45</v>
      </c>
      <c r="F4915" t="n">
        <v>40</v>
      </c>
      <c r="G4915" t="n">
        <v>35</v>
      </c>
      <c r="H4915" t="n">
        <v>35</v>
      </c>
      <c r="I4915">
        <f>B4915&amp;"|"&amp;C4915</f>
        <v/>
      </c>
      <c r="J4915" t="inlineStr">
        <is>
          <t>average and good</t>
        </is>
      </c>
    </row>
    <row r="4916">
      <c r="B4916" t="inlineStr">
        <is>
          <t>Gymnasiums</t>
        </is>
      </c>
      <c r="C4916" t="inlineStr">
        <is>
          <t>Excellent</t>
        </is>
      </c>
      <c r="D4916" t="n">
        <v>50</v>
      </c>
      <c r="E4916" t="n">
        <v>50</v>
      </c>
      <c r="F4916" t="n">
        <v>45</v>
      </c>
      <c r="G4916" t="n">
        <v>40</v>
      </c>
      <c r="I4916">
        <f>B4916&amp;"|"&amp;C4916</f>
        <v/>
      </c>
      <c r="J4916" t="inlineStr">
        <is>
          <t>Gymnasiums, excellent</t>
        </is>
      </c>
    </row>
    <row r="4917">
      <c r="B4917" t="inlineStr">
        <is>
          <t>Gymnasiums</t>
        </is>
      </c>
      <c r="C4917" t="inlineStr">
        <is>
          <t>Low Cost</t>
        </is>
      </c>
      <c r="F4917" t="n">
        <v>35</v>
      </c>
      <c r="G4917" t="n">
        <v>30</v>
      </c>
      <c r="H4917" t="n">
        <v>30</v>
      </c>
      <c r="I4917">
        <f>B4917&amp;"|"&amp;C4917</f>
        <v/>
      </c>
      <c r="J4917" t="inlineStr">
        <is>
          <t>cheap and low cost</t>
        </is>
      </c>
    </row>
    <row r="4918">
      <c r="B4918" t="inlineStr">
        <is>
          <t>Gymnasiums</t>
        </is>
      </c>
      <c r="C4918" t="inlineStr">
        <is>
          <t>Cheap</t>
        </is>
      </c>
      <c r="F4918" t="n">
        <v>35</v>
      </c>
      <c r="G4918" t="n">
        <v>30</v>
      </c>
      <c r="H4918" t="n">
        <v>30</v>
      </c>
      <c r="I4918">
        <f>B4918&amp;"|"&amp;C4918</f>
        <v/>
      </c>
      <c r="J4918" t="inlineStr">
        <is>
          <t>cheap and low cost</t>
        </is>
      </c>
    </row>
    <row r="4919">
      <c r="B4919" t="inlineStr">
        <is>
          <t>Colleges</t>
        </is>
      </c>
      <c r="C4919" t="inlineStr">
        <is>
          <t>Excellent</t>
        </is>
      </c>
      <c r="D4919" t="n">
        <v>60</v>
      </c>
      <c r="E4919" t="n">
        <v>60</v>
      </c>
      <c r="F4919" t="n">
        <v>55</v>
      </c>
      <c r="G4919" t="n">
        <v>50</v>
      </c>
      <c r="I4919">
        <f>B4919&amp;"|"&amp;C4919</f>
        <v/>
      </c>
      <c r="J4919" t="inlineStr">
        <is>
          <t>College level: entire school plant, excellent</t>
        </is>
      </c>
    </row>
    <row r="4920">
      <c r="B4920" t="inlineStr">
        <is>
          <t>Colleges</t>
        </is>
      </c>
      <c r="C4920" t="inlineStr">
        <is>
          <t>Good</t>
        </is>
      </c>
      <c r="D4920" t="n">
        <v>60</v>
      </c>
      <c r="E4920" t="n">
        <v>60</v>
      </c>
      <c r="F4920" t="n">
        <v>50</v>
      </c>
      <c r="G4920" t="n">
        <v>45</v>
      </c>
      <c r="H4920" t="n">
        <v>45</v>
      </c>
      <c r="I4920">
        <f>B4920&amp;"|"&amp;C4920</f>
        <v/>
      </c>
      <c r="J4920" t="inlineStr">
        <is>
          <t>good</t>
        </is>
      </c>
    </row>
    <row r="4921">
      <c r="B4921" t="inlineStr">
        <is>
          <t>Colleges</t>
        </is>
      </c>
      <c r="C4921" t="inlineStr">
        <is>
          <t>Average</t>
        </is>
      </c>
      <c r="D4921" t="n">
        <v>50</v>
      </c>
      <c r="E4921" t="n">
        <v>50</v>
      </c>
      <c r="F4921" t="n">
        <v>45</v>
      </c>
      <c r="G4921" t="n">
        <v>40</v>
      </c>
      <c r="H4921" t="n">
        <v>40</v>
      </c>
      <c r="I4921">
        <f>B4921&amp;"|"&amp;C4921</f>
        <v/>
      </c>
      <c r="J4921" t="inlineStr">
        <is>
          <t>average</t>
        </is>
      </c>
    </row>
    <row r="4922">
      <c r="B4922" t="inlineStr">
        <is>
          <t>Colleges</t>
        </is>
      </c>
      <c r="C4922" t="inlineStr">
        <is>
          <t>Low Cost</t>
        </is>
      </c>
      <c r="F4922" t="n">
        <v>40</v>
      </c>
      <c r="G4922" t="n">
        <v>35</v>
      </c>
      <c r="H4922" t="n">
        <v>35</v>
      </c>
      <c r="I4922">
        <f>B4922&amp;"|"&amp;C4922</f>
        <v/>
      </c>
      <c r="J4922" t="inlineStr">
        <is>
          <t>low cost</t>
        </is>
      </c>
    </row>
    <row r="4923">
      <c r="B4923" t="inlineStr">
        <is>
          <t>College Classrooms</t>
        </is>
      </c>
      <c r="C4923" t="inlineStr">
        <is>
          <t>Excellent</t>
        </is>
      </c>
      <c r="D4923" t="n">
        <v>60</v>
      </c>
      <c r="E4923" t="n">
        <v>60</v>
      </c>
      <c r="F4923" t="n">
        <v>55</v>
      </c>
      <c r="G4923" t="n">
        <v>50</v>
      </c>
      <c r="I4923">
        <f>B4923&amp;"|"&amp;C4923</f>
        <v/>
      </c>
      <c r="J4923" t="inlineStr">
        <is>
          <t>Classrooms, excellent</t>
        </is>
      </c>
    </row>
    <row r="4924">
      <c r="B4924" t="inlineStr">
        <is>
          <t>College Classrooms</t>
        </is>
      </c>
      <c r="C4924" t="inlineStr">
        <is>
          <t>Good</t>
        </is>
      </c>
      <c r="D4924" t="n">
        <v>60</v>
      </c>
      <c r="E4924" t="n">
        <v>60</v>
      </c>
      <c r="F4924" t="n">
        <v>50</v>
      </c>
      <c r="G4924" t="n">
        <v>45</v>
      </c>
      <c r="H4924" t="n">
        <v>45</v>
      </c>
      <c r="I4924">
        <f>B4924&amp;"|"&amp;C4924</f>
        <v/>
      </c>
      <c r="J4924" t="inlineStr">
        <is>
          <t>good</t>
        </is>
      </c>
    </row>
    <row r="4925">
      <c r="B4925" t="inlineStr">
        <is>
          <t>College Classrooms</t>
        </is>
      </c>
      <c r="C4925" t="inlineStr">
        <is>
          <t>Average</t>
        </is>
      </c>
      <c r="D4925" t="n">
        <v>50</v>
      </c>
      <c r="E4925" t="n">
        <v>50</v>
      </c>
      <c r="F4925" t="n">
        <v>45</v>
      </c>
      <c r="G4925" t="n">
        <v>40</v>
      </c>
      <c r="H4925" t="n">
        <v>40</v>
      </c>
      <c r="I4925">
        <f>B4925&amp;"|"&amp;C4925</f>
        <v/>
      </c>
      <c r="J4925" t="inlineStr">
        <is>
          <t>average</t>
        </is>
      </c>
    </row>
    <row r="4926">
      <c r="B4926" t="inlineStr">
        <is>
          <t>College Classrooms</t>
        </is>
      </c>
      <c r="C4926" t="inlineStr">
        <is>
          <t>Low Cost</t>
        </is>
      </c>
      <c r="F4926" t="n">
        <v>40</v>
      </c>
      <c r="G4926" t="n">
        <v>35</v>
      </c>
      <c r="H4926" t="n">
        <v>35</v>
      </c>
      <c r="I4926">
        <f>B4926&amp;"|"&amp;C4926</f>
        <v/>
      </c>
      <c r="J4926" t="inlineStr">
        <is>
          <t>low cost</t>
        </is>
      </c>
    </row>
    <row r="4927">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c r="B4928" t="inlineStr">
        <is>
          <t>Technical Trades Buildings</t>
        </is>
      </c>
      <c r="C4928" t="inlineStr">
        <is>
          <t>Average</t>
        </is>
      </c>
      <c r="D4928" t="n">
        <v>50</v>
      </c>
      <c r="E4928" t="n">
        <v>50</v>
      </c>
      <c r="F4928" t="n">
        <v>45</v>
      </c>
      <c r="G4928" t="n">
        <v>40</v>
      </c>
      <c r="H4928" t="n">
        <v>40</v>
      </c>
      <c r="I4928">
        <f>B4928&amp;"|"&amp;C4928</f>
        <v/>
      </c>
      <c r="J4928" t="inlineStr">
        <is>
          <t>average</t>
        </is>
      </c>
    </row>
    <row r="4929">
      <c r="B4929" t="inlineStr">
        <is>
          <t>Technical Trades Buildings</t>
        </is>
      </c>
      <c r="C4929" t="inlineStr">
        <is>
          <t>Low Cost</t>
        </is>
      </c>
      <c r="F4929" t="n">
        <v>40</v>
      </c>
      <c r="G4929" t="n">
        <v>35</v>
      </c>
      <c r="H4929" t="n">
        <v>35</v>
      </c>
      <c r="I4929">
        <f>B4929&amp;"|"&amp;C4929</f>
        <v/>
      </c>
      <c r="J4929" t="inlineStr">
        <is>
          <t>low cost</t>
        </is>
      </c>
    </row>
    <row r="4930">
      <c r="B4930" t="inlineStr">
        <is>
          <t>Lecture Hall Buildings</t>
        </is>
      </c>
      <c r="C4930" t="inlineStr">
        <is>
          <t>Excellent</t>
        </is>
      </c>
      <c r="F4930" t="n">
        <v>55</v>
      </c>
      <c r="I4930">
        <f>B4930&amp;"|"&amp;C4930</f>
        <v/>
      </c>
      <c r="J4930" t="inlineStr">
        <is>
          <t>Lecture halls, excellent</t>
        </is>
      </c>
    </row>
    <row r="4931">
      <c r="B4931" t="inlineStr">
        <is>
          <t>Lecture Hall Buildings</t>
        </is>
      </c>
      <c r="C4931" t="inlineStr">
        <is>
          <t>Good</t>
        </is>
      </c>
      <c r="D4931" t="n">
        <v>60</v>
      </c>
      <c r="E4931" t="n">
        <v>60</v>
      </c>
      <c r="F4931" t="n">
        <v>50</v>
      </c>
      <c r="G4931" t="n">
        <v>45</v>
      </c>
      <c r="H4931" t="n">
        <v>45</v>
      </c>
      <c r="I4931">
        <f>B4931&amp;"|"&amp;C4931</f>
        <v/>
      </c>
      <c r="J4931" t="inlineStr">
        <is>
          <t>good</t>
        </is>
      </c>
    </row>
    <row r="4932">
      <c r="B4932" t="inlineStr">
        <is>
          <t>Lecture Hall Buildings</t>
        </is>
      </c>
      <c r="C4932" t="inlineStr">
        <is>
          <t>Average</t>
        </is>
      </c>
      <c r="D4932" t="n">
        <v>50</v>
      </c>
      <c r="E4932" t="n">
        <v>50</v>
      </c>
      <c r="F4932" t="n">
        <v>45</v>
      </c>
      <c r="G4932" t="n">
        <v>40</v>
      </c>
      <c r="H4932" t="n">
        <v>40</v>
      </c>
      <c r="I4932">
        <f>B4932&amp;"|"&amp;C4932</f>
        <v/>
      </c>
      <c r="J4932" t="inlineStr">
        <is>
          <t>average</t>
        </is>
      </c>
    </row>
    <row r="4933">
      <c r="B4933" t="inlineStr">
        <is>
          <t>Arts &amp; Crafts Buildings</t>
        </is>
      </c>
      <c r="C4933" t="inlineStr">
        <is>
          <t>Excellent</t>
        </is>
      </c>
      <c r="D4933" t="n">
        <v>60</v>
      </c>
      <c r="E4933" t="n">
        <v>60</v>
      </c>
      <c r="F4933" t="n">
        <v>55</v>
      </c>
      <c r="I4933">
        <f>B4933&amp;"|"&amp;C4933</f>
        <v/>
      </c>
      <c r="J4933" t="inlineStr">
        <is>
          <t>Arts and crafts buildings, excellent</t>
        </is>
      </c>
    </row>
    <row r="4934">
      <c r="B4934" t="inlineStr">
        <is>
          <t>Arts &amp; Crafts Buildings</t>
        </is>
      </c>
      <c r="C4934" t="inlineStr">
        <is>
          <t>Good</t>
        </is>
      </c>
      <c r="D4934" t="n">
        <v>60</v>
      </c>
      <c r="E4934" t="n">
        <v>60</v>
      </c>
      <c r="F4934" t="n">
        <v>50</v>
      </c>
      <c r="G4934" t="n">
        <v>45</v>
      </c>
      <c r="H4934" t="n">
        <v>45</v>
      </c>
      <c r="I4934">
        <f>B4934&amp;"|"&amp;C4934</f>
        <v/>
      </c>
      <c r="J4934" t="inlineStr">
        <is>
          <t>good</t>
        </is>
      </c>
    </row>
    <row r="4935">
      <c r="B4935" t="inlineStr">
        <is>
          <t>Arts &amp; Crafts Buildings</t>
        </is>
      </c>
      <c r="C4935" t="inlineStr">
        <is>
          <t>Average</t>
        </is>
      </c>
      <c r="D4935" t="n">
        <v>50</v>
      </c>
      <c r="E4935" t="n">
        <v>50</v>
      </c>
      <c r="F4935" t="n">
        <v>45</v>
      </c>
      <c r="G4935" t="n">
        <v>40</v>
      </c>
      <c r="H4935" t="n">
        <v>40</v>
      </c>
      <c r="I4935">
        <f>B4935&amp;"|"&amp;C4935</f>
        <v/>
      </c>
      <c r="J4935" t="inlineStr">
        <is>
          <t>average</t>
        </is>
      </c>
    </row>
    <row r="4936">
      <c r="B4936" t="inlineStr">
        <is>
          <t>Arts &amp; Crafts Buildings</t>
        </is>
      </c>
      <c r="C4936" t="inlineStr">
        <is>
          <t>Low Cost</t>
        </is>
      </c>
      <c r="F4936" t="n">
        <v>40</v>
      </c>
      <c r="G4936" t="n">
        <v>35</v>
      </c>
      <c r="H4936" t="n">
        <v>35</v>
      </c>
      <c r="I4936">
        <f>B4936&amp;"|"&amp;C4936</f>
        <v/>
      </c>
      <c r="J4936" t="inlineStr">
        <is>
          <t>low cost</t>
        </is>
      </c>
    </row>
    <row r="4937">
      <c r="B4937" t="inlineStr">
        <is>
          <t>Science Buildings</t>
        </is>
      </c>
      <c r="C4937" t="inlineStr">
        <is>
          <t>Excellent</t>
        </is>
      </c>
      <c r="D4937" t="n">
        <v>60</v>
      </c>
      <c r="E4937" t="n">
        <v>60</v>
      </c>
      <c r="F4937" t="n">
        <v>55</v>
      </c>
      <c r="G4937" t="n">
        <v>50</v>
      </c>
      <c r="I4937">
        <f>B4937&amp;"|"&amp;C4937</f>
        <v/>
      </c>
      <c r="J4937" t="inlineStr">
        <is>
          <t>Science buildings, excellent</t>
        </is>
      </c>
    </row>
    <row r="4938">
      <c r="B4938" t="inlineStr">
        <is>
          <t>Science Buildings</t>
        </is>
      </c>
      <c r="C4938" t="inlineStr">
        <is>
          <t>Good</t>
        </is>
      </c>
      <c r="D4938" t="n">
        <v>60</v>
      </c>
      <c r="E4938" t="n">
        <v>60</v>
      </c>
      <c r="F4938" t="n">
        <v>50</v>
      </c>
      <c r="G4938" t="n">
        <v>45</v>
      </c>
      <c r="H4938" t="n">
        <v>45</v>
      </c>
      <c r="I4938">
        <f>B4938&amp;"|"&amp;C4938</f>
        <v/>
      </c>
      <c r="J4938" t="inlineStr">
        <is>
          <t>good</t>
        </is>
      </c>
    </row>
    <row r="4939">
      <c r="B4939" t="inlineStr">
        <is>
          <t>Science Buildings</t>
        </is>
      </c>
      <c r="C4939" t="inlineStr">
        <is>
          <t>Average</t>
        </is>
      </c>
      <c r="D4939" t="n">
        <v>50</v>
      </c>
      <c r="E4939" t="n">
        <v>50</v>
      </c>
      <c r="F4939" t="n">
        <v>45</v>
      </c>
      <c r="G4939" t="n">
        <v>40</v>
      </c>
      <c r="H4939" t="n">
        <v>40</v>
      </c>
      <c r="I4939">
        <f>B4939&amp;"|"&amp;C4939</f>
        <v/>
      </c>
      <c r="J4939" t="inlineStr">
        <is>
          <t>average</t>
        </is>
      </c>
    </row>
    <row r="4940">
      <c r="B4940" t="inlineStr">
        <is>
          <t>Science Buildings</t>
        </is>
      </c>
      <c r="C4940" t="inlineStr">
        <is>
          <t>Low Cost</t>
        </is>
      </c>
      <c r="D4940" t="n">
        <v>50</v>
      </c>
      <c r="E4940" t="n">
        <v>50</v>
      </c>
      <c r="F4940" t="n">
        <v>40</v>
      </c>
      <c r="G4940" t="n">
        <v>35</v>
      </c>
      <c r="H4940" t="n">
        <v>35</v>
      </c>
      <c r="I4940">
        <f>B4940&amp;"|"&amp;C4940</f>
        <v/>
      </c>
      <c r="J4940" t="inlineStr">
        <is>
          <t>low cost</t>
        </is>
      </c>
    </row>
    <row r="4941">
      <c r="B4941" t="inlineStr">
        <is>
          <t>Commons</t>
        </is>
      </c>
      <c r="C4941" t="inlineStr">
        <is>
          <t>Excellent</t>
        </is>
      </c>
      <c r="D4941" t="n">
        <v>60</v>
      </c>
      <c r="E4941" t="n">
        <v>60</v>
      </c>
      <c r="F4941" t="n">
        <v>55</v>
      </c>
      <c r="G4941" t="n">
        <v>50</v>
      </c>
      <c r="I4941">
        <f>B4941&amp;"|"&amp;C4941</f>
        <v/>
      </c>
      <c r="J4941" t="inlineStr">
        <is>
          <t>Commons, excellent</t>
        </is>
      </c>
    </row>
    <row r="4942">
      <c r="B4942" t="inlineStr">
        <is>
          <t>Commons</t>
        </is>
      </c>
      <c r="C4942" t="inlineStr">
        <is>
          <t>Good</t>
        </is>
      </c>
      <c r="D4942" t="n">
        <v>60</v>
      </c>
      <c r="E4942" t="n">
        <v>60</v>
      </c>
      <c r="F4942" t="n">
        <v>50</v>
      </c>
      <c r="G4942" t="n">
        <v>45</v>
      </c>
      <c r="H4942" t="n">
        <v>45</v>
      </c>
      <c r="I4942">
        <f>B4942&amp;"|"&amp;C4942</f>
        <v/>
      </c>
      <c r="J4942" t="inlineStr">
        <is>
          <t>good</t>
        </is>
      </c>
    </row>
    <row r="4943">
      <c r="B4943" t="inlineStr">
        <is>
          <t>Commons</t>
        </is>
      </c>
      <c r="C4943" t="inlineStr">
        <is>
          <t>Average</t>
        </is>
      </c>
      <c r="D4943" t="n">
        <v>50</v>
      </c>
      <c r="E4943" t="n">
        <v>50</v>
      </c>
      <c r="F4943" t="n">
        <v>45</v>
      </c>
      <c r="G4943" t="n">
        <v>40</v>
      </c>
      <c r="H4943" t="n">
        <v>40</v>
      </c>
      <c r="I4943">
        <f>B4943&amp;"|"&amp;C4943</f>
        <v/>
      </c>
      <c r="J4943" t="inlineStr">
        <is>
          <t>average</t>
        </is>
      </c>
    </row>
    <row r="4944">
      <c r="B4944" t="inlineStr">
        <is>
          <t>Commons</t>
        </is>
      </c>
      <c r="C4944" t="inlineStr">
        <is>
          <t>Low Cost</t>
        </is>
      </c>
      <c r="F4944" t="n">
        <v>40</v>
      </c>
      <c r="G4944" t="n">
        <v>35</v>
      </c>
      <c r="H4944" t="n">
        <v>35</v>
      </c>
      <c r="I4944">
        <f>B4944&amp;"|"&amp;C4944</f>
        <v/>
      </c>
      <c r="J4944" t="inlineStr">
        <is>
          <t>low cost</t>
        </is>
      </c>
    </row>
    <row r="49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c r="B4946" t="inlineStr">
        <is>
          <t>Administration (Office) Buildings</t>
        </is>
      </c>
      <c r="C4946" t="inlineStr">
        <is>
          <t>Good</t>
        </is>
      </c>
      <c r="D4946" t="n">
        <v>50</v>
      </c>
      <c r="E4946" t="n">
        <v>50</v>
      </c>
      <c r="F4946" t="n">
        <v>45</v>
      </c>
      <c r="G4946" t="n">
        <v>40</v>
      </c>
      <c r="H4946" t="n">
        <v>40</v>
      </c>
      <c r="I4946">
        <f>B4946&amp;"|"&amp;C4946</f>
        <v/>
      </c>
      <c r="J4946" t="inlineStr">
        <is>
          <t>good</t>
        </is>
      </c>
    </row>
    <row r="4947">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c r="B4949" t="inlineStr">
        <is>
          <t>Relocatable Offices</t>
        </is>
      </c>
      <c r="C4949" t="inlineStr">
        <is>
          <t>Excellent</t>
        </is>
      </c>
      <c r="G4949" t="n">
        <v>35</v>
      </c>
      <c r="I4949">
        <f>B4949&amp;"|"&amp;C4949</f>
        <v/>
      </c>
      <c r="J4949" t="inlineStr">
        <is>
          <t>Relocatable classrooms and offices, excellent</t>
        </is>
      </c>
    </row>
    <row r="4950">
      <c r="B4950" t="inlineStr">
        <is>
          <t>Relocatable Offices</t>
        </is>
      </c>
      <c r="C4950" t="inlineStr">
        <is>
          <t>Good</t>
        </is>
      </c>
      <c r="G4950" t="n">
        <v>30</v>
      </c>
      <c r="I4950">
        <f>B4950&amp;"|"&amp;C4950</f>
        <v/>
      </c>
      <c r="J4950" t="inlineStr">
        <is>
          <t>good</t>
        </is>
      </c>
    </row>
    <row r="4951">
      <c r="B4951" t="inlineStr">
        <is>
          <t>Relocatable Offices</t>
        </is>
      </c>
      <c r="C4951" t="inlineStr">
        <is>
          <t>Average</t>
        </is>
      </c>
      <c r="G4951" t="n">
        <v>25</v>
      </c>
      <c r="I4951">
        <f>B4951&amp;"|"&amp;C4951</f>
        <v/>
      </c>
      <c r="J4951" t="inlineStr">
        <is>
          <t>average</t>
        </is>
      </c>
    </row>
    <row r="4952">
      <c r="B4952" t="inlineStr">
        <is>
          <t>Relocatable Offices</t>
        </is>
      </c>
      <c r="C4952" t="inlineStr">
        <is>
          <t>Low Cost</t>
        </is>
      </c>
      <c r="G4952" t="n">
        <v>20</v>
      </c>
      <c r="I4952">
        <f>B4952&amp;"|"&amp;C4952</f>
        <v/>
      </c>
      <c r="J4952" t="inlineStr">
        <is>
          <t>low cost</t>
        </is>
      </c>
    </row>
    <row r="4953">
      <c r="B4953" t="inlineStr">
        <is>
          <t>Relocatable Offices</t>
        </is>
      </c>
      <c r="C4953" t="inlineStr">
        <is>
          <t>Cheap</t>
        </is>
      </c>
      <c r="G4953" t="n">
        <v>10</v>
      </c>
      <c r="I4953">
        <f>B4953&amp;"|"&amp;C4953</f>
        <v/>
      </c>
      <c r="J4953" t="inlineStr">
        <is>
          <t>cheap</t>
        </is>
      </c>
    </row>
    <row r="4954">
      <c r="B4954" t="inlineStr">
        <is>
          <t>Commercial (Institutional) Greenhouses</t>
        </is>
      </c>
      <c r="C4954" t="inlineStr">
        <is>
          <t>Fair</t>
        </is>
      </c>
      <c r="G4954" t="n">
        <v>25</v>
      </c>
      <c r="H4954" t="n">
        <v>30</v>
      </c>
      <c r="I4954">
        <f>B4954&amp;"|"&amp;C4954</f>
        <v/>
      </c>
      <c r="J4954" t="inlineStr">
        <is>
          <t>fair and average</t>
        </is>
      </c>
    </row>
    <row r="4955">
      <c r="B4955" t="inlineStr">
        <is>
          <t>Commercial (Institutional) Greenhouses</t>
        </is>
      </c>
      <c r="C4955" t="inlineStr">
        <is>
          <t>Low Cost</t>
        </is>
      </c>
      <c r="G4955" t="n">
        <v>20</v>
      </c>
      <c r="H4955" t="n">
        <v>25</v>
      </c>
      <c r="I4955">
        <f>B4955&amp;"|"&amp;C4955</f>
        <v/>
      </c>
      <c r="J4955" t="inlineStr">
        <is>
          <t>low cost</t>
        </is>
      </c>
    </row>
    <row r="4956">
      <c r="B4956" t="inlineStr">
        <is>
          <t>Commercial (Institutional) Greenhouses</t>
        </is>
      </c>
      <c r="C4956" t="inlineStr">
        <is>
          <t>Excellent</t>
        </is>
      </c>
      <c r="H4956" t="n">
        <v>40</v>
      </c>
      <c r="I4956">
        <f>B4956&amp;"|"&amp;C4956</f>
        <v/>
      </c>
      <c r="J4956" t="inlineStr">
        <is>
          <t>Institutional greenhouses, very good and excellent</t>
        </is>
      </c>
    </row>
    <row r="4957">
      <c r="B4957" t="inlineStr">
        <is>
          <t>Commercial (Institutional) Greenhouses</t>
        </is>
      </c>
      <c r="C4957" t="inlineStr">
        <is>
          <t>Very Good</t>
        </is>
      </c>
      <c r="H4957" t="n">
        <v>40</v>
      </c>
      <c r="I4957">
        <f>B4957&amp;"|"&amp;C4957</f>
        <v/>
      </c>
      <c r="J4957" t="inlineStr">
        <is>
          <t>Institutional greenhouses, very good and excellent</t>
        </is>
      </c>
    </row>
    <row r="4958">
      <c r="B4958" t="inlineStr">
        <is>
          <t>Commercial (Institutional) Greenhouses</t>
        </is>
      </c>
      <c r="C4958" t="inlineStr">
        <is>
          <t>Good</t>
        </is>
      </c>
      <c r="H4958" t="n">
        <v>35</v>
      </c>
      <c r="I4958">
        <f>B4958&amp;"|"&amp;C4958</f>
        <v/>
      </c>
      <c r="J4958" t="inlineStr">
        <is>
          <t>good</t>
        </is>
      </c>
    </row>
    <row r="4959">
      <c r="B4959" t="inlineStr">
        <is>
          <t>Commercial (Institutional) Greenhouses</t>
        </is>
      </c>
      <c r="C4959" t="inlineStr">
        <is>
          <t>Average</t>
        </is>
      </c>
      <c r="G4959" t="n">
        <v>25</v>
      </c>
      <c r="H4959" t="n">
        <v>30</v>
      </c>
      <c r="I4959">
        <f>B4959&amp;"|"&amp;C4959</f>
        <v/>
      </c>
      <c r="J4959" t="inlineStr">
        <is>
          <t>fair and average</t>
        </is>
      </c>
    </row>
    <row r="4960">
      <c r="B4960" t="inlineStr">
        <is>
          <t>Commercial (Institutional) Greenhouses</t>
        </is>
      </c>
      <c r="C4960" t="inlineStr">
        <is>
          <t>Cheap</t>
        </is>
      </c>
      <c r="G4960" t="n">
        <v>20</v>
      </c>
      <c r="H4960" t="n">
        <v>25</v>
      </c>
      <c r="I4960">
        <f>B4960&amp;"|"&amp;C4960</f>
        <v/>
      </c>
      <c r="J4960" t="inlineStr">
        <is>
          <t>low cost</t>
        </is>
      </c>
    </row>
    <row r="4963">
      <c r="B4963" s="1250" t="inlineStr">
        <is>
          <t>REFERENCE 12 -- Depreciation Percent-Good Table, Commercial Properties (MVS Sec.97 p.24). Applies to Sections 11/13/14/15 per MVS's own 'Properties Included' key.</t>
        </is>
      </c>
    </row>
    <row r="4964">
      <c r="B4964" t="inlineStr">
        <is>
          <t>Blank cells = combination not tabulated in the manual (effective age exceeds what's charted for that life expectancy) -- treat as fully/near-fully depreciated; see Sec.97 salvage-value guidance.</t>
        </is>
      </c>
    </row>
    <row r="4965">
      <c r="B4965" t="inlineStr">
        <is>
          <t>Effective Age (yrs) \ Typical Life (yrs) -&gt;</t>
        </is>
      </c>
      <c r="C4965" t="n">
        <v>70</v>
      </c>
      <c r="D4965" t="n">
        <v>60</v>
      </c>
      <c r="E4965" t="n">
        <v>55</v>
      </c>
      <c r="F4965" t="n">
        <v>50</v>
      </c>
      <c r="G4965" t="n">
        <v>45</v>
      </c>
      <c r="H4965" t="n">
        <v>40</v>
      </c>
      <c r="I4965" t="n">
        <v>35</v>
      </c>
      <c r="J4965" t="n">
        <v>30</v>
      </c>
      <c r="K4965" t="n">
        <v>25</v>
      </c>
      <c r="L4965" t="n">
        <v>20</v>
      </c>
    </row>
    <row r="4966">
      <c r="B4966" t="n">
        <v>1</v>
      </c>
      <c r="C4966" t="n">
        <v>0</v>
      </c>
      <c r="D4966" t="n">
        <v>0</v>
      </c>
      <c r="E4966" t="n">
        <v>0</v>
      </c>
      <c r="F4966" t="n">
        <v>0</v>
      </c>
      <c r="G4966" t="n">
        <v>1</v>
      </c>
      <c r="H4966" t="n">
        <v>1</v>
      </c>
      <c r="I4966" t="n">
        <v>1</v>
      </c>
      <c r="J4966" t="n">
        <v>2</v>
      </c>
      <c r="K4966" t="n">
        <v>2</v>
      </c>
      <c r="L4966" t="n">
        <v>3</v>
      </c>
    </row>
    <row r="4967">
      <c r="B4967" t="n">
        <v>2</v>
      </c>
      <c r="C4967" t="n">
        <v>0</v>
      </c>
      <c r="D4967" t="n">
        <v>1</v>
      </c>
      <c r="E4967" t="n">
        <v>1</v>
      </c>
      <c r="F4967" t="n">
        <v>1</v>
      </c>
      <c r="G4967" t="n">
        <v>1</v>
      </c>
      <c r="H4967" t="n">
        <v>2</v>
      </c>
      <c r="I4967" t="n">
        <v>2</v>
      </c>
      <c r="J4967" t="n">
        <v>3</v>
      </c>
      <c r="K4967" t="n">
        <v>5</v>
      </c>
      <c r="L4967" t="n">
        <v>7</v>
      </c>
    </row>
    <row r="4968">
      <c r="B4968" t="n">
        <v>3</v>
      </c>
      <c r="C4968" t="n">
        <v>0</v>
      </c>
      <c r="D4968" t="n">
        <v>1</v>
      </c>
      <c r="E4968" t="n">
        <v>1</v>
      </c>
      <c r="F4968" t="n">
        <v>1</v>
      </c>
      <c r="G4968" t="n">
        <v>2</v>
      </c>
      <c r="H4968" t="n">
        <v>3</v>
      </c>
      <c r="I4968" t="n">
        <v>4</v>
      </c>
      <c r="J4968" t="n">
        <v>5</v>
      </c>
      <c r="K4968" t="n">
        <v>7</v>
      </c>
      <c r="L4968" t="n">
        <v>10</v>
      </c>
    </row>
    <row r="4969">
      <c r="B4969" t="n">
        <v>4</v>
      </c>
      <c r="C4969" t="n">
        <v>1</v>
      </c>
      <c r="D4969" t="n">
        <v>1</v>
      </c>
      <c r="E4969" t="n">
        <v>1</v>
      </c>
      <c r="F4969" t="n">
        <v>2</v>
      </c>
      <c r="G4969" t="n">
        <v>3</v>
      </c>
      <c r="H4969" t="n">
        <v>4</v>
      </c>
      <c r="I4969" t="n">
        <v>5</v>
      </c>
      <c r="J4969" t="n">
        <v>7</v>
      </c>
      <c r="K4969" t="n">
        <v>10</v>
      </c>
      <c r="L4969" t="n">
        <v>14</v>
      </c>
    </row>
    <row r="4970">
      <c r="B4970" t="n">
        <v>5</v>
      </c>
      <c r="C4970" t="n">
        <v>1</v>
      </c>
      <c r="D4970" t="n">
        <v>1</v>
      </c>
      <c r="E4970" t="n">
        <v>2</v>
      </c>
      <c r="F4970" t="n">
        <v>3</v>
      </c>
      <c r="G4970" t="n">
        <v>4</v>
      </c>
      <c r="H4970" t="n">
        <v>5</v>
      </c>
      <c r="I4970" t="n">
        <v>6</v>
      </c>
      <c r="J4970" t="n">
        <v>9</v>
      </c>
      <c r="K4970" t="n">
        <v>13</v>
      </c>
      <c r="L4970" t="n">
        <v>18</v>
      </c>
    </row>
    <row r="4971">
      <c r="B4971" t="n">
        <v>6</v>
      </c>
      <c r="C4971" t="n">
        <v>1</v>
      </c>
      <c r="D4971" t="n">
        <v>2</v>
      </c>
      <c r="E4971" t="n">
        <v>2</v>
      </c>
      <c r="F4971" t="n">
        <v>3</v>
      </c>
      <c r="G4971" t="n">
        <v>4</v>
      </c>
      <c r="H4971" t="n">
        <v>6</v>
      </c>
      <c r="I4971" t="n">
        <v>8</v>
      </c>
      <c r="J4971" t="n">
        <v>11</v>
      </c>
      <c r="K4971" t="n">
        <v>16</v>
      </c>
      <c r="L4971" t="n">
        <v>22</v>
      </c>
    </row>
    <row r="4972">
      <c r="B4972" t="n">
        <v>7</v>
      </c>
      <c r="C4972" t="n">
        <v>1</v>
      </c>
      <c r="D4972" t="n">
        <v>2</v>
      </c>
      <c r="E4972" t="n">
        <v>3</v>
      </c>
      <c r="F4972" t="n">
        <v>4</v>
      </c>
      <c r="G4972" t="n">
        <v>5</v>
      </c>
      <c r="H4972" t="n">
        <v>7</v>
      </c>
      <c r="I4972" t="n">
        <v>10</v>
      </c>
      <c r="J4972" t="n">
        <v>14</v>
      </c>
      <c r="K4972" t="n">
        <v>19</v>
      </c>
      <c r="L4972" t="n">
        <v>26</v>
      </c>
    </row>
    <row r="4973">
      <c r="B4973" t="n">
        <v>8</v>
      </c>
      <c r="C4973" t="n">
        <v>1</v>
      </c>
      <c r="D4973" t="n">
        <v>2</v>
      </c>
      <c r="E4973" t="n">
        <v>3</v>
      </c>
      <c r="F4973" t="n">
        <v>5</v>
      </c>
      <c r="G4973" t="n">
        <v>6</v>
      </c>
      <c r="H4973" t="n">
        <v>8</v>
      </c>
      <c r="I4973" t="n">
        <v>11</v>
      </c>
      <c r="J4973" t="n">
        <v>16</v>
      </c>
      <c r="K4973" t="n">
        <v>22</v>
      </c>
      <c r="L4973" t="n">
        <v>30</v>
      </c>
    </row>
    <row r="4974">
      <c r="B4974" t="n">
        <v>9</v>
      </c>
      <c r="C4974" t="n">
        <v>2</v>
      </c>
      <c r="D4974" t="n">
        <v>3</v>
      </c>
      <c r="E4974" t="n">
        <v>4</v>
      </c>
      <c r="F4974" t="n">
        <v>5</v>
      </c>
      <c r="G4974" t="n">
        <v>7</v>
      </c>
      <c r="H4974" t="n">
        <v>10</v>
      </c>
      <c r="I4974" t="n">
        <v>13</v>
      </c>
      <c r="J4974" t="n">
        <v>18</v>
      </c>
      <c r="K4974" t="n">
        <v>25</v>
      </c>
      <c r="L4974" t="n">
        <v>35</v>
      </c>
    </row>
    <row r="4975">
      <c r="B4975" t="n">
        <v>10</v>
      </c>
      <c r="C4975" t="n">
        <v>2</v>
      </c>
      <c r="D4975" t="n">
        <v>3</v>
      </c>
      <c r="E4975" t="n">
        <v>4</v>
      </c>
      <c r="F4975" t="n">
        <v>6</v>
      </c>
      <c r="G4975" t="n">
        <v>8</v>
      </c>
      <c r="H4975" t="n">
        <v>11</v>
      </c>
      <c r="I4975" t="n">
        <v>15</v>
      </c>
      <c r="J4975" t="n">
        <v>21</v>
      </c>
      <c r="K4975" t="n">
        <v>29</v>
      </c>
      <c r="L4975" t="n">
        <v>40</v>
      </c>
    </row>
    <row r="4976">
      <c r="B4976" t="n">
        <v>11</v>
      </c>
      <c r="C4976" t="n">
        <v>2</v>
      </c>
      <c r="D4976" t="n">
        <v>4</v>
      </c>
      <c r="E4976" t="n">
        <v>5</v>
      </c>
      <c r="F4976" t="n">
        <v>7</v>
      </c>
      <c r="G4976" t="n">
        <v>9</v>
      </c>
      <c r="H4976" t="n">
        <v>13</v>
      </c>
      <c r="I4976" t="n">
        <v>17</v>
      </c>
      <c r="J4976" t="n">
        <v>24</v>
      </c>
      <c r="K4976" t="n">
        <v>32</v>
      </c>
      <c r="L4976" t="n">
        <v>45</v>
      </c>
    </row>
    <row r="4977">
      <c r="B4977" t="n">
        <v>12</v>
      </c>
      <c r="C4977" t="n">
        <v>2</v>
      </c>
      <c r="D4977" t="n">
        <v>4</v>
      </c>
      <c r="E4977" t="n">
        <v>6</v>
      </c>
      <c r="F4977" t="n">
        <v>8</v>
      </c>
      <c r="G4977" t="n">
        <v>10</v>
      </c>
      <c r="H4977" t="n">
        <v>14</v>
      </c>
      <c r="I4977" t="n">
        <v>19</v>
      </c>
      <c r="J4977" t="n">
        <v>26</v>
      </c>
      <c r="K4977" t="n">
        <v>36</v>
      </c>
      <c r="L4977" t="n">
        <v>50</v>
      </c>
    </row>
    <row r="4978">
      <c r="B4978" t="n">
        <v>13</v>
      </c>
      <c r="C4978" t="n">
        <v>2</v>
      </c>
      <c r="D4978" t="n">
        <v>5</v>
      </c>
      <c r="E4978" t="n">
        <v>6</v>
      </c>
      <c r="F4978" t="n">
        <v>9</v>
      </c>
      <c r="G4978" t="n">
        <v>12</v>
      </c>
      <c r="H4978" t="n">
        <v>16</v>
      </c>
      <c r="I4978" t="n">
        <v>22</v>
      </c>
      <c r="J4978" t="n">
        <v>29</v>
      </c>
      <c r="K4978" t="n">
        <v>40</v>
      </c>
      <c r="L4978" t="n">
        <v>55</v>
      </c>
    </row>
    <row r="4979">
      <c r="B4979" t="n">
        <v>14</v>
      </c>
      <c r="C4979" t="n">
        <v>3</v>
      </c>
      <c r="D4979" t="n">
        <v>5</v>
      </c>
      <c r="E4979" t="n">
        <v>7</v>
      </c>
      <c r="F4979" t="n">
        <v>10</v>
      </c>
      <c r="G4979" t="n">
        <v>13</v>
      </c>
      <c r="H4979" t="n">
        <v>18</v>
      </c>
      <c r="I4979" t="n">
        <v>24</v>
      </c>
      <c r="J4979" t="n">
        <v>32</v>
      </c>
      <c r="K4979" t="n">
        <v>44</v>
      </c>
      <c r="L4979" t="n">
        <v>60</v>
      </c>
    </row>
    <row r="4980">
      <c r="B4980" t="n">
        <v>15</v>
      </c>
      <c r="C4980" t="n">
        <v>3</v>
      </c>
      <c r="D4980" t="n">
        <v>6</v>
      </c>
      <c r="E4980" t="n">
        <v>8</v>
      </c>
      <c r="F4980" t="n">
        <v>11</v>
      </c>
      <c r="G4980" t="n">
        <v>14</v>
      </c>
      <c r="H4980" t="n">
        <v>20</v>
      </c>
      <c r="I4980" t="n">
        <v>26</v>
      </c>
      <c r="J4980" t="n">
        <v>35</v>
      </c>
      <c r="K4980" t="n">
        <v>48</v>
      </c>
      <c r="L4980" t="n">
        <v>65</v>
      </c>
    </row>
    <row r="4981">
      <c r="B4981" t="n">
        <v>16</v>
      </c>
      <c r="C4981" t="n">
        <v>3</v>
      </c>
      <c r="D4981" t="n">
        <v>7</v>
      </c>
      <c r="E4981" t="n">
        <v>9</v>
      </c>
      <c r="F4981" t="n">
        <v>12</v>
      </c>
      <c r="G4981" t="n">
        <v>16</v>
      </c>
      <c r="H4981" t="n">
        <v>22</v>
      </c>
      <c r="I4981" t="n">
        <v>28</v>
      </c>
      <c r="J4981" t="n">
        <v>39</v>
      </c>
      <c r="K4981" t="n">
        <v>52</v>
      </c>
      <c r="L4981" t="n">
        <v>69</v>
      </c>
    </row>
    <row r="4982">
      <c r="B4982" t="n">
        <v>17</v>
      </c>
      <c r="C4982" t="n">
        <v>4</v>
      </c>
      <c r="D4982" t="n">
        <v>7</v>
      </c>
      <c r="E4982" t="n">
        <v>10</v>
      </c>
      <c r="F4982" t="n">
        <v>13</v>
      </c>
      <c r="G4982" t="n">
        <v>18</v>
      </c>
      <c r="H4982" t="n">
        <v>24</v>
      </c>
      <c r="I4982" t="n">
        <v>31</v>
      </c>
      <c r="J4982" t="n">
        <v>42</v>
      </c>
      <c r="K4982" t="n">
        <v>56</v>
      </c>
      <c r="L4982" t="n">
        <v>73</v>
      </c>
    </row>
    <row r="4983">
      <c r="B4983" t="n">
        <v>18</v>
      </c>
      <c r="C4983" t="n">
        <v>4</v>
      </c>
      <c r="D4983" t="n">
        <v>8</v>
      </c>
      <c r="E4983" t="n">
        <v>11</v>
      </c>
      <c r="F4983" t="n">
        <v>14</v>
      </c>
      <c r="G4983" t="n">
        <v>19</v>
      </c>
      <c r="H4983" t="n">
        <v>26</v>
      </c>
      <c r="I4983" t="n">
        <v>34</v>
      </c>
      <c r="J4983" t="n">
        <v>46</v>
      </c>
      <c r="K4983" t="n">
        <v>60</v>
      </c>
      <c r="L4983" t="n">
        <v>76</v>
      </c>
    </row>
    <row r="4984">
      <c r="B4984" t="n">
        <v>19</v>
      </c>
      <c r="C4984" t="n">
        <v>4</v>
      </c>
      <c r="D4984" t="n">
        <v>9</v>
      </c>
      <c r="E4984" t="n">
        <v>12</v>
      </c>
      <c r="F4984" t="n">
        <v>16</v>
      </c>
      <c r="G4984" t="n">
        <v>21</v>
      </c>
      <c r="H4984" t="n">
        <v>28</v>
      </c>
      <c r="I4984" t="n">
        <v>36</v>
      </c>
      <c r="J4984" t="n">
        <v>49</v>
      </c>
      <c r="K4984" t="n">
        <v>64</v>
      </c>
      <c r="L4984" t="n">
        <v>78</v>
      </c>
    </row>
    <row r="4985">
      <c r="B4985" t="n">
        <v>20</v>
      </c>
      <c r="C4985" t="n">
        <v>5</v>
      </c>
      <c r="D4985" t="n">
        <v>9</v>
      </c>
      <c r="E4985" t="n">
        <v>13</v>
      </c>
      <c r="F4985" t="n">
        <v>17</v>
      </c>
      <c r="G4985" t="n">
        <v>23</v>
      </c>
      <c r="H4985" t="n">
        <v>30</v>
      </c>
      <c r="I4985" t="n">
        <v>39</v>
      </c>
      <c r="J4985" t="n">
        <v>53</v>
      </c>
      <c r="K4985" t="n">
        <v>68</v>
      </c>
      <c r="L4985" t="n">
        <v>79</v>
      </c>
    </row>
    <row r="4986">
      <c r="B4986" t="n">
        <v>21</v>
      </c>
      <c r="C4986" t="n">
        <v>5</v>
      </c>
      <c r="D4986" t="n">
        <v>10</v>
      </c>
      <c r="E4986" t="n">
        <v>14</v>
      </c>
      <c r="F4986" t="n">
        <v>18</v>
      </c>
      <c r="G4986" t="n">
        <v>25</v>
      </c>
      <c r="H4986" t="n">
        <v>32</v>
      </c>
      <c r="I4986" t="n">
        <v>42</v>
      </c>
      <c r="J4986" t="n">
        <v>57</v>
      </c>
      <c r="K4986" t="n">
        <v>71</v>
      </c>
      <c r="L4986" t="n">
        <v>80</v>
      </c>
    </row>
    <row r="4987">
      <c r="B4987" t="n">
        <v>22</v>
      </c>
      <c r="C4987" t="n">
        <v>6</v>
      </c>
      <c r="D4987" t="n">
        <v>11</v>
      </c>
      <c r="E4987" t="n">
        <v>15</v>
      </c>
      <c r="F4987" t="n">
        <v>20</v>
      </c>
      <c r="G4987" t="n">
        <v>27</v>
      </c>
      <c r="H4987" t="n">
        <v>35</v>
      </c>
      <c r="I4987" t="n">
        <v>45</v>
      </c>
      <c r="J4987" t="n">
        <v>60</v>
      </c>
      <c r="K4987" t="n">
        <v>73</v>
      </c>
    </row>
    <row r="4988">
      <c r="B4988" t="n">
        <v>23</v>
      </c>
      <c r="C4988" t="n">
        <v>6</v>
      </c>
      <c r="D4988" t="n">
        <v>12</v>
      </c>
      <c r="E4988" t="n">
        <v>16</v>
      </c>
      <c r="F4988" t="n">
        <v>21</v>
      </c>
      <c r="G4988" t="n">
        <v>29</v>
      </c>
      <c r="H4988" t="n">
        <v>37</v>
      </c>
      <c r="I4988" t="n">
        <v>48</v>
      </c>
      <c r="J4988" t="n">
        <v>63</v>
      </c>
      <c r="K4988" t="n">
        <v>75</v>
      </c>
    </row>
    <row r="4989">
      <c r="B4989" t="n">
        <v>24</v>
      </c>
      <c r="C4989" t="n">
        <v>7</v>
      </c>
      <c r="D4989" t="n">
        <v>13</v>
      </c>
      <c r="E4989" t="n">
        <v>17</v>
      </c>
      <c r="F4989" t="n">
        <v>23</v>
      </c>
      <c r="G4989" t="n">
        <v>31</v>
      </c>
      <c r="H4989" t="n">
        <v>40</v>
      </c>
      <c r="I4989" t="n">
        <v>52</v>
      </c>
      <c r="J4989" t="n">
        <v>66</v>
      </c>
      <c r="K4989" t="n">
        <v>77</v>
      </c>
    </row>
    <row r="4990">
      <c r="B4990" t="n">
        <v>25</v>
      </c>
      <c r="C4990" t="n">
        <v>7</v>
      </c>
      <c r="D4990" t="n">
        <v>14</v>
      </c>
      <c r="E4990" t="n">
        <v>19</v>
      </c>
      <c r="F4990" t="n">
        <v>25</v>
      </c>
      <c r="G4990" t="n">
        <v>33</v>
      </c>
      <c r="H4990" t="n">
        <v>43</v>
      </c>
      <c r="I4990" t="n">
        <v>55</v>
      </c>
      <c r="J4990" t="n">
        <v>69</v>
      </c>
      <c r="K4990" t="n">
        <v>79</v>
      </c>
    </row>
    <row r="4991">
      <c r="B4991" t="n">
        <v>26</v>
      </c>
      <c r="C4991" t="n">
        <v>8</v>
      </c>
      <c r="D4991" t="n">
        <v>15</v>
      </c>
      <c r="E4991" t="n">
        <v>20</v>
      </c>
      <c r="F4991" t="n">
        <v>27</v>
      </c>
      <c r="G4991" t="n">
        <v>35</v>
      </c>
      <c r="H4991" t="n">
        <v>46</v>
      </c>
      <c r="I4991" t="n">
        <v>58</v>
      </c>
      <c r="J4991" t="n">
        <v>72</v>
      </c>
      <c r="K4991" t="n">
        <v>80</v>
      </c>
    </row>
    <row r="4992">
      <c r="B4992" t="n">
        <v>27</v>
      </c>
      <c r="C4992" t="n">
        <v>9</v>
      </c>
      <c r="D4992" t="n">
        <v>16</v>
      </c>
      <c r="E4992" t="n">
        <v>21</v>
      </c>
      <c r="F4992" t="n">
        <v>28</v>
      </c>
      <c r="G4992" t="n">
        <v>37</v>
      </c>
      <c r="H4992" t="n">
        <v>49</v>
      </c>
      <c r="I4992" t="n">
        <v>61</v>
      </c>
      <c r="J4992" t="n">
        <v>75</v>
      </c>
    </row>
    <row r="4993">
      <c r="B4993" t="n">
        <v>28</v>
      </c>
      <c r="C4993" t="n">
        <v>9</v>
      </c>
      <c r="D4993" t="n">
        <v>17</v>
      </c>
      <c r="E4993" t="n">
        <v>23</v>
      </c>
      <c r="F4993" t="n">
        <v>30</v>
      </c>
      <c r="G4993" t="n">
        <v>40</v>
      </c>
      <c r="H4993" t="n">
        <v>52</v>
      </c>
      <c r="I4993" t="n">
        <v>64</v>
      </c>
      <c r="J4993" t="n">
        <v>77</v>
      </c>
    </row>
    <row r="4994">
      <c r="B4994" t="n">
        <v>29</v>
      </c>
      <c r="C4994" t="n">
        <v>10</v>
      </c>
      <c r="D4994" t="n">
        <v>18</v>
      </c>
      <c r="E4994" t="n">
        <v>24</v>
      </c>
      <c r="F4994" t="n">
        <v>32</v>
      </c>
      <c r="G4994" t="n">
        <v>42</v>
      </c>
      <c r="H4994" t="n">
        <v>54</v>
      </c>
      <c r="I4994" t="n">
        <v>68</v>
      </c>
      <c r="J4994" t="n">
        <v>78</v>
      </c>
    </row>
    <row r="4995">
      <c r="B4995" t="n">
        <v>30</v>
      </c>
      <c r="C4995" t="n">
        <v>11</v>
      </c>
      <c r="D4995" t="n">
        <v>20</v>
      </c>
      <c r="E4995" t="n">
        <v>26</v>
      </c>
      <c r="F4995" t="n">
        <v>34</v>
      </c>
      <c r="G4995" t="n">
        <v>45</v>
      </c>
      <c r="H4995" t="n">
        <v>57</v>
      </c>
      <c r="I4995" t="n">
        <v>72</v>
      </c>
      <c r="J4995" t="n">
        <v>79</v>
      </c>
    </row>
    <row r="4996">
      <c r="B4996" t="n">
        <v>32</v>
      </c>
      <c r="C4996" t="n">
        <v>13</v>
      </c>
      <c r="D4996" t="n">
        <v>22</v>
      </c>
      <c r="E4996" t="n">
        <v>30</v>
      </c>
      <c r="F4996" t="n">
        <v>38</v>
      </c>
      <c r="G4996" t="n">
        <v>50</v>
      </c>
      <c r="H4996" t="n">
        <v>62</v>
      </c>
      <c r="I4996" t="n">
        <v>75</v>
      </c>
      <c r="J4996" t="n">
        <v>80</v>
      </c>
    </row>
    <row r="4997">
      <c r="B4997" t="n">
        <v>34</v>
      </c>
      <c r="C4997" t="n">
        <v>15</v>
      </c>
      <c r="D4997" t="n">
        <v>25</v>
      </c>
      <c r="E4997" t="n">
        <v>34</v>
      </c>
      <c r="F4997" t="n">
        <v>43</v>
      </c>
      <c r="G4997" t="n">
        <v>55</v>
      </c>
      <c r="H4997" t="n">
        <v>68</v>
      </c>
      <c r="I4997" t="n">
        <v>77</v>
      </c>
    </row>
    <row r="4998">
      <c r="B4998" t="n">
        <v>36</v>
      </c>
      <c r="C4998" t="n">
        <v>17</v>
      </c>
      <c r="D4998" t="n">
        <v>28</v>
      </c>
      <c r="E4998" t="n">
        <v>38</v>
      </c>
      <c r="F4998" t="n">
        <v>48</v>
      </c>
      <c r="G4998" t="n">
        <v>61</v>
      </c>
      <c r="H4998" t="n">
        <v>73</v>
      </c>
      <c r="I4998" t="n">
        <v>79</v>
      </c>
    </row>
    <row r="4999">
      <c r="B4999" t="n">
        <v>38</v>
      </c>
      <c r="C4999" t="n">
        <v>19</v>
      </c>
      <c r="D4999" t="n">
        <v>32</v>
      </c>
      <c r="E4999" t="n">
        <v>42</v>
      </c>
      <c r="F4999" t="n">
        <v>53</v>
      </c>
      <c r="G4999" t="n">
        <v>67</v>
      </c>
      <c r="H4999" t="n">
        <v>77</v>
      </c>
      <c r="I4999" t="n">
        <v>80</v>
      </c>
    </row>
    <row r="5000">
      <c r="B5000" t="n">
        <v>40</v>
      </c>
      <c r="C5000" t="n">
        <v>21</v>
      </c>
      <c r="D5000" t="n">
        <v>35</v>
      </c>
      <c r="E5000" t="n">
        <v>46</v>
      </c>
      <c r="F5000" t="n">
        <v>59</v>
      </c>
      <c r="G5000" t="n">
        <v>72</v>
      </c>
      <c r="H5000" t="n">
        <v>79</v>
      </c>
    </row>
    <row r="5001">
      <c r="B5001" t="n">
        <v>42</v>
      </c>
      <c r="C5001" t="n">
        <v>25</v>
      </c>
      <c r="D5001" t="n">
        <v>39</v>
      </c>
      <c r="E5001" t="n">
        <v>51</v>
      </c>
      <c r="F5001" t="n">
        <v>65</v>
      </c>
      <c r="G5001" t="n">
        <v>75</v>
      </c>
      <c r="H5001" t="n">
        <v>80</v>
      </c>
    </row>
    <row r="5002">
      <c r="B5002" t="n">
        <v>44</v>
      </c>
      <c r="C5002" t="n">
        <v>28</v>
      </c>
      <c r="D5002" t="n">
        <v>43</v>
      </c>
      <c r="E5002" t="n">
        <v>56</v>
      </c>
      <c r="F5002" t="n">
        <v>70</v>
      </c>
      <c r="G5002" t="n">
        <v>77</v>
      </c>
    </row>
    <row r="5003">
      <c r="B5003" t="n">
        <v>46</v>
      </c>
      <c r="C5003" t="n">
        <v>31</v>
      </c>
      <c r="D5003" t="n">
        <v>48</v>
      </c>
      <c r="E5003" t="n">
        <v>60</v>
      </c>
      <c r="F5003" t="n">
        <v>74</v>
      </c>
      <c r="G5003" t="n">
        <v>78</v>
      </c>
    </row>
    <row r="5004">
      <c r="B5004" t="n">
        <v>48</v>
      </c>
      <c r="C5004" t="n">
        <v>34</v>
      </c>
      <c r="D5004" t="n">
        <v>53</v>
      </c>
      <c r="E5004" t="n">
        <v>64</v>
      </c>
      <c r="F5004" t="n">
        <v>77</v>
      </c>
      <c r="G5004" t="n">
        <v>79</v>
      </c>
    </row>
    <row r="5005">
      <c r="B5005" t="n">
        <v>50</v>
      </c>
      <c r="C5005" t="n">
        <v>38</v>
      </c>
      <c r="D5005" t="n">
        <v>58</v>
      </c>
      <c r="E5005" t="n">
        <v>68</v>
      </c>
      <c r="F5005" t="n">
        <v>79</v>
      </c>
      <c r="G5005" t="n">
        <v>80</v>
      </c>
    </row>
    <row r="5006">
      <c r="B5006" t="n">
        <v>55</v>
      </c>
      <c r="C5006" t="n">
        <v>48</v>
      </c>
      <c r="D5006" t="n">
        <v>67</v>
      </c>
      <c r="E5006" t="n">
        <v>75</v>
      </c>
      <c r="F5006" t="n">
        <v>80</v>
      </c>
    </row>
    <row r="5007">
      <c r="B5007" t="n">
        <v>60</v>
      </c>
      <c r="C5007" t="n">
        <v>57</v>
      </c>
      <c r="D5007" t="n">
        <v>74</v>
      </c>
      <c r="E5007" t="n">
        <v>78</v>
      </c>
    </row>
    <row r="5008">
      <c r="B5008" t="n">
        <v>65</v>
      </c>
      <c r="C5008" t="n">
        <v>65</v>
      </c>
      <c r="D5008" t="n">
        <v>78</v>
      </c>
      <c r="E5008" t="n">
        <v>80</v>
      </c>
    </row>
    <row r="5009">
      <c r="B5009" t="n">
        <v>70</v>
      </c>
      <c r="C5009" t="n">
        <v>71</v>
      </c>
      <c r="D5009" t="n">
        <v>80</v>
      </c>
    </row>
    <row r="5010">
      <c r="B5010" t="n">
        <v>75</v>
      </c>
      <c r="C5010" t="n">
        <v>75</v>
      </c>
    </row>
    <row r="5011">
      <c r="B5011" t="n">
        <v>80</v>
      </c>
      <c r="C5011" t="n">
        <v>78</v>
      </c>
    </row>
    <row r="5013">
      <c r="B5013" s="1250"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c r="B5014" t="inlineStr">
        <is>
          <t>Blank cells = combination not tabulated (age exceeds chart for that life); treat as fully/near-fully depreciated per Sec.97 salvage guidance. For lives under 20 years see Sec.97 p.26.</t>
        </is>
      </c>
    </row>
    <row r="5015">
      <c r="B5015" s="1251" t="inlineStr">
        <is>
          <t>Effective Age (yrs) \ Typical Life (yrs) -&gt;</t>
        </is>
      </c>
      <c r="C5015" s="1251" t="n">
        <v>70</v>
      </c>
      <c r="D5015" s="1251" t="n">
        <v>65</v>
      </c>
      <c r="E5015" s="1251" t="n">
        <v>60</v>
      </c>
      <c r="F5015" s="1251" t="n">
        <v>55</v>
      </c>
      <c r="G5015" s="1251" t="n">
        <v>50</v>
      </c>
      <c r="H5015" s="1251" t="n">
        <v>45</v>
      </c>
      <c r="I5015" s="1251" t="n">
        <v>40</v>
      </c>
      <c r="J5015" s="1251" t="n">
        <v>35</v>
      </c>
      <c r="K5015" s="1251" t="n">
        <v>30</v>
      </c>
      <c r="L5015" s="1251" t="n">
        <v>25</v>
      </c>
      <c r="M5015" s="1251" t="n">
        <v>20</v>
      </c>
    </row>
    <row r="5016">
      <c r="B5016" t="n">
        <v>1</v>
      </c>
      <c r="C5016" t="n">
        <v>0</v>
      </c>
      <c r="D5016" t="n">
        <v>0</v>
      </c>
      <c r="E5016" t="n">
        <v>0</v>
      </c>
      <c r="F5016" t="n">
        <v>1</v>
      </c>
      <c r="G5016" t="n">
        <v>1</v>
      </c>
      <c r="H5016" t="n">
        <v>1</v>
      </c>
      <c r="I5016" t="n">
        <v>1</v>
      </c>
      <c r="J5016" t="n">
        <v>2</v>
      </c>
      <c r="K5016" t="n">
        <v>2</v>
      </c>
      <c r="L5016" t="n">
        <v>3</v>
      </c>
      <c r="M5016" t="n">
        <v>3</v>
      </c>
    </row>
    <row r="5017">
      <c r="B5017" t="n">
        <v>2</v>
      </c>
      <c r="C5017" t="n">
        <v>1</v>
      </c>
      <c r="D5017" t="n">
        <v>1</v>
      </c>
      <c r="E5017" t="n">
        <v>1</v>
      </c>
      <c r="F5017" t="n">
        <v>2</v>
      </c>
      <c r="G5017" t="n">
        <v>2</v>
      </c>
      <c r="H5017" t="n">
        <v>2</v>
      </c>
      <c r="I5017" t="n">
        <v>3</v>
      </c>
      <c r="J5017" t="n">
        <v>4</v>
      </c>
      <c r="K5017" t="n">
        <v>4</v>
      </c>
      <c r="L5017" t="n">
        <v>6</v>
      </c>
      <c r="M5017" t="n">
        <v>7</v>
      </c>
    </row>
    <row r="5018">
      <c r="B5018" t="n">
        <v>3</v>
      </c>
      <c r="C5018" t="n">
        <v>1</v>
      </c>
      <c r="D5018" t="n">
        <v>2</v>
      </c>
      <c r="E5018" t="n">
        <v>2</v>
      </c>
      <c r="F5018" t="n">
        <v>2</v>
      </c>
      <c r="G5018" t="n">
        <v>3</v>
      </c>
      <c r="H5018" t="n">
        <v>3</v>
      </c>
      <c r="I5018" t="n">
        <v>4</v>
      </c>
      <c r="J5018" t="n">
        <v>5</v>
      </c>
      <c r="K5018" t="n">
        <v>6</v>
      </c>
      <c r="L5018" t="n">
        <v>9</v>
      </c>
      <c r="M5018" t="n">
        <v>11</v>
      </c>
    </row>
    <row r="5019">
      <c r="B5019" t="n">
        <v>4</v>
      </c>
      <c r="C5019" t="n">
        <v>2</v>
      </c>
      <c r="D5019" t="n">
        <v>2</v>
      </c>
      <c r="E5019" t="n">
        <v>3</v>
      </c>
      <c r="F5019" t="n">
        <v>3</v>
      </c>
      <c r="G5019" t="n">
        <v>4</v>
      </c>
      <c r="H5019" t="n">
        <v>4</v>
      </c>
      <c r="I5019" t="n">
        <v>5</v>
      </c>
      <c r="J5019" t="n">
        <v>7</v>
      </c>
      <c r="K5019" t="n">
        <v>9</v>
      </c>
      <c r="L5019" t="n">
        <v>12</v>
      </c>
      <c r="M5019" t="n">
        <v>15</v>
      </c>
    </row>
    <row r="5020">
      <c r="B5020" t="n">
        <v>5</v>
      </c>
      <c r="C5020" t="n">
        <v>2</v>
      </c>
      <c r="D5020" t="n">
        <v>3</v>
      </c>
      <c r="E5020" t="n">
        <v>4</v>
      </c>
      <c r="F5020" t="n">
        <v>4</v>
      </c>
      <c r="G5020" t="n">
        <v>5</v>
      </c>
      <c r="H5020" t="n">
        <v>6</v>
      </c>
      <c r="I5020" t="n">
        <v>7</v>
      </c>
      <c r="J5020" t="n">
        <v>9</v>
      </c>
      <c r="K5020" t="n">
        <v>12</v>
      </c>
      <c r="L5020" t="n">
        <v>15</v>
      </c>
      <c r="M5020" t="n">
        <v>20</v>
      </c>
    </row>
    <row r="5021">
      <c r="B5021" t="n">
        <v>6</v>
      </c>
      <c r="C5021" t="n">
        <v>3</v>
      </c>
      <c r="D5021" t="n">
        <v>4</v>
      </c>
      <c r="E5021" t="n">
        <v>4</v>
      </c>
      <c r="F5021" t="n">
        <v>5</v>
      </c>
      <c r="G5021" t="n">
        <v>6</v>
      </c>
      <c r="H5021" t="n">
        <v>7</v>
      </c>
      <c r="I5021" t="n">
        <v>9</v>
      </c>
      <c r="J5021" t="n">
        <v>11</v>
      </c>
      <c r="K5021" t="n">
        <v>14</v>
      </c>
      <c r="L5021" t="n">
        <v>18</v>
      </c>
      <c r="M5021" t="n">
        <v>24</v>
      </c>
    </row>
    <row r="5022">
      <c r="B5022" t="n">
        <v>7</v>
      </c>
      <c r="C5022" t="n">
        <v>4</v>
      </c>
      <c r="D5022" t="n">
        <v>5</v>
      </c>
      <c r="E5022" t="n">
        <v>5</v>
      </c>
      <c r="F5022" t="n">
        <v>6</v>
      </c>
      <c r="G5022" t="n">
        <v>7</v>
      </c>
      <c r="H5022" t="n">
        <v>8</v>
      </c>
      <c r="I5022" t="n">
        <v>10</v>
      </c>
      <c r="J5022" t="n">
        <v>13</v>
      </c>
      <c r="K5022" t="n">
        <v>17</v>
      </c>
      <c r="L5022" t="n">
        <v>22</v>
      </c>
      <c r="M5022" t="n">
        <v>28</v>
      </c>
    </row>
    <row r="5023">
      <c r="B5023" t="n">
        <v>8</v>
      </c>
      <c r="C5023" t="n">
        <v>4</v>
      </c>
      <c r="D5023" t="n">
        <v>5</v>
      </c>
      <c r="E5023" t="n">
        <v>6</v>
      </c>
      <c r="F5023" t="n">
        <v>7</v>
      </c>
      <c r="G5023" t="n">
        <v>8</v>
      </c>
      <c r="H5023" t="n">
        <v>10</v>
      </c>
      <c r="I5023" t="n">
        <v>12</v>
      </c>
      <c r="J5023" t="n">
        <v>15</v>
      </c>
      <c r="K5023" t="n">
        <v>19</v>
      </c>
      <c r="L5023" t="n">
        <v>25</v>
      </c>
      <c r="M5023" t="n">
        <v>33</v>
      </c>
    </row>
    <row r="5024">
      <c r="B5024" t="n">
        <v>9</v>
      </c>
      <c r="C5024" t="n">
        <v>5</v>
      </c>
      <c r="D5024" t="n">
        <v>6</v>
      </c>
      <c r="E5024" t="n">
        <v>7</v>
      </c>
      <c r="F5024" t="n">
        <v>8</v>
      </c>
      <c r="G5024" t="n">
        <v>10</v>
      </c>
      <c r="H5024" t="n">
        <v>11</v>
      </c>
      <c r="I5024" t="n">
        <v>14</v>
      </c>
      <c r="J5024" t="n">
        <v>17</v>
      </c>
      <c r="K5024" t="n">
        <v>22</v>
      </c>
      <c r="L5024" t="n">
        <v>29</v>
      </c>
      <c r="M5024" t="n">
        <v>38</v>
      </c>
    </row>
    <row r="5025">
      <c r="B5025" t="n">
        <v>10</v>
      </c>
      <c r="C5025" t="n">
        <v>5</v>
      </c>
      <c r="D5025" t="n">
        <v>7</v>
      </c>
      <c r="E5025" t="n">
        <v>8</v>
      </c>
      <c r="F5025" t="n">
        <v>9</v>
      </c>
      <c r="G5025" t="n">
        <v>11</v>
      </c>
      <c r="H5025" t="n">
        <v>13</v>
      </c>
      <c r="I5025" t="n">
        <v>16</v>
      </c>
      <c r="J5025" t="n">
        <v>20</v>
      </c>
      <c r="K5025" t="n">
        <v>25</v>
      </c>
      <c r="L5025" t="n">
        <v>32</v>
      </c>
      <c r="M5025" t="n">
        <v>43</v>
      </c>
    </row>
    <row r="5026">
      <c r="B5026" t="n">
        <v>11</v>
      </c>
      <c r="C5026" t="n">
        <v>6</v>
      </c>
      <c r="D5026" t="n">
        <v>8</v>
      </c>
      <c r="E5026" t="n">
        <v>9</v>
      </c>
      <c r="F5026" t="n">
        <v>10</v>
      </c>
      <c r="G5026" t="n">
        <v>12</v>
      </c>
      <c r="H5026" t="n">
        <v>14</v>
      </c>
      <c r="I5026" t="n">
        <v>18</v>
      </c>
      <c r="J5026" t="n">
        <v>22</v>
      </c>
      <c r="K5026" t="n">
        <v>28</v>
      </c>
      <c r="L5026" t="n">
        <v>36</v>
      </c>
      <c r="M5026" t="n">
        <v>48</v>
      </c>
    </row>
    <row r="5027">
      <c r="B5027" t="n">
        <v>12</v>
      </c>
      <c r="C5027" t="n">
        <v>7</v>
      </c>
      <c r="D5027" t="n">
        <v>9</v>
      </c>
      <c r="E5027" t="n">
        <v>10</v>
      </c>
      <c r="F5027" t="n">
        <v>11</v>
      </c>
      <c r="G5027" t="n">
        <v>13</v>
      </c>
      <c r="H5027" t="n">
        <v>15</v>
      </c>
      <c r="I5027" t="n">
        <v>20</v>
      </c>
      <c r="J5027" t="n">
        <v>24</v>
      </c>
      <c r="K5027" t="n">
        <v>31</v>
      </c>
      <c r="L5027" t="n">
        <v>40</v>
      </c>
      <c r="M5027" t="n">
        <v>53</v>
      </c>
    </row>
    <row r="5028">
      <c r="B5028" t="n">
        <v>13</v>
      </c>
      <c r="C5028" t="n">
        <v>8</v>
      </c>
      <c r="D5028" t="n">
        <v>10</v>
      </c>
      <c r="E5028" t="n">
        <v>11</v>
      </c>
      <c r="F5028" t="n">
        <v>12</v>
      </c>
      <c r="G5028" t="n">
        <v>15</v>
      </c>
      <c r="H5028" t="n">
        <v>17</v>
      </c>
      <c r="I5028" t="n">
        <v>22</v>
      </c>
      <c r="J5028" t="n">
        <v>26</v>
      </c>
      <c r="K5028" t="n">
        <v>34</v>
      </c>
      <c r="L5028" t="n">
        <v>44</v>
      </c>
      <c r="M5028" t="n">
        <v>57</v>
      </c>
    </row>
    <row r="5029">
      <c r="B5029" t="n">
        <v>14</v>
      </c>
      <c r="C5029" t="n">
        <v>8</v>
      </c>
      <c r="D5029" t="n">
        <v>10</v>
      </c>
      <c r="E5029" t="n">
        <v>12</v>
      </c>
      <c r="F5029" t="n">
        <v>13</v>
      </c>
      <c r="G5029" t="n">
        <v>16</v>
      </c>
      <c r="H5029" t="n">
        <v>19</v>
      </c>
      <c r="I5029" t="n">
        <v>24</v>
      </c>
      <c r="J5029" t="n">
        <v>29</v>
      </c>
      <c r="K5029" t="n">
        <v>37</v>
      </c>
      <c r="L5029" t="n">
        <v>48</v>
      </c>
      <c r="M5029" t="n">
        <v>61</v>
      </c>
    </row>
    <row r="5030">
      <c r="B5030" t="n">
        <v>15</v>
      </c>
      <c r="C5030" t="n">
        <v>9</v>
      </c>
      <c r="D5030" t="n">
        <v>11</v>
      </c>
      <c r="E5030" t="n">
        <v>12</v>
      </c>
      <c r="F5030" t="n">
        <v>15</v>
      </c>
      <c r="G5030" t="n">
        <v>17</v>
      </c>
      <c r="H5030" t="n">
        <v>21</v>
      </c>
      <c r="I5030" t="n">
        <v>26</v>
      </c>
      <c r="J5030" t="n">
        <v>32</v>
      </c>
      <c r="K5030" t="n">
        <v>40</v>
      </c>
      <c r="L5030" t="n">
        <v>52</v>
      </c>
      <c r="M5030" t="n">
        <v>66</v>
      </c>
    </row>
    <row r="5031">
      <c r="B5031" t="n">
        <v>16</v>
      </c>
      <c r="C5031" t="n">
        <v>10</v>
      </c>
      <c r="D5031" t="n">
        <v>12</v>
      </c>
      <c r="E5031" t="n">
        <v>13</v>
      </c>
      <c r="F5031" t="n">
        <v>16</v>
      </c>
      <c r="G5031" t="n">
        <v>19</v>
      </c>
      <c r="H5031" t="n">
        <v>23</v>
      </c>
      <c r="I5031" t="n">
        <v>28</v>
      </c>
      <c r="J5031" t="n">
        <v>34</v>
      </c>
      <c r="K5031" t="n">
        <v>43</v>
      </c>
      <c r="L5031" t="n">
        <v>55</v>
      </c>
      <c r="M5031" t="n">
        <v>70</v>
      </c>
    </row>
    <row r="5032">
      <c r="B5032" t="n">
        <v>17</v>
      </c>
      <c r="C5032" t="n">
        <v>10</v>
      </c>
      <c r="D5032" t="n">
        <v>13</v>
      </c>
      <c r="E5032" t="n">
        <v>15</v>
      </c>
      <c r="F5032" t="n">
        <v>17</v>
      </c>
      <c r="G5032" t="n">
        <v>20</v>
      </c>
      <c r="H5032" t="n">
        <v>25</v>
      </c>
      <c r="I5032" t="n">
        <v>30</v>
      </c>
      <c r="J5032" t="n">
        <v>37</v>
      </c>
      <c r="K5032" t="n">
        <v>46</v>
      </c>
      <c r="L5032" t="n">
        <v>59</v>
      </c>
      <c r="M5032" t="n">
        <v>73</v>
      </c>
    </row>
    <row r="5033">
      <c r="B5033" t="n">
        <v>18</v>
      </c>
      <c r="C5033" t="n">
        <v>11</v>
      </c>
      <c r="D5033" t="n">
        <v>14</v>
      </c>
      <c r="E5033" t="n">
        <v>16</v>
      </c>
      <c r="F5033" t="n">
        <v>19</v>
      </c>
      <c r="G5033" t="n">
        <v>22</v>
      </c>
      <c r="H5033" t="n">
        <v>27</v>
      </c>
      <c r="I5033" t="n">
        <v>32</v>
      </c>
      <c r="J5033" t="n">
        <v>40</v>
      </c>
      <c r="K5033" t="n">
        <v>50</v>
      </c>
      <c r="L5033" t="n">
        <v>63</v>
      </c>
      <c r="M5033" t="n">
        <v>76</v>
      </c>
    </row>
    <row r="5034">
      <c r="B5034" t="n">
        <v>19</v>
      </c>
      <c r="C5034" t="n">
        <v>12</v>
      </c>
      <c r="D5034" t="n">
        <v>15</v>
      </c>
      <c r="E5034" t="n">
        <v>17</v>
      </c>
      <c r="F5034" t="n">
        <v>20</v>
      </c>
      <c r="G5034" t="n">
        <v>24</v>
      </c>
      <c r="H5034" t="n">
        <v>28</v>
      </c>
      <c r="I5034" t="n">
        <v>34</v>
      </c>
      <c r="J5034" t="n">
        <v>43</v>
      </c>
      <c r="K5034" t="n">
        <v>53</v>
      </c>
      <c r="L5034" t="n">
        <v>67</v>
      </c>
      <c r="M5034" t="n">
        <v>78</v>
      </c>
    </row>
    <row r="5035">
      <c r="B5035" t="n">
        <v>20</v>
      </c>
      <c r="C5035" t="n">
        <v>13</v>
      </c>
      <c r="D5035" t="n">
        <v>16</v>
      </c>
      <c r="E5035" t="n">
        <v>18</v>
      </c>
      <c r="F5035" t="n">
        <v>21</v>
      </c>
      <c r="G5035" t="n">
        <v>25</v>
      </c>
      <c r="H5035" t="n">
        <v>30</v>
      </c>
      <c r="I5035" t="n">
        <v>37</v>
      </c>
      <c r="J5035" t="n">
        <v>45</v>
      </c>
      <c r="K5035" t="n">
        <v>56</v>
      </c>
      <c r="L5035" t="n">
        <v>71</v>
      </c>
      <c r="M5035" t="n">
        <v>79</v>
      </c>
    </row>
    <row r="5036">
      <c r="B5036" t="n">
        <v>22</v>
      </c>
      <c r="C5036" t="n">
        <v>14</v>
      </c>
      <c r="D5036" t="n">
        <v>17</v>
      </c>
      <c r="E5036" t="n">
        <v>20</v>
      </c>
      <c r="F5036" t="n">
        <v>23</v>
      </c>
      <c r="G5036" t="n">
        <v>28</v>
      </c>
      <c r="H5036" t="n">
        <v>34</v>
      </c>
      <c r="I5036" t="n">
        <v>42</v>
      </c>
      <c r="J5036" t="n">
        <v>51</v>
      </c>
      <c r="K5036" t="n">
        <v>62</v>
      </c>
      <c r="L5036" t="n">
        <v>76</v>
      </c>
      <c r="M5036" t="n">
        <v>80</v>
      </c>
    </row>
    <row r="5037">
      <c r="B5037" t="n">
        <v>24</v>
      </c>
      <c r="C5037" t="n">
        <v>16</v>
      </c>
      <c r="D5037" t="n">
        <v>20</v>
      </c>
      <c r="E5037" t="n">
        <v>23</v>
      </c>
      <c r="F5037" t="n">
        <v>26</v>
      </c>
      <c r="G5037" t="n">
        <v>31</v>
      </c>
      <c r="H5037" t="n">
        <v>38</v>
      </c>
      <c r="I5037" t="n">
        <v>47</v>
      </c>
      <c r="J5037" t="n">
        <v>57</v>
      </c>
      <c r="K5037" t="n">
        <v>68</v>
      </c>
      <c r="L5037" t="n">
        <v>79</v>
      </c>
    </row>
    <row r="5038">
      <c r="B5038" t="n">
        <v>26</v>
      </c>
      <c r="C5038" t="n">
        <v>18</v>
      </c>
      <c r="D5038" t="n">
        <v>22</v>
      </c>
      <c r="E5038" t="n">
        <v>25</v>
      </c>
      <c r="F5038" t="n">
        <v>29</v>
      </c>
      <c r="G5038" t="n">
        <v>35</v>
      </c>
      <c r="H5038" t="n">
        <v>43</v>
      </c>
      <c r="I5038" t="n">
        <v>52</v>
      </c>
      <c r="J5038" t="n">
        <v>62</v>
      </c>
      <c r="K5038" t="n">
        <v>74</v>
      </c>
      <c r="L5038" t="n">
        <v>80</v>
      </c>
    </row>
    <row r="5039">
      <c r="B5039" t="n">
        <v>28</v>
      </c>
      <c r="C5039" t="n">
        <v>20</v>
      </c>
      <c r="D5039" t="n">
        <v>24</v>
      </c>
      <c r="E5039" t="n">
        <v>28</v>
      </c>
      <c r="F5039" t="n">
        <v>33</v>
      </c>
      <c r="G5039" t="n">
        <v>39</v>
      </c>
      <c r="H5039" t="n">
        <v>47</v>
      </c>
      <c r="I5039" t="n">
        <v>57</v>
      </c>
      <c r="J5039" t="n">
        <v>68</v>
      </c>
      <c r="K5039" t="n">
        <v>77</v>
      </c>
    </row>
    <row r="5040">
      <c r="B5040" t="n">
        <v>30</v>
      </c>
      <c r="C5040" t="n">
        <v>22</v>
      </c>
      <c r="D5040" t="n">
        <v>27</v>
      </c>
      <c r="E5040" t="n">
        <v>31</v>
      </c>
      <c r="F5040" t="n">
        <v>36</v>
      </c>
      <c r="G5040" t="n">
        <v>44</v>
      </c>
      <c r="H5040" t="n">
        <v>52</v>
      </c>
      <c r="I5040" t="n">
        <v>62</v>
      </c>
      <c r="J5040" t="n">
        <v>71</v>
      </c>
      <c r="K5040" t="n">
        <v>79</v>
      </c>
    </row>
    <row r="5041">
      <c r="B5041" t="n">
        <v>32</v>
      </c>
      <c r="C5041" t="n">
        <v>24</v>
      </c>
      <c r="D5041" t="n">
        <v>29</v>
      </c>
      <c r="E5041" t="n">
        <v>34</v>
      </c>
      <c r="F5041" t="n">
        <v>40</v>
      </c>
      <c r="G5041" t="n">
        <v>47</v>
      </c>
      <c r="H5041" t="n">
        <v>56</v>
      </c>
      <c r="I5041" t="n">
        <v>67</v>
      </c>
      <c r="J5041" t="n">
        <v>74</v>
      </c>
      <c r="K5041" t="n">
        <v>80</v>
      </c>
    </row>
    <row r="5042">
      <c r="B5042" t="n">
        <v>34</v>
      </c>
      <c r="C5042" t="n">
        <v>27</v>
      </c>
      <c r="D5042" t="n">
        <v>32</v>
      </c>
      <c r="E5042" t="n">
        <v>37</v>
      </c>
      <c r="F5042" t="n">
        <v>44</v>
      </c>
      <c r="G5042" t="n">
        <v>51</v>
      </c>
      <c r="H5042" t="n">
        <v>60</v>
      </c>
      <c r="I5042" t="n">
        <v>71</v>
      </c>
      <c r="J5042" t="n">
        <v>77</v>
      </c>
    </row>
    <row r="5043">
      <c r="B5043" t="n">
        <v>36</v>
      </c>
      <c r="C5043" t="n">
        <v>29</v>
      </c>
      <c r="D5043" t="n">
        <v>35</v>
      </c>
      <c r="E5043" t="n">
        <v>40</v>
      </c>
      <c r="F5043" t="n">
        <v>47</v>
      </c>
      <c r="G5043" t="n">
        <v>55</v>
      </c>
      <c r="H5043" t="n">
        <v>65</v>
      </c>
      <c r="I5043" t="n">
        <v>74</v>
      </c>
      <c r="J5043" t="n">
        <v>79</v>
      </c>
    </row>
    <row r="5044">
      <c r="B5044" t="n">
        <v>38</v>
      </c>
      <c r="C5044" t="n">
        <v>32</v>
      </c>
      <c r="D5044" t="n">
        <v>38</v>
      </c>
      <c r="E5044" t="n">
        <v>43</v>
      </c>
      <c r="F5044" t="n">
        <v>51</v>
      </c>
      <c r="G5044" t="n">
        <v>59</v>
      </c>
      <c r="H5044" t="n">
        <v>69</v>
      </c>
      <c r="I5044" t="n">
        <v>77</v>
      </c>
      <c r="J5044" t="n">
        <v>80</v>
      </c>
    </row>
    <row r="5045">
      <c r="B5045" t="n">
        <v>40</v>
      </c>
      <c r="C5045" t="n">
        <v>35</v>
      </c>
      <c r="D5045" t="n">
        <v>41</v>
      </c>
      <c r="E5045" t="n">
        <v>47</v>
      </c>
      <c r="F5045" t="n">
        <v>55</v>
      </c>
      <c r="G5045" t="n">
        <v>63</v>
      </c>
      <c r="H5045" t="n">
        <v>72</v>
      </c>
      <c r="I5045" t="n">
        <v>79</v>
      </c>
    </row>
    <row r="5046">
      <c r="B5046" t="n">
        <v>42</v>
      </c>
      <c r="C5046" t="n">
        <v>38</v>
      </c>
      <c r="D5046" t="n">
        <v>45</v>
      </c>
      <c r="E5046" t="n">
        <v>51</v>
      </c>
      <c r="F5046" t="n">
        <v>59</v>
      </c>
      <c r="G5046" t="n">
        <v>66</v>
      </c>
      <c r="H5046" t="n">
        <v>75</v>
      </c>
      <c r="I5046" t="n">
        <v>80</v>
      </c>
    </row>
    <row r="5047">
      <c r="B5047" t="n">
        <v>44</v>
      </c>
      <c r="C5047" t="n">
        <v>41</v>
      </c>
      <c r="D5047" t="n">
        <v>48</v>
      </c>
      <c r="E5047" t="n">
        <v>54</v>
      </c>
      <c r="F5047" t="n">
        <v>62</v>
      </c>
      <c r="G5047" t="n">
        <v>69</v>
      </c>
      <c r="H5047" t="n">
        <v>77</v>
      </c>
    </row>
    <row r="5048">
      <c r="B5048" t="n">
        <v>46</v>
      </c>
      <c r="C5048" t="n">
        <v>44</v>
      </c>
      <c r="D5048" t="n">
        <v>51</v>
      </c>
      <c r="E5048" t="n">
        <v>57</v>
      </c>
      <c r="F5048" t="n">
        <v>65</v>
      </c>
      <c r="G5048" t="n">
        <v>72</v>
      </c>
      <c r="H5048" t="n">
        <v>79</v>
      </c>
    </row>
    <row r="5049">
      <c r="B5049" t="n">
        <v>48</v>
      </c>
      <c r="C5049" t="n">
        <v>46</v>
      </c>
      <c r="D5049" t="n">
        <v>54</v>
      </c>
      <c r="E5049" t="n">
        <v>61</v>
      </c>
      <c r="F5049" t="n">
        <v>68</v>
      </c>
      <c r="G5049" t="n">
        <v>75</v>
      </c>
      <c r="H5049" t="n">
        <v>80</v>
      </c>
    </row>
    <row r="5050">
      <c r="B5050" t="n">
        <v>50</v>
      </c>
      <c r="C5050" t="n">
        <v>49</v>
      </c>
      <c r="D5050" t="n">
        <v>57</v>
      </c>
      <c r="E5050" t="n">
        <v>64</v>
      </c>
      <c r="F5050" t="n">
        <v>71</v>
      </c>
      <c r="G5050" t="n">
        <v>77</v>
      </c>
    </row>
    <row r="5051">
      <c r="B5051" t="n">
        <v>55</v>
      </c>
      <c r="C5051" t="n">
        <v>57</v>
      </c>
      <c r="D5051" t="n">
        <v>64</v>
      </c>
      <c r="E5051" t="n">
        <v>70</v>
      </c>
      <c r="F5051" t="n">
        <v>77</v>
      </c>
      <c r="G5051" t="n">
        <v>80</v>
      </c>
    </row>
    <row r="5052">
      <c r="B5052" t="n">
        <v>60</v>
      </c>
      <c r="C5052" t="n">
        <v>64</v>
      </c>
      <c r="D5052" t="n">
        <v>69</v>
      </c>
      <c r="E5052" t="n">
        <v>74</v>
      </c>
      <c r="F5052" t="n">
        <v>80</v>
      </c>
    </row>
    <row r="5053">
      <c r="B5053" t="n">
        <v>65</v>
      </c>
      <c r="C5053" t="n">
        <v>71</v>
      </c>
      <c r="D5053" t="n">
        <v>74</v>
      </c>
      <c r="E5053" t="n">
        <v>78</v>
      </c>
    </row>
    <row r="5054">
      <c r="B5054" t="n">
        <v>70</v>
      </c>
      <c r="C5054" t="n">
        <v>76</v>
      </c>
      <c r="D5054" t="n">
        <v>78</v>
      </c>
      <c r="E5054" t="n">
        <v>80</v>
      </c>
    </row>
    <row r="5055">
      <c r="B5055" t="n">
        <v>75</v>
      </c>
      <c r="C5055" t="n">
        <v>80</v>
      </c>
      <c r="D5055" t="n">
        <v>80</v>
      </c>
      <c r="J5055" t="n">
        <v>16</v>
      </c>
    </row>
    <row r="5056">
      <c r="B5056" t="n">
        <v>80</v>
      </c>
      <c r="J5056" t="n">
        <v>17</v>
      </c>
    </row>
    <row r="5057">
      <c r="B5057" t="n">
        <v>90</v>
      </c>
      <c r="L5057" t="n">
        <v>20</v>
      </c>
    </row>
    <row r="5060">
      <c r="B5060" s="1250" t="inlineStr">
        <is>
          <t>REFERENCE 14 -- MVS tables NOT in the lookup engine (nonstandard format or building components priced separately). Value these directly from the manual page cited.</t>
        </is>
      </c>
    </row>
    <row r="5061">
      <c r="B5061" s="1251" t="inlineStr">
        <is>
          <t>Item</t>
        </is>
      </c>
      <c r="C5061" s="1251" t="inlineStr">
        <is>
          <t>Section</t>
        </is>
      </c>
      <c r="D5061" s="1251" t="inlineStr">
        <is>
          <t>Page</t>
        </is>
      </c>
      <c r="E5061" s="1251" t="inlineStr">
        <is>
          <t>Why not in lookup</t>
        </is>
      </c>
    </row>
    <row r="5062">
      <c r="B5062" t="inlineStr">
        <is>
          <t>Classes A And B: Interior Build-Out</t>
        </is>
      </c>
      <c r="C5062" t="inlineStr">
        <is>
          <t>11</t>
        </is>
      </c>
      <c r="D5062" t="inlineStr">
        <is>
          <t>16</t>
        </is>
      </c>
      <c r="E5062" t="inlineStr">
        <is>
          <t>Per-SF interior build-out/finish adder; use the manual page directly</t>
        </is>
      </c>
    </row>
    <row r="5063">
      <c r="B5063" t="inlineStr">
        <is>
          <t>Classes C And D: Interior Build-Out</t>
        </is>
      </c>
      <c r="C5063" t="inlineStr">
        <is>
          <t>11</t>
        </is>
      </c>
      <c r="D5063" t="inlineStr">
        <is>
          <t>17</t>
        </is>
      </c>
      <c r="E5063" t="inlineStr">
        <is>
          <t>Per-SF interior build-out/finish adder; use the manual page directly</t>
        </is>
      </c>
    </row>
    <row r="5064">
      <c r="B5064" t="inlineStr">
        <is>
          <t>Classes A And B: Interior Build-Out</t>
        </is>
      </c>
      <c r="C5064" t="inlineStr">
        <is>
          <t>11</t>
        </is>
      </c>
      <c r="D5064" t="inlineStr">
        <is>
          <t>20</t>
        </is>
      </c>
      <c r="E5064" t="inlineStr">
        <is>
          <t>Per-SF interior build-out/finish adder; use the manual page directly</t>
        </is>
      </c>
    </row>
    <row r="5065">
      <c r="B5065" t="inlineStr">
        <is>
          <t>Classes C, D And S: Interior Build-Out</t>
        </is>
      </c>
      <c r="C5065" t="inlineStr">
        <is>
          <t>11</t>
        </is>
      </c>
      <c r="D5065" t="inlineStr">
        <is>
          <t>21</t>
        </is>
      </c>
      <c r="E5065" t="inlineStr">
        <is>
          <t>Per-SF interior build-out/finish adder; use the manual page directly</t>
        </is>
      </c>
    </row>
    <row r="5066">
      <c r="B5066" t="inlineStr">
        <is>
          <t>Classes A And B: Interior Build-Out</t>
        </is>
      </c>
      <c r="C5066" t="inlineStr">
        <is>
          <t>11</t>
        </is>
      </c>
      <c r="D5066" t="inlineStr">
        <is>
          <t>23</t>
        </is>
      </c>
      <c r="E5066" t="inlineStr">
        <is>
          <t>Per-SF interior build-out/finish adder; use the manual page directly</t>
        </is>
      </c>
    </row>
    <row r="5067">
      <c r="B5067" t="inlineStr">
        <is>
          <t>Classes C, D And S: Interior Build-Out</t>
        </is>
      </c>
      <c r="C5067" t="inlineStr">
        <is>
          <t>11</t>
        </is>
      </c>
      <c r="D5067" t="inlineStr">
        <is>
          <t>24</t>
        </is>
      </c>
      <c r="E5067" t="inlineStr">
        <is>
          <t>Per-SF interior build-out/finish adder; use the manual page directly</t>
        </is>
      </c>
    </row>
    <row r="5068">
      <c r="B5068" t="inlineStr">
        <is>
          <t>Classes A And B: Interior Build-Out</t>
        </is>
      </c>
      <c r="C5068" t="inlineStr">
        <is>
          <t>11</t>
        </is>
      </c>
      <c r="D5068" t="inlineStr">
        <is>
          <t>26</t>
        </is>
      </c>
      <c r="E5068" t="inlineStr">
        <is>
          <t>Per-SF interior build-out/finish adder; use the manual page directly</t>
        </is>
      </c>
    </row>
    <row r="5069">
      <c r="B5069" t="inlineStr">
        <is>
          <t>Classes C And D: Interior Build-Out</t>
        </is>
      </c>
      <c r="C5069" t="inlineStr">
        <is>
          <t>11</t>
        </is>
      </c>
      <c r="D5069" t="inlineStr">
        <is>
          <t>27</t>
        </is>
      </c>
      <c r="E5069" t="inlineStr">
        <is>
          <t>Per-SF interior build-out/finish adder; use the manual page directly</t>
        </is>
      </c>
    </row>
    <row r="5070">
      <c r="B5070" t="inlineStr">
        <is>
          <t>Interior Build-Out</t>
        </is>
      </c>
      <c r="C5070" t="inlineStr">
        <is>
          <t>12</t>
        </is>
      </c>
      <c r="D5070" t="inlineStr">
        <is>
          <t>19</t>
        </is>
      </c>
      <c r="E5070" t="inlineStr">
        <is>
          <t>Per-SF interior build-out/finish adder; use the manual page directly</t>
        </is>
      </c>
    </row>
    <row r="5071">
      <c r="B5071" t="inlineStr">
        <is>
          <t>Interior Build-Out</t>
        </is>
      </c>
      <c r="C5071" t="inlineStr">
        <is>
          <t>12</t>
        </is>
      </c>
      <c r="D5071" t="inlineStr">
        <is>
          <t>23</t>
        </is>
      </c>
      <c r="E5071" t="inlineStr">
        <is>
          <t>Per-SF interior build-out/finish adder; use the manual page directly</t>
        </is>
      </c>
    </row>
    <row r="5072">
      <c r="B5072" t="inlineStr">
        <is>
          <t>High-Value Residences</t>
        </is>
      </c>
      <c r="C5072" t="inlineStr">
        <is>
          <t>12</t>
        </is>
      </c>
      <c r="D5072" t="inlineStr">
        <is>
          <t>27</t>
        </is>
      </c>
      <c r="E5072" t="inlineStr">
        <is>
          <t>High-Value Residences use tier ratings I-VI, not Class/Quality; use MVS 12-27 directly</t>
        </is>
      </c>
    </row>
    <row r="5073">
      <c r="B5073" t="inlineStr">
        <is>
          <t>Detached End Unit Inside Unit</t>
        </is>
      </c>
      <c r="C5073" t="inlineStr">
        <is>
          <t>12</t>
        </is>
      </c>
      <c r="D5073" t="inlineStr">
        <is>
          <t>33</t>
        </is>
      </c>
      <c r="E5073" t="inlineStr">
        <is>
          <t>Urban-row detached/end/inside-unit cost adjustments; use MVS 12-33 directly</t>
        </is>
      </c>
    </row>
    <row r="5074">
      <c r="B5074" t="inlineStr">
        <is>
          <t>Residential Garages – Detached</t>
        </is>
      </c>
      <c r="C5074" t="inlineStr">
        <is>
          <t>12</t>
        </is>
      </c>
      <c r="D5074" t="inlineStr">
        <is>
          <t>35</t>
        </is>
      </c>
      <c r="E5074" t="inlineStr">
        <is>
          <t>Residential Garages – priced per garage-size bracket; use MVS 12-35 directly</t>
        </is>
      </c>
    </row>
    <row r="5075">
      <c r="B5075" t="inlineStr">
        <is>
          <t>Shopping Center Mall Concourses And Basements</t>
        </is>
      </c>
      <c r="C5075" t="inlineStr">
        <is>
          <t>13</t>
        </is>
      </c>
      <c r="D5075" t="inlineStr">
        <is>
          <t>36</t>
        </is>
      </c>
      <c r="E5075" t="inlineStr">
        <is>
          <t>Mall concourse/basement sub-blocks (enclosed/open/basement); use MVS 13-36 directly</t>
        </is>
      </c>
    </row>
    <row r="5076">
      <c r="B5076" t="inlineStr">
        <is>
          <t>Regional Shopping Center Interior Retail Space</t>
        </is>
      </c>
      <c r="C5076" t="inlineStr">
        <is>
          <t>13</t>
        </is>
      </c>
      <c r="D5076" t="inlineStr">
        <is>
          <t>38</t>
        </is>
      </c>
      <c r="E5076" t="inlineStr">
        <is>
          <t>Per-SF interior build-out/finish adder; use the manual page directly</t>
        </is>
      </c>
    </row>
    <row r="5077">
      <c r="B5077" t="inlineStr">
        <is>
          <t>Industrial, Interior Office Space</t>
        </is>
      </c>
      <c r="C5077" t="inlineStr">
        <is>
          <t>14</t>
        </is>
      </c>
      <c r="D5077" t="inlineStr">
        <is>
          <t>35</t>
        </is>
      </c>
      <c r="E5077" t="inlineStr">
        <is>
          <t>Per-SF interior build-out/finish adder; use the manual page directly</t>
        </is>
      </c>
    </row>
    <row r="5078">
      <c r="B5078" t="inlineStr">
        <is>
          <t>Classes A And B: Interior Office Finish</t>
        </is>
      </c>
      <c r="C5078" t="inlineStr">
        <is>
          <t>15</t>
        </is>
      </c>
      <c r="D5078" t="inlineStr">
        <is>
          <t>34</t>
        </is>
      </c>
      <c r="E5078" t="inlineStr">
        <is>
          <t>Per-SF interior build-out/finish adder; use the manual page directly</t>
        </is>
      </c>
    </row>
    <row r="5079">
      <c r="B5079" t="inlineStr">
        <is>
          <t>Classes C, D And S: Interior Office</t>
        </is>
      </c>
      <c r="C5079" t="inlineStr">
        <is>
          <t>15</t>
        </is>
      </c>
      <c r="D5079" t="inlineStr">
        <is>
          <t>35</t>
        </is>
      </c>
      <c r="E5079" t="inlineStr">
        <is>
          <t>Per-SF interior build-out/finish adder; use the manual page directly</t>
        </is>
      </c>
    </row>
    <row r="5080">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c r="B5081" t="inlineStr">
        <is>
          <t>Miscellaneous Dock Structures</t>
        </is>
      </c>
      <c r="C5081" t="inlineStr">
        <is>
          <t>14</t>
        </is>
      </c>
      <c r="D5081" t="inlineStr">
        <is>
          <t>27</t>
        </is>
      </c>
      <c r="E5081" t="inlineStr">
        <is>
          <t>Per-SF/per-unit dock components</t>
        </is>
      </c>
    </row>
    <row r="5082">
      <c r="B5082" t="inlineStr">
        <is>
          <t>Firing Range Buildings / Miscellaneous Structures</t>
        </is>
      </c>
      <c r="C5082" t="inlineStr">
        <is>
          <t>15</t>
        </is>
      </c>
      <c r="D5082" t="inlineStr">
        <is>
          <t>31</t>
        </is>
      </c>
      <c r="E5082" t="inlineStr">
        <is>
          <t>Small sub-schedules; price manually</t>
        </is>
      </c>
    </row>
    <row r="5083">
      <c r="B5083" t="inlineStr">
        <is>
          <t>Mausoleums (per-crypt) / Rule-of-Thumb cost pages</t>
        </is>
      </c>
      <c r="C5083" t="inlineStr">
        <is>
          <t>11</t>
        </is>
      </c>
      <c r="D5083" t="inlineStr">
        <is>
          <t>32/37</t>
        </is>
      </c>
      <c r="E5083" t="inlineStr">
        <is>
          <t>Per-crypt / per-room unit costs, not $/SF Class-Quality tables</t>
        </is>
      </c>
    </row>
    <row r="5084">
      <c r="B5084" t="inlineStr">
        <is>
          <t>Historical Residences</t>
        </is>
      </c>
      <c r="C5084" t="inlineStr">
        <is>
          <t>12</t>
        </is>
      </c>
      <c r="D5084" t="inlineStr">
        <is>
          <t>24</t>
        </is>
      </c>
      <c r="E5084" t="inlineStr">
        <is>
          <t>Adjustment guidance to standard SFR costs, no cost table</t>
        </is>
      </c>
    </row>
    <row r="5085">
      <c r="B5085" t="inlineStr">
        <is>
          <t>Mountain &amp; Resort Cottages, A-Frame Cabins, Storm Shelters</t>
        </is>
      </c>
      <c r="C5085" t="inlineStr">
        <is>
          <t>12</t>
        </is>
      </c>
      <c r="D5085" t="inlineStr">
        <is>
          <t>37</t>
        </is>
      </c>
      <c r="E5085" t="inlineStr">
        <is>
          <t>Narrative/per-unit costs</t>
        </is>
      </c>
    </row>
    <row r="5086">
      <c r="B5086" t="inlineStr">
        <is>
          <t>Manufactured Single-Family Housing</t>
        </is>
      </c>
      <c r="C5086" t="inlineStr">
        <is>
          <t>12</t>
        </is>
      </c>
      <c r="D5086" t="inlineStr">
        <is>
          <t>42</t>
        </is>
      </c>
      <c r="E5086" t="inlineStr">
        <is>
          <t>Separate manufactured-housing cost schedule</t>
        </is>
      </c>
    </row>
    <row r="5087">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c r="B5088" t="inlineStr">
        <is>
          <t>Single-Family Floor Area/Shape multipliers</t>
        </is>
      </c>
      <c r="C5088" t="inlineStr">
        <is>
          <t>12</t>
        </is>
      </c>
      <c r="D5088" t="inlineStr">
        <is>
          <t>26</t>
        </is>
      </c>
      <c r="E5088" t="inlineStr">
        <is>
          <t>Residential size/shape refinement grid</t>
        </is>
      </c>
    </row>
    <row r="5089">
      <c r="B5089" t="inlineStr">
        <is>
          <t>Grain elevators, silos, steel bins/tanks, bucket elevators, dryers, watering systems</t>
        </is>
      </c>
      <c r="C5089" t="inlineStr">
        <is>
          <t>17</t>
        </is>
      </c>
      <c r="D5089" t="inlineStr">
        <is>
          <t>51-58</t>
        </is>
      </c>
      <c r="E5089" t="inlineStr">
        <is>
          <t>Per-bushel/per-unit equipment schedules</t>
        </is>
      </c>
    </row>
    <row r="5090">
      <c r="B5090" t="inlineStr">
        <is>
          <t>Service stations, car washes, canopies, prefab metal buildings</t>
        </is>
      </c>
      <c r="C5090" t="inlineStr">
        <is>
          <t>64</t>
        </is>
      </c>
      <c r="D5090" t="inlineStr">
        <is>
          <t>1-9</t>
        </is>
      </c>
      <c r="E5090" t="inlineStr">
        <is>
          <t>Sec.64 prefabricated-building schedules (county codes 408/434/435/436/448)</t>
        </is>
      </c>
    </row>
    <row r="5091">
      <c r="B5091" t="inlineStr">
        <is>
          <t>Trailer/manufactured-housing &amp; RV parks</t>
        </is>
      </c>
      <c r="C5091" t="inlineStr">
        <is>
          <t>63</t>
        </is>
      </c>
      <c r="D5091" t="inlineStr">
        <is>
          <t>1-10</t>
        </is>
      </c>
      <c r="E5091" t="inlineStr">
        <is>
          <t>Per-space park schedules (county codes 500/531)</t>
        </is>
      </c>
    </row>
    <row r="5092">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c r="B5094" s="1250" t="inlineStr">
        <is>
          <t>Notes</t>
        </is>
      </c>
    </row>
    <row r="5095">
      <c r="B5095" t="inlineStr">
        <is>
          <t>- Current Cost Multiplier / Local Area Multiplier / Sec.98 Denver Index are from inserts dated January 2025 bound into this MVS June 2024 edition.</t>
        </is>
      </c>
    </row>
    <row r="5096">
      <c r="B5096" t="inlineStr">
        <is>
          <t>- Colorado's biennial reassessment fixes the appraisal/level-of-value date; the De-Trend block rolls the Jan-2025-vintage cost level back to that date via MVS Sec.98.</t>
        </is>
      </c>
    </row>
    <row r="5097">
      <c r="B5097" t="inlineStr">
        <is>
          <t>- No Adams County line exists in MVS -- 'Denver' is the county's proxy per MVS suburb-uses-nearest-larger-city guidance (Sec.99 p.1).</t>
        </is>
      </c>
    </row>
    <row r="5098">
      <c r="B5098" t="inlineStr">
        <is>
          <t>- Region for the Current Cost Multiplier is presumed WESTERN for Colorado.</t>
        </is>
      </c>
    </row>
    <row r="5099">
      <c r="B5099" t="inlineStr">
        <is>
          <t>- Base $/SF values cross-checked against the Sq.M. column of every table (must agree within 2% at 10.764 SF/SqM); range-priced tables (some Sec.17 sheds) store the midpoint and cite the range.</t>
        </is>
      </c>
    </row>
    <row r="5100">
      <c r="B5100" t="inlineStr">
        <is>
          <t>- Life Expectancy (Reference 11) is the full Sec.97 pp.10-16 transcription; each occupancy/quality is mapped to its printed bucket (bucket text shown in the last column).</t>
        </is>
      </c>
    </row>
    <row r="5101">
      <c r="B5101" t="inlineStr">
        <is>
          <t>- Depreciation: Reference 4 column H selects Commercial (Sec.97 p.24) or Residential (p.25) percent-good per MVS's own Properties Included key. Lives under 20 years are not tabulated -- see Sec.97 p.26.</t>
        </is>
      </c>
    </row>
    <row r="5102">
      <c r="B5102" t="inlineStr">
        <is>
          <t>- Sections 12/17 have no story-height table (multiplier 1.000 used); Section 17 has no sprinkler table (0 used -- price manually if sprinklered).</t>
        </is>
      </c>
    </row>
    <row r="5103">
      <c r="B5103" t="inlineStr">
        <is>
          <t>- The Subject Property OCC code auto-selects the occupancy via Reference 4b; codes without a calculator table fall back to the Manual MVS Override block on the Cost Approach tab.</t>
        </is>
      </c>
    </row>
    <row r="5104">
      <c r="B5104" t="inlineStr">
        <is>
          <t>- Next reassessment cycle: update the Appraisal Date and refresh the Sec.98/99 quarterly inserts.</t>
        </is>
      </c>
    </row>
  </sheetData>
  <pageMargins left="0.75" right="0.75" top="1" bottom="1" header="0.5" footer="0.5"/>
</worksheet>
</file>

<file path=xl/worksheets/sheet10.xml><?xml version="1.0" encoding="utf-8"?>
<worksheet xmlns="http://schemas.openxmlformats.org/spreadsheetml/2006/main">
  <sheetPr>
    <tabColor rgb="000E7490"/>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1" customWidth="1" min="3" max="3"/>
    <col width="8" customWidth="1" min="4" max="4"/>
    <col width="4" customWidth="1" min="5" max="5"/>
    <col width="10" customWidth="1" min="6" max="6"/>
    <col width="12" customWidth="1" min="7" max="7"/>
    <col width="3" customWidth="1" min="8" max="8"/>
    <col width="52"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116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1212" t="inlineStr">
        <is>
          <t>Fill in the yellow cells only (Steps 1-3 below, plus the site-improvement/depreciation line items further down). Everything else calculates automatically from the MVS reference tables on the 'M&amp;S Inputs' tab. Your final indicated value appears at the bottom of this sheet. Multi-building properties: this main calculator prices Building 1; Buildings 2-4 have their own sections below the Manual Override block (expand the + outline groups at the left edge) and are added into the Indicated Value automatically.</t>
        </is>
      </c>
      <c r="H2" s="612" t="n"/>
      <c r="I2" s="612" t="n"/>
      <c r="J2" s="612" t="n"/>
      <c r="K2" s="612" t="n"/>
      <c r="L2" s="612" t="n"/>
      <c r="M2" s="612" t="n"/>
      <c r="N2" s="612" t="n"/>
      <c r="O2" s="612" t="n"/>
      <c r="P2" s="612" t="n"/>
      <c r="Q2" s="615" t="n"/>
      <c r="R2" s="615" t="n"/>
      <c r="S2" s="612" t="n"/>
      <c r="T2" s="612" t="n"/>
      <c r="U2" s="612" t="n"/>
    </row>
    <row r="3">
      <c r="A3" s="612" t="n"/>
      <c r="B3" s="1213" t="inlineStr">
        <is>
          <t>STEP 1 -- BUILDING IDENTIFICATION (BUILDING 1)</t>
        </is>
      </c>
      <c r="C3" s="1214" t="n"/>
      <c r="D3" s="1214" t="n"/>
      <c r="E3" s="1214" t="n"/>
      <c r="F3" s="1214" t="n"/>
      <c r="G3" s="1214" t="n"/>
      <c r="H3" s="612" t="n"/>
      <c r="I3" s="612" t="n"/>
      <c r="J3" s="612" t="n"/>
      <c r="K3" s="612" t="n"/>
      <c r="L3" s="612" t="n"/>
      <c r="M3" s="612" t="n"/>
      <c r="N3" s="612" t="n"/>
      <c r="O3" s="612" t="n"/>
      <c r="P3" s="612" t="n"/>
      <c r="Q3" s="615" t="n"/>
      <c r="R3" s="612" t="n"/>
      <c r="S3" s="612" t="n"/>
      <c r="T3" s="612" t="n"/>
      <c r="U3" s="612" t="n"/>
    </row>
    <row r="4">
      <c r="A4" s="612" t="n"/>
      <c r="B4" s="1164" t="inlineStr">
        <is>
          <t>Occupancy Type</t>
        </is>
      </c>
      <c r="C4" s="1097">
        <f>IF(Subj_OccCode="","Storage Warehouses",IFERROR(INDEX(OCCMAP_NAME,MATCH(Subj_OccCode,OCCMAP_CODE,0)),"No MVS cost table for OCC "&amp;Subj_OccCode&amp;" -- select manually or use the Manual Override below"))</f>
        <v/>
      </c>
      <c r="D4" s="619" t="n"/>
      <c r="E4" s="619" t="n"/>
      <c r="F4" s="619" t="n"/>
      <c r="G4" s="619" t="n"/>
      <c r="H4" s="612" t="n"/>
      <c r="I4" s="1165"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1166" t="inlineStr">
        <is>
          <t>Occupancy Code / Section / Page (auto)</t>
        </is>
      </c>
      <c r="C5" s="1098">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1167" t="inlineStr">
        <is>
          <t>Building Class</t>
        </is>
      </c>
      <c r="C6" s="1099" t="inlineStr">
        <is>
          <t>C</t>
        </is>
      </c>
      <c r="D6" s="615" t="n"/>
      <c r="E6" s="615" t="n"/>
      <c r="F6" s="615" t="n"/>
      <c r="G6" s="615" t="n"/>
      <c r="H6" s="612" t="n"/>
      <c r="I6"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615" t="n"/>
      <c r="K6" s="615" t="n"/>
      <c r="L6" s="615" t="n"/>
      <c r="M6" s="615" t="n"/>
      <c r="N6" s="612" t="n"/>
      <c r="O6" s="612" t="n"/>
      <c r="P6" s="612" t="n"/>
      <c r="Q6" s="612" t="n"/>
      <c r="R6" s="612" t="n"/>
      <c r="S6" s="612" t="n"/>
      <c r="T6" s="612" t="n"/>
      <c r="U6" s="612" t="n"/>
    </row>
    <row r="7">
      <c r="A7" s="612" t="n"/>
      <c r="B7" s="1167" t="inlineStr">
        <is>
          <t>Quality</t>
        </is>
      </c>
      <c r="C7" s="1100">
        <f>Subj_Quality</f>
        <v/>
      </c>
      <c r="D7" s="615" t="n"/>
      <c r="E7" s="615" t="n"/>
      <c r="F7" s="615" t="n"/>
      <c r="G7" s="615" t="n"/>
      <c r="H7" s="612" t="n"/>
      <c r="I7" s="1165" t="inlineStr">
        <is>
          <t>Low Cost | Fair | Average | Good | Very Good | Excellent (some occupancies also use Cheap). Auto-fed from Subject Property Quality; pick a tier that exists for the chosen occupancy/class.</t>
        </is>
      </c>
      <c r="J7" s="615" t="n"/>
      <c r="K7" s="612" t="n"/>
      <c r="L7" s="612" t="n"/>
      <c r="M7" s="612" t="n"/>
      <c r="N7" s="612" t="n"/>
      <c r="O7" s="612" t="n"/>
      <c r="P7" s="612" t="n"/>
      <c r="Q7" s="612" t="n"/>
      <c r="R7" s="612" t="n"/>
      <c r="S7" s="612" t="n"/>
      <c r="T7" s="612" t="n"/>
      <c r="U7" s="612" t="n"/>
    </row>
    <row r="8">
      <c r="A8" s="612" t="n"/>
      <c r="B8" s="1167" t="inlineStr">
        <is>
          <t>City / Local Area (for Local Multiplier)</t>
        </is>
      </c>
      <c r="C8" s="1100" t="inlineStr">
        <is>
          <t>Denver</t>
        </is>
      </c>
      <c r="D8" s="615" t="n"/>
      <c r="E8" s="615" t="n"/>
      <c r="F8" s="615" t="n"/>
      <c r="G8" s="615" t="n"/>
      <c r="H8" s="612" t="n"/>
      <c r="I8" s="1165"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1239" t="inlineStr">
        <is>
          <t>Resolved MVS Section (auto or manual override)</t>
        </is>
      </c>
      <c r="C9" s="1240">
        <f>IF($C$83&lt;&gt;"",$C$83,IFERROR(INDEX(OCC_SECTION,MATCH($C$4,OCC_NAME,0)),""))</f>
        <v/>
      </c>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1215" t="inlineStr">
        <is>
          <t>STEP 2 -- SIZE, SHAPE &amp; SPRINKLER</t>
        </is>
      </c>
      <c r="C10" s="1214" t="n"/>
      <c r="D10" s="1216" t="n"/>
      <c r="E10" s="1216" t="n"/>
      <c r="F10" s="1216" t="n"/>
      <c r="G10" s="1216" t="n"/>
      <c r="H10" s="612" t="n"/>
      <c r="I10" s="612" t="n"/>
      <c r="J10" s="612" t="n"/>
      <c r="K10" s="612" t="n"/>
      <c r="L10" s="612" t="n"/>
      <c r="M10" s="612" t="n"/>
      <c r="N10" s="612" t="n"/>
      <c r="O10" s="612" t="n"/>
      <c r="P10" s="612" t="n"/>
      <c r="Q10" s="612" t="n"/>
      <c r="R10" s="612" t="n"/>
      <c r="S10" s="612" t="n"/>
      <c r="T10" s="612" t="n"/>
      <c r="U10" s="612" t="n"/>
    </row>
    <row r="11">
      <c r="A11" s="612" t="n"/>
      <c r="B11" s="1167" t="inlineStr">
        <is>
          <t>Avg Eave / Wall Height (ft)</t>
        </is>
      </c>
      <c r="C11" s="1101"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1167" t="inlineStr">
        <is>
          <t>Area/Perimeter Multiplier Factor 1</t>
        </is>
      </c>
      <c r="C12" s="1102" t="n">
        <v>1</v>
      </c>
      <c r="D12" s="615" t="n"/>
      <c r="E12" s="615" t="n"/>
      <c r="F12" s="615" t="n"/>
      <c r="G12" s="615" t="n"/>
      <c r="H12" s="612" t="n"/>
      <c r="I12" s="1165"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1167" t="inlineStr">
        <is>
          <t>Area/Perimeter Multiplier Factor 2</t>
        </is>
      </c>
      <c r="C13" s="1103"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1166" t="inlineStr">
        <is>
          <t>Sprinkler Quality Tier</t>
        </is>
      </c>
      <c r="C14" s="1104" t="inlineStr">
        <is>
          <t>Average</t>
        </is>
      </c>
      <c r="D14" s="615" t="n"/>
      <c r="E14" s="615" t="n"/>
      <c r="F14" s="615" t="n"/>
      <c r="G14" s="615" t="n"/>
      <c r="H14" s="612" t="n"/>
      <c r="I14" s="1165" t="inlineStr">
        <is>
          <t>Independent of building quality -- set to match the actual sprinkler system grade. Wet-system cost auto-looked-up for Sections 11-16 &amp; 18; Section 17 (sheds/farm) has no MVS sprinkler table -- 0 is used.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1215" t="inlineStr">
        <is>
          <t>STEP 3 -- APPRAISAL DATE &amp; DE-TREND</t>
        </is>
      </c>
      <c r="C16" s="1216" t="n"/>
      <c r="D16" s="1216" t="n"/>
      <c r="E16" s="1216" t="n"/>
      <c r="F16" s="1216" t="n"/>
      <c r="G16" s="1216" t="n"/>
      <c r="H16" s="612" t="n"/>
      <c r="I16" s="612" t="n"/>
      <c r="J16" s="612" t="n"/>
      <c r="K16" s="612" t="n"/>
      <c r="L16" s="612" t="n"/>
      <c r="M16" s="612" t="n"/>
      <c r="N16" s="612" t="n"/>
      <c r="O16" s="612" t="n"/>
      <c r="P16" s="612" t="n"/>
      <c r="Q16" s="612" t="n"/>
      <c r="R16" s="612" t="n"/>
      <c r="S16" s="612" t="n"/>
      <c r="T16" s="612" t="n"/>
      <c r="U16" s="612" t="n"/>
    </row>
    <row r="17">
      <c r="A17" s="612" t="n"/>
      <c r="B17" s="1167" t="inlineStr">
        <is>
          <t>Appraisal / Level-of-Value Date</t>
        </is>
      </c>
      <c r="C17" s="1105">
        <f>DATE(2024,6,30)</f>
        <v/>
      </c>
      <c r="D17" s="615" t="n"/>
      <c r="E17" s="615" t="n"/>
      <c r="F17" s="615" t="n"/>
      <c r="G17" s="615" t="n"/>
      <c r="H17" s="612" t="n"/>
      <c r="I17" s="1165"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1167" t="inlineStr">
        <is>
          <t>Bracket Quarter - Earlier</t>
        </is>
      </c>
      <c r="C18" s="1104" t="inlineStr">
        <is>
          <t>Apr 2024</t>
        </is>
      </c>
      <c r="D18" s="615" t="n"/>
      <c r="E18" s="615" t="n"/>
      <c r="F18" s="615" t="n"/>
      <c r="G18" s="615" t="n"/>
      <c r="H18" s="612" t="n"/>
      <c r="I18" s="1165"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1167" t="inlineStr">
        <is>
          <t>Bracket Quarter - Later</t>
        </is>
      </c>
      <c r="C19" s="1104"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1169" t="inlineStr">
        <is>
          <t>COST APPROACH SUMMARY</t>
        </is>
      </c>
      <c r="C21" s="1107" t="n"/>
      <c r="D21" s="1107" t="n"/>
      <c r="E21" s="1107" t="n"/>
      <c r="F21" s="1107" t="n"/>
      <c r="G21" s="1107" t="n"/>
      <c r="H21" s="612" t="n"/>
      <c r="I21" s="612" t="n"/>
      <c r="J21" s="612" t="n"/>
      <c r="K21" s="612" t="n"/>
      <c r="L21" s="612" t="n"/>
      <c r="M21" s="612" t="n"/>
      <c r="N21" s="612" t="n"/>
      <c r="O21" s="612" t="n"/>
      <c r="P21" s="612" t="n"/>
      <c r="Q21" s="612" t="n"/>
      <c r="R21" s="612" t="n"/>
      <c r="S21" s="612" t="n"/>
      <c r="T21" s="612" t="n"/>
      <c r="U21" s="612" t="n"/>
    </row>
    <row r="22">
      <c r="A22" s="612" t="n"/>
      <c r="B22" s="1170" t="inlineStr">
        <is>
          <t>Replacement Cost New (RCN)</t>
        </is>
      </c>
      <c r="C22" s="1109" t="inlineStr">
        <is>
          <t>Area (SF)</t>
        </is>
      </c>
      <c r="D22" s="1110" t="inlineStr">
        <is>
          <t>$/SF</t>
        </is>
      </c>
      <c r="E22" s="615" t="n"/>
      <c r="F22" s="1110" t="inlineStr">
        <is>
          <t>Subtotal</t>
        </is>
      </c>
      <c r="G22" s="1110" t="inlineStr">
        <is>
          <t>Total Cost</t>
        </is>
      </c>
      <c r="H22" s="612" t="n"/>
      <c r="I22" s="612" t="n"/>
      <c r="J22" s="612" t="n"/>
      <c r="K22" s="612" t="n"/>
      <c r="L22" s="612" t="n"/>
      <c r="M22" s="612" t="n"/>
      <c r="N22" s="612" t="n"/>
      <c r="O22" s="612" t="n"/>
      <c r="P22" s="612" t="n"/>
      <c r="Q22" s="612" t="n"/>
      <c r="R22" s="612" t="n"/>
      <c r="S22" s="612" t="n"/>
      <c r="T22" s="612" t="n"/>
      <c r="U22" s="612" t="n"/>
    </row>
    <row r="23">
      <c r="A23" s="612" t="n"/>
      <c r="B23" s="1171" t="inlineStr">
        <is>
          <t>Building Improvements (Building 1)</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1167" t="inlineStr">
        <is>
          <t>Base Cost</t>
        </is>
      </c>
      <c r="C24" s="1111">
        <f>'Subject Property'!$C$6</f>
        <v/>
      </c>
      <c r="D24" s="906">
        <f>IF($C$81&gt;0,$C$81,IFERROR(INDEX(BC_VALUE,MATCH($C$4&amp;"|"&amp;$C$6&amp;"|"&amp;$C$7,BC_KEY,0)),0))</f>
        <v/>
      </c>
      <c r="E24" s="615" t="n"/>
      <c r="F24" s="907">
        <f>C24*D24</f>
        <v/>
      </c>
      <c r="G24" s="615" t="n"/>
      <c r="H24" s="612" t="n"/>
      <c r="I24" s="1165">
        <f>IFERROR("Verified MVS base cost -- "&amp;INDEX(BC_CITE,MATCH($C$4&amp;"|"&amp;$C$6&amp;"|"&amp;$C$7,BC_KEY,0)),"")&amp;" | Area auto-linked to Building 1 (Primary) Size on the Subject Property tab."</f>
        <v/>
      </c>
      <c r="J24" s="612" t="n"/>
      <c r="K24" s="612" t="n"/>
      <c r="L24" s="612" t="n"/>
      <c r="M24" s="612" t="n"/>
      <c r="N24" s="612" t="n"/>
      <c r="O24" s="612" t="n"/>
      <c r="P24" s="612" t="n"/>
      <c r="Q24" s="612" t="n"/>
      <c r="R24" s="612" t="n"/>
      <c r="S24" s="612" t="n"/>
      <c r="T24" s="612" t="n"/>
      <c r="U24" s="612" t="n"/>
    </row>
    <row r="25">
      <c r="A25" s="612" t="n"/>
      <c r="B25" s="1167" t="inlineStr">
        <is>
          <t>Sprinklers</t>
        </is>
      </c>
      <c r="C25" s="1111">
        <f>C24</f>
        <v/>
      </c>
      <c r="D25" s="906">
        <f>IFERROR(INDEX(INDIRECT("SPR"&amp;$C$9&amp;"_VALS"),MATCH($C$24,INDIRECT("SPR"&amp;$C$9&amp;"_SF"),1),MATCH($C$14,SPR_HDR,0)),0)</f>
        <v/>
      </c>
      <c r="E25" s="615" t="n"/>
      <c r="F25" s="907">
        <f>C25*D25</f>
        <v/>
      </c>
      <c r="G25" s="615" t="n"/>
      <c r="H25" s="612" t="n"/>
      <c r="I25" s="1165"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907"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907"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907"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907"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907" t="n"/>
      <c r="G30" s="615" t="n"/>
      <c r="H30" s="612" t="n"/>
      <c r="I30" s="612" t="n"/>
      <c r="J30" s="612" t="n"/>
      <c r="K30" s="612" t="n"/>
      <c r="L30" s="612" t="n"/>
      <c r="M30" s="612" t="n"/>
      <c r="N30" s="612" t="n"/>
      <c r="O30" s="612" t="n"/>
      <c r="P30" s="612" t="n"/>
      <c r="Q30" s="612" t="n"/>
      <c r="R30" s="612" t="n"/>
      <c r="S30" s="612" t="n"/>
      <c r="T30" s="612" t="n"/>
      <c r="U30" s="612" t="n"/>
    </row>
    <row r="31">
      <c r="A31" s="612" t="n"/>
      <c r="B31" s="1172" t="inlineStr">
        <is>
          <t>Subtotal</t>
        </is>
      </c>
      <c r="C31" s="615" t="n"/>
      <c r="D31" s="615" t="n"/>
      <c r="E31" s="615" t="n"/>
      <c r="F31" s="908">
        <f>SUM(F24:F30)</f>
        <v/>
      </c>
      <c r="G31" s="615" t="n"/>
      <c r="H31" s="612" t="n"/>
      <c r="I31" s="612" t="n"/>
      <c r="J31" s="612" t="n"/>
      <c r="K31" s="612" t="n"/>
      <c r="L31" s="612" t="n"/>
      <c r="M31" s="612" t="n"/>
      <c r="N31" s="612" t="n"/>
      <c r="O31" s="612" t="n"/>
      <c r="P31" s="612" t="n"/>
      <c r="Q31" s="612" t="n"/>
      <c r="R31" s="612" t="n"/>
      <c r="S31" s="612" t="n"/>
      <c r="T31" s="612" t="n"/>
      <c r="U31" s="612" t="n"/>
    </row>
    <row r="32">
      <c r="A32" s="612" t="n"/>
      <c r="B32" s="1217" t="inlineStr">
        <is>
          <t>Multipliers</t>
        </is>
      </c>
      <c r="C32" s="1218" t="n"/>
      <c r="D32" s="1219" t="n"/>
      <c r="E32" s="1219" t="n"/>
      <c r="F32" s="1220" t="n"/>
      <c r="G32" s="1218" t="n"/>
      <c r="H32" s="612" t="n"/>
      <c r="I32" s="612" t="n"/>
      <c r="J32" s="612" t="n"/>
      <c r="K32" s="612" t="n"/>
      <c r="L32" s="612" t="n"/>
      <c r="M32" s="612" t="n"/>
      <c r="N32" s="612" t="n"/>
      <c r="O32" s="612" t="n"/>
      <c r="P32" s="612" t="n"/>
      <c r="Q32" s="612" t="n"/>
      <c r="R32" s="612" t="n"/>
      <c r="S32" s="612" t="n"/>
      <c r="T32" s="612" t="n"/>
      <c r="U32" s="612" t="n"/>
    </row>
    <row r="33">
      <c r="A33" s="612" t="n"/>
      <c r="B33" s="1166" t="inlineStr">
        <is>
          <t>Current Cost (de-trended to Appraisal Date)</t>
        </is>
      </c>
      <c r="C33" s="615" t="n"/>
      <c r="D33" s="909">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1165"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1167" t="inlineStr">
        <is>
          <t>Local Area</t>
        </is>
      </c>
      <c r="C34" s="615" t="n"/>
      <c r="D34" s="909">
        <f>IFERROR(INDEX(LAM_VALUES,MATCH($C$8,LAM_CITY,0),MATCH("Class "&amp;IF($C$6="CMILL","C",IF($C$6="DPOLE","D",IF($C$6="A-B","B",$C$6))),LAM_CLASSHDR,0)),"")</f>
        <v/>
      </c>
      <c r="E34" s="615" t="n"/>
      <c r="F34" s="615" t="n"/>
      <c r="G34" s="615" t="n"/>
      <c r="H34" s="612" t="n"/>
      <c r="I34" s="1165" t="inlineStr">
        <is>
          <t>MVS Sec.99 p.7 Local Area Multiplier.</t>
        </is>
      </c>
      <c r="J34" s="612" t="n"/>
      <c r="K34" s="612" t="n"/>
      <c r="L34" s="612" t="n"/>
      <c r="M34" s="612" t="n"/>
      <c r="N34" s="612" t="n"/>
      <c r="O34" s="612" t="n"/>
      <c r="P34" s="612" t="n"/>
      <c r="Q34" s="612" t="n"/>
      <c r="R34" s="612" t="n"/>
      <c r="S34" s="612" t="n"/>
      <c r="T34" s="612" t="n"/>
      <c r="U34" s="612" t="n"/>
    </row>
    <row r="35">
      <c r="A35" s="612" t="n"/>
      <c r="B35" s="1164" t="inlineStr">
        <is>
          <t>Area/Perimeter Multiplier</t>
        </is>
      </c>
      <c r="C35" s="615" t="n"/>
      <c r="D35" s="909">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1164" t="inlineStr">
        <is>
          <t>Story Height (Height entered in Step 2)</t>
        </is>
      </c>
      <c r="C36" s="615" t="n"/>
      <c r="D36" s="909">
        <f>IFERROR(INDEX(INDIRECT("SH"&amp;$C$9&amp;"_M"),MATCH($C$11,INDIRECT("SH"&amp;$C$9&amp;"_H"),1)),1)</f>
        <v/>
      </c>
      <c r="E36" s="615" t="n"/>
      <c r="F36" s="615" t="n"/>
      <c r="G36" s="615" t="n"/>
      <c r="H36" s="612" t="n"/>
      <c r="I36" s="612" t="inlineStr">
        <is>
          <t>Story-height multiplier auto-selected from the resolved MVS section (C9). Sections 12 &amp; 17 publish no table -- 1.000 used.</t>
        </is>
      </c>
      <c r="J36" s="612" t="n"/>
      <c r="K36" s="612" t="n"/>
      <c r="L36" s="612" t="n"/>
      <c r="M36" s="612" t="n"/>
      <c r="N36" s="612" t="n"/>
      <c r="O36" s="612" t="n"/>
      <c r="P36" s="612" t="n"/>
      <c r="Q36" s="612" t="n"/>
      <c r="R36" s="612" t="n"/>
      <c r="S36" s="612" t="n"/>
      <c r="T36" s="612" t="n"/>
      <c r="U36" s="612" t="n"/>
    </row>
    <row r="37">
      <c r="A37" s="612" t="n"/>
      <c r="B37" s="1172" t="inlineStr">
        <is>
          <t>Product of Multipliers</t>
        </is>
      </c>
      <c r="C37" s="615" t="n"/>
      <c r="D37" s="615" t="n"/>
      <c r="E37" s="615" t="n"/>
      <c r="F37" s="910">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1171" t="inlineStr">
        <is>
          <t>Adjusted Base Building Cost</t>
        </is>
      </c>
      <c r="C38" s="615" t="n"/>
      <c r="D38" s="615" t="n"/>
      <c r="E38" s="615" t="n"/>
      <c r="F38" s="615" t="n"/>
      <c r="G38" s="908">
        <f>F37*F31</f>
        <v/>
      </c>
      <c r="H38" s="612" t="n"/>
      <c r="I38" s="612" t="n"/>
      <c r="J38" s="612" t="n"/>
      <c r="K38" s="612" t="n"/>
      <c r="L38" s="612" t="n"/>
      <c r="M38" s="612" t="n"/>
      <c r="N38" s="612" t="n"/>
      <c r="O38" s="612" t="n"/>
      <c r="P38" s="612" t="n"/>
      <c r="Q38" s="615" t="n"/>
      <c r="R38" s="615" t="n"/>
      <c r="S38" s="612" t="n"/>
      <c r="T38" s="612" t="n"/>
      <c r="U38" s="612" t="n"/>
    </row>
    <row r="39">
      <c r="A39" s="612" t="n"/>
      <c r="B39" s="1217" t="inlineStr">
        <is>
          <t>Site Improvements (enter your own measured quantities in the Area column)</t>
        </is>
      </c>
      <c r="C39" s="1218" t="n"/>
      <c r="D39" s="1218" t="n"/>
      <c r="E39" s="1218" t="n"/>
      <c r="F39" s="1218" t="n"/>
      <c r="G39" s="1218" t="n"/>
      <c r="H39" s="612" t="n"/>
      <c r="I39" s="612" t="n"/>
      <c r="J39" s="612" t="n"/>
      <c r="K39" s="612" t="n"/>
      <c r="L39" s="612" t="n"/>
      <c r="M39" s="612" t="n"/>
      <c r="N39" s="612" t="n"/>
      <c r="O39" s="612" t="n"/>
      <c r="P39" s="612" t="n"/>
      <c r="Q39" s="612" t="n"/>
      <c r="R39" s="612" t="n"/>
      <c r="S39" s="612" t="n"/>
      <c r="T39" s="612" t="n"/>
      <c r="U39" s="615" t="n"/>
    </row>
    <row r="40">
      <c r="A40" s="612" t="n"/>
      <c r="B40" s="1174" t="inlineStr">
        <is>
          <t>Parking/Loading Areas (asphalt)</t>
        </is>
      </c>
      <c r="C40" s="1112" t="n"/>
      <c r="D40" s="1113" t="n">
        <v>3.1</v>
      </c>
      <c r="E40" s="615" t="n"/>
      <c r="F40" s="907">
        <f>D40*C40</f>
        <v/>
      </c>
      <c r="G40" s="615" t="n"/>
      <c r="H40" s="612" t="n"/>
      <c r="I40" s="1165"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1174" t="inlineStr">
        <is>
          <t>Striping (Per Space)</t>
        </is>
      </c>
      <c r="C41" s="1112" t="n"/>
      <c r="D41" s="1113" t="n">
        <v>20</v>
      </c>
      <c r="E41" s="615" t="n"/>
      <c r="F41" s="907">
        <f>D41*C41</f>
        <v/>
      </c>
      <c r="G41" s="615" t="n"/>
      <c r="H41" s="612" t="n"/>
      <c r="I41" s="1165"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1174" t="inlineStr">
        <is>
          <t>Paving (concrete)</t>
        </is>
      </c>
      <c r="C42" s="1112" t="n"/>
      <c r="D42" s="1113" t="n">
        <v>5.51</v>
      </c>
      <c r="E42" s="615" t="n"/>
      <c r="F42" s="907">
        <f>D42*C42</f>
        <v/>
      </c>
      <c r="G42" s="615" t="n"/>
      <c r="H42" s="612" t="n"/>
      <c r="I42" s="1165"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1166" t="inlineStr">
        <is>
          <t>Other1</t>
        </is>
      </c>
      <c r="C43" s="1112" t="n"/>
      <c r="D43" s="1113" t="n"/>
      <c r="E43" s="615" t="n"/>
      <c r="F43" s="907">
        <f>D43*C43</f>
        <v/>
      </c>
      <c r="G43" s="615" t="n"/>
      <c r="H43" s="612" t="n"/>
      <c r="I43" s="612" t="n"/>
      <c r="J43" s="612" t="n"/>
      <c r="K43" s="612" t="n"/>
      <c r="L43" s="612" t="n"/>
      <c r="M43" s="612" t="n"/>
      <c r="N43" s="612" t="n"/>
      <c r="O43" s="612" t="n"/>
      <c r="P43" s="612" t="n"/>
      <c r="Q43" s="612" t="n"/>
      <c r="R43" s="612" t="n"/>
      <c r="S43" s="612" t="n"/>
      <c r="T43" s="612" t="n"/>
      <c r="U43" s="615" t="n"/>
    </row>
    <row r="44">
      <c r="A44" s="612" t="n"/>
      <c r="B44" s="1166" t="inlineStr">
        <is>
          <t>Other2</t>
        </is>
      </c>
      <c r="C44" s="1112" t="n"/>
      <c r="D44" s="1113" t="n"/>
      <c r="E44" s="615" t="n"/>
      <c r="F44" s="907">
        <f>D44*C44</f>
        <v/>
      </c>
      <c r="G44" s="615" t="n"/>
      <c r="H44" s="612" t="n"/>
      <c r="I44" s="612" t="n"/>
      <c r="J44" s="612" t="n"/>
      <c r="K44" s="612" t="n"/>
      <c r="L44" s="612" t="n"/>
      <c r="M44" s="612" t="n"/>
      <c r="N44" s="612" t="n"/>
      <c r="O44" s="612" t="n"/>
      <c r="P44" s="612" t="n"/>
      <c r="Q44" s="612" t="n"/>
      <c r="R44" s="612" t="n"/>
      <c r="S44" s="612" t="n"/>
      <c r="T44" s="612" t="n"/>
      <c r="U44" s="612" t="n"/>
    </row>
    <row r="45">
      <c r="A45" s="612" t="n"/>
      <c r="B45" s="1166" t="inlineStr">
        <is>
          <t>Landscaping, Lighting, Other Site Improvements</t>
        </is>
      </c>
      <c r="C45" s="1112" t="n"/>
      <c r="D45" s="1113" t="n">
        <v>5.5</v>
      </c>
      <c r="E45" s="615" t="n"/>
      <c r="F45" s="907">
        <f>D45*C45</f>
        <v/>
      </c>
      <c r="G45" s="615" t="n"/>
      <c r="H45" s="612" t="n"/>
      <c r="I45" s="1165"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1175" t="inlineStr">
        <is>
          <t>Total Site Improvements</t>
        </is>
      </c>
      <c r="C46" s="615" t="n"/>
      <c r="D46" s="615" t="n"/>
      <c r="E46" s="615" t="n"/>
      <c r="F46" s="615" t="n"/>
      <c r="G46" s="908">
        <f>SUM(F40:F45)</f>
        <v/>
      </c>
      <c r="H46" s="612" t="n"/>
      <c r="I46" s="612" t="n"/>
      <c r="J46" s="612" t="n"/>
      <c r="K46" s="612" t="n"/>
      <c r="L46" s="612" t="n"/>
      <c r="M46" s="612" t="n"/>
      <c r="N46" s="612" t="n"/>
      <c r="O46" s="612" t="n"/>
      <c r="P46" s="612" t="n"/>
      <c r="Q46" s="612" t="n"/>
      <c r="R46" s="612" t="n"/>
      <c r="S46" s="612" t="n"/>
      <c r="T46" s="612" t="n"/>
      <c r="U46" s="612" t="n"/>
    </row>
    <row r="47">
      <c r="A47" s="612" t="n"/>
      <c r="B47" s="1171" t="inlineStr">
        <is>
          <t>Total Construction Costs</t>
        </is>
      </c>
      <c r="C47" s="615" t="n"/>
      <c r="D47" s="615" t="n"/>
      <c r="E47" s="615" t="n"/>
      <c r="F47" s="615" t="n"/>
      <c r="G47" s="908">
        <f>SUM(G38:G46)</f>
        <v/>
      </c>
      <c r="H47" s="612" t="n"/>
      <c r="I47" s="612" t="n"/>
      <c r="J47" s="612" t="n"/>
      <c r="K47" s="612" t="n"/>
      <c r="L47" s="612" t="n"/>
      <c r="M47" s="612" t="n"/>
      <c r="N47" s="612" t="n"/>
      <c r="O47" s="612" t="n"/>
      <c r="P47" s="612" t="n"/>
      <c r="Q47" s="612" t="n"/>
      <c r="R47" s="612" t="n"/>
      <c r="S47" s="612" t="n"/>
      <c r="T47" s="612" t="n"/>
      <c r="U47" s="612" t="n"/>
    </row>
    <row r="48">
      <c r="A48" s="612" t="n"/>
      <c r="B48" s="1166" t="inlineStr">
        <is>
          <t>Plus Other Indirect Costs (% of Direct Costs)</t>
        </is>
      </c>
      <c r="C48" s="1114" t="n">
        <v>0.1</v>
      </c>
      <c r="D48" s="615" t="n"/>
      <c r="E48" s="615" t="n"/>
      <c r="F48" s="615" t="n"/>
      <c r="G48" s="907">
        <f>G47*(C48)</f>
        <v/>
      </c>
      <c r="H48" s="612" t="n"/>
      <c r="I48" s="1165"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1175" t="inlineStr">
        <is>
          <t>Subtotal Replacement Cost New (RCN)</t>
        </is>
      </c>
      <c r="C49" s="615" t="n"/>
      <c r="D49" s="615" t="n"/>
      <c r="E49" s="615" t="n"/>
      <c r="F49" s="615" t="n"/>
      <c r="G49" s="908">
        <f>SUM(G47:G48)</f>
        <v/>
      </c>
      <c r="H49" s="612" t="n"/>
      <c r="I49" s="612" t="n"/>
      <c r="J49" s="612" t="n"/>
      <c r="K49" s="612" t="n"/>
      <c r="L49" s="612" t="n"/>
      <c r="M49" s="612" t="n"/>
      <c r="N49" s="612" t="n"/>
      <c r="O49" s="612" t="n"/>
      <c r="P49" s="612" t="n"/>
      <c r="Q49" s="612" t="n"/>
      <c r="R49" s="612" t="n"/>
      <c r="S49" s="612" t="n"/>
      <c r="T49" s="612" t="n"/>
      <c r="U49" s="612" t="n"/>
    </row>
    <row r="50">
      <c r="A50" s="612" t="n"/>
      <c r="B50" s="1164" t="inlineStr">
        <is>
          <t>Plus Entrepreneurial Profit (% of RCN)</t>
        </is>
      </c>
      <c r="C50" s="1114" t="n">
        <v>0.15</v>
      </c>
      <c r="D50" s="615" t="n"/>
      <c r="E50" s="615" t="n"/>
      <c r="F50" s="615" t="n"/>
      <c r="G50" s="907">
        <f>G49*C50</f>
        <v/>
      </c>
      <c r="H50" s="612" t="n"/>
      <c r="I50" s="1165"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1176" t="inlineStr">
        <is>
          <t>Total Replacement Cost New (RCN)</t>
        </is>
      </c>
      <c r="C51" s="615" t="n"/>
      <c r="D51" s="615" t="n"/>
      <c r="E51" s="615" t="n"/>
      <c r="F51" s="615" t="n"/>
      <c r="G51" s="914">
        <f>SUM(G49:G50)</f>
        <v/>
      </c>
      <c r="H51" s="612" t="n"/>
      <c r="I51" s="612" t="n"/>
      <c r="J51" s="612" t="n"/>
      <c r="K51" s="612" t="n"/>
      <c r="L51" s="612" t="n"/>
      <c r="M51" s="612" t="n"/>
      <c r="N51" s="612" t="n"/>
      <c r="O51" s="612" t="n"/>
      <c r="P51" s="612" t="n"/>
      <c r="Q51" s="612" t="n"/>
      <c r="R51" s="612" t="n"/>
      <c r="S51" s="612" t="n"/>
      <c r="T51" s="612" t="n"/>
      <c r="U51" s="612" t="n"/>
    </row>
    <row r="52">
      <c r="A52" s="612" t="n"/>
      <c r="B52" s="1177" t="inlineStr">
        <is>
          <t>per square foot of gross building area (Building 1)</t>
        </is>
      </c>
      <c r="C52" s="648" t="n"/>
      <c r="D52" s="615" t="n"/>
      <c r="E52" s="615" t="n"/>
      <c r="F52" s="615" t="n"/>
      <c r="G52" s="915">
        <f>IFERROR(caRCN/C24,"")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1221" t="inlineStr">
        <is>
          <t>Less Accrued Depreciation</t>
        </is>
      </c>
      <c r="C54" s="1218" t="n"/>
      <c r="D54" s="1218" t="n"/>
      <c r="E54" s="1218" t="n"/>
      <c r="F54" s="1218" t="n"/>
      <c r="G54" s="1218" t="n"/>
      <c r="H54" s="612" t="n"/>
      <c r="I54" s="612" t="n"/>
      <c r="J54" s="612" t="n"/>
      <c r="K54" s="612" t="n"/>
      <c r="L54" s="612" t="n"/>
      <c r="M54" s="612" t="n"/>
      <c r="N54" s="612" t="n"/>
      <c r="O54" s="612" t="n"/>
      <c r="P54" s="612" t="n"/>
      <c r="Q54" s="612" t="n"/>
      <c r="R54" s="612" t="n"/>
      <c r="S54" s="612" t="n"/>
      <c r="T54" s="612" t="n"/>
      <c r="U54" s="612" t="n"/>
    </row>
    <row r="55">
      <c r="A55" s="612" t="n"/>
      <c r="B55" s="1175"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1164" t="inlineStr">
        <is>
          <t>Curable (Deferred Maintenance)</t>
        </is>
      </c>
      <c r="C56" s="650" t="n"/>
      <c r="D56" s="613" t="n"/>
      <c r="E56" s="619" t="n"/>
      <c r="F56" s="1115" t="n">
        <v>0</v>
      </c>
      <c r="G56" s="615" t="n"/>
      <c r="H56" s="612" t="n"/>
      <c r="I56" s="1165"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1175"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1164" t="inlineStr">
        <is>
          <t>Effective Age (Years)</t>
        </is>
      </c>
      <c r="C58" s="1101">
        <f>IFERROR('Subject Property'!$E$11,0)</f>
        <v/>
      </c>
      <c r="D58" s="612" t="n"/>
      <c r="E58" s="612" t="n"/>
      <c r="F58" s="612" t="n"/>
      <c r="G58" s="612" t="n"/>
      <c r="H58" s="612" t="n"/>
      <c r="I58" s="1165"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1164" t="inlineStr">
        <is>
          <t>Typical Life Expectancy (MVS Sec.97, auto)</t>
        </is>
      </c>
      <c r="C59" s="1111">
        <f>IF($C$82&gt;0,$C$82,IFERROR(INDEX(LIFE_VALUES,MATCH($C$4&amp;"|"&amp;$C$7,LIFE_KEY,0),MATCH("Class "&amp;IF($C$6="CMILL","C",IF(OR($C$6="DPOLE",$C$6="DMASVEN",$C$6="CDS"),"D",IF($C$6="A-B","B",IF($C$6="SSLANT","S",$C$6)))),LIFE_CLASSHDR,0)),0))</f>
        <v/>
      </c>
      <c r="D59" s="612" t="n"/>
      <c r="E59" s="612" t="n"/>
      <c r="F59" s="612" t="n"/>
      <c r="G59" s="612" t="n"/>
      <c r="H59" s="612" t="n"/>
      <c r="I59" s="1165" t="inlineStr">
        <is>
          <t>MVS Sec.97 pp.10-16, by occupancy/quality/class (full table on M&amp;S Inputs). Override in C82 if needed.</t>
        </is>
      </c>
      <c r="J59" s="612" t="n"/>
      <c r="K59" s="637" t="n"/>
      <c r="L59" s="612" t="n"/>
      <c r="M59" s="612" t="n"/>
      <c r="N59" s="612" t="n"/>
      <c r="O59" s="612" t="n"/>
      <c r="P59" s="637" t="n"/>
      <c r="Q59" s="612" t="n"/>
      <c r="R59" s="612" t="n"/>
      <c r="S59" s="612" t="n"/>
      <c r="T59" s="612" t="n"/>
      <c r="U59" s="612" t="n"/>
    </row>
    <row r="60">
      <c r="A60" s="612" t="n"/>
      <c r="B60" s="1164" t="inlineStr">
        <is>
          <t>Total Incurable Physical Depreciation (MVS Sec.97 percent-good curve)</t>
        </is>
      </c>
      <c r="C60" s="1116">
        <f>IF($C$59=0,0,IFERROR(IF(IFERROR(INDEX(OCC_DEPR,MATCH($C$4,OCC_NAME,0)),"C")="R",INDEX(DEPRR_VALUES,MATCH($C$58,DEPRR_AGE,1),MATCH($C$59,DEPRR_LIFEHDR,0)),INDEX(DEPR_VALUES,MATCH($C$58,DEPR_AGE,1),MATCH($C$59,DEPR_LIFEHDR,0)))/100,"n/a -- age exceeds tabulated range; treat as fully depreciated per Sec.97 salvage guidance"))</f>
        <v/>
      </c>
      <c r="D60" s="612" t="n"/>
      <c r="E60" s="612" t="n"/>
      <c r="F60" s="918">
        <f>G51*C60</f>
        <v/>
      </c>
      <c r="G60" s="612" t="n"/>
      <c r="H60" s="612" t="n"/>
      <c r="I60" s="1165" t="inlineStr">
        <is>
          <t>MVS Sec.97 percent-good: Commercial (p.24) or Residential (p.25) table auto-selected per MVS's Properties Included key (Reference 4 on M&amp;S Inputs).</t>
        </is>
      </c>
      <c r="J60" s="612" t="n"/>
      <c r="K60" s="612" t="n"/>
      <c r="L60" s="619" t="n"/>
      <c r="M60" s="619" t="n"/>
      <c r="N60" s="619" t="n"/>
      <c r="O60" s="619" t="n"/>
      <c r="P60" s="619" t="n"/>
      <c r="Q60" s="612" t="n"/>
      <c r="R60" s="612" t="n"/>
      <c r="S60" s="612" t="n"/>
      <c r="T60" s="612" t="n"/>
      <c r="U60" s="612" t="n"/>
    </row>
    <row r="61">
      <c r="A61" s="612" t="n"/>
      <c r="B61" s="1164" t="inlineStr">
        <is>
          <t>Functional Obsolescence</t>
        </is>
      </c>
      <c r="C61" s="1117" t="n">
        <v>0</v>
      </c>
      <c r="D61" s="612" t="n"/>
      <c r="E61" s="612" t="n"/>
      <c r="F61" s="918">
        <f>C61*caRCN</f>
        <v/>
      </c>
      <c r="G61" s="612" t="n"/>
      <c r="H61" s="612" t="n"/>
      <c r="I61" s="1165"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1164" t="inlineStr">
        <is>
          <t>External Obsolescence</t>
        </is>
      </c>
      <c r="C62" s="1117" t="n">
        <v>0</v>
      </c>
      <c r="D62" s="612" t="n"/>
      <c r="E62" s="612" t="n"/>
      <c r="F62" s="918">
        <f>C62*caRCN</f>
        <v/>
      </c>
      <c r="G62" s="612" t="n"/>
      <c r="H62" s="612" t="n"/>
      <c r="I62" s="1165"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1175" t="inlineStr">
        <is>
          <t>Total</t>
        </is>
      </c>
      <c r="C63" s="920">
        <f>IFERROR(G63/caRCN,"")</f>
        <v/>
      </c>
      <c r="D63" s="612" t="n"/>
      <c r="E63" s="612" t="n"/>
      <c r="F63" s="612" t="n"/>
      <c r="G63" s="921">
        <f>SUM(F56:F62)</f>
        <v/>
      </c>
      <c r="H63" s="612" t="n"/>
      <c r="I63" s="612" t="n"/>
      <c r="J63" s="612" t="n"/>
      <c r="K63" s="615" t="n"/>
      <c r="L63" s="619" t="n"/>
      <c r="M63" s="619" t="n"/>
      <c r="N63" s="619" t="n"/>
      <c r="O63" s="619" t="n"/>
      <c r="P63" s="619" t="n"/>
      <c r="Q63" s="612" t="n"/>
      <c r="R63" s="612" t="n"/>
      <c r="S63" s="612" t="n"/>
      <c r="T63" s="612" t="n"/>
      <c r="U63" s="612" t="n"/>
    </row>
    <row r="64">
      <c r="A64" s="612" t="n"/>
      <c r="B64" s="1179" t="inlineStr">
        <is>
          <t>Depreciated Value of the Improvements (Building 1 + site improvements)</t>
        </is>
      </c>
      <c r="C64" s="612" t="n"/>
      <c r="D64" s="612" t="n"/>
      <c r="E64" s="612" t="n"/>
      <c r="F64" s="612" t="n"/>
      <c r="G64" s="922">
        <f>caRCN-G63</f>
        <v/>
      </c>
      <c r="H64" s="612" t="n"/>
      <c r="I64" s="612" t="n"/>
      <c r="J64" s="612" t="n"/>
      <c r="K64" s="615" t="n"/>
      <c r="L64" s="619" t="n"/>
      <c r="M64" s="619" t="n"/>
      <c r="N64" s="619" t="n"/>
      <c r="O64" s="619" t="n"/>
      <c r="P64" s="619" t="n"/>
      <c r="Q64" s="612" t="n"/>
      <c r="R64" s="612" t="n"/>
      <c r="S64" s="612" t="n"/>
      <c r="T64" s="612" t="n"/>
      <c r="U64" s="612" t="n"/>
    </row>
    <row r="65">
      <c r="A65" s="612" t="n"/>
      <c r="B65" s="1164" t="inlineStr">
        <is>
          <t>per square foot of gross building area (Building 1)</t>
        </is>
      </c>
      <c r="C65" s="612" t="n"/>
      <c r="D65" s="612" t="n"/>
      <c r="E65" s="612" t="n"/>
      <c r="F65" s="612" t="n"/>
      <c r="G65" s="915">
        <f>IFERROR(caRCNDeprec/C24,"")</f>
        <v/>
      </c>
      <c r="H65" s="612" t="n"/>
      <c r="I65" s="612" t="n"/>
      <c r="J65" s="612" t="n"/>
      <c r="K65" s="612" t="n"/>
      <c r="L65" s="612" t="n"/>
      <c r="M65" s="612" t="n"/>
      <c r="N65" s="612" t="n"/>
      <c r="O65" s="612" t="n"/>
      <c r="P65" s="612" t="n"/>
      <c r="Q65" s="612" t="n"/>
      <c r="R65" s="612" t="n"/>
      <c r="S65" s="612" t="n"/>
      <c r="T65" s="612" t="n"/>
      <c r="U65" s="612" t="n"/>
    </row>
    <row r="66">
      <c r="A66" s="612" t="n"/>
      <c r="B66" s="1179" t="inlineStr">
        <is>
          <t>Plus Depreciated Value of Additional Buildings (Buildings 2-4, sections below)</t>
        </is>
      </c>
      <c r="C66" s="612" t="n"/>
      <c r="D66" s="612" t="n"/>
      <c r="E66" s="612" t="n"/>
      <c r="F66" s="612" t="n"/>
      <c r="G66" s="922">
        <f>SUM($G$124,$G$169,$G$214)</f>
        <v/>
      </c>
      <c r="H66" s="612" t="n"/>
      <c r="I66" s="1165" t="inlineStr">
        <is>
          <t>$0 for a single-building property. For multi-building properties each building section below contributes its own depreciated improvement value here.</t>
        </is>
      </c>
      <c r="J66" s="612" t="n"/>
      <c r="K66" s="612" t="n"/>
      <c r="L66" s="612" t="n"/>
      <c r="M66" s="612" t="n"/>
      <c r="N66" s="612" t="n"/>
      <c r="O66" s="612" t="n"/>
      <c r="P66" s="612" t="n"/>
      <c r="Q66" s="612" t="n"/>
      <c r="R66" s="612" t="n"/>
      <c r="S66" s="612" t="n"/>
      <c r="T66" s="612" t="n"/>
      <c r="U66" s="612" t="n"/>
    </row>
    <row r="67">
      <c r="A67" s="612" t="n"/>
      <c r="B67" s="1164" t="inlineStr">
        <is>
          <t>Plus Land Value</t>
        </is>
      </c>
      <c r="C67" s="619" t="n"/>
      <c r="D67" s="619" t="n"/>
      <c r="E67" s="619" t="n"/>
      <c r="F67" s="619" t="n"/>
      <c r="G67" s="1118" t="n">
        <v>0</v>
      </c>
      <c r="H67" s="612" t="n"/>
      <c r="I67" s="1165"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1180" t="inlineStr">
        <is>
          <t>Indicated Value by Cost Approach</t>
        </is>
      </c>
      <c r="C69" s="655" t="n"/>
      <c r="D69" s="615" t="n"/>
      <c r="E69" s="615" t="n"/>
      <c r="F69" s="615" t="n"/>
      <c r="G69" s="924">
        <f>G64+G66+G67</f>
        <v/>
      </c>
      <c r="H69" s="612" t="n"/>
      <c r="I69" s="612" t="n"/>
      <c r="J69" s="612" t="n"/>
      <c r="K69" s="612" t="n"/>
      <c r="L69" s="612" t="n"/>
      <c r="M69" s="612" t="n"/>
      <c r="N69" s="612" t="n"/>
      <c r="O69" s="612" t="n"/>
      <c r="P69" s="612" t="n"/>
      <c r="Q69" s="612" t="n"/>
      <c r="R69" s="612" t="n"/>
      <c r="S69" s="612" t="n"/>
      <c r="T69" s="612" t="n"/>
      <c r="U69" s="612" t="n"/>
    </row>
    <row r="70">
      <c r="A70" s="612" t="n"/>
      <c r="B70" s="1181" t="n">
        <v>5000</v>
      </c>
      <c r="C70" s="612" t="n"/>
      <c r="D70" s="615" t="n"/>
      <c r="E70" s="615" t="n"/>
      <c r="F70" s="615" t="n"/>
      <c r="G70" s="924">
        <f>ROUND((G69/B70),0)*B70</f>
        <v/>
      </c>
      <c r="H70" s="612" t="n"/>
      <c r="I70" s="1165"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1167" t="inlineStr">
        <is>
          <t>per square foot of gross building area (all buildings)</t>
        </is>
      </c>
      <c r="C71" s="612" t="n"/>
      <c r="D71" s="615" t="n"/>
      <c r="E71" s="615" t="n"/>
      <c r="F71" s="615" t="n"/>
      <c r="G71" s="906">
        <f>IFERROR(G70/Subj_BldgSF,"")</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1167"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1167"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c r="A76" s="612" t="n"/>
      <c r="B76" s="1241">
        <f>IF(N(NumBldgs)&lt;=1,"","ℹ "&amp;NumBldgs&amp;"-building property: Buildings 2-"&amp;NumBldgs&amp;" are priced in their own sections below (rows 90+). Expand the + outline buttons at the far left, or unhide the rows, and confirm each section shows ✓ Included.")</f>
        <v/>
      </c>
      <c r="J76" s="612" t="n"/>
      <c r="K76" s="612" t="n"/>
      <c r="L76" s="612" t="n"/>
      <c r="M76" s="612" t="n"/>
      <c r="N76" s="612" t="n"/>
      <c r="O76" s="612" t="n"/>
      <c r="P76" s="612" t="n"/>
      <c r="Q76" s="612" t="n"/>
      <c r="R76" s="612" t="n"/>
      <c r="S76" s="612" t="n"/>
      <c r="T76" s="612" t="n"/>
      <c r="U76" s="612" t="n"/>
    </row>
    <row r="77">
      <c r="A77" s="612" t="n"/>
      <c r="B77" s="1241">
        <f>IF(OR($D$24=0,$C$59=0),"⚠ INCOMPLETE -- Base Cost and/or Life Expectancy could not be determined. Fill in the Manual MVS Override section below.",IF(OR($C$81&gt;0,$C$82&gt;0,$C$83&lt;&gt;""),"ℹ Using Manual MVS Override values below -- confirm these before relying on this indicated value.",""))</f>
        <v/>
      </c>
      <c r="J77" s="612" t="n"/>
      <c r="K77" s="612" t="n"/>
      <c r="L77" s="612" t="n"/>
      <c r="M77" s="612" t="n"/>
      <c r="N77" s="612" t="n"/>
      <c r="O77" s="612" t="n"/>
      <c r="P77" s="612" t="n"/>
      <c r="Q77" s="612" t="n"/>
      <c r="R77" s="612" t="n"/>
      <c r="S77" s="612" t="n"/>
      <c r="T77" s="612" t="n"/>
      <c r="U77" s="612" t="n"/>
    </row>
    <row r="78">
      <c r="A78" s="612" t="n"/>
      <c r="B78" s="1242" t="inlineStr">
        <is>
          <t>MANUAL MVS OVERRIDE -- only needed if your Occupancy Type isn't in the dropdown above</t>
        </is>
      </c>
      <c r="C78" s="1243" t="n"/>
      <c r="D78" s="1243" t="n"/>
      <c r="E78" s="1243" t="n"/>
      <c r="F78" s="1243" t="n"/>
      <c r="G78" s="1243" t="n"/>
      <c r="H78" s="1244" t="n"/>
      <c r="I78" s="1244" t="n"/>
      <c r="J78" s="612" t="n"/>
      <c r="K78" s="612" t="n"/>
      <c r="L78" s="612" t="n"/>
      <c r="M78" s="612" t="n"/>
      <c r="N78" s="612" t="n"/>
      <c r="O78" s="612" t="n"/>
      <c r="P78" s="612" t="n"/>
      <c r="Q78" s="612" t="n"/>
      <c r="R78" s="612" t="n"/>
      <c r="S78" s="612" t="n"/>
      <c r="T78" s="612" t="n"/>
      <c r="U78" s="612" t="n"/>
    </row>
    <row r="79" ht="55" customHeight="1">
      <c r="A79" s="612" t="n"/>
      <c r="B79" s="1245"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c r="J79" s="612" t="n"/>
      <c r="K79" s="612" t="n"/>
      <c r="L79" s="612" t="n"/>
      <c r="M79" s="612" t="n"/>
      <c r="N79" s="612" t="n"/>
      <c r="O79" s="612" t="n"/>
      <c r="P79" s="612" t="n"/>
      <c r="Q79" s="612" t="n"/>
      <c r="R79" s="612" t="n"/>
      <c r="S79" s="612" t="n"/>
      <c r="T79" s="612" t="n"/>
      <c r="U79" s="612" t="n"/>
    </row>
    <row r="80">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c r="A81" s="612" t="n"/>
      <c r="B81" s="623" t="inlineStr">
        <is>
          <t>Manual Base Cost ($/SF)</t>
        </is>
      </c>
      <c r="C81" s="1246" t="n">
        <v>0</v>
      </c>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c r="A82" s="612" t="n"/>
      <c r="B82" s="623" t="inlineStr">
        <is>
          <t>Manual Life Expectancy (Years)</t>
        </is>
      </c>
      <c r="C82" s="1247" t="n">
        <v>0</v>
      </c>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c r="A83" s="612" t="n"/>
      <c r="B83" s="621" t="inlineStr">
        <is>
          <t>Manual MVS Section (drives cost multiplier / story-height / sprinkler tables)</t>
        </is>
      </c>
      <c r="C83" s="1248" t="inlineStr"/>
      <c r="D83" s="1249">
        <f>IF($C$83="","",IF($C$83="11","Apartments/Hotels/Clubs",IF($C$83="12","Residences/Multiples/Motels",IF($C$83="13","Retail/Stores/Shopping Centers",IF($C$83="14","Industrial/Warehouse",IF($C$83="15","Office/Medical/Public",IF($C$83="16","Churches/Theaters/Auditoriums",IF($C$83="17","Sheds/Farm",IF($C$83="18","Schools",)))))))))</f>
        <v/>
      </c>
      <c r="E83" s="615" t="n"/>
      <c r="F83" s="615" t="n"/>
      <c r="G83" s="615" t="n"/>
      <c r="H83" s="612" t="n"/>
      <c r="I83" s="612" t="n"/>
      <c r="J83" s="612" t="n"/>
      <c r="K83" s="612" t="n"/>
      <c r="L83" s="612" t="n"/>
      <c r="M83" s="612" t="n"/>
      <c r="N83" s="612" t="n"/>
      <c r="O83" s="612" t="n"/>
      <c r="P83" s="612" t="n"/>
      <c r="Q83" s="612" t="n"/>
      <c r="R83" s="612" t="n"/>
      <c r="S83" s="612" t="n"/>
      <c r="T83" s="612" t="n"/>
      <c r="U83" s="612" t="n"/>
    </row>
    <row r="84">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outlineLevel="1">
      <c r="A90" s="612" t="n"/>
      <c r="B90" s="1213" t="inlineStr">
        <is>
          <t>BUILDING 2 — MVS CALCULATOR (used only when Number of Buildings ≥ 2)</t>
        </is>
      </c>
      <c r="C90" s="1214" t="n"/>
      <c r="D90" s="1214" t="n"/>
      <c r="E90" s="1214" t="n"/>
      <c r="F90" s="1214" t="n"/>
      <c r="G90" s="1214" t="n"/>
      <c r="H90" s="612" t="n"/>
      <c r="I90" s="612" t="n"/>
      <c r="J90" s="612" t="n"/>
      <c r="K90" s="612" t="n"/>
      <c r="L90" s="612" t="n"/>
      <c r="M90" s="612" t="n"/>
      <c r="N90" s="612" t="n"/>
      <c r="O90" s="612" t="n"/>
      <c r="P90" s="612" t="n"/>
      <c r="Q90" s="612" t="n"/>
      <c r="R90" s="612" t="n"/>
      <c r="S90" s="612" t="n"/>
      <c r="T90" s="612" t="n"/>
      <c r="U90" s="612" t="n"/>
    </row>
    <row r="91" hidden="1" outlineLevel="1">
      <c r="A91" s="612" t="n"/>
      <c r="B91" s="1522">
        <f>IF(N(NumBldgs)&lt;2,"Not used -- Subject Property lists "&amp;MAX(1,N(NumBldgs))&amp;" building(s), so this section contributes $0.",IF(Bldg2_SF="","⚠ Enter Building 2 SF in the Building Detail table on the Subject Property tab.",IF(OR($D$103=0,$C$119=0),"⚠ INCOMPLETE -- Base Cost and/or Life Expectancy could not be determined. Check the OCC/Class/Quality above or use the Manual Overrides at the bottom of this section.","✓ Included -- depreciated value of $"&amp;TEXT($G$124,"#,##0")&amp;" is added into the Indicated Value in the summary above (row 66).")))</f>
        <v/>
      </c>
      <c r="J91" s="612" t="n"/>
      <c r="K91" s="612" t="n"/>
      <c r="L91" s="612" t="n"/>
      <c r="M91" s="612" t="n"/>
      <c r="N91" s="612" t="n"/>
      <c r="O91" s="612" t="n"/>
      <c r="P91" s="612" t="n"/>
      <c r="Q91" s="612" t="n"/>
      <c r="R91" s="612" t="n"/>
      <c r="S91" s="612" t="n"/>
      <c r="T91" s="612" t="n"/>
      <c r="U91" s="612" t="n"/>
    </row>
    <row r="92" hidden="1" outlineLevel="1">
      <c r="A92" s="612" t="n"/>
      <c r="B92" s="1164" t="inlineStr">
        <is>
          <t>Occupancy Type</t>
        </is>
      </c>
      <c r="C92" s="1097">
        <f>IF(Bldg2_Occ="","",IFERROR(INDEX(OCCMAP_NAME,MATCH(Bldg2_Occ,OCCMAP_CODE,0)),"No MVS cost table for OCC "&amp;Bldg2_Occ&amp;" -- select manually from the dropdown"))</f>
        <v/>
      </c>
      <c r="D92" s="619" t="n"/>
      <c r="E92" s="619" t="n"/>
      <c r="F92" s="619" t="n"/>
      <c r="G92" s="619" t="n"/>
      <c r="H92" s="612" t="n"/>
      <c r="I92" s="1165" t="inlineStr">
        <is>
          <t>Auto-fed from Building 2 OCC code on the Subject Property tab; override via the dropdown.</t>
        </is>
      </c>
      <c r="J92" s="612" t="n"/>
      <c r="K92" s="612" t="n"/>
      <c r="L92" s="612" t="n"/>
      <c r="M92" s="612" t="n"/>
      <c r="N92" s="612" t="n"/>
      <c r="O92" s="612" t="n"/>
      <c r="P92" s="612" t="n"/>
      <c r="Q92" s="612" t="n"/>
      <c r="R92" s="612" t="n"/>
      <c r="S92" s="612" t="n"/>
      <c r="T92" s="612" t="n"/>
      <c r="U92" s="612" t="n"/>
    </row>
    <row r="93" hidden="1" outlineLevel="1">
      <c r="A93" s="612" t="n"/>
      <c r="B93" s="1166" t="inlineStr">
        <is>
          <t>Occupancy Code / Section / Page (auto)</t>
        </is>
      </c>
      <c r="C93" s="1098">
        <f>IFERROR(INDEX(OCC_CODE,MATCH($C$92,OCC_NAME,0))&amp;"  |  MVS Sec. "&amp;INDEX(OCC_SECTION,MATCH($C$92,OCC_NAME,0))&amp;" p."&amp;INDEX(OCC_PAGE,MATCH($C$92,OCC_NAME,0)),"")</f>
        <v/>
      </c>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outlineLevel="1">
      <c r="A94" s="612" t="n"/>
      <c r="B94" s="1167" t="inlineStr">
        <is>
          <t>Building Class</t>
        </is>
      </c>
      <c r="C94" s="1099" t="inlineStr">
        <is>
          <t>C</t>
        </is>
      </c>
      <c r="D94" s="615" t="n"/>
      <c r="E94" s="615" t="n"/>
      <c r="F94" s="615" t="n"/>
      <c r="G94" s="615" t="n"/>
      <c r="H94" s="612" t="n"/>
      <c r="I94"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94" s="612" t="n"/>
      <c r="K94" s="612" t="n"/>
      <c r="L94" s="612" t="n"/>
      <c r="M94" s="612" t="n"/>
      <c r="N94" s="612" t="n"/>
      <c r="O94" s="612" t="n"/>
      <c r="P94" s="612" t="n"/>
      <c r="Q94" s="612" t="n"/>
      <c r="R94" s="612" t="n"/>
      <c r="S94" s="612" t="n"/>
      <c r="T94" s="612" t="n"/>
      <c r="U94" s="612" t="n"/>
    </row>
    <row r="95" hidden="1" outlineLevel="1">
      <c r="A95" s="612" t="n"/>
      <c r="B95" s="1167" t="inlineStr">
        <is>
          <t>Quality</t>
        </is>
      </c>
      <c r="C95" s="1100">
        <f>IF(Bldg2_Qual="","",Bldg2_Qual)</f>
        <v/>
      </c>
      <c r="D95" s="615" t="n"/>
      <c r="E95" s="615" t="n"/>
      <c r="F95" s="615" t="n"/>
      <c r="G95" s="615" t="n"/>
      <c r="H95" s="612" t="n"/>
      <c r="I95" s="1165" t="inlineStr">
        <is>
          <t>Auto-fed from Building 2 Quality on the Subject Property tab; pick a tier that exists for the chosen occupancy/class.</t>
        </is>
      </c>
      <c r="J95" s="612" t="n"/>
      <c r="K95" s="612" t="n"/>
      <c r="L95" s="612" t="n"/>
      <c r="M95" s="612" t="n"/>
      <c r="N95" s="612" t="n"/>
      <c r="O95" s="612" t="n"/>
      <c r="P95" s="612" t="n"/>
      <c r="Q95" s="612" t="n"/>
      <c r="R95" s="612" t="n"/>
      <c r="S95" s="612" t="n"/>
      <c r="T95" s="612" t="n"/>
      <c r="U95" s="612" t="n"/>
    </row>
    <row r="96" hidden="1" outlineLevel="1">
      <c r="A96" s="612" t="n"/>
      <c r="B96" s="1239" t="inlineStr">
        <is>
          <t>Resolved MVS Section (auto or manual override)</t>
        </is>
      </c>
      <c r="C96" s="1240">
        <f>IF($C$130&lt;&gt;"",$C$130,IFERROR(INDEX(OCC_SECTION,MATCH($C$92,OCC_NAME,0)),""))</f>
        <v/>
      </c>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outlineLevel="1">
      <c r="A97" s="612" t="n"/>
      <c r="B97" s="1167" t="inlineStr">
        <is>
          <t>Avg Eave / Wall Height (ft)</t>
        </is>
      </c>
      <c r="C97" s="1101" t="n">
        <v>18</v>
      </c>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outlineLevel="1">
      <c r="A98" s="612" t="n"/>
      <c r="B98" s="1167" t="inlineStr">
        <is>
          <t>Area/Perimeter Multiplier Factor 1</t>
        </is>
      </c>
      <c r="C98" s="1102" t="n">
        <v>1</v>
      </c>
      <c r="D98" s="615" t="n"/>
      <c r="E98" s="615" t="n"/>
      <c r="F98" s="615" t="n"/>
      <c r="G98" s="615" t="n"/>
      <c r="H98" s="612" t="n"/>
      <c r="I98" s="1165" t="inlineStr">
        <is>
          <t>Look up your building's SF vs. average perimeter in the MVS Floor Area-Perimeter grid for this occupancy's section; enter the two bracketing values here to average.</t>
        </is>
      </c>
      <c r="J98" s="612" t="n"/>
      <c r="K98" s="612" t="n"/>
      <c r="L98" s="612" t="n"/>
      <c r="M98" s="612" t="n"/>
      <c r="N98" s="612" t="n"/>
      <c r="O98" s="612" t="n"/>
      <c r="P98" s="612" t="n"/>
      <c r="Q98" s="612" t="n"/>
      <c r="R98" s="612" t="n"/>
      <c r="S98" s="612" t="n"/>
      <c r="T98" s="612" t="n"/>
      <c r="U98" s="612" t="n"/>
    </row>
    <row r="99" hidden="1" outlineLevel="1">
      <c r="A99" s="612" t="n"/>
      <c r="B99" s="1167" t="inlineStr">
        <is>
          <t>Area/Perimeter Multiplier Factor 2</t>
        </is>
      </c>
      <c r="C99" s="1103" t="n">
        <v>1</v>
      </c>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outlineLevel="1">
      <c r="A100" s="612" t="n"/>
      <c r="B100" s="1166" t="inlineStr">
        <is>
          <t>Sprinkler Quality Tier</t>
        </is>
      </c>
      <c r="C100" s="1104" t="inlineStr">
        <is>
          <t>Average</t>
        </is>
      </c>
      <c r="D100" s="615" t="n"/>
      <c r="E100" s="615" t="n"/>
      <c r="F100" s="615" t="n"/>
      <c r="G100" s="615" t="n"/>
      <c r="H100" s="612" t="n"/>
      <c r="I100" s="1165" t="inlineStr">
        <is>
          <t>Independent of building quality -- set to match the actual sprinkler system grade. Wet-system cost auto-looked-up for Sections 11-16 &amp; 18; Section 17 (sheds/farm) has no MVS sprinkler table -- 0 is used.</t>
        </is>
      </c>
      <c r="J100" s="612" t="n"/>
      <c r="K100" s="612" t="n"/>
      <c r="L100" s="612" t="n"/>
      <c r="M100" s="612" t="n"/>
      <c r="N100" s="612" t="n"/>
      <c r="O100" s="612" t="n"/>
      <c r="P100" s="612" t="n"/>
      <c r="Q100" s="612" t="n"/>
      <c r="R100" s="612" t="n"/>
      <c r="S100" s="612" t="n"/>
      <c r="T100" s="612" t="n"/>
      <c r="U100" s="612" t="n"/>
    </row>
    <row r="101" hidden="1" outlineLevel="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outlineLevel="1">
      <c r="A102" s="612" t="n"/>
      <c r="B102" s="1170" t="inlineStr">
        <is>
          <t>Replacement Cost New (RCN) — Building 2</t>
        </is>
      </c>
      <c r="C102" s="1109" t="inlineStr">
        <is>
          <t>Area (SF)</t>
        </is>
      </c>
      <c r="D102" s="1110" t="inlineStr">
        <is>
          <t>$/SF</t>
        </is>
      </c>
      <c r="E102" s="615" t="n"/>
      <c r="F102" s="1110" t="inlineStr">
        <is>
          <t>Subtotal</t>
        </is>
      </c>
      <c r="G102" s="1110" t="inlineStr">
        <is>
          <t>Total Cost</t>
        </is>
      </c>
      <c r="H102" s="612" t="n"/>
      <c r="I102" s="612" t="n"/>
      <c r="J102" s="612" t="n"/>
      <c r="K102" s="612" t="n"/>
      <c r="L102" s="612" t="n"/>
      <c r="M102" s="612" t="n"/>
      <c r="N102" s="612" t="n"/>
      <c r="O102" s="612" t="n"/>
      <c r="P102" s="612" t="n"/>
      <c r="Q102" s="612" t="n"/>
      <c r="R102" s="612" t="n"/>
      <c r="S102" s="612" t="n"/>
      <c r="T102" s="612" t="n"/>
      <c r="U102" s="612" t="n"/>
    </row>
    <row r="103" hidden="1" outlineLevel="1">
      <c r="A103" s="612" t="n"/>
      <c r="B103" s="1167" t="inlineStr">
        <is>
          <t>Base Cost</t>
        </is>
      </c>
      <c r="C103" s="1111">
        <f>IF(Bldg2_SF="",0,Bldg2_SF)</f>
        <v/>
      </c>
      <c r="D103" s="906">
        <f>IF($C$128&gt;0,$C$128,IFERROR(INDEX(BC_VALUE,MATCH($C$92&amp;"|"&amp;$C$94&amp;"|"&amp;$C$95,BC_KEY,0)),0))</f>
        <v/>
      </c>
      <c r="E103" s="615" t="n"/>
      <c r="F103" s="907">
        <f>C103*D103</f>
        <v/>
      </c>
      <c r="G103" s="615" t="n"/>
      <c r="H103" s="612" t="n"/>
      <c r="I103" s="1165">
        <f>IFERROR("Verified MVS base cost -- "&amp;INDEX(BC_CITE,MATCH($C$92&amp;"|"&amp;$C$94&amp;"|"&amp;$C$95,BC_KEY,0)),"")&amp;" | Area auto-linked to Building 2 SF on the Subject Property tab."</f>
        <v/>
      </c>
      <c r="J103" s="612" t="n"/>
      <c r="K103" s="612" t="n"/>
      <c r="L103" s="612" t="n"/>
      <c r="M103" s="612" t="n"/>
      <c r="N103" s="612" t="n"/>
      <c r="O103" s="612" t="n"/>
      <c r="P103" s="612" t="n"/>
      <c r="Q103" s="612" t="n"/>
      <c r="R103" s="612" t="n"/>
      <c r="S103" s="612" t="n"/>
      <c r="T103" s="612" t="n"/>
      <c r="U103" s="612" t="n"/>
    </row>
    <row r="104" hidden="1" outlineLevel="1">
      <c r="A104" s="612" t="n"/>
      <c r="B104" s="1167" t="inlineStr">
        <is>
          <t>Sprinklers</t>
        </is>
      </c>
      <c r="C104" s="1111">
        <f>C103</f>
        <v/>
      </c>
      <c r="D104" s="906">
        <f>IFERROR(INDEX(INDIRECT("SPR"&amp;$C$96&amp;"_VALS"),MATCH($C$103,INDIRECT("SPR"&amp;$C$96&amp;"_SF"),1),MATCH($C$100,SPR_HDR,0)),0)</f>
        <v/>
      </c>
      <c r="E104" s="615" t="n"/>
      <c r="F104" s="907">
        <f>C104*D104</f>
        <v/>
      </c>
      <c r="G104" s="615" t="n"/>
      <c r="H104" s="612" t="n"/>
      <c r="I104" s="1165" t="inlineStr">
        <is>
          <t>Wet-system cost, by building SF (nearest coverage bracket &lt;= actual SF). Enter 0 manually below if unsprinklered.</t>
        </is>
      </c>
      <c r="J104" s="612" t="n"/>
      <c r="K104" s="612" t="n"/>
      <c r="L104" s="612" t="n"/>
      <c r="M104" s="612" t="n"/>
      <c r="N104" s="612" t="n"/>
      <c r="O104" s="612" t="n"/>
      <c r="P104" s="612" t="n"/>
      <c r="Q104" s="612" t="n"/>
      <c r="R104" s="612" t="n"/>
      <c r="S104" s="612" t="n"/>
      <c r="T104" s="612" t="n"/>
      <c r="U104" s="612" t="n"/>
    </row>
    <row r="105" hidden="1" outlineLevel="1">
      <c r="A105" s="612" t="n"/>
      <c r="B105" s="1167" t="inlineStr">
        <is>
          <t>Other (custom line item)</t>
        </is>
      </c>
      <c r="C105" s="1111" t="n"/>
      <c r="D105" s="906" t="n"/>
      <c r="E105" s="615" t="n"/>
      <c r="F105" s="907">
        <f>C105*D105</f>
        <v/>
      </c>
      <c r="G105" s="615" t="n"/>
      <c r="H105" s="612" t="n"/>
      <c r="I105" s="1165" t="n"/>
      <c r="J105" s="612" t="n"/>
      <c r="K105" s="612" t="n"/>
      <c r="L105" s="612" t="n"/>
      <c r="M105" s="612" t="n"/>
      <c r="N105" s="612" t="n"/>
      <c r="O105" s="612" t="n"/>
      <c r="P105" s="612" t="n"/>
      <c r="Q105" s="612" t="n"/>
      <c r="R105" s="612" t="n"/>
      <c r="S105" s="612" t="n"/>
      <c r="T105" s="612" t="n"/>
      <c r="U105" s="612" t="n"/>
    </row>
    <row r="106" hidden="1" outlineLevel="1">
      <c r="A106" s="612" t="n"/>
      <c r="B106" s="1172" t="inlineStr">
        <is>
          <t>Subtotal</t>
        </is>
      </c>
      <c r="C106" s="615" t="n"/>
      <c r="D106" s="615" t="n"/>
      <c r="E106" s="615" t="n"/>
      <c r="F106" s="908">
        <f>SUM(F103:F105)</f>
        <v/>
      </c>
      <c r="G106" s="615" t="n"/>
      <c r="H106" s="612" t="n"/>
      <c r="I106" s="612" t="n"/>
      <c r="J106" s="612" t="n"/>
      <c r="K106" s="612" t="n"/>
      <c r="L106" s="612" t="n"/>
      <c r="M106" s="612" t="n"/>
      <c r="N106" s="612" t="n"/>
      <c r="O106" s="612" t="n"/>
      <c r="P106" s="612" t="n"/>
      <c r="Q106" s="612" t="n"/>
      <c r="R106" s="612" t="n"/>
      <c r="S106" s="612" t="n"/>
      <c r="T106" s="612" t="n"/>
      <c r="U106" s="612" t="n"/>
    </row>
    <row r="107" hidden="1" outlineLevel="1">
      <c r="A107" s="612" t="n"/>
      <c r="B107" s="1166" t="inlineStr">
        <is>
          <t>Current Cost (de-trended to Appraisal Date)</t>
        </is>
      </c>
      <c r="C107" s="615" t="n"/>
      <c r="D107" s="909">
        <f>IFERROR(INDEX(CCM_VALUES,MATCH(IF($C$94="CMILL","C",IF($C$94="DPOLE","D",IF($C$94="A-B","B",$C$94))),CCM_CLASS,0),MATCH("Sec."&amp;IF($C$96&lt;&gt;"",$C$96,"14"),CCM_SECTIONHDR,0)),1)/IFERROR(INDEX(DEN_VALUES,MATCH($C$18,DEN_LABEL,0),MATCH("Class "&amp;IF($C$94="CMILL","C",IF($C$94="DPOLE","D",IF($C$94="A-B","B",$C$94))),DEN_CLASSHDR,0))+(INDEX(DEN_VALUES,MATCH($C$19,DEN_LABEL,0),MATCH("Class "&amp;IF($C$94="CMILL","C",IF($C$94="DPOLE","D",IF($C$94="A-B","B",$C$94))),DEN_CLASSHDR,0))-INDEX(DEN_VALUES,MATCH($C$18,DEN_LABEL,0),MATCH("Class "&amp;IF($C$94="CMILL","C",IF($C$94="DPOLE","D",IF($C$94="A-B","B",$C$94))),DEN_CLASSHDR,0)))*($C$17-DATEVALUE("1 "&amp;$C$18))/(DATEVALUE("1 "&amp;$C$19)-DATEVALUE("1 "&amp;$C$18)),1)</f>
        <v/>
      </c>
      <c r="E107" s="615" t="n"/>
      <c r="F107" s="615" t="n"/>
      <c r="G107" s="615" t="n"/>
      <c r="H107" s="612" t="n"/>
      <c r="I107" s="1165" t="inlineStr">
        <is>
          <t>Same MVS Sec.99/Sec.98 method as Building 1, using this building's class/section and the shared Step 3 dates above.</t>
        </is>
      </c>
      <c r="J107" s="612" t="n"/>
      <c r="K107" s="612" t="n"/>
      <c r="L107" s="612" t="n"/>
      <c r="M107" s="612" t="n"/>
      <c r="N107" s="612" t="n"/>
      <c r="O107" s="612" t="n"/>
      <c r="P107" s="612" t="n"/>
      <c r="Q107" s="612" t="n"/>
      <c r="R107" s="612" t="n"/>
      <c r="S107" s="612" t="n"/>
      <c r="T107" s="612" t="n"/>
      <c r="U107" s="612" t="n"/>
    </row>
    <row r="108" hidden="1" outlineLevel="1">
      <c r="A108" s="612" t="n"/>
      <c r="B108" s="1167" t="inlineStr">
        <is>
          <t>Local Area</t>
        </is>
      </c>
      <c r="C108" s="615" t="n"/>
      <c r="D108" s="909">
        <f>IFERROR(INDEX(LAM_VALUES,MATCH($C$8,LAM_CITY,0),MATCH("Class "&amp;IF($C$94="CMILL","C",IF($C$94="DPOLE","D",IF($C$94="A-B","B",$C$94))),LAM_CLASSHDR,0)),"")</f>
        <v/>
      </c>
      <c r="E108" s="615" t="n"/>
      <c r="F108" s="615" t="n"/>
      <c r="G108" s="615" t="n"/>
      <c r="H108" s="612" t="n"/>
      <c r="I108" s="1165" t="inlineStr">
        <is>
          <t>MVS Sec.99 p.7 Local Area Multiplier (shared City in Step 1 of Building 1).</t>
        </is>
      </c>
      <c r="J108" s="612" t="n"/>
      <c r="K108" s="612" t="n"/>
      <c r="L108" s="612" t="n"/>
      <c r="M108" s="612" t="n"/>
      <c r="N108" s="612" t="n"/>
      <c r="O108" s="612" t="n"/>
      <c r="P108" s="612" t="n"/>
      <c r="Q108" s="612" t="n"/>
      <c r="R108" s="612" t="n"/>
      <c r="S108" s="612" t="n"/>
      <c r="T108" s="612" t="n"/>
      <c r="U108" s="612" t="n"/>
    </row>
    <row r="109" hidden="1" outlineLevel="1">
      <c r="A109" s="612" t="n"/>
      <c r="B109" s="1164" t="inlineStr">
        <is>
          <t>Area/Perimeter Multiplier</t>
        </is>
      </c>
      <c r="C109" s="615" t="n"/>
      <c r="D109" s="909">
        <f>AVERAGE(C98:C99)</f>
        <v/>
      </c>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outlineLevel="1">
      <c r="A110" s="612" t="n"/>
      <c r="B110" s="1164" t="inlineStr">
        <is>
          <t>Story Height (Height entered above)</t>
        </is>
      </c>
      <c r="C110" s="615" t="n"/>
      <c r="D110" s="909">
        <f>IFERROR(INDEX(INDIRECT("SH"&amp;$C$96&amp;"_M"),MATCH($C$97,INDIRECT("SH"&amp;$C$96&amp;"_H"),1)),1)</f>
        <v/>
      </c>
      <c r="E110" s="615" t="n"/>
      <c r="F110" s="615" t="n"/>
      <c r="G110" s="615" t="n"/>
      <c r="H110" s="612" t="n"/>
      <c r="I110" s="612" t="inlineStr">
        <is>
          <t>Story-height multiplier auto-selected from the resolved MVS section (C9). Sections 12 &amp; 17 publish no table -- 1.000 used.</t>
        </is>
      </c>
      <c r="J110" s="612" t="n"/>
      <c r="K110" s="612" t="n"/>
      <c r="L110" s="612" t="n"/>
      <c r="M110" s="612" t="n"/>
      <c r="N110" s="612" t="n"/>
      <c r="O110" s="612" t="n"/>
      <c r="P110" s="612" t="n"/>
      <c r="Q110" s="615" t="n"/>
      <c r="R110" s="615" t="n"/>
      <c r="S110" s="612" t="n"/>
      <c r="T110" s="612" t="n"/>
      <c r="U110" s="612" t="n"/>
    </row>
    <row r="111" hidden="1" outlineLevel="1">
      <c r="A111" s="612" t="n"/>
      <c r="B111" s="1172" t="inlineStr">
        <is>
          <t>Product of Multipliers</t>
        </is>
      </c>
      <c r="C111" s="615" t="n"/>
      <c r="D111" s="615" t="n"/>
      <c r="E111" s="615" t="n"/>
      <c r="F111" s="910">
        <f>ROUND(PRODUCT(D107:D110),3)</f>
        <v/>
      </c>
      <c r="G111" s="615" t="n"/>
      <c r="H111" s="612" t="n"/>
      <c r="I111" s="612" t="n"/>
      <c r="J111" s="612" t="n"/>
      <c r="K111" s="612" t="n"/>
      <c r="L111" s="612" t="n"/>
      <c r="M111" s="612" t="n"/>
      <c r="N111" s="612" t="n"/>
      <c r="O111" s="612" t="n"/>
      <c r="P111" s="612" t="n"/>
      <c r="Q111" s="615" t="n"/>
      <c r="R111" s="615" t="n"/>
      <c r="S111" s="612" t="n"/>
      <c r="T111" s="612" t="n"/>
      <c r="U111" s="612" t="n"/>
    </row>
    <row r="112" hidden="1" outlineLevel="1">
      <c r="A112" s="612" t="n"/>
      <c r="B112" s="1171" t="inlineStr">
        <is>
          <t>Adjusted Base Building Cost — Building 2</t>
        </is>
      </c>
      <c r="C112" s="615" t="n"/>
      <c r="D112" s="615" t="n"/>
      <c r="E112" s="615" t="n"/>
      <c r="F112" s="615" t="n"/>
      <c r="G112" s="908">
        <f>F111*F106</f>
        <v/>
      </c>
      <c r="H112" s="612" t="n"/>
      <c r="I112" s="612" t="n"/>
      <c r="J112" s="612" t="n"/>
      <c r="K112" s="612" t="n"/>
      <c r="L112" s="612" t="n"/>
      <c r="M112" s="612" t="n"/>
      <c r="N112" s="612" t="n"/>
      <c r="O112" s="612" t="n"/>
      <c r="P112" s="612" t="n"/>
      <c r="Q112" s="612" t="n"/>
      <c r="R112" s="612" t="n"/>
      <c r="S112" s="612" t="n"/>
      <c r="T112" s="612" t="n"/>
      <c r="U112" s="612" t="n"/>
    </row>
    <row r="113" hidden="1" outlineLevel="1">
      <c r="A113" s="612" t="n"/>
      <c r="B113" s="1166" t="inlineStr">
        <is>
          <t>Plus Indirect Costs &amp; Entrepreneurial Profit (property-level %s, rows 48/50 above)</t>
        </is>
      </c>
      <c r="C113" s="1114" t="n"/>
      <c r="D113" s="615" t="n"/>
      <c r="E113" s="615" t="n"/>
      <c r="F113" s="615" t="n"/>
      <c r="G113" s="907">
        <f>G112*((1+$C$48)*(1+$C$50)-1)</f>
        <v/>
      </c>
      <c r="H113" s="612" t="n"/>
      <c r="I113" s="1165" t="inlineStr">
        <is>
          <t>Applies the same Other Indirect Costs % (C48) and Entrepreneurial Profit % (C50) entered in the Building 1 summary.</t>
        </is>
      </c>
      <c r="J113" s="612" t="n"/>
      <c r="K113" s="612" t="n"/>
      <c r="L113" s="612" t="n"/>
      <c r="M113" s="612" t="n"/>
      <c r="N113" s="612" t="n"/>
      <c r="O113" s="612" t="n"/>
      <c r="P113" s="612" t="n"/>
      <c r="Q113" s="612" t="n"/>
      <c r="R113" s="612" t="n"/>
      <c r="S113" s="612" t="n"/>
      <c r="T113" s="612" t="n"/>
      <c r="U113" s="612" t="n"/>
    </row>
    <row r="114" hidden="1" outlineLevel="1">
      <c r="A114" s="612" t="n"/>
      <c r="B114" s="1176" t="inlineStr">
        <is>
          <t>Total Replacement Cost New (RCN) — Building 2</t>
        </is>
      </c>
      <c r="C114" s="615" t="n"/>
      <c r="D114" s="615" t="n"/>
      <c r="E114" s="615" t="n"/>
      <c r="F114" s="615" t="n"/>
      <c r="G114" s="914">
        <f>G112*(1+$C$48)*(1+$C$50)</f>
        <v/>
      </c>
      <c r="H114" s="612" t="n"/>
      <c r="I114" s="612" t="n"/>
      <c r="J114" s="612" t="n"/>
      <c r="K114" s="612" t="n"/>
      <c r="L114" s="612" t="n"/>
      <c r="M114" s="612" t="n"/>
      <c r="N114" s="612" t="n"/>
      <c r="O114" s="612" t="n"/>
      <c r="P114" s="612" t="n"/>
      <c r="Q114" s="612" t="n"/>
      <c r="R114" s="612" t="n"/>
      <c r="S114" s="612" t="n"/>
      <c r="T114" s="612" t="n"/>
      <c r="U114" s="612" t="n"/>
    </row>
    <row r="115" hidden="1" outlineLevel="1">
      <c r="A115" s="612" t="n"/>
      <c r="B115" s="1177" t="inlineStr">
        <is>
          <t>per square foot of gross building area</t>
        </is>
      </c>
      <c r="C115" s="648" t="n"/>
      <c r="D115" s="615" t="n"/>
      <c r="E115" s="615" t="n"/>
      <c r="F115" s="615" t="n"/>
      <c r="G115" s="915">
        <f>IFERROR(G114/C103,"")</f>
        <v/>
      </c>
      <c r="H115" s="612" t="n"/>
      <c r="I115" s="612" t="n"/>
      <c r="J115" s="612" t="n"/>
      <c r="K115" s="612" t="n"/>
      <c r="L115" s="612" t="n"/>
      <c r="M115" s="612" t="n"/>
      <c r="N115" s="612" t="n"/>
      <c r="O115" s="612" t="n"/>
      <c r="P115" s="612" t="n"/>
      <c r="Q115" s="612" t="n"/>
      <c r="R115" s="612" t="n"/>
      <c r="S115" s="612" t="n"/>
      <c r="T115" s="612" t="n"/>
      <c r="U115" s="612" t="n"/>
    </row>
    <row r="116" hidden="1" outlineLevel="1">
      <c r="A116" s="612" t="n"/>
      <c r="B116" s="1221" t="inlineStr">
        <is>
          <t>Less Accrued Depreciation — Building 2</t>
        </is>
      </c>
      <c r="C116" s="1218" t="n"/>
      <c r="D116" s="1218" t="n"/>
      <c r="E116" s="1218" t="n"/>
      <c r="F116" s="1218" t="n"/>
      <c r="G116" s="1218" t="n"/>
      <c r="H116" s="612" t="n"/>
      <c r="I116" s="612" t="n"/>
      <c r="J116" s="612" t="n"/>
      <c r="K116" s="612" t="n"/>
      <c r="L116" s="612" t="n"/>
      <c r="M116" s="612" t="n"/>
      <c r="N116" s="612" t="n"/>
      <c r="O116" s="612" t="n"/>
      <c r="P116" s="612" t="n"/>
      <c r="Q116" s="612" t="n"/>
      <c r="R116" s="612" t="n"/>
      <c r="S116" s="612" t="n"/>
      <c r="T116" s="612" t="n"/>
      <c r="U116" s="612" t="n"/>
    </row>
    <row r="117" hidden="1" outlineLevel="1">
      <c r="A117" s="612" t="n"/>
      <c r="B117" s="1164" t="inlineStr">
        <is>
          <t>Curable (Deferred Maintenance)</t>
        </is>
      </c>
      <c r="C117" s="650" t="n"/>
      <c r="D117" s="613" t="n"/>
      <c r="E117" s="619" t="n"/>
      <c r="F117" s="1115" t="n">
        <v>0</v>
      </c>
      <c r="G117" s="615" t="n"/>
      <c r="H117" s="612" t="n"/>
      <c r="I117" s="1165" t="inlineStr">
        <is>
          <t>Dollar cost to cure deferred items (roof, HVAC, etc). 0 = none.</t>
        </is>
      </c>
      <c r="J117" s="612" t="n"/>
      <c r="K117" s="612" t="n"/>
      <c r="L117" s="612" t="n"/>
      <c r="M117" s="612" t="n"/>
      <c r="N117" s="612" t="n"/>
      <c r="O117" s="612" t="n"/>
      <c r="P117" s="612" t="n"/>
      <c r="Q117" s="612" t="n"/>
      <c r="R117" s="612" t="n"/>
      <c r="S117" s="612" t="n"/>
      <c r="T117" s="612" t="n"/>
      <c r="U117" s="612" t="n"/>
    </row>
    <row r="118" hidden="1" outlineLevel="1">
      <c r="A118" s="612" t="n"/>
      <c r="B118" s="1164" t="inlineStr">
        <is>
          <t>Effective Age (Years)</t>
        </is>
      </c>
      <c r="C118" s="1101">
        <f>IF(Bldg2_YOC="",0,Year-Bldg2_YOC)</f>
        <v/>
      </c>
      <c r="D118" s="612" t="n"/>
      <c r="E118" s="612" t="n"/>
      <c r="F118" s="612" t="n"/>
      <c r="G118" s="612" t="n"/>
      <c r="H118" s="612" t="n"/>
      <c r="I118" s="1165" t="inlineStr">
        <is>
          <t>Auto from Building 2 Year Built on the Subject Property tab; type over it to use a judgment effective age per MVS Sec.97.</t>
        </is>
      </c>
      <c r="J118" s="612" t="n"/>
      <c r="K118" s="612" t="n"/>
      <c r="L118" s="612" t="n"/>
      <c r="M118" s="612" t="n"/>
      <c r="N118" s="612" t="n"/>
      <c r="O118" s="612" t="n"/>
      <c r="P118" s="612" t="n"/>
      <c r="Q118" s="615" t="n"/>
      <c r="R118" s="615" t="n"/>
      <c r="S118" s="612" t="n"/>
      <c r="T118" s="612" t="n"/>
      <c r="U118" s="612" t="n"/>
    </row>
    <row r="119" hidden="1" outlineLevel="1">
      <c r="A119" s="612" t="n"/>
      <c r="B119" s="1164" t="inlineStr">
        <is>
          <t>Typical Life Expectancy (MVS Sec.97, auto)</t>
        </is>
      </c>
      <c r="C119" s="1111">
        <f>IF($C$129&gt;0,$C$129,IFERROR(INDEX(LIFE_VALUES,MATCH($C$92&amp;"|"&amp;$C$95,LIFE_KEY,0),MATCH("Class "&amp;IF($C$94="CMILL","C",IF(OR($C$94="DPOLE",$C$94="DMASVEN",$C$94="CDS"),"D",IF($C$94="A-B","B",IF($C$94="SSLANT","S",$C$94)))),LIFE_CLASSHDR,0)),0))</f>
        <v/>
      </c>
      <c r="D119" s="612" t="n"/>
      <c r="E119" s="612" t="n"/>
      <c r="F119" s="612" t="n"/>
      <c r="G119" s="612" t="n"/>
      <c r="H119" s="612" t="n"/>
      <c r="I119" s="1165" t="inlineStr">
        <is>
          <t>MVS Sec.97, by occupancy/quality/class. Override in C129 if needed.</t>
        </is>
      </c>
      <c r="J119" s="612" t="n"/>
      <c r="K119" s="612" t="n"/>
      <c r="L119" s="612" t="n"/>
      <c r="M119" s="612" t="n"/>
      <c r="N119" s="612" t="n"/>
      <c r="O119" s="612" t="n"/>
      <c r="P119" s="612" t="n"/>
      <c r="Q119" s="615" t="n"/>
      <c r="R119" s="615" t="n"/>
      <c r="S119" s="612" t="n"/>
      <c r="T119" s="612" t="n"/>
      <c r="U119" s="612" t="n"/>
    </row>
    <row r="120" hidden="1" outlineLevel="1">
      <c r="A120" s="612" t="n"/>
      <c r="B120" s="1164" t="inlineStr">
        <is>
          <t>Total Incurable Physical Depreciation (MVS Sec.97 percent-good curve)</t>
        </is>
      </c>
      <c r="C120" s="1116">
        <f>IF($C$119=0,0,IFERROR(IF(IFERROR(INDEX(OCC_DEPR,MATCH($C$92,OCC_NAME,0)),"C")="R",INDEX(DEPRR_VALUES,MATCH($C$118,DEPRR_AGE,1),MATCH($C$119,DEPRR_LIFEHDR,0)),INDEX(DEPR_VALUES,MATCH($C$118,DEPR_AGE,1),MATCH($C$119,DEPR_LIFEHDR,0)))/100,"n/a -- age exceeds tabulated range; treat as fully depreciated per Sec.97 salvage guidance"))</f>
        <v/>
      </c>
      <c r="D120" s="612" t="n"/>
      <c r="E120" s="612" t="n"/>
      <c r="F120" s="918">
        <f>G114*C120</f>
        <v/>
      </c>
      <c r="G120" s="612" t="n"/>
      <c r="H120" s="612" t="n"/>
      <c r="I120" s="1165" t="inlineStr">
        <is>
          <t>MVS Sec.97 percent-good: Commercial (p.24) or Residential (p.25) table auto-selected per MVS's Properties Included key (Reference 4 on M&amp;S Inputs).</t>
        </is>
      </c>
      <c r="J120" s="612" t="n"/>
      <c r="K120" s="612" t="n"/>
      <c r="L120" s="612" t="n"/>
      <c r="M120" s="612" t="n"/>
      <c r="N120" s="612" t="n"/>
      <c r="O120" s="612" t="n"/>
      <c r="P120" s="612" t="n"/>
      <c r="Q120" s="615" t="n"/>
      <c r="R120" s="615" t="n"/>
      <c r="S120" s="612" t="n"/>
      <c r="T120" s="612" t="n"/>
      <c r="U120" s="612" t="n"/>
    </row>
    <row r="121" hidden="1" outlineLevel="1">
      <c r="A121" s="612" t="n"/>
      <c r="B121" s="1164" t="inlineStr">
        <is>
          <t>Functional Obsolescence</t>
        </is>
      </c>
      <c r="C121" s="1117" t="n">
        <v>0</v>
      </c>
      <c r="D121" s="612" t="n"/>
      <c r="E121" s="612" t="n"/>
      <c r="F121" s="918">
        <f>C121*G114</f>
        <v/>
      </c>
      <c r="G121" s="612" t="n"/>
      <c r="H121" s="612" t="n"/>
      <c r="I121" s="1165" t="inlineStr">
        <is>
          <t>Loss from design deficiencies (excess bays, substandard ceiling height, etc). 0 = none.</t>
        </is>
      </c>
      <c r="J121" s="612" t="n"/>
      <c r="K121" s="612" t="n"/>
      <c r="L121" s="612" t="n"/>
      <c r="M121" s="612" t="n"/>
      <c r="N121" s="612" t="n"/>
      <c r="O121" s="612" t="n"/>
      <c r="P121" s="612" t="n"/>
      <c r="Q121" s="615" t="n"/>
      <c r="R121" s="615" t="n"/>
      <c r="S121" s="612" t="n"/>
      <c r="T121" s="612" t="n"/>
      <c r="U121" s="612" t="n"/>
    </row>
    <row r="122" hidden="1" outlineLevel="1" ht="24" customHeight="1">
      <c r="A122" s="612" t="n"/>
      <c r="B122" s="1164" t="inlineStr">
        <is>
          <t>External Obsolescence</t>
        </is>
      </c>
      <c r="C122" s="1117" t="n">
        <v>0</v>
      </c>
      <c r="D122" s="612" t="n"/>
      <c r="E122" s="612" t="n"/>
      <c r="F122" s="918">
        <f>C122*G114</f>
        <v/>
      </c>
      <c r="G122" s="612" t="n"/>
      <c r="H122" s="612" t="n"/>
      <c r="I122" s="1165" t="inlineStr">
        <is>
          <t>Loss from external/locational/market factors. 0 = none.</t>
        </is>
      </c>
      <c r="J122" s="612" t="n"/>
      <c r="K122" s="612" t="n"/>
      <c r="L122" s="612" t="n"/>
      <c r="M122" s="612" t="n"/>
      <c r="N122" s="612" t="n"/>
      <c r="O122" s="612" t="n"/>
      <c r="P122" s="612" t="n"/>
      <c r="Q122" s="612" t="n"/>
      <c r="R122" s="612" t="n"/>
      <c r="S122" s="612" t="n"/>
      <c r="T122" s="612" t="n"/>
      <c r="U122" s="612" t="n"/>
    </row>
    <row r="123" hidden="1" outlineLevel="1">
      <c r="A123" s="612" t="n"/>
      <c r="B123" s="1175" t="inlineStr">
        <is>
          <t>Total</t>
        </is>
      </c>
      <c r="C123" s="920">
        <f>IFERROR(G123/G114,"")</f>
        <v/>
      </c>
      <c r="D123" s="612" t="n"/>
      <c r="E123" s="612" t="n"/>
      <c r="F123" s="612" t="n"/>
      <c r="G123" s="921">
        <f>SUM(F117:F122)</f>
        <v/>
      </c>
      <c r="H123" s="612" t="n"/>
      <c r="I123" s="612" t="n"/>
      <c r="J123" s="612" t="n"/>
      <c r="K123" s="612" t="n"/>
      <c r="L123" s="612" t="n"/>
      <c r="M123" s="612" t="n"/>
      <c r="N123" s="612" t="n"/>
      <c r="O123" s="612" t="n"/>
      <c r="P123" s="612" t="n"/>
      <c r="Q123" s="612" t="n"/>
      <c r="R123" s="612" t="n"/>
      <c r="S123" s="612" t="n"/>
      <c r="T123" s="612" t="n"/>
      <c r="U123" s="612" t="n"/>
    </row>
    <row r="124" hidden="1" outlineLevel="1">
      <c r="A124" s="612" t="n"/>
      <c r="B124" s="1179" t="inlineStr">
        <is>
          <t>Depreciated Value of Building 2</t>
        </is>
      </c>
      <c r="C124" s="612" t="n"/>
      <c r="D124" s="612" t="n"/>
      <c r="E124" s="612" t="n"/>
      <c r="F124" s="612" t="n"/>
      <c r="G124" s="922">
        <f>IF(N(NumBldgs)&lt;2,0,G114-G123)</f>
        <v/>
      </c>
      <c r="H124" s="612" t="n"/>
      <c r="I124" s="612" t="inlineStr">
        <is>
          <t>Added into the Indicated Value in the main summary (row 66). Forced to $0 while Number of Buildings &lt; 2.</t>
        </is>
      </c>
      <c r="J124" s="612" t="n"/>
      <c r="K124" s="612" t="n"/>
      <c r="L124" s="612" t="n"/>
      <c r="M124" s="612" t="n"/>
      <c r="N124" s="612" t="n"/>
      <c r="O124" s="612" t="n"/>
      <c r="P124" s="612" t="n"/>
      <c r="Q124" s="612" t="n"/>
      <c r="R124" s="612" t="n"/>
      <c r="S124" s="612" t="n"/>
      <c r="T124" s="612" t="n"/>
      <c r="U124" s="612" t="n"/>
    </row>
    <row r="125" hidden="1" outlineLevel="1">
      <c r="A125" s="612" t="n"/>
      <c r="B125" s="1164" t="inlineStr">
        <is>
          <t>per square foot of gross building area</t>
        </is>
      </c>
      <c r="C125" s="612" t="n"/>
      <c r="D125" s="612" t="n"/>
      <c r="E125" s="612" t="n"/>
      <c r="F125" s="612" t="n"/>
      <c r="G125" s="915">
        <f>IFERROR(G124/C103,"")</f>
        <v/>
      </c>
      <c r="H125" s="612" t="n"/>
      <c r="I125" s="612" t="n"/>
      <c r="J125" s="612" t="n"/>
      <c r="K125" s="612" t="n"/>
      <c r="L125" s="612" t="n"/>
      <c r="M125" s="612" t="n"/>
      <c r="N125" s="612" t="n"/>
      <c r="O125" s="612" t="n"/>
      <c r="P125" s="612" t="n"/>
      <c r="Q125" s="612" t="n"/>
      <c r="R125" s="612" t="n"/>
      <c r="S125" s="612" t="n"/>
      <c r="T125" s="612" t="n"/>
      <c r="U125" s="612" t="n"/>
    </row>
    <row r="126" hidden="1" outlineLevel="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outlineLevel="1">
      <c r="A127" s="612" t="n"/>
      <c r="B127" s="1242" t="inlineStr">
        <is>
          <t>MANUAL MVS OVERRIDE — BUILDING 2 (only if this occupancy isn't in the dropdown)</t>
        </is>
      </c>
      <c r="C127" s="1243" t="n"/>
      <c r="D127" s="1243" t="n"/>
      <c r="E127" s="1243" t="n"/>
      <c r="F127" s="1243" t="n"/>
      <c r="G127" s="1243" t="n"/>
      <c r="H127" s="1244" t="n"/>
      <c r="I127" s="1244" t="n"/>
      <c r="J127" s="612" t="n"/>
      <c r="K127" s="612" t="n"/>
      <c r="L127" s="612" t="n"/>
      <c r="M127" s="612" t="n"/>
      <c r="N127" s="612" t="n"/>
      <c r="O127" s="612" t="n"/>
      <c r="P127" s="612" t="n"/>
      <c r="Q127" s="612" t="n"/>
      <c r="R127" s="612" t="n"/>
      <c r="S127" s="612" t="n"/>
      <c r="T127" s="612" t="n"/>
      <c r="U127" s="612" t="n"/>
    </row>
    <row r="128" hidden="1" outlineLevel="1">
      <c r="A128" s="612" t="n"/>
      <c r="B128" s="623" t="inlineStr">
        <is>
          <t>Manual Base Cost ($/SF)</t>
        </is>
      </c>
      <c r="C128" s="1246" t="n">
        <v>0</v>
      </c>
      <c r="D128" s="615" t="n"/>
      <c r="E128" s="615" t="n"/>
      <c r="F128" s="615" t="n"/>
      <c r="G128" s="615" t="n"/>
      <c r="H128" s="612" t="n"/>
      <c r="I128" s="612" t="n"/>
      <c r="J128" s="612" t="n"/>
      <c r="K128" s="612" t="n"/>
      <c r="L128" s="612" t="n"/>
      <c r="M128" s="612" t="n"/>
      <c r="N128" s="612" t="n"/>
      <c r="O128" s="612" t="n"/>
      <c r="P128" s="612" t="n"/>
      <c r="Q128" s="612" t="n"/>
      <c r="R128" s="612" t="n"/>
      <c r="S128" s="612" t="n"/>
      <c r="T128" s="612" t="n"/>
      <c r="U128" s="612" t="n"/>
    </row>
    <row r="129" hidden="1" outlineLevel="1">
      <c r="A129" s="612" t="n"/>
      <c r="B129" s="623" t="inlineStr">
        <is>
          <t>Manual Life Expectancy (Years)</t>
        </is>
      </c>
      <c r="C129" s="1247" t="n">
        <v>0</v>
      </c>
      <c r="D129" s="615" t="n"/>
      <c r="E129" s="615" t="n"/>
      <c r="F129" s="615" t="n"/>
      <c r="G129" s="615" t="n"/>
      <c r="H129" s="612" t="n"/>
      <c r="I129" s="612" t="n"/>
      <c r="J129" s="612" t="n"/>
      <c r="K129" s="612" t="n"/>
      <c r="L129" s="612" t="n"/>
      <c r="M129" s="612" t="n"/>
      <c r="N129" s="612" t="n"/>
      <c r="O129" s="612" t="n"/>
      <c r="P129" s="612" t="n"/>
      <c r="Q129" s="612" t="n"/>
      <c r="R129" s="612" t="n"/>
      <c r="S129" s="612" t="n"/>
      <c r="T129" s="612" t="n"/>
      <c r="U129" s="612" t="n"/>
    </row>
    <row r="130" hidden="1" outlineLevel="1">
      <c r="A130" s="612" t="n"/>
      <c r="B130" s="621" t="inlineStr">
        <is>
          <t>Manual MVS Section (drives cost multiplier / story-height / sprinkler tables)</t>
        </is>
      </c>
      <c r="C130" s="1248" t="n"/>
      <c r="D130" s="1249">
        <f>IF($C$130="","",IF($C$130="11","Apartments/Hotels/Clubs",IF($C$130="12","Residences/Multiples/Motels",IF($C$130="13","Retail/Stores/Shopping Centers",IF($C$130="14","Industrial/Warehouse",IF($C$130="15","Office/Medical/Public",IF($C$130="16","Churches/Theaters/Auditoriums",IF($C$130="17","Sheds/Farm",IF($C$130="18","Schools",)))))))))</f>
        <v/>
      </c>
      <c r="E130" s="615" t="n"/>
      <c r="F130" s="615" t="n"/>
      <c r="G130" s="615" t="n"/>
      <c r="H130" s="612" t="n"/>
      <c r="I130" s="612" t="n"/>
      <c r="J130" s="612" t="n"/>
      <c r="K130" s="612" t="n"/>
      <c r="L130" s="612" t="n"/>
      <c r="M130" s="612" t="n"/>
      <c r="N130" s="612" t="n"/>
      <c r="O130" s="612" t="n"/>
      <c r="P130" s="612" t="n"/>
      <c r="Q130" s="612" t="n"/>
      <c r="R130" s="612" t="n"/>
      <c r="S130" s="612" t="n"/>
      <c r="T130" s="612" t="n"/>
      <c r="U130" s="612" t="n"/>
    </row>
    <row r="131" collapsed="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outlineLevel="1">
      <c r="A135" s="612" t="n"/>
      <c r="B135" s="1213" t="inlineStr">
        <is>
          <t>BUILDING 3 — MVS CALCULATOR (used only when Number of Buildings ≥ 3)</t>
        </is>
      </c>
      <c r="C135" s="1214" t="n"/>
      <c r="D135" s="1214" t="n"/>
      <c r="E135" s="1214" t="n"/>
      <c r="F135" s="1214" t="n"/>
      <c r="G135" s="1214" t="n"/>
      <c r="H135" s="612" t="n"/>
      <c r="I135" s="612" t="n"/>
      <c r="J135" s="612" t="n"/>
      <c r="K135" s="612" t="n"/>
      <c r="L135" s="612" t="n"/>
      <c r="M135" s="612" t="n"/>
      <c r="N135" s="612" t="n"/>
      <c r="O135" s="612" t="n"/>
      <c r="P135" s="612" t="n"/>
      <c r="Q135" s="612" t="n"/>
      <c r="R135" s="612" t="n"/>
      <c r="S135" s="612" t="n"/>
      <c r="T135" s="612" t="n"/>
      <c r="U135" s="612" t="n"/>
    </row>
    <row r="136" hidden="1" outlineLevel="1">
      <c r="B136" s="1522">
        <f>IF(N(NumBldgs)&lt;3,"Not used -- Subject Property lists "&amp;MAX(1,N(NumBldgs))&amp;" building(s), so this section contributes $0.",IF(Bldg3_SF="","⚠ Enter Building 3 SF in the Building Detail table on the Subject Property tab.",IF(OR($D$148=0,$C$164=0),"⚠ INCOMPLETE -- Base Cost and/or Life Expectancy could not be determined. Check the OCC/Class/Quality above or use the Manual Overrides at the bottom of this section.","✓ Included -- depreciated value of $"&amp;TEXT($G$169,"#,##0")&amp;" is added into the Indicated Value in the summary above (row 66).")))</f>
        <v/>
      </c>
    </row>
    <row r="137" hidden="1" outlineLevel="1">
      <c r="B137" s="1164" t="inlineStr">
        <is>
          <t>Occupancy Type</t>
        </is>
      </c>
      <c r="C137" s="1097">
        <f>IF(Bldg3_Occ="","",IFERROR(INDEX(OCCMAP_NAME,MATCH(Bldg3_Occ,OCCMAP_CODE,0)),"No MVS cost table for OCC "&amp;Bldg3_Occ&amp;" -- select manually from the dropdown"))</f>
        <v/>
      </c>
      <c r="D137" s="619" t="n"/>
      <c r="E137" s="619" t="n"/>
      <c r="F137" s="619" t="n"/>
      <c r="G137" s="619" t="n"/>
      <c r="H137" s="612" t="n"/>
      <c r="I137" s="1165" t="inlineStr">
        <is>
          <t>Auto-fed from Building 3 OCC code on the Subject Property tab; override via the dropdown.</t>
        </is>
      </c>
    </row>
    <row r="138" hidden="1" outlineLevel="1">
      <c r="B138" s="1166" t="inlineStr">
        <is>
          <t>Occupancy Code / Section / Page (auto)</t>
        </is>
      </c>
      <c r="C138" s="1098">
        <f>IFERROR(INDEX(OCC_CODE,MATCH($C$137,OCC_NAME,0))&amp;"  |  MVS Sec. "&amp;INDEX(OCC_SECTION,MATCH($C$137,OCC_NAME,0))&amp;" p."&amp;INDEX(OCC_PAGE,MATCH($C$137,OCC_NAME,0)),"")</f>
        <v/>
      </c>
      <c r="D138" s="615" t="n"/>
      <c r="E138" s="615" t="n"/>
      <c r="F138" s="615" t="n"/>
      <c r="G138" s="615" t="n"/>
      <c r="H138" s="612" t="n"/>
      <c r="I138" s="612" t="n"/>
    </row>
    <row r="139" hidden="1" outlineLevel="1">
      <c r="B139" s="1167" t="inlineStr">
        <is>
          <t>Building Class</t>
        </is>
      </c>
      <c r="C139" s="1099" t="inlineStr">
        <is>
          <t>C</t>
        </is>
      </c>
      <c r="D139" s="615" t="n"/>
      <c r="E139" s="615" t="n"/>
      <c r="F139" s="615" t="n"/>
      <c r="G139" s="615" t="n"/>
      <c r="H139" s="612" t="n"/>
      <c r="I139"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row>
    <row r="140" hidden="1" outlineLevel="1">
      <c r="B140" s="1167" t="inlineStr">
        <is>
          <t>Quality</t>
        </is>
      </c>
      <c r="C140" s="1100">
        <f>IF(Bldg3_Qual="","",Bldg3_Qual)</f>
        <v/>
      </c>
      <c r="D140" s="615" t="n"/>
      <c r="E140" s="615" t="n"/>
      <c r="F140" s="615" t="n"/>
      <c r="G140" s="615" t="n"/>
      <c r="H140" s="612" t="n"/>
      <c r="I140" s="1165" t="inlineStr">
        <is>
          <t>Auto-fed from Building 3 Quality on the Subject Property tab; pick a tier that exists for the chosen occupancy/class.</t>
        </is>
      </c>
    </row>
    <row r="141" hidden="1" outlineLevel="1">
      <c r="B141" s="1239" t="inlineStr">
        <is>
          <t>Resolved MVS Section (auto or manual override)</t>
        </is>
      </c>
      <c r="C141" s="1240">
        <f>IF($C$175&lt;&gt;"",$C$175,IFERROR(INDEX(OCC_SECTION,MATCH($C$137,OCC_NAME,0)),""))</f>
        <v/>
      </c>
      <c r="D141" s="615" t="n"/>
      <c r="E141" s="615" t="n"/>
      <c r="F141" s="615" t="n"/>
      <c r="G141" s="615" t="n"/>
      <c r="H141" s="612" t="n"/>
      <c r="I141" s="612" t="n"/>
    </row>
    <row r="142" hidden="1" outlineLevel="1">
      <c r="B142" s="1167" t="inlineStr">
        <is>
          <t>Avg Eave / Wall Height (ft)</t>
        </is>
      </c>
      <c r="C142" s="1101" t="n">
        <v>18</v>
      </c>
      <c r="D142" s="615" t="n"/>
      <c r="E142" s="615" t="n"/>
      <c r="F142" s="615" t="n"/>
      <c r="G142" s="615" t="n"/>
      <c r="H142" s="612" t="n"/>
      <c r="I142" s="612" t="n"/>
    </row>
    <row r="143" hidden="1" outlineLevel="1">
      <c r="B143" s="1167" t="inlineStr">
        <is>
          <t>Area/Perimeter Multiplier Factor 1</t>
        </is>
      </c>
      <c r="C143" s="1102" t="n">
        <v>1</v>
      </c>
      <c r="D143" s="615" t="n"/>
      <c r="E143" s="615" t="n"/>
      <c r="F143" s="615" t="n"/>
      <c r="G143" s="615" t="n"/>
      <c r="H143" s="612" t="n"/>
      <c r="I143" s="1165" t="inlineStr">
        <is>
          <t>Look up your building's SF vs. average perimeter in the MVS Floor Area-Perimeter grid for this occupancy's section; enter the two bracketing values here to average.</t>
        </is>
      </c>
    </row>
    <row r="144" hidden="1" outlineLevel="1">
      <c r="B144" s="1167" t="inlineStr">
        <is>
          <t>Area/Perimeter Multiplier Factor 2</t>
        </is>
      </c>
      <c r="C144" s="1103" t="n">
        <v>1</v>
      </c>
      <c r="D144" s="615" t="n"/>
      <c r="E144" s="615" t="n"/>
      <c r="F144" s="615" t="n"/>
      <c r="G144" s="615" t="n"/>
      <c r="H144" s="612" t="n"/>
      <c r="I144" s="612" t="n"/>
    </row>
    <row r="145" hidden="1" outlineLevel="1">
      <c r="B145" s="1166" t="inlineStr">
        <is>
          <t>Sprinkler Quality Tier</t>
        </is>
      </c>
      <c r="C145" s="1104" t="inlineStr">
        <is>
          <t>Average</t>
        </is>
      </c>
      <c r="D145" s="615" t="n"/>
      <c r="E145" s="615" t="n"/>
      <c r="F145" s="615" t="n"/>
      <c r="G145" s="615" t="n"/>
      <c r="H145" s="612" t="n"/>
      <c r="I145" s="1165" t="inlineStr">
        <is>
          <t>Independent of building quality -- set to match the actual sprinkler system grade. Wet-system cost auto-looked-up for Sections 11-16 &amp; 18; Section 17 (sheds/farm) has no MVS sprinkler table -- 0 is used.</t>
        </is>
      </c>
    </row>
    <row r="146" hidden="1" outlineLevel="1">
      <c r="B146" s="1523" t="n"/>
      <c r="C146" s="1524" t="n"/>
      <c r="D146" s="1524" t="n"/>
      <c r="E146" s="1524" t="n"/>
      <c r="F146" s="1525" t="n"/>
      <c r="G146" s="1525" t="n"/>
      <c r="H146" s="1526" t="n"/>
      <c r="I146" s="1526" t="n"/>
    </row>
    <row r="147" hidden="1" outlineLevel="1">
      <c r="B147" s="1170" t="inlineStr">
        <is>
          <t>Replacement Cost New (RCN) — Building 3</t>
        </is>
      </c>
      <c r="C147" s="1109" t="inlineStr">
        <is>
          <t>Area (SF)</t>
        </is>
      </c>
      <c r="D147" s="1110" t="inlineStr">
        <is>
          <t>$/SF</t>
        </is>
      </c>
      <c r="E147" s="615" t="n"/>
      <c r="F147" s="1110" t="inlineStr">
        <is>
          <t>Subtotal</t>
        </is>
      </c>
      <c r="G147" s="1110" t="inlineStr">
        <is>
          <t>Total Cost</t>
        </is>
      </c>
      <c r="H147" s="612" t="n"/>
      <c r="I147" s="612" t="n"/>
    </row>
    <row r="148" hidden="1" outlineLevel="1">
      <c r="B148" s="1167" t="inlineStr">
        <is>
          <t>Base Cost</t>
        </is>
      </c>
      <c r="C148" s="1111">
        <f>IF(Bldg3_SF="",0,Bldg3_SF)</f>
        <v/>
      </c>
      <c r="D148" s="906">
        <f>IF($C$173&gt;0,$C$173,IFERROR(INDEX(BC_VALUE,MATCH($C$137&amp;"|"&amp;$C$139&amp;"|"&amp;$C$140,BC_KEY,0)),0))</f>
        <v/>
      </c>
      <c r="E148" s="615" t="n"/>
      <c r="F148" s="907">
        <f>C148*D148</f>
        <v/>
      </c>
      <c r="G148" s="615" t="n"/>
      <c r="H148" s="612" t="n"/>
      <c r="I148" s="1165">
        <f>IFERROR("Verified MVS base cost -- "&amp;INDEX(BC_CITE,MATCH($C$137&amp;"|"&amp;$C$139&amp;"|"&amp;$C$140,BC_KEY,0)),"")&amp;" | Area auto-linked to Building 3 SF on the Subject Property tab."</f>
        <v/>
      </c>
    </row>
    <row r="149" hidden="1" outlineLevel="1">
      <c r="B149" s="1167" t="inlineStr">
        <is>
          <t>Sprinklers</t>
        </is>
      </c>
      <c r="C149" s="1111">
        <f>C148</f>
        <v/>
      </c>
      <c r="D149" s="906">
        <f>IFERROR(INDEX(INDIRECT("SPR"&amp;$C$141&amp;"_VALS"),MATCH($C$148,INDIRECT("SPR"&amp;$C$141&amp;"_SF"),1),MATCH($C$145,SPR_HDR,0)),0)</f>
        <v/>
      </c>
      <c r="E149" s="615" t="n"/>
      <c r="F149" s="907">
        <f>C149*D149</f>
        <v/>
      </c>
      <c r="G149" s="615" t="n"/>
      <c r="H149" s="612" t="n"/>
      <c r="I149" s="1165" t="inlineStr">
        <is>
          <t>Wet-system cost, by building SF (nearest coverage bracket &lt;= actual SF). Enter 0 manually below if unsprinklered.</t>
        </is>
      </c>
    </row>
    <row r="150" hidden="1" outlineLevel="1">
      <c r="B150" s="1167" t="inlineStr">
        <is>
          <t>Other (custom line item)</t>
        </is>
      </c>
      <c r="C150" s="1111" t="n"/>
      <c r="D150" s="906" t="n"/>
      <c r="E150" s="615" t="n"/>
      <c r="F150" s="907">
        <f>C150*D150</f>
        <v/>
      </c>
      <c r="G150" s="615" t="n"/>
      <c r="H150" s="612" t="n"/>
      <c r="I150" s="1165" t="n"/>
    </row>
    <row r="151" hidden="1" outlineLevel="1">
      <c r="B151" s="1172" t="inlineStr">
        <is>
          <t>Subtotal</t>
        </is>
      </c>
      <c r="C151" s="615" t="n"/>
      <c r="D151" s="615" t="n"/>
      <c r="E151" s="615" t="n"/>
      <c r="F151" s="908">
        <f>SUM(F148:F150)</f>
        <v/>
      </c>
      <c r="G151" s="615" t="n"/>
      <c r="H151" s="612" t="n"/>
      <c r="I151" s="612" t="n"/>
    </row>
    <row r="152" hidden="1" outlineLevel="1">
      <c r="B152" s="1166" t="inlineStr">
        <is>
          <t>Current Cost (de-trended to Appraisal Date)</t>
        </is>
      </c>
      <c r="C152" s="615" t="n"/>
      <c r="D152" s="909">
        <f>IFERROR(INDEX(CCM_VALUES,MATCH(IF($C$139="CMILL","C",IF($C$139="DPOLE","D",IF($C$139="A-B","B",$C$139))),CCM_CLASS,0),MATCH("Sec."&amp;IF($C$141&lt;&gt;"",$C$141,"14"),CCM_SECTIONHDR,0)),1)/IFERROR(INDEX(DEN_VALUES,MATCH($C$18,DEN_LABEL,0),MATCH("Class "&amp;IF($C$139="CMILL","C",IF($C$139="DPOLE","D",IF($C$139="A-B","B",$C$139))),DEN_CLASSHDR,0))+(INDEX(DEN_VALUES,MATCH($C$19,DEN_LABEL,0),MATCH("Class "&amp;IF($C$139="CMILL","C",IF($C$139="DPOLE","D",IF($C$139="A-B","B",$C$139))),DEN_CLASSHDR,0))-INDEX(DEN_VALUES,MATCH($C$18,DEN_LABEL,0),MATCH("Class "&amp;IF($C$139="CMILL","C",IF($C$139="DPOLE","D",IF($C$139="A-B","B",$C$139))),DEN_CLASSHDR,0)))*($C$17-DATEVALUE("1 "&amp;$C$18))/(DATEVALUE("1 "&amp;$C$19)-DATEVALUE("1 "&amp;$C$18)),1)</f>
        <v/>
      </c>
      <c r="E152" s="615" t="n"/>
      <c r="F152" s="615" t="n"/>
      <c r="G152" s="615" t="n"/>
      <c r="H152" s="612" t="n"/>
      <c r="I152" s="1165" t="inlineStr">
        <is>
          <t>Same MVS Sec.99/Sec.98 method as Building 1, using this building's class/section and the shared Step 3 dates above.</t>
        </is>
      </c>
    </row>
    <row r="153" hidden="1" outlineLevel="1">
      <c r="B153" s="1167" t="inlineStr">
        <is>
          <t>Local Area</t>
        </is>
      </c>
      <c r="C153" s="615" t="n"/>
      <c r="D153" s="909">
        <f>IFERROR(INDEX(LAM_VALUES,MATCH($C$8,LAM_CITY,0),MATCH("Class "&amp;IF($C$139="CMILL","C",IF($C$139="DPOLE","D",IF($C$139="A-B","B",$C$139))),LAM_CLASSHDR,0)),"")</f>
        <v/>
      </c>
      <c r="E153" s="615" t="n"/>
      <c r="F153" s="615" t="n"/>
      <c r="G153" s="615" t="n"/>
      <c r="H153" s="612" t="n"/>
      <c r="I153" s="1165" t="inlineStr">
        <is>
          <t>MVS Sec.99 p.7 Local Area Multiplier (shared City in Step 1 of Building 1).</t>
        </is>
      </c>
    </row>
    <row r="154" hidden="1" outlineLevel="1">
      <c r="B154" s="1164" t="inlineStr">
        <is>
          <t>Area/Perimeter Multiplier</t>
        </is>
      </c>
      <c r="C154" s="615" t="n"/>
      <c r="D154" s="909">
        <f>AVERAGE(C143:C144)</f>
        <v/>
      </c>
      <c r="E154" s="615" t="n"/>
      <c r="F154" s="615" t="n"/>
      <c r="G154" s="615" t="n"/>
      <c r="H154" s="612" t="n"/>
      <c r="I154" s="612" t="n"/>
    </row>
    <row r="155" hidden="1" outlineLevel="1">
      <c r="B155" s="1164" t="inlineStr">
        <is>
          <t>Story Height (Height entered above)</t>
        </is>
      </c>
      <c r="C155" s="615" t="n"/>
      <c r="D155" s="909">
        <f>IFERROR(INDEX(INDIRECT("SH"&amp;$C$141&amp;"_M"),MATCH($C$142,INDIRECT("SH"&amp;$C$141&amp;"_H"),1)),1)</f>
        <v/>
      </c>
      <c r="E155" s="615" t="n"/>
      <c r="F155" s="615" t="n"/>
      <c r="G155" s="615" t="n"/>
      <c r="H155" s="612" t="n"/>
      <c r="I155" s="612" t="inlineStr">
        <is>
          <t>Story-height multiplier auto-selected from the resolved MVS section (C9). Sections 12 &amp; 17 publish no table -- 1.000 used.</t>
        </is>
      </c>
    </row>
    <row r="156" hidden="1" outlineLevel="1">
      <c r="B156" s="1172" t="inlineStr">
        <is>
          <t>Product of Multipliers</t>
        </is>
      </c>
      <c r="C156" s="615" t="n"/>
      <c r="D156" s="615" t="n"/>
      <c r="E156" s="615" t="n"/>
      <c r="F156" s="910">
        <f>ROUND(PRODUCT(D152:D155),3)</f>
        <v/>
      </c>
      <c r="G156" s="615" t="n"/>
      <c r="H156" s="612" t="n"/>
      <c r="I156" s="612" t="n"/>
    </row>
    <row r="157" hidden="1" outlineLevel="1">
      <c r="B157" s="1171" t="inlineStr">
        <is>
          <t>Adjusted Base Building Cost — Building 3</t>
        </is>
      </c>
      <c r="C157" s="615" t="n"/>
      <c r="D157" s="615" t="n"/>
      <c r="E157" s="615" t="n"/>
      <c r="F157" s="615" t="n"/>
      <c r="G157" s="908">
        <f>F156*F151</f>
        <v/>
      </c>
      <c r="H157" s="612" t="n"/>
      <c r="I157" s="612" t="n"/>
    </row>
    <row r="158" hidden="1" outlineLevel="1">
      <c r="B158" s="1166" t="inlineStr">
        <is>
          <t>Plus Indirect Costs &amp; Entrepreneurial Profit (property-level %s, rows 48/50 above)</t>
        </is>
      </c>
      <c r="C158" s="1114" t="n"/>
      <c r="D158" s="615" t="n"/>
      <c r="E158" s="615" t="n"/>
      <c r="F158" s="615" t="n"/>
      <c r="G158" s="907">
        <f>G157*((1+$C$48)*(1+$C$50)-1)</f>
        <v/>
      </c>
      <c r="H158" s="612" t="n"/>
      <c r="I158" s="1165" t="inlineStr">
        <is>
          <t>Applies the same Other Indirect Costs % (C48) and Entrepreneurial Profit % (C50) entered in the Building 1 summary.</t>
        </is>
      </c>
    </row>
    <row r="159" hidden="1" outlineLevel="1">
      <c r="B159" s="1176" t="inlineStr">
        <is>
          <t>Total Replacement Cost New (RCN) — Building 3</t>
        </is>
      </c>
      <c r="C159" s="615" t="n"/>
      <c r="D159" s="615" t="n"/>
      <c r="E159" s="615" t="n"/>
      <c r="F159" s="615" t="n"/>
      <c r="G159" s="914">
        <f>G157*(1+$C$48)*(1+$C$50)</f>
        <v/>
      </c>
      <c r="H159" s="612" t="n"/>
      <c r="I159" s="612" t="n"/>
    </row>
    <row r="160" hidden="1" outlineLevel="1">
      <c r="B160" s="1177" t="inlineStr">
        <is>
          <t>per square foot of gross building area</t>
        </is>
      </c>
      <c r="C160" s="648" t="n"/>
      <c r="D160" s="615" t="n"/>
      <c r="E160" s="615" t="n"/>
      <c r="F160" s="615" t="n"/>
      <c r="G160" s="915">
        <f>IFERROR(G159/C148,"")</f>
        <v/>
      </c>
      <c r="H160" s="612" t="n"/>
      <c r="I160" s="612" t="n"/>
    </row>
    <row r="161" hidden="1" outlineLevel="1">
      <c r="B161" s="1221" t="inlineStr">
        <is>
          <t>Less Accrued Depreciation — Building 3</t>
        </is>
      </c>
      <c r="C161" s="1218" t="n"/>
      <c r="D161" s="1218" t="n"/>
      <c r="E161" s="1218" t="n"/>
      <c r="F161" s="1218" t="n"/>
      <c r="G161" s="1218" t="n"/>
      <c r="H161" s="612" t="n"/>
      <c r="I161" s="612" t="n"/>
    </row>
    <row r="162" hidden="1" outlineLevel="1">
      <c r="B162" s="1164" t="inlineStr">
        <is>
          <t>Curable (Deferred Maintenance)</t>
        </is>
      </c>
      <c r="C162" s="650" t="n"/>
      <c r="D162" s="613" t="n"/>
      <c r="E162" s="619" t="n"/>
      <c r="F162" s="1115" t="n">
        <v>0</v>
      </c>
      <c r="G162" s="615" t="n"/>
      <c r="H162" s="612" t="n"/>
      <c r="I162" s="1165" t="inlineStr">
        <is>
          <t>Dollar cost to cure deferred items (roof, HVAC, etc). 0 = none.</t>
        </is>
      </c>
    </row>
    <row r="163" hidden="1" outlineLevel="1">
      <c r="B163" s="1164" t="inlineStr">
        <is>
          <t>Effective Age (Years)</t>
        </is>
      </c>
      <c r="C163" s="1101">
        <f>IF(Bldg3_YOC="",0,Year-Bldg3_YOC)</f>
        <v/>
      </c>
      <c r="D163" s="612" t="n"/>
      <c r="E163" s="612" t="n"/>
      <c r="F163" s="612" t="n"/>
      <c r="G163" s="612" t="n"/>
      <c r="H163" s="612" t="n"/>
      <c r="I163" s="1165" t="inlineStr">
        <is>
          <t>Auto from Building 3 Year Built on the Subject Property tab; type over it to use a judgment effective age per MVS Sec.97.</t>
        </is>
      </c>
    </row>
    <row r="164" hidden="1" outlineLevel="1">
      <c r="B164" s="1164" t="inlineStr">
        <is>
          <t>Typical Life Expectancy (MVS Sec.97, auto)</t>
        </is>
      </c>
      <c r="C164" s="1111">
        <f>IF($C$174&gt;0,$C$174,IFERROR(INDEX(LIFE_VALUES,MATCH($C$137&amp;"|"&amp;$C$140,LIFE_KEY,0),MATCH("Class "&amp;IF($C$139="CMILL","C",IF(OR($C$139="DPOLE",$C$139="DMASVEN",$C$139="CDS"),"D",IF($C$139="A-B","B",IF($C$139="SSLANT","S",$C$139)))),LIFE_CLASSHDR,0)),0))</f>
        <v/>
      </c>
      <c r="D164" s="612" t="n"/>
      <c r="E164" s="612" t="n"/>
      <c r="F164" s="612" t="n"/>
      <c r="G164" s="612" t="n"/>
      <c r="H164" s="612" t="n"/>
      <c r="I164" s="1165" t="inlineStr">
        <is>
          <t>MVS Sec.97, by occupancy/quality/class. Override in C174 if needed.</t>
        </is>
      </c>
    </row>
    <row r="165" hidden="1" outlineLevel="1">
      <c r="B165" s="1164" t="inlineStr">
        <is>
          <t>Total Incurable Physical Depreciation (MVS Sec.97 percent-good curve)</t>
        </is>
      </c>
      <c r="C165" s="1116">
        <f>IF($C$164=0,0,IFERROR(IF(IFERROR(INDEX(OCC_DEPR,MATCH($C$137,OCC_NAME,0)),"C")="R",INDEX(DEPRR_VALUES,MATCH($C$163,DEPRR_AGE,1),MATCH($C$164,DEPRR_LIFEHDR,0)),INDEX(DEPR_VALUES,MATCH($C$163,DEPR_AGE,1),MATCH($C$164,DEPR_LIFEHDR,0)))/100,"n/a -- age exceeds tabulated range; treat as fully depreciated per Sec.97 salvage guidance"))</f>
        <v/>
      </c>
      <c r="D165" s="612" t="n"/>
      <c r="E165" s="612" t="n"/>
      <c r="F165" s="918">
        <f>G159*C165</f>
        <v/>
      </c>
      <c r="G165" s="612" t="n"/>
      <c r="H165" s="612" t="n"/>
      <c r="I165" s="1165" t="inlineStr">
        <is>
          <t>MVS Sec.97 percent-good: Commercial (p.24) or Residential (p.25) table auto-selected per MVS's Properties Included key (Reference 4 on M&amp;S Inputs).</t>
        </is>
      </c>
    </row>
    <row r="166" hidden="1" outlineLevel="1">
      <c r="B166" s="1164" t="inlineStr">
        <is>
          <t>Functional Obsolescence</t>
        </is>
      </c>
      <c r="C166" s="1117" t="n">
        <v>0</v>
      </c>
      <c r="D166" s="612" t="n"/>
      <c r="E166" s="612" t="n"/>
      <c r="F166" s="918">
        <f>C166*G159</f>
        <v/>
      </c>
      <c r="G166" s="612" t="n"/>
      <c r="H166" s="612" t="n"/>
      <c r="I166" s="1165" t="inlineStr">
        <is>
          <t>Loss from design deficiencies (excess bays, substandard ceiling height, etc). 0 = none.</t>
        </is>
      </c>
    </row>
    <row r="167" hidden="1" outlineLevel="1">
      <c r="B167" s="1164" t="inlineStr">
        <is>
          <t>External Obsolescence</t>
        </is>
      </c>
      <c r="C167" s="1117" t="n">
        <v>0</v>
      </c>
      <c r="D167" s="612" t="n"/>
      <c r="E167" s="612" t="n"/>
      <c r="F167" s="918">
        <f>C167*G159</f>
        <v/>
      </c>
      <c r="G167" s="612" t="n"/>
      <c r="H167" s="612" t="n"/>
      <c r="I167" s="1165" t="inlineStr">
        <is>
          <t>Loss from external/locational/market factors. 0 = none.</t>
        </is>
      </c>
    </row>
    <row r="168" hidden="1" outlineLevel="1">
      <c r="B168" s="1175" t="inlineStr">
        <is>
          <t>Total</t>
        </is>
      </c>
      <c r="C168" s="920">
        <f>IFERROR(G168/G159,"")</f>
        <v/>
      </c>
      <c r="D168" s="612" t="n"/>
      <c r="E168" s="612" t="n"/>
      <c r="F168" s="612" t="n"/>
      <c r="G168" s="921">
        <f>SUM(F162:F167)</f>
        <v/>
      </c>
      <c r="H168" s="612" t="n"/>
      <c r="I168" s="612" t="n"/>
    </row>
    <row r="169" hidden="1" outlineLevel="1">
      <c r="B169" s="1179" t="inlineStr">
        <is>
          <t>Depreciated Value of Building 3</t>
        </is>
      </c>
      <c r="C169" s="612" t="n"/>
      <c r="D169" s="612" t="n"/>
      <c r="E169" s="612" t="n"/>
      <c r="F169" s="612" t="n"/>
      <c r="G169" s="922">
        <f>IF(N(NumBldgs)&lt;3,0,G159-G168)</f>
        <v/>
      </c>
      <c r="H169" s="612" t="n"/>
      <c r="I169" s="612" t="inlineStr">
        <is>
          <t>Added into the Indicated Value in the main summary (row 66). Forced to $0 while Number of Buildings &lt; 3.</t>
        </is>
      </c>
    </row>
    <row r="170" hidden="1" outlineLevel="1">
      <c r="B170" s="1164" t="inlineStr">
        <is>
          <t>per square foot of gross building area</t>
        </is>
      </c>
      <c r="C170" s="612" t="n"/>
      <c r="D170" s="612" t="n"/>
      <c r="E170" s="612" t="n"/>
      <c r="F170" s="612" t="n"/>
      <c r="G170" s="915">
        <f>IFERROR(G169/C148,"")</f>
        <v/>
      </c>
      <c r="H170" s="612" t="n"/>
      <c r="I170" s="612" t="n"/>
    </row>
    <row r="171" hidden="1" outlineLevel="1"/>
    <row r="172" hidden="1" outlineLevel="1">
      <c r="B172" s="1242" t="inlineStr">
        <is>
          <t>MANUAL MVS OVERRIDE — BUILDING 3 (only if this occupancy isn't in the dropdown)</t>
        </is>
      </c>
      <c r="C172" s="1243" t="n"/>
      <c r="D172" s="1243" t="n"/>
      <c r="E172" s="1243" t="n"/>
      <c r="F172" s="1243" t="n"/>
      <c r="G172" s="1243" t="n"/>
      <c r="H172" s="1244" t="n"/>
      <c r="I172" s="1244" t="n"/>
    </row>
    <row r="173" hidden="1" outlineLevel="1">
      <c r="B173" s="623" t="inlineStr">
        <is>
          <t>Manual Base Cost ($/SF)</t>
        </is>
      </c>
      <c r="C173" s="1246" t="n">
        <v>0</v>
      </c>
      <c r="D173" s="615" t="n"/>
      <c r="E173" s="615" t="n"/>
      <c r="F173" s="615" t="n"/>
      <c r="G173" s="615" t="n"/>
      <c r="H173" s="612" t="n"/>
      <c r="I173" s="612" t="n"/>
    </row>
    <row r="174" hidden="1" outlineLevel="1">
      <c r="B174" s="623" t="inlineStr">
        <is>
          <t>Manual Life Expectancy (Years)</t>
        </is>
      </c>
      <c r="C174" s="1247" t="n">
        <v>0</v>
      </c>
      <c r="D174" s="615" t="n"/>
      <c r="E174" s="615" t="n"/>
      <c r="F174" s="615" t="n"/>
      <c r="G174" s="615" t="n"/>
      <c r="H174" s="612" t="n"/>
      <c r="I174" s="612" t="n"/>
    </row>
    <row r="175" hidden="1" outlineLevel="1">
      <c r="B175" s="621" t="inlineStr">
        <is>
          <t>Manual MVS Section (drives cost multiplier / story-height / sprinkler tables)</t>
        </is>
      </c>
      <c r="C175" s="1248" t="n"/>
      <c r="D175" s="1249">
        <f>IF($C$175="","",IF($C$175="11","Apartments/Hotels/Clubs",IF($C$175="12","Residences/Multiples/Motels",IF($C$175="13","Retail/Stores/Shopping Centers",IF($C$175="14","Industrial/Warehouse",IF($C$175="15","Office/Medical/Public",IF($C$175="16","Churches/Theaters/Auditoriums",IF($C$175="17","Sheds/Farm",IF($C$175="18","Schools",)))))))))</f>
        <v/>
      </c>
      <c r="E175" s="615" t="n"/>
      <c r="F175" s="615" t="n"/>
      <c r="G175" s="615" t="n"/>
      <c r="H175" s="612" t="n"/>
      <c r="I175" s="612" t="n"/>
    </row>
    <row r="176" collapsed="1"/>
    <row r="177"/>
    <row r="178"/>
    <row r="179"/>
    <row r="180" hidden="1" outlineLevel="1">
      <c r="B180" s="1213" t="inlineStr">
        <is>
          <t>BUILDING 4 — MVS CALCULATOR (used only when Number of Buildings ≥ 4)</t>
        </is>
      </c>
      <c r="C180" s="1214" t="n"/>
      <c r="D180" s="1214" t="n"/>
      <c r="E180" s="1214" t="n"/>
      <c r="F180" s="1214" t="n"/>
      <c r="G180" s="1214" t="n"/>
      <c r="H180" s="612" t="n"/>
      <c r="I180" s="612" t="n"/>
    </row>
    <row r="181" hidden="1" outlineLevel="1">
      <c r="B181" s="1522">
        <f>IF(N(NumBldgs)&lt;4,"Not used -- Subject Property lists "&amp;MAX(1,N(NumBldgs))&amp;" building(s), so this section contributes $0.",IF(Bldg4_SF="","⚠ Enter Building 4 SF in the Building Detail table on the Subject Property tab.",IF(OR($D$193=0,$C$209=0),"⚠ INCOMPLETE -- Base Cost and/or Life Expectancy could not be determined. Check the OCC/Class/Quality above or use the Manual Overrides at the bottom of this section.","✓ Included -- depreciated value of $"&amp;TEXT($G$214,"#,##0")&amp;" is added into the Indicated Value in the summary above (row 66).")))</f>
        <v/>
      </c>
    </row>
    <row r="182" hidden="1" outlineLevel="1">
      <c r="B182" s="1164" t="inlineStr">
        <is>
          <t>Occupancy Type</t>
        </is>
      </c>
      <c r="C182" s="1097">
        <f>IF(Bldg4_Occ="","",IFERROR(INDEX(OCCMAP_NAME,MATCH(Bldg4_Occ,OCCMAP_CODE,0)),"No MVS cost table for OCC "&amp;Bldg4_Occ&amp;" -- select manually from the dropdown"))</f>
        <v/>
      </c>
      <c r="D182" s="619" t="n"/>
      <c r="E182" s="619" t="n"/>
      <c r="F182" s="619" t="n"/>
      <c r="G182" s="619" t="n"/>
      <c r="H182" s="612" t="n"/>
      <c r="I182" s="1165" t="inlineStr">
        <is>
          <t>Auto-fed from Building 4 OCC code on the Subject Property tab; override via the dropdown.</t>
        </is>
      </c>
    </row>
    <row r="183" hidden="1" outlineLevel="1">
      <c r="B183" s="1166" t="inlineStr">
        <is>
          <t>Occupancy Code / Section / Page (auto)</t>
        </is>
      </c>
      <c r="C183" s="1098">
        <f>IFERROR(INDEX(OCC_CODE,MATCH($C$182,OCC_NAME,0))&amp;"  |  MVS Sec. "&amp;INDEX(OCC_SECTION,MATCH($C$182,OCC_NAME,0))&amp;" p."&amp;INDEX(OCC_PAGE,MATCH($C$182,OCC_NAME,0)),"")</f>
        <v/>
      </c>
      <c r="D183" s="615" t="n"/>
      <c r="E183" s="615" t="n"/>
      <c r="F183" s="615" t="n"/>
      <c r="G183" s="615" t="n"/>
      <c r="H183" s="612" t="n"/>
      <c r="I183" s="612" t="n"/>
    </row>
    <row r="184" hidden="1" outlineLevel="1">
      <c r="B184" s="1167" t="inlineStr">
        <is>
          <t>Building Class</t>
        </is>
      </c>
      <c r="C184" s="1099" t="inlineStr">
        <is>
          <t>C</t>
        </is>
      </c>
      <c r="D184" s="615" t="n"/>
      <c r="E184" s="615" t="n"/>
      <c r="F184" s="615" t="n"/>
      <c r="G184" s="615" t="n"/>
      <c r="H184" s="612" t="n"/>
      <c r="I184"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row>
    <row r="185" hidden="1" outlineLevel="1">
      <c r="B185" s="1167" t="inlineStr">
        <is>
          <t>Quality</t>
        </is>
      </c>
      <c r="C185" s="1100">
        <f>IF(Bldg4_Qual="","",Bldg4_Qual)</f>
        <v/>
      </c>
      <c r="D185" s="615" t="n"/>
      <c r="E185" s="615" t="n"/>
      <c r="F185" s="615" t="n"/>
      <c r="G185" s="615" t="n"/>
      <c r="H185" s="612" t="n"/>
      <c r="I185" s="1165" t="inlineStr">
        <is>
          <t>Auto-fed from Building 4 Quality on the Subject Property tab; pick a tier that exists for the chosen occupancy/class.</t>
        </is>
      </c>
    </row>
    <row r="186" hidden="1" outlineLevel="1">
      <c r="B186" s="1239" t="inlineStr">
        <is>
          <t>Resolved MVS Section (auto or manual override)</t>
        </is>
      </c>
      <c r="C186" s="1240">
        <f>IF($C$220&lt;&gt;"",$C$220,IFERROR(INDEX(OCC_SECTION,MATCH($C$182,OCC_NAME,0)),""))</f>
        <v/>
      </c>
      <c r="D186" s="615" t="n"/>
      <c r="E186" s="615" t="n"/>
      <c r="F186" s="615" t="n"/>
      <c r="G186" s="615" t="n"/>
      <c r="H186" s="612" t="n"/>
      <c r="I186" s="612" t="n"/>
    </row>
    <row r="187" hidden="1" outlineLevel="1">
      <c r="B187" s="1167" t="inlineStr">
        <is>
          <t>Avg Eave / Wall Height (ft)</t>
        </is>
      </c>
      <c r="C187" s="1101" t="n">
        <v>18</v>
      </c>
      <c r="D187" s="615" t="n"/>
      <c r="E187" s="615" t="n"/>
      <c r="F187" s="615" t="n"/>
      <c r="G187" s="615" t="n"/>
      <c r="H187" s="612" t="n"/>
      <c r="I187" s="612" t="n"/>
    </row>
    <row r="188" hidden="1" outlineLevel="1">
      <c r="B188" s="1167" t="inlineStr">
        <is>
          <t>Area/Perimeter Multiplier Factor 1</t>
        </is>
      </c>
      <c r="C188" s="1102" t="n">
        <v>1</v>
      </c>
      <c r="D188" s="615" t="n"/>
      <c r="E188" s="615" t="n"/>
      <c r="F188" s="615" t="n"/>
      <c r="G188" s="615" t="n"/>
      <c r="H188" s="612" t="n"/>
      <c r="I188" s="1165" t="inlineStr">
        <is>
          <t>Look up your building's SF vs. average perimeter in the MVS Floor Area-Perimeter grid for this occupancy's section; enter the two bracketing values here to average.</t>
        </is>
      </c>
    </row>
    <row r="189" hidden="1" outlineLevel="1">
      <c r="B189" s="1167" t="inlineStr">
        <is>
          <t>Area/Perimeter Multiplier Factor 2</t>
        </is>
      </c>
      <c r="C189" s="1103" t="n">
        <v>1</v>
      </c>
      <c r="D189" s="615" t="n"/>
      <c r="E189" s="615" t="n"/>
      <c r="F189" s="615" t="n"/>
      <c r="G189" s="615" t="n"/>
      <c r="H189" s="612" t="n"/>
      <c r="I189" s="612" t="n"/>
    </row>
    <row r="190" hidden="1" outlineLevel="1">
      <c r="B190" s="1166" t="inlineStr">
        <is>
          <t>Sprinkler Quality Tier</t>
        </is>
      </c>
      <c r="C190" s="1104" t="inlineStr">
        <is>
          <t>Average</t>
        </is>
      </c>
      <c r="D190" s="615" t="n"/>
      <c r="E190" s="615" t="n"/>
      <c r="F190" s="615" t="n"/>
      <c r="G190" s="615" t="n"/>
      <c r="H190" s="612" t="n"/>
      <c r="I190" s="1165" t="inlineStr">
        <is>
          <t>Independent of building quality -- set to match the actual sprinkler system grade. Wet-system cost auto-looked-up for Sections 11-16 &amp; 18; Section 17 (sheds/farm) has no MVS sprinkler table -- 0 is used.</t>
        </is>
      </c>
    </row>
    <row r="191" hidden="1" outlineLevel="1"/>
    <row r="192" hidden="1" outlineLevel="1">
      <c r="B192" s="1170" t="inlineStr">
        <is>
          <t>Replacement Cost New (RCN) — Building 4</t>
        </is>
      </c>
      <c r="C192" s="1109" t="inlineStr">
        <is>
          <t>Area (SF)</t>
        </is>
      </c>
      <c r="D192" s="1110" t="inlineStr">
        <is>
          <t>$/SF</t>
        </is>
      </c>
      <c r="E192" s="615" t="n"/>
      <c r="F192" s="1110" t="inlineStr">
        <is>
          <t>Subtotal</t>
        </is>
      </c>
      <c r="G192" s="1110" t="inlineStr">
        <is>
          <t>Total Cost</t>
        </is>
      </c>
      <c r="H192" s="612" t="n"/>
      <c r="I192" s="612" t="n"/>
    </row>
    <row r="193" hidden="1" outlineLevel="1">
      <c r="B193" s="1167" t="inlineStr">
        <is>
          <t>Base Cost</t>
        </is>
      </c>
      <c r="C193" s="1111">
        <f>IF(Bldg4_SF="",0,Bldg4_SF)</f>
        <v/>
      </c>
      <c r="D193" s="906">
        <f>IF($C$218&gt;0,$C$218,IFERROR(INDEX(BC_VALUE,MATCH($C$182&amp;"|"&amp;$C$184&amp;"|"&amp;$C$185,BC_KEY,0)),0))</f>
        <v/>
      </c>
      <c r="E193" s="615" t="n"/>
      <c r="F193" s="907">
        <f>C193*D193</f>
        <v/>
      </c>
      <c r="G193" s="615" t="n"/>
      <c r="H193" s="612" t="n"/>
      <c r="I193" s="1165">
        <f>IFERROR("Verified MVS base cost -- "&amp;INDEX(BC_CITE,MATCH($C$182&amp;"|"&amp;$C$184&amp;"|"&amp;$C$185,BC_KEY,0)),"")&amp;" | Area auto-linked to Building 4 SF on the Subject Property tab."</f>
        <v/>
      </c>
    </row>
    <row r="194" hidden="1" outlineLevel="1">
      <c r="B194" s="1167" t="inlineStr">
        <is>
          <t>Sprinklers</t>
        </is>
      </c>
      <c r="C194" s="1111">
        <f>C193</f>
        <v/>
      </c>
      <c r="D194" s="906">
        <f>IFERROR(INDEX(INDIRECT("SPR"&amp;$C$186&amp;"_VALS"),MATCH($C$193,INDIRECT("SPR"&amp;$C$186&amp;"_SF"),1),MATCH($C$190,SPR_HDR,0)),0)</f>
        <v/>
      </c>
      <c r="E194" s="615" t="n"/>
      <c r="F194" s="907">
        <f>C194*D194</f>
        <v/>
      </c>
      <c r="G194" s="615" t="n"/>
      <c r="H194" s="612" t="n"/>
      <c r="I194" s="1165" t="inlineStr">
        <is>
          <t>Wet-system cost, by building SF (nearest coverage bracket &lt;= actual SF). Enter 0 manually below if unsprinklered.</t>
        </is>
      </c>
    </row>
    <row r="195" hidden="1" outlineLevel="1">
      <c r="B195" s="1167" t="inlineStr">
        <is>
          <t>Other (custom line item)</t>
        </is>
      </c>
      <c r="C195" s="1111" t="n"/>
      <c r="D195" s="906" t="n"/>
      <c r="E195" s="615" t="n"/>
      <c r="F195" s="907">
        <f>C195*D195</f>
        <v/>
      </c>
      <c r="G195" s="615" t="n"/>
      <c r="H195" s="612" t="n"/>
      <c r="I195" s="1165" t="n"/>
    </row>
    <row r="196" hidden="1" outlineLevel="1">
      <c r="B196" s="1172" t="inlineStr">
        <is>
          <t>Subtotal</t>
        </is>
      </c>
      <c r="C196" s="615" t="n"/>
      <c r="D196" s="615" t="n"/>
      <c r="E196" s="615" t="n"/>
      <c r="F196" s="908">
        <f>SUM(F193:F195)</f>
        <v/>
      </c>
      <c r="G196" s="615" t="n"/>
      <c r="H196" s="612" t="n"/>
      <c r="I196" s="612" t="n"/>
    </row>
    <row r="197" hidden="1" outlineLevel="1">
      <c r="B197" s="1166" t="inlineStr">
        <is>
          <t>Current Cost (de-trended to Appraisal Date)</t>
        </is>
      </c>
      <c r="C197" s="615" t="n"/>
      <c r="D197" s="909">
        <f>IFERROR(INDEX(CCM_VALUES,MATCH(IF($C$184="CMILL","C",IF($C$184="DPOLE","D",IF($C$184="A-B","B",$C$184))),CCM_CLASS,0),MATCH("Sec."&amp;IF($C$186&lt;&gt;"",$C$186,"14"),CCM_SECTIONHDR,0)),1)/IFERROR(INDEX(DEN_VALUES,MATCH($C$18,DEN_LABEL,0),MATCH("Class "&amp;IF($C$184="CMILL","C",IF($C$184="DPOLE","D",IF($C$184="A-B","B",$C$184))),DEN_CLASSHDR,0))+(INDEX(DEN_VALUES,MATCH($C$19,DEN_LABEL,0),MATCH("Class "&amp;IF($C$184="CMILL","C",IF($C$184="DPOLE","D",IF($C$184="A-B","B",$C$184))),DEN_CLASSHDR,0))-INDEX(DEN_VALUES,MATCH($C$18,DEN_LABEL,0),MATCH("Class "&amp;IF($C$184="CMILL","C",IF($C$184="DPOLE","D",IF($C$184="A-B","B",$C$184))),DEN_CLASSHDR,0)))*($C$17-DATEVALUE("1 "&amp;$C$18))/(DATEVALUE("1 "&amp;$C$19)-DATEVALUE("1 "&amp;$C$18)),1)</f>
        <v/>
      </c>
      <c r="E197" s="615" t="n"/>
      <c r="F197" s="615" t="n"/>
      <c r="G197" s="615" t="n"/>
      <c r="H197" s="612" t="n"/>
      <c r="I197" s="1165" t="inlineStr">
        <is>
          <t>Same MVS Sec.99/Sec.98 method as Building 1, using this building's class/section and the shared Step 3 dates above.</t>
        </is>
      </c>
    </row>
    <row r="198" hidden="1" outlineLevel="1">
      <c r="B198" s="1167" t="inlineStr">
        <is>
          <t>Local Area</t>
        </is>
      </c>
      <c r="C198" s="615" t="n"/>
      <c r="D198" s="909">
        <f>IFERROR(INDEX(LAM_VALUES,MATCH($C$8,LAM_CITY,0),MATCH("Class "&amp;IF($C$184="CMILL","C",IF($C$184="DPOLE","D",IF($C$184="A-B","B",$C$184))),LAM_CLASSHDR,0)),"")</f>
        <v/>
      </c>
      <c r="E198" s="615" t="n"/>
      <c r="F198" s="615" t="n"/>
      <c r="G198" s="615" t="n"/>
      <c r="H198" s="612" t="n"/>
      <c r="I198" s="1165" t="inlineStr">
        <is>
          <t>MVS Sec.99 p.7 Local Area Multiplier (shared City in Step 1 of Building 1).</t>
        </is>
      </c>
    </row>
    <row r="199" hidden="1" outlineLevel="1">
      <c r="B199" s="1164" t="inlineStr">
        <is>
          <t>Area/Perimeter Multiplier</t>
        </is>
      </c>
      <c r="C199" s="615" t="n"/>
      <c r="D199" s="909">
        <f>AVERAGE(C188:C189)</f>
        <v/>
      </c>
      <c r="E199" s="615" t="n"/>
      <c r="F199" s="615" t="n"/>
      <c r="G199" s="615" t="n"/>
      <c r="H199" s="612" t="n"/>
      <c r="I199" s="612" t="n"/>
    </row>
    <row r="200" hidden="1" outlineLevel="1">
      <c r="B200" s="1164" t="inlineStr">
        <is>
          <t>Story Height (Height entered above)</t>
        </is>
      </c>
      <c r="C200" s="615" t="n"/>
      <c r="D200" s="909">
        <f>IFERROR(INDEX(INDIRECT("SH"&amp;$C$186&amp;"_M"),MATCH($C$187,INDIRECT("SH"&amp;$C$186&amp;"_H"),1)),1)</f>
        <v/>
      </c>
      <c r="E200" s="615" t="n"/>
      <c r="F200" s="615" t="n"/>
      <c r="G200" s="615" t="n"/>
      <c r="H200" s="612" t="n"/>
      <c r="I200" s="612" t="inlineStr">
        <is>
          <t>Story-height multiplier auto-selected from the resolved MVS section (C9). Sections 12 &amp; 17 publish no table -- 1.000 used.</t>
        </is>
      </c>
    </row>
    <row r="201" hidden="1" outlineLevel="1">
      <c r="B201" s="1172" t="inlineStr">
        <is>
          <t>Product of Multipliers</t>
        </is>
      </c>
      <c r="C201" s="615" t="n"/>
      <c r="D201" s="615" t="n"/>
      <c r="E201" s="615" t="n"/>
      <c r="F201" s="910">
        <f>ROUND(PRODUCT(D197:D200),3)</f>
        <v/>
      </c>
      <c r="G201" s="615" t="n"/>
      <c r="H201" s="612" t="n"/>
      <c r="I201" s="612" t="n"/>
    </row>
    <row r="202" hidden="1" outlineLevel="1">
      <c r="B202" s="1171" t="inlineStr">
        <is>
          <t>Adjusted Base Building Cost — Building 4</t>
        </is>
      </c>
      <c r="C202" s="615" t="n"/>
      <c r="D202" s="615" t="n"/>
      <c r="E202" s="615" t="n"/>
      <c r="F202" s="615" t="n"/>
      <c r="G202" s="908">
        <f>F201*F196</f>
        <v/>
      </c>
      <c r="H202" s="612" t="n"/>
      <c r="I202" s="612" t="n"/>
    </row>
    <row r="203" hidden="1" outlineLevel="1">
      <c r="B203" s="1166" t="inlineStr">
        <is>
          <t>Plus Indirect Costs &amp; Entrepreneurial Profit (property-level %s, rows 48/50 above)</t>
        </is>
      </c>
      <c r="C203" s="1114" t="n"/>
      <c r="D203" s="615" t="n"/>
      <c r="E203" s="615" t="n"/>
      <c r="F203" s="615" t="n"/>
      <c r="G203" s="907">
        <f>G202*((1+$C$48)*(1+$C$50)-1)</f>
        <v/>
      </c>
      <c r="H203" s="612" t="n"/>
      <c r="I203" s="1165" t="inlineStr">
        <is>
          <t>Applies the same Other Indirect Costs % (C48) and Entrepreneurial Profit % (C50) entered in the Building 1 summary.</t>
        </is>
      </c>
    </row>
    <row r="204" hidden="1" outlineLevel="1">
      <c r="B204" s="1176" t="inlineStr">
        <is>
          <t>Total Replacement Cost New (RCN) — Building 4</t>
        </is>
      </c>
      <c r="C204" s="615" t="n"/>
      <c r="D204" s="615" t="n"/>
      <c r="E204" s="615" t="n"/>
      <c r="F204" s="615" t="n"/>
      <c r="G204" s="914">
        <f>G202*(1+$C$48)*(1+$C$50)</f>
        <v/>
      </c>
      <c r="H204" s="612" t="n"/>
      <c r="I204" s="612" t="n"/>
    </row>
    <row r="205" hidden="1" outlineLevel="1">
      <c r="B205" s="1177" t="inlineStr">
        <is>
          <t>per square foot of gross building area</t>
        </is>
      </c>
      <c r="C205" s="648" t="n"/>
      <c r="D205" s="615" t="n"/>
      <c r="E205" s="615" t="n"/>
      <c r="F205" s="615" t="n"/>
      <c r="G205" s="915">
        <f>IFERROR(G204/C193,"")</f>
        <v/>
      </c>
      <c r="H205" s="612" t="n"/>
      <c r="I205" s="612" t="n"/>
    </row>
    <row r="206" hidden="1" outlineLevel="1">
      <c r="B206" s="1221" t="inlineStr">
        <is>
          <t>Less Accrued Depreciation — Building 4</t>
        </is>
      </c>
      <c r="C206" s="1218" t="n"/>
      <c r="D206" s="1218" t="n"/>
      <c r="E206" s="1218" t="n"/>
      <c r="F206" s="1218" t="n"/>
      <c r="G206" s="1218" t="n"/>
      <c r="H206" s="612" t="n"/>
      <c r="I206" s="612" t="n"/>
    </row>
    <row r="207" hidden="1" outlineLevel="1">
      <c r="B207" s="1164" t="inlineStr">
        <is>
          <t>Curable (Deferred Maintenance)</t>
        </is>
      </c>
      <c r="C207" s="650" t="n"/>
      <c r="D207" s="613" t="n"/>
      <c r="E207" s="619" t="n"/>
      <c r="F207" s="1115" t="n">
        <v>0</v>
      </c>
      <c r="G207" s="615" t="n"/>
      <c r="H207" s="612" t="n"/>
      <c r="I207" s="1165" t="inlineStr">
        <is>
          <t>Dollar cost to cure deferred items (roof, HVAC, etc). 0 = none.</t>
        </is>
      </c>
    </row>
    <row r="208" hidden="1" outlineLevel="1">
      <c r="B208" s="1164" t="inlineStr">
        <is>
          <t>Effective Age (Years)</t>
        </is>
      </c>
      <c r="C208" s="1101">
        <f>IF(Bldg4_YOC="",0,Year-Bldg4_YOC)</f>
        <v/>
      </c>
      <c r="D208" s="612" t="n"/>
      <c r="E208" s="612" t="n"/>
      <c r="F208" s="612" t="n"/>
      <c r="G208" s="612" t="n"/>
      <c r="H208" s="612" t="n"/>
      <c r="I208" s="1165" t="inlineStr">
        <is>
          <t>Auto from Building 4 Year Built on the Subject Property tab; type over it to use a judgment effective age per MVS Sec.97.</t>
        </is>
      </c>
    </row>
    <row r="209" hidden="1" outlineLevel="1">
      <c r="B209" s="1164" t="inlineStr">
        <is>
          <t>Typical Life Expectancy (MVS Sec.97, auto)</t>
        </is>
      </c>
      <c r="C209" s="1111">
        <f>IF($C$219&gt;0,$C$219,IFERROR(INDEX(LIFE_VALUES,MATCH($C$182&amp;"|"&amp;$C$185,LIFE_KEY,0),MATCH("Class "&amp;IF($C$184="CMILL","C",IF(OR($C$184="DPOLE",$C$184="DMASVEN",$C$184="CDS"),"D",IF($C$184="A-B","B",IF($C$184="SSLANT","S",$C$184)))),LIFE_CLASSHDR,0)),0))</f>
        <v/>
      </c>
      <c r="D209" s="612" t="n"/>
      <c r="E209" s="612" t="n"/>
      <c r="F209" s="612" t="n"/>
      <c r="G209" s="612" t="n"/>
      <c r="H209" s="612" t="n"/>
      <c r="I209" s="1165" t="inlineStr">
        <is>
          <t>MVS Sec.97, by occupancy/quality/class. Override in C219 if needed.</t>
        </is>
      </c>
    </row>
    <row r="210" hidden="1" outlineLevel="1">
      <c r="B210" s="1164" t="inlineStr">
        <is>
          <t>Total Incurable Physical Depreciation (MVS Sec.97 percent-good curve)</t>
        </is>
      </c>
      <c r="C210" s="1116">
        <f>IF($C$209=0,0,IFERROR(IF(IFERROR(INDEX(OCC_DEPR,MATCH($C$182,OCC_NAME,0)),"C")="R",INDEX(DEPRR_VALUES,MATCH($C$208,DEPRR_AGE,1),MATCH($C$209,DEPRR_LIFEHDR,0)),INDEX(DEPR_VALUES,MATCH($C$208,DEPR_AGE,1),MATCH($C$209,DEPR_LIFEHDR,0)))/100,"n/a -- age exceeds tabulated range; treat as fully depreciated per Sec.97 salvage guidance"))</f>
        <v/>
      </c>
      <c r="D210" s="612" t="n"/>
      <c r="E210" s="612" t="n"/>
      <c r="F210" s="918">
        <f>G204*C210</f>
        <v/>
      </c>
      <c r="G210" s="612" t="n"/>
      <c r="H210" s="612" t="n"/>
      <c r="I210" s="1165" t="inlineStr">
        <is>
          <t>MVS Sec.97 percent-good: Commercial (p.24) or Residential (p.25) table auto-selected per MVS's Properties Included key (Reference 4 on M&amp;S Inputs).</t>
        </is>
      </c>
    </row>
    <row r="211" hidden="1" outlineLevel="1">
      <c r="B211" s="1164" t="inlineStr">
        <is>
          <t>Functional Obsolescence</t>
        </is>
      </c>
      <c r="C211" s="1117" t="n">
        <v>0</v>
      </c>
      <c r="D211" s="612" t="n"/>
      <c r="E211" s="612" t="n"/>
      <c r="F211" s="918">
        <f>C211*G204</f>
        <v/>
      </c>
      <c r="G211" s="612" t="n"/>
      <c r="H211" s="612" t="n"/>
      <c r="I211" s="1165" t="inlineStr">
        <is>
          <t>Loss from design deficiencies (excess bays, substandard ceiling height, etc). 0 = none.</t>
        </is>
      </c>
    </row>
    <row r="212" hidden="1" outlineLevel="1">
      <c r="B212" s="1164" t="inlineStr">
        <is>
          <t>External Obsolescence</t>
        </is>
      </c>
      <c r="C212" s="1117" t="n">
        <v>0</v>
      </c>
      <c r="D212" s="612" t="n"/>
      <c r="E212" s="612" t="n"/>
      <c r="F212" s="918">
        <f>C212*G204</f>
        <v/>
      </c>
      <c r="G212" s="612" t="n"/>
      <c r="H212" s="612" t="n"/>
      <c r="I212" s="1165" t="inlineStr">
        <is>
          <t>Loss from external/locational/market factors. 0 = none.</t>
        </is>
      </c>
    </row>
    <row r="213" hidden="1" outlineLevel="1">
      <c r="B213" s="1175" t="inlineStr">
        <is>
          <t>Total</t>
        </is>
      </c>
      <c r="C213" s="920">
        <f>IFERROR(G213/G204,"")</f>
        <v/>
      </c>
      <c r="D213" s="612" t="n"/>
      <c r="E213" s="612" t="n"/>
      <c r="F213" s="612" t="n"/>
      <c r="G213" s="921">
        <f>SUM(F207:F212)</f>
        <v/>
      </c>
      <c r="H213" s="612" t="n"/>
      <c r="I213" s="612" t="n"/>
    </row>
    <row r="214" hidden="1" outlineLevel="1">
      <c r="B214" s="1179" t="inlineStr">
        <is>
          <t>Depreciated Value of Building 4</t>
        </is>
      </c>
      <c r="C214" s="612" t="n"/>
      <c r="D214" s="612" t="n"/>
      <c r="E214" s="612" t="n"/>
      <c r="F214" s="612" t="n"/>
      <c r="G214" s="922">
        <f>IF(N(NumBldgs)&lt;4,0,G204-G213)</f>
        <v/>
      </c>
      <c r="H214" s="612" t="n"/>
      <c r="I214" s="612" t="inlineStr">
        <is>
          <t>Added into the Indicated Value in the main summary (row 66). Forced to $0 while Number of Buildings &lt; 4.</t>
        </is>
      </c>
    </row>
    <row r="215" hidden="1" outlineLevel="1">
      <c r="B215" s="1164" t="inlineStr">
        <is>
          <t>per square foot of gross building area</t>
        </is>
      </c>
      <c r="C215" s="612" t="n"/>
      <c r="D215" s="612" t="n"/>
      <c r="E215" s="612" t="n"/>
      <c r="F215" s="612" t="n"/>
      <c r="G215" s="915">
        <f>IFERROR(G214/C193,"")</f>
        <v/>
      </c>
      <c r="H215" s="612" t="n"/>
      <c r="I215" s="612" t="n"/>
    </row>
    <row r="216" hidden="1" outlineLevel="1"/>
    <row r="217" hidden="1" outlineLevel="1">
      <c r="B217" s="1242" t="inlineStr">
        <is>
          <t>MANUAL MVS OVERRIDE — BUILDING 4 (only if this occupancy isn't in the dropdown)</t>
        </is>
      </c>
      <c r="C217" s="1243" t="n"/>
      <c r="D217" s="1243" t="n"/>
      <c r="E217" s="1243" t="n"/>
      <c r="F217" s="1243" t="n"/>
      <c r="G217" s="1243" t="n"/>
      <c r="H217" s="1244" t="n"/>
      <c r="I217" s="1244" t="n"/>
    </row>
    <row r="218" hidden="1" outlineLevel="1">
      <c r="B218" s="623" t="inlineStr">
        <is>
          <t>Manual Base Cost ($/SF)</t>
        </is>
      </c>
      <c r="C218" s="1246" t="n">
        <v>0</v>
      </c>
      <c r="D218" s="615" t="n"/>
      <c r="E218" s="615" t="n"/>
      <c r="F218" s="615" t="n"/>
      <c r="G218" s="615" t="n"/>
      <c r="H218" s="612" t="n"/>
      <c r="I218" s="612" t="n"/>
    </row>
    <row r="219" hidden="1" outlineLevel="1">
      <c r="B219" s="623" t="inlineStr">
        <is>
          <t>Manual Life Expectancy (Years)</t>
        </is>
      </c>
      <c r="C219" s="1247" t="n">
        <v>0</v>
      </c>
      <c r="D219" s="615" t="n"/>
      <c r="E219" s="615" t="n"/>
      <c r="F219" s="615" t="n"/>
      <c r="G219" s="615" t="n"/>
      <c r="H219" s="612" t="n"/>
      <c r="I219" s="612" t="n"/>
    </row>
    <row r="220" hidden="1" outlineLevel="1">
      <c r="B220" s="621" t="inlineStr">
        <is>
          <t>Manual MVS Section (drives cost multiplier / story-height / sprinkler tables)</t>
        </is>
      </c>
      <c r="C220" s="1248" t="n"/>
      <c r="D220" s="1249">
        <f>IF($C$220="","",IF($C$220="11","Apartments/Hotels/Clubs",IF($C$220="12","Residences/Multiples/Motels",IF($C$220="13","Retail/Stores/Shopping Centers",IF($C$220="14","Industrial/Warehouse",IF($C$220="15","Office/Medical/Public",IF($C$220="16","Churches/Theaters/Auditoriums",IF($C$220="17","Sheds/Farm",IF($C$220="18","Schools",)))))))))</f>
        <v/>
      </c>
      <c r="E220" s="615" t="n"/>
      <c r="F220" s="615" t="n"/>
      <c r="G220" s="615" t="n"/>
      <c r="H220" s="612" t="n"/>
      <c r="I220" s="612" t="n"/>
    </row>
    <row r="221" collapsed="1"/>
    <row r="222"/>
    <row r="223">
      <c r="Q223" s="666" t="n"/>
      <c r="R223" s="666" t="n"/>
    </row>
    <row r="224">
      <c r="Q224" s="666" t="n"/>
      <c r="R224" s="666" t="n"/>
    </row>
    <row r="225" hidden="1" outlineLevel="1">
      <c r="B225" s="1169" t="inlineStr">
        <is>
          <t>COMBINED SUMMARY — ALL BUILDINGS (auto; matches the Indicated Value in the main summary above)</t>
        </is>
      </c>
      <c r="C225" s="1107" t="n"/>
      <c r="D225" s="1107" t="n"/>
      <c r="E225" s="1107" t="n"/>
      <c r="F225" s="1107" t="n"/>
      <c r="G225" s="1107" t="n"/>
      <c r="H225" s="612" t="n"/>
      <c r="I225" s="612" t="n"/>
      <c r="Q225" s="666" t="n"/>
      <c r="R225" s="666" t="n"/>
    </row>
    <row r="226" hidden="1" outlineLevel="1">
      <c r="B226" s="1164" t="inlineStr">
        <is>
          <t>Total Gross Building Area (SF, all buildings)</t>
        </is>
      </c>
      <c r="C226" s="1101">
        <f>IF(Subj_BldgSF="","",Subj_BldgSF)</f>
        <v/>
      </c>
      <c r="Q226" s="666" t="n"/>
      <c r="R226" s="666" t="n"/>
    </row>
    <row r="227" hidden="1" outlineLevel="1">
      <c r="B227" s="1175" t="inlineStr">
        <is>
          <t>RCN — Building 1 (incl. site improvements, indirect costs &amp; profit)</t>
        </is>
      </c>
      <c r="G227" s="908">
        <f>caRCN</f>
        <v/>
      </c>
    </row>
    <row r="228" hidden="1" outlineLevel="1">
      <c r="B228" s="1175" t="inlineStr">
        <is>
          <t>RCN — Building 2</t>
        </is>
      </c>
      <c r="G228" s="908">
        <f>IF(N(NumBldgs)&gt;=2,$G$114,0)</f>
        <v/>
      </c>
    </row>
    <row r="229" hidden="1" outlineLevel="1">
      <c r="B229" s="1175" t="inlineStr">
        <is>
          <t>RCN — Building 3</t>
        </is>
      </c>
      <c r="G229" s="908">
        <f>IF(N(NumBldgs)&gt;=3,$G$159,0)</f>
        <v/>
      </c>
    </row>
    <row r="230" hidden="1" outlineLevel="1">
      <c r="B230" s="1175" t="inlineStr">
        <is>
          <t>RCN — Building 4</t>
        </is>
      </c>
      <c r="G230" s="908">
        <f>IF(N(NumBldgs)&gt;=4,$G$204,0)</f>
        <v/>
      </c>
    </row>
    <row r="231" hidden="1" outlineLevel="1">
      <c r="B231" s="1176" t="inlineStr">
        <is>
          <t>Total Replacement Cost New — all buildings</t>
        </is>
      </c>
      <c r="G231" s="914">
        <f>caRCN+IF(N(NumBldgs)&gt;=2,$G$114,0)+IF(N(NumBldgs)&gt;=3,$G$159,0)+IF(N(NumBldgs)&gt;=4,$G$204,0)</f>
        <v/>
      </c>
    </row>
    <row r="232" hidden="1" outlineLevel="1">
      <c r="B232" s="1175" t="inlineStr">
        <is>
          <t>Depreciated Improvements — Building 1 + site improvements</t>
        </is>
      </c>
      <c r="G232" s="908">
        <f>caRCNDeprec</f>
        <v/>
      </c>
    </row>
    <row r="233" hidden="1" outlineLevel="1">
      <c r="B233" s="1175" t="inlineStr">
        <is>
          <t>Depreciated Improvements — Buildings 2-4</t>
        </is>
      </c>
      <c r="G233" s="908">
        <f>$G$66</f>
        <v/>
      </c>
    </row>
    <row r="234" hidden="1" outlineLevel="1">
      <c r="B234" s="1175" t="inlineStr">
        <is>
          <t>Plus Land Value</t>
        </is>
      </c>
      <c r="G234" s="908">
        <f>$G$67</f>
        <v/>
      </c>
    </row>
    <row r="235" hidden="1" outlineLevel="1">
      <c r="B235" s="1176" t="inlineStr">
        <is>
          <t>INDICATED VALUE BY COST APPROACH</t>
        </is>
      </c>
      <c r="G235" s="914">
        <f>$G$69</f>
        <v/>
      </c>
    </row>
    <row r="236" hidden="1" outlineLevel="1">
      <c r="B236" s="1176" t="inlineStr">
        <is>
          <t>Rounded (per the increment in B70)</t>
        </is>
      </c>
      <c r="G236" s="914">
        <f>$G$70</f>
        <v/>
      </c>
    </row>
    <row r="237" hidden="1" outlineLevel="1">
      <c r="B237" s="1177" t="inlineStr">
        <is>
          <t>per square foot of gross building area (all buildings)</t>
        </is>
      </c>
      <c r="G237" s="1527">
        <f>$G$71</f>
        <v/>
      </c>
    </row>
    <row r="238" collapsed="1"/>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41">
      <c r="Q341" s="666" t="n"/>
      <c r="R341" s="666" t="n"/>
    </row>
    <row r="540">
      <c r="Q540" s="666" t="n"/>
      <c r="R540" s="666" t="n"/>
    </row>
    <row r="541">
      <c r="Q541" s="666" t="n"/>
      <c r="R541" s="666" t="n"/>
    </row>
    <row r="542">
      <c r="Q542" s="666" t="n"/>
      <c r="R542" s="666" t="n"/>
    </row>
  </sheetData>
  <mergeCells count="7">
    <mergeCell ref="B2:G2"/>
    <mergeCell ref="B77:I77"/>
    <mergeCell ref="B91:I91"/>
    <mergeCell ref="B136:I136"/>
    <mergeCell ref="B76:I76"/>
    <mergeCell ref="B181:I181"/>
    <mergeCell ref="B79:I79"/>
  </mergeCells>
  <dataValidations count="16">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"A,B,A-B,C,CMILL,CDS,D,DPOLE,DMASVEN,S,SSLANT"</formula1>
    </dataValidation>
    <dataValidation sqref="C7" showDropDown="0" showInputMessage="0" showErrorMessage="0" allowBlank="1" type="list">
      <formula1>"Low Cost,Fair,Average,Good,Very Good,Excellent,Cheap"</formula1>
    </dataValidation>
    <dataValidation sqref="C14" showDropDown="0" showInputMessage="0" showErrorMessage="0" allowBlank="1" type="list">
      <formula1>"Low Cost,Fair,Average,Good,Very 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 sqref="C82" showDropDown="0" showInputMessage="0" showErrorMessage="1" allowBlank="1" type="list">
      <formula1>"70,65,60,55,50,45,40,35,30,25,20"</formula1>
    </dataValidation>
    <dataValidation sqref="C83" showDropDown="0" showInputMessage="0" showErrorMessage="1" allowBlank="1" type="list">
      <formula1>"11,12,13,14,15,16,17,18"</formula1>
    </dataValidation>
    <dataValidation sqref="C92 C137 C182" showDropDown="0" showInputMessage="0" showErrorMessage="0" allowBlank="1" type="list">
      <formula1>=OCC_NAME</formula1>
    </dataValidation>
    <dataValidation sqref="C94 C139 C184" showDropDown="0" showInputMessage="0" showErrorMessage="0" allowBlank="1" type="list">
      <formula1>"A,B,A-B,C,CMILL,CDS,D,DPOLE,DMASVEN,S,SSLANT"</formula1>
    </dataValidation>
    <dataValidation sqref="C95 C140 C185" showDropDown="0" showInputMessage="0" showErrorMessage="0" allowBlank="1" type="list">
      <formula1>"Low Cost,Fair,Average,Good,Very Good,Excellent,Cheap"</formula1>
    </dataValidation>
    <dataValidation sqref="C100 C145 C190" showDropDown="0" showInputMessage="0" showErrorMessage="0" allowBlank="1" type="list">
      <formula1>"Low Cost,Fair,Average,Good,Very Good,Excellent,Cheap"</formula1>
    </dataValidation>
    <dataValidation sqref="C129 C174 C219" showDropDown="0" showInputMessage="0" showErrorMessage="0" allowBlank="1" type="list">
      <formula1>"70,65,60,55,50,45,40,35,30,25,20"</formula1>
    </dataValidation>
    <dataValidation sqref="C130 C175 C220" showDropDown="0" showInputMessage="0" showErrorMessage="0" allowBlank="1" type="list">
      <formula1>"11,12,13,14,15,16,17,18"</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Sheet2">
    <tabColor rgb="000E7490"/>
    <outlinePr summaryBelow="1" summaryRight="1"/>
    <pageSetUpPr fitToPage="1"/>
  </sheetPr>
  <dimension ref="A1:AN941"/>
  <sheetViews>
    <sheetView zoomScale="125" zoomScaleNormal="125" workbookViewId="0">
      <pane ySplit="1" topLeftCell="A2" activePane="bottomLeft" state="frozen"/>
      <selection pane="bottomLeft" activeCell="A2" sqref="A2"/>
    </sheetView>
  </sheetViews>
  <sheetFormatPr baseColWidth="8" defaultColWidth="9.33203125" defaultRowHeight="15" customHeight="1"/>
  <cols>
    <col width="6" bestFit="1" customWidth="1" style="245" min="1" max="1"/>
    <col width="6" bestFit="1" customWidth="1" style="245" min="2" max="2"/>
    <col width="10" customWidth="1" style="245" min="3" max="3"/>
    <col width="30" bestFit="1" customWidth="1" style="245" min="4" max="4"/>
    <col width="7" customWidth="1" style="245" min="5" max="5"/>
    <col width="17" bestFit="1" customWidth="1" style="245" min="6" max="6"/>
    <col width="6" customWidth="1" style="245" min="7" max="7"/>
    <col width="15.6640625" bestFit="1" customWidth="1" style="667" min="8" max="8"/>
    <col width="21" bestFit="1" customWidth="1" style="245" min="9" max="9"/>
    <col width="11" bestFit="1" customWidth="1" style="245" min="10" max="10"/>
    <col width="9.83203125" bestFit="1" customWidth="1" style="245" min="11" max="11"/>
    <col width="11.33203125" bestFit="1" customWidth="1" style="245" min="12" max="12"/>
    <col width="7" bestFit="1" customWidth="1" style="245" min="13" max="13"/>
    <col width="8.5" bestFit="1" customWidth="1" style="245" min="14" max="14"/>
    <col width="9" bestFit="1" customWidth="1" style="253" min="15" max="15"/>
    <col width="26" bestFit="1" customWidth="1" style="245" min="16" max="16"/>
    <col width="5.6640625" bestFit="1" customWidth="1" style="253" min="17" max="17"/>
    <col width="11" bestFit="1" customWidth="1" style="390" min="18" max="18"/>
    <col width="11.33203125" bestFit="1" customWidth="1" style="245" min="19" max="19"/>
    <col width="11.6640625" bestFit="1" customWidth="1" style="245" min="20" max="20"/>
    <col width="11"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5" bestFit="1" customWidth="1" style="245" min="29" max="29"/>
    <col width="15" bestFit="1" customWidth="1" style="245" min="30" max="30"/>
    <col width="52" bestFit="1" customWidth="1" style="245" min="31" max="31"/>
    <col width="52" bestFit="1" customWidth="1" style="245" min="32" max="32"/>
    <col width="10.1640625" bestFit="1" customWidth="1" style="245" min="33" max="34"/>
    <col hidden="1" width="9.33203125" customWidth="1" style="245" min="35" max="16384"/>
    <col hidden="1" width="13" customWidth="1" min="36" max="36"/>
  </cols>
  <sheetData>
    <row r="1" ht="36" customHeight="1">
      <c r="A1" s="1119" t="inlineStr">
        <is>
          <t>Pos</t>
        </is>
      </c>
      <c r="B1" s="1119" t="inlineStr">
        <is>
          <t>Num</t>
        </is>
      </c>
      <c r="C1" s="1119" t="inlineStr">
        <is>
          <t>Parcel</t>
        </is>
      </c>
      <c r="D1" s="1120" t="inlineStr">
        <is>
          <t>Filtered
Address</t>
        </is>
      </c>
      <c r="E1" s="1119" t="inlineStr">
        <is>
          <t>OCC</t>
        </is>
      </c>
      <c r="F1" s="1119" t="inlineStr">
        <is>
          <t>CITY</t>
        </is>
      </c>
      <c r="G1" s="1120" t="inlineStr">
        <is>
          <t>Loc</t>
        </is>
      </c>
      <c r="H1" s="1121" t="inlineStr">
        <is>
          <t>FTS</t>
        </is>
      </c>
      <c r="I1" s="1119" t="inlineStr">
        <is>
          <t>Date</t>
        </is>
      </c>
      <c r="J1" s="1119" t="inlineStr">
        <is>
          <t>Above
Grade NRA</t>
        </is>
      </c>
      <c r="K1" s="1119" t="inlineStr">
        <is>
          <t>Bsmt
NRA</t>
        </is>
      </c>
      <c r="L1" s="1119" t="inlineStr">
        <is>
          <t>NRA</t>
        </is>
      </c>
      <c r="M1" s="1119" t="inlineStr">
        <is>
          <t>YOC</t>
        </is>
      </c>
      <c r="N1" s="1119" t="inlineStr">
        <is>
          <t># Units</t>
        </is>
      </c>
      <c r="O1" s="1119" t="inlineStr">
        <is>
          <t># Bldgs</t>
        </is>
      </c>
      <c r="P1" s="1119" t="inlineStr">
        <is>
          <t>Zone</t>
        </is>
      </c>
      <c r="Q1" s="1119" t="inlineStr">
        <is>
          <t>Str</t>
        </is>
      </c>
      <c r="R1" s="1119" t="inlineStr">
        <is>
          <t>Grd</t>
        </is>
      </c>
      <c r="S1" s="1119" t="inlineStr">
        <is>
          <t>Land</t>
        </is>
      </c>
      <c r="T1" s="1120" t="inlineStr">
        <is>
          <t>L:B RATIO</t>
        </is>
      </c>
      <c r="U1" s="1119" t="inlineStr">
        <is>
          <t>PHY</t>
        </is>
      </c>
      <c r="V1" s="1119" t="inlineStr">
        <is>
          <t>FUN</t>
        </is>
      </c>
      <c r="W1" s="1119" t="inlineStr">
        <is>
          <t>PF</t>
        </is>
      </c>
      <c r="X1" s="1119" t="inlineStr">
        <is>
          <t>Tie-Back</t>
        </is>
      </c>
      <c r="Y1" s="1119" t="inlineStr">
        <is>
          <t>Amount</t>
        </is>
      </c>
      <c r="Z1" s="1119" t="inlineStr">
        <is>
          <t>Deduct.</t>
        </is>
      </c>
      <c r="AA1" s="1119" t="inlineStr">
        <is>
          <t>Amount</t>
        </is>
      </c>
      <c r="AB1" s="1119" t="inlineStr">
        <is>
          <t>Remarks</t>
        </is>
      </c>
      <c r="AC1" s="1119" t="inlineStr">
        <is>
          <t>Parcel Number</t>
        </is>
      </c>
      <c r="AD1" s="1119" t="inlineStr">
        <is>
          <t>Reception #</t>
        </is>
      </c>
      <c r="AE1" s="1182" t="inlineStr">
        <is>
          <t>Grantor</t>
        </is>
      </c>
      <c r="AF1" s="1182" t="inlineStr">
        <is>
          <t>Grantee</t>
        </is>
      </c>
      <c r="AG1" s="1119" t="inlineStr">
        <is>
          <t>Street</t>
        </is>
      </c>
      <c r="AH1" s="1119" t="inlineStr">
        <is>
          <t>Street</t>
        </is>
      </c>
      <c r="AI1" s="1122"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s="1158" t="inlineStr">
        <is>
          <t xml:space="preserve">MCCAIN PROPERTIES II LLC, C/O WHEELHOUSE COMMERCIAL MGMT </t>
        </is>
      </c>
      <c r="AF6" s="1158"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s="1158" t="inlineStr">
        <is>
          <t>NORTH GATE SHOPPING CENTER LL</t>
        </is>
      </c>
      <c r="AF7" s="1158"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s="1158" t="inlineStr">
        <is>
          <t>LA CONTE J AND R REAL ESTATE, ADMINISTRATIVE TRUST</t>
        </is>
      </c>
      <c r="AF8" s="115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s="1158" t="inlineStr">
        <is>
          <t>DENVER NORTHGLENN HOTELS LLC</t>
        </is>
      </c>
      <c r="AF9" s="1158"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s="1158" t="inlineStr">
        <is>
          <t>JACOBSON RICHARD LESLIE</t>
        </is>
      </c>
      <c r="AF10" s="1158"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s="1158" t="inlineStr">
        <is>
          <t xml:space="preserve">MEEKS GARY I AND , MEEKS PAULA K </t>
        </is>
      </c>
      <c r="AF11" s="1158"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s="1158" t="inlineStr">
        <is>
          <t>SHIH PROPERTIES INCORPORATED</t>
        </is>
      </c>
      <c r="AF12" s="1158"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s="1158" t="inlineStr">
        <is>
          <t>R &amp; R PROPERTIES LLC</t>
        </is>
      </c>
      <c r="AF13" s="1158"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s="1158" t="inlineStr">
        <is>
          <t>CHIROPRACTIC OF NORTH DENVER PC</t>
        </is>
      </c>
      <c r="AF14" s="1158"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s="1158" t="inlineStr">
        <is>
          <t>COUNTRY CLUB VILLAGE TWO LLC</t>
        </is>
      </c>
      <c r="AF15" s="1158"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s="1158" t="inlineStr">
        <is>
          <t>CHANG AND IM INCORPORATED</t>
        </is>
      </c>
      <c r="AF16" s="1158"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s="1158" t="inlineStr">
        <is>
          <t>3030 81ST LLC</t>
        </is>
      </c>
      <c r="AF17" s="1158"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s="1158" t="inlineStr">
        <is>
          <t>W S A FRATERNAL LIFE</t>
        </is>
      </c>
      <c r="AF18" s="115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s="1158" t="inlineStr">
        <is>
          <t>VANDER HORST FAMILY TRUST THE</t>
        </is>
      </c>
      <c r="AF19" s="1158"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s="1158" t="inlineStr">
        <is>
          <t>CJ AND K PARTNERS LLC</t>
        </is>
      </c>
      <c r="AF20" s="1158"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s="1158" t="inlineStr">
        <is>
          <t>121ST PROPERTY PARTNERS LLC</t>
        </is>
      </c>
      <c r="AF21" s="1158"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s="1158" t="inlineStr">
        <is>
          <t>GOLD CROWN LLC</t>
        </is>
      </c>
      <c r="AF22" s="1158"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s="1158" t="inlineStr">
        <is>
          <t>LCN BLM CHANDLER LLC , ATTN BLOOMIN BRANDS INC</t>
        </is>
      </c>
      <c r="AF23" s="1158"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s="1158" t="inlineStr">
        <is>
          <t>8778 WOLFF LLC, C/O HOLDER R BRUCE/R WAYNE</t>
        </is>
      </c>
      <c r="AF24" s="1158"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s="1158" t="inlineStr">
        <is>
          <t>SAHLI-SUNDBY ANN C</t>
        </is>
      </c>
      <c r="AF25" s="1158"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s="1158" t="inlineStr">
        <is>
          <t>MARTINEZ ORLANDO</t>
        </is>
      </c>
      <c r="AF26" s="1158"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s="1158" t="inlineStr">
        <is>
          <t>L S STRASBURG LLC</t>
        </is>
      </c>
      <c r="AF27" s="1158"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s="1158" t="inlineStr">
        <is>
          <t>PIII CHAMBERS ROAD LLC</t>
        </is>
      </c>
      <c r="AF28" s="115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s="1158" t="inlineStr">
        <is>
          <t>SCHWARTZ JOSH JON</t>
        </is>
      </c>
      <c r="AF29" s="1158"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s="1158" t="inlineStr">
        <is>
          <t>HZ SORRENTO HIGHPOINTE SQUARE LLC ET AL, C/O PARAMOUNT PROPERTY COMPANY, LTD</t>
        </is>
      </c>
      <c r="AF30" s="1158"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s="1158" t="inlineStr">
        <is>
          <t>JECO HOLDINGS INC</t>
        </is>
      </c>
      <c r="AF31" s="1158"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s="1158" t="inlineStr">
        <is>
          <t>VITELAS LLC</t>
        </is>
      </c>
      <c r="AF32" s="1158"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s="1158" t="inlineStr">
        <is>
          <t>J STREET I LLC</t>
        </is>
      </c>
      <c r="AF33" s="1158"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s="1158" t="inlineStr">
        <is>
          <t>QUALLS JOSEPH M AND, QUALLS CYNTHIA A</t>
        </is>
      </c>
      <c r="AF34" s="1158"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s="1158" t="inlineStr">
        <is>
          <t>DUCTS HOLDINGS LLC</t>
        </is>
      </c>
      <c r="AF35" s="1158"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s="1158" t="inlineStr">
        <is>
          <t>PACHECO JESUS L</t>
        </is>
      </c>
      <c r="AF36" s="1158"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s="1158" t="inlineStr">
        <is>
          <t>K &amp; S FAMILY INDUSTRIES LLC</t>
        </is>
      </c>
      <c r="AF37" s="1158"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s="1158" t="inlineStr">
        <is>
          <t>FRASER SERVICE CENTER LLC</t>
        </is>
      </c>
      <c r="AF38" s="115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s="1158" t="inlineStr">
        <is>
          <t>PACER HOLDINGS LLC</t>
        </is>
      </c>
      <c r="AF39" s="1158"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s="1158" t="inlineStr">
        <is>
          <t>PACER HOLDINGS LLC</t>
        </is>
      </c>
      <c r="AF40" s="1158"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s="1158" t="inlineStr">
        <is>
          <t>HURON 210 LLC</t>
        </is>
      </c>
      <c r="AF41" s="1158"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s="1158" t="inlineStr">
        <is>
          <t>GRAND PROPERTIES CO LLC</t>
        </is>
      </c>
      <c r="AF42" s="1158"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s="1158" t="inlineStr">
        <is>
          <t>SOUTH STREET CAPITAL PARTNERS LLC</t>
        </is>
      </c>
      <c r="AF43" s="1158"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s="1158" t="inlineStr">
        <is>
          <t>SUPREME BRIGHT COLORADO IX LLC</t>
        </is>
      </c>
      <c r="AF44" s="1158"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s="1158" t="inlineStr">
        <is>
          <t>LAMM DEVELOPMENTS LTD</t>
        </is>
      </c>
      <c r="AF45" s="1158"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s="1158" t="inlineStr">
        <is>
          <t>FCA REALTY LLC, TAX AFFAIRS 485-12-30</t>
        </is>
      </c>
      <c r="AF46" s="1158"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s="1158" t="inlineStr">
        <is>
          <t>FIOCCA THOMAS ROBERT AND , FIOCCA ERIN LOIS</t>
        </is>
      </c>
      <c r="AF47" s="1158"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s="1158" t="inlineStr">
        <is>
          <t>84TH SHERIDAN LLC</t>
        </is>
      </c>
      <c r="AF48" s="115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s="1158" t="inlineStr">
        <is>
          <t>DEEM RICHARD O</t>
        </is>
      </c>
      <c r="AF49" s="1158"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s="1158" t="inlineStr">
        <is>
          <t>US BANK NATIONAL ASSOCIATION, C/O RYAN PTS DEPT.908</t>
        </is>
      </c>
      <c r="AF50" s="1158"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s="1158" t="inlineStr">
        <is>
          <t>COUNTRY CLUB VILLAGE TWO LLC</t>
        </is>
      </c>
      <c r="AF51" s="1158"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s="1158" t="inlineStr">
        <is>
          <t>SOCIAL INDUSTRIES 3 LLC</t>
        </is>
      </c>
      <c r="AF52" s="1158"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s="1158" t="inlineStr">
        <is>
          <t>SOCIAL INDUSTRIES 2 LLC</t>
        </is>
      </c>
      <c r="AF53" s="1158"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s="1158" t="inlineStr">
        <is>
          <t>DEN INDUSTRIAL 1 LLC, C/O ALTERNATIVE ASSET MANAGEMENT LLC</t>
        </is>
      </c>
      <c r="AF54" s="1158"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s="1158" t="inlineStr">
        <is>
          <t>WHITE DIANE E</t>
        </is>
      </c>
      <c r="AF55" s="1158"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s="1158" t="inlineStr">
        <is>
          <t>1630 ENTERPRISES LLC</t>
        </is>
      </c>
      <c r="AF56" s="1158"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s="1158" t="inlineStr">
        <is>
          <t>MAZZO ENTERPRISES LLLP</t>
        </is>
      </c>
      <c r="AF57" s="1158"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s="1158" t="inlineStr">
        <is>
          <t>1401 BRIGHTON LLC</t>
        </is>
      </c>
      <c r="AF58" s="11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s="1158" t="inlineStr">
        <is>
          <t>FRONT RANGE PORTFOLIO LLC</t>
        </is>
      </c>
      <c r="AF59" s="1158"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s="1158" t="inlineStr">
        <is>
          <t>SEVEN SEAS HOLDING COMPANY LLC</t>
        </is>
      </c>
      <c r="AF60" s="1158"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s="1158" t="inlineStr">
        <is>
          <t>1790 JASPER STREET LLC</t>
        </is>
      </c>
      <c r="AF61" s="1158"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s="1158" t="inlineStr">
        <is>
          <t>C C E REAL ESTATE LLC, C/O FLYNN SOUTHWEST LP</t>
        </is>
      </c>
      <c r="AF62" s="1158"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s="1158" t="inlineStr">
        <is>
          <t>DENNIS M MITCHELL REVOCABLE TRUST</t>
        </is>
      </c>
      <c r="AF63" s="1158"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s="1158" t="inlineStr">
        <is>
          <t>END-IRA INC ET AL</t>
        </is>
      </c>
      <c r="AF64" s="1158"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s="1158" t="inlineStr">
        <is>
          <t>YTTC LLC</t>
        </is>
      </c>
      <c r="AF65" s="1158"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s="1158" t="inlineStr">
        <is>
          <t>SHERWOOD FAMILY LIMITED PARTNERSHIP</t>
        </is>
      </c>
      <c r="AF66" s="1158"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s="1158" t="inlineStr">
        <is>
          <t>AEGIS COLORADO LLC</t>
        </is>
      </c>
      <c r="AF67" s="1158"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s="1158" t="inlineStr">
        <is>
          <t>VXSN LLC</t>
        </is>
      </c>
      <c r="AF68" s="115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s="1158" t="inlineStr">
        <is>
          <t>MYKLEBUST HOLDINGS LLC</t>
        </is>
      </c>
      <c r="AF69" s="1158"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s="1158" t="inlineStr">
        <is>
          <t>GG PROPERTY LLC</t>
        </is>
      </c>
      <c r="AF70" s="1158"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s="1158" t="inlineStr">
        <is>
          <t>BPAZ HOLDINGS 13 LLC</t>
        </is>
      </c>
      <c r="AF71" s="1158"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s="1158" t="inlineStr">
        <is>
          <t>MACK VENTURES LLC</t>
        </is>
      </c>
      <c r="AF72" s="1158"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s="1158" t="inlineStr">
        <is>
          <t>RESEIGH KAREN L</t>
        </is>
      </c>
      <c r="AF73" s="1158"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s="1158" t="inlineStr">
        <is>
          <t>AAE LLC</t>
        </is>
      </c>
      <c r="AF74" s="1158"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s="1158" t="inlineStr">
        <is>
          <t>SEEP INVESTMENTS LLC</t>
        </is>
      </c>
      <c r="AF75" s="1158"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s="1158" t="inlineStr">
        <is>
          <t>ROSLYN STREET PROPERTIES LLC</t>
        </is>
      </c>
      <c r="AF76" s="1158"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s="1158" t="inlineStr">
        <is>
          <t>REID ROBERT F SR AKA ROBERT, AKA ROBERT FREDERICK SR</t>
        </is>
      </c>
      <c r="AF77" s="1158"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s="1158" t="inlineStr">
        <is>
          <t>7040 FAIRFAX DRIVE LLC</t>
        </is>
      </c>
      <c r="AF78" s="115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s="1158" t="inlineStr">
        <is>
          <t>PROJECT53 LLC</t>
        </is>
      </c>
      <c r="AF79" s="1158"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s="1158" t="inlineStr">
        <is>
          <t>CBA GIAMBROCCO LLLP</t>
        </is>
      </c>
      <c r="AF80" s="1158"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s="1158" t="inlineStr">
        <is>
          <t>MAURER SCOTT AND, MAURER KIMBERLEY W</t>
        </is>
      </c>
      <c r="AF81" s="1158"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s="1158" t="inlineStr">
        <is>
          <t>KRUPP GLASSMAN &amp; GLASSMAN LLC</t>
        </is>
      </c>
      <c r="AF82" s="1158"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s="1158" t="inlineStr">
        <is>
          <t>5801 LOGAN STREET LLC</t>
        </is>
      </c>
      <c r="AF83" s="1158"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s="1158" t="inlineStr">
        <is>
          <t>MANHATTAN FUND XXI LLC</t>
        </is>
      </c>
      <c r="AF84" s="1158"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s="1158" t="inlineStr">
        <is>
          <t>BROCAT LLC</t>
        </is>
      </c>
      <c r="AF85" s="1158"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s="1158" t="inlineStr">
        <is>
          <t>NEUMANN DEBORAH J TRUST THE</t>
        </is>
      </c>
      <c r="AF86" s="1158"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s="1158" t="inlineStr">
        <is>
          <t>INVESTORS PENCHANT ONE LLC</t>
        </is>
      </c>
      <c r="AF87" s="1158"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s="1158" t="inlineStr">
        <is>
          <t>HARTIGAN PROPERTIES LLC</t>
        </is>
      </c>
      <c r="AF88" s="115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s="1158" t="inlineStr">
        <is>
          <t>JRM ESTATES LLC</t>
        </is>
      </c>
      <c r="AF89" s="1158"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s="1158" t="inlineStr">
        <is>
          <t>FAGGETT ROBERT L</t>
        </is>
      </c>
      <c r="AF90" s="1158"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s="1158" t="inlineStr">
        <is>
          <t xml:space="preserve">HAFER DONALD J, BROWN PATRICIA A, </t>
        </is>
      </c>
      <c r="AF91" s="1158"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s="1158" t="inlineStr">
        <is>
          <t>PARK WEST INVESTMENTS LLC</t>
        </is>
      </c>
      <c r="AF92" s="1158"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s="1158" t="inlineStr">
        <is>
          <t>RAYFIELD PROPERTIES LLC</t>
        </is>
      </c>
      <c r="AF93" s="1158"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s="1158" t="inlineStr">
        <is>
          <t>L AND H LLC</t>
        </is>
      </c>
      <c r="AF94" s="1158"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s="1158" t="inlineStr">
        <is>
          <t>MURPHY WILLIAM R JR</t>
        </is>
      </c>
      <c r="AF95" s="1158"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s="1158" t="inlineStr">
        <is>
          <t>HAMON LLC</t>
        </is>
      </c>
      <c r="AF96" s="1158"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s="1158" t="inlineStr">
        <is>
          <t>CHAI INVESTMENTS LLC</t>
        </is>
      </c>
      <c r="AF97" s="1158"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s="1158" t="inlineStr">
        <is>
          <t>67TH STREET ACQUISITIONS LLC</t>
        </is>
      </c>
      <c r="AF98" s="115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s="1158" t="inlineStr">
        <is>
          <t>GRAEME JOHNSTON LLC</t>
        </is>
      </c>
      <c r="AF99" s="1158"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s="1158" t="inlineStr">
        <is>
          <t>ALL SECURE SELF STORAGE LLC</t>
        </is>
      </c>
      <c r="AF100" s="1158"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s="1158" t="inlineStr">
        <is>
          <t>PRIMA CARE CARE LLC</t>
        </is>
      </c>
      <c r="AF101" s="1158"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s="1158" t="inlineStr">
        <is>
          <t>THE GARAGE SOCIETY HOLDINGS LLC</t>
        </is>
      </c>
      <c r="AF102" s="1158"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s="1158" t="inlineStr">
        <is>
          <t>HONNEN PARTNERS L L C</t>
        </is>
      </c>
      <c r="AF103" s="1158"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s="1158" t="inlineStr">
        <is>
          <t>BUBB LLC</t>
        </is>
      </c>
      <c r="AF104" s="1158"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s="1158" t="inlineStr">
        <is>
          <t>PRIMA CAR CARE LLC</t>
        </is>
      </c>
      <c r="AF105" s="1158"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s="1158" t="inlineStr">
        <is>
          <t>7160 IRVING STREET LLC</t>
        </is>
      </c>
      <c r="AF106" s="1158"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s="1158" t="inlineStr">
        <is>
          <t>H.N.K. INVESTMENT LLC</t>
        </is>
      </c>
      <c r="AF107" s="1158"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s="1158" t="inlineStr">
        <is>
          <t>OGDEN MCHENRY FAMILY TRUST</t>
        </is>
      </c>
      <c r="AF108" s="115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s="1158" t="inlineStr">
        <is>
          <t>FREEDMAN ROBERT ANDREW AND , FREEDMAN LORI ELAINE</t>
        </is>
      </c>
      <c r="AF109" s="1158"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s="1158" t="inlineStr">
        <is>
          <t>2611 WEST 64TH AVENUE UNIT F LLC</t>
        </is>
      </c>
      <c r="AF110" s="1158"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s="1158" t="inlineStr">
        <is>
          <t>POOR BOY PROPERTIES LLC</t>
        </is>
      </c>
      <c r="AF111" s="1158"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s="1158" t="inlineStr">
        <is>
          <t>429 BRIDGE STREET LLC</t>
        </is>
      </c>
      <c r="AF112" s="1158"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s="1158" t="inlineStr">
        <is>
          <t>75 PARTNERSHIP LLC</t>
        </is>
      </c>
      <c r="AF113" s="1158"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s="1158" t="inlineStr">
        <is>
          <t>133# RAIL LLC 90% INT AND, E AND K INVESTING LLC 10% INT</t>
        </is>
      </c>
      <c r="AF114" s="1158"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s="1158" t="inlineStr">
        <is>
          <t>JAMES RUSSELL PROPERTIES LLC</t>
        </is>
      </c>
      <c r="AF115" s="1158"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s="1158" t="inlineStr">
        <is>
          <t>10783 IRMA DRIVE LLC</t>
        </is>
      </c>
      <c r="AF116" s="1158"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s="1158" t="inlineStr">
        <is>
          <t>THE HILLS STORE INC</t>
        </is>
      </c>
      <c r="AF117" s="1158"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s="1158" t="inlineStr">
        <is>
          <t>PAVILIONS PL LLC</t>
        </is>
      </c>
      <c r="AF118" s="115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s="1158" t="inlineStr">
        <is>
          <t>VILLANUEVA-MACIAS IGNACIO</t>
        </is>
      </c>
      <c r="AF119" s="1158"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s="1158" t="inlineStr">
        <is>
          <t>MEDINA ART L AND, MEDINA URSULA</t>
        </is>
      </c>
      <c r="AF120" s="1158"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s="1158" t="inlineStr">
        <is>
          <t>ANYHOME INVESTMENT GROUP LLC</t>
        </is>
      </c>
      <c r="AF121" s="1158"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s="1158" t="inlineStr">
        <is>
          <t>SPEC WHEELS OF AMERICA INC</t>
        </is>
      </c>
      <c r="AF122" s="1158"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s="1158" t="inlineStr">
        <is>
          <t>STOPA LEOPOLD ADAM FAMILY TRUST 48/68%, STOPA LEOPOLD ADAM MARITAN TRUST  et al.</t>
        </is>
      </c>
      <c r="AF123" s="1158"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s="1158" t="inlineStr">
        <is>
          <t>ROZA KAYKOVA LLC</t>
        </is>
      </c>
      <c r="AF124" s="1158"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s="1158" t="inlineStr">
        <is>
          <t>KLV INVESTMENTS LLC</t>
        </is>
      </c>
      <c r="AF125" s="1158"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s="1158" t="inlineStr">
        <is>
          <t>MMCG TNET COLORADO LLC</t>
        </is>
      </c>
      <c r="AF126" s="1158"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s="1158" t="inlineStr">
        <is>
          <t>XM HOLDINGS LLC AND, K&amp;V HOLDINGS LLC</t>
        </is>
      </c>
      <c r="AF127" s="1158"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s="1158" t="inlineStr">
        <is>
          <t>LONE STAR HOLDINGS LLC</t>
        </is>
      </c>
      <c r="AF128" s="115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s="1158" t="inlineStr">
        <is>
          <t>NNN 128 QUEBEC LLC</t>
        </is>
      </c>
      <c r="AF129" s="1158"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s="1158" t="inlineStr">
        <is>
          <t>RK EVBK COMMERCE CITY LLC, C/O READ KING, INC</t>
        </is>
      </c>
      <c r="AF130" s="1158"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s="1158" t="inlineStr">
        <is>
          <t>37851 51ST AVE HANGAR OWNERS ASSOCIATION INC</t>
        </is>
      </c>
      <c r="AF131" s="1158"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s="1158" t="inlineStr">
        <is>
          <t>66 S MAIN LLC</t>
        </is>
      </c>
      <c r="AF132" s="1158"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s="1158" t="inlineStr">
        <is>
          <t>2090 E 104TH LLC</t>
        </is>
      </c>
      <c r="AF133" s="1158"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s="1158" t="inlineStr">
        <is>
          <t>HOLTS LLC</t>
        </is>
      </c>
      <c r="AF134" s="1158"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s="1158" t="inlineStr">
        <is>
          <t>BRAZZELL DAVID R AND, BRAZZELL BRIAN J</t>
        </is>
      </c>
      <c r="AF135" s="1158"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s="1158" t="inlineStr">
        <is>
          <t>CTTW HOLDINGS LLC AND MARSCH NICHOLAS AND, MARSCH &amp; BAKOUCHE RENTALS LLC ET AL</t>
        </is>
      </c>
      <c r="AF136" s="1158"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s="1158" t="inlineStr">
        <is>
          <t>DCW FAMILY HOLDINGS LLC</t>
        </is>
      </c>
      <c r="AF137" s="1158"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s="1158" t="inlineStr">
        <is>
          <t>FIVEKC LLC</t>
        </is>
      </c>
      <c r="AF138" s="115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s="1158" t="inlineStr">
        <is>
          <t>NORMAN GAUGER INC</t>
        </is>
      </c>
      <c r="AF139" s="1158"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s="1158" t="inlineStr">
        <is>
          <t>2896 W 64TH AVE LLC</t>
        </is>
      </c>
      <c r="AF140" s="1158"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s="1158" t="inlineStr">
        <is>
          <t>NG21 LP</t>
        </is>
      </c>
      <c r="AF141" s="1158"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s="1158" t="inlineStr">
        <is>
          <t>KICKBUSH DOM AND, KICKBUSH ANA</t>
        </is>
      </c>
      <c r="AF142" s="1158"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s="1158" t="inlineStr">
        <is>
          <t>JACKSON LARRY DEAN</t>
        </is>
      </c>
      <c r="AF143" s="1158"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s="1158" t="inlineStr">
        <is>
          <t>CMS HOLDINGS LLC</t>
        </is>
      </c>
      <c r="AF144" s="1158"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s="1158" t="inlineStr">
        <is>
          <t>7205 MEADE LLC</t>
        </is>
      </c>
      <c r="AF145" s="1158"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s="1158" t="inlineStr">
        <is>
          <t>WARD REALTY CORPORATION</t>
        </is>
      </c>
      <c r="AF146" s="1158"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s="1158" t="inlineStr">
        <is>
          <t xml:space="preserve">BEGLEY OTHEL BAXTER AND , KOZA JEFFREY P </t>
        </is>
      </c>
      <c r="AF147" s="1158"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s="1158" t="inlineStr">
        <is>
          <t>BDM HOLDINGS LLC</t>
        </is>
      </c>
      <c r="AF148" s="115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s="1158" t="inlineStr">
        <is>
          <t>BLUE ROOF RENTALS LLC</t>
        </is>
      </c>
      <c r="AF149" s="1158"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s="1158" t="inlineStr">
        <is>
          <t>MLS PROPERTIES LLC</t>
        </is>
      </c>
      <c r="AF150" s="1158"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s="1158" t="inlineStr">
        <is>
          <t>DIESEL FORWARD INC</t>
        </is>
      </c>
      <c r="AF151" s="1158"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s="1158" t="inlineStr">
        <is>
          <t>RUBY AMOR INVESTMENTS LLC</t>
        </is>
      </c>
      <c r="AF152" s="1158"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s="1158" t="inlineStr">
        <is>
          <t>BERMAN ANDREW P</t>
        </is>
      </c>
      <c r="AF153" s="1158"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s="1158" t="inlineStr">
        <is>
          <t>IGLESIA DE DIOS PENTECOSTAL M. I.</t>
        </is>
      </c>
      <c r="AF154" s="1158"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s="1158" t="inlineStr">
        <is>
          <t>17 N 12 LLC</t>
        </is>
      </c>
      <c r="AF155" s="1158"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s="1158" t="inlineStr">
        <is>
          <t>SHALOM REALTY  (AURORA CENTER I AT GATEWAY COLORADO), C/O DALFEN INDUSTRIAL LLC</t>
        </is>
      </c>
      <c r="AF156" s="1158"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s="1158" t="inlineStr">
        <is>
          <t>ACA 88 LLC</t>
        </is>
      </c>
      <c r="AF157" s="1158"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s="1158" t="inlineStr">
        <is>
          <t>GEE KYLE</t>
        </is>
      </c>
      <c r="AF158" s="1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s="1158" t="inlineStr">
        <is>
          <t>EVC BRIGHTON LLC</t>
        </is>
      </c>
      <c r="AF159" s="1158"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s="1158" t="inlineStr">
        <is>
          <t>WDG AMBER CREEK LLC</t>
        </is>
      </c>
      <c r="AF160" s="1158"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s="1158" t="inlineStr">
        <is>
          <t>37851 51ST AVE HANGAR OWNERS ASSOCIATION INC</t>
        </is>
      </c>
      <c r="AF161" s="1158"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s="1158" t="inlineStr">
        <is>
          <t>37851 51ST AVE HANGAR OWNERS ASSOCIATION INC</t>
        </is>
      </c>
      <c r="AF162" s="1158"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s="1158" t="inlineStr">
        <is>
          <t>37851 51ST AVE HANGAR OWNERS ASSOCIATION INC</t>
        </is>
      </c>
      <c r="AF163" s="1158"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s="1158" t="inlineStr">
        <is>
          <t>37851 51ST AVE HANGAR OWNERS ASSOCIATION INC</t>
        </is>
      </c>
      <c r="AF164" s="1158"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s="1158" t="inlineStr">
        <is>
          <t>THE GARAGE SOCIETY HOLDINGS LLC</t>
        </is>
      </c>
      <c r="AF165" s="1158"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s="1158" t="inlineStr">
        <is>
          <t>GREYSON HOLDINGS LLC</t>
        </is>
      </c>
      <c r="AF166" s="1158"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s="1158" t="inlineStr">
        <is>
          <t>CONNER PAUL S</t>
        </is>
      </c>
      <c r="AF167" s="1158"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s="1158" t="inlineStr">
        <is>
          <t>8451 DELAWARE STREET LLC</t>
        </is>
      </c>
      <c r="AF168" s="115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s="1158" t="inlineStr">
        <is>
          <t>MUTZIG STEVEN M</t>
        </is>
      </c>
      <c r="AF169" s="1158"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s="1158" t="inlineStr">
        <is>
          <t>E AND E INVESTMENTS INC, C/O DAVID ENGBRECHT</t>
        </is>
      </c>
      <c r="AF170" s="1158"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s="1158" t="inlineStr">
        <is>
          <t>PAC PROPERTIES LLC</t>
        </is>
      </c>
      <c r="AF171" s="1158"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s="1158" t="inlineStr">
        <is>
          <t>J AND N DENVER IV LLC</t>
        </is>
      </c>
      <c r="AF172" s="1158"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s="1158" t="inlineStr">
        <is>
          <t>SDW FAMILY PROEPRTIES LLC</t>
        </is>
      </c>
      <c r="AF173" s="1158"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s="1158" t="inlineStr">
        <is>
          <t>MCAVIN ENTERPRISES LLC</t>
        </is>
      </c>
      <c r="AF174" s="1158"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s="1158" t="inlineStr">
        <is>
          <t>THE GARAGE SOCIETY HOLDINGS LLC</t>
        </is>
      </c>
      <c r="AF175" s="1158"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s="1158" t="inlineStr">
        <is>
          <t>THE GARAGE SOCIETY HOLDINGS LLC</t>
        </is>
      </c>
      <c r="AF176" s="1158"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s="1158" t="inlineStr">
        <is>
          <t>37851 51ST AVE HANGAR OWNERS ASSOCIATION INC</t>
        </is>
      </c>
      <c r="AF177" s="1158"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s="1158" t="inlineStr">
        <is>
          <t>37851 51ST AVE HANGAR OWNERS ASSOCIATION INC</t>
        </is>
      </c>
      <c r="AF178" s="115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s="1158" t="inlineStr">
        <is>
          <t>37851 51ST AVE HANGAR OWNERS ASSOCIATION INC</t>
        </is>
      </c>
      <c r="AF179" s="1158"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s="1158" t="inlineStr">
        <is>
          <t>37851 51ST AVE HANGAR OWNERS ASSOCIATION INC</t>
        </is>
      </c>
      <c r="AF180" s="1158"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s="1158" t="inlineStr">
        <is>
          <t>THE GARAGE SOCIETY HOLDINGS LLC</t>
        </is>
      </c>
      <c r="AF181" s="1158"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s="1158" t="inlineStr">
        <is>
          <t>2861 FINANCIAL LLC</t>
        </is>
      </c>
      <c r="AF182" s="1158"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s="1158" t="inlineStr">
        <is>
          <t>1382 BOSTON LLC</t>
        </is>
      </c>
      <c r="AF183" s="1158"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s="1158" t="inlineStr">
        <is>
          <t>BRUNSON REAL ESTATE HOLDINGS LLC</t>
        </is>
      </c>
      <c r="AF184" s="1158"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s="1158" t="inlineStr">
        <is>
          <t>BTC VISIONS LLC</t>
        </is>
      </c>
      <c r="AF185" s="1158"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s="1158" t="inlineStr">
        <is>
          <t>BOOMHAUSER EDDIE LLC</t>
        </is>
      </c>
      <c r="AF186" s="1158"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s="1158" t="inlineStr">
        <is>
          <t>ECE I LLC, ATTN ASSET MANAGER</t>
        </is>
      </c>
      <c r="AF187" s="1158"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s="1158" t="inlineStr">
        <is>
          <t>BANG ENTERPRIZE INC</t>
        </is>
      </c>
      <c r="AF188" s="115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s="1158" t="inlineStr">
        <is>
          <t>THEODORA CHECKERS LLC</t>
        </is>
      </c>
      <c r="AF189" s="1158"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s="1158" t="inlineStr">
        <is>
          <t>TRIPLE L PROPERTIES LLC</t>
        </is>
      </c>
      <c r="AF190" s="1158"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s="1158" t="inlineStr">
        <is>
          <t>6195 CLERMONT LLC</t>
        </is>
      </c>
      <c r="AF191" s="1158"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s="1158" t="inlineStr">
        <is>
          <t>THE 2023 COUSSAN CRUT 6</t>
        </is>
      </c>
      <c r="AF192" s="1158"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s="1158" t="inlineStr">
        <is>
          <t>KONN RICHARD AND , ADINOLFE MICHAEL</t>
        </is>
      </c>
      <c r="AF193" s="1158"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s="1158" t="inlineStr">
        <is>
          <t>VILLAGE CENTER PARTNERS LLC</t>
        </is>
      </c>
      <c r="AF194" s="1158"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s="1158" t="inlineStr">
        <is>
          <t>AMERICAN LAND CRUISERS INC</t>
        </is>
      </c>
      <c r="AF195" s="1158"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s="1158" t="inlineStr">
        <is>
          <t>MARTINEZ ORLANDO UND 80% INT AND, MUNOZ LUIS UND 20% INT</t>
        </is>
      </c>
      <c r="AF196" s="1158"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s="1158" t="inlineStr">
        <is>
          <t>BEFORT PLUMBING AND HEATING COMPANY INC</t>
        </is>
      </c>
      <c r="AF197" s="1158"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s="1158" t="inlineStr">
        <is>
          <t>WEPRIN PROPERTIES LLC</t>
        </is>
      </c>
      <c r="AF198" s="115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s="1158" t="inlineStr">
        <is>
          <t>GUSTTE PHILIP O AND, GUSTTE TIFFANY A</t>
        </is>
      </c>
      <c r="AF199" s="1158"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s="1158" t="inlineStr">
        <is>
          <t>END-IRA INC FBO RODNEY W LUECK IRA</t>
        </is>
      </c>
      <c r="AF200" s="1158"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s="1158" t="inlineStr">
        <is>
          <t>RRS HOLDINGS LLC</t>
        </is>
      </c>
      <c r="AF201" s="1158"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s="1158" t="inlineStr">
        <is>
          <t>41581 NORTHGLENN CO LLC</t>
        </is>
      </c>
      <c r="AF202" s="1158"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s="1158" t="inlineStr">
        <is>
          <t>NORTH DENVER MOB LLC</t>
        </is>
      </c>
      <c r="AF203" s="1158"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s="1158" t="inlineStr">
        <is>
          <t>TBM 03X LLC</t>
        </is>
      </c>
      <c r="AF204" s="1158"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s="1158" t="inlineStr">
        <is>
          <t>THE GARAGE SOCIETY HOLDINGS LLC</t>
        </is>
      </c>
      <c r="AF205" s="1158"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s="1158" t="inlineStr">
        <is>
          <t>37851 51ST AVE HANGAR OWNERS ASSOCIATION INC</t>
        </is>
      </c>
      <c r="AF206" s="1158"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s="1158" t="inlineStr">
        <is>
          <t>37851 51ST AVE HANGAR OWNERS ASSOCIATION INC</t>
        </is>
      </c>
      <c r="AF207" s="1158"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s="1158" t="inlineStr">
        <is>
          <t>JOSHNIK CO LLLP</t>
        </is>
      </c>
      <c r="AF208" s="115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s="1158" t="inlineStr">
        <is>
          <t>GAYESKI CAPITAL EQUITIES LLC</t>
        </is>
      </c>
      <c r="AF209" s="1158"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s="1158" t="inlineStr">
        <is>
          <t>MCCALLIN REAL ESTATE LLC</t>
        </is>
      </c>
      <c r="AF210" s="1158"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s="1158" t="inlineStr">
        <is>
          <t>GORDON GROUP INVESTMENTS LLC</t>
        </is>
      </c>
      <c r="AF211" s="1158"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s="1158" t="inlineStr">
        <is>
          <t>WALGREEN CO</t>
        </is>
      </c>
      <c r="AF212" s="1158"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s="1158" t="inlineStr">
        <is>
          <t>RC COLORADO ENTERPRISES LLC</t>
        </is>
      </c>
      <c r="AF213" s="1158"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s="1158" t="inlineStr">
        <is>
          <t>HD ALAMEDA LLC</t>
        </is>
      </c>
      <c r="AF214" s="1158"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s="1158" t="inlineStr">
        <is>
          <t>HD ALAMEDA LLC</t>
        </is>
      </c>
      <c r="AF215" s="1158"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s="1158" t="inlineStr">
        <is>
          <t>GROWEST PROPERTIES LLC</t>
        </is>
      </c>
      <c r="AF216" s="1158"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s="1158" t="inlineStr">
        <is>
          <t>NAN ZHI ZHONG</t>
        </is>
      </c>
      <c r="AF217" s="1158"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s="1158" t="inlineStr">
        <is>
          <t>ASTRO REALTY LLC</t>
        </is>
      </c>
      <c r="AF218" s="115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s="1158" t="inlineStr">
        <is>
          <t>WILLOW RUN INVESTORS LLC</t>
        </is>
      </c>
      <c r="AF219" s="1158"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s="1158" t="inlineStr">
        <is>
          <t>HIGHLAND PROPERTIES 1222 LLC</t>
        </is>
      </c>
      <c r="AF220" s="1158"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s="1158" t="inlineStr">
        <is>
          <t>MIDWEST BUILDING PROFESSIONALS LLC</t>
        </is>
      </c>
      <c r="AF221" s="1158"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s="1158" t="inlineStr">
        <is>
          <t>WEST 62ND AVE LLC, GRAND JUNCTION VENTURE LLC</t>
        </is>
      </c>
      <c r="AF222" s="1158"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s="1158" t="inlineStr">
        <is>
          <t>STRATUS AMBER CREEK LLC</t>
        </is>
      </c>
      <c r="AF223" s="1158"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s="1158" t="inlineStr">
        <is>
          <t>QUIKTRIP CORPORATION</t>
        </is>
      </c>
      <c r="AF224" s="1158"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s="1158" t="inlineStr">
        <is>
          <t xml:space="preserve">GOLDEN HILLS LLC AND , REAL PROPERTY ACQUISITIONS INITIATIVES LLC </t>
        </is>
      </c>
      <c r="AF225" s="1158"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s="1158" t="inlineStr">
        <is>
          <t>STEWART DON W LIVING TRUST 1/2 INT, STEWART DON W MARITAL TRUST 1/2 INT</t>
        </is>
      </c>
      <c r="AF226" s="1158"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s="1158" t="inlineStr">
        <is>
          <t>STEWART DON W LIVING TRUST 1/2 INT, STEWART DON W MARITAL TRUST 1/2 INT</t>
        </is>
      </c>
      <c r="AF227" s="1158"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s="1158" t="inlineStr">
        <is>
          <t>MATHEWS FAMILY LLC</t>
        </is>
      </c>
      <c r="AF228" s="115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s="1158" t="inlineStr">
        <is>
          <t>MATHEWS FAMILY LLC</t>
        </is>
      </c>
      <c r="AF229" s="1158"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s="1158" t="inlineStr">
        <is>
          <t>COOK LISA AND DANSKY VICKI AND , PERLMUTTER JAY AND PERLMUTTER JONATHAN ET AL</t>
        </is>
      </c>
      <c r="AF230" s="1158"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s="1158" t="inlineStr">
        <is>
          <t>COOK LISA AND DANSKY VICKI AND , PERLMUTTER JAY AND PERLMUTTER JONATHAN ET AL</t>
        </is>
      </c>
      <c r="AF231" s="1158"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s="1158" t="inlineStr">
        <is>
          <t>UTAH WOOD PRESERVING CO</t>
        </is>
      </c>
      <c r="AF232" s="1158"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s="1158" t="inlineStr">
        <is>
          <t>SCANNELL PROPERTIES #505 LLC</t>
        </is>
      </c>
      <c r="AF233" s="1158"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s="1158" t="inlineStr">
        <is>
          <t>IOV 8780 93RD PLACE LLC</t>
        </is>
      </c>
      <c r="AF234" s="1158"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s="1158" t="inlineStr">
        <is>
          <t>STRATUS AMBER CREEK LLC</t>
        </is>
      </c>
      <c r="AF235" s="1158"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s="1158" t="inlineStr">
        <is>
          <t>PONY EXPRESS MINI STORAGE II LLC</t>
        </is>
      </c>
      <c r="AF236" s="1158"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s="1158" t="inlineStr">
        <is>
          <t>SHELL LLC</t>
        </is>
      </c>
      <c r="AF237" s="1158"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s="1158" t="inlineStr">
        <is>
          <t>ARCP WY WESTMINSTER CO LLC, C/O RYAN LLC-PTS</t>
        </is>
      </c>
      <c r="AF238" s="115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s="1158" t="inlineStr">
        <is>
          <t>HAN CHUN INC</t>
        </is>
      </c>
      <c r="AF239" s="1158"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s="1158" t="inlineStr">
        <is>
          <t>BENNETT CO DG LLC</t>
        </is>
      </c>
      <c r="AF240" s="1158"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s="1158" t="inlineStr">
        <is>
          <t>DANKO-HOLLOWAY LLC</t>
        </is>
      </c>
      <c r="AF241" s="1158"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s="1158" t="inlineStr">
        <is>
          <t>WA WOOD SHOP LLC</t>
        </is>
      </c>
      <c r="AF242" s="1158"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s="1158" t="inlineStr">
        <is>
          <t>WA WOOD SHOP LLC</t>
        </is>
      </c>
      <c r="AF243" s="1158"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s="1158" t="inlineStr">
        <is>
          <t>CENTRAL CONNECTION LLC</t>
        </is>
      </c>
      <c r="AF244" s="1158"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s="1158" t="inlineStr">
        <is>
          <t>CENTRAL CONNECTION LLC</t>
        </is>
      </c>
      <c r="AF245" s="1158"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s="1158" t="inlineStr">
        <is>
          <t>6990 FEDERAL BLVD LLC</t>
        </is>
      </c>
      <c r="AF246" s="1158"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s="1158" t="inlineStr">
        <is>
          <t>BLANCO PROPERTIES IRMA LLC</t>
        </is>
      </c>
      <c r="AF247" s="1158"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s="1158" t="inlineStr">
        <is>
          <t>SERITAGE KMT FINANCE LLC</t>
        </is>
      </c>
      <c r="AF248" s="115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s="1158" t="inlineStr">
        <is>
          <t>QCSIF SIX LLC, C/O IEQ MANAGEMENT INC</t>
        </is>
      </c>
      <c r="AF249" s="1158"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s="1158" t="inlineStr">
        <is>
          <t>OVERLAND LEASING LLC</t>
        </is>
      </c>
      <c r="AF250" s="1158"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s="1158" t="inlineStr">
        <is>
          <t>JOYCE JOHN</t>
        </is>
      </c>
      <c r="AF251" s="1158"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s="1158" t="inlineStr">
        <is>
          <t>JOYCE JOHN</t>
        </is>
      </c>
      <c r="AF252" s="1158"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s="1158" t="inlineStr">
        <is>
          <t>TRI-STATE GENERATION AND, TRANSMISSION ASSOCIATION INC</t>
        </is>
      </c>
      <c r="AF253" s="1158"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s="1158" t="inlineStr">
        <is>
          <t>VANDEWEGHE BEVERLY LIVING TRUST THE</t>
        </is>
      </c>
      <c r="AF254" s="1158"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s="1158" t="inlineStr">
        <is>
          <t>EXPLORER BRADBURN PROPERTY LLC</t>
        </is>
      </c>
      <c r="AF255" s="1158"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s="1158" t="inlineStr">
        <is>
          <t>GDG LLC</t>
        </is>
      </c>
      <c r="AF256" s="1158"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s="1158" t="inlineStr">
        <is>
          <t>KH CARWASH LLC</t>
        </is>
      </c>
      <c r="AF257" s="1158"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s="1158" t="inlineStr">
        <is>
          <t>HG FIRST VENTURE LLC</t>
        </is>
      </c>
      <c r="AF258" s="11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s="1158" t="inlineStr">
        <is>
          <t>DETRO NADINE L</t>
        </is>
      </c>
      <c r="AF259" s="1158"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s="1158" t="inlineStr">
        <is>
          <t>DETRO NADINE L</t>
        </is>
      </c>
      <c r="AF260" s="1158"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s="1158" t="inlineStr">
        <is>
          <t>ETS FAMILY HOLDINGS LLC</t>
        </is>
      </c>
      <c r="AF261" s="1158"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s="1158" t="inlineStr">
        <is>
          <t>2 US 4VR LLC</t>
        </is>
      </c>
      <c r="AF262" s="1158"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s="1158" t="inlineStr">
        <is>
          <t>2 US 4VR LLC</t>
        </is>
      </c>
      <c r="AF263" s="1158"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s="1158" t="inlineStr">
        <is>
          <t>909W62AVE LLC</t>
        </is>
      </c>
      <c r="AF264" s="1158"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s="1158" t="inlineStr">
        <is>
          <t>FORTENBERRY INVESTMENT CO LLP</t>
        </is>
      </c>
      <c r="AF265" s="1158"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s="1158" t="inlineStr">
        <is>
          <t>TRANSIT MANAGEMENT LLC</t>
        </is>
      </c>
      <c r="AF266" s="1158"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s="1158" t="inlineStr">
        <is>
          <t>TRANSIT MANAGEMENT LLC</t>
        </is>
      </c>
      <c r="AF267" s="1158"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s="1158" t="inlineStr">
        <is>
          <t>TRANSIT MANAGEMENT LLC</t>
        </is>
      </c>
      <c r="AF268" s="115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s="1158" t="inlineStr">
        <is>
          <t>SDM REALTY GROUP LLC</t>
        </is>
      </c>
      <c r="AF269" s="1158"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s="1158" t="inlineStr">
        <is>
          <t>SDM REALTY GROUP LLC</t>
        </is>
      </c>
      <c r="AF270" s="1158"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s="1158" t="inlineStr">
        <is>
          <t>CROCKET RICHARD E</t>
        </is>
      </c>
      <c r="AF271" s="1158"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s="1158" t="inlineStr">
        <is>
          <t>WSM INDUSTRIES INC</t>
        </is>
      </c>
      <c r="AF272" s="1158"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s="1158" t="inlineStr">
        <is>
          <t>SOUTH STREET CAPITAL PARTNERS LLC</t>
        </is>
      </c>
      <c r="AF273" s="1158"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s="1158" t="inlineStr">
        <is>
          <t>SOUTH STREET CAPITAL PARTNERS LLC</t>
        </is>
      </c>
      <c r="AF274" s="1158"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s="1158" t="inlineStr">
        <is>
          <t>M-J PERRI CO</t>
        </is>
      </c>
      <c r="AF275" s="1158"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s="1158" t="inlineStr">
        <is>
          <t>HONNEN PARTNERS L L C</t>
        </is>
      </c>
      <c r="AF276" s="1158"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s="1158" t="inlineStr">
        <is>
          <t>BROADWAYS LLC</t>
        </is>
      </c>
      <c r="AF277" s="1158"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s="1158" t="inlineStr">
        <is>
          <t>BROADWAYS LLC</t>
        </is>
      </c>
      <c r="AF278" s="115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s="1158" t="inlineStr">
        <is>
          <t>MBD ENTERPRISES LLC</t>
        </is>
      </c>
      <c r="AF279" s="1158"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s="1158" t="inlineStr">
        <is>
          <t>MBD ENTERPRISES LLC</t>
        </is>
      </c>
      <c r="AF280" s="1158"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s="1158" t="inlineStr">
        <is>
          <t>DSE LLC</t>
        </is>
      </c>
      <c r="AF281" s="1158"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s="1158" t="inlineStr">
        <is>
          <t>BURNCO COLORADO LLC, C/O PROPERTY TAX DEPT</t>
        </is>
      </c>
      <c r="AF282" s="1158"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s="1158" t="inlineStr">
        <is>
          <t>BONNIE K LISLE ROTH IRA</t>
        </is>
      </c>
      <c r="AF283" s="1158"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s="1158" t="inlineStr">
        <is>
          <t>40TH STREET PARTNERS LLC FKA MUHLENBERG INVESTMENT LLC</t>
        </is>
      </c>
      <c r="AF284" s="1158"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s="1158" t="inlineStr">
        <is>
          <t>PHANTOM IV PARTNERS LLC</t>
        </is>
      </c>
      <c r="AF285" s="1158"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s="1158" t="inlineStr">
        <is>
          <t>SCANNELL PROPERTIES #534 LLC</t>
        </is>
      </c>
      <c r="AF286" s="1158"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s="1158" t="inlineStr">
        <is>
          <t>METRO DENVER RENTAL MANAGEMENT LLC</t>
        </is>
      </c>
      <c r="AF287" s="1158"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s="1158" t="inlineStr">
        <is>
          <t>LHM DNI LLC</t>
        </is>
      </c>
      <c r="AF288" s="115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s="1158" t="inlineStr">
        <is>
          <t>KONG &amp; QUY PROPERTY LLC</t>
        </is>
      </c>
      <c r="AF289" s="1158"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s="1158" t="inlineStr">
        <is>
          <t>INDUSTRIAL CHEMICALS, CORPORATION</t>
        </is>
      </c>
      <c r="AF290" s="1158"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s="1158" t="inlineStr">
        <is>
          <t>BIESEMEIER INDUSTRIAL PARK, INC</t>
        </is>
      </c>
      <c r="AF291" s="1158"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s="1158" t="inlineStr">
        <is>
          <t>37851 51ST AVE HANGAR OWNERS ASSOCIATION INC</t>
        </is>
      </c>
      <c r="AF292" s="1158"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s="1158" t="inlineStr">
        <is>
          <t>HOME ADDENDA LLC</t>
        </is>
      </c>
      <c r="AF293" s="1158"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s="1158" t="inlineStr">
        <is>
          <t>MC CREA CORA BELLE TRUST</t>
        </is>
      </c>
      <c r="AF294" s="1158"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s="1158" t="inlineStr">
        <is>
          <t xml:space="preserve">SPRING CREEK PARTNERSHIP LTD UND 85%  , AND SMITH GARY D/LINDA B UND 15% INT </t>
        </is>
      </c>
      <c r="AF295" s="1158"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s="1158" t="inlineStr">
        <is>
          <t>TRAUPE RUTH</t>
        </is>
      </c>
      <c r="AF296" s="1158"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s="1158" t="inlineStr">
        <is>
          <t>MARTIN PHYLLIS M</t>
        </is>
      </c>
      <c r="AF297" s="1158"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s="1158" t="inlineStr">
        <is>
          <t>CHANNEN COMPANIES LLC</t>
        </is>
      </c>
      <c r="AF298" s="115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s="1158" t="inlineStr">
        <is>
          <t>WANG TONGCHEN</t>
        </is>
      </c>
      <c r="AF299" s="1158"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s="1158" t="inlineStr">
        <is>
          <t>LUNNON STEPHEN</t>
        </is>
      </c>
      <c r="AF300" s="1158"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s="1158" t="inlineStr">
        <is>
          <t>MAGNOLIA ENTERPRISES LLC</t>
        </is>
      </c>
      <c r="AF301" s="1158"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s="1158" t="inlineStr">
        <is>
          <t>MAGNOLIA ENTERPRISES LLC</t>
        </is>
      </c>
      <c r="AF302" s="1158"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s="1158" t="inlineStr">
        <is>
          <t>WRIGHT FAMILY 2009 IRREVOCABLE TRUST THE</t>
        </is>
      </c>
      <c r="AF303" s="1158"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s="1158" t="inlineStr">
        <is>
          <t>909 E 75TH LLC</t>
        </is>
      </c>
      <c r="AF304" s="1158"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s="1158" t="inlineStr">
        <is>
          <t>BATS INVESTMENTS LLC</t>
        </is>
      </c>
      <c r="AF305" s="1158"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s="1158" t="inlineStr">
        <is>
          <t>ZAYAC PROPERTIES IRMA LLLP, C/O PROCLEAN AUTO WASH</t>
        </is>
      </c>
      <c r="AF306" s="1158"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s="1158" t="inlineStr">
        <is>
          <t>12141 PENNSYLVANIA LLC</t>
        </is>
      </c>
      <c r="AF307" s="1158"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s="1158" t="inlineStr">
        <is>
          <t>BALES BOHR 851 A4 LLC</t>
        </is>
      </c>
      <c r="AF308" s="115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s="1158" t="inlineStr">
        <is>
          <t>KIM DANIEL</t>
        </is>
      </c>
      <c r="AF309" s="1158"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s="1158" t="inlineStr">
        <is>
          <t>PNJ INVESTMENTS LLC</t>
        </is>
      </c>
      <c r="AF310" s="1158"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s="1158" t="inlineStr">
        <is>
          <t>WAFCO LTD</t>
        </is>
      </c>
      <c r="AF311" s="1158"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s="1158" t="inlineStr">
        <is>
          <t>BURR JOANN L AND, GULLION CAROLYN KAY LIVING TRUST</t>
        </is>
      </c>
      <c r="AF312" s="1158"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s="1158" t="inlineStr">
        <is>
          <t>HERR FAMILY LLC</t>
        </is>
      </c>
      <c r="AF313" s="1158"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s="1158" t="inlineStr">
        <is>
          <t>HORIZON TERRACE PACIFIC LTD</t>
        </is>
      </c>
      <c r="AF314" s="1158"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s="1158" t="inlineStr">
        <is>
          <t>DYCO HOLDINGS LLC</t>
        </is>
      </c>
      <c r="AF315" s="1158"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s="1158" t="inlineStr">
        <is>
          <t>RAICHLE INTERESTS LLC</t>
        </is>
      </c>
      <c r="AF316" s="1158"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s="1158" t="inlineStr">
        <is>
          <t>MARTIN MICHAEL T AND, MARTIN BETH E</t>
        </is>
      </c>
      <c r="AF317" s="1158"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s="1158" t="inlineStr">
        <is>
          <t>LAMM DEVELOPMENTS LTD</t>
        </is>
      </c>
      <c r="AF318" s="115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s="1158" t="inlineStr">
        <is>
          <t>ONUOHA FRANCISCA I</t>
        </is>
      </c>
      <c r="AF319" s="1158"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s="1158" t="inlineStr">
        <is>
          <t>ANDERSON SHYRLEE F</t>
        </is>
      </c>
      <c r="AF320" s="1158"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s="1158" t="inlineStr">
        <is>
          <t>MEYER ROBERT CARL JR LIVING TRUST 50% , MEYER ROBIN LEE LIVING TRUST 50% INT</t>
        </is>
      </c>
      <c r="AF321" s="1158"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s="1158" t="inlineStr">
        <is>
          <t>JOHNSON WARREN T.</t>
        </is>
      </c>
      <c r="AF322" s="1158"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s="1158" t="inlineStr">
        <is>
          <t>TITCO LLC</t>
        </is>
      </c>
      <c r="AF323" s="1158"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s="1158" t="inlineStr">
        <is>
          <t>CHAMBERLAIN MARK A AND TAMMY D</t>
        </is>
      </c>
      <c r="AF324" s="1158"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s="1158" t="inlineStr">
        <is>
          <t>TEKLEZGHI MEHARENA AND, ATSEBAHA SABA YEMESGEN</t>
        </is>
      </c>
      <c r="AF325" s="1158"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s="1158" t="inlineStr">
        <is>
          <t>COLOROSO FAMILY PARTNERSHIP I LTD</t>
        </is>
      </c>
      <c r="AF326" s="1158"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s="1158" t="inlineStr">
        <is>
          <t>ZIMIK KHACHUNGLA</t>
        </is>
      </c>
      <c r="AF327" s="1158"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s="1158" t="inlineStr">
        <is>
          <t>GROTHENDICK DANIEL M</t>
        </is>
      </c>
      <c r="AF328" s="115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s="1158" t="inlineStr">
        <is>
          <t>RPM PROPERTIES RLLLP</t>
        </is>
      </c>
      <c r="AF329" s="1158"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s="1158" t="inlineStr">
        <is>
          <t>SUNRISE COTTAGES LLC</t>
        </is>
      </c>
      <c r="AF330" s="1158"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s="1158" t="inlineStr">
        <is>
          <t>ONEMANIVONG LINTHONG AND, PHOMMACHAN TINGKHAM</t>
        </is>
      </c>
      <c r="AF331" s="1158"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s="1158" t="inlineStr">
        <is>
          <t>KOSMISKI FAMILY PARTNERSHIP LLLP</t>
        </is>
      </c>
      <c r="AF332" s="1158"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s="1158" t="inlineStr">
        <is>
          <t>SANG SOO ENTERPRISES LLC</t>
        </is>
      </c>
      <c r="AF333" s="1158"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s="1158" t="inlineStr">
        <is>
          <t>TSAO RICK</t>
        </is>
      </c>
      <c r="AF334" s="1158"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s="1158" t="inlineStr">
        <is>
          <t>ROCKING K PROPERTIES LLC</t>
        </is>
      </c>
      <c r="AF335" s="1158"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s="1158" t="inlineStr">
        <is>
          <t>FERGUSON LANCE A/VINCENT DEBRA A, FERGUSON JENNIFER L/VINCENT JAMES W</t>
        </is>
      </c>
      <c r="AF336" s="1158"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s="1158" t="inlineStr">
        <is>
          <t>D AND R EZZELL INC</t>
        </is>
      </c>
      <c r="AF337" s="1158"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s="1158" t="inlineStr">
        <is>
          <t>HERNANDEZ GUADALUPE MERAZ AND, MERAZ HEIDY L</t>
        </is>
      </c>
      <c r="AF338" s="115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s="1158" t="inlineStr">
        <is>
          <t>TAM REALTY LLC</t>
        </is>
      </c>
      <c r="AF339" s="1158"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s="1158" t="inlineStr">
        <is>
          <t>HUTTON CONTRACTING COMPANY, INC</t>
        </is>
      </c>
      <c r="AF340" s="1158"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s="1158" t="inlineStr">
        <is>
          <t>JHDS LLC</t>
        </is>
      </c>
      <c r="AF341" s="1158"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s="1158" t="inlineStr">
        <is>
          <t>FIRST INDUSTRIAL LP</t>
        </is>
      </c>
      <c r="AF342" s="1158"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s="1158" t="inlineStr">
        <is>
          <t>NORTH SHORE PROPERTIES LLC</t>
        </is>
      </c>
      <c r="AF343" s="1158"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s="1158" t="inlineStr">
        <is>
          <t>C B QUICK AND CO</t>
        </is>
      </c>
      <c r="AF344" s="1158"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s="1158" t="inlineStr">
        <is>
          <t>H &amp; S PROPERTIES LLC</t>
        </is>
      </c>
      <c r="AF345" s="1158"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s="1158" t="inlineStr">
        <is>
          <t>FPT PROPERTIES LLC</t>
        </is>
      </c>
      <c r="AF346" s="1158"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s="1158" t="inlineStr">
        <is>
          <t>TRUSTILE DOORS LLC</t>
        </is>
      </c>
      <c r="AF347" s="1158"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s="1158" t="inlineStr">
        <is>
          <t>5180-5270 FOX PROPERTY OWNER LLC</t>
        </is>
      </c>
      <c r="AF348" s="115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s="1158" t="inlineStr">
        <is>
          <t>JPJ ENTERPRISES LLC</t>
        </is>
      </c>
      <c r="AF349" s="1158"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s="1158" t="inlineStr">
        <is>
          <t>9655 E 25TH LLC</t>
        </is>
      </c>
      <c r="AF350" s="1158"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s="1158" t="inlineStr">
        <is>
          <t>WEJ LLC</t>
        </is>
      </c>
      <c r="AF351" s="1158"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s="1158" t="inlineStr">
        <is>
          <t>STOWERS GEORGETTE I</t>
        </is>
      </c>
      <c r="AF352" s="1158"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s="1158" t="inlineStr">
        <is>
          <t>COLORADO DISTRICT OF THE, CHURCH OF THE NAZARENE</t>
        </is>
      </c>
      <c r="AF353" s="1158"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s="1158" t="inlineStr">
        <is>
          <t xml:space="preserve">STERLING-THORNTON CO LLC,  </t>
        </is>
      </c>
      <c r="AF354" s="1158"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s="1158" t="inlineStr">
        <is>
          <t>MC CLANE MELVIN G AND, MC CLANE DOROTHY N</t>
        </is>
      </c>
      <c r="AF355" s="1158"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s="1158" t="inlineStr">
        <is>
          <t>RICHARDS AND DEXTER LLC</t>
        </is>
      </c>
      <c r="AF356" s="1158"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s="1158" t="inlineStr">
        <is>
          <t>FEHR MATTHEW W</t>
        </is>
      </c>
      <c r="AF357" s="1158"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s="1158" t="inlineStr">
        <is>
          <t>MC CALLIN REAL ESTATE LLC</t>
        </is>
      </c>
      <c r="AF358" s="11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s="1158" t="inlineStr">
        <is>
          <t>FRANKLIN L SACCOMANNO FAMILY TRUST ET AL 1/2 INT AND, VENEY CYNTHIA 1/4 I et al.</t>
        </is>
      </c>
      <c r="AF359" s="1158"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s="1158" t="inlineStr">
        <is>
          <t>DEL MAR ACCENTS LLC</t>
        </is>
      </c>
      <c r="AF360" s="1158"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s="1158" t="inlineStr">
        <is>
          <t>9156 BRIGHTON ROAD LLC</t>
        </is>
      </c>
      <c r="AF361" s="1158"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s="1158" t="inlineStr">
        <is>
          <t>AIR PURIFICATION COMPANY</t>
        </is>
      </c>
      <c r="AF362" s="1158"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s="1158" t="inlineStr">
        <is>
          <t>NORTHLAWN PROPERTY LLC, C/O SPERRY PROPERTIES</t>
        </is>
      </c>
      <c r="AF363" s="1158"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s="1158" t="inlineStr">
        <is>
          <t>LOCOFORTIS LLC</t>
        </is>
      </c>
      <c r="AF364" s="1158"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s="1158" t="inlineStr">
        <is>
          <t>JWBSK INVESTMENT GROUP LLC</t>
        </is>
      </c>
      <c r="AF365" s="1158"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s="1158" t="inlineStr">
        <is>
          <t>ELWESS DAVID L</t>
        </is>
      </c>
      <c r="AF366" s="1158"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s="1158" t="inlineStr">
        <is>
          <t>111489 CORPORATION INC</t>
        </is>
      </c>
      <c r="AF367" s="1158"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s="1158" t="inlineStr">
        <is>
          <t>BK ENTERPRISES LLC</t>
        </is>
      </c>
      <c r="AF368" s="115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s="1158" t="inlineStr">
        <is>
          <t>ROBINSON JAMES E AND, ROBINSON SHARON A</t>
        </is>
      </c>
      <c r="AF369" s="1158"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s="1158" t="inlineStr">
        <is>
          <t>WASH ME III LLC</t>
        </is>
      </c>
      <c r="AF370" s="1158"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s="1158" t="inlineStr">
        <is>
          <t>G6 HOSPITALITY PROPERTY LLC</t>
        </is>
      </c>
      <c r="AF371" s="1158"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s="1158" t="inlineStr">
        <is>
          <t>CUBE SMART LP #229</t>
        </is>
      </c>
      <c r="AF372" s="1158"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s="1158" t="inlineStr">
        <is>
          <t>BERGH CALE AND, BERGH KAREN</t>
        </is>
      </c>
      <c r="AF373" s="1158"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s="1158" t="inlineStr">
        <is>
          <t>PAPOI HAROLD M</t>
        </is>
      </c>
      <c r="AF374" s="1158"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s="1158" t="inlineStr">
        <is>
          <t>KIM SO YEON</t>
        </is>
      </c>
      <c r="AF375" s="1158"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s="1158" t="inlineStr">
        <is>
          <t>GENS ROBERT M</t>
        </is>
      </c>
      <c r="AF376" s="1158"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s="1158" t="inlineStr">
        <is>
          <t>MITECH LLC</t>
        </is>
      </c>
      <c r="AF377" s="1158"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s="1158" t="inlineStr">
        <is>
          <t>ADDUCCI LISA M ET AL</t>
        </is>
      </c>
      <c r="AF378" s="115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s="1158" t="inlineStr">
        <is>
          <t>VENTURE HOSPITALITY INC</t>
        </is>
      </c>
      <c r="AF379" s="1158"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s="1158" t="inlineStr">
        <is>
          <t>SONNENFELD QUENTON D AND, SONNENFELD SHARON A</t>
        </is>
      </c>
      <c r="AF380" s="1158"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s="1158" t="inlineStr">
        <is>
          <t>BATES FAMILY  TRUST</t>
        </is>
      </c>
      <c r="AF381" s="1158"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s="1158" t="inlineStr">
        <is>
          <t>REGASSA TEFERA AND, HAILE ABAYNESH</t>
        </is>
      </c>
      <c r="AF382" s="1158"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s="1158" t="inlineStr">
        <is>
          <t>NORTHRIDGE EQUITIES LLC</t>
        </is>
      </c>
      <c r="AF383" s="1158"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s="1158" t="inlineStr">
        <is>
          <t>HIGHVIEW REALESTATE HOLDINGS LLC</t>
        </is>
      </c>
      <c r="AF384" s="1158"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s="1158" t="inlineStr">
        <is>
          <t xml:space="preserve">120 HOLMAN LLC, C/O TRUSTED ACCOUNTING </t>
        </is>
      </c>
      <c r="AF385" s="1158"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s="1158" t="inlineStr">
        <is>
          <t>GLOBAL IMAGES ENTERPRISES LLC, C/O ERIC SURRATT</t>
        </is>
      </c>
      <c r="AF386" s="1158"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s="1158" t="inlineStr">
        <is>
          <t>DELUXE CUSTOM WOOD FINISH CORP</t>
        </is>
      </c>
      <c r="AF387" s="1158"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s="1158" t="inlineStr">
        <is>
          <t>5790 DAHLIA INVESTMENT LLC</t>
        </is>
      </c>
      <c r="AF388" s="115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s="1158" t="inlineStr">
        <is>
          <t>SPEEDMAN PROPERTIES LLC</t>
        </is>
      </c>
      <c r="AF389" s="1158"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s="1158" t="inlineStr">
        <is>
          <t>BNC SERVICES LLC</t>
        </is>
      </c>
      <c r="AF390" s="1158"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s="1158" t="inlineStr">
        <is>
          <t>J L FAIRFAX LLC</t>
        </is>
      </c>
      <c r="AF391" s="1158"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s="1158" t="inlineStr">
        <is>
          <t>SEMANTIC REALTY LLC, C/O 7 ELEVEN INC ATTN TAX DEPT 37033</t>
        </is>
      </c>
      <c r="AF392" s="1158"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s="1158" t="inlineStr">
        <is>
          <t>MARK ALLEN BUTMAN LIVING TRUST</t>
        </is>
      </c>
      <c r="AF393" s="1158"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s="1158" t="inlineStr">
        <is>
          <t>BPAZ HOLDINGS 12 LLC</t>
        </is>
      </c>
      <c r="AF394" s="1158"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s="1158" t="inlineStr">
        <is>
          <t>A AND A LLC</t>
        </is>
      </c>
      <c r="AF395" s="1158"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s="1158" t="inlineStr">
        <is>
          <t>GARCIA LUIS AND, GARCIA MARIBEL</t>
        </is>
      </c>
      <c r="AF396" s="1158"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s="1158" t="inlineStr">
        <is>
          <t>FAULTLESS LAUNDRY COMPANY</t>
        </is>
      </c>
      <c r="AF397" s="1158"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s="1158" t="inlineStr">
        <is>
          <t>WERNSTEIN PROPERTIES INC</t>
        </is>
      </c>
      <c r="AF398" s="115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s="1158" t="inlineStr">
        <is>
          <t>CMS HOLDINGS LLC</t>
        </is>
      </c>
      <c r="AF399" s="1158"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s="1158" t="inlineStr">
        <is>
          <t>DENVER ELECTRICAL JOINT APPRENTICESHIP, AND TRAINING TRUST FUND A TRUST</t>
        </is>
      </c>
      <c r="AF400" s="1158"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s="1158" t="inlineStr">
        <is>
          <t>WELBY ASSOCIATES LLC, C/O TIMOTHY J MCMANUS</t>
        </is>
      </c>
      <c r="AF401" s="1158"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s="1158" t="inlineStr">
        <is>
          <t>WALBLAKE LLC</t>
        </is>
      </c>
      <c r="AF402" s="1158"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s="1158" t="inlineStr">
        <is>
          <t>PROVASI KENNETH D TRUST THE</t>
        </is>
      </c>
      <c r="AF403" s="1158"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s="1158" t="inlineStr">
        <is>
          <t>CASTILLO THEODORE G</t>
        </is>
      </c>
      <c r="AF404" s="1158"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s="1158" t="inlineStr">
        <is>
          <t>HERDING BUTTERFLIES</t>
        </is>
      </c>
      <c r="AF405" s="1158"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s="1158" t="inlineStr">
        <is>
          <t>SCG ONE LIMITED PARTNERSHIP</t>
        </is>
      </c>
      <c r="AF406" s="1158"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s="1158" t="inlineStr">
        <is>
          <t>ZAYAC PROPERTIES PEARL LLLP, C/O PROCLEAN AUTO WASH</t>
        </is>
      </c>
      <c r="AF407" s="1158"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s="1158" t="inlineStr">
        <is>
          <t>WISE HIROMI T</t>
        </is>
      </c>
      <c r="AF408" s="115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s="1158" t="inlineStr">
        <is>
          <t>520 E 56TH LLC</t>
        </is>
      </c>
      <c r="AF409" s="1158"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s="1158" t="inlineStr">
        <is>
          <t>520 EAST 56TH LLC</t>
        </is>
      </c>
      <c r="AF410" s="1158"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s="1158" t="inlineStr">
        <is>
          <t>WATER WOLF LLC</t>
        </is>
      </c>
      <c r="AF411" s="1158"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s="1158" t="inlineStr">
        <is>
          <t>CORLESS-KENNEDY LORI K</t>
        </is>
      </c>
      <c r="AF412" s="1158"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s="1158" t="inlineStr">
        <is>
          <t>C AND N REAL ESTATE LLC</t>
        </is>
      </c>
      <c r="AF413" s="1158"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s="1158" t="inlineStr">
        <is>
          <t>BROWN TERRY L</t>
        </is>
      </c>
      <c r="AF414" s="1158"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s="1158" t="inlineStr">
        <is>
          <t>FAMILY BUSINESS INC</t>
        </is>
      </c>
      <c r="AF415" s="1158"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s="1158" t="inlineStr">
        <is>
          <t>HILLTOP SUBDIVISION, PARTNERSHIP</t>
        </is>
      </c>
      <c r="AF416" s="1158"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s="1158" t="inlineStr">
        <is>
          <t>ALPHA AND GREEN ENTERPRISES LLC</t>
        </is>
      </c>
      <c r="AF417" s="1158"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s="1158" t="inlineStr">
        <is>
          <t>VAHN LIVING TRUST THE , C/O MATRIX GROUP INC</t>
        </is>
      </c>
      <c r="AF418" s="115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s="1158" t="inlineStr">
        <is>
          <t>5919 N BROADWAY LLC</t>
        </is>
      </c>
      <c r="AF419" s="1158"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s="1158" t="inlineStr">
        <is>
          <t>MORGAN BRIAN M, MORGAN LINDA LIVING TRUST</t>
        </is>
      </c>
      <c r="AF420" s="1158"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s="1158" t="inlineStr">
        <is>
          <t>STORAGE ONE ELIZABETH LLC</t>
        </is>
      </c>
      <c r="AF421" s="1158"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s="1158" t="inlineStr">
        <is>
          <t>ROBB INC</t>
        </is>
      </c>
      <c r="AF422" s="1158"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s="1158" t="inlineStr">
        <is>
          <t>J D STEEL COMPANY INC</t>
        </is>
      </c>
      <c r="AF423" s="1158"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s="1158" t="inlineStr">
        <is>
          <t>BEHESHTI ABBAS S</t>
        </is>
      </c>
      <c r="AF424" s="1158"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s="1158" t="inlineStr">
        <is>
          <t>WASHINGTON SQUARE PARTNERS LLC</t>
        </is>
      </c>
      <c r="AF425" s="1158"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s="1158" t="inlineStr">
        <is>
          <t>JACOBS BRENDA SUE</t>
        </is>
      </c>
      <c r="AF426" s="1158"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s="1158" t="inlineStr">
        <is>
          <t>GOWAN SUSAN</t>
        </is>
      </c>
      <c r="AF427" s="1158"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s="1158" t="inlineStr">
        <is>
          <t>MAGNOLIA ENTERPRISES LLC</t>
        </is>
      </c>
      <c r="AF428" s="115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s="1158" t="inlineStr">
        <is>
          <t>BOWLING ROY E</t>
        </is>
      </c>
      <c r="AF429" s="1158"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s="1158" t="inlineStr">
        <is>
          <t>CARJO LLC</t>
        </is>
      </c>
      <c r="AF430" s="1158"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s="1158" t="inlineStr">
        <is>
          <t>COLORADO MUSTANG, SPECIALISTS INC</t>
        </is>
      </c>
      <c r="AF431" s="1158"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s="1158" t="inlineStr">
        <is>
          <t>MILLER STEVEN D</t>
        </is>
      </c>
      <c r="AF432" s="1158"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s="1158" t="inlineStr">
        <is>
          <t>48000 EAST 38TH AVENUE LLC</t>
        </is>
      </c>
      <c r="AF433" s="1158"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s="1158" t="inlineStr">
        <is>
          <t>COSGROVE PROPERTIES LLC</t>
        </is>
      </c>
      <c r="AF434" s="1158"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s="1158" t="inlineStr">
        <is>
          <t>ROCKINH INVESTMENTS LLC</t>
        </is>
      </c>
      <c r="AF435" s="1158"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s="1158" t="inlineStr">
        <is>
          <t>BRIGHTON LEASE MANAGEMENT LLC, PROPERTY TAX COMPLIANCE</t>
        </is>
      </c>
      <c r="AF436" s="1158"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s="1158" t="inlineStr">
        <is>
          <t>LAYNE CHRISTENSEN COMPANY</t>
        </is>
      </c>
      <c r="AF437" s="1158"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s="1158" t="inlineStr">
        <is>
          <t>PACER HOLDINGS LLC</t>
        </is>
      </c>
      <c r="AF438" s="115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s="1158" t="inlineStr">
        <is>
          <t>JOHNSTOWN FEED &amp; SEED INC.</t>
        </is>
      </c>
      <c r="AF439" s="1158"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s="1158" t="inlineStr">
        <is>
          <t>RONALD HAGERDON LLC</t>
        </is>
      </c>
      <c r="AF440" s="1158"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s="1158" t="inlineStr">
        <is>
          <t>PAVILION COURT LLC</t>
        </is>
      </c>
      <c r="AF441" s="1158"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s="1158" t="inlineStr">
        <is>
          <t>3313 MOLINE STREET LLC</t>
        </is>
      </c>
      <c r="AF442" s="1158"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s="1158" t="inlineStr">
        <is>
          <t>VAQUERO STRASBURG PARTNERS LP</t>
        </is>
      </c>
      <c r="AF443" s="1158"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s="1158" t="inlineStr">
        <is>
          <t>TF THORNTON CO LLC</t>
        </is>
      </c>
      <c r="AF444" s="1158"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s="1158" t="inlineStr">
        <is>
          <t>WENZEL DANIEL D AND, WENZEL JUDITH G</t>
        </is>
      </c>
      <c r="AF445" s="1158"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s="1158" t="inlineStr">
        <is>
          <t>GREEN ELEPHANT LLC THE</t>
        </is>
      </c>
      <c r="AF446" s="1158"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s="1158" t="inlineStr">
        <is>
          <t>EXETER 21250 EAST 36TH LLC</t>
        </is>
      </c>
      <c r="AF447" s="1158"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s="1158" t="inlineStr">
        <is>
          <t>BEAN BEVERLY A</t>
        </is>
      </c>
      <c r="AF448" s="115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s="1158" t="inlineStr">
        <is>
          <t>BONE WILLIAM J JR/WENONA C TRUSTEES, BONE FAMILY TRUST U D T THE</t>
        </is>
      </c>
      <c r="AF449" s="1158"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s="1158" t="inlineStr">
        <is>
          <t>DELCAMP RONALD</t>
        </is>
      </c>
      <c r="AF450" s="1158"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s="1158" t="inlineStr">
        <is>
          <t>TRIPLE L LLC</t>
        </is>
      </c>
      <c r="AF451" s="1158"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s="1158" t="inlineStr">
        <is>
          <t>2551 PROPERTY PARTNERS LLC</t>
        </is>
      </c>
      <c r="AF452" s="1158"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s="1158" t="inlineStr">
        <is>
          <t>E J CORP</t>
        </is>
      </c>
      <c r="AF453" s="1158"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s="1158" t="inlineStr">
        <is>
          <t>H AND B INDUSTRY LLC</t>
        </is>
      </c>
      <c r="AF454" s="1158"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s="1158" t="inlineStr">
        <is>
          <t>KLO PROPERTIES LLC</t>
        </is>
      </c>
      <c r="AF455" s="1158"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s="1158" t="inlineStr">
        <is>
          <t>BOSCOE CHILDREN LLLP, C/O MICHAEL BLOOM REALTY COMPANY</t>
        </is>
      </c>
      <c r="AF456" s="1158"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s="1158" t="inlineStr">
        <is>
          <t>JAMES DONALD A</t>
        </is>
      </c>
      <c r="AF457" s="1158"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s="1158" t="inlineStr">
        <is>
          <t>FOUR LEGACY INVESTMENTS LLC</t>
        </is>
      </c>
      <c r="AF458" s="11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s="1158" t="inlineStr">
        <is>
          <t>R AND R JOE ENTERPRISES LLC</t>
        </is>
      </c>
      <c r="AF459" s="1158"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s="1158" t="inlineStr">
        <is>
          <t>AFS RESIDENTIAL LLC</t>
        </is>
      </c>
      <c r="AF460" s="1158"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s="1158" t="inlineStr">
        <is>
          <t>DYLEE LLC</t>
        </is>
      </c>
      <c r="AF461" s="1158"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s="1158" t="inlineStr">
        <is>
          <t>IVANHOE PROPERTY GROUP LLC</t>
        </is>
      </c>
      <c r="AF462" s="1158"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s="1158" t="inlineStr">
        <is>
          <t>CAMIKA HOLDINGS LLC</t>
        </is>
      </c>
      <c r="AF463" s="1158"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s="1158" t="inlineStr">
        <is>
          <t>DYNAMIS LLC</t>
        </is>
      </c>
      <c r="AF464" s="1158"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s="1158" t="inlineStr">
        <is>
          <t>KOSOROK JOINT FAMILY TRUST THE AND, ELLISS JOINT FAMILY TRUST THE</t>
        </is>
      </c>
      <c r="AF465" s="1158"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s="1158" t="inlineStr">
        <is>
          <t>KORMISHKIN EUGENE</t>
        </is>
      </c>
      <c r="AF466" s="1158"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s="1158" t="inlineStr">
        <is>
          <t>11951 E 33RD AVE LLC</t>
        </is>
      </c>
      <c r="AF467" s="1158"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s="1158" t="inlineStr">
        <is>
          <t>NORTH JAMES R AND, NORTH JOAN F</t>
        </is>
      </c>
      <c r="AF468" s="115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s="1158" t="inlineStr">
        <is>
          <t>500 W 84 LLC</t>
        </is>
      </c>
      <c r="AF469" s="1158"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s="1158" t="inlineStr">
        <is>
          <t>TIS LEASING LLC</t>
        </is>
      </c>
      <c r="AF470" s="1158"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s="1158" t="inlineStr">
        <is>
          <t>ROSS JENNIFER C LIVING TRUST</t>
        </is>
      </c>
      <c r="AF471" s="1158"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s="1158" t="inlineStr">
        <is>
          <t>TAR HILL INVESTMENTS LLC</t>
        </is>
      </c>
      <c r="AF472" s="1158"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s="1158" t="inlineStr">
        <is>
          <t>PLOCK GARY A AND, PLOCK PAMELA L</t>
        </is>
      </c>
      <c r="AF473" s="1158"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s="1158" t="inlineStr">
        <is>
          <t>PLOCK GARY A AND, PLOCK PAMELA L</t>
        </is>
      </c>
      <c r="AF474" s="1158"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s="1158" t="inlineStr">
        <is>
          <t>CF ALTITUDE PROPCO II LLC</t>
        </is>
      </c>
      <c r="AF475" s="1158"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s="1158" t="inlineStr">
        <is>
          <t>H.D.T. TEN LIMITED LIABILITY, COMPANY</t>
        </is>
      </c>
      <c r="AF476" s="1158"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s="1158" t="inlineStr">
        <is>
          <t>TJ INVESTMENTS LLC</t>
        </is>
      </c>
      <c r="AF477" s="1158"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s="1158" t="inlineStr">
        <is>
          <t>AMF BOWLING CENTERS INC</t>
        </is>
      </c>
      <c r="AF478" s="115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s="1158" t="inlineStr">
        <is>
          <t>BLUEPRINT INVESTMENT FUND LLC</t>
        </is>
      </c>
      <c r="AF479" s="1158"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s="1158" t="inlineStr">
        <is>
          <t>URA SINGH LLC</t>
        </is>
      </c>
      <c r="AF480" s="1158"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s="1158" t="inlineStr">
        <is>
          <t>GATEWAY HOTEL LLC, C/O STANLEY A GALLERY</t>
        </is>
      </c>
      <c r="AF481" s="1158"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s="1158" t="inlineStr">
        <is>
          <t>LEIGH MICHAEL R</t>
        </is>
      </c>
      <c r="AF482" s="1158"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s="1158" t="inlineStr">
        <is>
          <t>BRIGHTON PROFESSIONAL GROUP LLC</t>
        </is>
      </c>
      <c r="AF483" s="1158"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s="1158" t="inlineStr">
        <is>
          <t>JS BUILDERS LLC</t>
        </is>
      </c>
      <c r="AF484" s="1158"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s="1158" t="inlineStr">
        <is>
          <t>R IREY YORK PLAZA LLC UND 50% INT AND, D IREY YORK PLAZA LLC UND 50% INT</t>
        </is>
      </c>
      <c r="AF485" s="1158"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s="1158" t="inlineStr">
        <is>
          <t>SCHOOL DISTRICT 12 FEDERAL, CREDIT UNION</t>
        </is>
      </c>
      <c r="AF486" s="1158"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s="1158" t="inlineStr">
        <is>
          <t>301 SOUTH MAIN LLC</t>
        </is>
      </c>
      <c r="AF487" s="1158"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s="1158" t="inlineStr">
        <is>
          <t>MC CALLIN REAL ESTATE LLC</t>
        </is>
      </c>
      <c r="AF488" s="115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s="1158" t="inlineStr">
        <is>
          <t>BINGEL NATHANIEL</t>
        </is>
      </c>
      <c r="AF489" s="1158"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s="1158" t="inlineStr">
        <is>
          <t xml:space="preserve">NGUYEN DUNG ANH AND , TRAN LOAN </t>
        </is>
      </c>
      <c r="AF490" s="1158"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s="1158" t="inlineStr">
        <is>
          <t>QUALITY CONTROL INT'L LIMITED PARTNERSHIP</t>
        </is>
      </c>
      <c r="AF491" s="1158"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s="1158" t="inlineStr">
        <is>
          <t>BROWN JUNCTION HOLDINGS LLC</t>
        </is>
      </c>
      <c r="AF492" s="1158"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s="1158" t="inlineStr">
        <is>
          <t>S AND K KIM INC</t>
        </is>
      </c>
      <c r="AF493" s="1158"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s="1158" t="inlineStr">
        <is>
          <t>PETERSON STEVEN W</t>
        </is>
      </c>
      <c r="AF494" s="1158"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s="1158" t="inlineStr">
        <is>
          <t>PIERCE NOLA N</t>
        </is>
      </c>
      <c r="AF495" s="1158"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s="1158" t="inlineStr">
        <is>
          <t>JK PROPERTIES LLC</t>
        </is>
      </c>
      <c r="AF496" s="1158"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s="1158" t="inlineStr">
        <is>
          <t>CAP INVESTMENT PROPERTIES III LLC</t>
        </is>
      </c>
      <c r="AF497" s="1158"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s="1158" t="inlineStr">
        <is>
          <t>THORNTON PROPERTY 1 LLC</t>
        </is>
      </c>
      <c r="AF498" s="115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s="1158" t="inlineStr">
        <is>
          <t>BRONCUCIA JOSEPH ANTHONY AND, BRONCUCIA PATRICIA ANN</t>
        </is>
      </c>
      <c r="AF499" s="1158"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s="1158" t="inlineStr">
        <is>
          <t>BOMGARDNER DAVID</t>
        </is>
      </c>
      <c r="AF500" s="1158"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3">
    <tabColor rgb="000E749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8" defaultColWidth="9.33203125" defaultRowHeight="12.75"/>
  <cols>
    <col width="5.6640625" customWidth="1" style="245" min="1" max="1"/>
    <col width="8" customWidth="1" style="354" min="2" max="2"/>
    <col width="7" customWidth="1" style="245" min="3" max="3"/>
    <col width="19" bestFit="1" customWidth="1" style="245" min="4" max="4"/>
    <col width="10" customWidth="1" style="245" min="5" max="5"/>
    <col width="32" customWidth="1" style="245" min="6" max="6"/>
    <col width="11" customWidth="1" style="672" min="7" max="7"/>
    <col width="7" bestFit="1" customWidth="1" style="253" min="8" max="8"/>
    <col width="9" bestFit="1" customWidth="1" style="245" min="9" max="9"/>
    <col width="9" bestFit="1" customWidth="1" style="245" min="10" max="10"/>
    <col width="8" customWidth="1" style="245" min="11" max="11"/>
    <col width="7.6640625" customWidth="1" style="245" min="12" max="12"/>
    <col width="7" customWidth="1" style="253" min="13" max="13"/>
    <col width="7" customWidth="1" style="253" min="14" max="14"/>
    <col width="8" customWidth="1" style="250" min="15" max="15"/>
    <col width="8" bestFit="1" customWidth="1" style="250" min="16" max="16"/>
    <col width="9.5" bestFit="1" customWidth="1" style="245" min="17" max="20"/>
    <col width="6" customWidth="1" min="18" max="18"/>
    <col width="8" customWidth="1" min="19" max="19"/>
    <col width="13" customWidth="1" min="20" max="20"/>
    <col width="6" bestFit="1" customWidth="1" style="245" min="21" max="21"/>
    <col width="9" bestFit="1" customWidth="1" style="245" min="22" max="22"/>
    <col width="9" bestFit="1" customWidth="1" style="245" min="23" max="23"/>
    <col width="18" bestFit="1" customWidth="1" style="245" min="24" max="24"/>
    <col width="22" bestFit="1" customWidth="1" style="245" min="25" max="25"/>
    <col width="6" bestFit="1" customWidth="1" style="245" min="26" max="27"/>
    <col width="6" customWidth="1" min="27" max="27"/>
    <col width="6" bestFit="1" customWidth="1" style="245" min="28" max="28"/>
    <col width="6" bestFit="1" customWidth="1" style="245" min="29" max="29"/>
    <col width="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52" customWidth="1" style="245" min="37" max="37"/>
    <col width="9.33203125" customWidth="1" style="245" min="38" max="16384"/>
    <col width="6" customWidth="1" min="39" max="39"/>
  </cols>
  <sheetData>
    <row r="1" ht="40.5" customHeight="1" thickBot="1">
      <c r="A1" s="1123" t="inlineStr">
        <is>
          <t>Pos</t>
        </is>
      </c>
      <c r="B1" s="1124" t="inlineStr">
        <is>
          <t>Num</t>
        </is>
      </c>
      <c r="C1" s="1123" t="inlineStr">
        <is>
          <t>Source</t>
        </is>
      </c>
      <c r="D1" s="1123" t="inlineStr">
        <is>
          <t>Schedule</t>
        </is>
      </c>
      <c r="E1" s="1123" t="inlineStr">
        <is>
          <t>Source</t>
        </is>
      </c>
      <c r="F1" s="1123" t="inlineStr">
        <is>
          <t>Address</t>
        </is>
      </c>
      <c r="G1" s="1125" t="inlineStr">
        <is>
          <t>Cls</t>
        </is>
      </c>
      <c r="H1" s="1123" t="inlineStr">
        <is>
          <t>Model</t>
        </is>
      </c>
      <c r="I1" s="1126" t="inlineStr">
        <is>
          <t>Loc</t>
        </is>
      </c>
      <c r="J1" s="1123" t="inlineStr">
        <is>
          <t>NRA</t>
        </is>
      </c>
      <c r="K1" s="1123" t="inlineStr">
        <is>
          <t>Rent</t>
        </is>
      </c>
      <c r="L1" s="1123" t="inlineStr">
        <is>
          <t>Vac</t>
        </is>
      </c>
      <c r="M1" s="1123" t="inlineStr">
        <is>
          <t>Exp</t>
        </is>
      </c>
      <c r="N1" s="1123" t="inlineStr">
        <is>
          <t>YOC</t>
        </is>
      </c>
      <c r="O1" s="1127" t="inlineStr">
        <is>
          <t>Office
Enclos.</t>
        </is>
      </c>
      <c r="P1" s="1127" t="inlineStr">
        <is>
          <t>Extend.
Office</t>
        </is>
      </c>
      <c r="Q1" s="1123" t="inlineStr">
        <is>
          <t>Wall
Height</t>
        </is>
      </c>
      <c r="R1" s="1123" t="inlineStr">
        <is>
          <t>Wall
Type</t>
        </is>
      </c>
      <c r="S1" s="1119" t="inlineStr">
        <is>
          <t># Units</t>
        </is>
      </c>
      <c r="T1" s="1123" t="inlineStr">
        <is>
          <t>Zone</t>
        </is>
      </c>
      <c r="U1" s="1123" t="inlineStr">
        <is>
          <t>Str</t>
        </is>
      </c>
      <c r="V1" s="1123" t="inlineStr">
        <is>
          <t>L Area</t>
        </is>
      </c>
      <c r="W1" s="1126" t="inlineStr">
        <is>
          <t>Land R</t>
        </is>
      </c>
      <c r="X1" s="1126" t="inlineStr">
        <is>
          <t>L:B Ratio</t>
        </is>
      </c>
      <c r="Y1" s="1126" t="inlineStr">
        <is>
          <t>Imp R</t>
        </is>
      </c>
      <c r="Z1" s="1123" t="inlineStr">
        <is>
          <t>Grd</t>
        </is>
      </c>
      <c r="AA1" s="1123" t="inlineStr">
        <is>
          <t>Phy</t>
        </is>
      </c>
      <c r="AB1" s="1123" t="inlineStr">
        <is>
          <t>Fun</t>
        </is>
      </c>
      <c r="AC1" s="1123" t="inlineStr">
        <is>
          <t>P_F</t>
        </is>
      </c>
      <c r="AD1" s="1123" t="inlineStr">
        <is>
          <t>Tenant</t>
        </is>
      </c>
      <c r="AE1" s="1123" t="inlineStr">
        <is>
          <t>PGI</t>
        </is>
      </c>
      <c r="AF1" s="1123" t="inlineStr">
        <is>
          <t>EGI</t>
        </is>
      </c>
      <c r="AG1" s="1123" t="inlineStr">
        <is>
          <t>NOI</t>
        </is>
      </c>
      <c r="AH1" s="1123" t="inlineStr">
        <is>
          <t>$ EXP</t>
        </is>
      </c>
      <c r="AI1" s="1123" t="inlineStr">
        <is>
          <t>Oth Inc/SF</t>
        </is>
      </c>
      <c r="AJ1" s="1123" t="inlineStr">
        <is>
          <t>Pkg Inc/SP</t>
        </is>
      </c>
      <c r="AK1" s="1183"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1184"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1184"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1184"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1184"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1184"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1184"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1184"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1184"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1184"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1184"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1184"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1184"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1184"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1184"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1184"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1184"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1184"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1184"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1184"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1184"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1184"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1184"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1184"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1184"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1184"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1184"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1184"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1184"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1184"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1184"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1184"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1184"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1184"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1184"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1184"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1184"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1184"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1184"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1184"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1184"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1184"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1184"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1184"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1184"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1184"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1184"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1184"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1184"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1184"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1184"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1184"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1184"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1184"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1184"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1184"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1184"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1184"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1184"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1184"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1184"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1184"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1184"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1184"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1184"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1184"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1184"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1184"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1184"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1184"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1184"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1184"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1184"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1184"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1184"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1184"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1184"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1184"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1184"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1184"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1184"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1184"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1184"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1184"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1184"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1184"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1184"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1184"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1184"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1184"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1184"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1184"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1184"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1184"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1184"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1184"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1184"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1184"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1184"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1184"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1184"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1184"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1184"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1184"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1184"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1184"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1184"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1184"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1184"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1184"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1184"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1184"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1184"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1184"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1184"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1184"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1184"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1184"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1184"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1184"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1184"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1184"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1184"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1184"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1184"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1184"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1184"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1184"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1184"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1184"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1184"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1184"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1184"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1184"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1184"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1184"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1184"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1184"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1184"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1184"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1184"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1184"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1184"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1184"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1184"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1184"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1184"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1184"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1184"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1184"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1184"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1184"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1184"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1184"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1184"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1184"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1184"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1184"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1184"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1184"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1184"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1184"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1184"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1184"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1184"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1184"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1184"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1184"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1184"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1184"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1184"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1184"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1184"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1184"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1184"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1184"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1184"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1184"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1184"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1184"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1184"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1184"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1184"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1184"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1184"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1184"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1184"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1184"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1184"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1184"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1184"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1184"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1184"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1184"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1184"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1184"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1184"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1184"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1184"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1184"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1184"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1184"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1184"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1184"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1184"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1184"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1184"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1184"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1184"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1184"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1184"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1184"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1184"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1184"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1184"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1184"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1184"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1184"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1184"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1184"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1184"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1184"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1184"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1184"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1184"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1184"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1184"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1184"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1184"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1184"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1184"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1184"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1184"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1184"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1184"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1184"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1184"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1184"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1184"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1184"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1184"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1184"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1184"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1184"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1184"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1184"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1184"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1184"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1184"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1184"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1184"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1184"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1184"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1184"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1184"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1184"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1184"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1184"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1184"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1184"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1184"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1184"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1184"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1184"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1184"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1184"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1184"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1184"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1184"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1184"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1184"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1184"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1184"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1184"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1184"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1184"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1184"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1184"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1185"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1185"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1185"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1185"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1185"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1185"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1185"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1185"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1185"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1185"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1185"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1185"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1185"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1185"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1185"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1185"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1185"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1185"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1185"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1185"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1185"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1185"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1185"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1185"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1185"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1185"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1185"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1185"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1185"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1185"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1185"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1185"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1185"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1185"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1185"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1185"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1185"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1185"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1185"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1185"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1185"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1185"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1185"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1185"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1185"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1185"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1185"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1185"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1185"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1185"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1185"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1185"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1185"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1184"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1185"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1185"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1185"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1185"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1185"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1185"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1185"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1185"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1185"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1185"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1185"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1185"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1185"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1185"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1185"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1185"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1185"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1185"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1185"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1185"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1185"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1185"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1185"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1185"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1185"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1185"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1185"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1185"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1185"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1185"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1185"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1185"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1185"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1185"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1184"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1184"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1184"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1185"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1185"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1185"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1185"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1185"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1185"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1185"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1185"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1185"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1185"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1185"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1185"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1185"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1185"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1185"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1185"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1185"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1185"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1185"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1185"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1185"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1185"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1185"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1185"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1185"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1185"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1185"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1185"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1185"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1185"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1185"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1185"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1185"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1185"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1185"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1185"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1185"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1185"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1185"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1185"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1185"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1185"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1185"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1185"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1185"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1185"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1185"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1185"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1185"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1185"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1185"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1185"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1185"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1185"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1185"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1185"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1185"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1185"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1185"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1185"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1185"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1185"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1185"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1185"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1185"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1185"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1185"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1185"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1185"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1185"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1185"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1185"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1185"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1185"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1185"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1185"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1185"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1185"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1185"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1185"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1185"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1185"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1185"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1185"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1185"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1185"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1185"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1185"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1185"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1185"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1185"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1185"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1185"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1185"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1185"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1185"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1185"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1185"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1185"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1185"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1185"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1185"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1185"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1185"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1185"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1185"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1185"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1185"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1185"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1185"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1185"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1185"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1185"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1185"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1185"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1185"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1185"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1185"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1185"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3.xml><?xml version="1.0" encoding="utf-8"?>
<worksheet xmlns="http://schemas.openxmlformats.org/spreadsheetml/2006/main">
  <sheetPr codeName="Sheet4">
    <tabColor rgb="00D97706"/>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6" customWidth="1" style="487" min="1" max="1"/>
    <col width="28" customWidth="1" min="2" max="2"/>
    <col width="11.5" customWidth="1" min="3" max="3"/>
    <col width="7" bestFit="1" customWidth="1" min="4" max="4"/>
    <col width="15" bestFit="1" customWidth="1" min="5" max="5"/>
    <col width="5.33203125" customWidth="1" min="6" max="6"/>
    <col width="17" customWidth="1" min="7" max="7"/>
    <col width="17" bestFit="1" customWidth="1" min="8" max="8"/>
    <col width="5.33203125" customWidth="1" min="9" max="9"/>
    <col width="19.5" bestFit="1" customWidth="1" min="10" max="10"/>
    <col width="16.83203125" bestFit="1" customWidth="1" min="11" max="11"/>
    <col width="7" customWidth="1" min="12" max="12"/>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4.xml><?xml version="1.0" encoding="utf-8"?>
<worksheet xmlns="http://schemas.openxmlformats.org/spreadsheetml/2006/main">
  <sheetPr>
    <tabColor rgb="00D97706"/>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2" customWidth="1" min="3" max="3"/>
    <col width="6" customWidth="1" min="4" max="4"/>
    <col width="52" customWidth="1" min="5" max="5"/>
    <col width="50" customWidth="1" min="6" max="6"/>
  </cols>
  <sheetData>
    <row r="1">
      <c r="B1" s="1150" t="inlineStr">
        <is>
          <t>COUNTY OCCUPANCY CODE (OCC) REFERENCE TABLE</t>
        </is>
      </c>
    </row>
    <row r="2">
      <c r="B2" s="873"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873"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1186" t="inlineStr">
        <is>
          <t>OCC Code</t>
        </is>
      </c>
      <c r="C5" s="1128" t="inlineStr">
        <is>
          <t>Acct Type</t>
        </is>
      </c>
      <c r="D5" s="1128" t="inlineStr">
        <is>
          <t>Account Total (source report)</t>
        </is>
      </c>
      <c r="E5" s="1186" t="inlineStr">
        <is>
          <t>Occupancy Description</t>
        </is>
      </c>
      <c r="F5" s="972" t="inlineStr">
        <is>
          <t>Code + Description (dropdown source)</t>
        </is>
      </c>
    </row>
    <row r="6">
      <c r="B6" s="1158" t="n">
        <v>26</v>
      </c>
      <c r="C6" t="inlineStr">
        <is>
          <t>Commercial</t>
        </is>
      </c>
      <c r="D6" t="n">
        <v>1</v>
      </c>
      <c r="E6" s="1158" t="inlineStr">
        <is>
          <t>Studio Loft</t>
        </is>
      </c>
      <c r="F6">
        <f>B6&amp;" - "&amp;E6</f>
        <v/>
      </c>
    </row>
    <row r="7">
      <c r="B7" s="1158" t="n">
        <v>90</v>
      </c>
      <c r="C7" t="inlineStr">
        <is>
          <t>Commercial</t>
        </is>
      </c>
      <c r="D7" t="n">
        <v>2</v>
      </c>
      <c r="E7" s="1158" t="inlineStr">
        <is>
          <t>Residential Out Structure</t>
        </is>
      </c>
      <c r="F7">
        <f>B7&amp;" - "&amp;E7</f>
        <v/>
      </c>
    </row>
    <row r="8">
      <c r="B8" s="1158" t="n">
        <v>99</v>
      </c>
      <c r="C8" t="inlineStr">
        <is>
          <t>Commercial</t>
        </is>
      </c>
      <c r="D8" t="n">
        <v>6</v>
      </c>
      <c r="E8" s="1158" t="inlineStr">
        <is>
          <t>Detached Garage</t>
        </is>
      </c>
      <c r="F8">
        <f>B8&amp;" - "&amp;E8</f>
        <v/>
      </c>
    </row>
    <row r="9">
      <c r="B9" s="1158" t="n">
        <v>100</v>
      </c>
      <c r="C9" t="inlineStr">
        <is>
          <t>Commercial</t>
        </is>
      </c>
      <c r="D9" t="n">
        <v>75</v>
      </c>
      <c r="E9" s="1158" t="inlineStr">
        <is>
          <t>Single Family Residential</t>
        </is>
      </c>
      <c r="F9">
        <f>B9&amp;" - "&amp;E9</f>
        <v/>
      </c>
    </row>
    <row r="10">
      <c r="B10" s="1158" t="n">
        <v>100</v>
      </c>
      <c r="C10" t="inlineStr">
        <is>
          <t>Industrial</t>
        </is>
      </c>
      <c r="D10" t="n">
        <v>2</v>
      </c>
      <c r="E10" s="1158" t="inlineStr">
        <is>
          <t>Single Family Residential</t>
        </is>
      </c>
      <c r="F10">
        <f>B10&amp;" - "&amp;E10</f>
        <v/>
      </c>
    </row>
    <row r="11">
      <c r="B11" s="1158" t="n">
        <v>101</v>
      </c>
      <c r="C11" t="inlineStr">
        <is>
          <t>Commercial</t>
        </is>
      </c>
      <c r="D11" t="n">
        <v>2</v>
      </c>
      <c r="E11" s="1158" t="inlineStr">
        <is>
          <t>Ag Single Family Residential-not integral</t>
        </is>
      </c>
      <c r="F11">
        <f>B11&amp;" - "&amp;E11</f>
        <v/>
      </c>
    </row>
    <row r="12">
      <c r="B12" s="1158" t="n">
        <v>102</v>
      </c>
      <c r="C12" t="inlineStr">
        <is>
          <t>Commercial</t>
        </is>
      </c>
      <c r="D12" t="n">
        <v>1</v>
      </c>
      <c r="E12" s="1158" t="inlineStr">
        <is>
          <t>Duplex</t>
        </is>
      </c>
      <c r="F12">
        <f>B12&amp;" - "&amp;E12</f>
        <v/>
      </c>
    </row>
    <row r="13">
      <c r="B13" s="1158" t="n">
        <v>105</v>
      </c>
      <c r="C13" t="inlineStr">
        <is>
          <t>Commercial</t>
        </is>
      </c>
      <c r="D13" t="n">
        <v>6</v>
      </c>
      <c r="E13" s="1158" t="inlineStr">
        <is>
          <t>Attached Single Family Residential</t>
        </is>
      </c>
      <c r="F13">
        <f>B13&amp;" - "&amp;E13</f>
        <v/>
      </c>
    </row>
    <row r="14">
      <c r="B14" s="1158" t="n">
        <v>116</v>
      </c>
      <c r="C14" t="inlineStr">
        <is>
          <t>Commercial</t>
        </is>
      </c>
      <c r="D14" t="n">
        <v>3</v>
      </c>
      <c r="E14" s="1158" t="inlineStr">
        <is>
          <t>Apartment w/4-8 Units</t>
        </is>
      </c>
      <c r="F14">
        <f>B14&amp;" - "&amp;E14</f>
        <v/>
      </c>
    </row>
    <row r="15">
      <c r="B15" s="1158" t="n">
        <v>118</v>
      </c>
      <c r="C15" t="inlineStr">
        <is>
          <t>Commercial</t>
        </is>
      </c>
      <c r="D15" t="n">
        <v>12</v>
      </c>
      <c r="E15" s="1158" t="inlineStr">
        <is>
          <t>Apartment w/9 + Units</t>
        </is>
      </c>
      <c r="F15">
        <f>B15&amp;" - "&amp;E15</f>
        <v/>
      </c>
    </row>
    <row r="16">
      <c r="B16" s="1158" t="n">
        <v>140</v>
      </c>
      <c r="C16" t="inlineStr">
        <is>
          <t>Commercial</t>
        </is>
      </c>
      <c r="D16" t="n">
        <v>66</v>
      </c>
      <c r="E16" s="1158" t="inlineStr">
        <is>
          <t>Parking Lot</t>
        </is>
      </c>
      <c r="F16">
        <f>B16&amp;" - "&amp;E16</f>
        <v/>
      </c>
    </row>
    <row r="17">
      <c r="B17" s="1158" t="n">
        <v>140</v>
      </c>
      <c r="C17" t="inlineStr">
        <is>
          <t>Industrial</t>
        </is>
      </c>
      <c r="D17" t="n">
        <v>1</v>
      </c>
      <c r="E17" s="1158" t="inlineStr">
        <is>
          <t>Parking Lot</t>
        </is>
      </c>
      <c r="F17">
        <f>B17&amp;" - "&amp;E17</f>
        <v/>
      </c>
    </row>
    <row r="18">
      <c r="B18" s="1158" t="n">
        <v>186</v>
      </c>
      <c r="C18" t="inlineStr">
        <is>
          <t>Industrial</t>
        </is>
      </c>
      <c r="D18" t="n">
        <v>2</v>
      </c>
      <c r="E18" s="1158" t="inlineStr">
        <is>
          <t>Light Commercial - Manufacturing Utility Bldg</t>
        </is>
      </c>
      <c r="F18">
        <f>B18&amp;" - "&amp;E18</f>
        <v/>
      </c>
    </row>
    <row r="19">
      <c r="B19" s="1158" t="n">
        <v>204</v>
      </c>
      <c r="C19" t="inlineStr">
        <is>
          <t>Commercial</t>
        </is>
      </c>
      <c r="D19" t="n">
        <v>1</v>
      </c>
      <c r="E19" s="1158" t="inlineStr">
        <is>
          <t>Computer Centers</t>
        </is>
      </c>
      <c r="F19">
        <f>B19&amp;" - "&amp;E19</f>
        <v/>
      </c>
    </row>
    <row r="20">
      <c r="B20" s="1158" t="n">
        <v>207</v>
      </c>
      <c r="C20" t="inlineStr">
        <is>
          <t>Commercial</t>
        </is>
      </c>
      <c r="D20" t="n">
        <v>1</v>
      </c>
      <c r="E20" s="1158" t="inlineStr">
        <is>
          <t>Firing Range Buildings</t>
        </is>
      </c>
      <c r="F20">
        <f>B20&amp;" - "&amp;E20</f>
        <v/>
      </c>
    </row>
    <row r="21">
      <c r="B21" s="1158" t="n">
        <v>208</v>
      </c>
      <c r="C21" t="inlineStr">
        <is>
          <t>Commercial</t>
        </is>
      </c>
      <c r="D21" t="n">
        <v>14</v>
      </c>
      <c r="E21" s="1158" t="inlineStr">
        <is>
          <t>Golf Course *CODE</t>
        </is>
      </c>
      <c r="F21">
        <f>B21&amp;" - "&amp;E21</f>
        <v/>
      </c>
    </row>
    <row r="22">
      <c r="B22" s="1158" t="n">
        <v>209</v>
      </c>
      <c r="C22" t="inlineStr">
        <is>
          <t>Commercial</t>
        </is>
      </c>
      <c r="D22" t="n">
        <v>2</v>
      </c>
      <c r="E22" s="1158" t="inlineStr">
        <is>
          <t>Nursery/Greenhouse</t>
        </is>
      </c>
      <c r="F22">
        <f>B22&amp;" - "&amp;E22</f>
        <v/>
      </c>
    </row>
    <row r="23">
      <c r="B23" s="1158" t="n">
        <v>210</v>
      </c>
      <c r="C23" t="inlineStr">
        <is>
          <t>Commercial</t>
        </is>
      </c>
      <c r="D23" t="n">
        <v>35</v>
      </c>
      <c r="E23" s="1158" t="inlineStr">
        <is>
          <t>Industrial Flex Mall Building</t>
        </is>
      </c>
      <c r="F23">
        <f>B23&amp;" - "&amp;E23</f>
        <v/>
      </c>
    </row>
    <row r="24">
      <c r="B24" s="1158" t="n">
        <v>210</v>
      </c>
      <c r="C24" t="inlineStr">
        <is>
          <t>Industrial</t>
        </is>
      </c>
      <c r="D24" t="n">
        <v>14</v>
      </c>
      <c r="E24" s="1158" t="inlineStr">
        <is>
          <t>Industrial Flex Mall Building</t>
        </is>
      </c>
      <c r="F24">
        <f>B24&amp;" - "&amp;E24</f>
        <v/>
      </c>
    </row>
    <row r="25">
      <c r="B25" s="1158" t="n">
        <v>211</v>
      </c>
      <c r="C25" t="inlineStr">
        <is>
          <t>Industrial</t>
        </is>
      </c>
      <c r="D25" t="n">
        <v>2</v>
      </c>
      <c r="E25" s="1158" t="inlineStr">
        <is>
          <t>Industiral Interior Office Space</t>
        </is>
      </c>
      <c r="F25">
        <f>B25&amp;" - "&amp;E25</f>
        <v/>
      </c>
    </row>
    <row r="26">
      <c r="B26" s="1158" t="n">
        <v>212</v>
      </c>
      <c r="C26" t="inlineStr">
        <is>
          <t>Industrial</t>
        </is>
      </c>
      <c r="D26" t="n">
        <v>2</v>
      </c>
      <c r="E26" s="1158" t="inlineStr">
        <is>
          <t>Laboratories</t>
        </is>
      </c>
      <c r="F26">
        <f>B26&amp;" - "&amp;E26</f>
        <v/>
      </c>
    </row>
    <row r="27">
      <c r="B27" s="1158" t="n">
        <v>213</v>
      </c>
      <c r="C27" t="inlineStr">
        <is>
          <t>Commercial</t>
        </is>
      </c>
      <c r="D27" t="n">
        <v>1</v>
      </c>
      <c r="E27" s="1158" t="inlineStr">
        <is>
          <t>Light Industrial Shell Buildings</t>
        </is>
      </c>
      <c r="F27">
        <f>B27&amp;" - "&amp;E27</f>
        <v/>
      </c>
    </row>
    <row r="28">
      <c r="B28" s="1158" t="n">
        <v>213</v>
      </c>
      <c r="C28" t="inlineStr">
        <is>
          <t>Industrial</t>
        </is>
      </c>
      <c r="D28" t="n">
        <v>2</v>
      </c>
      <c r="E28" s="1158" t="inlineStr">
        <is>
          <t>Light Industrial Shell Buildings</t>
        </is>
      </c>
      <c r="F28">
        <f>B28&amp;" - "&amp;E28</f>
        <v/>
      </c>
    </row>
    <row r="29">
      <c r="B29" s="1158" t="n">
        <v>217</v>
      </c>
      <c r="C29" t="inlineStr">
        <is>
          <t>Commercial</t>
        </is>
      </c>
      <c r="D29" t="n">
        <v>1</v>
      </c>
      <c r="E29" s="1158" t="inlineStr">
        <is>
          <t>Miscellaneous OB</t>
        </is>
      </c>
      <c r="F29">
        <f>B29&amp;" - "&amp;E29</f>
        <v/>
      </c>
    </row>
    <row r="30">
      <c r="B30" s="1158" t="n">
        <v>220</v>
      </c>
      <c r="C30" t="inlineStr">
        <is>
          <t>Commercial</t>
        </is>
      </c>
      <c r="D30" t="n">
        <v>1</v>
      </c>
      <c r="E30" s="1158" t="inlineStr">
        <is>
          <t>Recreational Pool Enclosure</t>
        </is>
      </c>
      <c r="F30">
        <f>B30&amp;" - "&amp;E30</f>
        <v/>
      </c>
    </row>
    <row r="31">
      <c r="B31" s="1158" t="n">
        <v>227</v>
      </c>
      <c r="C31" t="inlineStr">
        <is>
          <t>Commercial</t>
        </is>
      </c>
      <c r="D31" t="n">
        <v>20</v>
      </c>
      <c r="E31" s="1158" t="inlineStr">
        <is>
          <t>Complete Auto Dealership</t>
        </is>
      </c>
      <c r="F31">
        <f>B31&amp;" - "&amp;E31</f>
        <v/>
      </c>
    </row>
    <row r="32">
      <c r="B32" s="1158" t="n">
        <v>228</v>
      </c>
      <c r="C32" t="inlineStr">
        <is>
          <t>Commercial</t>
        </is>
      </c>
      <c r="D32" t="n">
        <v>3</v>
      </c>
      <c r="E32" s="1158" t="inlineStr">
        <is>
          <t>Kennel</t>
        </is>
      </c>
      <c r="F32">
        <f>B32&amp;" - "&amp;E32</f>
        <v/>
      </c>
    </row>
    <row r="33">
      <c r="B33" s="1158" t="n">
        <v>228</v>
      </c>
      <c r="C33" t="inlineStr">
        <is>
          <t>Industrial</t>
        </is>
      </c>
      <c r="D33" t="n">
        <v>1</v>
      </c>
      <c r="E33" s="1158" t="inlineStr">
        <is>
          <t>Kennel</t>
        </is>
      </c>
      <c r="F33">
        <f>B33&amp;" - "&amp;E33</f>
        <v/>
      </c>
    </row>
    <row r="34">
      <c r="B34" s="1158" t="n">
        <v>300</v>
      </c>
      <c r="C34" t="inlineStr">
        <is>
          <t>Commercial</t>
        </is>
      </c>
      <c r="D34" t="n">
        <v>1</v>
      </c>
      <c r="E34" s="1158" t="inlineStr">
        <is>
          <t>Apartments (Hi-Rise)</t>
        </is>
      </c>
      <c r="F34">
        <f>B34&amp;" - "&amp;E34</f>
        <v/>
      </c>
    </row>
    <row r="35">
      <c r="B35" s="1158" t="n">
        <v>302</v>
      </c>
      <c r="C35" t="inlineStr">
        <is>
          <t>Commercial</t>
        </is>
      </c>
      <c r="D35" t="n">
        <v>2</v>
      </c>
      <c r="E35" s="1158" t="inlineStr">
        <is>
          <t>Auditorium</t>
        </is>
      </c>
      <c r="F35">
        <f>B35&amp;" - "&amp;E35</f>
        <v/>
      </c>
    </row>
    <row r="36">
      <c r="B36" s="1158" t="n">
        <v>303</v>
      </c>
      <c r="C36" t="inlineStr">
        <is>
          <t>Commercial</t>
        </is>
      </c>
      <c r="D36" t="n">
        <v>11</v>
      </c>
      <c r="E36" s="1158" t="inlineStr">
        <is>
          <t>Showroom</t>
        </is>
      </c>
      <c r="F36">
        <f>B36&amp;" - "&amp;E36</f>
        <v/>
      </c>
    </row>
    <row r="37">
      <c r="B37" s="1158" t="n">
        <v>304</v>
      </c>
      <c r="C37" t="inlineStr">
        <is>
          <t>Commercial</t>
        </is>
      </c>
      <c r="D37" t="n">
        <v>89</v>
      </c>
      <c r="E37" s="1158" t="inlineStr">
        <is>
          <t>Bank</t>
        </is>
      </c>
      <c r="F37">
        <f>B37&amp;" - "&amp;E37</f>
        <v/>
      </c>
    </row>
    <row r="38">
      <c r="B38" s="1158" t="n">
        <v>305</v>
      </c>
      <c r="C38" t="inlineStr">
        <is>
          <t>Commercial</t>
        </is>
      </c>
      <c r="D38" t="n">
        <v>1</v>
      </c>
      <c r="E38" s="1158" t="inlineStr">
        <is>
          <t>Drive-up Mini Banks</t>
        </is>
      </c>
      <c r="F38">
        <f>B38&amp;" - "&amp;E38</f>
        <v/>
      </c>
    </row>
    <row r="39">
      <c r="B39" s="1158" t="n">
        <v>306</v>
      </c>
      <c r="C39" t="inlineStr">
        <is>
          <t>Commercial</t>
        </is>
      </c>
      <c r="D39" t="n">
        <v>6</v>
      </c>
      <c r="E39" s="1158" t="inlineStr">
        <is>
          <t>Bowling Alley</t>
        </is>
      </c>
      <c r="F39">
        <f>B39&amp;" - "&amp;E39</f>
        <v/>
      </c>
    </row>
    <row r="40">
      <c r="B40" s="1158" t="n">
        <v>309</v>
      </c>
      <c r="C40" t="inlineStr">
        <is>
          <t>Commercial</t>
        </is>
      </c>
      <c r="D40" t="n">
        <v>18</v>
      </c>
      <c r="E40" s="1158" t="inlineStr">
        <is>
          <t>Church</t>
        </is>
      </c>
      <c r="F40">
        <f>B40&amp;" - "&amp;E40</f>
        <v/>
      </c>
    </row>
    <row r="41">
      <c r="B41" s="1158" t="n">
        <v>310</v>
      </c>
      <c r="C41" t="inlineStr">
        <is>
          <t>Commercial</t>
        </is>
      </c>
      <c r="D41" t="n">
        <v>1</v>
      </c>
      <c r="E41" s="1158" t="inlineStr">
        <is>
          <t>City Club</t>
        </is>
      </c>
      <c r="F41">
        <f>B41&amp;" - "&amp;E41</f>
        <v/>
      </c>
    </row>
    <row r="42">
      <c r="B42" s="1158" t="n">
        <v>311</v>
      </c>
      <c r="C42" t="inlineStr">
        <is>
          <t>Commercial</t>
        </is>
      </c>
      <c r="D42" t="n">
        <v>5</v>
      </c>
      <c r="E42" s="1158" t="inlineStr">
        <is>
          <t>Clubhouse</t>
        </is>
      </c>
      <c r="F42">
        <f>B42&amp;" - "&amp;E42</f>
        <v/>
      </c>
    </row>
    <row r="43">
      <c r="B43" s="1158" t="n">
        <v>313</v>
      </c>
      <c r="C43" t="inlineStr">
        <is>
          <t>Commercial</t>
        </is>
      </c>
      <c r="D43" t="n">
        <v>1</v>
      </c>
      <c r="E43" s="1158" t="inlineStr">
        <is>
          <t>Convlsnt Hosp Nursing Home</t>
        </is>
      </c>
      <c r="F43">
        <f>B43&amp;" - "&amp;E43</f>
        <v/>
      </c>
    </row>
    <row r="44">
      <c r="B44" s="1158" t="n">
        <v>314</v>
      </c>
      <c r="C44" t="inlineStr">
        <is>
          <t>Commercial</t>
        </is>
      </c>
      <c r="D44" t="n">
        <v>1</v>
      </c>
      <c r="E44" s="1158" t="inlineStr">
        <is>
          <t>Country Club</t>
        </is>
      </c>
      <c r="F44">
        <f>B44&amp;" - "&amp;E44</f>
        <v/>
      </c>
    </row>
    <row r="45">
      <c r="B45" s="1158" t="n">
        <v>318</v>
      </c>
      <c r="C45" t="inlineStr">
        <is>
          <t>Commercial</t>
        </is>
      </c>
      <c r="D45" t="n">
        <v>3</v>
      </c>
      <c r="E45" s="1158" t="inlineStr">
        <is>
          <t>Department Store</t>
        </is>
      </c>
      <c r="F45">
        <f>B45&amp;" - "&amp;E45</f>
        <v/>
      </c>
    </row>
    <row r="46">
      <c r="B46" s="1158" t="n">
        <v>319</v>
      </c>
      <c r="C46" t="inlineStr">
        <is>
          <t>Commercial</t>
        </is>
      </c>
      <c r="D46" t="n">
        <v>47</v>
      </c>
      <c r="E46" s="1158" t="inlineStr">
        <is>
          <t>Discount Store</t>
        </is>
      </c>
      <c r="F46">
        <f>B46&amp;" - "&amp;E46</f>
        <v/>
      </c>
    </row>
    <row r="47">
      <c r="B47" s="1158" t="n">
        <v>320</v>
      </c>
      <c r="C47" t="inlineStr">
        <is>
          <t>Commercial</t>
        </is>
      </c>
      <c r="D47" t="n">
        <v>3</v>
      </c>
      <c r="E47" s="1158" t="inlineStr">
        <is>
          <t>Dispensary</t>
        </is>
      </c>
      <c r="F47">
        <f>B47&amp;" - "&amp;E47</f>
        <v/>
      </c>
    </row>
    <row r="48">
      <c r="B48" s="1158" t="n">
        <v>320</v>
      </c>
      <c r="C48" t="inlineStr">
        <is>
          <t>Industrial</t>
        </is>
      </c>
      <c r="D48" t="n">
        <v>1</v>
      </c>
      <c r="E48" s="1158" t="inlineStr">
        <is>
          <t>Dispensary</t>
        </is>
      </c>
      <c r="F48">
        <f>B48&amp;" - "&amp;E48</f>
        <v/>
      </c>
    </row>
    <row r="49">
      <c r="B49" s="1158" t="n">
        <v>321</v>
      </c>
      <c r="C49" t="inlineStr">
        <is>
          <t>Commercial</t>
        </is>
      </c>
      <c r="D49" t="n">
        <v>1</v>
      </c>
      <c r="E49" s="1158" t="inlineStr">
        <is>
          <t>Dormitory Residence Halls</t>
        </is>
      </c>
      <c r="F49">
        <f>B49&amp;" - "&amp;E49</f>
        <v/>
      </c>
    </row>
    <row r="50">
      <c r="B50" s="1158" t="n">
        <v>323</v>
      </c>
      <c r="C50" t="inlineStr">
        <is>
          <t>Commercial</t>
        </is>
      </c>
      <c r="D50" t="n">
        <v>5</v>
      </c>
      <c r="E50" s="1158" t="inlineStr">
        <is>
          <t>Fraternal Building</t>
        </is>
      </c>
      <c r="F50">
        <f>B50&amp;" - "&amp;E50</f>
        <v/>
      </c>
    </row>
    <row r="51">
      <c r="B51" s="1158" t="n">
        <v>325</v>
      </c>
      <c r="C51" t="inlineStr">
        <is>
          <t>Commercial</t>
        </is>
      </c>
      <c r="D51" t="n">
        <v>573</v>
      </c>
      <c r="E51" s="1158" t="inlineStr">
        <is>
          <t>Service Garage</t>
        </is>
      </c>
      <c r="F51">
        <f>B51&amp;" - "&amp;E51</f>
        <v/>
      </c>
    </row>
    <row r="52">
      <c r="B52" s="1158" t="n">
        <v>325</v>
      </c>
      <c r="C52" t="inlineStr">
        <is>
          <t>Industrial</t>
        </is>
      </c>
      <c r="D52" t="n">
        <v>38</v>
      </c>
      <c r="E52" s="1158" t="inlineStr">
        <is>
          <t>Service Garage</t>
        </is>
      </c>
      <c r="F52">
        <f>B52&amp;" - "&amp;E52</f>
        <v/>
      </c>
    </row>
    <row r="53">
      <c r="B53" s="1158" t="n">
        <v>326</v>
      </c>
      <c r="C53" t="inlineStr">
        <is>
          <t>Commercial</t>
        </is>
      </c>
      <c r="D53" t="n">
        <v>28</v>
      </c>
      <c r="E53" s="1158" t="inlineStr">
        <is>
          <t>Storage Garage</t>
        </is>
      </c>
      <c r="F53">
        <f>B53&amp;" - "&amp;E53</f>
        <v/>
      </c>
    </row>
    <row r="54">
      <c r="B54" s="1158" t="n">
        <v>326</v>
      </c>
      <c r="C54" t="inlineStr">
        <is>
          <t>Industrial</t>
        </is>
      </c>
      <c r="D54" t="n">
        <v>4</v>
      </c>
      <c r="E54" s="1158" t="inlineStr">
        <is>
          <t>Storage Garage</t>
        </is>
      </c>
      <c r="F54">
        <f>B54&amp;" - "&amp;E54</f>
        <v/>
      </c>
    </row>
    <row r="55">
      <c r="B55" s="1158" t="n">
        <v>328</v>
      </c>
      <c r="C55" t="inlineStr">
        <is>
          <t>Commercial</t>
        </is>
      </c>
      <c r="D55" t="n">
        <v>163</v>
      </c>
      <c r="E55" s="1158" t="inlineStr">
        <is>
          <t>Storage Hanger</t>
        </is>
      </c>
      <c r="F55">
        <f>B55&amp;" - "&amp;E55</f>
        <v/>
      </c>
    </row>
    <row r="56">
      <c r="B56" s="1158" t="n">
        <v>331</v>
      </c>
      <c r="C56" t="inlineStr">
        <is>
          <t>Commercial</t>
        </is>
      </c>
      <c r="D56" t="n">
        <v>4</v>
      </c>
      <c r="E56" s="1158" t="inlineStr">
        <is>
          <t>Hospital</t>
        </is>
      </c>
      <c r="F56">
        <f>B56&amp;" - "&amp;E56</f>
        <v/>
      </c>
    </row>
    <row r="57">
      <c r="B57" s="1158" t="n">
        <v>332</v>
      </c>
      <c r="C57" t="inlineStr">
        <is>
          <t>Commercial</t>
        </is>
      </c>
      <c r="D57" t="n">
        <v>13</v>
      </c>
      <c r="E57" s="1158" t="inlineStr">
        <is>
          <t>Hotel - Full Service</t>
        </is>
      </c>
      <c r="F57">
        <f>B57&amp;" - "&amp;E57</f>
        <v/>
      </c>
    </row>
    <row r="58">
      <c r="B58" s="1158" t="n">
        <v>333</v>
      </c>
      <c r="C58" t="inlineStr">
        <is>
          <t>Commercial</t>
        </is>
      </c>
      <c r="D58" t="n">
        <v>2</v>
      </c>
      <c r="E58" s="1158" t="inlineStr">
        <is>
          <t>Indust Heavy Manufacturing</t>
        </is>
      </c>
      <c r="F58">
        <f>B58&amp;" - "&amp;E58</f>
        <v/>
      </c>
    </row>
    <row r="59">
      <c r="B59" s="1158" t="n">
        <v>333</v>
      </c>
      <c r="C59" t="inlineStr">
        <is>
          <t>Industrial</t>
        </is>
      </c>
      <c r="D59" t="n">
        <v>1</v>
      </c>
      <c r="E59" s="1158" t="inlineStr">
        <is>
          <t>Indust Heavy Manufacturing</t>
        </is>
      </c>
      <c r="F59">
        <f>B59&amp;" - "&amp;E59</f>
        <v/>
      </c>
    </row>
    <row r="60">
      <c r="B60" s="1158" t="n">
        <v>334</v>
      </c>
      <c r="C60" t="inlineStr">
        <is>
          <t>Commercial</t>
        </is>
      </c>
      <c r="D60" t="n">
        <v>47</v>
      </c>
      <c r="E60" s="1158" t="inlineStr">
        <is>
          <t>Indust Lght Manufacturing</t>
        </is>
      </c>
      <c r="F60">
        <f>B60&amp;" - "&amp;E60</f>
        <v/>
      </c>
    </row>
    <row r="61">
      <c r="B61" s="1158" t="n">
        <v>334</v>
      </c>
      <c r="C61" t="inlineStr">
        <is>
          <t>Industrial</t>
        </is>
      </c>
      <c r="D61" t="n">
        <v>79</v>
      </c>
      <c r="E61" s="1158" t="inlineStr">
        <is>
          <t>Indust Lght Manufacturing</t>
        </is>
      </c>
      <c r="F61">
        <f>B61&amp;" - "&amp;E61</f>
        <v/>
      </c>
    </row>
    <row r="62">
      <c r="B62" s="1158" t="n">
        <v>335</v>
      </c>
      <c r="C62" t="inlineStr">
        <is>
          <t>Commercial</t>
        </is>
      </c>
      <c r="D62" t="n">
        <v>1</v>
      </c>
      <c r="E62" s="1158" t="inlineStr">
        <is>
          <t>Jail - Correctional Facility</t>
        </is>
      </c>
      <c r="F62">
        <f>B62&amp;" - "&amp;E62</f>
        <v/>
      </c>
    </row>
    <row r="63">
      <c r="B63" s="1158" t="n">
        <v>336</v>
      </c>
      <c r="C63" t="inlineStr">
        <is>
          <t>Commercial</t>
        </is>
      </c>
      <c r="D63" t="n">
        <v>5</v>
      </c>
      <c r="E63" s="1158" t="inlineStr">
        <is>
          <t>Laundromat</t>
        </is>
      </c>
      <c r="F63">
        <f>B63&amp;" - "&amp;E63</f>
        <v/>
      </c>
    </row>
    <row r="64">
      <c r="B64" s="1158" t="n">
        <v>339</v>
      </c>
      <c r="C64" t="inlineStr">
        <is>
          <t>Commercial</t>
        </is>
      </c>
      <c r="D64" t="n">
        <v>16</v>
      </c>
      <c r="E64" s="1158" t="inlineStr">
        <is>
          <t>Lumber Storage - Horizontal</t>
        </is>
      </c>
      <c r="F64">
        <f>B64&amp;" - "&amp;E64</f>
        <v/>
      </c>
    </row>
    <row r="65">
      <c r="B65" s="1158" t="n">
        <v>339</v>
      </c>
      <c r="C65" t="inlineStr">
        <is>
          <t>Industrial</t>
        </is>
      </c>
      <c r="D65" t="n">
        <v>2</v>
      </c>
      <c r="E65" s="1158" t="inlineStr">
        <is>
          <t>Lumber Storage - Horizontal</t>
        </is>
      </c>
      <c r="F65">
        <f>B65&amp;" - "&amp;E65</f>
        <v/>
      </c>
    </row>
    <row r="66">
      <c r="B66" s="1158" t="n">
        <v>340</v>
      </c>
      <c r="C66" t="inlineStr">
        <is>
          <t>Commercial</t>
        </is>
      </c>
      <c r="D66" t="n">
        <v>9</v>
      </c>
      <c r="E66" s="1158" t="inlineStr">
        <is>
          <t>Market</t>
        </is>
      </c>
      <c r="F66">
        <f>B66&amp;" - "&amp;E66</f>
        <v/>
      </c>
    </row>
    <row r="67">
      <c r="B67" s="1158" t="n">
        <v>341</v>
      </c>
      <c r="C67" t="inlineStr">
        <is>
          <t>Commercial</t>
        </is>
      </c>
      <c r="D67" t="n">
        <v>307</v>
      </c>
      <c r="E67" s="1158" t="inlineStr">
        <is>
          <t>Medical Offices</t>
        </is>
      </c>
      <c r="F67">
        <f>B67&amp;" - "&amp;E67</f>
        <v/>
      </c>
    </row>
    <row r="68">
      <c r="B68" s="1158" t="n">
        <v>342</v>
      </c>
      <c r="C68" t="inlineStr">
        <is>
          <t>Commercial</t>
        </is>
      </c>
      <c r="D68" t="n">
        <v>6</v>
      </c>
      <c r="E68" s="1158" t="inlineStr">
        <is>
          <t>Mortuary</t>
        </is>
      </c>
      <c r="F68">
        <f>B68&amp;" - "&amp;E68</f>
        <v/>
      </c>
    </row>
    <row r="69">
      <c r="B69" s="1158" t="n">
        <v>343</v>
      </c>
      <c r="C69" t="inlineStr">
        <is>
          <t>Commercial</t>
        </is>
      </c>
      <c r="D69" t="n">
        <v>16</v>
      </c>
      <c r="E69" s="1158" t="inlineStr">
        <is>
          <t>Motel</t>
        </is>
      </c>
      <c r="F69">
        <f>B69&amp;" - "&amp;E69</f>
        <v/>
      </c>
    </row>
    <row r="70">
      <c r="B70" s="1158" t="n">
        <v>344</v>
      </c>
      <c r="C70" t="inlineStr">
        <is>
          <t>Commercial</t>
        </is>
      </c>
      <c r="D70" t="n">
        <v>509</v>
      </c>
      <c r="E70" s="1158" t="inlineStr">
        <is>
          <t>Office Building</t>
        </is>
      </c>
      <c r="F70">
        <f>B70&amp;" - "&amp;E70</f>
        <v/>
      </c>
    </row>
    <row r="71">
      <c r="B71" s="1158" t="n">
        <v>344</v>
      </c>
      <c r="C71" t="inlineStr">
        <is>
          <t>Industrial</t>
        </is>
      </c>
      <c r="D71" t="n">
        <v>57</v>
      </c>
      <c r="E71" s="1158" t="inlineStr">
        <is>
          <t>Office Building</t>
        </is>
      </c>
      <c r="F71">
        <f>B71&amp;" - "&amp;E71</f>
        <v/>
      </c>
    </row>
    <row r="72">
      <c r="B72" s="1158" t="n">
        <v>345</v>
      </c>
      <c r="C72" t="inlineStr">
        <is>
          <t>Commercial</t>
        </is>
      </c>
      <c r="D72" t="n">
        <v>5</v>
      </c>
      <c r="E72" s="1158" t="inlineStr">
        <is>
          <t>Parking Structure</t>
        </is>
      </c>
      <c r="F72">
        <f>B72&amp;" - "&amp;E72</f>
        <v/>
      </c>
    </row>
    <row r="73">
      <c r="B73" s="1158" t="n">
        <v>345</v>
      </c>
      <c r="C73" t="inlineStr">
        <is>
          <t>Industrial</t>
        </is>
      </c>
      <c r="D73" t="n">
        <v>1</v>
      </c>
      <c r="E73" s="1158" t="inlineStr">
        <is>
          <t>Parking Structure</t>
        </is>
      </c>
      <c r="F73">
        <f>B73&amp;" - "&amp;E73</f>
        <v/>
      </c>
    </row>
    <row r="74">
      <c r="B74" s="1158" t="n">
        <v>346</v>
      </c>
      <c r="C74" t="inlineStr">
        <is>
          <t>Commercial</t>
        </is>
      </c>
      <c r="D74" t="n">
        <v>12</v>
      </c>
      <c r="E74" s="1158" t="inlineStr">
        <is>
          <t>Post Office</t>
        </is>
      </c>
      <c r="F74">
        <f>B74&amp;" - "&amp;E74</f>
        <v/>
      </c>
    </row>
    <row r="75">
      <c r="B75" s="1158" t="n">
        <v>349</v>
      </c>
      <c r="C75" t="inlineStr">
        <is>
          <t>Commercial</t>
        </is>
      </c>
      <c r="D75" t="n">
        <v>194</v>
      </c>
      <c r="E75" s="1158" t="inlineStr">
        <is>
          <t>Fast Food Restaurant</t>
        </is>
      </c>
      <c r="F75">
        <f>B75&amp;" - "&amp;E75</f>
        <v/>
      </c>
    </row>
    <row r="76">
      <c r="B76" s="1158" t="n">
        <v>350</v>
      </c>
      <c r="C76" t="inlineStr">
        <is>
          <t>Commercial</t>
        </is>
      </c>
      <c r="D76" t="n">
        <v>186</v>
      </c>
      <c r="E76" s="1158" t="inlineStr">
        <is>
          <t>Restaurant</t>
        </is>
      </c>
      <c r="F76">
        <f>B76&amp;" - "&amp;E76</f>
        <v/>
      </c>
    </row>
    <row r="77">
      <c r="B77" s="1158" t="n">
        <v>352</v>
      </c>
      <c r="C77" t="inlineStr">
        <is>
          <t>Commercial</t>
        </is>
      </c>
      <c r="D77" t="n">
        <v>6</v>
      </c>
      <c r="E77" s="1158" t="inlineStr">
        <is>
          <t>Multiple - Residential</t>
        </is>
      </c>
      <c r="F77">
        <f>B77&amp;" - "&amp;E77</f>
        <v/>
      </c>
    </row>
    <row r="78">
      <c r="B78" s="1158" t="n">
        <v>352</v>
      </c>
      <c r="C78" t="inlineStr">
        <is>
          <t>Industrial</t>
        </is>
      </c>
      <c r="D78" t="n">
        <v>1</v>
      </c>
      <c r="E78" s="1158" t="inlineStr">
        <is>
          <t>Multiple - Residential</t>
        </is>
      </c>
      <c r="F78">
        <f>B78&amp;" - "&amp;E78</f>
        <v/>
      </c>
    </row>
    <row r="79">
      <c r="B79" s="1158" t="n">
        <v>353</v>
      </c>
      <c r="C79" t="inlineStr">
        <is>
          <t>Commercial</t>
        </is>
      </c>
      <c r="D79" t="n">
        <v>698</v>
      </c>
      <c r="E79" s="1158" t="inlineStr">
        <is>
          <t>Retail Store</t>
        </is>
      </c>
      <c r="F79">
        <f>B79&amp;" - "&amp;E79</f>
        <v/>
      </c>
    </row>
    <row r="80">
      <c r="B80" s="1158" t="n">
        <v>353</v>
      </c>
      <c r="C80" t="inlineStr">
        <is>
          <t>Industrial</t>
        </is>
      </c>
      <c r="D80" t="n">
        <v>2</v>
      </c>
      <c r="E80" s="1158" t="inlineStr">
        <is>
          <t>Retail Store</t>
        </is>
      </c>
      <c r="F80">
        <f>B80&amp;" - "&amp;E80</f>
        <v/>
      </c>
    </row>
    <row r="81">
      <c r="B81" s="1158" t="n">
        <v>356</v>
      </c>
      <c r="C81" t="inlineStr">
        <is>
          <t>Commercial</t>
        </is>
      </c>
      <c r="D81" t="n">
        <v>1</v>
      </c>
      <c r="E81" s="1158" t="inlineStr">
        <is>
          <t>School - Classroom</t>
        </is>
      </c>
      <c r="F81">
        <f>B81&amp;" - "&amp;E81</f>
        <v/>
      </c>
    </row>
    <row r="82">
      <c r="B82" s="1158" t="n">
        <v>358</v>
      </c>
      <c r="C82" t="inlineStr">
        <is>
          <t>Commercial</t>
        </is>
      </c>
      <c r="D82" t="n">
        <v>5</v>
      </c>
      <c r="E82" s="1158" t="inlineStr">
        <is>
          <t>School - Gymnasium</t>
        </is>
      </c>
      <c r="F82">
        <f>B82&amp;" - "&amp;E82</f>
        <v/>
      </c>
    </row>
    <row r="83">
      <c r="B83" s="1158" t="n">
        <v>359</v>
      </c>
      <c r="C83" t="inlineStr">
        <is>
          <t>Commercial</t>
        </is>
      </c>
      <c r="D83" t="n">
        <v>2</v>
      </c>
      <c r="E83" s="1158" t="inlineStr">
        <is>
          <t>School - Lecture Hall</t>
        </is>
      </c>
      <c r="F83">
        <f>B83&amp;" - "&amp;E83</f>
        <v/>
      </c>
    </row>
    <row r="84">
      <c r="B84" s="1158" t="n">
        <v>361</v>
      </c>
      <c r="C84" t="inlineStr">
        <is>
          <t>Commercial</t>
        </is>
      </c>
      <c r="D84" t="n">
        <v>2</v>
      </c>
      <c r="E84" s="1158" t="inlineStr">
        <is>
          <t>School - Manual Arts</t>
        </is>
      </c>
      <c r="F84">
        <f>B84&amp;" - "&amp;E84</f>
        <v/>
      </c>
    </row>
    <row r="85">
      <c r="B85" s="1158" t="n">
        <v>368</v>
      </c>
      <c r="C85" t="inlineStr">
        <is>
          <t>Commercial</t>
        </is>
      </c>
      <c r="D85" t="n">
        <v>2</v>
      </c>
      <c r="E85" s="1158" t="inlineStr">
        <is>
          <t>College - Classrooms</t>
        </is>
      </c>
      <c r="F85">
        <f>B85&amp;" - "&amp;E85</f>
        <v/>
      </c>
    </row>
    <row r="86">
      <c r="B86" s="1158" t="n">
        <v>378</v>
      </c>
      <c r="C86" t="inlineStr">
        <is>
          <t>Commercial</t>
        </is>
      </c>
      <c r="D86" t="n">
        <v>1</v>
      </c>
      <c r="E86" s="1158" t="inlineStr">
        <is>
          <t>Stable</t>
        </is>
      </c>
      <c r="F86">
        <f>B86&amp;" - "&amp;E86</f>
        <v/>
      </c>
    </row>
    <row r="87">
      <c r="B87" s="1158" t="n">
        <v>380</v>
      </c>
      <c r="C87" t="inlineStr">
        <is>
          <t>Commercial</t>
        </is>
      </c>
      <c r="D87" t="n">
        <v>2</v>
      </c>
      <c r="E87" s="1158" t="inlineStr">
        <is>
          <t>Theatre - Motion</t>
        </is>
      </c>
      <c r="F87">
        <f>B87&amp;" - "&amp;E87</f>
        <v/>
      </c>
    </row>
    <row r="88">
      <c r="B88" s="1158" t="n">
        <v>381</v>
      </c>
      <c r="C88" t="inlineStr">
        <is>
          <t>Commercial</t>
        </is>
      </c>
      <c r="D88" t="n">
        <v>21</v>
      </c>
      <c r="E88" s="1158" t="inlineStr">
        <is>
          <t>Veterinary Hospital</t>
        </is>
      </c>
      <c r="F88">
        <f>B88&amp;" - "&amp;E88</f>
        <v/>
      </c>
    </row>
    <row r="89">
      <c r="B89" s="1158" t="n">
        <v>382</v>
      </c>
      <c r="C89" t="inlineStr">
        <is>
          <t>Commercial</t>
        </is>
      </c>
      <c r="D89" t="n">
        <v>1</v>
      </c>
      <c r="E89" s="1158" t="inlineStr">
        <is>
          <t>Medical Office Buildings</t>
        </is>
      </c>
      <c r="F89">
        <f>B89&amp;" - "&amp;E89</f>
        <v/>
      </c>
    </row>
    <row r="90">
      <c r="B90" s="1158" t="n">
        <v>384</v>
      </c>
      <c r="C90" t="inlineStr">
        <is>
          <t>Commercial</t>
        </is>
      </c>
      <c r="D90" t="n">
        <v>9</v>
      </c>
      <c r="E90" s="1158" t="inlineStr">
        <is>
          <t>Barber/Beauty Shop</t>
        </is>
      </c>
      <c r="F90">
        <f>B90&amp;" - "&amp;E90</f>
        <v/>
      </c>
    </row>
    <row r="91">
      <c r="B91" s="1158" t="n">
        <v>386</v>
      </c>
      <c r="C91" t="inlineStr">
        <is>
          <t>Commercial</t>
        </is>
      </c>
      <c r="D91" t="n">
        <v>77</v>
      </c>
      <c r="E91" s="1158" t="inlineStr">
        <is>
          <t>Mini Warehouse</t>
        </is>
      </c>
      <c r="F91">
        <f>B91&amp;" - "&amp;E91</f>
        <v/>
      </c>
    </row>
    <row r="92">
      <c r="B92" s="1158" t="n">
        <v>386</v>
      </c>
      <c r="C92" t="inlineStr">
        <is>
          <t>Industrial</t>
        </is>
      </c>
      <c r="D92" t="n">
        <v>4</v>
      </c>
      <c r="E92" s="1158" t="inlineStr">
        <is>
          <t>Mini Warehouse</t>
        </is>
      </c>
      <c r="F92">
        <f>B92&amp;" - "&amp;E92</f>
        <v/>
      </c>
    </row>
    <row r="93">
      <c r="B93" s="1158" t="n">
        <v>387</v>
      </c>
      <c r="C93" t="inlineStr">
        <is>
          <t>Commercial</t>
        </is>
      </c>
      <c r="D93" t="n">
        <v>27</v>
      </c>
      <c r="E93" s="1158" t="inlineStr">
        <is>
          <t>Transit Warehouse</t>
        </is>
      </c>
      <c r="F93">
        <f>B93&amp;" - "&amp;E93</f>
        <v/>
      </c>
    </row>
    <row r="94">
      <c r="B94" s="1158" t="n">
        <v>387</v>
      </c>
      <c r="C94" t="inlineStr">
        <is>
          <t>Industrial</t>
        </is>
      </c>
      <c r="D94" t="n">
        <v>4</v>
      </c>
      <c r="E94" s="1158" t="inlineStr">
        <is>
          <t>Transit Warehouse</t>
        </is>
      </c>
      <c r="F94">
        <f>B94&amp;" - "&amp;E94</f>
        <v/>
      </c>
    </row>
    <row r="95">
      <c r="B95" s="1158" t="n">
        <v>389</v>
      </c>
      <c r="C95" t="inlineStr">
        <is>
          <t>Commercial</t>
        </is>
      </c>
      <c r="D95" t="n">
        <v>7</v>
      </c>
      <c r="E95" s="1158" t="inlineStr">
        <is>
          <t>Equipment Implement</t>
        </is>
      </c>
      <c r="F95">
        <f>B95&amp;" - "&amp;E95</f>
        <v/>
      </c>
    </row>
    <row r="96">
      <c r="B96" s="1158" t="n">
        <v>389</v>
      </c>
      <c r="C96" t="inlineStr">
        <is>
          <t>Industrial</t>
        </is>
      </c>
      <c r="D96" t="n">
        <v>3</v>
      </c>
      <c r="E96" s="1158" t="inlineStr">
        <is>
          <t>Equipment Implement</t>
        </is>
      </c>
      <c r="F96">
        <f>B96&amp;" - "&amp;E96</f>
        <v/>
      </c>
    </row>
    <row r="97">
      <c r="B97" s="1158" t="n">
        <v>390</v>
      </c>
      <c r="C97" t="inlineStr">
        <is>
          <t>Commercial</t>
        </is>
      </c>
      <c r="D97" t="n">
        <v>4</v>
      </c>
      <c r="E97" s="1158" t="inlineStr">
        <is>
          <t>Lumber Storage - Vertical</t>
        </is>
      </c>
      <c r="F97">
        <f>B97&amp;" - "&amp;E97</f>
        <v/>
      </c>
    </row>
    <row r="98">
      <c r="B98" s="1158" t="n">
        <v>391</v>
      </c>
      <c r="C98" t="inlineStr">
        <is>
          <t>Commercial</t>
        </is>
      </c>
      <c r="D98" t="n">
        <v>10</v>
      </c>
      <c r="E98" s="1158" t="inlineStr">
        <is>
          <t>Storage - Material</t>
        </is>
      </c>
      <c r="F98">
        <f>B98&amp;" - "&amp;E98</f>
        <v/>
      </c>
    </row>
    <row r="99">
      <c r="B99" s="1158" t="n">
        <v>391</v>
      </c>
      <c r="C99" t="inlineStr">
        <is>
          <t>Industrial</t>
        </is>
      </c>
      <c r="D99" t="n">
        <v>3</v>
      </c>
      <c r="E99" s="1158" t="inlineStr">
        <is>
          <t>Storage - Material</t>
        </is>
      </c>
      <c r="F99">
        <f>B99&amp;" - "&amp;E99</f>
        <v/>
      </c>
    </row>
    <row r="100">
      <c r="B100" s="1158" t="n">
        <v>392</v>
      </c>
      <c r="C100" t="inlineStr">
        <is>
          <t>Commercial</t>
        </is>
      </c>
      <c r="D100" t="n">
        <v>2</v>
      </c>
      <c r="E100" s="1158" t="inlineStr">
        <is>
          <t>Industrial Engineering &amp; Research</t>
        </is>
      </c>
      <c r="F100">
        <f>B100&amp;" - "&amp;E100</f>
        <v/>
      </c>
    </row>
    <row r="101">
      <c r="B101" s="1158" t="n">
        <v>392</v>
      </c>
      <c r="C101" t="inlineStr">
        <is>
          <t>Industrial</t>
        </is>
      </c>
      <c r="D101" t="n">
        <v>2</v>
      </c>
      <c r="E101" s="1158" t="inlineStr">
        <is>
          <t>Industrial Engineering &amp; Research</t>
        </is>
      </c>
      <c r="F101">
        <f>B101&amp;" - "&amp;E101</f>
        <v/>
      </c>
    </row>
    <row r="102">
      <c r="B102" s="1158" t="n">
        <v>397</v>
      </c>
      <c r="C102" t="inlineStr">
        <is>
          <t>Commercial</t>
        </is>
      </c>
      <c r="D102" t="n">
        <v>2</v>
      </c>
      <c r="E102" s="1158" t="inlineStr">
        <is>
          <t>Barn</t>
        </is>
      </c>
      <c r="F102">
        <f>B102&amp;" - "&amp;E102</f>
        <v/>
      </c>
    </row>
    <row r="103">
      <c r="B103" s="1158" t="n">
        <v>401</v>
      </c>
      <c r="C103" t="inlineStr">
        <is>
          <t>Commercial</t>
        </is>
      </c>
      <c r="D103" t="n">
        <v>16</v>
      </c>
      <c r="E103" s="1158" t="inlineStr">
        <is>
          <t>Shed - Equipment</t>
        </is>
      </c>
      <c r="F103">
        <f>B103&amp;" - "&amp;E103</f>
        <v/>
      </c>
    </row>
    <row r="104">
      <c r="B104" s="1158" t="n">
        <v>401</v>
      </c>
      <c r="C104" t="inlineStr">
        <is>
          <t>Industrial</t>
        </is>
      </c>
      <c r="D104" t="n">
        <v>5</v>
      </c>
      <c r="E104" s="1158" t="inlineStr">
        <is>
          <t>Shed - Equipment</t>
        </is>
      </c>
      <c r="F104">
        <f>B104&amp;" - "&amp;E104</f>
        <v/>
      </c>
    </row>
    <row r="105">
      <c r="B105" s="1158" t="n">
        <v>403</v>
      </c>
      <c r="C105" t="inlineStr">
        <is>
          <t>Commercial</t>
        </is>
      </c>
      <c r="D105" t="n">
        <v>2</v>
      </c>
      <c r="E105" s="1158" t="inlineStr">
        <is>
          <t>Shower Building</t>
        </is>
      </c>
      <c r="F105">
        <f>B105&amp;" - "&amp;E105</f>
        <v/>
      </c>
    </row>
    <row r="106">
      <c r="B106" s="1158" t="n">
        <v>403</v>
      </c>
      <c r="C106" t="inlineStr">
        <is>
          <t>Industrial</t>
        </is>
      </c>
      <c r="D106" t="n">
        <v>2</v>
      </c>
      <c r="E106" s="1158" t="inlineStr">
        <is>
          <t>Shower Building</t>
        </is>
      </c>
      <c r="F106">
        <f>B106&amp;" - "&amp;E106</f>
        <v/>
      </c>
    </row>
    <row r="107">
      <c r="B107" s="1158" t="n">
        <v>404</v>
      </c>
      <c r="C107" t="inlineStr">
        <is>
          <t>Commercial</t>
        </is>
      </c>
      <c r="D107" t="n">
        <v>28</v>
      </c>
      <c r="E107" s="1158" t="inlineStr">
        <is>
          <t>Farm Utility Building</t>
        </is>
      </c>
      <c r="F107">
        <f>B107&amp;" - "&amp;E107</f>
        <v/>
      </c>
    </row>
    <row r="108">
      <c r="B108" s="1158" t="n">
        <v>404</v>
      </c>
      <c r="C108" t="inlineStr">
        <is>
          <t>Industrial</t>
        </is>
      </c>
      <c r="D108" t="n">
        <v>6</v>
      </c>
      <c r="E108" s="1158" t="inlineStr">
        <is>
          <t>Farm Utility Building</t>
        </is>
      </c>
      <c r="F108">
        <f>B108&amp;" - "&amp;E108</f>
        <v/>
      </c>
    </row>
    <row r="109">
      <c r="B109" s="1158" t="n">
        <v>405</v>
      </c>
      <c r="C109" t="inlineStr">
        <is>
          <t>Commercial</t>
        </is>
      </c>
      <c r="D109" t="n">
        <v>2</v>
      </c>
      <c r="E109" s="1158" t="inlineStr">
        <is>
          <t>Skating Rink</t>
        </is>
      </c>
      <c r="F109">
        <f>B109&amp;" - "&amp;E109</f>
        <v/>
      </c>
    </row>
    <row r="110">
      <c r="B110" s="1158" t="n">
        <v>406</v>
      </c>
      <c r="C110" t="inlineStr">
        <is>
          <t>Commercial</t>
        </is>
      </c>
      <c r="D110" t="n">
        <v>642</v>
      </c>
      <c r="E110" s="1158" t="inlineStr">
        <is>
          <t>Storage Warehouse</t>
        </is>
      </c>
      <c r="F110">
        <f>B110&amp;" - "&amp;E110</f>
        <v/>
      </c>
    </row>
    <row r="111">
      <c r="B111" s="1158" t="n">
        <v>406</v>
      </c>
      <c r="C111" t="inlineStr">
        <is>
          <t>Industrial</t>
        </is>
      </c>
      <c r="D111" t="n">
        <v>75</v>
      </c>
      <c r="E111" s="1158" t="inlineStr">
        <is>
          <t>Storage Warehouse</t>
        </is>
      </c>
      <c r="F111">
        <f>B111&amp;" - "&amp;E111</f>
        <v/>
      </c>
    </row>
    <row r="112">
      <c r="B112" s="1158" t="n">
        <v>407</v>
      </c>
      <c r="C112" t="inlineStr">
        <is>
          <t>Commercial</t>
        </is>
      </c>
      <c r="D112" t="n">
        <v>501</v>
      </c>
      <c r="E112" s="1158" t="inlineStr">
        <is>
          <t>Distribution Warehouse</t>
        </is>
      </c>
      <c r="F112">
        <f>B112&amp;" - "&amp;E112</f>
        <v/>
      </c>
    </row>
    <row r="113">
      <c r="B113" s="1158" t="n">
        <v>407</v>
      </c>
      <c r="C113" t="inlineStr">
        <is>
          <t>Industrial</t>
        </is>
      </c>
      <c r="D113" t="n">
        <v>154</v>
      </c>
      <c r="E113" s="1158" t="inlineStr">
        <is>
          <t>Distribution Warehouse</t>
        </is>
      </c>
      <c r="F113">
        <f>B113&amp;" - "&amp;E113</f>
        <v/>
      </c>
    </row>
    <row r="114">
      <c r="B114" s="1158" t="n">
        <v>408</v>
      </c>
      <c r="C114" t="inlineStr">
        <is>
          <t>Commercial</t>
        </is>
      </c>
      <c r="D114" t="n">
        <v>10</v>
      </c>
      <c r="E114" s="1158" t="inlineStr">
        <is>
          <t>Service Station</t>
        </is>
      </c>
      <c r="F114">
        <f>B114&amp;" - "&amp;E114</f>
        <v/>
      </c>
    </row>
    <row r="115">
      <c r="B115" s="1158" t="n">
        <v>409</v>
      </c>
      <c r="C115" t="inlineStr">
        <is>
          <t>Commercial</t>
        </is>
      </c>
      <c r="D115" t="n">
        <v>23</v>
      </c>
      <c r="E115" s="1158" t="inlineStr">
        <is>
          <t>T-Hanger</t>
        </is>
      </c>
      <c r="F115">
        <f>B115&amp;" - "&amp;E115</f>
        <v/>
      </c>
    </row>
    <row r="116">
      <c r="B116" s="1158" t="n">
        <v>410</v>
      </c>
      <c r="C116" t="inlineStr">
        <is>
          <t>Commercial</t>
        </is>
      </c>
      <c r="D116" t="n">
        <v>7</v>
      </c>
      <c r="E116" s="1158" t="inlineStr">
        <is>
          <t>Automotive Center</t>
        </is>
      </c>
      <c r="F116">
        <f>B116&amp;" - "&amp;E116</f>
        <v/>
      </c>
    </row>
    <row r="117">
      <c r="B117" s="1158" t="n">
        <v>412</v>
      </c>
      <c r="C117" t="inlineStr">
        <is>
          <t>Commercial</t>
        </is>
      </c>
      <c r="D117" t="n">
        <v>43</v>
      </c>
      <c r="E117" s="1158" t="inlineStr">
        <is>
          <t>Neighborhood Shopping Center</t>
        </is>
      </c>
      <c r="F117">
        <f>B117&amp;" - "&amp;E117</f>
        <v/>
      </c>
    </row>
    <row r="118">
      <c r="B118" s="1158" t="n">
        <v>413</v>
      </c>
      <c r="C118" t="inlineStr">
        <is>
          <t>Commercial</t>
        </is>
      </c>
      <c r="D118" t="n">
        <v>20</v>
      </c>
      <c r="E118" s="1158" t="inlineStr">
        <is>
          <t>Community Shopping Center</t>
        </is>
      </c>
      <c r="F118">
        <f>B118&amp;" - "&amp;E118</f>
        <v/>
      </c>
    </row>
    <row r="119">
      <c r="B119" s="1158" t="n">
        <v>414</v>
      </c>
      <c r="C119" t="inlineStr">
        <is>
          <t>Commercial</t>
        </is>
      </c>
      <c r="D119" t="n">
        <v>8</v>
      </c>
      <c r="E119" s="1158" t="inlineStr">
        <is>
          <t>Regional Shopping Center</t>
        </is>
      </c>
      <c r="F119">
        <f>B119&amp;" - "&amp;E119</f>
        <v/>
      </c>
    </row>
    <row r="120">
      <c r="B120" s="1158" t="n">
        <v>415</v>
      </c>
      <c r="C120" t="inlineStr">
        <is>
          <t>Commercial</t>
        </is>
      </c>
      <c r="D120" t="n">
        <v>2</v>
      </c>
      <c r="E120" s="1158" t="inlineStr">
        <is>
          <t>Utility Bldg Res</t>
        </is>
      </c>
      <c r="F120">
        <f>B120&amp;" - "&amp;E120</f>
        <v/>
      </c>
    </row>
    <row r="121">
      <c r="B121" s="1158" t="n">
        <v>418</v>
      </c>
      <c r="C121" t="inlineStr">
        <is>
          <t>Commercial</t>
        </is>
      </c>
      <c r="D121" t="n">
        <v>2</v>
      </c>
      <c r="E121" s="1158" t="inlineStr">
        <is>
          <t>Health Club</t>
        </is>
      </c>
      <c r="F121">
        <f>B121&amp;" - "&amp;E121</f>
        <v/>
      </c>
    </row>
    <row r="122">
      <c r="B122" s="1158" t="n">
        <v>419</v>
      </c>
      <c r="C122" t="inlineStr">
        <is>
          <t>Commercial</t>
        </is>
      </c>
      <c r="D122" t="n">
        <v>139</v>
      </c>
      <c r="E122" s="1158" t="inlineStr">
        <is>
          <t>Convenience Store</t>
        </is>
      </c>
      <c r="F122">
        <f>B122&amp;" - "&amp;E122</f>
        <v/>
      </c>
    </row>
    <row r="123">
      <c r="B123" s="1158" t="n">
        <v>419</v>
      </c>
      <c r="C123" t="inlineStr">
        <is>
          <t>Industrial</t>
        </is>
      </c>
      <c r="D123" t="n">
        <v>1</v>
      </c>
      <c r="E123" s="1158" t="inlineStr">
        <is>
          <t>Convenience Store</t>
        </is>
      </c>
      <c r="F123">
        <f>B123&amp;" - "&amp;E123</f>
        <v/>
      </c>
    </row>
    <row r="124">
      <c r="B124" s="1158" t="n">
        <v>421</v>
      </c>
      <c r="C124" t="inlineStr">
        <is>
          <t>Commercial</t>
        </is>
      </c>
      <c r="D124" t="n">
        <v>1</v>
      </c>
      <c r="E124" s="1158" t="inlineStr">
        <is>
          <t>Shed - Tool</t>
        </is>
      </c>
      <c r="F124">
        <f>B124&amp;" - "&amp;E124</f>
        <v/>
      </c>
    </row>
    <row r="125">
      <c r="B125" s="1158" t="n">
        <v>423</v>
      </c>
      <c r="C125" t="inlineStr">
        <is>
          <t>Commercial</t>
        </is>
      </c>
      <c r="D125" t="n">
        <v>23</v>
      </c>
      <c r="E125" s="1158" t="inlineStr">
        <is>
          <t>Mini Lube Garage</t>
        </is>
      </c>
      <c r="F125">
        <f>B125&amp;" - "&amp;E125</f>
        <v/>
      </c>
    </row>
    <row r="126">
      <c r="B126" s="1158" t="n">
        <v>425</v>
      </c>
      <c r="C126" t="inlineStr">
        <is>
          <t>Commercial</t>
        </is>
      </c>
      <c r="D126" t="n">
        <v>356</v>
      </c>
      <c r="E126" s="1158" t="inlineStr">
        <is>
          <t>Industrial WH Condo</t>
        </is>
      </c>
      <c r="F126">
        <f>B126&amp;" - "&amp;E126</f>
        <v/>
      </c>
    </row>
    <row r="127">
      <c r="B127" s="1158" t="n">
        <v>425</v>
      </c>
      <c r="C127" t="inlineStr">
        <is>
          <t>Industrial</t>
        </is>
      </c>
      <c r="D127" t="n">
        <v>12</v>
      </c>
      <c r="E127" s="1158" t="inlineStr">
        <is>
          <t>Industrial WH Condo</t>
        </is>
      </c>
      <c r="F127">
        <f>B127&amp;" - "&amp;E127</f>
        <v/>
      </c>
    </row>
    <row r="128">
      <c r="B128" s="1158" t="n">
        <v>426</v>
      </c>
      <c r="C128" t="inlineStr">
        <is>
          <t>Commercial</t>
        </is>
      </c>
      <c r="D128" t="n">
        <v>35</v>
      </c>
      <c r="E128" s="1158" t="inlineStr">
        <is>
          <t>Day Care Center</t>
        </is>
      </c>
      <c r="F128">
        <f>B128&amp;" - "&amp;E128</f>
        <v/>
      </c>
    </row>
    <row r="129">
      <c r="B129" s="1158" t="n">
        <v>430</v>
      </c>
      <c r="C129" t="inlineStr">
        <is>
          <t>Industrial</t>
        </is>
      </c>
      <c r="D129" t="n">
        <v>1</v>
      </c>
      <c r="E129" s="1158" t="inlineStr">
        <is>
          <t>Storage - Utility Grain</t>
        </is>
      </c>
      <c r="F129">
        <f>B129&amp;" - "&amp;E129</f>
        <v/>
      </c>
    </row>
    <row r="130">
      <c r="B130" s="1158" t="n">
        <v>431</v>
      </c>
      <c r="C130" t="inlineStr">
        <is>
          <t>Commercial</t>
        </is>
      </c>
      <c r="D130" t="n">
        <v>1</v>
      </c>
      <c r="E130" s="1158" t="inlineStr">
        <is>
          <t>Surgical Center - Out patient</t>
        </is>
      </c>
      <c r="F130">
        <f>B130&amp;" - "&amp;E130</f>
        <v/>
      </c>
    </row>
    <row r="131">
      <c r="B131" s="1158" t="n">
        <v>432</v>
      </c>
      <c r="C131" t="inlineStr">
        <is>
          <t>Industrial</t>
        </is>
      </c>
      <c r="D131" t="n">
        <v>1</v>
      </c>
      <c r="E131" s="1158" t="inlineStr">
        <is>
          <t>Restroom Building/Concessions</t>
        </is>
      </c>
      <c r="F131">
        <f>B131&amp;" - "&amp;E131</f>
        <v/>
      </c>
    </row>
    <row r="132">
      <c r="B132" s="1158" t="n">
        <v>434</v>
      </c>
      <c r="C132" t="inlineStr">
        <is>
          <t>Commercial</t>
        </is>
      </c>
      <c r="D132" t="n">
        <v>55</v>
      </c>
      <c r="E132" s="1158" t="inlineStr">
        <is>
          <t>Car Wash - Self Service</t>
        </is>
      </c>
      <c r="F132">
        <f>B132&amp;" - "&amp;E132</f>
        <v/>
      </c>
    </row>
    <row r="133">
      <c r="B133" s="1158" t="n">
        <v>434</v>
      </c>
      <c r="C133" t="inlineStr">
        <is>
          <t>Industrial</t>
        </is>
      </c>
      <c r="D133" t="n">
        <v>1</v>
      </c>
      <c r="E133" s="1158" t="inlineStr">
        <is>
          <t>Car Wash - Self Service</t>
        </is>
      </c>
      <c r="F133">
        <f>B133&amp;" - "&amp;E133</f>
        <v/>
      </c>
    </row>
    <row r="134">
      <c r="B134" s="1158" t="n">
        <v>435</v>
      </c>
      <c r="C134" t="inlineStr">
        <is>
          <t>Commercial</t>
        </is>
      </c>
      <c r="D134" t="n">
        <v>22</v>
      </c>
      <c r="E134" s="1158" t="inlineStr">
        <is>
          <t>Car Wash - Drive thru</t>
        </is>
      </c>
      <c r="F134">
        <f>B134&amp;" - "&amp;E134</f>
        <v/>
      </c>
    </row>
    <row r="135">
      <c r="B135" s="1158" t="n">
        <v>436</v>
      </c>
      <c r="C135" t="inlineStr">
        <is>
          <t>Commercial</t>
        </is>
      </c>
      <c r="D135" t="n">
        <v>52</v>
      </c>
      <c r="E135" s="1158" t="inlineStr">
        <is>
          <t>Car Wash - Automatic</t>
        </is>
      </c>
      <c r="F135">
        <f>B135&amp;" - "&amp;E135</f>
        <v/>
      </c>
    </row>
    <row r="136">
      <c r="B136" s="1158" t="n">
        <v>438</v>
      </c>
      <c r="C136" t="inlineStr">
        <is>
          <t>Industrial</t>
        </is>
      </c>
      <c r="D136" t="n">
        <v>1</v>
      </c>
      <c r="E136" s="1158" t="inlineStr">
        <is>
          <t>Prefab Metal Building *CODE</t>
        </is>
      </c>
      <c r="F136">
        <f>B136&amp;" - "&amp;E136</f>
        <v/>
      </c>
    </row>
    <row r="137">
      <c r="B137" s="1158" t="n">
        <v>441</v>
      </c>
      <c r="C137" t="inlineStr">
        <is>
          <t>Commercial</t>
        </is>
      </c>
      <c r="D137" t="n">
        <v>2</v>
      </c>
      <c r="E137" s="1158" t="inlineStr">
        <is>
          <t>Cocktail Lounge</t>
        </is>
      </c>
      <c r="F137">
        <f>B137&amp;" - "&amp;E137</f>
        <v/>
      </c>
    </row>
    <row r="138">
      <c r="B138" s="1158" t="n">
        <v>442</v>
      </c>
      <c r="C138" t="inlineStr">
        <is>
          <t>Commercial</t>
        </is>
      </c>
      <c r="D138" t="n">
        <v>41</v>
      </c>
      <c r="E138" s="1158" t="inlineStr">
        <is>
          <t>Bar/Tavern</t>
        </is>
      </c>
      <c r="F138">
        <f>B138&amp;" - "&amp;E138</f>
        <v/>
      </c>
    </row>
    <row r="139">
      <c r="B139" s="1158" t="n">
        <v>442</v>
      </c>
      <c r="C139" t="inlineStr">
        <is>
          <t>Industrial</t>
        </is>
      </c>
      <c r="D139" t="n">
        <v>1</v>
      </c>
      <c r="E139" s="1158" t="inlineStr">
        <is>
          <t>Bar/Tavern</t>
        </is>
      </c>
      <c r="F139">
        <f>B139&amp;" - "&amp;E139</f>
        <v/>
      </c>
    </row>
    <row r="140">
      <c r="B140" s="1158" t="n">
        <v>444</v>
      </c>
      <c r="C140" t="inlineStr">
        <is>
          <t>Commercial</t>
        </is>
      </c>
      <c r="D140" t="n">
        <v>18</v>
      </c>
      <c r="E140" s="1158" t="inlineStr">
        <is>
          <t>Dental Office/ Clinic</t>
        </is>
      </c>
      <c r="F140">
        <f>B140&amp;" - "&amp;E140</f>
        <v/>
      </c>
    </row>
    <row r="141">
      <c r="B141" s="1158" t="n">
        <v>446</v>
      </c>
      <c r="C141" t="inlineStr">
        <is>
          <t>Commercial</t>
        </is>
      </c>
      <c r="D141" t="n">
        <v>30</v>
      </c>
      <c r="E141" s="1158" t="inlineStr">
        <is>
          <t>SuperMarket</t>
        </is>
      </c>
      <c r="F141">
        <f>B141&amp;" - "&amp;E141</f>
        <v/>
      </c>
    </row>
    <row r="142">
      <c r="B142" s="1158" t="n">
        <v>447</v>
      </c>
      <c r="C142" t="inlineStr">
        <is>
          <t>Commercial</t>
        </is>
      </c>
      <c r="D142" t="n">
        <v>8</v>
      </c>
      <c r="E142" s="1158" t="inlineStr">
        <is>
          <t>Cold Storage Warehouse</t>
        </is>
      </c>
      <c r="F142">
        <f>B142&amp;" - "&amp;E142</f>
        <v/>
      </c>
    </row>
    <row r="143">
      <c r="B143" s="1158" t="n">
        <v>447</v>
      </c>
      <c r="C143" t="inlineStr">
        <is>
          <t>Industrial</t>
        </is>
      </c>
      <c r="D143" t="n">
        <v>2</v>
      </c>
      <c r="E143" s="1158" t="inlineStr">
        <is>
          <t>Cold Storage Warehouse</t>
        </is>
      </c>
      <c r="F143">
        <f>B143&amp;" - "&amp;E143</f>
        <v/>
      </c>
    </row>
    <row r="144">
      <c r="B144" s="1158" t="n">
        <v>448</v>
      </c>
      <c r="C144" t="inlineStr">
        <is>
          <t>Commercial</t>
        </is>
      </c>
      <c r="D144" t="n">
        <v>7</v>
      </c>
      <c r="E144" s="1158" t="inlineStr">
        <is>
          <t>Self Service Booth</t>
        </is>
      </c>
      <c r="F144">
        <f>B144&amp;" - "&amp;E144</f>
        <v/>
      </c>
    </row>
    <row r="145">
      <c r="B145" s="1158" t="n">
        <v>451</v>
      </c>
      <c r="C145" t="inlineStr">
        <is>
          <t>Commercial</t>
        </is>
      </c>
      <c r="D145" t="n">
        <v>2</v>
      </c>
      <c r="E145" s="1158" t="inlineStr">
        <is>
          <t>Grain Elevator Concrete</t>
        </is>
      </c>
      <c r="F145">
        <f>B145&amp;" - "&amp;E145</f>
        <v/>
      </c>
    </row>
    <row r="146">
      <c r="B146" s="1158" t="n">
        <v>452</v>
      </c>
      <c r="C146" t="inlineStr">
        <is>
          <t>Commercial</t>
        </is>
      </c>
      <c r="D146" t="n">
        <v>1</v>
      </c>
      <c r="E146" s="1158" t="inlineStr">
        <is>
          <t>Grain Elevator Conc Annex</t>
        </is>
      </c>
      <c r="F146">
        <f>B146&amp;" - "&amp;E146</f>
        <v/>
      </c>
    </row>
    <row r="147">
      <c r="B147" s="1158" t="n">
        <v>464</v>
      </c>
      <c r="C147" t="inlineStr">
        <is>
          <t>Commercial</t>
        </is>
      </c>
      <c r="D147" t="n">
        <v>2</v>
      </c>
      <c r="E147" s="1158" t="inlineStr">
        <is>
          <t>Grain Elevator Low</t>
        </is>
      </c>
      <c r="F147">
        <f>B147&amp;" - "&amp;E147</f>
        <v/>
      </c>
    </row>
    <row r="148">
      <c r="B148" s="1158" t="n">
        <v>465</v>
      </c>
      <c r="C148" t="inlineStr">
        <is>
          <t>Commercial</t>
        </is>
      </c>
      <c r="D148" t="n">
        <v>3</v>
      </c>
      <c r="E148" s="1158" t="inlineStr">
        <is>
          <t>Grain Elevator Average</t>
        </is>
      </c>
      <c r="F148">
        <f>B148&amp;" - "&amp;E148</f>
        <v/>
      </c>
    </row>
    <row r="149">
      <c r="B149" s="1158" t="n">
        <v>468</v>
      </c>
      <c r="C149" t="inlineStr">
        <is>
          <t>Commercial</t>
        </is>
      </c>
      <c r="D149" t="n">
        <v>1</v>
      </c>
      <c r="E149" s="1158" t="inlineStr">
        <is>
          <t>Farm Office</t>
        </is>
      </c>
      <c r="F149">
        <f>B149&amp;" - "&amp;E149</f>
        <v/>
      </c>
    </row>
    <row r="150">
      <c r="B150" s="1158" t="n">
        <v>468</v>
      </c>
      <c r="C150" t="inlineStr">
        <is>
          <t>Industrial</t>
        </is>
      </c>
      <c r="D150" t="n">
        <v>1</v>
      </c>
      <c r="E150" s="1158" t="inlineStr">
        <is>
          <t>Farm Office</t>
        </is>
      </c>
      <c r="F150">
        <f>B150&amp;" - "&amp;E150</f>
        <v/>
      </c>
    </row>
    <row r="151">
      <c r="B151" s="1158" t="n">
        <v>473</v>
      </c>
      <c r="C151" t="inlineStr">
        <is>
          <t>Commercial</t>
        </is>
      </c>
      <c r="D151" t="n">
        <v>9</v>
      </c>
      <c r="E151" s="1158" t="inlineStr">
        <is>
          <t>Equipment Building</t>
        </is>
      </c>
      <c r="F151">
        <f>B151&amp;" - "&amp;E151</f>
        <v/>
      </c>
    </row>
    <row r="152">
      <c r="B152" s="1158" t="n">
        <v>473</v>
      </c>
      <c r="C152" t="inlineStr">
        <is>
          <t>Industrial</t>
        </is>
      </c>
      <c r="D152" t="n">
        <v>1</v>
      </c>
      <c r="E152" s="1158" t="inlineStr">
        <is>
          <t>Equipment Building</t>
        </is>
      </c>
      <c r="F152">
        <f>B152&amp;" - "&amp;E152</f>
        <v/>
      </c>
    </row>
    <row r="153">
      <c r="B153" s="1158" t="n">
        <v>474</v>
      </c>
      <c r="C153" t="inlineStr">
        <is>
          <t>Commercial</t>
        </is>
      </c>
      <c r="D153" t="n">
        <v>19</v>
      </c>
      <c r="E153" s="1158" t="inlineStr">
        <is>
          <t>Modular Office</t>
        </is>
      </c>
      <c r="F153">
        <f>B153&amp;" - "&amp;E153</f>
        <v/>
      </c>
    </row>
    <row r="154">
      <c r="B154" s="1158" t="n">
        <v>474</v>
      </c>
      <c r="C154" t="inlineStr">
        <is>
          <t>Industrial</t>
        </is>
      </c>
      <c r="D154" t="n">
        <v>4</v>
      </c>
      <c r="E154" s="1158" t="inlineStr">
        <is>
          <t>Modular Office</t>
        </is>
      </c>
      <c r="F154">
        <f>B154&amp;" - "&amp;E154</f>
        <v/>
      </c>
    </row>
    <row r="155">
      <c r="B155" s="1158" t="n">
        <v>480</v>
      </c>
      <c r="C155" t="inlineStr">
        <is>
          <t>Commercial</t>
        </is>
      </c>
      <c r="D155" t="n">
        <v>1</v>
      </c>
      <c r="E155" s="1158" t="inlineStr">
        <is>
          <t>Vegetable Building</t>
        </is>
      </c>
      <c r="F155">
        <f>B155&amp;" - "&amp;E155</f>
        <v/>
      </c>
    </row>
    <row r="156">
      <c r="B156" s="1158" t="n">
        <v>482</v>
      </c>
      <c r="C156" t="inlineStr">
        <is>
          <t>Commercial</t>
        </is>
      </c>
      <c r="D156" t="n">
        <v>3</v>
      </c>
      <c r="E156" s="1158" t="inlineStr">
        <is>
          <t>Convention Center</t>
        </is>
      </c>
      <c r="F156">
        <f>B156&amp;" - "&amp;E156</f>
        <v/>
      </c>
    </row>
    <row r="157">
      <c r="B157" s="1158" t="n">
        <v>483</v>
      </c>
      <c r="C157" t="inlineStr">
        <is>
          <t>Commercial</t>
        </is>
      </c>
      <c r="D157" t="n">
        <v>4</v>
      </c>
      <c r="E157" s="1158" t="inlineStr">
        <is>
          <t>Fitness Center</t>
        </is>
      </c>
      <c r="F157">
        <f>B157&amp;" - "&amp;E157</f>
        <v/>
      </c>
    </row>
    <row r="158">
      <c r="B158" s="1158" t="n">
        <v>499</v>
      </c>
      <c r="C158" t="inlineStr">
        <is>
          <t>Commercial</t>
        </is>
      </c>
      <c r="D158" t="n">
        <v>3</v>
      </c>
      <c r="E158" s="1158" t="inlineStr">
        <is>
          <t>Salvage</t>
        </is>
      </c>
      <c r="F158">
        <f>B158&amp;" - "&amp;E158</f>
        <v/>
      </c>
    </row>
    <row r="159">
      <c r="B159" s="1158" t="n">
        <v>500</v>
      </c>
      <c r="C159" t="inlineStr">
        <is>
          <t>Commercial</t>
        </is>
      </c>
      <c r="D159" t="n">
        <v>3</v>
      </c>
      <c r="E159" s="1158" t="inlineStr">
        <is>
          <t>R V Parks *CODE</t>
        </is>
      </c>
      <c r="F159">
        <f>B159&amp;" - "&amp;E159</f>
        <v/>
      </c>
    </row>
    <row r="160">
      <c r="B160" s="1158" t="n">
        <v>501</v>
      </c>
      <c r="C160" t="inlineStr">
        <is>
          <t>Commercial</t>
        </is>
      </c>
      <c r="D160" t="n">
        <v>13</v>
      </c>
      <c r="E160" s="1158" t="inlineStr">
        <is>
          <t>Mini-Mart Convenience Stores</t>
        </is>
      </c>
      <c r="F160">
        <f>B160&amp;" - "&amp;E160</f>
        <v/>
      </c>
    </row>
    <row r="161">
      <c r="B161" s="1158" t="n">
        <v>501</v>
      </c>
      <c r="C161" t="inlineStr">
        <is>
          <t>Industrial</t>
        </is>
      </c>
      <c r="D161" t="n">
        <v>2</v>
      </c>
      <c r="E161" s="1158" t="inlineStr">
        <is>
          <t>Miscellaneous OB</t>
        </is>
      </c>
      <c r="F161">
        <f>B161&amp;" - "&amp;E161</f>
        <v/>
      </c>
    </row>
    <row r="162">
      <c r="B162" s="1158" t="n">
        <v>519</v>
      </c>
      <c r="C162" t="inlineStr">
        <is>
          <t>Commercial</t>
        </is>
      </c>
      <c r="D162" t="n">
        <v>1</v>
      </c>
      <c r="E162" s="1158" t="inlineStr">
        <is>
          <t>Greenhouse Shade Shelters</t>
        </is>
      </c>
      <c r="F162">
        <f>B162&amp;" - "&amp;E162</f>
        <v/>
      </c>
    </row>
    <row r="163">
      <c r="B163" s="1158" t="n">
        <v>523</v>
      </c>
      <c r="C163" t="inlineStr">
        <is>
          <t>Commercial</t>
        </is>
      </c>
      <c r="D163" t="n">
        <v>1</v>
      </c>
      <c r="E163" s="1158" t="inlineStr">
        <is>
          <t>Golf Cart Storage Bldgs</t>
        </is>
      </c>
      <c r="F163">
        <f>B163&amp;" - "&amp;E163</f>
        <v/>
      </c>
    </row>
    <row r="164">
      <c r="B164" s="1158" t="n">
        <v>525</v>
      </c>
      <c r="C164" t="inlineStr">
        <is>
          <t>Commercial</t>
        </is>
      </c>
      <c r="D164" t="n">
        <v>1</v>
      </c>
      <c r="E164" s="1158" t="inlineStr">
        <is>
          <t>Mini Warehouse Hi-rise</t>
        </is>
      </c>
      <c r="F164">
        <f>B164&amp;" - "&amp;E164</f>
        <v/>
      </c>
    </row>
    <row r="165">
      <c r="B165" s="1158" t="n">
        <v>526</v>
      </c>
      <c r="C165" t="inlineStr">
        <is>
          <t>Commercial</t>
        </is>
      </c>
      <c r="D165" t="n">
        <v>3</v>
      </c>
      <c r="E165" s="1158" t="inlineStr">
        <is>
          <t>Service Garage Sheds</t>
        </is>
      </c>
      <c r="F165">
        <f>B165&amp;" - "&amp;E165</f>
        <v/>
      </c>
    </row>
    <row r="166">
      <c r="B166" s="1158" t="n">
        <v>529</v>
      </c>
      <c r="C166" t="inlineStr">
        <is>
          <t>Commercial</t>
        </is>
      </c>
      <c r="D166" t="n">
        <v>1</v>
      </c>
      <c r="E166" s="1158" t="inlineStr">
        <is>
          <t>Snack Bar</t>
        </is>
      </c>
      <c r="F166">
        <f>B166&amp;" - "&amp;E166</f>
        <v/>
      </c>
    </row>
    <row r="167">
      <c r="B167" s="1158" t="n">
        <v>531</v>
      </c>
      <c r="C167" t="inlineStr">
        <is>
          <t>Commercial</t>
        </is>
      </c>
      <c r="D167" t="n">
        <v>2</v>
      </c>
      <c r="E167" s="1158" t="inlineStr">
        <is>
          <t>Mobile Home Parks *CODE</t>
        </is>
      </c>
      <c r="F167">
        <f>B167&amp;" - "&amp;E167</f>
        <v/>
      </c>
    </row>
    <row r="168">
      <c r="B168" s="1158" t="n">
        <v>533</v>
      </c>
      <c r="C168" t="inlineStr">
        <is>
          <t>Commercial</t>
        </is>
      </c>
      <c r="D168" t="n">
        <v>2</v>
      </c>
      <c r="E168" s="1158" t="inlineStr">
        <is>
          <t>Warehouse Food Store</t>
        </is>
      </c>
      <c r="F168">
        <f>B168&amp;" - "&amp;E168</f>
        <v/>
      </c>
    </row>
    <row r="169">
      <c r="B169" s="1158" t="n">
        <v>534</v>
      </c>
      <c r="C169" t="inlineStr">
        <is>
          <t>Commercial</t>
        </is>
      </c>
      <c r="D169" t="n">
        <v>10</v>
      </c>
      <c r="E169" s="1158" t="inlineStr">
        <is>
          <t>Warehouse Showroom Store</t>
        </is>
      </c>
      <c r="F169">
        <f>B169&amp;" - "&amp;E169</f>
        <v/>
      </c>
    </row>
    <row r="170">
      <c r="B170" s="1158" t="n">
        <v>534</v>
      </c>
      <c r="C170" t="inlineStr">
        <is>
          <t>Industrial</t>
        </is>
      </c>
      <c r="D170" t="n">
        <v>1</v>
      </c>
      <c r="E170" s="1158" t="inlineStr">
        <is>
          <t>Warehouse Showroom Store</t>
        </is>
      </c>
      <c r="F170">
        <f>B170&amp;" - "&amp;E170</f>
        <v/>
      </c>
    </row>
    <row r="171">
      <c r="B171" s="1158" t="n">
        <v>540</v>
      </c>
      <c r="C171" t="inlineStr">
        <is>
          <t>Commercial</t>
        </is>
      </c>
      <c r="D171" t="n">
        <v>1</v>
      </c>
      <c r="E171" s="1158" t="inlineStr">
        <is>
          <t>Motel Guest Rooms</t>
        </is>
      </c>
      <c r="F171">
        <f>B171&amp;" - "&amp;E171</f>
        <v/>
      </c>
    </row>
    <row r="172">
      <c r="B172" s="1158" t="n">
        <v>544</v>
      </c>
      <c r="C172" t="inlineStr">
        <is>
          <t>Commercial</t>
        </is>
      </c>
      <c r="D172" t="n">
        <v>4</v>
      </c>
      <c r="E172" s="1158" t="inlineStr">
        <is>
          <t>Office-Apartment</t>
        </is>
      </c>
      <c r="F172">
        <f>B172&amp;" - "&amp;E172</f>
        <v/>
      </c>
    </row>
    <row r="173">
      <c r="B173" s="1158" t="n">
        <v>557</v>
      </c>
      <c r="C173" t="inlineStr">
        <is>
          <t>Commercial</t>
        </is>
      </c>
      <c r="D173" t="n">
        <v>2</v>
      </c>
      <c r="E173" s="1158" t="inlineStr">
        <is>
          <t>Arch-Rib Quonset Utility</t>
        </is>
      </c>
      <c r="F173">
        <f>B173&amp;" - "&amp;E173</f>
        <v/>
      </c>
    </row>
    <row r="174">
      <c r="B174" s="1158" t="n">
        <v>558</v>
      </c>
      <c r="C174" t="inlineStr">
        <is>
          <t>Commercial</t>
        </is>
      </c>
      <c r="D174" t="n">
        <v>1</v>
      </c>
      <c r="E174" s="1158" t="inlineStr">
        <is>
          <t>Arch-Rib Quonset Farm Implement</t>
        </is>
      </c>
      <c r="F174">
        <f>B174&amp;" - "&amp;E174</f>
        <v/>
      </c>
    </row>
    <row r="175">
      <c r="B175" s="1158" t="n">
        <v>573</v>
      </c>
      <c r="C175" t="inlineStr">
        <is>
          <t>Commercial</t>
        </is>
      </c>
      <c r="D175" t="n">
        <v>1</v>
      </c>
      <c r="E175" s="1158" t="inlineStr">
        <is>
          <t>Arcade</t>
        </is>
      </c>
      <c r="F175">
        <f>B175&amp;" - "&amp;E175</f>
        <v/>
      </c>
    </row>
    <row r="176">
      <c r="B176" s="1158" t="n">
        <v>580</v>
      </c>
      <c r="C176" t="inlineStr">
        <is>
          <t>Commercial</t>
        </is>
      </c>
      <c r="D176" t="n">
        <v>2</v>
      </c>
      <c r="E176" s="1158" t="inlineStr">
        <is>
          <t>Truck Stop Restaurant</t>
        </is>
      </c>
      <c r="F176">
        <f>B176&amp;" - "&amp;E176</f>
        <v/>
      </c>
    </row>
    <row r="177">
      <c r="B177" s="1158" t="n">
        <v>582</v>
      </c>
      <c r="C177" t="inlineStr">
        <is>
          <t>Commercial</t>
        </is>
      </c>
      <c r="D177" t="n">
        <v>1</v>
      </c>
      <c r="E177" s="1158" t="inlineStr">
        <is>
          <t>Branch Post Office</t>
        </is>
      </c>
      <c r="F177">
        <f>B177&amp;" - "&amp;E177</f>
        <v/>
      </c>
    </row>
    <row r="178">
      <c r="B178" s="1158" t="n">
        <v>584</v>
      </c>
      <c r="C178" t="inlineStr">
        <is>
          <t>Commercial</t>
        </is>
      </c>
      <c r="D178" t="n">
        <v>56</v>
      </c>
      <c r="E178" s="1158" t="inlineStr">
        <is>
          <t>Mega Warehouse</t>
        </is>
      </c>
      <c r="F178">
        <f>B178&amp;" - "&amp;E178</f>
        <v/>
      </c>
    </row>
    <row r="179">
      <c r="B179" s="1158" t="n">
        <v>584</v>
      </c>
      <c r="C179" t="inlineStr">
        <is>
          <t>Industrial</t>
        </is>
      </c>
      <c r="D179" t="n">
        <v>21</v>
      </c>
      <c r="E179" s="1158" t="inlineStr">
        <is>
          <t>Mega Warehouse</t>
        </is>
      </c>
      <c r="F179">
        <f>B179&amp;" - "&amp;E179</f>
        <v/>
      </c>
    </row>
    <row r="180">
      <c r="B180" s="1158" t="n">
        <v>718</v>
      </c>
      <c r="C180" t="inlineStr">
        <is>
          <t>Commercial</t>
        </is>
      </c>
      <c r="D180" t="n">
        <v>3</v>
      </c>
      <c r="E180" s="1158" t="inlineStr">
        <is>
          <t>Banquet Halls</t>
        </is>
      </c>
      <c r="F180">
        <f>B180&amp;" - "&amp;E180</f>
        <v/>
      </c>
    </row>
    <row r="181">
      <c r="B181" s="1158" t="n">
        <v>1104</v>
      </c>
      <c r="C181" t="inlineStr">
        <is>
          <t>Commercial</t>
        </is>
      </c>
      <c r="D181" t="n">
        <v>1</v>
      </c>
      <c r="E181" s="1158" t="inlineStr">
        <is>
          <t>Light Commercial-Commodity Warehouse</t>
        </is>
      </c>
      <c r="F181">
        <f>B181&amp;" - "&amp;E181</f>
        <v/>
      </c>
    </row>
    <row r="182">
      <c r="B182" s="1158" t="n">
        <v>1104</v>
      </c>
      <c r="C182" t="inlineStr">
        <is>
          <t>Industrial</t>
        </is>
      </c>
      <c r="D182" t="n">
        <v>1</v>
      </c>
      <c r="E182" s="1158" t="inlineStr">
        <is>
          <t>Light Commercial-Commodity Warehouse</t>
        </is>
      </c>
      <c r="F182">
        <f>B182&amp;" - "&amp;E182</f>
        <v/>
      </c>
    </row>
    <row r="183">
      <c r="B183" s="1158" t="n">
        <v>1111</v>
      </c>
      <c r="C183" t="inlineStr">
        <is>
          <t>Commercial</t>
        </is>
      </c>
      <c r="D183" t="n">
        <v>2</v>
      </c>
      <c r="E183" s="1158" t="inlineStr">
        <is>
          <t>Parking Lot</t>
        </is>
      </c>
      <c r="F183">
        <f>B183&amp;" - "&amp;E183</f>
        <v/>
      </c>
    </row>
    <row r="184">
      <c r="B184" s="1158" t="n">
        <v>1112</v>
      </c>
      <c r="C184" t="inlineStr">
        <is>
          <t>Commercial</t>
        </is>
      </c>
      <c r="D184" t="n">
        <v>1</v>
      </c>
      <c r="E184" s="1158" t="inlineStr">
        <is>
          <t>Parking Lot Income Producing</t>
        </is>
      </c>
      <c r="F184">
        <f>B184&amp;" - "&amp;E184</f>
        <v/>
      </c>
    </row>
    <row r="185">
      <c r="B185" s="1158" t="n">
        <v>1157</v>
      </c>
      <c r="C185" t="inlineStr">
        <is>
          <t>Commercial</t>
        </is>
      </c>
      <c r="D185" t="n">
        <v>2</v>
      </c>
      <c r="E185" s="1158" t="inlineStr">
        <is>
          <t>Maintenance (Storage) Buildings</t>
        </is>
      </c>
      <c r="F185">
        <f>B185&amp;" - "&amp;E185</f>
        <v/>
      </c>
    </row>
    <row r="186">
      <c r="B186" s="1158" t="n">
        <v>1332</v>
      </c>
      <c r="C186" t="inlineStr">
        <is>
          <t>Commercial</t>
        </is>
      </c>
      <c r="D186" t="n">
        <v>39</v>
      </c>
      <c r="E186" s="1158" t="inlineStr">
        <is>
          <t>Hotels - Limited Service</t>
        </is>
      </c>
      <c r="F186">
        <f>B186&amp;" - "&amp;E186</f>
        <v/>
      </c>
    </row>
    <row r="187">
      <c r="B187" s="1158" t="n">
        <v>1332</v>
      </c>
      <c r="C187" t="inlineStr">
        <is>
          <t>Industrial</t>
        </is>
      </c>
      <c r="D187" t="n">
        <v>1</v>
      </c>
      <c r="E187" s="1158" t="inlineStr">
        <is>
          <t>Hotels - Limited Service</t>
        </is>
      </c>
      <c r="F187">
        <f>B187&amp;" - "&amp;E187</f>
        <v/>
      </c>
    </row>
    <row r="188">
      <c r="B188" s="1158" t="n">
        <v>1343</v>
      </c>
      <c r="C188" t="inlineStr">
        <is>
          <t>Commercial</t>
        </is>
      </c>
      <c r="D188" t="n">
        <v>4</v>
      </c>
      <c r="E188" s="1158" t="inlineStr">
        <is>
          <t>Extended Stay Motels</t>
        </is>
      </c>
      <c r="F188">
        <f>B188&amp;" - "&amp;E188</f>
        <v/>
      </c>
    </row>
    <row r="189">
      <c r="B189" s="1158" t="n">
        <v>1344</v>
      </c>
      <c r="C189" t="inlineStr">
        <is>
          <t>Commercial</t>
        </is>
      </c>
      <c r="D189" t="n">
        <v>173</v>
      </c>
      <c r="E189" s="1158" t="inlineStr">
        <is>
          <t>Office Building - Condo</t>
        </is>
      </c>
      <c r="F189">
        <f>B189&amp;" - "&amp;E189</f>
        <v/>
      </c>
    </row>
    <row r="190">
      <c r="B190" s="1158" t="n">
        <v>1353</v>
      </c>
      <c r="C190" t="inlineStr">
        <is>
          <t>Commercial</t>
        </is>
      </c>
      <c r="D190" t="n">
        <v>20</v>
      </c>
      <c r="E190" s="1158" t="inlineStr">
        <is>
          <t>Retail Store - Condo</t>
        </is>
      </c>
      <c r="F190">
        <f>B190&amp;" - "&amp;E190</f>
        <v/>
      </c>
    </row>
    <row r="191">
      <c r="B191" s="1158" t="n">
        <v>1458</v>
      </c>
      <c r="C191" t="inlineStr">
        <is>
          <t>Commercial</t>
        </is>
      </c>
      <c r="D191" t="n">
        <v>8</v>
      </c>
      <c r="E191" s="1158" t="inlineStr">
        <is>
          <t>Warehouse Discount Store</t>
        </is>
      </c>
      <c r="F191">
        <f>B191&amp;" - "&amp;E191</f>
        <v/>
      </c>
    </row>
    <row r="192">
      <c r="B192" s="1158" t="n">
        <v>1467</v>
      </c>
      <c r="C192" t="inlineStr">
        <is>
          <t>Commercial</t>
        </is>
      </c>
      <c r="D192" t="n">
        <v>2</v>
      </c>
      <c r="E192" s="1158" t="inlineStr">
        <is>
          <t>Boat Storage Buildings</t>
        </is>
      </c>
      <c r="F192">
        <f>B192&amp;" - "&amp;E192</f>
        <v/>
      </c>
    </row>
    <row r="193">
      <c r="B193" s="1158" t="n">
        <v>1468</v>
      </c>
      <c r="C193" t="inlineStr">
        <is>
          <t>Commercial</t>
        </is>
      </c>
      <c r="D193" t="n">
        <v>7</v>
      </c>
      <c r="E193" s="1158" t="inlineStr">
        <is>
          <t>Material Storage Sheds</t>
        </is>
      </c>
      <c r="F193">
        <f>B193&amp;" - "&amp;E193</f>
        <v/>
      </c>
    </row>
    <row r="194">
      <c r="B194" s="1158" t="n">
        <v>1468</v>
      </c>
      <c r="C194" t="inlineStr">
        <is>
          <t>Industrial</t>
        </is>
      </c>
      <c r="D194" t="n">
        <v>1</v>
      </c>
      <c r="E194" s="1158" t="inlineStr">
        <is>
          <t>Material Storage Sheds</t>
        </is>
      </c>
      <c r="F194">
        <f>B194&amp;" - "&amp;E194</f>
        <v/>
      </c>
    </row>
    <row r="195">
      <c r="B195" s="1158" t="n">
        <v>1471</v>
      </c>
      <c r="C195" t="inlineStr">
        <is>
          <t>Commercial</t>
        </is>
      </c>
      <c r="D195" t="n">
        <v>1</v>
      </c>
      <c r="E195" s="1158" t="inlineStr">
        <is>
          <t>Light Commercial Utility</t>
        </is>
      </c>
      <c r="F195">
        <f>B195&amp;" - "&amp;E195</f>
        <v/>
      </c>
    </row>
    <row r="196">
      <c r="B196" s="1158" t="n">
        <v>1473</v>
      </c>
      <c r="C196" t="inlineStr">
        <is>
          <t>Commercial</t>
        </is>
      </c>
      <c r="D196" t="n">
        <v>5</v>
      </c>
      <c r="E196" s="1158" t="inlineStr">
        <is>
          <t>Material Shelters</t>
        </is>
      </c>
      <c r="F196">
        <f>B196&amp;" - "&amp;E196</f>
        <v/>
      </c>
    </row>
    <row r="197">
      <c r="B197" s="1158" t="n">
        <v>1473</v>
      </c>
      <c r="C197" t="inlineStr">
        <is>
          <t>Industrial</t>
        </is>
      </c>
      <c r="D197" t="n">
        <v>1</v>
      </c>
      <c r="E197" s="1158" t="inlineStr">
        <is>
          <t>Material Shelters</t>
        </is>
      </c>
      <c r="F197">
        <f>B197&amp;" - "&amp;E197</f>
        <v/>
      </c>
    </row>
    <row r="198">
      <c r="B198" s="1158" t="n">
        <v>1513</v>
      </c>
      <c r="C198" t="inlineStr">
        <is>
          <t>Commercial</t>
        </is>
      </c>
      <c r="D198" t="n">
        <v>4</v>
      </c>
      <c r="E198" s="1158" t="inlineStr">
        <is>
          <t>Regional Discount Shopping Centers</t>
        </is>
      </c>
      <c r="F198">
        <f>B198&amp;" - "&amp;E198</f>
        <v/>
      </c>
    </row>
    <row r="199">
      <c r="B199" s="1158" t="n">
        <v>3441</v>
      </c>
      <c r="C199" t="inlineStr">
        <is>
          <t>Commercial</t>
        </is>
      </c>
      <c r="D199" t="n">
        <v>41</v>
      </c>
      <c r="E199" s="1158" t="inlineStr">
        <is>
          <t>Office Conversion</t>
        </is>
      </c>
      <c r="F199">
        <f>B199&amp;" - "&amp;E199</f>
        <v/>
      </c>
    </row>
  </sheetData>
  <pageMargins left="0.75" right="0.75" top="1" bottom="1" header="0.5" footer="0.5"/>
</worksheet>
</file>

<file path=xl/worksheets/sheet15.xml><?xml version="1.0" encoding="utf-8"?>
<worksheet xmlns="http://schemas.openxmlformats.org/spreadsheetml/2006/main">
  <sheetPr>
    <tabColor rgb="00D97706"/>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6" customWidth="1" min="2" max="2"/>
    <col width="9" customWidth="1" min="4" max="4"/>
    <col width="9" customWidth="1" min="5" max="5"/>
    <col width="14" customWidth="1" min="6" max="6"/>
    <col width="10" customWidth="1" min="7" max="7"/>
    <col width="16" customWidth="1" min="8" max="8"/>
    <col width="16" customWidth="1" min="9" max="9"/>
    <col width="12" customWidth="1" min="10" max="10"/>
    <col width="14" customWidth="1" min="11" max="11"/>
    <col width="24" customWidth="1" min="12" max="12"/>
    <col width="13" customWidth="1" min="13" max="13"/>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972" t="inlineStr">
        <is>
          <t>Zone Value</t>
        </is>
      </c>
      <c r="D4" s="972" t="inlineStr">
        <is>
          <t>City-Filtered Zone Lists (for the Subject Property dropdown)</t>
        </is>
      </c>
    </row>
    <row r="5">
      <c r="D5" s="899" t="inlineStr">
        <is>
          <t>ARVADA</t>
        </is>
      </c>
      <c r="E5" s="899" t="inlineStr">
        <is>
          <t>AURORA</t>
        </is>
      </c>
      <c r="F5" s="899" t="inlineStr">
        <is>
          <t>BENNETT</t>
        </is>
      </c>
      <c r="G5" s="899" t="inlineStr">
        <is>
          <t>BRIGHTON</t>
        </is>
      </c>
      <c r="H5" s="899" t="inlineStr">
        <is>
          <t>COMMERCE CITY</t>
        </is>
      </c>
      <c r="I5" s="899" t="inlineStr">
        <is>
          <t>FEDERAL HEIGHTS</t>
        </is>
      </c>
      <c r="J5" s="899" t="inlineStr">
        <is>
          <t>NORTHGLENN</t>
        </is>
      </c>
      <c r="K5" s="899" t="inlineStr">
        <is>
          <t>STRASBURG</t>
        </is>
      </c>
      <c r="L5" s="899" t="inlineStr">
        <is>
          <t>THORNTON</t>
        </is>
      </c>
      <c r="M5" s="899"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6.xml><?xml version="1.0" encoding="utf-8"?>
<worksheet xmlns="http://schemas.openxmlformats.org/spreadsheetml/2006/main">
  <sheetPr>
    <tabColor rgb="00C55A11"/>
    <outlinePr summaryBelow="1" summaryRight="1"/>
    <pageSetUpPr/>
  </sheetPr>
  <dimension ref="B1:Y56"/>
  <sheetViews>
    <sheetView workbookViewId="0">
      <pane ySplit="3" topLeftCell="A4" activePane="bottomLeft" state="frozen"/>
      <selection pane="bottomLeft" activeCell="A1" sqref="A1"/>
    </sheetView>
  </sheetViews>
  <sheetFormatPr baseColWidth="8" defaultRowHeight="15"/>
  <cols>
    <col width="2" customWidth="1" min="1" max="1"/>
    <col width="36" customWidth="1" min="2" max="2"/>
    <col width="22" customWidth="1" min="3" max="3"/>
    <col width="20" customWidth="1" min="4" max="4"/>
    <col width="20" customWidth="1" min="5" max="5"/>
    <col width="22" customWidth="1" min="6" max="6"/>
    <col width="18" customWidth="1" min="7" max="7"/>
    <col width="14" customWidth="1" min="8" max="8"/>
    <col width="20" customWidth="1" min="9" max="9"/>
    <col width="20" customWidth="1" min="10" max="10"/>
    <col width="16" customWidth="1" min="11" max="11"/>
    <col width="12" customWidth="1" min="12" max="12"/>
    <col width="10" customWidth="1" min="13" max="13"/>
    <col width="46" customWidth="1" min="14" max="14"/>
    <col hidden="1" width="13" customWidth="1" min="16" max="16"/>
    <col hidden="1" width="13" customWidth="1" min="17" max="17"/>
    <col hidden="1" width="13" customWidth="1" min="18" max="18"/>
    <col hidden="1" width="13" customWidth="1" min="19" max="19"/>
    <col hidden="1" width="13" customWidth="1" min="20" max="20"/>
    <col hidden="1" width="13" customWidth="1" min="21" max="21"/>
    <col hidden="1" width="13" customWidth="1" min="22" max="22"/>
    <col hidden="1" width="13" customWidth="1" min="23" max="23"/>
    <col hidden="1" width="13" customWidth="1" min="24" max="24"/>
    <col hidden="1" width="13" customWidth="1" min="25" max="25"/>
  </cols>
  <sheetData>
    <row r="1">
      <c r="B1" s="1252" t="inlineStr">
        <is>
          <t>PROPERTY RESOURCES — Adams County, Colorado</t>
        </is>
      </c>
    </row>
    <row r="2">
      <c r="B2" s="1158" t="inlineStr">
        <is>
          <t>Pick the jurisdiction the property sits in (step 1 below) and every link you need appears. A mailing city is NOT always the land-use jurisdiction — when unsure, check the parcel on the county GIS map first.</t>
        </is>
      </c>
    </row>
    <row r="4">
      <c r="B4" s="1250" t="inlineStr">
        <is>
          <t>STEP 1 — Where is the property?</t>
        </is>
      </c>
      <c r="C4" s="1253" t="n"/>
      <c r="D4" s="1253" t="n"/>
      <c r="E4" s="1253" t="n"/>
      <c r="F4" s="1253" t="n"/>
    </row>
    <row r="5">
      <c r="B5" s="899" t="inlineStr">
        <is>
          <t>Jurisdiction (pick from list):</t>
        </is>
      </c>
      <c r="C5" s="1254" t="inlineStr">
        <is>
          <t>Unincorporated Adams County</t>
        </is>
      </c>
      <c r="E5">
        <f>IF(Subj_Address="","", "Subject Property on file: "&amp;Subj_Address)</f>
        <v/>
      </c>
    </row>
    <row r="6">
      <c r="B6" s="1158">
        <f>INDEX(RES_MATRIX_NOTE,MATCH($C$5,RES_MATRIX_JUR,0))</f>
        <v/>
      </c>
    </row>
    <row r="8">
      <c r="B8" s="1250" t="inlineStr">
        <is>
          <t>STEP 2 — Jurisdiction links (zoning, planning, permits, hearings for the pick above)</t>
        </is>
      </c>
      <c r="C8" s="1253" t="n"/>
      <c r="D8" s="1253" t="n"/>
      <c r="E8" s="1253" t="n"/>
      <c r="F8" s="1253" t="n"/>
    </row>
    <row r="9">
      <c r="B9" s="1255" t="inlineStr">
        <is>
          <t>Official website</t>
        </is>
      </c>
      <c r="C9" s="1517">
        <f>HYPERLINK(INDEX(RES_MATRIX_C,MATCH($C$5,RES_MATRIX_JUR,0)),INDEX(RES_MATRIX_C,MATCH($C$5,RES_MATRIX_JUR,0)))</f>
        <v/>
      </c>
      <c r="D9" s="1488" t="n"/>
      <c r="E9" s="1488" t="n"/>
      <c r="F9" s="1488" t="n"/>
    </row>
    <row r="10">
      <c r="B10" s="1255" t="inlineStr">
        <is>
          <t>Property / GIS maps</t>
        </is>
      </c>
      <c r="C10" s="1517">
        <f>HYPERLINK(INDEX(RES_MATRIX_D,MATCH($C$5,RES_MATRIX_JUR,0)),INDEX(RES_MATRIX_D,MATCH($C$5,RES_MATRIX_JUR,0)))</f>
        <v/>
      </c>
      <c r="D10" s="1488" t="n"/>
      <c r="E10" s="1488" t="n"/>
      <c r="F10" s="1488" t="n"/>
    </row>
    <row r="11">
      <c r="B11" s="1255" t="inlineStr">
        <is>
          <t>Zoning / land-use code</t>
        </is>
      </c>
      <c r="C11" s="1517">
        <f>HYPERLINK(INDEX(RES_MATRIX_E,MATCH($C$5,RES_MATRIX_JUR,0)),INDEX(RES_MATRIX_E,MATCH($C$5,RES_MATRIX_JUR,0)))</f>
        <v/>
      </c>
      <c r="D11" s="1488" t="n"/>
      <c r="E11" s="1488" t="n"/>
      <c r="F11" s="1488" t="n"/>
    </row>
    <row r="12">
      <c r="B12" s="1255" t="inlineStr">
        <is>
          <t>Planning department</t>
        </is>
      </c>
      <c r="C12" s="1517">
        <f>HYPERLINK(INDEX(RES_MATRIX_F,MATCH($C$5,RES_MATRIX_JUR,0)),INDEX(RES_MATRIX_F,MATCH($C$5,RES_MATRIX_JUR,0)))</f>
        <v/>
      </c>
      <c r="D12" s="1488" t="n"/>
      <c r="E12" s="1488" t="n"/>
      <c r="F12" s="1488" t="n"/>
    </row>
    <row r="13">
      <c r="B13" s="1255" t="inlineStr">
        <is>
          <t>Active development / projects</t>
        </is>
      </c>
      <c r="C13" s="1517">
        <f>HYPERLINK(INDEX(RES_MATRIX_G,MATCH($C$5,RES_MATRIX_JUR,0)),INDEX(RES_MATRIX_G,MATCH($C$5,RES_MATRIX_JUR,0)))</f>
        <v/>
      </c>
      <c r="D13" s="1488" t="n"/>
      <c r="E13" s="1488" t="n"/>
      <c r="F13" s="1488" t="n"/>
    </row>
    <row r="14">
      <c r="B14" s="1255" t="inlineStr">
        <is>
          <t>Permits</t>
        </is>
      </c>
      <c r="C14" s="1517">
        <f>HYPERLINK(INDEX(RES_MATRIX_H,MATCH($C$5,RES_MATRIX_JUR,0)),INDEX(RES_MATRIX_H,MATCH($C$5,RES_MATRIX_JUR,0)))</f>
        <v/>
      </c>
      <c r="D14" s="1488" t="n"/>
      <c r="E14" s="1488" t="n"/>
      <c r="F14" s="1488" t="n"/>
    </row>
    <row r="15">
      <c r="B15" s="1255" t="inlineStr">
        <is>
          <t>Long-range / comprehensive plan</t>
        </is>
      </c>
      <c r="C15" s="1517">
        <f>HYPERLINK(INDEX(RES_MATRIX_I,MATCH($C$5,RES_MATRIX_JUR,0)),INDEX(RES_MATRIX_I,MATCH($C$5,RES_MATRIX_JUR,0)))</f>
        <v/>
      </c>
      <c r="D15" s="1488" t="n"/>
      <c r="E15" s="1488" t="n"/>
      <c r="F15" s="1488" t="n"/>
    </row>
    <row r="16">
      <c r="B16" s="1255" t="inlineStr">
        <is>
          <t>Agendas &amp; meetings</t>
        </is>
      </c>
      <c r="C16" s="1517">
        <f>HYPERLINK(INDEX(RES_MATRIX_J,MATCH($C$5,RES_MATRIX_JUR,0)),INDEX(RES_MATRIX_J,MATCH($C$5,RES_MATRIX_JUR,0)))</f>
        <v/>
      </c>
      <c r="D16" s="1488" t="n"/>
      <c r="E16" s="1488" t="n"/>
      <c r="F16" s="1488" t="n"/>
    </row>
    <row r="17">
      <c r="B17" s="1255" t="inlineStr">
        <is>
          <t>Public / legal notices</t>
        </is>
      </c>
      <c r="C17" s="1517">
        <f>HYPERLINK(INDEX(RES_MATRIX_K,MATCH($C$5,RES_MATRIX_JUR,0)),INDEX(RES_MATRIX_K,MATCH($C$5,RES_MATRIX_JUR,0)))</f>
        <v/>
      </c>
      <c r="D17" s="1488" t="n"/>
      <c r="E17" s="1488" t="n"/>
      <c r="F17" s="1488" t="n"/>
    </row>
    <row r="18">
      <c r="B18" s="1255" t="inlineStr">
        <is>
          <t>News</t>
        </is>
      </c>
      <c r="C18" s="1517">
        <f>HYPERLINK(INDEX(RES_MATRIX_L,MATCH($C$5,RES_MATRIX_JUR,0)),INDEX(RES_MATRIX_L,MATCH($C$5,RES_MATRIX_JUR,0)))</f>
        <v/>
      </c>
      <c r="D18" s="1488" t="n"/>
      <c r="E18" s="1488" t="n"/>
      <c r="F18" s="1488" t="n"/>
    </row>
    <row r="20">
      <c r="B20" s="1250" t="inlineStr">
        <is>
          <t>STEP 3 — County records (work for ANY Adams County property, regardless of city)</t>
        </is>
      </c>
      <c r="C20" s="1253" t="n"/>
      <c r="D20" s="1253" t="n"/>
      <c r="E20" s="1253" t="n"/>
      <c r="F20" s="1253" t="n"/>
    </row>
    <row r="21">
      <c r="B21" s="1255" t="inlineStr">
        <is>
          <t>Parcel / owner / value search</t>
        </is>
      </c>
      <c r="C21" s="1517" t="inlineStr">
        <is>
          <t>https://adamscountyco.gov/service/search-real-property/</t>
        </is>
      </c>
      <c r="D21" s="1488" t="n"/>
      <c r="E21" s="1488" t="n"/>
      <c r="F21" s="1488" t="n"/>
    </row>
    <row r="22">
      <c r="B22" s="1255" t="inlineStr">
        <is>
          <t>Fast parcel lookup (GIS)</t>
        </is>
      </c>
      <c r="C22" s="1517" t="inlineStr">
        <is>
          <t>https://gisapp.adcogov.org/quicksearch/</t>
        </is>
      </c>
      <c r="D22" s="1488" t="n"/>
      <c r="E22" s="1488" t="n"/>
      <c r="F22" s="1488" t="n"/>
    </row>
    <row r="23">
      <c r="B23" s="1255" t="inlineStr">
        <is>
          <t>Interactive county maps</t>
        </is>
      </c>
      <c r="C23" s="1517" t="inlineStr">
        <is>
          <t>https://adamscountyco.gov/service/gis-interactive-maps/</t>
        </is>
      </c>
      <c r="D23" s="1488" t="n"/>
      <c r="E23" s="1488" t="n"/>
      <c r="F23" s="1488" t="n"/>
    </row>
    <row r="24">
      <c r="B24" s="1255" t="inlineStr">
        <is>
          <t>Recorded deeds &amp; documents</t>
        </is>
      </c>
      <c r="C24" s="1517" t="inlineStr">
        <is>
          <t>https://recording.adamscountyco.gov/landmarkweb/</t>
        </is>
      </c>
      <c r="D24" s="1488" t="n"/>
      <c r="E24" s="1488" t="n"/>
      <c r="F24" s="1488" t="n"/>
    </row>
    <row r="25">
      <c r="B25" s="1255" t="inlineStr">
        <is>
          <t>Survey plats</t>
        </is>
      </c>
      <c r="C25" s="1517" t="inlineStr">
        <is>
          <t>https://adamscountyco.gov/our-county/elected-officials/clerk-recorder/recording/land-survey-plats/</t>
        </is>
      </c>
      <c r="D25" s="1488" t="n"/>
      <c r="E25" s="1488" t="n"/>
      <c r="F25" s="1488" t="n"/>
    </row>
    <row r="26">
      <c r="B26" s="1255" t="inlineStr">
        <is>
          <t>Property taxes / balances</t>
        </is>
      </c>
      <c r="C26" s="1517" t="inlineStr">
        <is>
          <t>https://adcotax.com/</t>
        </is>
      </c>
      <c r="D26" s="1488" t="n"/>
      <c r="E26" s="1488" t="n"/>
      <c r="F26" s="1488" t="n"/>
    </row>
    <row r="27">
      <c r="B27" s="1255" t="inlineStr">
        <is>
          <t>Foreclosure records</t>
        </is>
      </c>
      <c r="C27" s="1517" t="inlineStr">
        <is>
          <t>https://apps.adcogov.org/PTForeclosureSearch/?ds=1</t>
        </is>
      </c>
      <c r="D27" s="1488" t="n"/>
      <c r="E27" s="1488" t="n"/>
      <c r="F27" s="1488" t="n"/>
    </row>
    <row r="28">
      <c r="B28" s="1255" t="inlineStr">
        <is>
          <t>Unincorporated planning &amp; zoning</t>
        </is>
      </c>
      <c r="C28" s="1517" t="inlineStr">
        <is>
          <t>https://adamscountyco.gov/our-county/community-economic-development/planning-development/</t>
        </is>
      </c>
      <c r="D28" s="1488" t="n"/>
      <c r="E28" s="1488" t="n"/>
      <c r="F28" s="1488" t="n"/>
    </row>
    <row r="29">
      <c r="B29" s="1255" t="inlineStr">
        <is>
          <t>Pending land-use cases &amp; hearings</t>
        </is>
      </c>
      <c r="C29" s="1517" t="inlineStr">
        <is>
          <t>https://adamscountyco.gov/our-county/community-economic-development/planning-development/current-land-use-cases/</t>
        </is>
      </c>
      <c r="D29" s="1488" t="n"/>
      <c r="E29" s="1488" t="n"/>
      <c r="F29" s="1488" t="n"/>
    </row>
    <row r="30">
      <c r="B30" s="1255" t="inlineStr">
        <is>
          <t>Unincorporated building permits</t>
        </is>
      </c>
      <c r="C30" s="1517" t="inlineStr">
        <is>
          <t>https://adamscountyco.gov/our-county/community-economic-development/building-safety/building-permit/</t>
        </is>
      </c>
      <c r="D30" s="1488" t="n"/>
      <c r="E30" s="1488" t="n"/>
      <c r="F30" s="1488" t="n"/>
    </row>
    <row r="32">
      <c r="B32" s="1250" t="inlineStr">
        <is>
          <t>STEP 4 — State &amp; federal checks (apply everywhere)</t>
        </is>
      </c>
      <c r="C32" s="1253" t="n"/>
      <c r="D32" s="1253" t="n"/>
      <c r="E32" s="1253" t="n"/>
      <c r="F32" s="1253" t="n"/>
    </row>
    <row r="33">
      <c r="B33" s="1255" t="inlineStr">
        <is>
          <t>Who owns the LLC? (Secretary of State)</t>
        </is>
      </c>
      <c r="C33" s="1517" t="inlineStr">
        <is>
          <t>https://co.colorado.gov/search-business-records</t>
        </is>
      </c>
      <c r="D33" s="1488" t="n"/>
      <c r="E33" s="1488" t="n"/>
      <c r="F33" s="1488" t="n"/>
    </row>
    <row r="34">
      <c r="B34" s="1255" t="inlineStr">
        <is>
          <t>Municipal boundary map (DOLA)</t>
        </is>
      </c>
      <c r="C34" s="1517" t="inlineStr">
        <is>
          <t>https://gis.dola.colorado.gov/CO_SpecialDistrict/</t>
        </is>
      </c>
      <c r="D34" s="1488" t="n"/>
      <c r="E34" s="1488" t="n"/>
      <c r="F34" s="1488" t="n"/>
    </row>
    <row r="35">
      <c r="B35" s="1255" t="inlineStr">
        <is>
          <t>Special / metro districts (DOLA)</t>
        </is>
      </c>
      <c r="C35" s="1517" t="inlineStr">
        <is>
          <t>https://gis.dola.colorado.gov/CO_SpecialDistrict/</t>
        </is>
      </c>
      <c r="D35" s="1488" t="n"/>
      <c r="E35" s="1488" t="n"/>
      <c r="F35" s="1488" t="n"/>
    </row>
    <row r="36">
      <c r="B36" s="1255" t="inlineStr">
        <is>
          <t>Water rights, wells &amp; structures (DWR)</t>
        </is>
      </c>
      <c r="C36" s="1517" t="inlineStr">
        <is>
          <t>https://gis.dola.colorado.gov/CO_SpecialDistrict/</t>
        </is>
      </c>
      <c r="D36" s="1488" t="n"/>
      <c r="E36" s="1488" t="n"/>
      <c r="F36" s="1488" t="n"/>
    </row>
    <row r="37">
      <c r="B37" s="1255" t="inlineStr">
        <is>
          <t>Oil &amp; gas wells (ECMC)</t>
        </is>
      </c>
      <c r="C37" s="1517" t="inlineStr">
        <is>
          <t>https://ecmc.state.co.us/maps.html</t>
        </is>
      </c>
      <c r="D37" s="1488" t="n"/>
      <c r="E37" s="1488" t="n"/>
      <c r="F37" s="1488" t="n"/>
    </row>
    <row r="38">
      <c r="B38" s="1255" t="inlineStr">
        <is>
          <t>FEMA flood map</t>
        </is>
      </c>
      <c r="C38" s="1517" t="inlineStr">
        <is>
          <t>https://www.fema.gov/flood-maps</t>
        </is>
      </c>
      <c r="D38" s="1488" t="n"/>
      <c r="E38" s="1488" t="n"/>
      <c r="F38" s="1488" t="n"/>
    </row>
    <row r="39">
      <c r="B39" s="1255" t="inlineStr">
        <is>
          <t>Environmental records (CDPHE)</t>
        </is>
      </c>
      <c r="C39" s="1517" t="inlineStr">
        <is>
          <t>https://cdphe.colorado.gov/maps-and-gis-for-health-and-environment</t>
        </is>
      </c>
      <c r="D39" s="1488" t="n"/>
      <c r="E39" s="1488" t="n"/>
      <c r="F39" s="1488" t="n"/>
    </row>
    <row r="40">
      <c r="B40" s="1255" t="inlineStr">
        <is>
          <t>Soils survey (USDA NRCS)</t>
        </is>
      </c>
      <c r="C40" s="1517" t="inlineStr">
        <is>
          <t>https://websoilsurvey.nrcs.usda.gov/</t>
        </is>
      </c>
      <c r="D40" s="1488" t="n"/>
      <c r="E40" s="1488" t="n"/>
      <c r="F40" s="1488" t="n"/>
    </row>
    <row r="41">
      <c r="B41" s="1255" t="inlineStr">
        <is>
          <t>State highway access (CDOT)</t>
        </is>
      </c>
      <c r="C41" s="1517" t="inlineStr">
        <is>
          <t>https://dtdapps.codot.gov/otis</t>
        </is>
      </c>
      <c r="D41" s="1488" t="n"/>
      <c r="E41" s="1488" t="n"/>
      <c r="F41" s="1488" t="n"/>
    </row>
    <row r="42">
      <c r="B42" s="1257" t="inlineStr">
        <is>
          <t>Full list of every curated source (300+) and the step-by-step due-diligence checklist: see the Resource Directory tab.</t>
        </is>
      </c>
    </row>
    <row r="44">
      <c r="B44" s="1250" t="inlineStr">
        <is>
          <t>ALL JURISDICTIONS AT A GLANCE (the picker above reads from this table)</t>
        </is>
      </c>
      <c r="C44" s="1253" t="n"/>
      <c r="D44" s="1253" t="n"/>
      <c r="E44" s="1253" t="n"/>
      <c r="F44" s="1253" t="n"/>
      <c r="G44" s="1253" t="n"/>
      <c r="H44" s="1253" t="n"/>
      <c r="I44" s="1253" t="n"/>
      <c r="J44" s="1253" t="n"/>
      <c r="K44" s="1253" t="n"/>
      <c r="L44" s="1253" t="n"/>
      <c r="M44" s="1253" t="n"/>
    </row>
    <row r="45">
      <c r="B45" s="1251" t="inlineStr">
        <is>
          <t>Jurisdiction</t>
        </is>
      </c>
      <c r="C45" s="1251" t="inlineStr">
        <is>
          <t>Type</t>
        </is>
      </c>
      <c r="D45" s="1251" t="inlineStr">
        <is>
          <t>Official Home</t>
        </is>
      </c>
      <c r="E45" s="1251" t="inlineStr">
        <is>
          <t>Property / GIS</t>
        </is>
      </c>
      <c r="F45" s="1251" t="inlineStr">
        <is>
          <t>Zoning / Code</t>
        </is>
      </c>
      <c r="G45" s="1251" t="inlineStr">
        <is>
          <t>Planning</t>
        </is>
      </c>
      <c r="H45" s="1251" t="inlineStr">
        <is>
          <t>Development / Projects</t>
        </is>
      </c>
      <c r="I45" s="1251" t="inlineStr">
        <is>
          <t>Permits</t>
        </is>
      </c>
      <c r="J45" s="1251" t="inlineStr">
        <is>
          <t>Long-Range Plan</t>
        </is>
      </c>
      <c r="K45" s="1251" t="inlineStr">
        <is>
          <t>Agendas / Meetings</t>
        </is>
      </c>
      <c r="L45" s="1251" t="inlineStr">
        <is>
          <t>Public Notices</t>
        </is>
      </c>
      <c r="M45" s="1251" t="inlineStr">
        <is>
          <t>News</t>
        </is>
      </c>
      <c r="N45" s="1251" t="inlineStr">
        <is>
          <t>Boundary / Use Note</t>
        </is>
      </c>
      <c r="P45" s="1258" t="inlineStr">
        <is>
          <t>(raw URLs feeding the Step-2 links — do not delete)</t>
        </is>
      </c>
    </row>
    <row r="46">
      <c r="B46" s="1255" t="inlineStr">
        <is>
          <t>Unincorporated Adams County</t>
        </is>
      </c>
      <c r="C46" s="1259" t="inlineStr">
        <is>
          <t>County jurisdiction</t>
        </is>
      </c>
      <c r="D46" s="1256" t="inlineStr">
        <is>
          <t>Official Home</t>
        </is>
      </c>
      <c r="E46" s="1256" t="inlineStr">
        <is>
          <t>Property / GIS</t>
        </is>
      </c>
      <c r="F46" s="1256" t="inlineStr">
        <is>
          <t>Zoning / Code</t>
        </is>
      </c>
      <c r="G46" s="1256" t="inlineStr">
        <is>
          <t>Planning</t>
        </is>
      </c>
      <c r="H46" s="1256" t="inlineStr">
        <is>
          <t>Development / Projects</t>
        </is>
      </c>
      <c r="I46" s="1256" t="inlineStr">
        <is>
          <t>Permits</t>
        </is>
      </c>
      <c r="J46" s="1256" t="inlineStr">
        <is>
          <t>Long-Range Plan</t>
        </is>
      </c>
      <c r="K46" s="1256" t="inlineStr">
        <is>
          <t>Agendas / Meetings</t>
        </is>
      </c>
      <c r="L46" s="1256" t="inlineStr">
        <is>
          <t>Public Notices</t>
        </is>
      </c>
      <c r="M46" s="1256" t="inlineStr">
        <is>
          <t>News</t>
        </is>
      </c>
      <c r="N46" s="1260"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c r="B47" s="1255" t="inlineStr">
        <is>
          <t>Arvada</t>
        </is>
      </c>
      <c r="C47" s="1259" t="inlineStr">
        <is>
          <t>City</t>
        </is>
      </c>
      <c r="D47" s="1256" t="inlineStr">
        <is>
          <t>Official Home</t>
        </is>
      </c>
      <c r="E47" s="1256" t="inlineStr">
        <is>
          <t>Property / GIS</t>
        </is>
      </c>
      <c r="F47" s="1256" t="inlineStr">
        <is>
          <t>Zoning / Code</t>
        </is>
      </c>
      <c r="G47" s="1256" t="inlineStr">
        <is>
          <t>Planning</t>
        </is>
      </c>
      <c r="H47" s="1256" t="inlineStr">
        <is>
          <t>Development / Projects</t>
        </is>
      </c>
      <c r="I47" s="1256" t="inlineStr">
        <is>
          <t>Permits</t>
        </is>
      </c>
      <c r="J47" s="1256" t="inlineStr">
        <is>
          <t>Long-Range Plan</t>
        </is>
      </c>
      <c r="K47" s="1256" t="inlineStr">
        <is>
          <t>Agendas / Meetings</t>
        </is>
      </c>
      <c r="L47" s="1256" t="inlineStr">
        <is>
          <t>Public Notices</t>
        </is>
      </c>
      <c r="M47" s="1256" t="inlineStr">
        <is>
          <t>News</t>
        </is>
      </c>
      <c r="N47" s="1260"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c r="B48" s="1255" t="inlineStr">
        <is>
          <t>Aurora</t>
        </is>
      </c>
      <c r="C48" s="1259" t="inlineStr">
        <is>
          <t>City</t>
        </is>
      </c>
      <c r="D48" s="1256" t="inlineStr">
        <is>
          <t>Official Home</t>
        </is>
      </c>
      <c r="E48" s="1256" t="inlineStr">
        <is>
          <t>Property / GIS</t>
        </is>
      </c>
      <c r="F48" s="1256" t="inlineStr">
        <is>
          <t>Zoning / Code</t>
        </is>
      </c>
      <c r="G48" s="1256" t="inlineStr">
        <is>
          <t>Planning</t>
        </is>
      </c>
      <c r="H48" s="1256" t="inlineStr">
        <is>
          <t>Development / Projects</t>
        </is>
      </c>
      <c r="I48" s="1256" t="inlineStr">
        <is>
          <t>Permits</t>
        </is>
      </c>
      <c r="J48" s="1256" t="inlineStr">
        <is>
          <t>Long-Range Plan</t>
        </is>
      </c>
      <c r="K48" s="1256" t="inlineStr">
        <is>
          <t>Agendas / Meetings</t>
        </is>
      </c>
      <c r="L48" s="1256" t="inlineStr">
        <is>
          <t>Public Notices</t>
        </is>
      </c>
      <c r="M48" s="1256" t="inlineStr">
        <is>
          <t>News</t>
        </is>
      </c>
      <c r="N48" s="1260"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c r="B49" s="1255" t="inlineStr">
        <is>
          <t>Bennett</t>
        </is>
      </c>
      <c r="C49" s="1259" t="inlineStr">
        <is>
          <t>Town</t>
        </is>
      </c>
      <c r="D49" s="1256" t="inlineStr">
        <is>
          <t>Official Home</t>
        </is>
      </c>
      <c r="E49" s="1256" t="inlineStr">
        <is>
          <t>Property / GIS</t>
        </is>
      </c>
      <c r="F49" s="1256" t="inlineStr">
        <is>
          <t>Zoning / Code</t>
        </is>
      </c>
      <c r="G49" s="1256" t="inlineStr">
        <is>
          <t>Planning</t>
        </is>
      </c>
      <c r="H49" s="1256" t="inlineStr">
        <is>
          <t>Development / Projects</t>
        </is>
      </c>
      <c r="I49" s="1256" t="inlineStr">
        <is>
          <t>Permits</t>
        </is>
      </c>
      <c r="J49" s="1256" t="inlineStr">
        <is>
          <t>Long-Range Plan</t>
        </is>
      </c>
      <c r="K49" s="1256" t="inlineStr">
        <is>
          <t>Agendas / Meetings</t>
        </is>
      </c>
      <c r="L49" s="1256" t="inlineStr">
        <is>
          <t>Public Notices</t>
        </is>
      </c>
      <c r="M49" s="1256" t="inlineStr">
        <is>
          <t>News</t>
        </is>
      </c>
      <c r="N49" s="1260"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c r="B50" s="1255" t="inlineStr">
        <is>
          <t>Brighton</t>
        </is>
      </c>
      <c r="C50" s="1259" t="inlineStr">
        <is>
          <t>City</t>
        </is>
      </c>
      <c r="D50" s="1256" t="inlineStr">
        <is>
          <t>Official Home</t>
        </is>
      </c>
      <c r="E50" s="1256" t="inlineStr">
        <is>
          <t>Property / GIS</t>
        </is>
      </c>
      <c r="F50" s="1256" t="inlineStr">
        <is>
          <t>Zoning / Code</t>
        </is>
      </c>
      <c r="G50" s="1256" t="inlineStr">
        <is>
          <t>Planning</t>
        </is>
      </c>
      <c r="H50" s="1256" t="inlineStr">
        <is>
          <t>Development / Projects</t>
        </is>
      </c>
      <c r="I50" s="1256" t="inlineStr">
        <is>
          <t>Permits</t>
        </is>
      </c>
      <c r="J50" s="1256" t="inlineStr">
        <is>
          <t>Long-Range Plan</t>
        </is>
      </c>
      <c r="K50" s="1256" t="inlineStr">
        <is>
          <t>Agendas / Meetings</t>
        </is>
      </c>
      <c r="L50" s="1256" t="inlineStr">
        <is>
          <t>Public Notices</t>
        </is>
      </c>
      <c r="M50" s="1256" t="inlineStr">
        <is>
          <t>News</t>
        </is>
      </c>
      <c r="N50" s="1260"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c r="B51" s="1255" t="inlineStr">
        <is>
          <t>Commerce City</t>
        </is>
      </c>
      <c r="C51" s="1259" t="inlineStr">
        <is>
          <t>City</t>
        </is>
      </c>
      <c r="D51" s="1256" t="inlineStr">
        <is>
          <t>Official Home</t>
        </is>
      </c>
      <c r="E51" s="1256" t="inlineStr">
        <is>
          <t>Property / GIS</t>
        </is>
      </c>
      <c r="F51" s="1256" t="inlineStr">
        <is>
          <t>Zoning / Code</t>
        </is>
      </c>
      <c r="G51" s="1256" t="inlineStr">
        <is>
          <t>Planning</t>
        </is>
      </c>
      <c r="H51" s="1256" t="inlineStr">
        <is>
          <t>Development / Projects</t>
        </is>
      </c>
      <c r="I51" s="1256" t="inlineStr">
        <is>
          <t>Permits</t>
        </is>
      </c>
      <c r="J51" s="1256" t="inlineStr">
        <is>
          <t>Long-Range Plan</t>
        </is>
      </c>
      <c r="K51" s="1256" t="inlineStr">
        <is>
          <t>Agendas / Meetings</t>
        </is>
      </c>
      <c r="L51" s="1256" t="inlineStr">
        <is>
          <t>Public Notices</t>
        </is>
      </c>
      <c r="M51" s="1256" t="inlineStr">
        <is>
          <t>News</t>
        </is>
      </c>
      <c r="N51" s="1260"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c r="B52" s="1255" t="inlineStr">
        <is>
          <t>Federal Heights</t>
        </is>
      </c>
      <c r="C52" s="1259" t="inlineStr">
        <is>
          <t>City</t>
        </is>
      </c>
      <c r="D52" s="1256" t="inlineStr">
        <is>
          <t>Official Home</t>
        </is>
      </c>
      <c r="E52" s="1256" t="inlineStr">
        <is>
          <t>Property / GIS</t>
        </is>
      </c>
      <c r="F52" s="1256" t="inlineStr">
        <is>
          <t>Zoning / Code</t>
        </is>
      </c>
      <c r="G52" s="1256" t="inlineStr">
        <is>
          <t>Planning</t>
        </is>
      </c>
      <c r="H52" s="1256" t="inlineStr">
        <is>
          <t>Development / Projects</t>
        </is>
      </c>
      <c r="I52" s="1256" t="inlineStr">
        <is>
          <t>Permits</t>
        </is>
      </c>
      <c r="J52" s="1256" t="inlineStr">
        <is>
          <t>Long-Range Plan</t>
        </is>
      </c>
      <c r="K52" s="1256" t="inlineStr">
        <is>
          <t>Agendas / Meetings</t>
        </is>
      </c>
      <c r="L52" s="1256" t="inlineStr">
        <is>
          <t>Public Notices</t>
        </is>
      </c>
      <c r="M52" s="1256" t="inlineStr">
        <is>
          <t>News</t>
        </is>
      </c>
      <c r="N52" s="1260"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c r="B53" s="1255" t="inlineStr">
        <is>
          <t>Lochbuie</t>
        </is>
      </c>
      <c r="C53" s="1259" t="inlineStr">
        <is>
          <t>Town</t>
        </is>
      </c>
      <c r="D53" s="1256" t="inlineStr">
        <is>
          <t>Official Home</t>
        </is>
      </c>
      <c r="E53" s="1256" t="inlineStr">
        <is>
          <t>Property / GIS</t>
        </is>
      </c>
      <c r="F53" s="1256" t="inlineStr">
        <is>
          <t>Zoning / Code</t>
        </is>
      </c>
      <c r="G53" s="1256" t="inlineStr">
        <is>
          <t>Planning</t>
        </is>
      </c>
      <c r="H53" s="1256" t="inlineStr">
        <is>
          <t>Development / Projects</t>
        </is>
      </c>
      <c r="I53" s="1256" t="inlineStr">
        <is>
          <t>Permits</t>
        </is>
      </c>
      <c r="J53" s="1256" t="inlineStr">
        <is>
          <t>Long-Range Plan</t>
        </is>
      </c>
      <c r="K53" s="1256" t="inlineStr">
        <is>
          <t>Agendas / Meetings</t>
        </is>
      </c>
      <c r="L53" s="1256" t="inlineStr">
        <is>
          <t>Public Notices</t>
        </is>
      </c>
      <c r="M53" s="1256" t="inlineStr">
        <is>
          <t>News</t>
        </is>
      </c>
      <c r="N53" s="1260"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c r="B54" s="1255" t="inlineStr">
        <is>
          <t>Northglenn</t>
        </is>
      </c>
      <c r="C54" s="1259" t="inlineStr">
        <is>
          <t>City</t>
        </is>
      </c>
      <c r="D54" s="1256" t="inlineStr">
        <is>
          <t>Official Home</t>
        </is>
      </c>
      <c r="E54" s="1256" t="inlineStr">
        <is>
          <t>Property / GIS</t>
        </is>
      </c>
      <c r="F54" s="1256" t="inlineStr">
        <is>
          <t>Zoning / Code</t>
        </is>
      </c>
      <c r="G54" s="1256" t="inlineStr">
        <is>
          <t>Planning</t>
        </is>
      </c>
      <c r="H54" s="1256" t="inlineStr">
        <is>
          <t>Development / Projects</t>
        </is>
      </c>
      <c r="I54" s="1256" t="inlineStr">
        <is>
          <t>Permits</t>
        </is>
      </c>
      <c r="J54" s="1256" t="inlineStr">
        <is>
          <t>Long-Range Plan</t>
        </is>
      </c>
      <c r="K54" s="1256" t="inlineStr">
        <is>
          <t>Agendas / Meetings</t>
        </is>
      </c>
      <c r="L54" s="1256" t="inlineStr">
        <is>
          <t>Public Notices</t>
        </is>
      </c>
      <c r="M54" s="1256" t="inlineStr">
        <is>
          <t>News</t>
        </is>
      </c>
      <c r="N54" s="1260"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c r="B55" s="1255" t="inlineStr">
        <is>
          <t>Thornton</t>
        </is>
      </c>
      <c r="C55" s="1259" t="inlineStr">
        <is>
          <t>City</t>
        </is>
      </c>
      <c r="D55" s="1256" t="inlineStr">
        <is>
          <t>Official Home</t>
        </is>
      </c>
      <c r="E55" s="1256" t="inlineStr">
        <is>
          <t>Property / GIS</t>
        </is>
      </c>
      <c r="F55" s="1256" t="inlineStr">
        <is>
          <t>Zoning / Code</t>
        </is>
      </c>
      <c r="G55" s="1256" t="inlineStr">
        <is>
          <t>Planning</t>
        </is>
      </c>
      <c r="H55" s="1256" t="inlineStr">
        <is>
          <t>Development / Projects</t>
        </is>
      </c>
      <c r="I55" s="1256" t="inlineStr">
        <is>
          <t>Permits</t>
        </is>
      </c>
      <c r="J55" s="1256" t="inlineStr">
        <is>
          <t>Long-Range Plan</t>
        </is>
      </c>
      <c r="K55" s="1256" t="inlineStr">
        <is>
          <t>Agendas / Meetings</t>
        </is>
      </c>
      <c r="L55" s="1256" t="inlineStr">
        <is>
          <t>Public Notices</t>
        </is>
      </c>
      <c r="M55" s="1256" t="inlineStr">
        <is>
          <t>News</t>
        </is>
      </c>
      <c r="N55" s="1260"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c r="B56" s="1255" t="inlineStr">
        <is>
          <t>Westminster</t>
        </is>
      </c>
      <c r="C56" s="1259" t="inlineStr">
        <is>
          <t>City</t>
        </is>
      </c>
      <c r="D56" s="1256" t="inlineStr">
        <is>
          <t>Official Home</t>
        </is>
      </c>
      <c r="E56" s="1256" t="inlineStr">
        <is>
          <t>Property / GIS</t>
        </is>
      </c>
      <c r="F56" s="1256" t="inlineStr">
        <is>
          <t>Zoning / Code</t>
        </is>
      </c>
      <c r="G56" s="1256" t="inlineStr">
        <is>
          <t>Planning</t>
        </is>
      </c>
      <c r="H56" s="1256" t="inlineStr">
        <is>
          <t>Development / Projects</t>
        </is>
      </c>
      <c r="I56" s="1256" t="inlineStr">
        <is>
          <t>Permits</t>
        </is>
      </c>
      <c r="J56" s="1256" t="inlineStr">
        <is>
          <t>Long-Range Plan</t>
        </is>
      </c>
      <c r="K56" s="1256" t="inlineStr">
        <is>
          <t>Agendas / Meetings</t>
        </is>
      </c>
      <c r="L56" s="1256" t="inlineStr">
        <is>
          <t>Public Notices</t>
        </is>
      </c>
      <c r="M56" s="1256" t="inlineStr">
        <is>
          <t>News</t>
        </is>
      </c>
      <c r="N56" s="1260"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10:F10"/>
    <mergeCell ref="C41:F41"/>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 footer="0.5"/>
</worksheet>
</file>

<file path=xl/worksheets/sheet17.xml><?xml version="1.0" encoding="utf-8"?>
<worksheet xmlns="http://schemas.openxmlformats.org/spreadsheetml/2006/main">
  <sheetPr>
    <tabColor rgb="00C55A11"/>
    <outlinePr summaryBelow="1" summaryRight="1"/>
    <pageSetUpPr/>
  </sheetPr>
  <dimension ref="B1:J332"/>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26" customWidth="1" min="2" max="2"/>
    <col width="24" customWidth="1" min="3" max="3"/>
    <col width="34" customWidth="1" min="4" max="4"/>
    <col width="46" customWidth="1" min="5" max="5"/>
    <col width="46" customWidth="1" min="6" max="6"/>
    <col width="52" customWidth="1" min="7" max="7"/>
    <col width="12" customWidth="1" min="8" max="8"/>
    <col width="14" customWidth="1" min="9" max="9"/>
    <col width="24" customWidth="1" min="10" max="10"/>
  </cols>
  <sheetData>
    <row r="1">
      <c r="B1" s="1252" t="inlineStr">
        <is>
          <t>RESOURCE DIRECTORY — every curated source in one filterable table</t>
        </is>
      </c>
    </row>
    <row r="2">
      <c r="B2" s="1158"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c r="B4" s="1251" t="inlineStr">
        <is>
          <t>Jurisdiction / Agency</t>
        </is>
      </c>
      <c r="C4" s="1251" t="inlineStr">
        <is>
          <t>Category</t>
        </is>
      </c>
      <c r="D4" s="1251" t="inlineStr">
        <is>
          <t>Resource</t>
        </is>
      </c>
      <c r="E4" s="1251" t="inlineStr">
        <is>
          <t>What It Provides</t>
        </is>
      </c>
      <c r="F4" s="1251" t="inlineStr">
        <is>
          <t>Best Use / Why It Matters</t>
        </is>
      </c>
      <c r="G4" s="1251" t="inlineStr">
        <is>
          <t>Link</t>
        </is>
      </c>
      <c r="H4" s="1251" t="inlineStr">
        <is>
          <t>Priority</t>
        </is>
      </c>
    </row>
    <row r="5">
      <c r="B5" s="1259" t="inlineStr">
        <is>
          <t>Adams County</t>
        </is>
      </c>
      <c r="C5" s="1259" t="inlineStr">
        <is>
          <t>Jurisdictions</t>
        </is>
      </c>
      <c r="D5" s="1259" t="inlineStr">
        <is>
          <t>Cities &amp; Towns in Adams County</t>
        </is>
      </c>
      <c r="E5" s="1260" t="inlineStr">
        <is>
          <t>Official county list of municipalities with territory in Adams County and named unincorporated communities.</t>
        </is>
      </c>
      <c r="F5" s="1260" t="inlineStr">
        <is>
          <t>Confirm which municipal websites belong in the search set.</t>
        </is>
      </c>
      <c r="G5" s="1256" t="inlineStr">
        <is>
          <t>https://adamscountyco.gov/about-adams-county/cities-towns/</t>
        </is>
      </c>
      <c r="H5" s="1259" t="inlineStr">
        <is>
          <t>Critical</t>
        </is>
      </c>
    </row>
    <row r="6">
      <c r="B6" s="1259" t="inlineStr">
        <is>
          <t>Adams County</t>
        </is>
      </c>
      <c r="C6" s="1259" t="inlineStr">
        <is>
          <t>Property Search</t>
        </is>
      </c>
      <c r="D6" s="1259" t="inlineStr">
        <is>
          <t>Search Real Property</t>
        </is>
      </c>
      <c r="E6" s="1260" t="inlineStr">
        <is>
          <t>County assessor entry page for parcel, owner, address, account and assessment research.</t>
        </is>
      </c>
      <c r="F6" s="1260" t="inlineStr">
        <is>
          <t>Start every Adams County property investigation and obtain the parcel/account number.</t>
        </is>
      </c>
      <c r="G6" s="1256" t="inlineStr">
        <is>
          <t>https://adamscountyco.gov/service/search-real-property/</t>
        </is>
      </c>
      <c r="H6" s="1259" t="inlineStr">
        <is>
          <t>Critical</t>
        </is>
      </c>
    </row>
    <row r="7">
      <c r="B7" s="1259" t="inlineStr">
        <is>
          <t>Adams County</t>
        </is>
      </c>
      <c r="C7" s="1259" t="inlineStr">
        <is>
          <t>Property Search</t>
        </is>
      </c>
      <c r="D7" s="1259" t="inlineStr">
        <is>
          <t>Assessor Quick Search</t>
        </is>
      </c>
      <c r="E7" s="1260" t="inlineStr">
        <is>
          <t>Direct assessor/GIS parcel lookup.</t>
        </is>
      </c>
      <c r="F7" s="1260" t="inlineStr">
        <is>
          <t>Search by owner, address, parcel or account number and view assessment attributes.</t>
        </is>
      </c>
      <c r="G7" s="1256" t="inlineStr">
        <is>
          <t>https://gisapp.adcogov.org/quicksearch/</t>
        </is>
      </c>
      <c r="H7" s="1259" t="inlineStr">
        <is>
          <t>Critical</t>
        </is>
      </c>
    </row>
    <row r="8">
      <c r="B8" s="1259" t="inlineStr">
        <is>
          <t>Adams County</t>
        </is>
      </c>
      <c r="C8" s="1259" t="inlineStr">
        <is>
          <t>Assessor</t>
        </is>
      </c>
      <c r="D8" s="1259" t="inlineStr">
        <is>
          <t>Assessor Office</t>
        </is>
      </c>
      <c r="E8" s="1260" t="inlineStr">
        <is>
          <t>Assessment, valuation, exemptions, appeals and ownership record guidance.</t>
        </is>
      </c>
      <c r="F8" s="1260" t="inlineStr">
        <is>
          <t>Resolve valuation or ownership questions and locate appeal information.</t>
        </is>
      </c>
      <c r="G8" s="1256" t="inlineStr">
        <is>
          <t>https://adamscountyco.gov/our-county/elected-officials/assessor/</t>
        </is>
      </c>
      <c r="H8" s="1259" t="inlineStr">
        <is>
          <t>High</t>
        </is>
      </c>
    </row>
    <row r="9">
      <c r="B9" s="1259" t="inlineStr">
        <is>
          <t>Adams County</t>
        </is>
      </c>
      <c r="C9" s="1259" t="inlineStr">
        <is>
          <t>GIS / Data</t>
        </is>
      </c>
      <c r="D9" s="1259" t="inlineStr">
        <is>
          <t>Assessor Maps &amp; Data</t>
        </is>
      </c>
      <c r="E9" s="1260" t="inlineStr">
        <is>
          <t>Assessor mapping and downloadable property-related data resources.</t>
        </is>
      </c>
      <c r="F9" s="1260" t="inlineStr">
        <is>
          <t>Cross-check parcel geometry, neighborhood and assessment map data.</t>
        </is>
      </c>
      <c r="G9" s="1256" t="inlineStr">
        <is>
          <t>https://adamscountyco.gov/our-county/elected-officials/assessor/maps-data/</t>
        </is>
      </c>
      <c r="H9" s="1259" t="inlineStr">
        <is>
          <t>High</t>
        </is>
      </c>
    </row>
    <row r="10">
      <c r="B10" s="1259" t="inlineStr">
        <is>
          <t>Adams County</t>
        </is>
      </c>
      <c r="C10" s="1259" t="inlineStr">
        <is>
          <t>GIS / Data</t>
        </is>
      </c>
      <c r="D10" s="1259" t="inlineStr">
        <is>
          <t>GIS Interactive Maps</t>
        </is>
      </c>
      <c r="E10" s="1260" t="inlineStr">
        <is>
          <t>County interactive mapping applications.</t>
        </is>
      </c>
      <c r="F10" s="1260" t="inlineStr">
        <is>
          <t>Screen parcels, boundaries, services, hazards and other mapped county data.</t>
        </is>
      </c>
      <c r="G10" s="1256" t="inlineStr">
        <is>
          <t>https://adamscountyco.gov/service/gis-interactive-maps/</t>
        </is>
      </c>
      <c r="H10" s="1259" t="inlineStr">
        <is>
          <t>Critical</t>
        </is>
      </c>
    </row>
    <row r="11">
      <c r="B11" s="1259" t="inlineStr">
        <is>
          <t>Adams County</t>
        </is>
      </c>
      <c r="C11" s="1259" t="inlineStr">
        <is>
          <t>GIS / Data</t>
        </is>
      </c>
      <c r="D11" s="1259" t="inlineStr">
        <is>
          <t>Geographic Information Systems</t>
        </is>
      </c>
      <c r="E11" s="1260" t="inlineStr">
        <is>
          <t>County GIS program overview and limitations.</t>
        </is>
      </c>
      <c r="F11" s="1260" t="inlineStr">
        <is>
          <t>Understand map sources and remember that GIS parcel lines are not a legal survey.</t>
        </is>
      </c>
      <c r="G11" s="1256" t="inlineStr">
        <is>
          <t>https://adamscountyco.gov/our-county/information-technology-innovation/geographic-information-systems/</t>
        </is>
      </c>
      <c r="H11" s="1259" t="inlineStr">
        <is>
          <t>High</t>
        </is>
      </c>
    </row>
    <row r="12">
      <c r="B12" s="1259" t="inlineStr">
        <is>
          <t>Adams County</t>
        </is>
      </c>
      <c r="C12" s="1259" t="inlineStr">
        <is>
          <t>Recorded Documents</t>
        </is>
      </c>
      <c r="D12" s="1259" t="inlineStr">
        <is>
          <t>Find Public Records / Recorded Documents</t>
        </is>
      </c>
      <c r="E12" s="1260" t="inlineStr">
        <is>
          <t>Guide to recorded real estate documents, search methods and copies.</t>
        </is>
      </c>
      <c r="F12" s="1260" t="inlineStr">
        <is>
          <t>Learn how to search deeds, deeds of trust, releases, easements, liens, plats and related filings.</t>
        </is>
      </c>
      <c r="G12" s="1256" t="inlineStr">
        <is>
          <t>https://adamscountyco.gov/service/find-public-records-recorded-documents/</t>
        </is>
      </c>
      <c r="H12" s="1259" t="inlineStr">
        <is>
          <t>Critical</t>
        </is>
      </c>
    </row>
    <row r="13">
      <c r="B13" s="1259" t="inlineStr">
        <is>
          <t>Adams County</t>
        </is>
      </c>
      <c r="C13" s="1259" t="inlineStr">
        <is>
          <t>Recorded Documents</t>
        </is>
      </c>
      <c r="D13" s="1259" t="inlineStr">
        <is>
          <t>Landmark Web Recording Search</t>
        </is>
      </c>
      <c r="E13" s="1260" t="inlineStr">
        <is>
          <t>Direct public index for recorded documents.</t>
        </is>
      </c>
      <c r="F13" s="1260" t="inlineStr">
        <is>
          <t>Search the grantor/grantee index, legal description references and document numbers.</t>
        </is>
      </c>
      <c r="G13" s="1256" t="inlineStr">
        <is>
          <t>https://recording.adamscountyco.gov/landmarkweb/</t>
        </is>
      </c>
      <c r="H13" s="1259" t="inlineStr">
        <is>
          <t>Critical</t>
        </is>
      </c>
    </row>
    <row r="14">
      <c r="B14" s="1259" t="inlineStr">
        <is>
          <t>Adams County</t>
        </is>
      </c>
      <c r="C14" s="1259" t="inlineStr">
        <is>
          <t>Recorded Documents</t>
        </is>
      </c>
      <c r="D14" s="1259" t="inlineStr">
        <is>
          <t>Recording Division</t>
        </is>
      </c>
      <c r="E14" s="1260" t="inlineStr">
        <is>
          <t>Recorder services, fees, document standards and contact information.</t>
        </is>
      </c>
      <c r="F14" s="1260" t="inlineStr">
        <is>
          <t>Order copies or resolve questions about recorded instruments.</t>
        </is>
      </c>
      <c r="G14" s="1256" t="inlineStr">
        <is>
          <t>https://adamscountyco.gov/our-county/elected-officials/clerk-recorder/recording/</t>
        </is>
      </c>
      <c r="H14" s="1259" t="inlineStr">
        <is>
          <t>High</t>
        </is>
      </c>
    </row>
    <row r="15">
      <c r="B15" s="1259" t="inlineStr">
        <is>
          <t>Adams County</t>
        </is>
      </c>
      <c r="C15" s="1259" t="inlineStr">
        <is>
          <t>Survey / Plat</t>
        </is>
      </c>
      <c r="D15" s="1259" t="inlineStr">
        <is>
          <t>Land Survey Plats</t>
        </is>
      </c>
      <c r="E15" s="1260" t="inlineStr">
        <is>
          <t>Recorded survey plat resources and filing information.</t>
        </is>
      </c>
      <c r="F15" s="1260" t="inlineStr">
        <is>
          <t>Research recorded surveys and surveyor filings; still obtain a current survey when required.</t>
        </is>
      </c>
      <c r="G15" s="1256" t="inlineStr">
        <is>
          <t>https://adamscountyco.gov/our-county/elected-officials/clerk-recorder/recording/land-survey-plats/</t>
        </is>
      </c>
      <c r="H15" s="1259" t="inlineStr">
        <is>
          <t>High</t>
        </is>
      </c>
    </row>
    <row r="16">
      <c r="B16" s="1259" t="inlineStr">
        <is>
          <t>Adams County</t>
        </is>
      </c>
      <c r="C16" s="1259" t="inlineStr">
        <is>
          <t>Public Postings</t>
        </is>
      </c>
      <c r="D16" s="1259" t="inlineStr">
        <is>
          <t>Public Document Postings</t>
        </is>
      </c>
      <c r="E16" s="1260" t="inlineStr">
        <is>
          <t>Publicly posted documents maintained through the recording division.</t>
        </is>
      </c>
      <c r="F16" s="1260" t="inlineStr">
        <is>
          <t>Check statutory postings and other public documents relevant to a parcel or entity.</t>
        </is>
      </c>
      <c r="G16" s="1256" t="inlineStr">
        <is>
          <t>https://adamscountyco.gov/our-county/elected-officials/clerk-recorder/recording/public-document-postings/</t>
        </is>
      </c>
      <c r="H16" s="1259" t="inlineStr">
        <is>
          <t>Useful</t>
        </is>
      </c>
    </row>
    <row r="17">
      <c r="B17" s="1259" t="inlineStr">
        <is>
          <t>Adams County</t>
        </is>
      </c>
      <c r="C17" s="1259" t="inlineStr">
        <is>
          <t>Property Tax</t>
        </is>
      </c>
      <c r="D17" s="1259" t="inlineStr">
        <is>
          <t>Adams County Tax Portal</t>
        </is>
      </c>
      <c r="E17" s="1260" t="inlineStr">
        <is>
          <t>Direct tax account search and payment portal.</t>
        </is>
      </c>
      <c r="F17" s="1260" t="inlineStr">
        <is>
          <t>Verify current taxes, balances, tax history and payment status.</t>
        </is>
      </c>
      <c r="G17" s="1256" t="inlineStr">
        <is>
          <t>https://adcotax.com/</t>
        </is>
      </c>
      <c r="H17" s="1259" t="inlineStr">
        <is>
          <t>Critical</t>
        </is>
      </c>
    </row>
    <row r="18">
      <c r="B18" s="1259" t="inlineStr">
        <is>
          <t>Adams County</t>
        </is>
      </c>
      <c r="C18" s="1259" t="inlineStr">
        <is>
          <t>Property Tax</t>
        </is>
      </c>
      <c r="D18" s="1259" t="inlineStr">
        <is>
          <t>Treasurer Division</t>
        </is>
      </c>
      <c r="E18" s="1260" t="inlineStr">
        <is>
          <t>Treasurer services and property-tax administration information.</t>
        </is>
      </c>
      <c r="F18" s="1260" t="inlineStr">
        <is>
          <t>Resolve tax bills, payment questions and certificates.</t>
        </is>
      </c>
      <c r="G18" s="1256" t="inlineStr">
        <is>
          <t>https://adamscountyco.gov/our-county/elected-officials/treasurer-public-trustee/treasurer-division/</t>
        </is>
      </c>
      <c r="H18" s="1259" t="inlineStr">
        <is>
          <t>High</t>
        </is>
      </c>
    </row>
    <row r="19">
      <c r="B19" s="1259" t="inlineStr">
        <is>
          <t>Adams County</t>
        </is>
      </c>
      <c r="C19" s="1259" t="inlineStr">
        <is>
          <t>Property Tax</t>
        </is>
      </c>
      <c r="D19" s="1259" t="inlineStr">
        <is>
          <t>Property Tax Information</t>
        </is>
      </c>
      <c r="E19" s="1260" t="inlineStr">
        <is>
          <t>Property tax timelines, payment methods and frequently used tax information.</t>
        </is>
      </c>
      <c r="F19" s="1260" t="inlineStr">
        <is>
          <t>Understand due dates, delinquency and tax account procedures.</t>
        </is>
      </c>
      <c r="G19" s="1256" t="inlineStr">
        <is>
          <t>https://adamscountyco.gov/our-county/elected-officials/treasurer-public-trustee/treasurer-division/property-tax-information/</t>
        </is>
      </c>
      <c r="H19" s="1259" t="inlineStr">
        <is>
          <t>High</t>
        </is>
      </c>
    </row>
    <row r="20">
      <c r="B20" s="1259" t="inlineStr">
        <is>
          <t>Adams County</t>
        </is>
      </c>
      <c r="C20" s="1259" t="inlineStr">
        <is>
          <t>Tax Lien</t>
        </is>
      </c>
      <c r="D20" s="1259" t="inlineStr">
        <is>
          <t>Tax Lien Sale</t>
        </is>
      </c>
      <c r="E20" s="1260" t="inlineStr">
        <is>
          <t>County tax lien sale process and related information.</t>
        </is>
      </c>
      <c r="F20" s="1260" t="inlineStr">
        <is>
          <t>Research delinquent tax liens and sale procedures.</t>
        </is>
      </c>
      <c r="G20" s="1256" t="inlineStr">
        <is>
          <t>https://adamscountyco.gov/our-county/elected-officials/treasurer-public-trustee/treasurer-division/tax-lien-sale/</t>
        </is>
      </c>
      <c r="H20" s="1259" t="inlineStr">
        <is>
          <t>High</t>
        </is>
      </c>
    </row>
    <row r="21">
      <c r="B21" s="1259" t="inlineStr">
        <is>
          <t>Adams County</t>
        </is>
      </c>
      <c r="C21" s="1259" t="inlineStr">
        <is>
          <t>Tax Lien</t>
        </is>
      </c>
      <c r="D21" s="1259" t="inlineStr">
        <is>
          <t>Treasurer's Deed</t>
        </is>
      </c>
      <c r="E21" s="1260" t="inlineStr">
        <is>
          <t>Information on the treasurer's deed process after a tax lien.</t>
        </is>
      </c>
      <c r="F21" s="1260" t="inlineStr">
        <is>
          <t>Investigate tax-deed procedures and required notices.</t>
        </is>
      </c>
      <c r="G21" s="1256" t="inlineStr">
        <is>
          <t>https://adamscountyco.gov/our-county/elected-officials/treasurer-public-trustee/treasurer-division/tax-lien-sale/treasurers-deed/</t>
        </is>
      </c>
      <c r="H21" s="1259" t="inlineStr">
        <is>
          <t>High</t>
        </is>
      </c>
    </row>
    <row r="22">
      <c r="B22" s="1259" t="inlineStr">
        <is>
          <t>Adams County</t>
        </is>
      </c>
      <c r="C22" s="1259" t="inlineStr">
        <is>
          <t>Foreclosure</t>
        </is>
      </c>
      <c r="D22" s="1259" t="inlineStr">
        <is>
          <t>Public Trustee Division</t>
        </is>
      </c>
      <c r="E22" s="1260" t="inlineStr">
        <is>
          <t>County public trustee functions for deeds of trust and foreclosure administration.</t>
        </is>
      </c>
      <c r="F22" s="1260" t="inlineStr">
        <is>
          <t>Understand foreclosure, releases and public trustee procedures.</t>
        </is>
      </c>
      <c r="G22" s="1256" t="inlineStr">
        <is>
          <t>https://adamscountyco.gov/our-county/elected-officials/treasurer-public-trustee/public-trustee-division/</t>
        </is>
      </c>
      <c r="H22" s="1259" t="inlineStr">
        <is>
          <t>High</t>
        </is>
      </c>
    </row>
    <row r="23">
      <c r="B23" s="1259" t="inlineStr">
        <is>
          <t>Adams County</t>
        </is>
      </c>
      <c r="C23" s="1259" t="inlineStr">
        <is>
          <t>Foreclosure</t>
        </is>
      </c>
      <c r="D23" s="1259" t="inlineStr">
        <is>
          <t>Foreclosure Search</t>
        </is>
      </c>
      <c r="E23" s="1260" t="inlineStr">
        <is>
          <t>Direct search of Adams County public trustee foreclosure records.</t>
        </is>
      </c>
      <c r="F23" s="1260" t="inlineStr">
        <is>
          <t>Check pending and historical foreclosure activity associated with a borrower or property.</t>
        </is>
      </c>
      <c r="G23" s="1256" t="inlineStr">
        <is>
          <t>https://apps.adcogov.org/PTForeclosureSearch/?ds=1</t>
        </is>
      </c>
      <c r="H23" s="1259" t="inlineStr">
        <is>
          <t>Critical</t>
        </is>
      </c>
    </row>
    <row r="24">
      <c r="B24" s="1259" t="inlineStr">
        <is>
          <t>Adams County</t>
        </is>
      </c>
      <c r="C24" s="1259" t="inlineStr">
        <is>
          <t>Foreclosure</t>
        </is>
      </c>
      <c r="D24" s="1259" t="inlineStr">
        <is>
          <t>Foreclosure Reports</t>
        </is>
      </c>
      <c r="E24" s="1260" t="inlineStr">
        <is>
          <t>Public trustee foreclosure reports.</t>
        </is>
      </c>
      <c r="F24" s="1260" t="inlineStr">
        <is>
          <t>Monitor foreclosure filings and sale-related reports.</t>
        </is>
      </c>
      <c r="G24" s="1256" t="inlineStr">
        <is>
          <t>https://apps.adcogov.org/PTForeclosureSearch/reports</t>
        </is>
      </c>
      <c r="H24" s="1259" t="inlineStr">
        <is>
          <t>High</t>
        </is>
      </c>
    </row>
    <row r="25">
      <c r="B25" s="1259" t="inlineStr">
        <is>
          <t>Adams County</t>
        </is>
      </c>
      <c r="C25" s="1259" t="inlineStr">
        <is>
          <t>Planning / Zoning</t>
        </is>
      </c>
      <c r="D25" s="1259" t="inlineStr">
        <is>
          <t>Planning &amp; Development</t>
        </is>
      </c>
      <c r="E25" s="1260" t="inlineStr">
        <is>
          <t>County planning, zoning and development review for unincorporated Adams County.</t>
        </is>
      </c>
      <c r="F25" s="1260" t="inlineStr">
        <is>
          <t>Use only for unincorporated parcels; incorporated parcels are governed by their city or town.</t>
        </is>
      </c>
      <c r="G25" s="1256" t="inlineStr">
        <is>
          <t>https://adamscountyco.gov/our-county/community-economic-development/planning-development/</t>
        </is>
      </c>
      <c r="H25" s="1259" t="inlineStr">
        <is>
          <t>Critical</t>
        </is>
      </c>
    </row>
    <row r="26">
      <c r="B26" s="1259" t="inlineStr">
        <is>
          <t>Adams County</t>
        </is>
      </c>
      <c r="C26" s="1259" t="inlineStr">
        <is>
          <t>Planning / Zoning</t>
        </is>
      </c>
      <c r="D26" s="1259" t="inlineStr">
        <is>
          <t>Development Standards &amp; Regulations</t>
        </is>
      </c>
      <c r="E26" s="1260" t="inlineStr">
        <is>
          <t>Current county land-use and development regulations.</t>
        </is>
      </c>
      <c r="F26" s="1260" t="inlineStr">
        <is>
          <t>Research zone districts, allowed uses, overlays, subdivisions and application standards in unincorporated areas.</t>
        </is>
      </c>
      <c r="G26" s="1256" t="inlineStr">
        <is>
          <t>https://adamscountyco.gov/our-county/community-economic-development/planning-development/development-standards-regulations/</t>
        </is>
      </c>
      <c r="H26" s="1259" t="inlineStr">
        <is>
          <t>Critical</t>
        </is>
      </c>
    </row>
    <row r="27">
      <c r="B27" s="1259" t="inlineStr">
        <is>
          <t>Adams County</t>
        </is>
      </c>
      <c r="C27" s="1259" t="inlineStr">
        <is>
          <t>Planning / Zoning</t>
        </is>
      </c>
      <c r="D27" s="1259" t="inlineStr">
        <is>
          <t>Current Land Use Cases</t>
        </is>
      </c>
      <c r="E27" s="1260" t="inlineStr">
        <is>
          <t>Scheduled land-use cases, public hearings and recent decisions.</t>
        </is>
      </c>
      <c r="F27" s="1260" t="inlineStr">
        <is>
          <t>Identify rezonings, conditional uses, plats, variances and nearby proposals before final approval.</t>
        </is>
      </c>
      <c r="G27" s="1256" t="inlineStr">
        <is>
          <t>https://adamscountyco.gov/our-county/community-economic-development/planning-development/current-land-use-cases/</t>
        </is>
      </c>
      <c r="H27" s="1259" t="inlineStr">
        <is>
          <t>Critical</t>
        </is>
      </c>
    </row>
    <row r="28">
      <c r="B28" s="1259" t="inlineStr">
        <is>
          <t>Adams County</t>
        </is>
      </c>
      <c r="C28" s="1259" t="inlineStr">
        <is>
          <t>Long-Range Planning</t>
        </is>
      </c>
      <c r="D28" s="1259" t="inlineStr">
        <is>
          <t>Advancing Adams Comprehensive Plan</t>
        </is>
      </c>
      <c r="E28" s="1260" t="inlineStr">
        <is>
          <t>Countywide policy plan and future land-use maps for unincorporated Adams County.</t>
        </is>
      </c>
      <c r="F28" s="1260" t="inlineStr">
        <is>
          <t>Evaluate future land-use direction, policy context and long-range growth patterns.</t>
        </is>
      </c>
      <c r="G28" s="1256" t="inlineStr">
        <is>
          <t>https://adamscountyco.gov/our-county/community-economic-development/advancing-adams/comprehensive-plan/</t>
        </is>
      </c>
      <c r="H28" s="1259" t="inlineStr">
        <is>
          <t>High</t>
        </is>
      </c>
    </row>
    <row r="29">
      <c r="B29" s="1259" t="inlineStr">
        <is>
          <t>Adams County</t>
        </is>
      </c>
      <c r="C29" s="1259" t="inlineStr">
        <is>
          <t>Long-Range Planning</t>
        </is>
      </c>
      <c r="D29" s="1259" t="inlineStr">
        <is>
          <t>Long Range Planning</t>
        </is>
      </c>
      <c r="E29" s="1260" t="inlineStr">
        <is>
          <t>Adopted plans and ongoing long-range planning work.</t>
        </is>
      </c>
      <c r="F29" s="1260" t="inlineStr">
        <is>
          <t>Find subarea, transportation and other adopted planning documents.</t>
        </is>
      </c>
      <c r="G29" s="1256" t="inlineStr">
        <is>
          <t>https://adamscountyco.gov/our-county/community-economic-development/planning-development/long-range-planning/</t>
        </is>
      </c>
      <c r="H29" s="1259" t="inlineStr">
        <is>
          <t>High</t>
        </is>
      </c>
    </row>
    <row r="30">
      <c r="B30" s="1259" t="inlineStr">
        <is>
          <t>Adams County</t>
        </is>
      </c>
      <c r="C30" s="1259" t="inlineStr">
        <is>
          <t>Permits</t>
        </is>
      </c>
      <c r="D30" s="1259" t="inlineStr">
        <is>
          <t>Permits &amp; Licensing</t>
        </is>
      </c>
      <c r="E30" s="1260" t="inlineStr">
        <is>
          <t>County permit, license and Eye on Adams resources for unincorporated property.</t>
        </is>
      </c>
      <c r="F30" s="1260" t="inlineStr">
        <is>
          <t>Find permit tools, licensing information and code-related records.</t>
        </is>
      </c>
      <c r="G30" s="1256" t="inlineStr">
        <is>
          <t>https://adamscountyco.gov/our-county/community-economic-development/permits-licensing/</t>
        </is>
      </c>
      <c r="H30" s="1259" t="inlineStr">
        <is>
          <t>Critical</t>
        </is>
      </c>
    </row>
    <row r="31">
      <c r="B31" s="1259" t="inlineStr">
        <is>
          <t>Adams County</t>
        </is>
      </c>
      <c r="C31" s="1259" t="inlineStr">
        <is>
          <t>Permits</t>
        </is>
      </c>
      <c r="D31" s="1259" t="inlineStr">
        <is>
          <t>Building Permit</t>
        </is>
      </c>
      <c r="E31" s="1260" t="inlineStr">
        <is>
          <t>Building-permit application, review, payment and permit-tracking guidance.</t>
        </is>
      </c>
      <c r="F31" s="1260" t="inlineStr">
        <is>
          <t>Research or apply for building permits in unincorporated Adams County.</t>
        </is>
      </c>
      <c r="G31" s="1256" t="inlineStr">
        <is>
          <t>https://adamscountyco.gov/our-county/community-economic-development/building-safety/building-permit/</t>
        </is>
      </c>
      <c r="H31" s="1259" t="inlineStr">
        <is>
          <t>Critical</t>
        </is>
      </c>
    </row>
    <row r="32">
      <c r="B32" s="1259" t="inlineStr">
        <is>
          <t>Adams County</t>
        </is>
      </c>
      <c r="C32" s="1259" t="inlineStr">
        <is>
          <t>Permits</t>
        </is>
      </c>
      <c r="D32" s="1259" t="inlineStr">
        <is>
          <t>Apply for a Building Permit</t>
        </is>
      </c>
      <c r="E32" s="1260" t="inlineStr">
        <is>
          <t>Service guide to the building-permit process and required resources.</t>
        </is>
      </c>
      <c r="F32" s="1260" t="inlineStr">
        <is>
          <t>Use as a concise application starting point.</t>
        </is>
      </c>
      <c r="G32" s="1256" t="inlineStr">
        <is>
          <t>https://adamscountyco.gov/service/apply-for-a-building-permit/</t>
        </is>
      </c>
      <c r="H32" s="1259" t="inlineStr">
        <is>
          <t>High</t>
        </is>
      </c>
    </row>
    <row r="33">
      <c r="B33" s="1259" t="inlineStr">
        <is>
          <t>Adams County</t>
        </is>
      </c>
      <c r="C33" s="1259" t="inlineStr">
        <is>
          <t>Permits</t>
        </is>
      </c>
      <c r="D33" s="1259" t="inlineStr">
        <is>
          <t>Permit Fees &amp; Contractor Registration</t>
        </is>
      </c>
      <c r="E33" s="1260" t="inlineStr">
        <is>
          <t>Permit fee and contractor licensing information.</t>
        </is>
      </c>
      <c r="F33" s="1260" t="inlineStr">
        <is>
          <t>Estimate administrative requirements and verify contractor registration procedures.</t>
        </is>
      </c>
      <c r="G33" s="1256" t="inlineStr">
        <is>
          <t>https://adamscountyco.gov/our-county/community-economic-development/building-safety/permit-fees-contractor-registration/</t>
        </is>
      </c>
      <c r="H33" s="1259" t="inlineStr">
        <is>
          <t>Useful</t>
        </is>
      </c>
    </row>
    <row r="34">
      <c r="B34" s="1259" t="inlineStr">
        <is>
          <t>Adams County</t>
        </is>
      </c>
      <c r="C34" s="1259" t="inlineStr">
        <is>
          <t>Permits</t>
        </is>
      </c>
      <c r="D34" s="1259" t="inlineStr">
        <is>
          <t>Submittal Checklists</t>
        </is>
      </c>
      <c r="E34" s="1260" t="inlineStr">
        <is>
          <t>Checklists for development and building submittals.</t>
        </is>
      </c>
      <c r="F34" s="1260" t="inlineStr">
        <is>
          <t>Confirm required documents before filing an application.</t>
        </is>
      </c>
      <c r="G34" s="1256" t="inlineStr">
        <is>
          <t>https://adamscountyco.gov/our-county/community-economic-development/submittal-checklists/</t>
        </is>
      </c>
      <c r="H34" s="1259" t="inlineStr">
        <is>
          <t>High</t>
        </is>
      </c>
    </row>
    <row r="35">
      <c r="B35" s="1259" t="inlineStr">
        <is>
          <t>Adams County</t>
        </is>
      </c>
      <c r="C35" s="1259" t="inlineStr">
        <is>
          <t>Codes</t>
        </is>
      </c>
      <c r="D35" s="1259" t="inlineStr">
        <is>
          <t>Codes &amp; Information</t>
        </is>
      </c>
      <c r="E35" s="1260" t="inlineStr">
        <is>
          <t>Building codes, development regulations and related compliance resources.</t>
        </is>
      </c>
      <c r="F35" s="1260" t="inlineStr">
        <is>
          <t>Verify current construction and land-use standards before design or acquisition.</t>
        </is>
      </c>
      <c r="G35" s="1256" t="inlineStr">
        <is>
          <t>https://adamscountyco.gov/our-county/community-economic-development/permits-licensing/codes-information/</t>
        </is>
      </c>
      <c r="H35" s="1259" t="inlineStr">
        <is>
          <t>High</t>
        </is>
      </c>
    </row>
    <row r="36">
      <c r="B36" s="1259" t="inlineStr">
        <is>
          <t>Adams County</t>
        </is>
      </c>
      <c r="C36" s="1259" t="inlineStr">
        <is>
          <t>Online Tools</t>
        </is>
      </c>
      <c r="D36" s="1259" t="inlineStr">
        <is>
          <t>Community &amp; Economic Development Online Resources</t>
        </is>
      </c>
      <c r="E36" s="1260" t="inlineStr">
        <is>
          <t>Online research and application resources for planning, building and permits.</t>
        </is>
      </c>
      <c r="F36" s="1260" t="inlineStr">
        <is>
          <t>Use as a consolidated starting point for development services.</t>
        </is>
      </c>
      <c r="G36" s="1256" t="inlineStr">
        <is>
          <t>https://adamscountyco.gov/our-county/community-economic-development/online-resources/</t>
        </is>
      </c>
      <c r="H36" s="1259" t="inlineStr">
        <is>
          <t>Useful</t>
        </is>
      </c>
    </row>
    <row r="37">
      <c r="B37" s="1259" t="inlineStr">
        <is>
          <t>Adams County</t>
        </is>
      </c>
      <c r="C37" s="1259" t="inlineStr">
        <is>
          <t>Road / Access</t>
        </is>
      </c>
      <c r="D37" s="1259" t="inlineStr">
        <is>
          <t>Public Works</t>
        </is>
      </c>
      <c r="E37" s="1260" t="inlineStr">
        <is>
          <t>County roads, right-of-way, access, stormwater and infrastructure permit information.</t>
        </is>
      </c>
      <c r="F37" s="1260" t="inlineStr">
        <is>
          <t>Check county road jurisdiction, access permits and public works projects.</t>
        </is>
      </c>
      <c r="G37" s="1256" t="inlineStr">
        <is>
          <t>https://adamscountyco.gov/our-county/public-works/</t>
        </is>
      </c>
      <c r="H37" s="1259" t="inlineStr">
        <is>
          <t>High</t>
        </is>
      </c>
    </row>
    <row r="38">
      <c r="B38" s="1259" t="inlineStr">
        <is>
          <t>Adams County</t>
        </is>
      </c>
      <c r="C38" s="1259" t="inlineStr">
        <is>
          <t>Meetings</t>
        </is>
      </c>
      <c r="D38" s="1259" t="inlineStr">
        <is>
          <t>Public Meetings</t>
        </is>
      </c>
      <c r="E38" s="1260" t="inlineStr">
        <is>
          <t>County boards, commissions, hearings and public participation links.</t>
        </is>
      </c>
      <c r="F38" s="1260" t="inlineStr">
        <is>
          <t>Monitor decisions and public-comment opportunities.</t>
        </is>
      </c>
      <c r="G38" s="1256" t="inlineStr">
        <is>
          <t>https://adamscountyco.gov/about-adams-county/public-meetings/</t>
        </is>
      </c>
      <c r="H38" s="1259" t="inlineStr">
        <is>
          <t>High</t>
        </is>
      </c>
    </row>
    <row r="39">
      <c r="B39" s="1259" t="inlineStr">
        <is>
          <t>Adams County</t>
        </is>
      </c>
      <c r="C39" s="1259" t="inlineStr">
        <is>
          <t>Meetings</t>
        </is>
      </c>
      <c r="D39" s="1259" t="inlineStr">
        <is>
          <t>Current Meeting Agendas &amp; Archives</t>
        </is>
      </c>
      <c r="E39" s="1260" t="inlineStr">
        <is>
          <t>Board of County Commissioners agendas, minutes, audio and public hearing information.</t>
        </is>
      </c>
      <c r="F39" s="1260" t="inlineStr">
        <is>
          <t>Track pending and completed county actions.</t>
        </is>
      </c>
      <c r="G39" s="1256" t="inlineStr">
        <is>
          <t>https://adamscountyco.gov/our-county/elected-officials/board-of-county-commissioners/current-meeting-agendas-archives/</t>
        </is>
      </c>
      <c r="H39" s="1259" t="inlineStr">
        <is>
          <t>High</t>
        </is>
      </c>
    </row>
    <row r="40">
      <c r="B40" s="1259" t="inlineStr">
        <is>
          <t>Adams County</t>
        </is>
      </c>
      <c r="C40" s="1259" t="inlineStr">
        <is>
          <t>News</t>
        </is>
      </c>
      <c r="D40" s="1259" t="inlineStr">
        <is>
          <t>Adams County News</t>
        </is>
      </c>
      <c r="E40" s="1260" t="inlineStr">
        <is>
          <t>Official county news and announcements.</t>
        </is>
      </c>
      <c r="F40" s="1260" t="inlineStr">
        <is>
          <t>Monitor code updates, projects, hearings, public programs and policy changes.</t>
        </is>
      </c>
      <c r="G40" s="1256" t="inlineStr">
        <is>
          <t>https://adamscountyco.gov/about-adams-county/news/</t>
        </is>
      </c>
      <c r="H40" s="1259" t="inlineStr">
        <is>
          <t>High</t>
        </is>
      </c>
    </row>
    <row r="41">
      <c r="B41" s="1259" t="inlineStr">
        <is>
          <t>Adams County</t>
        </is>
      </c>
      <c r="C41" s="1259" t="inlineStr">
        <is>
          <t>News</t>
        </is>
      </c>
      <c r="D41" s="1259" t="inlineStr">
        <is>
          <t>Planning &amp; Development News &amp; Updates</t>
        </is>
      </c>
      <c r="E41" s="1260" t="inlineStr">
        <is>
          <t>Updates from the county planning and development division.</t>
        </is>
      </c>
      <c r="F41" s="1260" t="inlineStr">
        <is>
          <t>Watch for development-regulation changes and planning initiatives.</t>
        </is>
      </c>
      <c r="G41" s="1256" t="inlineStr">
        <is>
          <t>https://adamscountyco.gov/our-county/community-economic-development/planning-development/news-updates/</t>
        </is>
      </c>
      <c r="H41" s="1259" t="inlineStr">
        <is>
          <t>High</t>
        </is>
      </c>
    </row>
    <row r="42">
      <c r="B42" s="1259" t="inlineStr">
        <is>
          <t>Arvada</t>
        </is>
      </c>
      <c r="C42" s="1259" t="inlineStr">
        <is>
          <t>Official Website</t>
        </is>
      </c>
      <c r="D42" s="1259" t="inlineStr">
        <is>
          <t>City of Arvada</t>
        </is>
      </c>
      <c r="E42" s="1260" t="inlineStr">
        <is>
          <t>Main city website and departmental navigation.</t>
        </is>
      </c>
      <c r="F42" s="1260" t="inlineStr">
        <is>
          <t>Verify current city contacts and services.</t>
        </is>
      </c>
      <c r="G42" s="1256" t="inlineStr">
        <is>
          <t>https://www.arvadaco.gov/</t>
        </is>
      </c>
      <c r="H42" s="1259" t="inlineStr">
        <is>
          <t>Reference</t>
        </is>
      </c>
    </row>
    <row r="43">
      <c r="B43" s="1259" t="inlineStr">
        <is>
          <t>Arvada</t>
        </is>
      </c>
      <c r="C43" s="1259" t="inlineStr">
        <is>
          <t>GIS / Property</t>
        </is>
      </c>
      <c r="D43" s="1259" t="inlineStr">
        <is>
          <t>Maps and Property Search</t>
        </is>
      </c>
      <c r="E43" s="1260" t="inlineStr">
        <is>
          <t>City maps and parcel/property research links.</t>
        </is>
      </c>
      <c r="F43" s="1260" t="inlineStr">
        <is>
          <t>Locate parcels, zoning and mapped city information.</t>
        </is>
      </c>
      <c r="G43" s="1256" t="inlineStr">
        <is>
          <t>https://www.arvadaco.gov/702/Maps-and-Property-Search</t>
        </is>
      </c>
      <c r="H43" s="1259" t="inlineStr">
        <is>
          <t>Critical</t>
        </is>
      </c>
    </row>
    <row r="44">
      <c r="B44" s="1259" t="inlineStr">
        <is>
          <t>Arvada</t>
        </is>
      </c>
      <c r="C44" s="1259" t="inlineStr">
        <is>
          <t>Zoning</t>
        </is>
      </c>
      <c r="D44" s="1259" t="inlineStr">
        <is>
          <t>Zoning</t>
        </is>
      </c>
      <c r="E44" s="1260" t="inlineStr">
        <is>
          <t>Zoning districts, regulations and zoning information.</t>
        </is>
      </c>
      <c r="F44" s="1260" t="inlineStr">
        <is>
          <t>Confirm district and permitted-use rules.</t>
        </is>
      </c>
      <c r="G44" s="1256" t="inlineStr">
        <is>
          <t>https://www.arvadaco.gov/168/Zoning</t>
        </is>
      </c>
      <c r="H44" s="1259" t="inlineStr">
        <is>
          <t>Critical</t>
        </is>
      </c>
    </row>
    <row r="45">
      <c r="B45" s="1259" t="inlineStr">
        <is>
          <t>Arvada</t>
        </is>
      </c>
      <c r="C45" s="1259" t="inlineStr">
        <is>
          <t>Planning</t>
        </is>
      </c>
      <c r="D45" s="1259" t="inlineStr">
        <is>
          <t>Planning and Development</t>
        </is>
      </c>
      <c r="E45" s="1260" t="inlineStr">
        <is>
          <t>Planning, land use, development review and long-range resources.</t>
        </is>
      </c>
      <c r="F45" s="1260" t="inlineStr">
        <is>
          <t>Start development or entitlement research.</t>
        </is>
      </c>
      <c r="G45" s="1256" t="inlineStr">
        <is>
          <t>https://www.arvadaco.gov/1369/Planning-and-Development</t>
        </is>
      </c>
      <c r="H45" s="1259" t="inlineStr">
        <is>
          <t>Critical</t>
        </is>
      </c>
    </row>
    <row r="46">
      <c r="B46" s="1259" t="inlineStr">
        <is>
          <t>Arvada</t>
        </is>
      </c>
      <c r="C46" s="1259" t="inlineStr">
        <is>
          <t>Code</t>
        </is>
      </c>
      <c r="D46" s="1259" t="inlineStr">
        <is>
          <t>Land Development Code</t>
        </is>
      </c>
      <c r="E46" s="1260" t="inlineStr">
        <is>
          <t>Current land-development regulations.</t>
        </is>
      </c>
      <c r="F46" s="1260" t="inlineStr">
        <is>
          <t>Review use, dimensional, design and review standards.</t>
        </is>
      </c>
      <c r="G46" s="1256" t="inlineStr">
        <is>
          <t>https://www.arvadaco.gov/1397/Land-Development-Code</t>
        </is>
      </c>
      <c r="H46" s="1259" t="inlineStr">
        <is>
          <t>Critical</t>
        </is>
      </c>
    </row>
    <row r="47">
      <c r="B47" s="1259" t="inlineStr">
        <is>
          <t>Arvada</t>
        </is>
      </c>
      <c r="C47" s="1259" t="inlineStr">
        <is>
          <t>Development</t>
        </is>
      </c>
      <c r="D47" s="1259" t="inlineStr">
        <is>
          <t>Active Development Projects</t>
        </is>
      </c>
      <c r="E47" s="1260" t="inlineStr">
        <is>
          <t>Map/list of current development projects.</t>
        </is>
      </c>
      <c r="F47" s="1260" t="inlineStr">
        <is>
          <t>Identify pending or active projects near a target property.</t>
        </is>
      </c>
      <c r="G47" s="1256" t="inlineStr">
        <is>
          <t>https://www.arvadaco.gov/1394/Active-Development-Projects</t>
        </is>
      </c>
      <c r="H47" s="1259" t="inlineStr">
        <is>
          <t>High</t>
        </is>
      </c>
    </row>
    <row r="48">
      <c r="B48" s="1259" t="inlineStr">
        <is>
          <t>Arvada</t>
        </is>
      </c>
      <c r="C48" s="1259" t="inlineStr">
        <is>
          <t>Development</t>
        </is>
      </c>
      <c r="D48" s="1259" t="inlineStr">
        <is>
          <t>Development Review Process</t>
        </is>
      </c>
      <c r="E48" s="1260" t="inlineStr">
        <is>
          <t>Explanation of land-use and development review steps.</t>
        </is>
      </c>
      <c r="F48" s="1260" t="inlineStr">
        <is>
          <t>Estimate entitlement path and required approvals.</t>
        </is>
      </c>
      <c r="G48" s="1256" t="inlineStr">
        <is>
          <t>https://www.arvadaco.gov/1393/Development-Review-Process</t>
        </is>
      </c>
      <c r="H48" s="1259" t="inlineStr">
        <is>
          <t>High</t>
        </is>
      </c>
    </row>
    <row r="49">
      <c r="B49" s="1259" t="inlineStr">
        <is>
          <t>Arvada</t>
        </is>
      </c>
      <c r="C49" s="1259" t="inlineStr">
        <is>
          <t>Planning Documents</t>
        </is>
      </c>
      <c r="D49" s="1259" t="inlineStr">
        <is>
          <t>Documents and Downloads</t>
        </is>
      </c>
      <c r="E49" s="1260" t="inlineStr">
        <is>
          <t>Applications, checklists, plans and planning documents.</t>
        </is>
      </c>
      <c r="F49" s="1260" t="inlineStr">
        <is>
          <t>Collect forms and supporting standards.</t>
        </is>
      </c>
      <c r="G49" s="1256" t="inlineStr">
        <is>
          <t>https://www.arvadaco.gov/363/Documents-and-Downloads</t>
        </is>
      </c>
      <c r="H49" s="1259" t="inlineStr">
        <is>
          <t>Useful</t>
        </is>
      </c>
    </row>
    <row r="50">
      <c r="B50" s="1259" t="inlineStr">
        <is>
          <t>Arvada</t>
        </is>
      </c>
      <c r="C50" s="1259" t="inlineStr">
        <is>
          <t>Permits</t>
        </is>
      </c>
      <c r="D50" s="1259" t="inlineStr">
        <is>
          <t>Permits</t>
        </is>
      </c>
      <c r="E50" s="1260" t="inlineStr">
        <is>
          <t>City permit portal and permit categories.</t>
        </is>
      </c>
      <c r="F50" s="1260" t="inlineStr">
        <is>
          <t>Find applicable city permits.</t>
        </is>
      </c>
      <c r="G50" s="1256" t="inlineStr">
        <is>
          <t>https://www.arvadaco.gov/330/Permits</t>
        </is>
      </c>
      <c r="H50" s="1259" t="inlineStr">
        <is>
          <t>High</t>
        </is>
      </c>
    </row>
    <row r="51">
      <c r="B51" s="1259" t="inlineStr">
        <is>
          <t>Arvada</t>
        </is>
      </c>
      <c r="C51" s="1259" t="inlineStr">
        <is>
          <t>Permits</t>
        </is>
      </c>
      <c r="D51" s="1259" t="inlineStr">
        <is>
          <t>Building Permits</t>
        </is>
      </c>
      <c r="E51" s="1260" t="inlineStr">
        <is>
          <t>Building-permit requirements and guidance.</t>
        </is>
      </c>
      <c r="F51" s="1260" t="inlineStr">
        <is>
          <t>Research construction permit needs.</t>
        </is>
      </c>
      <c r="G51" s="1256" t="inlineStr">
        <is>
          <t>https://www.arvadaco.gov/332/Building-Permits</t>
        </is>
      </c>
      <c r="H51" s="1259" t="inlineStr">
        <is>
          <t>Critical</t>
        </is>
      </c>
    </row>
    <row r="52">
      <c r="B52" s="1259" t="inlineStr">
        <is>
          <t>Arvada</t>
        </is>
      </c>
      <c r="C52" s="1259" t="inlineStr">
        <is>
          <t>Permits</t>
        </is>
      </c>
      <c r="D52" s="1259" t="inlineStr">
        <is>
          <t>eTRAKiT Help</t>
        </is>
      </c>
      <c r="E52" s="1260" t="inlineStr">
        <is>
          <t>Online permit and project portal help.</t>
        </is>
      </c>
      <c r="F52" s="1260" t="inlineStr">
        <is>
          <t>Search or manage permits and development cases.</t>
        </is>
      </c>
      <c r="G52" s="1256" t="inlineStr">
        <is>
          <t>https://www.arvadaco.gov/593/eTRAKiT-Help/permithelp</t>
        </is>
      </c>
      <c r="H52" s="1259" t="inlineStr">
        <is>
          <t>High</t>
        </is>
      </c>
    </row>
    <row r="53">
      <c r="B53" s="1259" t="inlineStr">
        <is>
          <t>Arvada</t>
        </is>
      </c>
      <c r="C53" s="1259" t="inlineStr">
        <is>
          <t>Permit History</t>
        </is>
      </c>
      <c r="D53" s="1259" t="inlineStr">
        <is>
          <t>Researching Permits</t>
        </is>
      </c>
      <c r="E53" s="1260" t="inlineStr">
        <is>
          <t>Instructions for researching historical permits.</t>
        </is>
      </c>
      <c r="F53" s="1260" t="inlineStr">
        <is>
          <t>Check prior construction and permit records.</t>
        </is>
      </c>
      <c r="G53" s="1256" t="inlineStr">
        <is>
          <t>https://www.arvadaco.gov/627/Researching-Permits</t>
        </is>
      </c>
      <c r="H53" s="1259" t="inlineStr">
        <is>
          <t>High</t>
        </is>
      </c>
    </row>
    <row r="54">
      <c r="B54" s="1259" t="inlineStr">
        <is>
          <t>Arvada</t>
        </is>
      </c>
      <c r="C54" s="1259" t="inlineStr">
        <is>
          <t>Long-Range Planning</t>
        </is>
      </c>
      <c r="D54" s="1259" t="inlineStr">
        <is>
          <t>2026-27 Comprehensive Plan</t>
        </is>
      </c>
      <c r="E54" s="1260" t="inlineStr">
        <is>
          <t>Current comprehensive-plan update information.</t>
        </is>
      </c>
      <c r="F54" s="1260" t="inlineStr">
        <is>
          <t>Track future land-use policy and plan changes.</t>
        </is>
      </c>
      <c r="G54" s="1256" t="inlineStr">
        <is>
          <t>https://www.arvadaco.gov/1374/2026-27-Comprehensive-Plan</t>
        </is>
      </c>
      <c r="H54" s="1259" t="inlineStr">
        <is>
          <t>High</t>
        </is>
      </c>
    </row>
    <row r="55">
      <c r="B55" s="1259" t="inlineStr">
        <is>
          <t>Arvada</t>
        </is>
      </c>
      <c r="C55" s="1259" t="inlineStr">
        <is>
          <t>Plans</t>
        </is>
      </c>
      <c r="D55" s="1259" t="inlineStr">
        <is>
          <t>City Plans</t>
        </is>
      </c>
      <c r="E55" s="1260" t="inlineStr">
        <is>
          <t>Adopted and ongoing city plans.</t>
        </is>
      </c>
      <c r="F55" s="1260" t="inlineStr">
        <is>
          <t>Review subarea and long-range policy documents.</t>
        </is>
      </c>
      <c r="G55" s="1256" t="inlineStr">
        <is>
          <t>https://www.arvadaco.gov/304/City-Plans</t>
        </is>
      </c>
      <c r="H55" s="1259" t="inlineStr">
        <is>
          <t>Useful</t>
        </is>
      </c>
    </row>
    <row r="56">
      <c r="B56" s="1259" t="inlineStr">
        <is>
          <t>Arvada</t>
        </is>
      </c>
      <c r="C56" s="1259" t="inlineStr">
        <is>
          <t>Meetings</t>
        </is>
      </c>
      <c r="D56" s="1259" t="inlineStr">
        <is>
          <t>Planning Commission</t>
        </is>
      </c>
      <c r="E56" s="1260" t="inlineStr">
        <is>
          <t>Planning Commission information and meeting resources.</t>
        </is>
      </c>
      <c r="F56" s="1260" t="inlineStr">
        <is>
          <t>Monitor land-use recommendations and hearings.</t>
        </is>
      </c>
      <c r="G56" s="1256" t="inlineStr">
        <is>
          <t>https://www.arvadaco.gov/276/Planning-Commission</t>
        </is>
      </c>
      <c r="H56" s="1259" t="inlineStr">
        <is>
          <t>High</t>
        </is>
      </c>
    </row>
    <row r="57">
      <c r="B57" s="1259" t="inlineStr">
        <is>
          <t>Arvada</t>
        </is>
      </c>
      <c r="C57" s="1259" t="inlineStr">
        <is>
          <t>Meetings</t>
        </is>
      </c>
      <c r="D57" s="1259" t="inlineStr">
        <is>
          <t>Agenda Center</t>
        </is>
      </c>
      <c r="E57" s="1260" t="inlineStr">
        <is>
          <t>Agendas and minutes for city boards and council.</t>
        </is>
      </c>
      <c r="F57" s="1260" t="inlineStr">
        <is>
          <t>Track official actions and hearing dates.</t>
        </is>
      </c>
      <c r="G57" s="1256" t="inlineStr">
        <is>
          <t>https://www.arvadaco.gov/AgendaCenter</t>
        </is>
      </c>
      <c r="H57" s="1259" t="inlineStr">
        <is>
          <t>High</t>
        </is>
      </c>
    </row>
    <row r="58">
      <c r="B58" s="1259" t="inlineStr">
        <is>
          <t>Arvada</t>
        </is>
      </c>
      <c r="C58" s="1259" t="inlineStr">
        <is>
          <t>Public Notices</t>
        </is>
      </c>
      <c r="D58" s="1259" t="inlineStr">
        <is>
          <t>Meetings and Other Legal Notices</t>
        </is>
      </c>
      <c r="E58" s="1260" t="inlineStr">
        <is>
          <t>Official notices and public-hearing information.</t>
        </is>
      </c>
      <c r="F58" s="1260" t="inlineStr">
        <is>
          <t>Confirm formal notice and comment deadlines.</t>
        </is>
      </c>
      <c r="G58" s="1256" t="inlineStr">
        <is>
          <t>https://www.arvadaco.gov/245/Meetings-and-Other-Legal-Notices</t>
        </is>
      </c>
      <c r="H58" s="1259" t="inlineStr">
        <is>
          <t>High</t>
        </is>
      </c>
    </row>
    <row r="59">
      <c r="B59" s="1259" t="inlineStr">
        <is>
          <t>Arvada</t>
        </is>
      </c>
      <c r="C59" s="1259" t="inlineStr">
        <is>
          <t>News</t>
        </is>
      </c>
      <c r="D59" s="1259" t="inlineStr">
        <is>
          <t>News Releases</t>
        </is>
      </c>
      <c r="E59" s="1260" t="inlineStr">
        <is>
          <t>Official city news releases.</t>
        </is>
      </c>
      <c r="F59" s="1260" t="inlineStr">
        <is>
          <t>Monitor city projects, policy and development announcements.</t>
        </is>
      </c>
      <c r="G59" s="1256" t="inlineStr">
        <is>
          <t>https://www.arvadaco.gov/908/News-Releases</t>
        </is>
      </c>
      <c r="H59" s="1259" t="inlineStr">
        <is>
          <t>Useful</t>
        </is>
      </c>
    </row>
    <row r="60">
      <c r="B60" s="1259" t="inlineStr">
        <is>
          <t>Arvada</t>
        </is>
      </c>
      <c r="C60" s="1259" t="inlineStr">
        <is>
          <t>Public Records</t>
        </is>
      </c>
      <c r="D60" s="1259" t="inlineStr">
        <is>
          <t>Records and Requests</t>
        </is>
      </c>
      <c r="E60" s="1260" t="inlineStr">
        <is>
          <t>Public records request information.</t>
        </is>
      </c>
      <c r="F60" s="1260" t="inlineStr">
        <is>
          <t>Request records not available in online systems.</t>
        </is>
      </c>
      <c r="G60" s="1256" t="inlineStr">
        <is>
          <t>https://www.arvadaco.gov/247/Records-and-Requests</t>
        </is>
      </c>
      <c r="H60" s="1259" t="inlineStr">
        <is>
          <t>High</t>
        </is>
      </c>
    </row>
    <row r="61">
      <c r="B61" s="1259" t="inlineStr">
        <is>
          <t>Aurora</t>
        </is>
      </c>
      <c r="C61" s="1259" t="inlineStr">
        <is>
          <t>Official Website</t>
        </is>
      </c>
      <c r="D61" s="1259" t="inlineStr">
        <is>
          <t>City of Aurora</t>
        </is>
      </c>
      <c r="E61" s="1260" t="inlineStr">
        <is>
          <t>Main city website.</t>
        </is>
      </c>
      <c r="F61" s="1260" t="inlineStr">
        <is>
          <t>Navigate city departments and services.</t>
        </is>
      </c>
      <c r="G61" s="1256" t="inlineStr">
        <is>
          <t>https://www.auroragov.org/</t>
        </is>
      </c>
      <c r="H61" s="1259" t="inlineStr">
        <is>
          <t>Reference</t>
        </is>
      </c>
    </row>
    <row r="62">
      <c r="B62" s="1259" t="inlineStr">
        <is>
          <t>Aurora</t>
        </is>
      </c>
      <c r="C62" s="1259" t="inlineStr">
        <is>
          <t>GIS / Property</t>
        </is>
      </c>
      <c r="D62" s="1259" t="inlineStr">
        <is>
          <t>Planning and Zoning Maps</t>
        </is>
      </c>
      <c r="E62" s="1260" t="inlineStr">
        <is>
          <t>Planning, zoning and related interactive maps.</t>
        </is>
      </c>
      <c r="F62" s="1260" t="inlineStr">
        <is>
          <t>Locate zoning, plan areas and mapped land-use information.</t>
        </is>
      </c>
      <c r="G62" s="1256" t="inlineStr">
        <is>
          <t>https://www.auroragov.org/city_hall/maps/planning_and_zoning_maps</t>
        </is>
      </c>
      <c r="H62" s="1259" t="inlineStr">
        <is>
          <t>Critical</t>
        </is>
      </c>
    </row>
    <row r="63">
      <c r="B63" s="1259" t="inlineStr">
        <is>
          <t>Aurora</t>
        </is>
      </c>
      <c r="C63" s="1259" t="inlineStr">
        <is>
          <t>GIS / Open Data</t>
        </is>
      </c>
      <c r="D63" s="1259" t="inlineStr">
        <is>
          <t>Aurora Open Data Map Services</t>
        </is>
      </c>
      <c r="E63" s="1260" t="inlineStr">
        <is>
          <t>City GIS open-data map services.</t>
        </is>
      </c>
      <c r="F63" s="1260" t="inlineStr">
        <is>
          <t>Use detailed GIS layers or connect mapping software.</t>
        </is>
      </c>
      <c r="G63" s="1256" t="inlineStr">
        <is>
          <t>https://ags.auroragov.org/aurora/rest/services/OpenData/MapServer</t>
        </is>
      </c>
      <c r="H63" s="1259" t="inlineStr">
        <is>
          <t>Useful</t>
        </is>
      </c>
    </row>
    <row r="64">
      <c r="B64" s="1259" t="inlineStr">
        <is>
          <t>Aurora</t>
        </is>
      </c>
      <c r="C64" s="1259" t="inlineStr">
        <is>
          <t>Zoning</t>
        </is>
      </c>
      <c r="D64" s="1259" t="inlineStr">
        <is>
          <t>Zoning Navigator</t>
        </is>
      </c>
      <c r="E64" s="1260" t="inlineStr">
        <is>
          <t>Interactive zoning and development-code navigation.</t>
        </is>
      </c>
      <c r="F64" s="1260" t="inlineStr">
        <is>
          <t>Research district standards and applicable regulations.</t>
        </is>
      </c>
      <c r="G64" s="1256" t="inlineStr">
        <is>
          <t>https://zoning.auroragov.org/</t>
        </is>
      </c>
      <c r="H64" s="1259" t="inlineStr">
        <is>
          <t>Critical</t>
        </is>
      </c>
    </row>
    <row r="65">
      <c r="B65" s="1259" t="inlineStr">
        <is>
          <t>Aurora</t>
        </is>
      </c>
      <c r="C65" s="1259" t="inlineStr">
        <is>
          <t>Planning</t>
        </is>
      </c>
      <c r="D65" s="1259" t="inlineStr">
        <is>
          <t>Planning</t>
        </is>
      </c>
      <c r="E65" s="1260" t="inlineStr">
        <is>
          <t>Planning division resources, plans and land-use services.</t>
        </is>
      </c>
      <c r="F65" s="1260" t="inlineStr">
        <is>
          <t>Start zoning or planning research.</t>
        </is>
      </c>
      <c r="G65" s="1256" t="inlineStr">
        <is>
          <t>https://www.auroragov.org/business_services/planning</t>
        </is>
      </c>
      <c r="H65" s="1259" t="inlineStr">
        <is>
          <t>Critical</t>
        </is>
      </c>
    </row>
    <row r="66">
      <c r="B66" s="1259" t="inlineStr">
        <is>
          <t>Aurora</t>
        </is>
      </c>
      <c r="C66" s="1259" t="inlineStr">
        <is>
          <t>Planning</t>
        </is>
      </c>
      <c r="D66" s="1259" t="inlineStr">
        <is>
          <t>Planning &amp; Development Services</t>
        </is>
      </c>
      <c r="E66" s="1260" t="inlineStr">
        <is>
          <t>Department-level planning, building and development services.</t>
        </is>
      </c>
      <c r="F66" s="1260" t="inlineStr">
        <is>
          <t>Navigate project review and development departments.</t>
        </is>
      </c>
      <c r="G66" s="1256" t="inlineStr">
        <is>
          <t>https://www.auroragov.org/city_hall/departments/planning___development_services</t>
        </is>
      </c>
      <c r="H66" s="1259" t="inlineStr">
        <is>
          <t>High</t>
        </is>
      </c>
    </row>
    <row r="67">
      <c r="B67" s="1259" t="inlineStr">
        <is>
          <t>Aurora</t>
        </is>
      </c>
      <c r="C67" s="1259" t="inlineStr">
        <is>
          <t>Code</t>
        </is>
      </c>
      <c r="D67" s="1259" t="inlineStr">
        <is>
          <t>Unified Development Ordinance</t>
        </is>
      </c>
      <c r="E67" s="1260" t="inlineStr">
        <is>
          <t>Aurora's land-use and zoning ordinance.</t>
        </is>
      </c>
      <c r="F67" s="1260" t="inlineStr">
        <is>
          <t>Review permitted uses, districts and development standards.</t>
        </is>
      </c>
      <c r="G67" s="1256" t="inlineStr">
        <is>
          <t>https://www.auroragov.org/business_services/development_center/codes_rules/building___zoning_code/unified_development_ordinance</t>
        </is>
      </c>
      <c r="H67" s="1259" t="inlineStr">
        <is>
          <t>Critical</t>
        </is>
      </c>
    </row>
    <row r="68">
      <c r="B68" s="1259" t="inlineStr">
        <is>
          <t>Aurora</t>
        </is>
      </c>
      <c r="C68" s="1259" t="inlineStr">
        <is>
          <t>Codes</t>
        </is>
      </c>
      <c r="D68" s="1259" t="inlineStr">
        <is>
          <t>Building &amp; Zoning Code</t>
        </is>
      </c>
      <c r="E68" s="1260" t="inlineStr">
        <is>
          <t>Building and zoning code resources.</t>
        </is>
      </c>
      <c r="F68" s="1260" t="inlineStr">
        <is>
          <t>Verify construction and zoning requirements.</t>
        </is>
      </c>
      <c r="G68" s="1256" t="inlineStr">
        <is>
          <t>https://www.auroragov.org/business_services/development_center/codes_rules/building___zoning_code</t>
        </is>
      </c>
      <c r="H68" s="1259" t="inlineStr">
        <is>
          <t>High</t>
        </is>
      </c>
    </row>
    <row r="69">
      <c r="B69" s="1259" t="inlineStr">
        <is>
          <t>Aurora</t>
        </is>
      </c>
      <c r="C69" s="1259" t="inlineStr">
        <is>
          <t>Development</t>
        </is>
      </c>
      <c r="D69" s="1259" t="inlineStr">
        <is>
          <t>Project Status Search</t>
        </is>
      </c>
      <c r="E69" s="1260" t="inlineStr">
        <is>
          <t>Online search for development project status.</t>
        </is>
      </c>
      <c r="F69" s="1260" t="inlineStr">
        <is>
          <t>Check active or historical development review cases.</t>
        </is>
      </c>
      <c r="G69" s="1256" t="inlineStr">
        <is>
          <t>https://coaapps.auroragov.org/ProjectStatus/search.aspx</t>
        </is>
      </c>
      <c r="H69" s="1259" t="inlineStr">
        <is>
          <t>Critical</t>
        </is>
      </c>
    </row>
    <row r="70">
      <c r="B70" s="1259" t="inlineStr">
        <is>
          <t>Aurora</t>
        </is>
      </c>
      <c r="C70" s="1259" t="inlineStr">
        <is>
          <t>Development</t>
        </is>
      </c>
      <c r="D70" s="1259" t="inlineStr">
        <is>
          <t>Forms and Applications</t>
        </is>
      </c>
      <c r="E70" s="1260" t="inlineStr">
        <is>
          <t>Development-center forms and applications.</t>
        </is>
      </c>
      <c r="F70" s="1260" t="inlineStr">
        <is>
          <t>Identify required land-use and development submittals.</t>
        </is>
      </c>
      <c r="G70" s="1256" t="inlineStr">
        <is>
          <t>https://www.auroragov.org/business_services/development_center/development_process/forms_and_applications</t>
        </is>
      </c>
      <c r="H70" s="1259" t="inlineStr">
        <is>
          <t>High</t>
        </is>
      </c>
    </row>
    <row r="71">
      <c r="B71" s="1259" t="inlineStr">
        <is>
          <t>Aurora</t>
        </is>
      </c>
      <c r="C71" s="1259" t="inlineStr">
        <is>
          <t>Development</t>
        </is>
      </c>
      <c r="D71" s="1259" t="inlineStr">
        <is>
          <t>Projects, Plans &amp; Studies</t>
        </is>
      </c>
      <c r="E71" s="1260" t="inlineStr">
        <is>
          <t>Current and adopted planning projects and studies.</t>
        </is>
      </c>
      <c r="F71" s="1260" t="inlineStr">
        <is>
          <t>Track area plans, corridor studies and policy changes.</t>
        </is>
      </c>
      <c r="G71" s="1256" t="inlineStr">
        <is>
          <t>https://www.auroragov.org/business_services/planning/projects__plans___studies</t>
        </is>
      </c>
      <c r="H71" s="1259" t="inlineStr">
        <is>
          <t>High</t>
        </is>
      </c>
    </row>
    <row r="72">
      <c r="B72" s="1259" t="inlineStr">
        <is>
          <t>Aurora</t>
        </is>
      </c>
      <c r="C72" s="1259" t="inlineStr">
        <is>
          <t>Long-Range Planning</t>
        </is>
      </c>
      <c r="D72" s="1259" t="inlineStr">
        <is>
          <t>Comprehensive Plan</t>
        </is>
      </c>
      <c r="E72" s="1260" t="inlineStr">
        <is>
          <t>Aurora comprehensive-plan resources.</t>
        </is>
      </c>
      <c r="F72" s="1260" t="inlineStr">
        <is>
          <t>Evaluate future land-use and policy direction.</t>
        </is>
      </c>
      <c r="G72" s="1256" t="inlineStr">
        <is>
          <t>https://www.auroragov.org/business_services/planning/projects__plans___studies/comprehensive_plan</t>
        </is>
      </c>
      <c r="H72" s="1259" t="inlineStr">
        <is>
          <t>High</t>
        </is>
      </c>
    </row>
    <row r="73">
      <c r="B73" s="1259" t="inlineStr">
        <is>
          <t>Aurora</t>
        </is>
      </c>
      <c r="C73" s="1259" t="inlineStr">
        <is>
          <t>Neighborhood Planning</t>
        </is>
      </c>
      <c r="D73" s="1259" t="inlineStr">
        <is>
          <t>Neighborhood Planning</t>
        </is>
      </c>
      <c r="E73" s="1260" t="inlineStr">
        <is>
          <t>Area and neighborhood plan information.</t>
        </is>
      </c>
      <c r="F73" s="1260" t="inlineStr">
        <is>
          <t>Research smaller-area plans affecting a parcel.</t>
        </is>
      </c>
      <c r="G73" s="1256" t="inlineStr">
        <is>
          <t>https://www.auroragov.org/residents/neighborhood_planning</t>
        </is>
      </c>
      <c r="H73" s="1259" t="inlineStr">
        <is>
          <t>Useful</t>
        </is>
      </c>
    </row>
    <row r="74">
      <c r="B74" s="1259" t="inlineStr">
        <is>
          <t>Aurora</t>
        </is>
      </c>
      <c r="C74" s="1259" t="inlineStr">
        <is>
          <t>Permits</t>
        </is>
      </c>
      <c r="D74" s="1259" t="inlineStr">
        <is>
          <t>Building Permits</t>
        </is>
      </c>
      <c r="E74" s="1260" t="inlineStr">
        <is>
          <t>Building permit information and application guidance.</t>
        </is>
      </c>
      <c r="F74" s="1260" t="inlineStr">
        <is>
          <t>Check permit requirements and application paths.</t>
        </is>
      </c>
      <c r="G74" s="1256" t="inlineStr">
        <is>
          <t>https://www.auroragov.org/business_services/building_division/permits</t>
        </is>
      </c>
      <c r="H74" s="1259" t="inlineStr">
        <is>
          <t>Critical</t>
        </is>
      </c>
    </row>
    <row r="75">
      <c r="B75" s="1259" t="inlineStr">
        <is>
          <t>Aurora</t>
        </is>
      </c>
      <c r="C75" s="1259" t="inlineStr">
        <is>
          <t>Permits</t>
        </is>
      </c>
      <c r="D75" s="1259" t="inlineStr">
        <is>
          <t>Development Center Permitting</t>
        </is>
      </c>
      <c r="E75" s="1260" t="inlineStr">
        <is>
          <t>Development permitting and online processes.</t>
        </is>
      </c>
      <c r="F75" s="1260" t="inlineStr">
        <is>
          <t>Manage or research development-related permits.</t>
        </is>
      </c>
      <c r="G75" s="1256" t="inlineStr">
        <is>
          <t>https://www.auroragov.org/business_services/development_center/permitting</t>
        </is>
      </c>
      <c r="H75" s="1259" t="inlineStr">
        <is>
          <t>High</t>
        </is>
      </c>
    </row>
    <row r="76">
      <c r="B76" s="1259" t="inlineStr">
        <is>
          <t>Aurora</t>
        </is>
      </c>
      <c r="C76" s="1259" t="inlineStr">
        <is>
          <t>Online Portal</t>
        </is>
      </c>
      <c r="D76" s="1259" t="inlineStr">
        <is>
          <t>Aurora4Biz</t>
        </is>
      </c>
      <c r="E76" s="1260" t="inlineStr">
        <is>
          <t>Online business, permit and licensing services.</t>
        </is>
      </c>
      <c r="F76" s="1260" t="inlineStr">
        <is>
          <t>Access city permitting and business services.</t>
        </is>
      </c>
      <c r="G76" s="1256" t="inlineStr">
        <is>
          <t>https://www.auroragov.org/business_services/aurora4biz</t>
        </is>
      </c>
      <c r="H76" s="1259" t="inlineStr">
        <is>
          <t>High</t>
        </is>
      </c>
    </row>
    <row r="77">
      <c r="B77" s="1259" t="inlineStr">
        <is>
          <t>Aurora</t>
        </is>
      </c>
      <c r="C77" s="1259" t="inlineStr">
        <is>
          <t>Meetings</t>
        </is>
      </c>
      <c r="D77" s="1259" t="inlineStr">
        <is>
          <t>Planning &amp; Zoning Commission</t>
        </is>
      </c>
      <c r="E77" s="1260" t="inlineStr">
        <is>
          <t>Commission schedules, records and participation information.</t>
        </is>
      </c>
      <c r="F77" s="1260" t="inlineStr">
        <is>
          <t>Monitor land-use hearings and recommendations.</t>
        </is>
      </c>
      <c r="G77" s="1256" t="inlineStr">
        <is>
          <t>https://www.auroragov.org/city_hall/boards___commissions/planning___zoning_commission</t>
        </is>
      </c>
      <c r="H77" s="1259" t="inlineStr">
        <is>
          <t>High</t>
        </is>
      </c>
    </row>
    <row r="78">
      <c r="B78" s="1259" t="inlineStr">
        <is>
          <t>Aurora</t>
        </is>
      </c>
      <c r="C78" s="1259" t="inlineStr">
        <is>
          <t>Meetings</t>
        </is>
      </c>
      <c r="D78" s="1259" t="inlineStr">
        <is>
          <t>City Council Meetings</t>
        </is>
      </c>
      <c r="E78" s="1260" t="inlineStr">
        <is>
          <t>Council meeting agendas and records.</t>
        </is>
      </c>
      <c r="F78" s="1260" t="inlineStr">
        <is>
          <t>Track final legislative and land-use actions.</t>
        </is>
      </c>
      <c r="G78" s="1256" t="inlineStr">
        <is>
          <t>https://www.auroragov.org/city_hall/mayor___city_council/council_meetings</t>
        </is>
      </c>
      <c r="H78" s="1259" t="inlineStr">
        <is>
          <t>High</t>
        </is>
      </c>
    </row>
    <row r="79">
      <c r="B79" s="1259" t="inlineStr">
        <is>
          <t>Aurora</t>
        </is>
      </c>
      <c r="C79" s="1259" t="inlineStr">
        <is>
          <t>Public Notices</t>
        </is>
      </c>
      <c r="D79" s="1259" t="inlineStr">
        <is>
          <t>Public Hearings</t>
        </is>
      </c>
      <c r="E79" s="1260" t="inlineStr">
        <is>
          <t>Official public-hearing notices.</t>
        </is>
      </c>
      <c r="F79" s="1260" t="inlineStr">
        <is>
          <t>Confirm hearing dates, applications and public-comment opportunities.</t>
        </is>
      </c>
      <c r="G79" s="1256" t="inlineStr">
        <is>
          <t>https://www.auroragov.org/city_hall/public_records/legal_notices/public_hearings</t>
        </is>
      </c>
      <c r="H79" s="1259" t="inlineStr">
        <is>
          <t>High</t>
        </is>
      </c>
    </row>
    <row r="80">
      <c r="B80" s="1259" t="inlineStr">
        <is>
          <t>Aurora</t>
        </is>
      </c>
      <c r="C80" s="1259" t="inlineStr">
        <is>
          <t>Public Records</t>
        </is>
      </c>
      <c r="D80" s="1259" t="inlineStr">
        <is>
          <t>Public Records</t>
        </is>
      </c>
      <c r="E80" s="1260" t="inlineStr">
        <is>
          <t>Codes, ordinances, records and legal-notice navigation.</t>
        </is>
      </c>
      <c r="F80" s="1260" t="inlineStr">
        <is>
          <t>Request or retrieve official city records.</t>
        </is>
      </c>
      <c r="G80" s="1256" t="inlineStr">
        <is>
          <t>https://www.auroragov.org/city_hall/public_records</t>
        </is>
      </c>
      <c r="H80" s="1259" t="inlineStr">
        <is>
          <t>High</t>
        </is>
      </c>
    </row>
    <row r="81">
      <c r="B81" s="1259" t="inlineStr">
        <is>
          <t>Aurora</t>
        </is>
      </c>
      <c r="C81" s="1259" t="inlineStr">
        <is>
          <t>News</t>
        </is>
      </c>
      <c r="D81" s="1259" t="inlineStr">
        <is>
          <t>What's New</t>
        </is>
      </c>
      <c r="E81" s="1260" t="inlineStr">
        <is>
          <t>Official city news and announcements.</t>
        </is>
      </c>
      <c r="F81" s="1260" t="inlineStr">
        <is>
          <t>Monitor city changes, projects and public initiatives.</t>
        </is>
      </c>
      <c r="G81" s="1256" t="inlineStr">
        <is>
          <t>https://www.auroragov.org/news/whats_new</t>
        </is>
      </c>
      <c r="H81" s="1259" t="inlineStr">
        <is>
          <t>Useful</t>
        </is>
      </c>
    </row>
    <row r="82">
      <c r="B82" s="1259" t="inlineStr">
        <is>
          <t>Bennett</t>
        </is>
      </c>
      <c r="C82" s="1259" t="inlineStr">
        <is>
          <t>Official Website</t>
        </is>
      </c>
      <c r="D82" s="1259" t="inlineStr">
        <is>
          <t>Town of Bennett</t>
        </is>
      </c>
      <c r="E82" s="1260" t="inlineStr">
        <is>
          <t>Main town website.</t>
        </is>
      </c>
      <c r="F82" s="1260" t="inlineStr">
        <is>
          <t>Navigate municipal services and updates.</t>
        </is>
      </c>
      <c r="G82" s="1256" t="inlineStr">
        <is>
          <t>https://www.bennettco.gov/</t>
        </is>
      </c>
      <c r="H82" s="1259" t="inlineStr">
        <is>
          <t>Reference</t>
        </is>
      </c>
    </row>
    <row r="83">
      <c r="B83" s="1259" t="inlineStr">
        <is>
          <t>Bennett</t>
        </is>
      </c>
      <c r="C83" s="1259" t="inlineStr">
        <is>
          <t>Zoning</t>
        </is>
      </c>
      <c r="D83" s="1259" t="inlineStr">
        <is>
          <t>Bennett Zoning Map</t>
        </is>
      </c>
      <c r="E83" s="1260" t="inlineStr">
        <is>
          <t>Official town zoning map.</t>
        </is>
      </c>
      <c r="F83" s="1260" t="inlineStr">
        <is>
          <t>Identify the zoning district for a property.</t>
        </is>
      </c>
      <c r="G83" s="1256" t="inlineStr">
        <is>
          <t>https://www.bennettco.gov/business/page/bennett-zoning-map</t>
        </is>
      </c>
      <c r="H83" s="1259" t="inlineStr">
        <is>
          <t>Critical</t>
        </is>
      </c>
    </row>
    <row r="84">
      <c r="B84" s="1259" t="inlineStr">
        <is>
          <t>Bennett</t>
        </is>
      </c>
      <c r="C84" s="1259" t="inlineStr">
        <is>
          <t>Planning</t>
        </is>
      </c>
      <c r="D84" s="1259" t="inlineStr">
        <is>
          <t>Planning and Zoning</t>
        </is>
      </c>
      <c r="E84" s="1260" t="inlineStr">
        <is>
          <t>Planning and zoning services, forms and guidance.</t>
        </is>
      </c>
      <c r="F84" s="1260" t="inlineStr">
        <is>
          <t>Start land-use and entitlement research.</t>
        </is>
      </c>
      <c r="G84" s="1256" t="inlineStr">
        <is>
          <t>https://www.bennettco.gov/planning-economic-development/page/planning-and-zoning</t>
        </is>
      </c>
      <c r="H84" s="1259" t="inlineStr">
        <is>
          <t>Critical</t>
        </is>
      </c>
    </row>
    <row r="85">
      <c r="B85" s="1259" t="inlineStr">
        <is>
          <t>Bennett</t>
        </is>
      </c>
      <c r="C85" s="1259" t="inlineStr">
        <is>
          <t>Planning</t>
        </is>
      </c>
      <c r="D85" s="1259" t="inlineStr">
        <is>
          <t>Planning &amp; Economic Development</t>
        </is>
      </c>
      <c r="E85" s="1260" t="inlineStr">
        <is>
          <t>Department-level planning and economic-development resources.</t>
        </is>
      </c>
      <c r="F85" s="1260" t="inlineStr">
        <is>
          <t>Find staff, plans and development assistance.</t>
        </is>
      </c>
      <c r="G85" s="1256" t="inlineStr">
        <is>
          <t>https://www.bennettco.gov/planning-economic-development</t>
        </is>
      </c>
      <c r="H85" s="1259" t="inlineStr">
        <is>
          <t>High</t>
        </is>
      </c>
    </row>
    <row r="86">
      <c r="B86" s="1259" t="inlineStr">
        <is>
          <t>Bennett</t>
        </is>
      </c>
      <c r="C86" s="1259" t="inlineStr">
        <is>
          <t>Code</t>
        </is>
      </c>
      <c r="D86" s="1259" t="inlineStr">
        <is>
          <t>Zoning and Subdivision Regulations</t>
        </is>
      </c>
      <c r="E86" s="1260" t="inlineStr">
        <is>
          <t>Town zoning and subdivision regulations.</t>
        </is>
      </c>
      <c r="F86" s="1260" t="inlineStr">
        <is>
          <t>Review allowed uses, lot standards and subdivision rules.</t>
        </is>
      </c>
      <c r="G86" s="1256" t="inlineStr">
        <is>
          <t>https://www.bennettco.gov/planning-economic-development/page/zoning-and-subdivision-regulations</t>
        </is>
      </c>
      <c r="H86" s="1259" t="inlineStr">
        <is>
          <t>Critical</t>
        </is>
      </c>
    </row>
    <row r="87">
      <c r="B87" s="1259" t="inlineStr">
        <is>
          <t>Bennett</t>
        </is>
      </c>
      <c r="C87" s="1259" t="inlineStr">
        <is>
          <t>Development</t>
        </is>
      </c>
      <c r="D87" s="1259" t="inlineStr">
        <is>
          <t>Development Portal</t>
        </is>
      </c>
      <c r="E87" s="1260" t="inlineStr">
        <is>
          <t>Development applications, projects and related tools.</t>
        </is>
      </c>
      <c r="F87" s="1260" t="inlineStr">
        <is>
          <t>Begin project and entitlement research.</t>
        </is>
      </c>
      <c r="G87" s="1256" t="inlineStr">
        <is>
          <t>https://www.bennettco.gov/development</t>
        </is>
      </c>
      <c r="H87" s="1259" t="inlineStr">
        <is>
          <t>High</t>
        </is>
      </c>
    </row>
    <row r="88">
      <c r="B88" s="1259" t="inlineStr">
        <is>
          <t>Bennett</t>
        </is>
      </c>
      <c r="C88" s="1259" t="inlineStr">
        <is>
          <t>Development</t>
        </is>
      </c>
      <c r="D88" s="1259" t="inlineStr">
        <is>
          <t>Active Projects</t>
        </is>
      </c>
      <c r="E88" s="1260" t="inlineStr">
        <is>
          <t>Current town projects and development information.</t>
        </is>
      </c>
      <c r="F88" s="1260" t="inlineStr">
        <is>
          <t>Monitor infrastructure and development activity.</t>
        </is>
      </c>
      <c r="G88" s="1256" t="inlineStr">
        <is>
          <t>https://www.bennettco.gov/projects</t>
        </is>
      </c>
      <c r="H88" s="1259" t="inlineStr">
        <is>
          <t>High</t>
        </is>
      </c>
    </row>
    <row r="89">
      <c r="B89" s="1259" t="inlineStr">
        <is>
          <t>Bennett</t>
        </is>
      </c>
      <c r="C89" s="1259" t="inlineStr">
        <is>
          <t>Development</t>
        </is>
      </c>
      <c r="D89" s="1259" t="inlineStr">
        <is>
          <t>Applicant Guides</t>
        </is>
      </c>
      <c r="E89" s="1260" t="inlineStr">
        <is>
          <t>Guides for planning and development applications.</t>
        </is>
      </c>
      <c r="F89" s="1260" t="inlineStr">
        <is>
          <t>Understand application standards and submittals.</t>
        </is>
      </c>
      <c r="G89" s="1256" t="inlineStr">
        <is>
          <t>https://www.bennettco.gov/planning-economic-development/page/applicant-guides</t>
        </is>
      </c>
      <c r="H89" s="1259" t="inlineStr">
        <is>
          <t>High</t>
        </is>
      </c>
    </row>
    <row r="90">
      <c r="B90" s="1259" t="inlineStr">
        <is>
          <t>Bennett</t>
        </is>
      </c>
      <c r="C90" s="1259" t="inlineStr">
        <is>
          <t>Permits</t>
        </is>
      </c>
      <c r="D90" s="1259" t="inlineStr">
        <is>
          <t>Self-Service Guide: Permits and Zoning</t>
        </is>
      </c>
      <c r="E90" s="1260" t="inlineStr">
        <is>
          <t>Online guidance for permits and zoning services.</t>
        </is>
      </c>
      <c r="F90" s="1260" t="inlineStr">
        <is>
          <t>Navigate permit and zoning requests.</t>
        </is>
      </c>
      <c r="G90" s="1256" t="inlineStr">
        <is>
          <t>https://www.bennettco.gov/community-development/page/self-service-guide-permits-and-zoning</t>
        </is>
      </c>
      <c r="H90" s="1259" t="inlineStr">
        <is>
          <t>High</t>
        </is>
      </c>
    </row>
    <row r="91">
      <c r="B91" s="1259" t="inlineStr">
        <is>
          <t>Bennett</t>
        </is>
      </c>
      <c r="C91" s="1259" t="inlineStr">
        <is>
          <t>Permits</t>
        </is>
      </c>
      <c r="D91" s="1259" t="inlineStr">
        <is>
          <t>Building Department</t>
        </is>
      </c>
      <c r="E91" s="1260" t="inlineStr">
        <is>
          <t>Building permits, inspections and code information.</t>
        </is>
      </c>
      <c r="F91" s="1260" t="inlineStr">
        <is>
          <t>Research construction permitting.</t>
        </is>
      </c>
      <c r="G91" s="1256" t="inlineStr">
        <is>
          <t>https://www.bennettco.gov/community-development/page/building-department</t>
        </is>
      </c>
      <c r="H91" s="1259" t="inlineStr">
        <is>
          <t>Critical</t>
        </is>
      </c>
    </row>
    <row r="92">
      <c r="B92" s="1259" t="inlineStr">
        <is>
          <t>Bennett</t>
        </is>
      </c>
      <c r="C92" s="1259" t="inlineStr">
        <is>
          <t>Permits</t>
        </is>
      </c>
      <c r="D92" s="1259" t="inlineStr">
        <is>
          <t>How to Obtain a Permit</t>
        </is>
      </c>
      <c r="E92" s="1260" t="inlineStr">
        <is>
          <t>Step-by-step permit guidance.</t>
        </is>
      </c>
      <c r="F92" s="1260" t="inlineStr">
        <is>
          <t>Prepare a building permit application.</t>
        </is>
      </c>
      <c r="G92" s="1256" t="inlineStr">
        <is>
          <t>https://www.bennettco.gov/community-development/page/how-obtain-permit</t>
        </is>
      </c>
      <c r="H92" s="1259" t="inlineStr">
        <is>
          <t>High</t>
        </is>
      </c>
    </row>
    <row r="93">
      <c r="B93" s="1259" t="inlineStr">
        <is>
          <t>Bennett</t>
        </is>
      </c>
      <c r="C93" s="1259" t="inlineStr">
        <is>
          <t>Long-Range Planning</t>
        </is>
      </c>
      <c r="D93" s="1259" t="inlineStr">
        <is>
          <t>Master Plans and Guiding Documents</t>
        </is>
      </c>
      <c r="E93" s="1260" t="inlineStr">
        <is>
          <t>Town master plans and policy documents.</t>
        </is>
      </c>
      <c r="F93" s="1260" t="inlineStr">
        <is>
          <t>Evaluate future land-use and infrastructure direction.</t>
        </is>
      </c>
      <c r="G93" s="1256" t="inlineStr">
        <is>
          <t>https://www.bennettco.gov/planning-economic-development/page/master-plans-and-guiding-documents</t>
        </is>
      </c>
      <c r="H93" s="1259" t="inlineStr">
        <is>
          <t>High</t>
        </is>
      </c>
    </row>
    <row r="94">
      <c r="B94" s="1259" t="inlineStr">
        <is>
          <t>Bennett</t>
        </is>
      </c>
      <c r="C94" s="1259" t="inlineStr">
        <is>
          <t>Meetings</t>
        </is>
      </c>
      <c r="D94" s="1259" t="inlineStr">
        <is>
          <t>Planning &amp; Zoning Commission</t>
        </is>
      </c>
      <c r="E94" s="1260" t="inlineStr">
        <is>
          <t>Commission information and meeting resources.</t>
        </is>
      </c>
      <c r="F94" s="1260" t="inlineStr">
        <is>
          <t>Monitor planning hearings and recommendations.</t>
        </is>
      </c>
      <c r="G94" s="1256" t="inlineStr">
        <is>
          <t>https://www.bennettco.gov/planning-and-zoning-commission</t>
        </is>
      </c>
      <c r="H94" s="1259" t="inlineStr">
        <is>
          <t>High</t>
        </is>
      </c>
    </row>
    <row r="95">
      <c r="B95" s="1259" t="inlineStr">
        <is>
          <t>Bennett</t>
        </is>
      </c>
      <c r="C95" s="1259" t="inlineStr">
        <is>
          <t>Meetings</t>
        </is>
      </c>
      <c r="D95" s="1259" t="inlineStr">
        <is>
          <t>Recent Meetings</t>
        </is>
      </c>
      <c r="E95" s="1260" t="inlineStr">
        <is>
          <t>Agendas and meeting records.</t>
        </is>
      </c>
      <c r="F95" s="1260" t="inlineStr">
        <is>
          <t>Track board and commission actions.</t>
        </is>
      </c>
      <c r="G95" s="1256" t="inlineStr">
        <is>
          <t>https://www.bennettco.gov/meetings/recent</t>
        </is>
      </c>
      <c r="H95" s="1259" t="inlineStr">
        <is>
          <t>High</t>
        </is>
      </c>
    </row>
    <row r="96">
      <c r="B96" s="1259" t="inlineStr">
        <is>
          <t>Bennett</t>
        </is>
      </c>
      <c r="C96" s="1259" t="inlineStr">
        <is>
          <t>Public Records</t>
        </is>
      </c>
      <c r="D96" s="1259" t="inlineStr">
        <is>
          <t>Public Records</t>
        </is>
      </c>
      <c r="E96" s="1260" t="inlineStr">
        <is>
          <t>Town public-records request information.</t>
        </is>
      </c>
      <c r="F96" s="1260" t="inlineStr">
        <is>
          <t>Obtain records not posted online.</t>
        </is>
      </c>
      <c r="G96" s="1256" t="inlineStr">
        <is>
          <t>https://www.bennettco.gov/town-clerk/page/public-records</t>
        </is>
      </c>
      <c r="H96" s="1259" t="inlineStr">
        <is>
          <t>High</t>
        </is>
      </c>
    </row>
    <row r="97">
      <c r="B97" s="1259" t="inlineStr">
        <is>
          <t>Bennett</t>
        </is>
      </c>
      <c r="C97" s="1259" t="inlineStr">
        <is>
          <t>News</t>
        </is>
      </c>
      <c r="D97" s="1259" t="inlineStr">
        <is>
          <t>Town News</t>
        </is>
      </c>
      <c r="E97" s="1260" t="inlineStr">
        <is>
          <t>Official Bennett news and notices.</t>
        </is>
      </c>
      <c r="F97" s="1260" t="inlineStr">
        <is>
          <t>Monitor code, permit, project and public-service updates.</t>
        </is>
      </c>
      <c r="G97" s="1256" t="inlineStr">
        <is>
          <t>https://www.bennettco.gov/news</t>
        </is>
      </c>
      <c r="H97" s="1259" t="inlineStr">
        <is>
          <t>High</t>
        </is>
      </c>
    </row>
    <row r="98">
      <c r="B98" s="1259" t="inlineStr">
        <is>
          <t>Brighton</t>
        </is>
      </c>
      <c r="C98" s="1259" t="inlineStr">
        <is>
          <t>Official Website</t>
        </is>
      </c>
      <c r="D98" s="1259" t="inlineStr">
        <is>
          <t>City of Brighton</t>
        </is>
      </c>
      <c r="E98" s="1260" t="inlineStr">
        <is>
          <t>Main city website.</t>
        </is>
      </c>
      <c r="F98" s="1260" t="inlineStr">
        <is>
          <t>Navigate city services and departments.</t>
        </is>
      </c>
      <c r="G98" s="1256" t="inlineStr">
        <is>
          <t>https://www.brightonco.gov/</t>
        </is>
      </c>
      <c r="H98" s="1259" t="inlineStr">
        <is>
          <t>Reference</t>
        </is>
      </c>
    </row>
    <row r="99">
      <c r="B99" s="1259" t="inlineStr">
        <is>
          <t>Brighton</t>
        </is>
      </c>
      <c r="C99" s="1259" t="inlineStr">
        <is>
          <t>GIS / Property</t>
        </is>
      </c>
      <c r="D99" s="1259" t="inlineStr">
        <is>
          <t>Geographic Information Systems</t>
        </is>
      </c>
      <c r="E99" s="1260" t="inlineStr">
        <is>
          <t>City GIS maps and data.</t>
        </is>
      </c>
      <c r="F99" s="1260" t="inlineStr">
        <is>
          <t>Research parcels, infrastructure and municipal mapping.</t>
        </is>
      </c>
      <c r="G99" s="1256" t="inlineStr">
        <is>
          <t>https://www.brightonco.gov/248/Geographic-Information-Systems</t>
        </is>
      </c>
      <c r="H99" s="1259" t="inlineStr">
        <is>
          <t>Critical</t>
        </is>
      </c>
    </row>
    <row r="100">
      <c r="B100" s="1259" t="inlineStr">
        <is>
          <t>Brighton</t>
        </is>
      </c>
      <c r="C100" s="1259" t="inlineStr">
        <is>
          <t>Zoning / Planning</t>
        </is>
      </c>
      <c r="D100" s="1259" t="inlineStr">
        <is>
          <t>Planning &amp; Zoning</t>
        </is>
      </c>
      <c r="E100" s="1260" t="inlineStr">
        <is>
          <t>Planning, zoning, applications and staff resources.</t>
        </is>
      </c>
      <c r="F100" s="1260" t="inlineStr">
        <is>
          <t>Start zoning and entitlement research.</t>
        </is>
      </c>
      <c r="G100" s="1256" t="inlineStr">
        <is>
          <t>https://www.brightonco.gov/224/Planning-Zoning</t>
        </is>
      </c>
      <c r="H100" s="1259" t="inlineStr">
        <is>
          <t>Critical</t>
        </is>
      </c>
    </row>
    <row r="101">
      <c r="B101" s="1259" t="inlineStr">
        <is>
          <t>Brighton</t>
        </is>
      </c>
      <c r="C101" s="1259" t="inlineStr">
        <is>
          <t>Code</t>
        </is>
      </c>
      <c r="D101" s="1259" t="inlineStr">
        <is>
          <t>Land Use &amp; Development Code</t>
        </is>
      </c>
      <c r="E101" s="1260" t="inlineStr">
        <is>
          <t>Current city land-use and development code.</t>
        </is>
      </c>
      <c r="F101" s="1260" t="inlineStr">
        <is>
          <t>Review zoning districts, uses and development standards.</t>
        </is>
      </c>
      <c r="G101" s="1256" t="inlineStr">
        <is>
          <t>https://www.brightonco.gov/363/Land-Use-Development-Code</t>
        </is>
      </c>
      <c r="H101" s="1259" t="inlineStr">
        <is>
          <t>Critical</t>
        </is>
      </c>
    </row>
    <row r="102">
      <c r="B102" s="1259" t="inlineStr">
        <is>
          <t>Brighton</t>
        </is>
      </c>
      <c r="C102" s="1259" t="inlineStr">
        <is>
          <t>Development</t>
        </is>
      </c>
      <c r="D102" s="1259" t="inlineStr">
        <is>
          <t>Land Use &amp; Development Applications</t>
        </is>
      </c>
      <c r="E102" s="1260" t="inlineStr">
        <is>
          <t>Applications and procedural information.</t>
        </is>
      </c>
      <c r="F102" s="1260" t="inlineStr">
        <is>
          <t>Identify entitlement types and application requirements.</t>
        </is>
      </c>
      <c r="G102" s="1256" t="inlineStr">
        <is>
          <t>https://www.brightonco.gov/1142/Land-Use-Development-Applications</t>
        </is>
      </c>
      <c r="H102" s="1259" t="inlineStr">
        <is>
          <t>High</t>
        </is>
      </c>
    </row>
    <row r="103">
      <c r="B103" s="1259" t="inlineStr">
        <is>
          <t>Brighton</t>
        </is>
      </c>
      <c r="C103" s="1259" t="inlineStr">
        <is>
          <t>Development</t>
        </is>
      </c>
      <c r="D103" s="1259" t="inlineStr">
        <is>
          <t>Interactive Development Map</t>
        </is>
      </c>
      <c r="E103" s="1260" t="inlineStr">
        <is>
          <t>Interactive map of development activity.</t>
        </is>
      </c>
      <c r="F103" s="1260" t="inlineStr">
        <is>
          <t>Find active projects near a target property.</t>
        </is>
      </c>
      <c r="G103" s="1256" t="inlineStr">
        <is>
          <t>https://www.brightonco.gov/1596/Interactive-Development-Map</t>
        </is>
      </c>
      <c r="H103" s="1259" t="inlineStr">
        <is>
          <t>Critical</t>
        </is>
      </c>
    </row>
    <row r="104">
      <c r="B104" s="1259" t="inlineStr">
        <is>
          <t>Brighton</t>
        </is>
      </c>
      <c r="C104" s="1259" t="inlineStr">
        <is>
          <t>Development</t>
        </is>
      </c>
      <c r="D104" s="1259" t="inlineStr">
        <is>
          <t>Development Resources</t>
        </is>
      </c>
      <c r="E104" s="1260" t="inlineStr">
        <is>
          <t>Development standards, guides and applicant resources.</t>
        </is>
      </c>
      <c r="F104" s="1260" t="inlineStr">
        <is>
          <t>Plan a development submittal or feasibility review.</t>
        </is>
      </c>
      <c r="G104" s="1256" t="inlineStr">
        <is>
          <t>https://www.brightonco.gov/1146/Development-Resources</t>
        </is>
      </c>
      <c r="H104" s="1259" t="inlineStr">
        <is>
          <t>High</t>
        </is>
      </c>
    </row>
    <row r="105">
      <c r="B105" s="1259" t="inlineStr">
        <is>
          <t>Brighton</t>
        </is>
      </c>
      <c r="C105" s="1259" t="inlineStr">
        <is>
          <t>Permits</t>
        </is>
      </c>
      <c r="D105" s="1259" t="inlineStr">
        <is>
          <t>Permitting</t>
        </is>
      </c>
      <c r="E105" s="1260" t="inlineStr">
        <is>
          <t>City permitting resources and online services.</t>
        </is>
      </c>
      <c r="F105" s="1260" t="inlineStr">
        <is>
          <t>Research permit requirements and status.</t>
        </is>
      </c>
      <c r="G105" s="1256" t="inlineStr">
        <is>
          <t>https://www.brightonco.gov/222/Permitting</t>
        </is>
      </c>
      <c r="H105" s="1259" t="inlineStr">
        <is>
          <t>Critical</t>
        </is>
      </c>
    </row>
    <row r="106">
      <c r="B106" s="1259" t="inlineStr">
        <is>
          <t>Brighton</t>
        </is>
      </c>
      <c r="C106" s="1259" t="inlineStr">
        <is>
          <t>Codes</t>
        </is>
      </c>
      <c r="D106" s="1259" t="inlineStr">
        <is>
          <t>Codes</t>
        </is>
      </c>
      <c r="E106" s="1260" t="inlineStr">
        <is>
          <t>Building and municipal code resources.</t>
        </is>
      </c>
      <c r="F106" s="1260" t="inlineStr">
        <is>
          <t>Confirm adopted construction and municipal standards.</t>
        </is>
      </c>
      <c r="G106" s="1256" t="inlineStr">
        <is>
          <t>https://www.brightonco.gov/1194/Codes</t>
        </is>
      </c>
      <c r="H106" s="1259" t="inlineStr">
        <is>
          <t>High</t>
        </is>
      </c>
    </row>
    <row r="107">
      <c r="B107" s="1259" t="inlineStr">
        <is>
          <t>Brighton</t>
        </is>
      </c>
      <c r="C107" s="1259" t="inlineStr">
        <is>
          <t>Long-Range Planning</t>
        </is>
      </c>
      <c r="D107" s="1259" t="inlineStr">
        <is>
          <t>Long Range Planning</t>
        </is>
      </c>
      <c r="E107" s="1260" t="inlineStr">
        <is>
          <t>Comprehensive and area planning resources.</t>
        </is>
      </c>
      <c r="F107" s="1260" t="inlineStr">
        <is>
          <t>Research future land use and long-range initiatives.</t>
        </is>
      </c>
      <c r="G107" s="1256" t="inlineStr">
        <is>
          <t>https://www.brightonco.gov/553/Long-Range-Planning</t>
        </is>
      </c>
      <c r="H107" s="1259" t="inlineStr">
        <is>
          <t>High</t>
        </is>
      </c>
    </row>
    <row r="108">
      <c r="B108" s="1259" t="inlineStr">
        <is>
          <t>Brighton</t>
        </is>
      </c>
      <c r="C108" s="1259" t="inlineStr">
        <is>
          <t>Meetings</t>
        </is>
      </c>
      <c r="D108" s="1259" t="inlineStr">
        <is>
          <t>Planning Commission</t>
        </is>
      </c>
      <c r="E108" s="1260" t="inlineStr">
        <is>
          <t>Planning Commission information.</t>
        </is>
      </c>
      <c r="F108" s="1260" t="inlineStr">
        <is>
          <t>Monitor land-use hearings and recommendations.</t>
        </is>
      </c>
      <c r="G108" s="1256" t="inlineStr">
        <is>
          <t>https://www.brightonco.gov/197/Planning-Commission</t>
        </is>
      </c>
      <c r="H108" s="1259" t="inlineStr">
        <is>
          <t>High</t>
        </is>
      </c>
    </row>
    <row r="109">
      <c r="B109" s="1259" t="inlineStr">
        <is>
          <t>Brighton</t>
        </is>
      </c>
      <c r="C109" s="1259" t="inlineStr">
        <is>
          <t>Meetings</t>
        </is>
      </c>
      <c r="D109" s="1259" t="inlineStr">
        <is>
          <t>Agenda Center</t>
        </is>
      </c>
      <c r="E109" s="1260" t="inlineStr">
        <is>
          <t>Agendas, minutes and meeting records.</t>
        </is>
      </c>
      <c r="F109" s="1260" t="inlineStr">
        <is>
          <t>Track official city decisions.</t>
        </is>
      </c>
      <c r="G109" s="1256" t="inlineStr">
        <is>
          <t>https://www.brightonco.gov/agendacenter</t>
        </is>
      </c>
      <c r="H109" s="1259" t="inlineStr">
        <is>
          <t>High</t>
        </is>
      </c>
    </row>
    <row r="110">
      <c r="B110" s="1259" t="inlineStr">
        <is>
          <t>Brighton</t>
        </is>
      </c>
      <c r="C110" s="1259" t="inlineStr">
        <is>
          <t>Public Notices</t>
        </is>
      </c>
      <c r="D110" s="1259" t="inlineStr">
        <is>
          <t>Legal Notices</t>
        </is>
      </c>
      <c r="E110" s="1260" t="inlineStr">
        <is>
          <t>Official legal notices and hearing postings.</t>
        </is>
      </c>
      <c r="F110" s="1260" t="inlineStr">
        <is>
          <t>Confirm formal notices and deadlines.</t>
        </is>
      </c>
      <c r="G110" s="1256" t="inlineStr">
        <is>
          <t>https://www.brightonco.gov/453/Legal-Notices</t>
        </is>
      </c>
      <c r="H110" s="1259" t="inlineStr">
        <is>
          <t>High</t>
        </is>
      </c>
    </row>
    <row r="111">
      <c r="B111" s="1259" t="inlineStr">
        <is>
          <t>Brighton</t>
        </is>
      </c>
      <c r="C111" s="1259" t="inlineStr">
        <is>
          <t>News</t>
        </is>
      </c>
      <c r="D111" s="1259" t="inlineStr">
        <is>
          <t>City News</t>
        </is>
      </c>
      <c r="E111" s="1260" t="inlineStr">
        <is>
          <t>Official city news and announcements.</t>
        </is>
      </c>
      <c r="F111" s="1260" t="inlineStr">
        <is>
          <t>Monitor projects, policy and community changes.</t>
        </is>
      </c>
      <c r="G111" s="1256" t="inlineStr">
        <is>
          <t>https://www.brightonco.gov/175/News</t>
        </is>
      </c>
      <c r="H111" s="1259" t="inlineStr">
        <is>
          <t>Useful</t>
        </is>
      </c>
    </row>
    <row r="112">
      <c r="B112" s="1259" t="inlineStr">
        <is>
          <t>Brighton</t>
        </is>
      </c>
      <c r="C112" s="1259" t="inlineStr">
        <is>
          <t>Alerts</t>
        </is>
      </c>
      <c r="D112" s="1259" t="inlineStr">
        <is>
          <t>Notify Me</t>
        </is>
      </c>
      <c r="E112" s="1260" t="inlineStr">
        <is>
          <t>Email subscription categories and alerts.</t>
        </is>
      </c>
      <c r="F112" s="1260" t="inlineStr">
        <is>
          <t>Subscribe to meeting, project and news updates.</t>
        </is>
      </c>
      <c r="G112" s="1256" t="inlineStr">
        <is>
          <t>https://www.brightonco.gov/notifyme</t>
        </is>
      </c>
      <c r="H112" s="1259" t="inlineStr">
        <is>
          <t>Useful</t>
        </is>
      </c>
    </row>
    <row r="113">
      <c r="B113" s="1259" t="inlineStr">
        <is>
          <t>Commerce City</t>
        </is>
      </c>
      <c r="C113" s="1259" t="inlineStr">
        <is>
          <t>Official Website</t>
        </is>
      </c>
      <c r="D113" s="1259" t="inlineStr">
        <is>
          <t>Commerce City</t>
        </is>
      </c>
      <c r="E113" s="1260" t="inlineStr">
        <is>
          <t>Main city website.</t>
        </is>
      </c>
      <c r="F113" s="1260" t="inlineStr">
        <is>
          <t>Navigate city departments and services.</t>
        </is>
      </c>
      <c r="G113" s="1256" t="inlineStr">
        <is>
          <t>https://www.c3gov.com/Home</t>
        </is>
      </c>
      <c r="H113" s="1259" t="inlineStr">
        <is>
          <t>Reference</t>
        </is>
      </c>
    </row>
    <row r="114">
      <c r="B114" s="1259" t="inlineStr">
        <is>
          <t>Commerce City</t>
        </is>
      </c>
      <c r="C114" s="1259" t="inlineStr">
        <is>
          <t>GIS / Property</t>
        </is>
      </c>
      <c r="D114" s="1259" t="inlineStr">
        <is>
          <t>Maps, Data &amp; GIS</t>
        </is>
      </c>
      <c r="E114" s="1260" t="inlineStr">
        <is>
          <t>City maps, data and GIS resources.</t>
        </is>
      </c>
      <c r="F114" s="1260" t="inlineStr">
        <is>
          <t>Research zoning, parcels, boundaries and infrastructure.</t>
        </is>
      </c>
      <c r="G114" s="1256" t="inlineStr">
        <is>
          <t>https://www.c3gov.com/Residents/Maps-Data-GIS</t>
        </is>
      </c>
      <c r="H114" s="1259" t="inlineStr">
        <is>
          <t>Critical</t>
        </is>
      </c>
    </row>
    <row r="115">
      <c r="B115" s="1259" t="inlineStr">
        <is>
          <t>Commerce City</t>
        </is>
      </c>
      <c r="C115" s="1259" t="inlineStr">
        <is>
          <t>Code</t>
        </is>
      </c>
      <c r="D115" s="1259" t="inlineStr">
        <is>
          <t>Land Development Code</t>
        </is>
      </c>
      <c r="E115" s="1260" t="inlineStr">
        <is>
          <t>City land-development regulations.</t>
        </is>
      </c>
      <c r="F115" s="1260" t="inlineStr">
        <is>
          <t>Review zoning, use, subdivision and development standards.</t>
        </is>
      </c>
      <c r="G115" s="1256" t="inlineStr">
        <is>
          <t>https://www.c3gov.com/Government/City-Codes/Land-Development-Code</t>
        </is>
      </c>
      <c r="H115" s="1259" t="inlineStr">
        <is>
          <t>Critical</t>
        </is>
      </c>
    </row>
    <row r="116">
      <c r="B116" s="1259" t="inlineStr">
        <is>
          <t>Commerce City</t>
        </is>
      </c>
      <c r="C116" s="1259" t="inlineStr">
        <is>
          <t>Code</t>
        </is>
      </c>
      <c r="D116" s="1259" t="inlineStr">
        <is>
          <t>Land Development Code Transition</t>
        </is>
      </c>
      <c r="E116" s="1260" t="inlineStr">
        <is>
          <t>Information on current code changes and transition rules.</t>
        </is>
      </c>
      <c r="F116" s="1260" t="inlineStr">
        <is>
          <t>Check which code version applies to a project.</t>
        </is>
      </c>
      <c r="G116" s="1256" t="inlineStr">
        <is>
          <t>https://www.c3gov.com/Government/City-Codes/Land-Development-Code/Land-Development-Code-Transition</t>
        </is>
      </c>
      <c r="H116" s="1259" t="inlineStr">
        <is>
          <t>High</t>
        </is>
      </c>
    </row>
    <row r="117">
      <c r="B117" s="1259" t="inlineStr">
        <is>
          <t>Commerce City</t>
        </is>
      </c>
      <c r="C117" s="1259" t="inlineStr">
        <is>
          <t>Zoning / Standards</t>
        </is>
      </c>
      <c r="D117" s="1259" t="inlineStr">
        <is>
          <t>Land Use Standards</t>
        </is>
      </c>
      <c r="E117" s="1260" t="inlineStr">
        <is>
          <t>Land-use and development standards.</t>
        </is>
      </c>
      <c r="F117" s="1260" t="inlineStr">
        <is>
          <t>Confirm site and use requirements.</t>
        </is>
      </c>
      <c r="G117" s="1256" t="inlineStr">
        <is>
          <t>https://www.c3gov.com/Business-Development/Developing-in-Commerce-City/Land-Use-Standards</t>
        </is>
      </c>
      <c r="H117" s="1259" t="inlineStr">
        <is>
          <t>Critical</t>
        </is>
      </c>
    </row>
    <row r="118">
      <c r="B118" s="1259" t="inlineStr">
        <is>
          <t>Commerce City</t>
        </is>
      </c>
      <c r="C118" s="1259" t="inlineStr">
        <is>
          <t>Planning</t>
        </is>
      </c>
      <c r="D118" s="1259" t="inlineStr">
        <is>
          <t>Community Development</t>
        </is>
      </c>
      <c r="E118" s="1260" t="inlineStr">
        <is>
          <t>Planning, building and development department resources.</t>
        </is>
      </c>
      <c r="F118" s="1260" t="inlineStr">
        <is>
          <t>Start land-use and development research.</t>
        </is>
      </c>
      <c r="G118" s="1256" t="inlineStr">
        <is>
          <t>https://www.c3gov.com/Government/Departments-Divisions/Community-Development</t>
        </is>
      </c>
      <c r="H118" s="1259" t="inlineStr">
        <is>
          <t>High</t>
        </is>
      </c>
    </row>
    <row r="119">
      <c r="B119" s="1259" t="inlineStr">
        <is>
          <t>Commerce City</t>
        </is>
      </c>
      <c r="C119" s="1259" t="inlineStr">
        <is>
          <t>Development</t>
        </is>
      </c>
      <c r="D119" s="1259" t="inlineStr">
        <is>
          <t>Developing in Commerce City</t>
        </is>
      </c>
      <c r="E119" s="1260" t="inlineStr">
        <is>
          <t>Development-process overview and resources.</t>
        </is>
      </c>
      <c r="F119" s="1260" t="inlineStr">
        <is>
          <t>Understand approvals, standards and contacts.</t>
        </is>
      </c>
      <c r="G119" s="1256" t="inlineStr">
        <is>
          <t>https://www.c3gov.com/Business-Development/Developing-in-Commerce-City</t>
        </is>
      </c>
      <c r="H119" s="1259" t="inlineStr">
        <is>
          <t>High</t>
        </is>
      </c>
    </row>
    <row r="120">
      <c r="B120" s="1259" t="inlineStr">
        <is>
          <t>Commerce City</t>
        </is>
      </c>
      <c r="C120" s="1259" t="inlineStr">
        <is>
          <t>Development</t>
        </is>
      </c>
      <c r="D120" s="1259" t="inlineStr">
        <is>
          <t>Land Use Approvals</t>
        </is>
      </c>
      <c r="E120" s="1260" t="inlineStr">
        <is>
          <t>Land-use approval types and application guidance.</t>
        </is>
      </c>
      <c r="F120" s="1260" t="inlineStr">
        <is>
          <t>Determine the entitlement process for a proposal.</t>
        </is>
      </c>
      <c r="G120" s="1256" t="inlineStr">
        <is>
          <t>https://www.c3gov.com/Business-Development/Developing-in-Commerce-City/Land-Use-Approvals</t>
        </is>
      </c>
      <c r="H120" s="1259" t="inlineStr">
        <is>
          <t>High</t>
        </is>
      </c>
    </row>
    <row r="121">
      <c r="B121" s="1259" t="inlineStr">
        <is>
          <t>Commerce City</t>
        </is>
      </c>
      <c r="C121" s="1259" t="inlineStr">
        <is>
          <t>Development</t>
        </is>
      </c>
      <c r="D121" s="1259" t="inlineStr">
        <is>
          <t>Development Projects Map</t>
        </is>
      </c>
      <c r="E121" s="1260" t="inlineStr">
        <is>
          <t>Map of active development projects.</t>
        </is>
      </c>
      <c r="F121" s="1260" t="inlineStr">
        <is>
          <t>Identify projects near a property and monitor status.</t>
        </is>
      </c>
      <c r="G121" s="1256" t="inlineStr">
        <is>
          <t>https://www.c3gov.com/Business-Development/Development-Projects-Map</t>
        </is>
      </c>
      <c r="H121" s="1259" t="inlineStr">
        <is>
          <t>Critical</t>
        </is>
      </c>
    </row>
    <row r="122">
      <c r="B122" s="1259" t="inlineStr">
        <is>
          <t>Commerce City</t>
        </is>
      </c>
      <c r="C122" s="1259" t="inlineStr">
        <is>
          <t>Permits</t>
        </is>
      </c>
      <c r="D122" s="1259" t="inlineStr">
        <is>
          <t>Building Permits &amp; Inspections</t>
        </is>
      </c>
      <c r="E122" s="1260" t="inlineStr">
        <is>
          <t>Building-permit and inspection information.</t>
        </is>
      </c>
      <c r="F122" s="1260" t="inlineStr">
        <is>
          <t>Research construction permits and inspections.</t>
        </is>
      </c>
      <c r="G122" s="1256" t="inlineStr">
        <is>
          <t>https://www.c3gov.com/Business-Development/Building-Permits-Inspections</t>
        </is>
      </c>
      <c r="H122" s="1259" t="inlineStr">
        <is>
          <t>Critical</t>
        </is>
      </c>
    </row>
    <row r="123">
      <c r="B123" s="1259" t="inlineStr">
        <is>
          <t>Commerce City</t>
        </is>
      </c>
      <c r="C123" s="1259" t="inlineStr">
        <is>
          <t>Online Portal</t>
        </is>
      </c>
      <c r="D123" s="1259" t="inlineStr">
        <is>
          <t>eTRAKiT Portal</t>
        </is>
      </c>
      <c r="E123" s="1260" t="inlineStr">
        <is>
          <t>Online permitting and project portal.</t>
        </is>
      </c>
      <c r="F123" s="1260" t="inlineStr">
        <is>
          <t>Search or manage permits and development cases.</t>
        </is>
      </c>
      <c r="G123" s="1256" t="inlineStr">
        <is>
          <t>https://www.c3gov.com/Business-Development/eTRAKiT-Portal</t>
        </is>
      </c>
      <c r="H123" s="1259" t="inlineStr">
        <is>
          <t>High</t>
        </is>
      </c>
    </row>
    <row r="124">
      <c r="B124" s="1259" t="inlineStr">
        <is>
          <t>Commerce City</t>
        </is>
      </c>
      <c r="C124" s="1259" t="inlineStr">
        <is>
          <t>Long-Range Planning</t>
        </is>
      </c>
      <c r="D124" s="1259" t="inlineStr">
        <is>
          <t>Comprehensive Plan</t>
        </is>
      </c>
      <c r="E124" s="1260" t="inlineStr">
        <is>
          <t>City comprehensive plan and related documents.</t>
        </is>
      </c>
      <c r="F124" s="1260" t="inlineStr">
        <is>
          <t>Evaluate future land use and city policy.</t>
        </is>
      </c>
      <c r="G124" s="1256" t="inlineStr">
        <is>
          <t>https://www.c3gov.com/Government/City-Charter-Master-Plans/Comprehensive-Plan</t>
        </is>
      </c>
      <c r="H124" s="1259" t="inlineStr">
        <is>
          <t>High</t>
        </is>
      </c>
    </row>
    <row r="125">
      <c r="B125" s="1259" t="inlineStr">
        <is>
          <t>Commerce City</t>
        </is>
      </c>
      <c r="C125" s="1259" t="inlineStr">
        <is>
          <t>Meetings</t>
        </is>
      </c>
      <c r="D125" s="1259" t="inlineStr">
        <is>
          <t>Planning Commission</t>
        </is>
      </c>
      <c r="E125" s="1260" t="inlineStr">
        <is>
          <t>Planning Commission information and meetings.</t>
        </is>
      </c>
      <c r="F125" s="1260" t="inlineStr">
        <is>
          <t>Monitor planning hearings and recommendations.</t>
        </is>
      </c>
      <c r="G125" s="1256" t="inlineStr">
        <is>
          <t>https://www.c3gov.com/Government/Boards-Commissions/Planning-Commission</t>
        </is>
      </c>
      <c r="H125" s="1259" t="inlineStr">
        <is>
          <t>High</t>
        </is>
      </c>
    </row>
    <row r="126">
      <c r="B126" s="1259" t="inlineStr">
        <is>
          <t>Commerce City</t>
        </is>
      </c>
      <c r="C126" s="1259" t="inlineStr">
        <is>
          <t>Meetings</t>
        </is>
      </c>
      <c r="D126" s="1259" t="inlineStr">
        <is>
          <t>Meeting Agendas and Schedules</t>
        </is>
      </c>
      <c r="E126" s="1260" t="inlineStr">
        <is>
          <t>Agendas, schedules and public meeting records.</t>
        </is>
      </c>
      <c r="F126" s="1260" t="inlineStr">
        <is>
          <t>Track city council and board action.</t>
        </is>
      </c>
      <c r="G126" s="1256" t="inlineStr">
        <is>
          <t>https://www.c3gov.com/Site-Footer/Footer-Widgets/Quick-Links/Meeting-Agendas-and-Schedules</t>
        </is>
      </c>
      <c r="H126" s="1259" t="inlineStr">
        <is>
          <t>High</t>
        </is>
      </c>
    </row>
    <row r="127">
      <c r="B127" s="1259" t="inlineStr">
        <is>
          <t>Commerce City</t>
        </is>
      </c>
      <c r="C127" s="1259" t="inlineStr">
        <is>
          <t>Public Notices</t>
        </is>
      </c>
      <c r="D127" s="1259" t="inlineStr">
        <is>
          <t>Legal Notices &amp; Ordinances</t>
        </is>
      </c>
      <c r="E127" s="1260" t="inlineStr">
        <is>
          <t>Official legal notices and ordinances.</t>
        </is>
      </c>
      <c r="F127" s="1260" t="inlineStr">
        <is>
          <t>Confirm hearings, ordinances and public-notice deadlines.</t>
        </is>
      </c>
      <c r="G127" s="1256" t="inlineStr">
        <is>
          <t>https://www.c3gov.com/Government/Departments-Divisions/City-Clerks-Office/Legal-Notices-Ordinances</t>
        </is>
      </c>
      <c r="H127" s="1259" t="inlineStr">
        <is>
          <t>High</t>
        </is>
      </c>
    </row>
    <row r="128">
      <c r="B128" s="1259" t="inlineStr">
        <is>
          <t>Commerce City</t>
        </is>
      </c>
      <c r="C128" s="1259" t="inlineStr">
        <is>
          <t>News</t>
        </is>
      </c>
      <c r="D128" s="1259" t="inlineStr">
        <is>
          <t>News &amp; Announcements</t>
        </is>
      </c>
      <c r="E128" s="1260" t="inlineStr">
        <is>
          <t>Official city news and announcements.</t>
        </is>
      </c>
      <c r="F128" s="1260" t="inlineStr">
        <is>
          <t>Monitor projects, policies and public updates.</t>
        </is>
      </c>
      <c r="G128" s="1256" t="inlineStr">
        <is>
          <t>https://www.c3gov.com/Government/Media-News/News-Announcements</t>
        </is>
      </c>
      <c r="H128" s="1259" t="inlineStr">
        <is>
          <t>Useful</t>
        </is>
      </c>
    </row>
    <row r="129">
      <c r="B129" s="1259" t="inlineStr">
        <is>
          <t>Federal Heights</t>
        </is>
      </c>
      <c r="C129" s="1259" t="inlineStr">
        <is>
          <t>Official Website</t>
        </is>
      </c>
      <c r="D129" s="1259" t="inlineStr">
        <is>
          <t>City of Federal Heights</t>
        </is>
      </c>
      <c r="E129" s="1260" t="inlineStr">
        <is>
          <t>Main city website.</t>
        </is>
      </c>
      <c r="F129" s="1260" t="inlineStr">
        <is>
          <t>Navigate city services and departments.</t>
        </is>
      </c>
      <c r="G129" s="1256" t="inlineStr">
        <is>
          <t>https://www.fedheights.org/</t>
        </is>
      </c>
      <c r="H129" s="1259" t="inlineStr">
        <is>
          <t>Reference</t>
        </is>
      </c>
    </row>
    <row r="130">
      <c r="B130" s="1259" t="inlineStr">
        <is>
          <t>Federal Heights</t>
        </is>
      </c>
      <c r="C130" s="1259" t="inlineStr">
        <is>
          <t>GIS / Property</t>
        </is>
      </c>
      <c r="D130" s="1259" t="inlineStr">
        <is>
          <t>City Maps and GIS Data</t>
        </is>
      </c>
      <c r="E130" s="1260" t="inlineStr">
        <is>
          <t>City maps, zoning map and GIS resources.</t>
        </is>
      </c>
      <c r="F130" s="1260" t="inlineStr">
        <is>
          <t>Identify municipal boundaries and mapped information.</t>
        </is>
      </c>
      <c r="G130" s="1256" t="inlineStr">
        <is>
          <t>https://www.fedheights.org/index.asp?SEC=D1A883BE-0C29-4602-8CC9-5D6A08DA5503</t>
        </is>
      </c>
      <c r="H130" s="1259" t="inlineStr">
        <is>
          <t>Critical</t>
        </is>
      </c>
    </row>
    <row r="131">
      <c r="B131" s="1259" t="inlineStr">
        <is>
          <t>Federal Heights</t>
        </is>
      </c>
      <c r="C131" s="1259" t="inlineStr">
        <is>
          <t>Zoning</t>
        </is>
      </c>
      <c r="D131" s="1259" t="inlineStr">
        <is>
          <t>Zoning Information</t>
        </is>
      </c>
      <c r="E131" s="1260" t="inlineStr">
        <is>
          <t>Zoning district and zoning process information.</t>
        </is>
      </c>
      <c r="F131" s="1260" t="inlineStr">
        <is>
          <t>Confirm zoning rules and contacts.</t>
        </is>
      </c>
      <c r="G131" s="1256" t="inlineStr">
        <is>
          <t>https://www.fedheights.org/index.asp?SEC=D7AA9940-8607-468A-8215-7308DD3BF799</t>
        </is>
      </c>
      <c r="H131" s="1259" t="inlineStr">
        <is>
          <t>Critical</t>
        </is>
      </c>
    </row>
    <row r="132">
      <c r="B132" s="1259" t="inlineStr">
        <is>
          <t>Federal Heights</t>
        </is>
      </c>
      <c r="C132" s="1259" t="inlineStr">
        <is>
          <t>Planning</t>
        </is>
      </c>
      <c r="D132" s="1259" t="inlineStr">
        <is>
          <t>Planning</t>
        </is>
      </c>
      <c r="E132" s="1260" t="inlineStr">
        <is>
          <t>Planning services and land-use information.</t>
        </is>
      </c>
      <c r="F132" s="1260" t="inlineStr">
        <is>
          <t>Start zoning or development research.</t>
        </is>
      </c>
      <c r="G132" s="1256" t="inlineStr">
        <is>
          <t>https://www.fedheights.org/planning</t>
        </is>
      </c>
      <c r="H132" s="1259" t="inlineStr">
        <is>
          <t>Critical</t>
        </is>
      </c>
    </row>
    <row r="133">
      <c r="B133" s="1259" t="inlineStr">
        <is>
          <t>Federal Heights</t>
        </is>
      </c>
      <c r="C133" s="1259" t="inlineStr">
        <is>
          <t>Code</t>
        </is>
      </c>
      <c r="D133" s="1259" t="inlineStr">
        <is>
          <t>Municipal Code and Charter</t>
        </is>
      </c>
      <c r="E133" s="1260" t="inlineStr">
        <is>
          <t>Municipal code and charter resources.</t>
        </is>
      </c>
      <c r="F133" s="1260" t="inlineStr">
        <is>
          <t>Review official local regulations.</t>
        </is>
      </c>
      <c r="G133" s="1256" t="inlineStr">
        <is>
          <t>https://www.fedheights.org/index.asp?SEC=E0D5E6BC-02A8-4AEF-88A1-9093297C3662</t>
        </is>
      </c>
      <c r="H133" s="1259" t="inlineStr">
        <is>
          <t>High</t>
        </is>
      </c>
    </row>
    <row r="134">
      <c r="B134" s="1259" t="inlineStr">
        <is>
          <t>Federal Heights</t>
        </is>
      </c>
      <c r="C134" s="1259" t="inlineStr">
        <is>
          <t>Permits</t>
        </is>
      </c>
      <c r="D134" s="1259" t="inlineStr">
        <is>
          <t>Building Department</t>
        </is>
      </c>
      <c r="E134" s="1260" t="inlineStr">
        <is>
          <t>Building permits, inspections and adopted codes.</t>
        </is>
      </c>
      <c r="F134" s="1260" t="inlineStr">
        <is>
          <t>Research building-permit requirements.</t>
        </is>
      </c>
      <c r="G134" s="1256" t="inlineStr">
        <is>
          <t>https://www.fedheights.org/index.asp?SEC=D1CB6EB6-9C4B-4FA8-B119-EF1785E54CB6</t>
        </is>
      </c>
      <c r="H134" s="1259" t="inlineStr">
        <is>
          <t>Critical</t>
        </is>
      </c>
    </row>
    <row r="135">
      <c r="B135" s="1259" t="inlineStr">
        <is>
          <t>Federal Heights</t>
        </is>
      </c>
      <c r="C135" s="1259" t="inlineStr">
        <is>
          <t>Permits</t>
        </is>
      </c>
      <c r="D135" s="1259" t="inlineStr">
        <is>
          <t>Building Guides</t>
        </is>
      </c>
      <c r="E135" s="1260" t="inlineStr">
        <is>
          <t>Building and permit guidance documents.</t>
        </is>
      </c>
      <c r="F135" s="1260" t="inlineStr">
        <is>
          <t>Prepare a permit submittal.</t>
        </is>
      </c>
      <c r="G135" s="1256" t="inlineStr">
        <is>
          <t>https://www.fedheights.org/index.asp?SEC=%7BCB7135BC-846F-468B-B85D-0ECE8B03FFCD%7D&amp;persistdesign=none</t>
        </is>
      </c>
      <c r="H135" s="1259" t="inlineStr">
        <is>
          <t>High</t>
        </is>
      </c>
    </row>
    <row r="136">
      <c r="B136" s="1259" t="inlineStr">
        <is>
          <t>Federal Heights</t>
        </is>
      </c>
      <c r="C136" s="1259" t="inlineStr">
        <is>
          <t>Permit History</t>
        </is>
      </c>
      <c r="D136" s="1259" t="inlineStr">
        <is>
          <t>Monthly Permit Reports</t>
        </is>
      </c>
      <c r="E136" s="1260" t="inlineStr">
        <is>
          <t>Monthly building-permit reports.</t>
        </is>
      </c>
      <c r="F136" s="1260" t="inlineStr">
        <is>
          <t>Review recent permit activity and construction trends.</t>
        </is>
      </c>
      <c r="G136" s="1256" t="inlineStr">
        <is>
          <t>https://www.fedheights.org/index.asp?SEC=%7B76F23E1D-0819-4BAB-BD73-23D6092E8A3B%7D&amp;persistdesign=none</t>
        </is>
      </c>
      <c r="H136" s="1259" t="inlineStr">
        <is>
          <t>High</t>
        </is>
      </c>
    </row>
    <row r="137">
      <c r="B137" s="1259" t="inlineStr">
        <is>
          <t>Federal Heights</t>
        </is>
      </c>
      <c r="C137" s="1259" t="inlineStr">
        <is>
          <t>Long-Range Planning</t>
        </is>
      </c>
      <c r="D137" s="1259" t="inlineStr">
        <is>
          <t>Comprehensive Plan</t>
        </is>
      </c>
      <c r="E137" s="1260" t="inlineStr">
        <is>
          <t>Comprehensive-plan information.</t>
        </is>
      </c>
      <c r="F137" s="1260" t="inlineStr">
        <is>
          <t>Evaluate future land use and policy direction.</t>
        </is>
      </c>
      <c r="G137" s="1256" t="inlineStr">
        <is>
          <t>https://www.fedheights.org/index.asp?SEC=%7B5CF1D2C4-3E29-4A1A-BBFA-2BE19B3ABFD0%7D</t>
        </is>
      </c>
      <c r="H137" s="1259" t="inlineStr">
        <is>
          <t>High</t>
        </is>
      </c>
    </row>
    <row r="138">
      <c r="B138" s="1259" t="inlineStr">
        <is>
          <t>Federal Heights</t>
        </is>
      </c>
      <c r="C138" s="1259" t="inlineStr">
        <is>
          <t>Meetings</t>
        </is>
      </c>
      <c r="D138" s="1259" t="inlineStr">
        <is>
          <t>Meetings and Study Sessions</t>
        </is>
      </c>
      <c r="E138" s="1260" t="inlineStr">
        <is>
          <t>Council minutes and audio recordings.</t>
        </is>
      </c>
      <c r="F138" s="1260" t="inlineStr">
        <is>
          <t>Track council decisions and discussions.</t>
        </is>
      </c>
      <c r="G138" s="1256" t="inlineStr">
        <is>
          <t>https://www.fedheights.org/index.asp?SEC=%7BE66D34DF-8290-4807-83DA-3AF56D110C00%7D</t>
        </is>
      </c>
      <c r="H138" s="1259" t="inlineStr">
        <is>
          <t>High</t>
        </is>
      </c>
    </row>
    <row r="139">
      <c r="B139" s="1259" t="inlineStr">
        <is>
          <t>Federal Heights</t>
        </is>
      </c>
      <c r="C139" s="1259" t="inlineStr">
        <is>
          <t>Public Records</t>
        </is>
      </c>
      <c r="D139" s="1259" t="inlineStr">
        <is>
          <t>Public Records</t>
        </is>
      </c>
      <c r="E139" s="1260" t="inlineStr">
        <is>
          <t>Public records request process.</t>
        </is>
      </c>
      <c r="F139" s="1260" t="inlineStr">
        <is>
          <t>Request planning, permit or city records not posted online.</t>
        </is>
      </c>
      <c r="G139" s="1256" t="inlineStr">
        <is>
          <t>https://www.fedheights.org/index.asp?SEC=%7B13723B89-BA4A-47C1-9634-50363F8CD1D2%7D&amp;persistdesign=none</t>
        </is>
      </c>
      <c r="H139" s="1259" t="inlineStr">
        <is>
          <t>High</t>
        </is>
      </c>
    </row>
    <row r="140">
      <c r="B140" s="1259" t="inlineStr">
        <is>
          <t>Federal Heights</t>
        </is>
      </c>
      <c r="C140" s="1259" t="inlineStr">
        <is>
          <t>News</t>
        </is>
      </c>
      <c r="D140" s="1259" t="inlineStr">
        <is>
          <t>News and Events</t>
        </is>
      </c>
      <c r="E140" s="1260" t="inlineStr">
        <is>
          <t>Official news and city calendar.</t>
        </is>
      </c>
      <c r="F140" s="1260" t="inlineStr">
        <is>
          <t>Monitor meetings, announcements and city activity.</t>
        </is>
      </c>
      <c r="G140" s="1256" t="inlineStr">
        <is>
          <t>https://www.fedheights.org/index.asp?SEC=407F7286-34E9-495F-B5F7-88E905D7C9A5</t>
        </is>
      </c>
      <c r="H140" s="1259" t="inlineStr">
        <is>
          <t>Useful</t>
        </is>
      </c>
    </row>
    <row r="141">
      <c r="B141" s="1259" t="inlineStr">
        <is>
          <t>Federal Heights</t>
        </is>
      </c>
      <c r="C141" s="1259" t="inlineStr">
        <is>
          <t>Newsletter</t>
        </is>
      </c>
      <c r="D141" s="1259" t="inlineStr">
        <is>
          <t>The Federal Heights Focus</t>
        </is>
      </c>
      <c r="E141" s="1260" t="inlineStr">
        <is>
          <t>Quarterly official city newsletter.</t>
        </is>
      </c>
      <c r="F141" s="1260" t="inlineStr">
        <is>
          <t>Monitor policy, infrastructure and community updates.</t>
        </is>
      </c>
      <c r="G141" s="1256" t="inlineStr">
        <is>
          <t>https://www.fedheights.org/index.asp?SEC=%7B2E7DCCA1-1FEF-4EA7-8AE7-6C3F92D19EF3%7D&amp;persistdesign=none</t>
        </is>
      </c>
      <c r="H141" s="1259" t="inlineStr">
        <is>
          <t>Useful</t>
        </is>
      </c>
    </row>
    <row r="142">
      <c r="B142" s="1259" t="inlineStr">
        <is>
          <t>Lochbuie</t>
        </is>
      </c>
      <c r="C142" s="1259" t="inlineStr">
        <is>
          <t>Official Website</t>
        </is>
      </c>
      <c r="D142" s="1259" t="inlineStr">
        <is>
          <t>Town of Lochbuie</t>
        </is>
      </c>
      <c r="E142" s="1260" t="inlineStr">
        <is>
          <t>Main town website.</t>
        </is>
      </c>
      <c r="F142" s="1260" t="inlineStr">
        <is>
          <t>Navigate municipal services and updates.</t>
        </is>
      </c>
      <c r="G142" s="1256" t="inlineStr">
        <is>
          <t>https://www.lochbuie.org/</t>
        </is>
      </c>
      <c r="H142" s="1259" t="inlineStr">
        <is>
          <t>Reference</t>
        </is>
      </c>
    </row>
    <row r="143">
      <c r="B143" s="1259" t="inlineStr">
        <is>
          <t>Lochbuie</t>
        </is>
      </c>
      <c r="C143" s="1259" t="inlineStr">
        <is>
          <t>GIS / Property</t>
        </is>
      </c>
      <c r="D143" s="1259" t="inlineStr">
        <is>
          <t>Interactive Land Use Map</t>
        </is>
      </c>
      <c r="E143" s="1260" t="inlineStr">
        <is>
          <t>Interactive land-use and planning map.</t>
        </is>
      </c>
      <c r="F143" s="1260" t="inlineStr">
        <is>
          <t>Research zoning and land-use information.</t>
        </is>
      </c>
      <c r="G143" s="1256" t="inlineStr">
        <is>
          <t>https://www.lochbuie.org/community-dev/page/interactive-land-use-map</t>
        </is>
      </c>
      <c r="H143" s="1259" t="inlineStr">
        <is>
          <t>Critical</t>
        </is>
      </c>
    </row>
    <row r="144">
      <c r="B144" s="1259" t="inlineStr">
        <is>
          <t>Lochbuie</t>
        </is>
      </c>
      <c r="C144" s="1259" t="inlineStr">
        <is>
          <t>GIS / Maps</t>
        </is>
      </c>
      <c r="D144" s="1259" t="inlineStr">
        <is>
          <t>Maps</t>
        </is>
      </c>
      <c r="E144" s="1260" t="inlineStr">
        <is>
          <t>Town mapping resources.</t>
        </is>
      </c>
      <c r="F144" s="1260" t="inlineStr">
        <is>
          <t>Confirm planning areas and municipal map information.</t>
        </is>
      </c>
      <c r="G144" s="1256" t="inlineStr">
        <is>
          <t>https://www.lochbuie.org/community-dev/page/maps</t>
        </is>
      </c>
      <c r="H144" s="1259" t="inlineStr">
        <is>
          <t>High</t>
        </is>
      </c>
    </row>
    <row r="145">
      <c r="B145" s="1259" t="inlineStr">
        <is>
          <t>Lochbuie</t>
        </is>
      </c>
      <c r="C145" s="1259" t="inlineStr">
        <is>
          <t>Zoning</t>
        </is>
      </c>
      <c r="D145" s="1259" t="inlineStr">
        <is>
          <t>Zoning Map</t>
        </is>
      </c>
      <c r="E145" s="1260" t="inlineStr">
        <is>
          <t>Official town zoning map.</t>
        </is>
      </c>
      <c r="F145" s="1260" t="inlineStr">
        <is>
          <t>Identify a property's zoning district.</t>
        </is>
      </c>
      <c r="G145" s="1256" t="inlineStr">
        <is>
          <t>https://www.lochbuie.org/administration/page/zoning-map</t>
        </is>
      </c>
      <c r="H145" s="1259" t="inlineStr">
        <is>
          <t>Critical</t>
        </is>
      </c>
    </row>
    <row r="146">
      <c r="B146" s="1259" t="inlineStr">
        <is>
          <t>Lochbuie</t>
        </is>
      </c>
      <c r="C146" s="1259" t="inlineStr">
        <is>
          <t>Planning</t>
        </is>
      </c>
      <c r="D146" s="1259" t="inlineStr">
        <is>
          <t>Current Planning</t>
        </is>
      </c>
      <c r="E146" s="1260" t="inlineStr">
        <is>
          <t>Current planning applications and services.</t>
        </is>
      </c>
      <c r="F146" s="1260" t="inlineStr">
        <is>
          <t>Research ongoing land-use review.</t>
        </is>
      </c>
      <c r="G146" s="1256" t="inlineStr">
        <is>
          <t>https://www.lochbuie.org/community-dev/page/current-planning</t>
        </is>
      </c>
      <c r="H146" s="1259" t="inlineStr">
        <is>
          <t>Critical</t>
        </is>
      </c>
    </row>
    <row r="147">
      <c r="B147" s="1259" t="inlineStr">
        <is>
          <t>Lochbuie</t>
        </is>
      </c>
      <c r="C147" s="1259" t="inlineStr">
        <is>
          <t>Planning</t>
        </is>
      </c>
      <c r="D147" s="1259" t="inlineStr">
        <is>
          <t>Community Development</t>
        </is>
      </c>
      <c r="E147" s="1260" t="inlineStr">
        <is>
          <t>Planning, building and development resources.</t>
        </is>
      </c>
      <c r="F147" s="1260" t="inlineStr">
        <is>
          <t>Start project feasibility and entitlement research.</t>
        </is>
      </c>
      <c r="G147" s="1256" t="inlineStr">
        <is>
          <t>https://www.lochbuie.org/community-dev</t>
        </is>
      </c>
      <c r="H147" s="1259" t="inlineStr">
        <is>
          <t>High</t>
        </is>
      </c>
    </row>
    <row r="148">
      <c r="B148" s="1259" t="inlineStr">
        <is>
          <t>Lochbuie</t>
        </is>
      </c>
      <c r="C148" s="1259" t="inlineStr">
        <is>
          <t>Development</t>
        </is>
      </c>
      <c r="D148" s="1259" t="inlineStr">
        <is>
          <t>Land Use Applications</t>
        </is>
      </c>
      <c r="E148" s="1260" t="inlineStr">
        <is>
          <t>Land-use applications and procedural resources.</t>
        </is>
      </c>
      <c r="F148" s="1260" t="inlineStr">
        <is>
          <t>Determine application types and requirements.</t>
        </is>
      </c>
      <c r="G148" s="1256" t="inlineStr">
        <is>
          <t>https://www.lochbuie.org/community-dev/page/land-use-applications</t>
        </is>
      </c>
      <c r="H148" s="1259" t="inlineStr">
        <is>
          <t>High</t>
        </is>
      </c>
    </row>
    <row r="149">
      <c r="B149" s="1259" t="inlineStr">
        <is>
          <t>Lochbuie</t>
        </is>
      </c>
      <c r="C149" s="1259" t="inlineStr">
        <is>
          <t>Development</t>
        </is>
      </c>
      <c r="D149" s="1259" t="inlineStr">
        <is>
          <t>Development Resources</t>
        </is>
      </c>
      <c r="E149" s="1260" t="inlineStr">
        <is>
          <t>Development forms, standards and guidance.</t>
        </is>
      </c>
      <c r="F149" s="1260" t="inlineStr">
        <is>
          <t>Prepare a development submittal.</t>
        </is>
      </c>
      <c r="G149" s="1256" t="inlineStr">
        <is>
          <t>https://www.lochbuie.org/community-dev/page/development-resources</t>
        </is>
      </c>
      <c r="H149" s="1259" t="inlineStr">
        <is>
          <t>High</t>
        </is>
      </c>
    </row>
    <row r="150">
      <c r="B150" s="1259" t="inlineStr">
        <is>
          <t>Lochbuie</t>
        </is>
      </c>
      <c r="C150" s="1259" t="inlineStr">
        <is>
          <t>Development</t>
        </is>
      </c>
      <c r="D150" s="1259" t="inlineStr">
        <is>
          <t>Active Projects</t>
        </is>
      </c>
      <c r="E150" s="1260" t="inlineStr">
        <is>
          <t>Current town projects.</t>
        </is>
      </c>
      <c r="F150" s="1260" t="inlineStr">
        <is>
          <t>Monitor development and infrastructure activity.</t>
        </is>
      </c>
      <c r="G150" s="1256" t="inlineStr">
        <is>
          <t>https://www.lochbuie.org/projects</t>
        </is>
      </c>
      <c r="H150" s="1259" t="inlineStr">
        <is>
          <t>High</t>
        </is>
      </c>
    </row>
    <row r="151">
      <c r="B151" s="1259" t="inlineStr">
        <is>
          <t>Lochbuie</t>
        </is>
      </c>
      <c r="C151" s="1259" t="inlineStr">
        <is>
          <t>Permits</t>
        </is>
      </c>
      <c r="D151" s="1259" t="inlineStr">
        <is>
          <t>Building Permits and Inspections</t>
        </is>
      </c>
      <c r="E151" s="1260" t="inlineStr">
        <is>
          <t>Building permit and inspection guidance.</t>
        </is>
      </c>
      <c r="F151" s="1260" t="inlineStr">
        <is>
          <t>Research construction permitting.</t>
        </is>
      </c>
      <c r="G151" s="1256" t="inlineStr">
        <is>
          <t>https://www.lochbuie.org/community-dev/page/building-permits-and-inspections</t>
        </is>
      </c>
      <c r="H151" s="1259" t="inlineStr">
        <is>
          <t>Critical</t>
        </is>
      </c>
    </row>
    <row r="152">
      <c r="B152" s="1259" t="inlineStr">
        <is>
          <t>Lochbuie</t>
        </is>
      </c>
      <c r="C152" s="1259" t="inlineStr">
        <is>
          <t>Long-Range Planning</t>
        </is>
      </c>
      <c r="D152" s="1259" t="inlineStr">
        <is>
          <t>Documents / Comprehensive Plan</t>
        </is>
      </c>
      <c r="E152" s="1260" t="inlineStr">
        <is>
          <t>Adopted planning documents, including the current comprehensive plan.</t>
        </is>
      </c>
      <c r="F152" s="1260" t="inlineStr">
        <is>
          <t>Evaluate future land-use and policy direction.</t>
        </is>
      </c>
      <c r="G152" s="1256" t="inlineStr">
        <is>
          <t>https://www.lochbuie.org/community-dev/page/documents</t>
        </is>
      </c>
      <c r="H152" s="1259" t="inlineStr">
        <is>
          <t>High</t>
        </is>
      </c>
    </row>
    <row r="153">
      <c r="B153" s="1259" t="inlineStr">
        <is>
          <t>Lochbuie</t>
        </is>
      </c>
      <c r="C153" s="1259" t="inlineStr">
        <is>
          <t>Long-Range Planning</t>
        </is>
      </c>
      <c r="D153" s="1259" t="inlineStr">
        <is>
          <t>Long-Range Planning</t>
        </is>
      </c>
      <c r="E153" s="1260" t="inlineStr">
        <is>
          <t>Long-range planning initiatives and plans.</t>
        </is>
      </c>
      <c r="F153" s="1260" t="inlineStr">
        <is>
          <t>Track policy and growth planning.</t>
        </is>
      </c>
      <c r="G153" s="1256" t="inlineStr">
        <is>
          <t>https://www.lochbuie.org/community-dev/page/long-range-planning</t>
        </is>
      </c>
      <c r="H153" s="1259" t="inlineStr">
        <is>
          <t>High</t>
        </is>
      </c>
    </row>
    <row r="154">
      <c r="B154" s="1259" t="inlineStr">
        <is>
          <t>Lochbuie</t>
        </is>
      </c>
      <c r="C154" s="1259" t="inlineStr">
        <is>
          <t>Code</t>
        </is>
      </c>
      <c r="D154" s="1259" t="inlineStr">
        <is>
          <t>Ordinances</t>
        </is>
      </c>
      <c r="E154" s="1260" t="inlineStr">
        <is>
          <t>Town ordinances and adopted regulations.</t>
        </is>
      </c>
      <c r="F154" s="1260" t="inlineStr">
        <is>
          <t>Review recent legal changes and local rules.</t>
        </is>
      </c>
      <c r="G154" s="1256" t="inlineStr">
        <is>
          <t>https://www.lochbuie.org/publicnotice/page/ordinances</t>
        </is>
      </c>
      <c r="H154" s="1259" t="inlineStr">
        <is>
          <t>High</t>
        </is>
      </c>
    </row>
    <row r="155">
      <c r="B155" s="1259" t="inlineStr">
        <is>
          <t>Lochbuie</t>
        </is>
      </c>
      <c r="C155" s="1259" t="inlineStr">
        <is>
          <t>Meetings</t>
        </is>
      </c>
      <c r="D155" s="1259" t="inlineStr">
        <is>
          <t>Upcoming Meetings</t>
        </is>
      </c>
      <c r="E155" s="1260" t="inlineStr">
        <is>
          <t>Upcoming board and commission meetings.</t>
        </is>
      </c>
      <c r="F155" s="1260" t="inlineStr">
        <is>
          <t>Monitor hearing dates and agendas.</t>
        </is>
      </c>
      <c r="G155" s="1256" t="inlineStr">
        <is>
          <t>https://www.lochbuie.org/meetings</t>
        </is>
      </c>
      <c r="H155" s="1259" t="inlineStr">
        <is>
          <t>High</t>
        </is>
      </c>
    </row>
    <row r="156">
      <c r="B156" s="1259" t="inlineStr">
        <is>
          <t>Lochbuie</t>
        </is>
      </c>
      <c r="C156" s="1259" t="inlineStr">
        <is>
          <t>Public Notices</t>
        </is>
      </c>
      <c r="D156" s="1259" t="inlineStr">
        <is>
          <t>Public Notices</t>
        </is>
      </c>
      <c r="E156" s="1260" t="inlineStr">
        <is>
          <t>Official public notices.</t>
        </is>
      </c>
      <c r="F156" s="1260" t="inlineStr">
        <is>
          <t>Confirm hearings, ordinances and deadlines.</t>
        </is>
      </c>
      <c r="G156" s="1256" t="inlineStr">
        <is>
          <t>https://www.lochbuie.org/publicnotice</t>
        </is>
      </c>
      <c r="H156" s="1259" t="inlineStr">
        <is>
          <t>High</t>
        </is>
      </c>
    </row>
    <row r="157">
      <c r="B157" s="1259" t="inlineStr">
        <is>
          <t>Lochbuie</t>
        </is>
      </c>
      <c r="C157" s="1259" t="inlineStr">
        <is>
          <t>News</t>
        </is>
      </c>
      <c r="D157" s="1259" t="inlineStr">
        <is>
          <t>Town News</t>
        </is>
      </c>
      <c r="E157" s="1260" t="inlineStr">
        <is>
          <t>Official town news.</t>
        </is>
      </c>
      <c r="F157" s="1260" t="inlineStr">
        <is>
          <t>Monitor development and municipal announcements.</t>
        </is>
      </c>
      <c r="G157" s="1256" t="inlineStr">
        <is>
          <t>https://www.lochbuie.org/news</t>
        </is>
      </c>
      <c r="H157" s="1259" t="inlineStr">
        <is>
          <t>Useful</t>
        </is>
      </c>
    </row>
    <row r="158">
      <c r="B158" s="1259" t="inlineStr">
        <is>
          <t>Lochbuie</t>
        </is>
      </c>
      <c r="C158" s="1259" t="inlineStr">
        <is>
          <t>Alerts</t>
        </is>
      </c>
      <c r="D158" s="1259" t="inlineStr">
        <is>
          <t>Resident Portal / Alerts</t>
        </is>
      </c>
      <c r="E158" s="1260" t="inlineStr">
        <is>
          <t>Town alert and portal resources.</t>
        </is>
      </c>
      <c r="F158" s="1260" t="inlineStr">
        <is>
          <t>Subscribe to current notices and updates.</t>
        </is>
      </c>
      <c r="G158" s="1256" t="inlineStr">
        <is>
          <t>https://www.lochbuie.org/portal</t>
        </is>
      </c>
      <c r="H158" s="1259" t="inlineStr">
        <is>
          <t>Useful</t>
        </is>
      </c>
    </row>
    <row r="159">
      <c r="B159" s="1259" t="inlineStr">
        <is>
          <t>Northglenn</t>
        </is>
      </c>
      <c r="C159" s="1259" t="inlineStr">
        <is>
          <t>Official Website</t>
        </is>
      </c>
      <c r="D159" s="1259" t="inlineStr">
        <is>
          <t>City of Northglenn</t>
        </is>
      </c>
      <c r="E159" s="1260" t="inlineStr">
        <is>
          <t>Main city website.</t>
        </is>
      </c>
      <c r="F159" s="1260" t="inlineStr">
        <is>
          <t>Navigate city services and departments.</t>
        </is>
      </c>
      <c r="G159" s="1256" t="inlineStr">
        <is>
          <t>https://www.northglenn.org/</t>
        </is>
      </c>
      <c r="H159" s="1259" t="inlineStr">
        <is>
          <t>Reference</t>
        </is>
      </c>
    </row>
    <row r="160">
      <c r="B160" s="1259" t="inlineStr">
        <is>
          <t>Northglenn</t>
        </is>
      </c>
      <c r="C160" s="1259" t="inlineStr">
        <is>
          <t>Planning</t>
        </is>
      </c>
      <c r="D160" s="1259" t="inlineStr">
        <is>
          <t>Planning &amp; Development</t>
        </is>
      </c>
      <c r="E160" s="1260" t="inlineStr">
        <is>
          <t>Planning, development review and economic-development resources.</t>
        </is>
      </c>
      <c r="F160" s="1260" t="inlineStr">
        <is>
          <t>Start land-use and development research.</t>
        </is>
      </c>
      <c r="G160" s="1256" t="inlineStr">
        <is>
          <t>https://www.northglenn.org/government/departments/planning_development/index.php</t>
        </is>
      </c>
      <c r="H160" s="1259" t="inlineStr">
        <is>
          <t>Critical</t>
        </is>
      </c>
    </row>
    <row r="161">
      <c r="B161" s="1259" t="inlineStr">
        <is>
          <t>Northglenn</t>
        </is>
      </c>
      <c r="C161" s="1259" t="inlineStr">
        <is>
          <t>Zoning</t>
        </is>
      </c>
      <c r="D161" s="1259" t="inlineStr">
        <is>
          <t>Land Use &amp; Zoning</t>
        </is>
      </c>
      <c r="E161" s="1260" t="inlineStr">
        <is>
          <t>Zoning, land-use code and applications.</t>
        </is>
      </c>
      <c r="F161" s="1260" t="inlineStr">
        <is>
          <t>Confirm district rules and application options.</t>
        </is>
      </c>
      <c r="G161" s="1256" t="inlineStr">
        <is>
          <t>https://www.northglenn.org/government/land_use_zoning/index.php</t>
        </is>
      </c>
      <c r="H161" s="1259" t="inlineStr">
        <is>
          <t>Critical</t>
        </is>
      </c>
    </row>
    <row r="162">
      <c r="B162" s="1259" t="inlineStr">
        <is>
          <t>Northglenn</t>
        </is>
      </c>
      <c r="C162" s="1259" t="inlineStr">
        <is>
          <t>GIS / Zoning</t>
        </is>
      </c>
      <c r="D162" s="1259" t="inlineStr">
        <is>
          <t>Zoning Map</t>
        </is>
      </c>
      <c r="E162" s="1260" t="inlineStr">
        <is>
          <t>Official zoning map.</t>
        </is>
      </c>
      <c r="F162" s="1260" t="inlineStr">
        <is>
          <t>Identify parcel zoning.</t>
        </is>
      </c>
      <c r="G162" s="1256" t="inlineStr">
        <is>
          <t>https://www.northglenn.org/government/land_use_zoning/zoning_map.php</t>
        </is>
      </c>
      <c r="H162" s="1259" t="inlineStr">
        <is>
          <t>Critical</t>
        </is>
      </c>
    </row>
    <row r="163">
      <c r="B163" s="1259" t="inlineStr">
        <is>
          <t>Northglenn</t>
        </is>
      </c>
      <c r="C163" s="1259" t="inlineStr">
        <is>
          <t>GIS / Property</t>
        </is>
      </c>
      <c r="D163" s="1259" t="inlineStr">
        <is>
          <t>QuickZone</t>
        </is>
      </c>
      <c r="E163" s="1260" t="inlineStr">
        <is>
          <t>Interactive zoning/property lookup.</t>
        </is>
      </c>
      <c r="F163" s="1260" t="inlineStr">
        <is>
          <t>Search an address and retrieve zoning information.</t>
        </is>
      </c>
      <c r="G163" s="1256" t="inlineStr">
        <is>
          <t>https://biz.northglenn.org/quickzone</t>
        </is>
      </c>
      <c r="H163" s="1259" t="inlineStr">
        <is>
          <t>Critical</t>
        </is>
      </c>
    </row>
    <row r="164">
      <c r="B164" s="1259" t="inlineStr">
        <is>
          <t>Northglenn</t>
        </is>
      </c>
      <c r="C164" s="1259" t="inlineStr">
        <is>
          <t>Code</t>
        </is>
      </c>
      <c r="D164" s="1259" t="inlineStr">
        <is>
          <t>Unified Development Ordinance</t>
        </is>
      </c>
      <c r="E164" s="1260" t="inlineStr">
        <is>
          <t>Northglenn land-use and development code.</t>
        </is>
      </c>
      <c r="F164" s="1260" t="inlineStr">
        <is>
          <t>Review permitted uses, design and development standards.</t>
        </is>
      </c>
      <c r="G164" s="1256" t="inlineStr">
        <is>
          <t>https://www.northglenn.org/government/land_use_zoning/new_code_northglenn.php</t>
        </is>
      </c>
      <c r="H164" s="1259" t="inlineStr">
        <is>
          <t>Critical</t>
        </is>
      </c>
    </row>
    <row r="165">
      <c r="B165" s="1259" t="inlineStr">
        <is>
          <t>Northglenn</t>
        </is>
      </c>
      <c r="C165" s="1259" t="inlineStr">
        <is>
          <t>Development</t>
        </is>
      </c>
      <c r="D165" s="1259" t="inlineStr">
        <is>
          <t>Land Use Applications</t>
        </is>
      </c>
      <c r="E165" s="1260" t="inlineStr">
        <is>
          <t>Land-use application types and materials.</t>
        </is>
      </c>
      <c r="F165" s="1260" t="inlineStr">
        <is>
          <t>Determine entitlement requirements.</t>
        </is>
      </c>
      <c r="G165" s="1256" t="inlineStr">
        <is>
          <t>https://www.northglenn.org/government/land_use_zoning/land_use_applications.php</t>
        </is>
      </c>
      <c r="H165" s="1259" t="inlineStr">
        <is>
          <t>High</t>
        </is>
      </c>
    </row>
    <row r="166">
      <c r="B166" s="1259" t="inlineStr">
        <is>
          <t>Northglenn</t>
        </is>
      </c>
      <c r="C166" s="1259" t="inlineStr">
        <is>
          <t>Development</t>
        </is>
      </c>
      <c r="D166" s="1259" t="inlineStr">
        <is>
          <t>Development Review Process</t>
        </is>
      </c>
      <c r="E166" s="1260" t="inlineStr">
        <is>
          <t>Development review process and steps.</t>
        </is>
      </c>
      <c r="F166" s="1260" t="inlineStr">
        <is>
          <t>Estimate project path and review timing.</t>
        </is>
      </c>
      <c r="G166" s="1256" t="inlineStr">
        <is>
          <t>https://www.northglenn.org/government/departments/planning_development/development_review_process.php</t>
        </is>
      </c>
      <c r="H166" s="1259" t="inlineStr">
        <is>
          <t>High</t>
        </is>
      </c>
    </row>
    <row r="167">
      <c r="B167" s="1259" t="inlineStr">
        <is>
          <t>Northglenn</t>
        </is>
      </c>
      <c r="C167" s="1259" t="inlineStr">
        <is>
          <t>Development</t>
        </is>
      </c>
      <c r="D167" s="1259" t="inlineStr">
        <is>
          <t>Project Updates</t>
        </is>
      </c>
      <c r="E167" s="1260" t="inlineStr">
        <is>
          <t>City project and construction updates.</t>
        </is>
      </c>
      <c r="F167" s="1260" t="inlineStr">
        <is>
          <t>Monitor development and public infrastructure projects.</t>
        </is>
      </c>
      <c r="G167" s="1256" t="inlineStr">
        <is>
          <t>https://www.northglenn.org/government/project_updates/</t>
        </is>
      </c>
      <c r="H167" s="1259" t="inlineStr">
        <is>
          <t>High</t>
        </is>
      </c>
    </row>
    <row r="168">
      <c r="B168" s="1259" t="inlineStr">
        <is>
          <t>Northglenn</t>
        </is>
      </c>
      <c r="C168" s="1259" t="inlineStr">
        <is>
          <t>Permits</t>
        </is>
      </c>
      <c r="D168" s="1259" t="inlineStr">
        <is>
          <t>Licenses and Permits</t>
        </is>
      </c>
      <c r="E168" s="1260" t="inlineStr">
        <is>
          <t>City licensing and permit resources.</t>
        </is>
      </c>
      <c r="F168" s="1260" t="inlineStr">
        <is>
          <t>Locate applicable permits and application links.</t>
        </is>
      </c>
      <c r="G168" s="1256" t="inlineStr">
        <is>
          <t>https://www.northglenn.org/services/licenses_and_permits/index.php</t>
        </is>
      </c>
      <c r="H168" s="1259" t="inlineStr">
        <is>
          <t>High</t>
        </is>
      </c>
    </row>
    <row r="169">
      <c r="B169" s="1259" t="inlineStr">
        <is>
          <t>Northglenn</t>
        </is>
      </c>
      <c r="C169" s="1259" t="inlineStr">
        <is>
          <t>Permits</t>
        </is>
      </c>
      <c r="D169" s="1259" t="inlineStr">
        <is>
          <t>Pull a Permit</t>
        </is>
      </c>
      <c r="E169" s="1260" t="inlineStr">
        <is>
          <t>Building-permit application guidance.</t>
        </is>
      </c>
      <c r="F169" s="1260" t="inlineStr">
        <is>
          <t>Apply for or research building permits.</t>
        </is>
      </c>
      <c r="G169" s="1256" t="inlineStr">
        <is>
          <t>https://www.northglenn.org/government/departments/building/pull_a_permit.php</t>
        </is>
      </c>
      <c r="H169" s="1259" t="inlineStr">
        <is>
          <t>Critical</t>
        </is>
      </c>
    </row>
    <row r="170">
      <c r="B170" s="1259" t="inlineStr">
        <is>
          <t>Northglenn</t>
        </is>
      </c>
      <c r="C170" s="1259" t="inlineStr">
        <is>
          <t>Long-Range Planning</t>
        </is>
      </c>
      <c r="D170" s="1259" t="inlineStr">
        <is>
          <t>Comprehensive Plan</t>
        </is>
      </c>
      <c r="E170" s="1260" t="inlineStr">
        <is>
          <t>Comprehensive-plan resources.</t>
        </is>
      </c>
      <c r="F170" s="1260" t="inlineStr">
        <is>
          <t>Evaluate future land use and city policy.</t>
        </is>
      </c>
      <c r="G170" s="1256" t="inlineStr">
        <is>
          <t>https://www.northglenn.org/government/land_use_zoning/comprehensive_plan.php</t>
        </is>
      </c>
      <c r="H170" s="1259" t="inlineStr">
        <is>
          <t>High</t>
        </is>
      </c>
    </row>
    <row r="171">
      <c r="B171" s="1259" t="inlineStr">
        <is>
          <t>Northglenn</t>
        </is>
      </c>
      <c r="C171" s="1259" t="inlineStr">
        <is>
          <t>Plans</t>
        </is>
      </c>
      <c r="D171" s="1259" t="inlineStr">
        <is>
          <t>Area Plans</t>
        </is>
      </c>
      <c r="E171" s="1260" t="inlineStr">
        <is>
          <t>Adopted small-area and corridor plans.</t>
        </is>
      </c>
      <c r="F171" s="1260" t="inlineStr">
        <is>
          <t>Research area-specific policies affecting a property.</t>
        </is>
      </c>
      <c r="G171" s="1256" t="inlineStr">
        <is>
          <t>https://www.northglenn.org/government/land_use_zoning/area_plans/index.php</t>
        </is>
      </c>
      <c r="H171" s="1259" t="inlineStr">
        <is>
          <t>Useful</t>
        </is>
      </c>
    </row>
    <row r="172">
      <c r="B172" s="1259" t="inlineStr">
        <is>
          <t>Northglenn</t>
        </is>
      </c>
      <c r="C172" s="1259" t="inlineStr">
        <is>
          <t>Meetings</t>
        </is>
      </c>
      <c r="D172" s="1259" t="inlineStr">
        <is>
          <t>Planning Commission</t>
        </is>
      </c>
      <c r="E172" s="1260" t="inlineStr">
        <is>
          <t>Planning Commission information.</t>
        </is>
      </c>
      <c r="F172" s="1260" t="inlineStr">
        <is>
          <t>Monitor land-use hearings and recommendations.</t>
        </is>
      </c>
      <c r="G172" s="1256" t="inlineStr">
        <is>
          <t>https://www.northglenn.org/government/boards_commissions/planning_commission.php</t>
        </is>
      </c>
      <c r="H172" s="1259" t="inlineStr">
        <is>
          <t>High</t>
        </is>
      </c>
    </row>
    <row r="173">
      <c r="B173" s="1259" t="inlineStr">
        <is>
          <t>Northglenn</t>
        </is>
      </c>
      <c r="C173" s="1259" t="inlineStr">
        <is>
          <t>Meetings / Records</t>
        </is>
      </c>
      <c r="D173" s="1259" t="inlineStr">
        <is>
          <t>Public Meeting Records</t>
        </is>
      </c>
      <c r="E173" s="1260" t="inlineStr">
        <is>
          <t>Searchable agendas, minutes and public meeting documents.</t>
        </is>
      </c>
      <c r="F173" s="1260" t="inlineStr">
        <is>
          <t>Track city council and board actions.</t>
        </is>
      </c>
      <c r="G173" s="1256" t="inlineStr">
        <is>
          <t>https://webdocs.northglenn.org/</t>
        </is>
      </c>
      <c r="H173" s="1259" t="inlineStr">
        <is>
          <t>High</t>
        </is>
      </c>
    </row>
    <row r="174">
      <c r="B174" s="1259" t="inlineStr">
        <is>
          <t>Northglenn</t>
        </is>
      </c>
      <c r="C174" s="1259" t="inlineStr">
        <is>
          <t>News</t>
        </is>
      </c>
      <c r="D174" s="1259" t="inlineStr">
        <is>
          <t>City News Listings</t>
        </is>
      </c>
      <c r="E174" s="1260" t="inlineStr">
        <is>
          <t>Official city news and announcements.</t>
        </is>
      </c>
      <c r="F174" s="1260" t="inlineStr">
        <is>
          <t>Monitor projects, hearings and municipal changes.</t>
        </is>
      </c>
      <c r="G174" s="1256" t="inlineStr">
        <is>
          <t>https://www.northglenn.org/newslist.php</t>
        </is>
      </c>
      <c r="H174" s="1259" t="inlineStr">
        <is>
          <t>Useful</t>
        </is>
      </c>
    </row>
    <row r="175">
      <c r="B175" s="1259" t="inlineStr">
        <is>
          <t>Northglenn</t>
        </is>
      </c>
      <c r="C175" s="1259" t="inlineStr">
        <is>
          <t>Alerts</t>
        </is>
      </c>
      <c r="D175" s="1259" t="inlineStr">
        <is>
          <t>TextMyGov Notifications</t>
        </is>
      </c>
      <c r="E175" s="1260" t="inlineStr">
        <is>
          <t>Text alerts for council, utilities and city updates.</t>
        </is>
      </c>
      <c r="F175" s="1260" t="inlineStr">
        <is>
          <t>Subscribe to hearings, road closures and government notices.</t>
        </is>
      </c>
      <c r="G175" s="1256" t="inlineStr">
        <is>
          <t>https://www.northglenn.org/community/communications/textmygov.php</t>
        </is>
      </c>
      <c r="H175" s="1259" t="inlineStr">
        <is>
          <t>Useful</t>
        </is>
      </c>
    </row>
    <row r="176">
      <c r="B176" s="1259" t="inlineStr">
        <is>
          <t>Thornton</t>
        </is>
      </c>
      <c r="C176" s="1259" t="inlineStr">
        <is>
          <t>Official Website</t>
        </is>
      </c>
      <c r="D176" s="1259" t="inlineStr">
        <is>
          <t>City of Thornton</t>
        </is>
      </c>
      <c r="E176" s="1260" t="inlineStr">
        <is>
          <t>Main city website.</t>
        </is>
      </c>
      <c r="F176" s="1260" t="inlineStr">
        <is>
          <t>Navigate city services and departments.</t>
        </is>
      </c>
      <c r="G176" s="1256" t="inlineStr">
        <is>
          <t>https://www.thorntonco.gov/</t>
        </is>
      </c>
      <c r="H176" s="1259" t="inlineStr">
        <is>
          <t>Reference</t>
        </is>
      </c>
    </row>
    <row r="177">
      <c r="B177" s="1259" t="inlineStr">
        <is>
          <t>Thornton</t>
        </is>
      </c>
      <c r="C177" s="1259" t="inlineStr">
        <is>
          <t>Planning</t>
        </is>
      </c>
      <c r="D177" s="1259" t="inlineStr">
        <is>
          <t>City Development</t>
        </is>
      </c>
      <c r="E177" s="1260" t="inlineStr">
        <is>
          <t>Planning, building, development engineering and long-range resources.</t>
        </is>
      </c>
      <c r="F177" s="1260" t="inlineStr">
        <is>
          <t>Start land-use, permitting and development research.</t>
        </is>
      </c>
      <c r="G177" s="1256" t="inlineStr">
        <is>
          <t>https://www.thorntonco.gov/business-development/city-development</t>
        </is>
      </c>
      <c r="H177" s="1259" t="inlineStr">
        <is>
          <t>Critical</t>
        </is>
      </c>
    </row>
    <row r="178">
      <c r="B178" s="1259" t="inlineStr">
        <is>
          <t>Thornton</t>
        </is>
      </c>
      <c r="C178" s="1259" t="inlineStr">
        <is>
          <t>Zoning</t>
        </is>
      </c>
      <c r="D178" s="1259" t="inlineStr">
        <is>
          <t>Current Planning &amp; Zoning</t>
        </is>
      </c>
      <c r="E178" s="1260" t="inlineStr">
        <is>
          <t>Zoning, development applications and current planning.</t>
        </is>
      </c>
      <c r="F178" s="1260" t="inlineStr">
        <is>
          <t>Confirm zoning and active entitlement processes.</t>
        </is>
      </c>
      <c r="G178" s="1256" t="inlineStr">
        <is>
          <t>https://www.thorntonco.gov/business-development/city-development/current-planning-zoning</t>
        </is>
      </c>
      <c r="H178" s="1259" t="inlineStr">
        <is>
          <t>Critical</t>
        </is>
      </c>
    </row>
    <row r="179">
      <c r="B179" s="1259" t="inlineStr">
        <is>
          <t>Thornton</t>
        </is>
      </c>
      <c r="C179" s="1259" t="inlineStr">
        <is>
          <t>Zoning</t>
        </is>
      </c>
      <c r="D179" s="1259" t="inlineStr">
        <is>
          <t>Zoning Districts, Uses and Regulations</t>
        </is>
      </c>
      <c r="E179" s="1260" t="inlineStr">
        <is>
          <t>District standards and use regulations.</t>
        </is>
      </c>
      <c r="F179" s="1260" t="inlineStr">
        <is>
          <t>Evaluate allowed uses and dimensional standards.</t>
        </is>
      </c>
      <c r="G179" s="1256" t="inlineStr">
        <is>
          <t>https://www.thorntonco.gov/business-development/city-development/current-planning-zoning/zoning-districts-uses-and-regulations</t>
        </is>
      </c>
      <c r="H179" s="1259" t="inlineStr">
        <is>
          <t>Critical</t>
        </is>
      </c>
    </row>
    <row r="180">
      <c r="B180" s="1259" t="inlineStr">
        <is>
          <t>Thornton</t>
        </is>
      </c>
      <c r="C180" s="1259" t="inlineStr">
        <is>
          <t>GIS / Property</t>
        </is>
      </c>
      <c r="D180" s="1259" t="inlineStr">
        <is>
          <t>Interactive Zoning / Property Map</t>
        </is>
      </c>
      <c r="E180" s="1260" t="inlineStr">
        <is>
          <t>Interactive city zoning and parcel map.</t>
        </is>
      </c>
      <c r="F180" s="1260" t="inlineStr">
        <is>
          <t>Locate a parcel and screen zoning and mapped attributes.</t>
        </is>
      </c>
      <c r="G180" s="1256" t="inlineStr">
        <is>
          <t>https://cityofthornton.maps.arcgis.com/apps/webappviewer/index.html?id=643abe02e8b8446586b6eb6d8ed43f84</t>
        </is>
      </c>
      <c r="H180" s="1259" t="inlineStr">
        <is>
          <t>Critical</t>
        </is>
      </c>
    </row>
    <row r="181">
      <c r="B181" s="1259" t="inlineStr">
        <is>
          <t>Thornton</t>
        </is>
      </c>
      <c r="C181" s="1259" t="inlineStr">
        <is>
          <t>GIS / Open Data</t>
        </is>
      </c>
      <c r="D181" s="1259" t="inlineStr">
        <is>
          <t>Thornton GIS Open Data</t>
        </is>
      </c>
      <c r="E181" s="1260" t="inlineStr">
        <is>
          <t>Downloadable city GIS layers and maps.</t>
        </is>
      </c>
      <c r="F181" s="1260" t="inlineStr">
        <is>
          <t>Perform advanced mapping and spatial analysis.</t>
        </is>
      </c>
      <c r="G181" s="1256" t="inlineStr">
        <is>
          <t>https://data-cityofthornton.opendata.arcgis.com/</t>
        </is>
      </c>
      <c r="H181" s="1259" t="inlineStr">
        <is>
          <t>Useful</t>
        </is>
      </c>
    </row>
    <row r="182">
      <c r="B182" s="1259" t="inlineStr">
        <is>
          <t>Thornton</t>
        </is>
      </c>
      <c r="C182" s="1259" t="inlineStr">
        <is>
          <t>Development</t>
        </is>
      </c>
      <c r="D182" s="1259" t="inlineStr">
        <is>
          <t>Planning Application Search</t>
        </is>
      </c>
      <c r="E182" s="1260" t="inlineStr">
        <is>
          <t>CityView search for planning applications.</t>
        </is>
      </c>
      <c r="F182" s="1260" t="inlineStr">
        <is>
          <t>Check planning cases and application records.</t>
        </is>
      </c>
      <c r="G182" s="1256" t="inlineStr">
        <is>
          <t>https://cityviewportal.thorntonco.gov/Planning/Locator</t>
        </is>
      </c>
      <c r="H182" s="1259" t="inlineStr">
        <is>
          <t>Critical</t>
        </is>
      </c>
    </row>
    <row r="183">
      <c r="B183" s="1259" t="inlineStr">
        <is>
          <t>Thornton</t>
        </is>
      </c>
      <c r="C183" s="1259" t="inlineStr">
        <is>
          <t>Development</t>
        </is>
      </c>
      <c r="D183" s="1259" t="inlineStr">
        <is>
          <t>Active Development</t>
        </is>
      </c>
      <c r="E183" s="1260" t="inlineStr">
        <is>
          <t>Current development projects and related information.</t>
        </is>
      </c>
      <c r="F183" s="1260" t="inlineStr">
        <is>
          <t>Identify nearby development and status.</t>
        </is>
      </c>
      <c r="G183" s="1256" t="inlineStr">
        <is>
          <t>https://www.thorntonco.gov/business-development/active-development</t>
        </is>
      </c>
      <c r="H183" s="1259" t="inlineStr">
        <is>
          <t>Critical</t>
        </is>
      </c>
    </row>
    <row r="184">
      <c r="B184" s="1259" t="inlineStr">
        <is>
          <t>Thornton</t>
        </is>
      </c>
      <c r="C184" s="1259" t="inlineStr">
        <is>
          <t>Development</t>
        </is>
      </c>
      <c r="D184" s="1259" t="inlineStr">
        <is>
          <t>Development Applications</t>
        </is>
      </c>
      <c r="E184" s="1260" t="inlineStr">
        <is>
          <t>Application types and development review resources.</t>
        </is>
      </c>
      <c r="F184" s="1260" t="inlineStr">
        <is>
          <t>Determine entitlement and submittal requirements.</t>
        </is>
      </c>
      <c r="G184" s="1256" t="inlineStr">
        <is>
          <t>https://www.thorntonco.gov/business-development/city-development/current-planning-zoning/development-applications</t>
        </is>
      </c>
      <c r="H184" s="1259" t="inlineStr">
        <is>
          <t>High</t>
        </is>
      </c>
    </row>
    <row r="185">
      <c r="B185" s="1259" t="inlineStr">
        <is>
          <t>Thornton</t>
        </is>
      </c>
      <c r="C185" s="1259" t="inlineStr">
        <is>
          <t>Development</t>
        </is>
      </c>
      <c r="D185" s="1259" t="inlineStr">
        <is>
          <t>Development Engineering &amp; Construction</t>
        </is>
      </c>
      <c r="E185" s="1260" t="inlineStr">
        <is>
          <t>Engineering, construction and infrastructure review.</t>
        </is>
      </c>
      <c r="F185" s="1260" t="inlineStr">
        <is>
          <t>Research civil plans, access and construction requirements.</t>
        </is>
      </c>
      <c r="G185" s="1256" t="inlineStr">
        <is>
          <t>https://www.thorntonco.gov/business-development/city-development/development-engineering-construction</t>
        </is>
      </c>
      <c r="H185" s="1259" t="inlineStr">
        <is>
          <t>High</t>
        </is>
      </c>
    </row>
    <row r="186">
      <c r="B186" s="1259" t="inlineStr">
        <is>
          <t>Thornton</t>
        </is>
      </c>
      <c r="C186" s="1259" t="inlineStr">
        <is>
          <t>Permits</t>
        </is>
      </c>
      <c r="D186" s="1259" t="inlineStr">
        <is>
          <t>Building Permits &amp; Inspections</t>
        </is>
      </c>
      <c r="E186" s="1260" t="inlineStr">
        <is>
          <t>Building permits, inspections and contractor information.</t>
        </is>
      </c>
      <c r="F186" s="1260" t="inlineStr">
        <is>
          <t>Research construction permits.</t>
        </is>
      </c>
      <c r="G186" s="1256" t="inlineStr">
        <is>
          <t>https://www.thorntonco.gov/business-development/city-development/building-permits-inspections</t>
        </is>
      </c>
      <c r="H186" s="1259" t="inlineStr">
        <is>
          <t>Critical</t>
        </is>
      </c>
    </row>
    <row r="187">
      <c r="B187" s="1259" t="inlineStr">
        <is>
          <t>Thornton</t>
        </is>
      </c>
      <c r="C187" s="1259" t="inlineStr">
        <is>
          <t>Permits</t>
        </is>
      </c>
      <c r="D187" s="1259" t="inlineStr">
        <is>
          <t>Permit Search</t>
        </is>
      </c>
      <c r="E187" s="1260" t="inlineStr">
        <is>
          <t>CityView permit and submittal search.</t>
        </is>
      </c>
      <c r="F187" s="1260" t="inlineStr">
        <is>
          <t>Check permit records and status.</t>
        </is>
      </c>
      <c r="G187" s="1256" t="inlineStr">
        <is>
          <t>https://cityviewportal.thorntonco.gov/Permit/LocatorSubmittals</t>
        </is>
      </c>
      <c r="H187" s="1259" t="inlineStr">
        <is>
          <t>Critical</t>
        </is>
      </c>
    </row>
    <row r="188">
      <c r="B188" s="1259" t="inlineStr">
        <is>
          <t>Thornton</t>
        </is>
      </c>
      <c r="C188" s="1259" t="inlineStr">
        <is>
          <t>Online Portal</t>
        </is>
      </c>
      <c r="D188" s="1259" t="inlineStr">
        <is>
          <t>Thornton Permit Portal</t>
        </is>
      </c>
      <c r="E188" s="1260" t="inlineStr">
        <is>
          <t>Online permit application portal.</t>
        </is>
      </c>
      <c r="F188" s="1260" t="inlineStr">
        <is>
          <t>Submit or manage permits.</t>
        </is>
      </c>
      <c r="G188" s="1256" t="inlineStr">
        <is>
          <t>https://permits.thorntonco.gov/</t>
        </is>
      </c>
      <c r="H188" s="1259" t="inlineStr">
        <is>
          <t>High</t>
        </is>
      </c>
    </row>
    <row r="189">
      <c r="B189" s="1259" t="inlineStr">
        <is>
          <t>Thornton</t>
        </is>
      </c>
      <c r="C189" s="1259" t="inlineStr">
        <is>
          <t>Long-Range Planning</t>
        </is>
      </c>
      <c r="D189" s="1259" t="inlineStr">
        <is>
          <t>Long Range Planning</t>
        </is>
      </c>
      <c r="E189" s="1260" t="inlineStr">
        <is>
          <t>Long-range planning programs and resources.</t>
        </is>
      </c>
      <c r="F189" s="1260" t="inlineStr">
        <is>
          <t>Evaluate future growth and policy context.</t>
        </is>
      </c>
      <c r="G189" s="1256" t="inlineStr">
        <is>
          <t>https://www.thorntonco.gov/business-development/city-development/long-range-planning</t>
        </is>
      </c>
      <c r="H189" s="1259" t="inlineStr">
        <is>
          <t>High</t>
        </is>
      </c>
    </row>
    <row r="190">
      <c r="B190" s="1259" t="inlineStr">
        <is>
          <t>Thornton</t>
        </is>
      </c>
      <c r="C190" s="1259" t="inlineStr">
        <is>
          <t>Long-Range Planning</t>
        </is>
      </c>
      <c r="D190" s="1259" t="inlineStr">
        <is>
          <t>Thornton Comprehensive Plan</t>
        </is>
      </c>
      <c r="E190" s="1260" t="inlineStr">
        <is>
          <t>Current comprehensive-plan resources.</t>
        </is>
      </c>
      <c r="F190" s="1260" t="inlineStr">
        <is>
          <t>Review future land use and citywide policy.</t>
        </is>
      </c>
      <c r="G190" s="1256" t="inlineStr">
        <is>
          <t>https://www.thorntonco.gov/business-development/city-development/long-range-planning/plans/thornton-comprehensive-plan</t>
        </is>
      </c>
      <c r="H190" s="1259" t="inlineStr">
        <is>
          <t>High</t>
        </is>
      </c>
    </row>
    <row r="191">
      <c r="B191" s="1259" t="inlineStr">
        <is>
          <t>Thornton</t>
        </is>
      </c>
      <c r="C191" s="1259" t="inlineStr">
        <is>
          <t>Long-Range Planning</t>
        </is>
      </c>
      <c r="D191" s="1259" t="inlineStr">
        <is>
          <t>Current Long-Range Projects</t>
        </is>
      </c>
      <c r="E191" s="1260" t="inlineStr">
        <is>
          <t>Current planning initiatives and plan updates.</t>
        </is>
      </c>
      <c r="F191" s="1260" t="inlineStr">
        <is>
          <t>Track future policy changes affecting property.</t>
        </is>
      </c>
      <c r="G191" s="1256" t="inlineStr">
        <is>
          <t>https://www.thorntonco.gov/business-development/city-development/long-range-planning/current-projects</t>
        </is>
      </c>
      <c r="H191" s="1259" t="inlineStr">
        <is>
          <t>High</t>
        </is>
      </c>
    </row>
    <row r="192">
      <c r="B192" s="1259" t="inlineStr">
        <is>
          <t>Thornton</t>
        </is>
      </c>
      <c r="C192" s="1259" t="inlineStr">
        <is>
          <t>Meetings</t>
        </is>
      </c>
      <c r="D192" s="1259" t="inlineStr">
        <is>
          <t>Planning Commission / Board of Adjustment</t>
        </is>
      </c>
      <c r="E192" s="1260" t="inlineStr">
        <is>
          <t>Board and commission information.</t>
        </is>
      </c>
      <c r="F192" s="1260" t="inlineStr">
        <is>
          <t>Monitor land-use hearings, variances and appeals.</t>
        </is>
      </c>
      <c r="G192" s="1256" t="inlineStr">
        <is>
          <t>https://www.thorntonco.gov/government/boards-commissions/planning-commission-board-adjustment</t>
        </is>
      </c>
      <c r="H192" s="1259" t="inlineStr">
        <is>
          <t>High</t>
        </is>
      </c>
    </row>
    <row r="193">
      <c r="B193" s="1259" t="inlineStr">
        <is>
          <t>Thornton</t>
        </is>
      </c>
      <c r="C193" s="1259" t="inlineStr">
        <is>
          <t>Meetings</t>
        </is>
      </c>
      <c r="D193" s="1259" t="inlineStr">
        <is>
          <t>Upcoming Meetings</t>
        </is>
      </c>
      <c r="E193" s="1260" t="inlineStr">
        <is>
          <t>City council and public meeting calendar.</t>
        </is>
      </c>
      <c r="F193" s="1260" t="inlineStr">
        <is>
          <t>Track meeting dates and agenda publication.</t>
        </is>
      </c>
      <c r="G193" s="1256" t="inlineStr">
        <is>
          <t>https://www.thorntonco.gov/government/mayor-council/upcoming-meetings</t>
        </is>
      </c>
      <c r="H193" s="1259" t="inlineStr">
        <is>
          <t>High</t>
        </is>
      </c>
    </row>
    <row r="194">
      <c r="B194" s="1259" t="inlineStr">
        <is>
          <t>Thornton</t>
        </is>
      </c>
      <c r="C194" s="1259" t="inlineStr">
        <is>
          <t>Public Notices</t>
        </is>
      </c>
      <c r="D194" s="1259" t="inlineStr">
        <is>
          <t>Public Notices</t>
        </is>
      </c>
      <c r="E194" s="1260" t="inlineStr">
        <is>
          <t>Approved ordinances, hearing notices and other public notices.</t>
        </is>
      </c>
      <c r="F194" s="1260" t="inlineStr">
        <is>
          <t>Confirm formal hearings and legal actions.</t>
        </is>
      </c>
      <c r="G194" s="1256" t="inlineStr">
        <is>
          <t>https://www.thorntonco.gov/government/public-notices</t>
        </is>
      </c>
      <c r="H194" s="1259" t="inlineStr">
        <is>
          <t>High</t>
        </is>
      </c>
    </row>
    <row r="195">
      <c r="B195" s="1259" t="inlineStr">
        <is>
          <t>Thornton</t>
        </is>
      </c>
      <c r="C195" s="1259" t="inlineStr">
        <is>
          <t>News</t>
        </is>
      </c>
      <c r="D195" s="1259" t="inlineStr">
        <is>
          <t>Thornton News</t>
        </is>
      </c>
      <c r="E195" s="1260" t="inlineStr">
        <is>
          <t>Official city news and City Voice items.</t>
        </is>
      </c>
      <c r="F195" s="1260" t="inlineStr">
        <is>
          <t>Monitor projects, council actions and city updates.</t>
        </is>
      </c>
      <c r="G195" s="1256" t="inlineStr">
        <is>
          <t>https://www.thorntonco.gov/news</t>
        </is>
      </c>
      <c r="H195" s="1259" t="inlineStr">
        <is>
          <t>Useful</t>
        </is>
      </c>
    </row>
    <row r="196">
      <c r="B196" s="1259" t="inlineStr">
        <is>
          <t>Thornton</t>
        </is>
      </c>
      <c r="C196" s="1259" t="inlineStr">
        <is>
          <t>Alerts</t>
        </is>
      </c>
      <c r="D196" s="1259" t="inlineStr">
        <is>
          <t>T-Alerts</t>
        </is>
      </c>
      <c r="E196" s="1260" t="inlineStr">
        <is>
          <t>Email subscriptions for meetings, development and city topics.</t>
        </is>
      </c>
      <c r="F196" s="1260" t="inlineStr">
        <is>
          <t>Subscribe to current updates and meeting documents.</t>
        </is>
      </c>
      <c r="G196" s="1256" t="inlineStr">
        <is>
          <t>https://talerts.thorntonco.gov/</t>
        </is>
      </c>
      <c r="H196" s="1259" t="inlineStr">
        <is>
          <t>Useful</t>
        </is>
      </c>
    </row>
    <row r="197">
      <c r="B197" s="1259" t="inlineStr">
        <is>
          <t>Westminster</t>
        </is>
      </c>
      <c r="C197" s="1259" t="inlineStr">
        <is>
          <t>Official Website</t>
        </is>
      </c>
      <c r="D197" s="1259" t="inlineStr">
        <is>
          <t>City of Westminster</t>
        </is>
      </c>
      <c r="E197" s="1260" t="inlineStr">
        <is>
          <t>Main city website.</t>
        </is>
      </c>
      <c r="F197" s="1260" t="inlineStr">
        <is>
          <t>Navigate city services and departments.</t>
        </is>
      </c>
      <c r="G197" s="1256" t="inlineStr">
        <is>
          <t>https://www.westminsterco.gov/</t>
        </is>
      </c>
      <c r="H197" s="1259" t="inlineStr">
        <is>
          <t>Reference</t>
        </is>
      </c>
    </row>
    <row r="198">
      <c r="B198" s="1259" t="inlineStr">
        <is>
          <t>Westminster</t>
        </is>
      </c>
      <c r="C198" s="1259" t="inlineStr">
        <is>
          <t>GIS / Property</t>
        </is>
      </c>
      <c r="D198" s="1259" t="inlineStr">
        <is>
          <t>Maps</t>
        </is>
      </c>
      <c r="E198" s="1260" t="inlineStr">
        <is>
          <t>City maps and GIS resources.</t>
        </is>
      </c>
      <c r="F198" s="1260" t="inlineStr">
        <is>
          <t>Research zoning, parcels, utilities and city boundaries.</t>
        </is>
      </c>
      <c r="G198" s="1256" t="inlineStr">
        <is>
          <t>https://www.westminsterco.gov/471/Maps</t>
        </is>
      </c>
      <c r="H198" s="1259" t="inlineStr">
        <is>
          <t>Critical</t>
        </is>
      </c>
    </row>
    <row r="199">
      <c r="B199" s="1259" t="inlineStr">
        <is>
          <t>Westminster</t>
        </is>
      </c>
      <c r="C199" s="1259" t="inlineStr">
        <is>
          <t>Zoning</t>
        </is>
      </c>
      <c r="D199" s="1259" t="inlineStr">
        <is>
          <t>Zoning</t>
        </is>
      </c>
      <c r="E199" s="1260" t="inlineStr">
        <is>
          <t>Zoning map, districts and zoning resources.</t>
        </is>
      </c>
      <c r="F199" s="1260" t="inlineStr">
        <is>
          <t>Confirm zoning and use standards.</t>
        </is>
      </c>
      <c r="G199" s="1256" t="inlineStr">
        <is>
          <t>https://www.westminsterco.gov/727/Zoning</t>
        </is>
      </c>
      <c r="H199" s="1259" t="inlineStr">
        <is>
          <t>Critical</t>
        </is>
      </c>
    </row>
    <row r="200">
      <c r="B200" s="1259" t="inlineStr">
        <is>
          <t>Westminster</t>
        </is>
      </c>
      <c r="C200" s="1259" t="inlineStr">
        <is>
          <t>Planning</t>
        </is>
      </c>
      <c r="D200" s="1259" t="inlineStr">
        <is>
          <t>Planning</t>
        </is>
      </c>
      <c r="E200" s="1260" t="inlineStr">
        <is>
          <t>Planning services, plans and development review.</t>
        </is>
      </c>
      <c r="F200" s="1260" t="inlineStr">
        <is>
          <t>Start land-use and entitlement research.</t>
        </is>
      </c>
      <c r="G200" s="1256" t="inlineStr">
        <is>
          <t>https://www.westminsterco.gov/707/Planning</t>
        </is>
      </c>
      <c r="H200" s="1259" t="inlineStr">
        <is>
          <t>Critical</t>
        </is>
      </c>
    </row>
    <row r="201">
      <c r="B201" s="1259" t="inlineStr">
        <is>
          <t>Westminster</t>
        </is>
      </c>
      <c r="C201" s="1259" t="inlineStr">
        <is>
          <t>Development</t>
        </is>
      </c>
      <c r="D201" s="1259" t="inlineStr">
        <is>
          <t>Develop in Westminster</t>
        </is>
      </c>
      <c r="E201" s="1260" t="inlineStr">
        <is>
          <t>Development process, applications and standards.</t>
        </is>
      </c>
      <c r="F201" s="1260" t="inlineStr">
        <is>
          <t>Understand approvals and development requirements.</t>
        </is>
      </c>
      <c r="G201" s="1256" t="inlineStr">
        <is>
          <t>https://www.westminsterco.gov/703/Develop-in-Westminster</t>
        </is>
      </c>
      <c r="H201" s="1259" t="inlineStr">
        <is>
          <t>High</t>
        </is>
      </c>
    </row>
    <row r="202">
      <c r="B202" s="1259" t="inlineStr">
        <is>
          <t>Westminster</t>
        </is>
      </c>
      <c r="C202" s="1259" t="inlineStr">
        <is>
          <t>Development</t>
        </is>
      </c>
      <c r="D202" s="1259" t="inlineStr">
        <is>
          <t>Current Development Project Map</t>
        </is>
      </c>
      <c r="E202" s="1260" t="inlineStr">
        <is>
          <t>Interactive map of current development projects.</t>
        </is>
      </c>
      <c r="F202" s="1260" t="inlineStr">
        <is>
          <t>Identify active projects near a property.</t>
        </is>
      </c>
      <c r="G202" s="1256" t="inlineStr">
        <is>
          <t>https://www.westminsterco.gov/855/Current-Development-Project-Map</t>
        </is>
      </c>
      <c r="H202" s="1259" t="inlineStr">
        <is>
          <t>Critical</t>
        </is>
      </c>
    </row>
    <row r="203">
      <c r="B203" s="1259" t="inlineStr">
        <is>
          <t>Westminster</t>
        </is>
      </c>
      <c r="C203" s="1259" t="inlineStr">
        <is>
          <t>Development</t>
        </is>
      </c>
      <c r="D203" s="1259" t="inlineStr">
        <is>
          <t>Redevelopment</t>
        </is>
      </c>
      <c r="E203" s="1260" t="inlineStr">
        <is>
          <t>Redevelopment plans and initiatives.</t>
        </is>
      </c>
      <c r="F203" s="1260" t="inlineStr">
        <is>
          <t>Research targeted redevelopment areas and programs.</t>
        </is>
      </c>
      <c r="G203" s="1256" t="inlineStr">
        <is>
          <t>https://www.westminsterco.gov/1060/Redevelopment</t>
        </is>
      </c>
      <c r="H203" s="1259" t="inlineStr">
        <is>
          <t>High</t>
        </is>
      </c>
    </row>
    <row r="204">
      <c r="B204" s="1259" t="inlineStr">
        <is>
          <t>Westminster</t>
        </is>
      </c>
      <c r="C204" s="1259" t="inlineStr">
        <is>
          <t>Permits</t>
        </is>
      </c>
      <c r="D204" s="1259" t="inlineStr">
        <is>
          <t>Permits &amp; Licenses</t>
        </is>
      </c>
      <c r="E204" s="1260" t="inlineStr">
        <is>
          <t>Permit and licensing resources.</t>
        </is>
      </c>
      <c r="F204" s="1260" t="inlineStr">
        <is>
          <t>Find applicable city permits and licenses.</t>
        </is>
      </c>
      <c r="G204" s="1256" t="inlineStr">
        <is>
          <t>https://www.westminsterco.gov/833/Permits-Licenses</t>
        </is>
      </c>
      <c r="H204" s="1259" t="inlineStr">
        <is>
          <t>High</t>
        </is>
      </c>
    </row>
    <row r="205">
      <c r="B205" s="1259" t="inlineStr">
        <is>
          <t>Westminster</t>
        </is>
      </c>
      <c r="C205" s="1259" t="inlineStr">
        <is>
          <t>Permits</t>
        </is>
      </c>
      <c r="D205" s="1259" t="inlineStr">
        <is>
          <t>Apply for a Permit / Project</t>
        </is>
      </c>
      <c r="E205" s="1260" t="inlineStr">
        <is>
          <t>Online permit and project application guidance.</t>
        </is>
      </c>
      <c r="F205" s="1260" t="inlineStr">
        <is>
          <t>Apply for or research permits and projects.</t>
        </is>
      </c>
      <c r="G205" s="1256" t="inlineStr">
        <is>
          <t>https://www.westminsterco.gov/617/Apply-for-a-Permit-Project</t>
        </is>
      </c>
      <c r="H205" s="1259" t="inlineStr">
        <is>
          <t>Critical</t>
        </is>
      </c>
    </row>
    <row r="206">
      <c r="B206" s="1259" t="inlineStr">
        <is>
          <t>Westminster</t>
        </is>
      </c>
      <c r="C206" s="1259" t="inlineStr">
        <is>
          <t>Long-Range Planning</t>
        </is>
      </c>
      <c r="D206" s="1259" t="inlineStr">
        <is>
          <t>Comprehensive Plan (November 2025)</t>
        </is>
      </c>
      <c r="E206" s="1260" t="inlineStr">
        <is>
          <t>Current city comprehensive plan PDF.</t>
        </is>
      </c>
      <c r="F206" s="1260" t="inlineStr">
        <is>
          <t>Evaluate future land use, policy and growth direction.</t>
        </is>
      </c>
      <c r="G206" s="1256" t="inlineStr">
        <is>
          <t>https://www.westminsterco.gov/DocumentCenter/View/5605/Comprehensive-Plan_November2025-LR</t>
        </is>
      </c>
      <c r="H206" s="1259" t="inlineStr">
        <is>
          <t>High</t>
        </is>
      </c>
    </row>
    <row r="207">
      <c r="B207" s="1259" t="inlineStr">
        <is>
          <t>Westminster</t>
        </is>
      </c>
      <c r="C207" s="1259" t="inlineStr">
        <is>
          <t>Standards</t>
        </is>
      </c>
      <c r="D207" s="1259" t="inlineStr">
        <is>
          <t>City Standards &amp; Specifications</t>
        </is>
      </c>
      <c r="E207" s="1260" t="inlineStr">
        <is>
          <t>Engineering and development standards.</t>
        </is>
      </c>
      <c r="F207" s="1260" t="inlineStr">
        <is>
          <t>Review technical requirements for construction and infrastructure.</t>
        </is>
      </c>
      <c r="G207" s="1256" t="inlineStr">
        <is>
          <t>https://www.westminsterco.gov/747/City-Standards-Specifications</t>
        </is>
      </c>
      <c r="H207" s="1259" t="inlineStr">
        <is>
          <t>High</t>
        </is>
      </c>
    </row>
    <row r="208">
      <c r="B208" s="1259" t="inlineStr">
        <is>
          <t>Westminster</t>
        </is>
      </c>
      <c r="C208" s="1259" t="inlineStr">
        <is>
          <t>Code Enforcement</t>
        </is>
      </c>
      <c r="D208" s="1259" t="inlineStr">
        <is>
          <t>Code Enforcement</t>
        </is>
      </c>
      <c r="E208" s="1260" t="inlineStr">
        <is>
          <t>Property and municipal code compliance information.</t>
        </is>
      </c>
      <c r="F208" s="1260" t="inlineStr">
        <is>
          <t>Research complaint and compliance processes.</t>
        </is>
      </c>
      <c r="G208" s="1256" t="inlineStr">
        <is>
          <t>https://www.westminsterco.gov/639/Code-Enforcement</t>
        </is>
      </c>
      <c r="H208" s="1259" t="inlineStr">
        <is>
          <t>Useful</t>
        </is>
      </c>
    </row>
    <row r="209">
      <c r="B209" s="1259" t="inlineStr">
        <is>
          <t>Westminster</t>
        </is>
      </c>
      <c r="C209" s="1259" t="inlineStr">
        <is>
          <t>Meetings</t>
        </is>
      </c>
      <c r="D209" s="1259" t="inlineStr">
        <is>
          <t>Planning Commission</t>
        </is>
      </c>
      <c r="E209" s="1260" t="inlineStr">
        <is>
          <t>Planning Commission information and meetings.</t>
        </is>
      </c>
      <c r="F209" s="1260" t="inlineStr">
        <is>
          <t>Monitor land-use hearings and recommendations.</t>
        </is>
      </c>
      <c r="G209" s="1256" t="inlineStr">
        <is>
          <t>https://www.westminsterco.gov/614/Planning-Commission</t>
        </is>
      </c>
      <c r="H209" s="1259" t="inlineStr">
        <is>
          <t>High</t>
        </is>
      </c>
    </row>
    <row r="210">
      <c r="B210" s="1259" t="inlineStr">
        <is>
          <t>Westminster</t>
        </is>
      </c>
      <c r="C210" s="1259" t="inlineStr">
        <is>
          <t>Meetings</t>
        </is>
      </c>
      <c r="D210" s="1259" t="inlineStr">
        <is>
          <t>Agenda Center</t>
        </is>
      </c>
      <c r="E210" s="1260" t="inlineStr">
        <is>
          <t>Agendas and minutes for boards and council.</t>
        </is>
      </c>
      <c r="F210" s="1260" t="inlineStr">
        <is>
          <t>Track official decisions and meeting records.</t>
        </is>
      </c>
      <c r="G210" s="1256" t="inlineStr">
        <is>
          <t>https://www.westminsterco.gov/AgendaCenter</t>
        </is>
      </c>
      <c r="H210" s="1259" t="inlineStr">
        <is>
          <t>High</t>
        </is>
      </c>
    </row>
    <row r="211">
      <c r="B211" s="1259" t="inlineStr">
        <is>
          <t>Westminster</t>
        </is>
      </c>
      <c r="C211" s="1259" t="inlineStr">
        <is>
          <t>Public Notices</t>
        </is>
      </c>
      <c r="D211" s="1259" t="inlineStr">
        <is>
          <t>Public Notices</t>
        </is>
      </c>
      <c r="E211" s="1260" t="inlineStr">
        <is>
          <t>Official public and legal notices.</t>
        </is>
      </c>
      <c r="F211" s="1260" t="inlineStr">
        <is>
          <t>Confirm hearings, ordinances and notice deadlines.</t>
        </is>
      </c>
      <c r="G211" s="1256" t="inlineStr">
        <is>
          <t>https://www.westminsterco.gov/1098/Public-Notices</t>
        </is>
      </c>
      <c r="H211" s="1259" t="inlineStr">
        <is>
          <t>High</t>
        </is>
      </c>
    </row>
    <row r="212">
      <c r="B212" s="1259" t="inlineStr">
        <is>
          <t>Westminster</t>
        </is>
      </c>
      <c r="C212" s="1259" t="inlineStr">
        <is>
          <t>News</t>
        </is>
      </c>
      <c r="D212" s="1259" t="inlineStr">
        <is>
          <t>City News</t>
        </is>
      </c>
      <c r="E212" s="1260" t="inlineStr">
        <is>
          <t>Official city news releases and updates.</t>
        </is>
      </c>
      <c r="F212" s="1260" t="inlineStr">
        <is>
          <t>Monitor development, policy and public projects.</t>
        </is>
      </c>
      <c r="G212" s="1256" t="inlineStr">
        <is>
          <t>https://www.westminsterco.gov/m/NewsFlash</t>
        </is>
      </c>
      <c r="H212" s="1259" t="inlineStr">
        <is>
          <t>Useful</t>
        </is>
      </c>
    </row>
    <row r="213">
      <c r="B213" s="1259" t="inlineStr">
        <is>
          <t>Westminster</t>
        </is>
      </c>
      <c r="C213" s="1259" t="inlineStr">
        <is>
          <t>Public Records</t>
        </is>
      </c>
      <c r="D213" s="1259" t="inlineStr">
        <is>
          <t>Public Records Request</t>
        </is>
      </c>
      <c r="E213" s="1260" t="inlineStr">
        <is>
          <t>City public-records request information.</t>
        </is>
      </c>
      <c r="F213" s="1260" t="inlineStr">
        <is>
          <t>Request planning, permit and other official records.</t>
        </is>
      </c>
      <c r="G213" s="1256" t="inlineStr">
        <is>
          <t>https://www.westminsterco.gov/565/Public-Records-Request</t>
        </is>
      </c>
      <c r="H213" s="1259" t="inlineStr">
        <is>
          <t>High</t>
        </is>
      </c>
    </row>
    <row r="214">
      <c r="B214" s="1259" t="inlineStr">
        <is>
          <t>Adams County</t>
        </is>
      </c>
      <c r="C214" s="1259" t="inlineStr">
        <is>
          <t>Meetings/News – Public meetings</t>
        </is>
      </c>
      <c r="D214" s="1259" t="inlineStr">
        <is>
          <t>County Public Meetings</t>
        </is>
      </c>
      <c r="E214" s="1260" t="inlineStr">
        <is>
          <t>Central page for county boards, commissions and hearings.</t>
        </is>
      </c>
      <c r="F214" s="1260" t="inlineStr">
        <is>
          <t>Review weekly and before any due-diligence deadline.</t>
        </is>
      </c>
      <c r="G214" s="1256" t="inlineStr">
        <is>
          <t>https://adamscountyco.gov/about-adams-county/public-meetings/</t>
        </is>
      </c>
      <c r="H214" s="1259" t="inlineStr">
        <is>
          <t>Critical</t>
        </is>
      </c>
    </row>
    <row r="215">
      <c r="B215" s="1259" t="inlineStr">
        <is>
          <t>Adams County</t>
        </is>
      </c>
      <c r="C215" s="1259" t="inlineStr">
        <is>
          <t>Meetings/News – Land-use cases</t>
        </is>
      </c>
      <c r="D215" s="1259" t="inlineStr">
        <is>
          <t>Current Land Use Cases</t>
        </is>
      </c>
      <c r="E215" s="1260" t="inlineStr">
        <is>
          <t>Shows scheduled land-use cases requiring hearings and recent decisions.</t>
        </is>
      </c>
      <c r="F215" s="1260" t="inlineStr">
        <is>
          <t>Check by location, case number and hearing body.</t>
        </is>
      </c>
      <c r="G215" s="1256" t="inlineStr">
        <is>
          <t>https://adamscountyco.gov/our-county/community-economic-development/planning-development/current-land-use-cases/</t>
        </is>
      </c>
      <c r="H215" s="1259" t="inlineStr">
        <is>
          <t>Critical</t>
        </is>
      </c>
    </row>
    <row r="216">
      <c r="B216" s="1259" t="inlineStr">
        <is>
          <t>Adams County</t>
        </is>
      </c>
      <c r="C216" s="1259" t="inlineStr">
        <is>
          <t>Meetings/News – Agendas</t>
        </is>
      </c>
      <c r="D216" s="1259" t="inlineStr">
        <is>
          <t>Current Meeting Agendas &amp; Archives</t>
        </is>
      </c>
      <c r="E216" s="1260" t="inlineStr">
        <is>
          <t>BOCC agendas, minutes, audio and public comments.</t>
        </is>
      </c>
      <c r="F216" s="1260" t="inlineStr">
        <is>
          <t>Search agendas for address, applicant or project name.</t>
        </is>
      </c>
      <c r="G216" s="1256" t="inlineStr">
        <is>
          <t>https://adamscountyco.gov/our-county/elected-officials/board-of-county-commissioners/current-meeting-agendas-archives/</t>
        </is>
      </c>
      <c r="H216" s="1259" t="inlineStr">
        <is>
          <t>Critical</t>
        </is>
      </c>
    </row>
    <row r="217">
      <c r="B217" s="1259" t="inlineStr">
        <is>
          <t>Adams County</t>
        </is>
      </c>
      <c r="C217" s="1259" t="inlineStr">
        <is>
          <t>Meetings/News – Archives</t>
        </is>
      </c>
      <c r="D217" s="1259" t="inlineStr">
        <is>
          <t>Archived Hearing Agendas &amp; Audio</t>
        </is>
      </c>
      <c r="E217" s="1260" t="inlineStr">
        <is>
          <t>Archived BOCC, Board of Adjustment and Planning Commission records.</t>
        </is>
      </c>
      <c r="F217" s="1260" t="inlineStr">
        <is>
          <t>Use for entitlement history and past decisions.</t>
        </is>
      </c>
      <c r="G217" s="1256" t="inlineStr">
        <is>
          <t>https://adamscountyco.gov/about-adams-county/public-meetings/archived-hearing-agendas-audio/</t>
        </is>
      </c>
      <c r="H217" s="1259" t="inlineStr">
        <is>
          <t>High</t>
        </is>
      </c>
    </row>
    <row r="218">
      <c r="B218" s="1259" t="inlineStr">
        <is>
          <t>Adams County</t>
        </is>
      </c>
      <c r="C218" s="1259" t="inlineStr">
        <is>
          <t>Meetings/News – Official news</t>
        </is>
      </c>
      <c r="D218" s="1259" t="inlineStr">
        <is>
          <t>Adams County News</t>
        </is>
      </c>
      <c r="E218" s="1260" t="inlineStr">
        <is>
          <t>County announcements, policy changes and project updates.</t>
        </is>
      </c>
      <c r="F218" s="1260" t="inlineStr">
        <is>
          <t>Subscribe or review regularly.</t>
        </is>
      </c>
      <c r="G218" s="1256" t="inlineStr">
        <is>
          <t>https://adamscountyco.gov/about-adams-county/news/</t>
        </is>
      </c>
      <c r="H218" s="1259" t="inlineStr">
        <is>
          <t>High</t>
        </is>
      </c>
    </row>
    <row r="219">
      <c r="B219" s="1259" t="inlineStr">
        <is>
          <t>Adams County</t>
        </is>
      </c>
      <c r="C219" s="1259" t="inlineStr">
        <is>
          <t>Meetings/News – Planning updates</t>
        </is>
      </c>
      <c r="D219" s="1259" t="inlineStr">
        <is>
          <t>Planning &amp; Development News</t>
        </is>
      </c>
      <c r="E219" s="1260" t="inlineStr">
        <is>
          <t>Planning initiatives, code amendments and development updates.</t>
        </is>
      </c>
      <c r="F219" s="1260" t="inlineStr">
        <is>
          <t>Review for code-update and plan-update notices.</t>
        </is>
      </c>
      <c r="G219" s="1256" t="inlineStr">
        <is>
          <t>https://adamscountyco.gov/our-county/community-economic-development/planning-development/news-updates/</t>
        </is>
      </c>
      <c r="H219" s="1259" t="inlineStr">
        <is>
          <t>High</t>
        </is>
      </c>
    </row>
    <row r="220">
      <c r="B220" s="1259" t="inlineStr">
        <is>
          <t>Adams County</t>
        </is>
      </c>
      <c r="C220" s="1259" t="inlineStr">
        <is>
          <t>Meetings/News – Public documents</t>
        </is>
      </c>
      <c r="D220" s="1259" t="inlineStr">
        <is>
          <t>Public Document Postings</t>
        </is>
      </c>
      <c r="E220" s="1260" t="inlineStr">
        <is>
          <t>Recorded/public postings and notices.</t>
        </is>
      </c>
      <c r="F220" s="1260" t="inlineStr">
        <is>
          <t>Search relevant names and legal descriptions.</t>
        </is>
      </c>
      <c r="G220" s="1256" t="inlineStr">
        <is>
          <t>https://adamscountyco.gov/our-county/elected-officials/clerk-recorder/recording/public-document-postings/</t>
        </is>
      </c>
      <c r="H220" s="1259" t="inlineStr">
        <is>
          <t>Useful</t>
        </is>
      </c>
    </row>
    <row r="221">
      <c r="B221" s="1259" t="inlineStr">
        <is>
          <t>Arvada</t>
        </is>
      </c>
      <c r="C221" s="1259" t="inlineStr">
        <is>
          <t>Meetings/News – Agendas</t>
        </is>
      </c>
      <c r="D221" s="1259" t="inlineStr">
        <is>
          <t>Agenda Center</t>
        </is>
      </c>
      <c r="E221" s="1260" t="inlineStr">
        <is>
          <t>City council, boards and commission agendas and minutes.</t>
        </is>
      </c>
      <c r="F221" s="1260" t="inlineStr">
        <is>
          <t>Search project name, address and case number.</t>
        </is>
      </c>
      <c r="G221" s="1256" t="inlineStr">
        <is>
          <t>https://www.arvadaco.gov/AgendaCenter</t>
        </is>
      </c>
      <c r="H221" s="1259" t="inlineStr">
        <is>
          <t>High</t>
        </is>
      </c>
    </row>
    <row r="222">
      <c r="B222" s="1259" t="inlineStr">
        <is>
          <t>Arvada</t>
        </is>
      </c>
      <c r="C222" s="1259" t="inlineStr">
        <is>
          <t>Meetings/News – Legal notices</t>
        </is>
      </c>
      <c r="D222" s="1259" t="inlineStr">
        <is>
          <t>Meetings and Other Legal Notices</t>
        </is>
      </c>
      <c r="E222" s="1260" t="inlineStr">
        <is>
          <t>Formal meeting and legal notices.</t>
        </is>
      </c>
      <c r="F222" s="1260" t="inlineStr">
        <is>
          <t>Review before relying on an application status.</t>
        </is>
      </c>
      <c r="G222" s="1256" t="inlineStr">
        <is>
          <t>https://www.arvadaco.gov/245/Meetings-and-Other-Legal-Notices</t>
        </is>
      </c>
      <c r="H222" s="1259" t="inlineStr">
        <is>
          <t>High</t>
        </is>
      </c>
    </row>
    <row r="223">
      <c r="B223" s="1259" t="inlineStr">
        <is>
          <t>Arvada</t>
        </is>
      </c>
      <c r="C223" s="1259" t="inlineStr">
        <is>
          <t>Meetings/News – Official news</t>
        </is>
      </c>
      <c r="D223" s="1259" t="inlineStr">
        <is>
          <t>News Releases</t>
        </is>
      </c>
      <c r="E223" s="1260" t="inlineStr">
        <is>
          <t>Official city announcements.</t>
        </is>
      </c>
      <c r="F223" s="1260" t="inlineStr">
        <is>
          <t>Monitor weekly for project and policy changes.</t>
        </is>
      </c>
      <c r="G223" s="1256" t="inlineStr">
        <is>
          <t>https://www.arvadaco.gov/908/News-Releases</t>
        </is>
      </c>
      <c r="H223" s="1259" t="inlineStr">
        <is>
          <t>Useful</t>
        </is>
      </c>
    </row>
    <row r="224">
      <c r="B224" s="1259" t="inlineStr">
        <is>
          <t>Aurora</t>
        </is>
      </c>
      <c r="C224" s="1259" t="inlineStr">
        <is>
          <t>Meetings/News – Planning meetings</t>
        </is>
      </c>
      <c r="D224" s="1259" t="inlineStr">
        <is>
          <t>Planning &amp; Zoning Commission</t>
        </is>
      </c>
      <c r="E224" s="1260" t="inlineStr">
        <is>
          <t>Commission records and public participation information.</t>
        </is>
      </c>
      <c r="F224" s="1260" t="inlineStr">
        <is>
          <t>Check agendas for land-use cases.</t>
        </is>
      </c>
      <c r="G224" s="1256" t="inlineStr">
        <is>
          <t>https://www.auroragov.org/city_hall/boards___commissions/planning___zoning_commission</t>
        </is>
      </c>
      <c r="H224" s="1259" t="inlineStr">
        <is>
          <t>High</t>
        </is>
      </c>
    </row>
    <row r="225">
      <c r="B225" s="1259" t="inlineStr">
        <is>
          <t>Aurora</t>
        </is>
      </c>
      <c r="C225" s="1259" t="inlineStr">
        <is>
          <t>Meetings/News – Council meetings</t>
        </is>
      </c>
      <c r="D225" s="1259" t="inlineStr">
        <is>
          <t>City Council Meetings</t>
        </is>
      </c>
      <c r="E225" s="1260" t="inlineStr">
        <is>
          <t>Council agendas and records.</t>
        </is>
      </c>
      <c r="F225" s="1260" t="inlineStr">
        <is>
          <t>Track final approvals and ordinances.</t>
        </is>
      </c>
      <c r="G225" s="1256" t="inlineStr">
        <is>
          <t>https://www.auroragov.org/city_hall/mayor___city_council/council_meetings</t>
        </is>
      </c>
      <c r="H225" s="1259" t="inlineStr">
        <is>
          <t>High</t>
        </is>
      </c>
    </row>
    <row r="226">
      <c r="B226" s="1259" t="inlineStr">
        <is>
          <t>Aurora</t>
        </is>
      </c>
      <c r="C226" s="1259" t="inlineStr">
        <is>
          <t>Meetings/News – Public hearings</t>
        </is>
      </c>
      <c r="D226" s="1259" t="inlineStr">
        <is>
          <t>Public Hearings</t>
        </is>
      </c>
      <c r="E226" s="1260" t="inlineStr">
        <is>
          <t>Official notices of public hearings.</t>
        </is>
      </c>
      <c r="F226" s="1260" t="inlineStr">
        <is>
          <t>Check frequently during an active application.</t>
        </is>
      </c>
      <c r="G226" s="1256" t="inlineStr">
        <is>
          <t>https://www.auroragov.org/city_hall/public_records/legal_notices/public_hearings</t>
        </is>
      </c>
      <c r="H226" s="1259" t="inlineStr">
        <is>
          <t>Critical</t>
        </is>
      </c>
    </row>
    <row r="227">
      <c r="B227" s="1259" t="inlineStr">
        <is>
          <t>Aurora</t>
        </is>
      </c>
      <c r="C227" s="1259" t="inlineStr">
        <is>
          <t>Meetings/News – Official news</t>
        </is>
      </c>
      <c r="D227" s="1259" t="inlineStr">
        <is>
          <t>What's New</t>
        </is>
      </c>
      <c r="E227" s="1260" t="inlineStr">
        <is>
          <t>Official city news feed.</t>
        </is>
      </c>
      <c r="F227" s="1260" t="inlineStr">
        <is>
          <t>Monitor citywide projects and policy changes.</t>
        </is>
      </c>
      <c r="G227" s="1256" t="inlineStr">
        <is>
          <t>https://www.auroragov.org/news/whats_new</t>
        </is>
      </c>
      <c r="H227" s="1259" t="inlineStr">
        <is>
          <t>Useful</t>
        </is>
      </c>
    </row>
    <row r="228">
      <c r="B228" s="1259" t="inlineStr">
        <is>
          <t>Bennett</t>
        </is>
      </c>
      <c r="C228" s="1259" t="inlineStr">
        <is>
          <t>Meetings/News – Meetings</t>
        </is>
      </c>
      <c r="D228" s="1259" t="inlineStr">
        <is>
          <t>Recent Meetings</t>
        </is>
      </c>
      <c r="E228" s="1260" t="inlineStr">
        <is>
          <t>Board and commission agendas and minutes.</t>
        </is>
      </c>
      <c r="F228" s="1260" t="inlineStr">
        <is>
          <t>Search planning and board records.</t>
        </is>
      </c>
      <c r="G228" s="1256" t="inlineStr">
        <is>
          <t>https://www.bennettco.gov/meetings/recent</t>
        </is>
      </c>
      <c r="H228" s="1259" t="inlineStr">
        <is>
          <t>High</t>
        </is>
      </c>
    </row>
    <row r="229">
      <c r="B229" s="1259" t="inlineStr">
        <is>
          <t>Bennett</t>
        </is>
      </c>
      <c r="C229" s="1259" t="inlineStr">
        <is>
          <t>Meetings/News – Planning meetings</t>
        </is>
      </c>
      <c r="D229" s="1259" t="inlineStr">
        <is>
          <t>Planning &amp; Zoning Commission</t>
        </is>
      </c>
      <c r="E229" s="1260" t="inlineStr">
        <is>
          <t>Planning commission information and records.</t>
        </is>
      </c>
      <c r="F229" s="1260" t="inlineStr">
        <is>
          <t>Review upcoming land-use hearings.</t>
        </is>
      </c>
      <c r="G229" s="1256" t="inlineStr">
        <is>
          <t>https://www.bennettco.gov/planning-and-zoning-commission</t>
        </is>
      </c>
      <c r="H229" s="1259" t="inlineStr">
        <is>
          <t>High</t>
        </is>
      </c>
    </row>
    <row r="230">
      <c r="B230" s="1259" t="inlineStr">
        <is>
          <t>Bennett</t>
        </is>
      </c>
      <c r="C230" s="1259" t="inlineStr">
        <is>
          <t>Meetings/News – Official news</t>
        </is>
      </c>
      <c r="D230" s="1259" t="inlineStr">
        <is>
          <t>Town News</t>
        </is>
      </c>
      <c r="E230" s="1260" t="inlineStr">
        <is>
          <t>Town announcements and current notices.</t>
        </is>
      </c>
      <c r="F230" s="1260" t="inlineStr">
        <is>
          <t>Review regularly for code and permit changes.</t>
        </is>
      </c>
      <c r="G230" s="1256" t="inlineStr">
        <is>
          <t>https://www.bennettco.gov/news</t>
        </is>
      </c>
      <c r="H230" s="1259" t="inlineStr">
        <is>
          <t>High</t>
        </is>
      </c>
    </row>
    <row r="231">
      <c r="B231" s="1259" t="inlineStr">
        <is>
          <t>Brighton</t>
        </is>
      </c>
      <c r="C231" s="1259" t="inlineStr">
        <is>
          <t>Meetings/News – Agendas</t>
        </is>
      </c>
      <c r="D231" s="1259" t="inlineStr">
        <is>
          <t>Agenda Center</t>
        </is>
      </c>
      <c r="E231" s="1260" t="inlineStr">
        <is>
          <t>Council and board agendas and minutes.</t>
        </is>
      </c>
      <c r="F231" s="1260" t="inlineStr">
        <is>
          <t>Search address, project or applicant.</t>
        </is>
      </c>
      <c r="G231" s="1256" t="inlineStr">
        <is>
          <t>https://www.brightonco.gov/agendacenter</t>
        </is>
      </c>
      <c r="H231" s="1259" t="inlineStr">
        <is>
          <t>High</t>
        </is>
      </c>
    </row>
    <row r="232">
      <c r="B232" s="1259" t="inlineStr">
        <is>
          <t>Brighton</t>
        </is>
      </c>
      <c r="C232" s="1259" t="inlineStr">
        <is>
          <t>Meetings/News – Legal notices</t>
        </is>
      </c>
      <c r="D232" s="1259" t="inlineStr">
        <is>
          <t>Legal Notices</t>
        </is>
      </c>
      <c r="E232" s="1260" t="inlineStr">
        <is>
          <t>Official legal and hearing notices.</t>
        </is>
      </c>
      <c r="F232" s="1260" t="inlineStr">
        <is>
          <t>Confirm hearing dates and comment periods.</t>
        </is>
      </c>
      <c r="G232" s="1256" t="inlineStr">
        <is>
          <t>https://www.brightonco.gov/453/Legal-Notices</t>
        </is>
      </c>
      <c r="H232" s="1259" t="inlineStr">
        <is>
          <t>Critical</t>
        </is>
      </c>
    </row>
    <row r="233">
      <c r="B233" s="1259" t="inlineStr">
        <is>
          <t>Brighton</t>
        </is>
      </c>
      <c r="C233" s="1259" t="inlineStr">
        <is>
          <t>Meetings/News – Official news</t>
        </is>
      </c>
      <c r="D233" s="1259" t="inlineStr">
        <is>
          <t>City News</t>
        </is>
      </c>
      <c r="E233" s="1260" t="inlineStr">
        <is>
          <t>Official city announcements.</t>
        </is>
      </c>
      <c r="F233" s="1260" t="inlineStr">
        <is>
          <t>Monitor development and infrastructure updates.</t>
        </is>
      </c>
      <c r="G233" s="1256" t="inlineStr">
        <is>
          <t>https://www.brightonco.gov/175/News</t>
        </is>
      </c>
      <c r="H233" s="1259" t="inlineStr">
        <is>
          <t>Useful</t>
        </is>
      </c>
    </row>
    <row r="234">
      <c r="B234" s="1259" t="inlineStr">
        <is>
          <t>Brighton</t>
        </is>
      </c>
      <c r="C234" s="1259" t="inlineStr">
        <is>
          <t>Meetings/News – Subscriptions</t>
        </is>
      </c>
      <c r="D234" s="1259" t="inlineStr">
        <is>
          <t>Notify Me</t>
        </is>
      </c>
      <c r="E234" s="1260" t="inlineStr">
        <is>
          <t>Email subscriptions for agendas, notices and news.</t>
        </is>
      </c>
      <c r="F234" s="1260" t="inlineStr">
        <is>
          <t>Subscribe to planning and city council categories.</t>
        </is>
      </c>
      <c r="G234" s="1256" t="inlineStr">
        <is>
          <t>https://www.brightonco.gov/notifyme</t>
        </is>
      </c>
      <c r="H234" s="1259" t="inlineStr">
        <is>
          <t>Useful</t>
        </is>
      </c>
    </row>
    <row r="235">
      <c r="B235" s="1259" t="inlineStr">
        <is>
          <t>Commerce City</t>
        </is>
      </c>
      <c r="C235" s="1259" t="inlineStr">
        <is>
          <t>Meetings/News – Agendas</t>
        </is>
      </c>
      <c r="D235" s="1259" t="inlineStr">
        <is>
          <t>Meeting Agendas and Schedules</t>
        </is>
      </c>
      <c r="E235" s="1260" t="inlineStr">
        <is>
          <t>Council and board agendas, meetings and schedules.</t>
        </is>
      </c>
      <c r="F235" s="1260" t="inlineStr">
        <is>
          <t>Search all meeting records for project terms.</t>
        </is>
      </c>
      <c r="G235" s="1256" t="inlineStr">
        <is>
          <t>https://www.c3gov.com/Site-Footer/Footer-Widgets/Quick-Links/Meeting-Agendas-and-Schedules</t>
        </is>
      </c>
      <c r="H235" s="1259" t="inlineStr">
        <is>
          <t>High</t>
        </is>
      </c>
    </row>
    <row r="236">
      <c r="B236" s="1259" t="inlineStr">
        <is>
          <t>Commerce City</t>
        </is>
      </c>
      <c r="C236" s="1259" t="inlineStr">
        <is>
          <t>Meetings/News – Legal notices</t>
        </is>
      </c>
      <c r="D236" s="1259" t="inlineStr">
        <is>
          <t>Legal Notices &amp; Ordinances</t>
        </is>
      </c>
      <c r="E236" s="1260" t="inlineStr">
        <is>
          <t>Formal notices and ordinance postings.</t>
        </is>
      </c>
      <c r="F236" s="1260" t="inlineStr">
        <is>
          <t>Confirm legal notice and adoption status.</t>
        </is>
      </c>
      <c r="G236" s="1256" t="inlineStr">
        <is>
          <t>https://www.c3gov.com/Government/Departments-Divisions/City-Clerks-Office/Legal-Notices-Ordinances</t>
        </is>
      </c>
      <c r="H236" s="1259" t="inlineStr">
        <is>
          <t>Critical</t>
        </is>
      </c>
    </row>
    <row r="237">
      <c r="B237" s="1259" t="inlineStr">
        <is>
          <t>Commerce City</t>
        </is>
      </c>
      <c r="C237" s="1259" t="inlineStr">
        <is>
          <t>Meetings/News – Official news</t>
        </is>
      </c>
      <c r="D237" s="1259" t="inlineStr">
        <is>
          <t>News &amp; Announcements</t>
        </is>
      </c>
      <c r="E237" s="1260" t="inlineStr">
        <is>
          <t>Official city news feed.</t>
        </is>
      </c>
      <c r="F237" s="1260" t="inlineStr">
        <is>
          <t>Monitor projects, code changes and public programs.</t>
        </is>
      </c>
      <c r="G237" s="1256" t="inlineStr">
        <is>
          <t>https://www.c3gov.com/Government/Media-News/News-Announcements</t>
        </is>
      </c>
      <c r="H237" s="1259" t="inlineStr">
        <is>
          <t>Useful</t>
        </is>
      </c>
    </row>
    <row r="238">
      <c r="B238" s="1259" t="inlineStr">
        <is>
          <t>Federal Heights</t>
        </is>
      </c>
      <c r="C238" s="1259" t="inlineStr">
        <is>
          <t>Meetings/News – Meetings</t>
        </is>
      </c>
      <c r="D238" s="1259" t="inlineStr">
        <is>
          <t>Meetings and Study Sessions</t>
        </is>
      </c>
      <c r="E238" s="1260" t="inlineStr">
        <is>
          <t>Minutes and audio recordings.</t>
        </is>
      </c>
      <c r="F238" s="1260" t="inlineStr">
        <is>
          <t>Review council records for property-related actions.</t>
        </is>
      </c>
      <c r="G238" s="1256" t="inlineStr">
        <is>
          <t>https://www.fedheights.org/index.asp?SEC=%7BE66D34DF-8290-4807-83DA-3AF56D110C00%7D</t>
        </is>
      </c>
      <c r="H238" s="1259" t="inlineStr">
        <is>
          <t>High</t>
        </is>
      </c>
    </row>
    <row r="239">
      <c r="B239" s="1259" t="inlineStr">
        <is>
          <t>Federal Heights</t>
        </is>
      </c>
      <c r="C239" s="1259" t="inlineStr">
        <is>
          <t>Meetings/News – Official news</t>
        </is>
      </c>
      <c r="D239" s="1259" t="inlineStr">
        <is>
          <t>News and Events</t>
        </is>
      </c>
      <c r="E239" s="1260" t="inlineStr">
        <is>
          <t>Official calendar and announcements.</t>
        </is>
      </c>
      <c r="F239" s="1260" t="inlineStr">
        <is>
          <t>Review current calendar and notices.</t>
        </is>
      </c>
      <c r="G239" s="1256" t="inlineStr">
        <is>
          <t>https://www.fedheights.org/index.asp?SEC=407F7286-34E9-495F-B5F7-88E905D7C9A5</t>
        </is>
      </c>
      <c r="H239" s="1259" t="inlineStr">
        <is>
          <t>Useful</t>
        </is>
      </c>
    </row>
    <row r="240">
      <c r="B240" s="1259" t="inlineStr">
        <is>
          <t>Federal Heights</t>
        </is>
      </c>
      <c r="C240" s="1259" t="inlineStr">
        <is>
          <t>Meetings/News – Newsletter</t>
        </is>
      </c>
      <c r="D240" s="1259" t="inlineStr">
        <is>
          <t>Federal Heights Focus</t>
        </is>
      </c>
      <c r="E240" s="1260" t="inlineStr">
        <is>
          <t>Quarterly city newsletter.</t>
        </is>
      </c>
      <c r="F240" s="1260" t="inlineStr">
        <is>
          <t>Use for longer-term city project updates.</t>
        </is>
      </c>
      <c r="G240" s="1256" t="inlineStr">
        <is>
          <t>https://www.fedheights.org/index.asp?SEC=%7B2E7DCCA1-1FEF-4EA7-8AE7-6C3F92D19EF3%7D&amp;persistdesign=none</t>
        </is>
      </c>
      <c r="H240" s="1259" t="inlineStr">
        <is>
          <t>Useful</t>
        </is>
      </c>
    </row>
    <row r="241">
      <c r="B241" s="1259" t="inlineStr">
        <is>
          <t>Lochbuie</t>
        </is>
      </c>
      <c r="C241" s="1259" t="inlineStr">
        <is>
          <t>Meetings/News – Meetings</t>
        </is>
      </c>
      <c r="D241" s="1259" t="inlineStr">
        <is>
          <t>Upcoming Meetings</t>
        </is>
      </c>
      <c r="E241" s="1260" t="inlineStr">
        <is>
          <t>Upcoming town meetings.</t>
        </is>
      </c>
      <c r="F241" s="1260" t="inlineStr">
        <is>
          <t>Review agendas before board action.</t>
        </is>
      </c>
      <c r="G241" s="1256" t="inlineStr">
        <is>
          <t>https://www.lochbuie.org/meetings</t>
        </is>
      </c>
      <c r="H241" s="1259" t="inlineStr">
        <is>
          <t>High</t>
        </is>
      </c>
    </row>
    <row r="242">
      <c r="B242" s="1259" t="inlineStr">
        <is>
          <t>Lochbuie</t>
        </is>
      </c>
      <c r="C242" s="1259" t="inlineStr">
        <is>
          <t>Meetings/News – Public notices</t>
        </is>
      </c>
      <c r="D242" s="1259" t="inlineStr">
        <is>
          <t>Public Notices</t>
        </is>
      </c>
      <c r="E242" s="1260" t="inlineStr">
        <is>
          <t>Formal town notices.</t>
        </is>
      </c>
      <c r="F242" s="1260" t="inlineStr">
        <is>
          <t>Confirm hearings and ordinance notices.</t>
        </is>
      </c>
      <c r="G242" s="1256" t="inlineStr">
        <is>
          <t>https://www.lochbuie.org/publicnotice</t>
        </is>
      </c>
      <c r="H242" s="1259" t="inlineStr">
        <is>
          <t>Critical</t>
        </is>
      </c>
    </row>
    <row r="243">
      <c r="B243" s="1259" t="inlineStr">
        <is>
          <t>Lochbuie</t>
        </is>
      </c>
      <c r="C243" s="1259" t="inlineStr">
        <is>
          <t>Meetings/News – Official news</t>
        </is>
      </c>
      <c r="D243" s="1259" t="inlineStr">
        <is>
          <t>Town News</t>
        </is>
      </c>
      <c r="E243" s="1260" t="inlineStr">
        <is>
          <t>Official town news feed.</t>
        </is>
      </c>
      <c r="F243" s="1260" t="inlineStr">
        <is>
          <t>Monitor development and infrastructure changes.</t>
        </is>
      </c>
      <c r="G243" s="1256" t="inlineStr">
        <is>
          <t>https://www.lochbuie.org/news</t>
        </is>
      </c>
      <c r="H243" s="1259" t="inlineStr">
        <is>
          <t>Useful</t>
        </is>
      </c>
    </row>
    <row r="244">
      <c r="B244" s="1259" t="inlineStr">
        <is>
          <t>Northglenn</t>
        </is>
      </c>
      <c r="C244" s="1259" t="inlineStr">
        <is>
          <t>Meetings/News – Meeting records</t>
        </is>
      </c>
      <c r="D244" s="1259" t="inlineStr">
        <is>
          <t>Public Meeting Records</t>
        </is>
      </c>
      <c r="E244" s="1260" t="inlineStr">
        <is>
          <t>Searchable agendas, minutes and hearing documents.</t>
        </is>
      </c>
      <c r="F244" s="1260" t="inlineStr">
        <is>
          <t>Search address, case number, ordinance and applicant.</t>
        </is>
      </c>
      <c r="G244" s="1256" t="inlineStr">
        <is>
          <t>https://webdocs.northglenn.org/</t>
        </is>
      </c>
      <c r="H244" s="1259" t="inlineStr">
        <is>
          <t>Critical</t>
        </is>
      </c>
    </row>
    <row r="245">
      <c r="B245" s="1259" t="inlineStr">
        <is>
          <t>Northglenn</t>
        </is>
      </c>
      <c r="C245" s="1259" t="inlineStr">
        <is>
          <t>Meetings/News – Official news</t>
        </is>
      </c>
      <c r="D245" s="1259" t="inlineStr">
        <is>
          <t>City News Listings</t>
        </is>
      </c>
      <c r="E245" s="1260" t="inlineStr">
        <is>
          <t>Official city news feed.</t>
        </is>
      </c>
      <c r="F245" s="1260" t="inlineStr">
        <is>
          <t>Monitor citywide projects and policy updates.</t>
        </is>
      </c>
      <c r="G245" s="1256" t="inlineStr">
        <is>
          <t>https://www.northglenn.org/newslist.php</t>
        </is>
      </c>
      <c r="H245" s="1259" t="inlineStr">
        <is>
          <t>Useful</t>
        </is>
      </c>
    </row>
    <row r="246">
      <c r="B246" s="1259" t="inlineStr">
        <is>
          <t>Northglenn</t>
        </is>
      </c>
      <c r="C246" s="1259" t="inlineStr">
        <is>
          <t>Meetings/News – Alerts</t>
        </is>
      </c>
      <c r="D246" s="1259" t="inlineStr">
        <is>
          <t>TextMyGov</t>
        </is>
      </c>
      <c r="E246" s="1260" t="inlineStr">
        <is>
          <t>Text notifications for council, utilities and city topics.</t>
        </is>
      </c>
      <c r="F246" s="1260" t="inlineStr">
        <is>
          <t>Subscribe to City Council and Utilities alerts.</t>
        </is>
      </c>
      <c r="G246" s="1256" t="inlineStr">
        <is>
          <t>https://www.northglenn.org/community/communications/textmygov.php</t>
        </is>
      </c>
      <c r="H246" s="1259" t="inlineStr">
        <is>
          <t>Useful</t>
        </is>
      </c>
    </row>
    <row r="247">
      <c r="B247" s="1259" t="inlineStr">
        <is>
          <t>Thornton</t>
        </is>
      </c>
      <c r="C247" s="1259" t="inlineStr">
        <is>
          <t>Meetings/News – Meetings</t>
        </is>
      </c>
      <c r="D247" s="1259" t="inlineStr">
        <is>
          <t>Upcoming Meetings</t>
        </is>
      </c>
      <c r="E247" s="1260" t="inlineStr">
        <is>
          <t>Council and public meeting calendar.</t>
        </is>
      </c>
      <c r="F247" s="1260" t="inlineStr">
        <is>
          <t>Open meeting details and linked documents.</t>
        </is>
      </c>
      <c r="G247" s="1256" t="inlineStr">
        <is>
          <t>https://www.thorntonco.gov/government/mayor-council/upcoming-meetings</t>
        </is>
      </c>
      <c r="H247" s="1259" t="inlineStr">
        <is>
          <t>High</t>
        </is>
      </c>
    </row>
    <row r="248">
      <c r="B248" s="1259" t="inlineStr">
        <is>
          <t>Thornton</t>
        </is>
      </c>
      <c r="C248" s="1259" t="inlineStr">
        <is>
          <t>Meetings/News – Public notices</t>
        </is>
      </c>
      <c r="D248" s="1259" t="inlineStr">
        <is>
          <t>Public Notices</t>
        </is>
      </c>
      <c r="E248" s="1260" t="inlineStr">
        <is>
          <t>Hearing notices, approved ordinances and other notices.</t>
        </is>
      </c>
      <c r="F248" s="1260" t="inlineStr">
        <is>
          <t>Confirm current hearing and ordinance status.</t>
        </is>
      </c>
      <c r="G248" s="1256" t="inlineStr">
        <is>
          <t>https://www.thorntonco.gov/government/public-notices</t>
        </is>
      </c>
      <c r="H248" s="1259" t="inlineStr">
        <is>
          <t>Critical</t>
        </is>
      </c>
    </row>
    <row r="249">
      <c r="B249" s="1259" t="inlineStr">
        <is>
          <t>Thornton</t>
        </is>
      </c>
      <c r="C249" s="1259" t="inlineStr">
        <is>
          <t>Meetings/News – Official news</t>
        </is>
      </c>
      <c r="D249" s="1259" t="inlineStr">
        <is>
          <t>Thornton News</t>
        </is>
      </c>
      <c r="E249" s="1260" t="inlineStr">
        <is>
          <t>Official news and City Voice feed.</t>
        </is>
      </c>
      <c r="F249" s="1260" t="inlineStr">
        <is>
          <t>Monitor council, development and infrastructure updates.</t>
        </is>
      </c>
      <c r="G249" s="1256" t="inlineStr">
        <is>
          <t>https://www.thorntonco.gov/news</t>
        </is>
      </c>
      <c r="H249" s="1259" t="inlineStr">
        <is>
          <t>Useful</t>
        </is>
      </c>
    </row>
    <row r="250">
      <c r="B250" s="1259" t="inlineStr">
        <is>
          <t>Thornton</t>
        </is>
      </c>
      <c r="C250" s="1259" t="inlineStr">
        <is>
          <t>Meetings/News – Subscriptions</t>
        </is>
      </c>
      <c r="D250" s="1259" t="inlineStr">
        <is>
          <t>T-Alerts</t>
        </is>
      </c>
      <c r="E250" s="1260" t="inlineStr">
        <is>
          <t>Email subscriptions including city council documents and business topics.</t>
        </is>
      </c>
      <c r="F250" s="1260" t="inlineStr">
        <is>
          <t>Subscribe to City Council Meeting Documents and Thornton News.</t>
        </is>
      </c>
      <c r="G250" s="1256" t="inlineStr">
        <is>
          <t>https://talerts.thorntonco.gov/</t>
        </is>
      </c>
      <c r="H250" s="1259" t="inlineStr">
        <is>
          <t>Useful</t>
        </is>
      </c>
    </row>
    <row r="251">
      <c r="B251" s="1259" t="inlineStr">
        <is>
          <t>Westminster</t>
        </is>
      </c>
      <c r="C251" s="1259" t="inlineStr">
        <is>
          <t>Meetings/News – Agendas</t>
        </is>
      </c>
      <c r="D251" s="1259" t="inlineStr">
        <is>
          <t>Agenda Center</t>
        </is>
      </c>
      <c r="E251" s="1260" t="inlineStr">
        <is>
          <t>Council and board agendas and minutes.</t>
        </is>
      </c>
      <c r="F251" s="1260" t="inlineStr">
        <is>
          <t>Search project names and land-use cases.</t>
        </is>
      </c>
      <c r="G251" s="1256" t="inlineStr">
        <is>
          <t>https://www.westminsterco.gov/AgendaCenter</t>
        </is>
      </c>
      <c r="H251" s="1259" t="inlineStr">
        <is>
          <t>High</t>
        </is>
      </c>
    </row>
    <row r="252">
      <c r="B252" s="1259" t="inlineStr">
        <is>
          <t>Westminster</t>
        </is>
      </c>
      <c r="C252" s="1259" t="inlineStr">
        <is>
          <t>Meetings/News – Public notices</t>
        </is>
      </c>
      <c r="D252" s="1259" t="inlineStr">
        <is>
          <t>Public Notices</t>
        </is>
      </c>
      <c r="E252" s="1260" t="inlineStr">
        <is>
          <t>Formal notices and public-hearing information.</t>
        </is>
      </c>
      <c r="F252" s="1260" t="inlineStr">
        <is>
          <t>Review during any active entitlement or code amendment.</t>
        </is>
      </c>
      <c r="G252" s="1256" t="inlineStr">
        <is>
          <t>https://www.westminsterco.gov/1098/Public-Notices</t>
        </is>
      </c>
      <c r="H252" s="1259" t="inlineStr">
        <is>
          <t>Critical</t>
        </is>
      </c>
    </row>
    <row r="253">
      <c r="B253" s="1259" t="inlineStr">
        <is>
          <t>Westminster</t>
        </is>
      </c>
      <c r="C253" s="1259" t="inlineStr">
        <is>
          <t>Meetings/News – Official news</t>
        </is>
      </c>
      <c r="D253" s="1259" t="inlineStr">
        <is>
          <t>City News</t>
        </is>
      </c>
      <c r="E253" s="1260" t="inlineStr">
        <is>
          <t>Official city news feed.</t>
        </is>
      </c>
      <c r="F253" s="1260" t="inlineStr">
        <is>
          <t>Monitor development, policy and infrastructure announcements.</t>
        </is>
      </c>
      <c r="G253" s="1256" t="inlineStr">
        <is>
          <t>https://www.westminsterco.gov/m/NewsFlash</t>
        </is>
      </c>
      <c r="H253" s="1259" t="inlineStr">
        <is>
          <t>Useful</t>
        </is>
      </c>
    </row>
    <row r="254">
      <c r="B254" s="1259" t="inlineStr">
        <is>
          <t>Aurora / Adams County</t>
        </is>
      </c>
      <c r="C254" s="1259" t="inlineStr">
        <is>
          <t>Meetings/News – Independent local news</t>
        </is>
      </c>
      <c r="D254" s="1259" t="inlineStr">
        <is>
          <t>Sentinel Colorado</t>
        </is>
      </c>
      <c r="E254" s="1260" t="inlineStr">
        <is>
          <t>Independent reporting on Aurora and the surrounding region.</t>
        </is>
      </c>
      <c r="F254" s="1260" t="inlineStr">
        <is>
          <t>Use for context; verify hearings and legal status on official city/county pages.</t>
        </is>
      </c>
      <c r="G254" s="1256" t="inlineStr">
        <is>
          <t>https://sentinelcolorado.com/</t>
        </is>
      </c>
      <c r="H254" s="1259" t="inlineStr">
        <is>
          <t>Useful</t>
        </is>
      </c>
    </row>
    <row r="255">
      <c r="B255" s="1259" t="inlineStr">
        <is>
          <t>Bennett / Strasburg / Watkins</t>
        </is>
      </c>
      <c r="C255" s="1259" t="inlineStr">
        <is>
          <t>Meetings/News – Independent local news</t>
        </is>
      </c>
      <c r="D255" s="1259" t="inlineStr">
        <is>
          <t>I-70 Scout &amp; Eastern Colorado News</t>
        </is>
      </c>
      <c r="E255" s="1260" t="inlineStr">
        <is>
          <t>Local reporting along the eastern I-70 corridor.</t>
        </is>
      </c>
      <c r="F255" s="1260" t="inlineStr">
        <is>
          <t>Use for local context and project reporting; verify with official notices.</t>
        </is>
      </c>
      <c r="G255" s="1256" t="inlineStr">
        <is>
          <t>https://i-70scout.com/blog/</t>
        </is>
      </c>
      <c r="H255" s="1259" t="inlineStr">
        <is>
          <t>Useful</t>
        </is>
      </c>
    </row>
    <row r="256">
      <c r="B256" s="1259" t="inlineStr">
        <is>
          <t>Arvada</t>
        </is>
      </c>
      <c r="C256" s="1259" t="inlineStr">
        <is>
          <t>Meetings/News – Independent local news</t>
        </is>
      </c>
      <c r="D256" s="1259" t="inlineStr">
        <is>
          <t>Arvada Press</t>
        </is>
      </c>
      <c r="E256" s="1260" t="inlineStr">
        <is>
          <t>Community news focused on Arvada.</t>
        </is>
      </c>
      <c r="F256" s="1260" t="inlineStr">
        <is>
          <t>Use for context; verify land-use decisions in city records.</t>
        </is>
      </c>
      <c r="G256" s="1256" t="inlineStr">
        <is>
          <t>https://arvadapress.presspatron.com/</t>
        </is>
      </c>
      <c r="H256" s="1259" t="inlineStr">
        <is>
          <t>Useful</t>
        </is>
      </c>
    </row>
    <row r="257">
      <c r="B257" s="1259" t="inlineStr">
        <is>
          <t>Brighton / Commerce City / Northglenn / Thornton / Westminster</t>
        </is>
      </c>
      <c r="C257" s="1259" t="inlineStr">
        <is>
          <t>Meetings/News – Independent local news</t>
        </is>
      </c>
      <c r="D257" s="1259" t="inlineStr">
        <is>
          <t>Colorado Community Media Local Guide</t>
        </is>
      </c>
      <c r="E257" s="1260" t="inlineStr">
        <is>
          <t>Gateway to local community-news outlets and editions.</t>
        </is>
      </c>
      <c r="F257" s="1260" t="inlineStr">
        <is>
          <t>Use for context and reporting; verify legal notices and approvals officially.</t>
        </is>
      </c>
      <c r="G257" s="1256" t="inlineStr">
        <is>
          <t>https://local.coloradocommunitymedia.com/</t>
        </is>
      </c>
      <c r="H257" s="1259" t="inlineStr">
        <is>
          <t>Useful</t>
        </is>
      </c>
    </row>
    <row r="258">
      <c r="B258" s="1259" t="inlineStr">
        <is>
          <t>Westminster</t>
        </is>
      </c>
      <c r="C258" s="1259" t="inlineStr">
        <is>
          <t>Meetings/News – Independent local news</t>
        </is>
      </c>
      <c r="D258" s="1259" t="inlineStr">
        <is>
          <t>Westminster Window Colorado Trust</t>
        </is>
      </c>
      <c r="E258" s="1260" t="inlineStr">
        <is>
          <t>Community and government-news newsletter focused on Westminster.</t>
        </is>
      </c>
      <c r="F258" s="1260" t="inlineStr">
        <is>
          <t>Use as a secondary monitoring source.</t>
        </is>
      </c>
      <c r="G258" s="1256" t="inlineStr">
        <is>
          <t>https://westminster-window-colorado-trust.beehiiv.com/</t>
        </is>
      </c>
      <c r="H258" s="1259" t="inlineStr">
        <is>
          <t>Useful</t>
        </is>
      </c>
    </row>
    <row r="259">
      <c r="B259" s="1259" t="inlineStr">
        <is>
          <t>Colorado Secretary of State</t>
        </is>
      </c>
      <c r="C259" s="1259" t="inlineStr">
        <is>
          <t>Business Entities</t>
        </is>
      </c>
      <c r="D259" s="1259" t="inlineStr">
        <is>
          <t>Search Business Records</t>
        </is>
      </c>
      <c r="E259" s="1260" t="inlineStr">
        <is>
          <t>Search corporations, LLCs, trade names and filing documents.</t>
        </is>
      </c>
      <c r="F259" s="1260" t="inlineStr">
        <is>
          <t>Identify owners, applicants, developers, lenders and registered agents.</t>
        </is>
      </c>
      <c r="G259" s="1256" t="inlineStr">
        <is>
          <t>https://co.colorado.gov/search-business-records</t>
        </is>
      </c>
      <c r="H259" s="1259" t="inlineStr">
        <is>
          <t>High</t>
        </is>
      </c>
    </row>
    <row r="260">
      <c r="B260" s="1259" t="inlineStr">
        <is>
          <t>Colorado Secretary of State</t>
        </is>
      </c>
      <c r="C260" s="1259" t="inlineStr">
        <is>
          <t>UCC / Liens</t>
        </is>
      </c>
      <c r="D260" s="1259" t="inlineStr">
        <is>
          <t>UCC Records Search</t>
        </is>
      </c>
      <c r="E260" s="1260" t="inlineStr">
        <is>
          <t>Search UCC financing statements and related secured-transaction records.</t>
        </is>
      </c>
      <c r="F260" s="1260" t="inlineStr">
        <is>
          <t>Screen for UCC filings and certain statutory liens associated with a debtor.</t>
        </is>
      </c>
      <c r="G260" s="1256" t="inlineStr">
        <is>
          <t>https://www.sos.state.co.us/ucc/pages/home.xhtml</t>
        </is>
      </c>
      <c r="H260" s="1259" t="inlineStr">
        <is>
          <t>High</t>
        </is>
      </c>
    </row>
    <row r="261">
      <c r="B261" s="1259" t="inlineStr">
        <is>
          <t>Colorado DOLA</t>
        </is>
      </c>
      <c r="C261" s="1259" t="inlineStr">
        <is>
          <t>Special Districts</t>
        </is>
      </c>
      <c r="D261" s="1259" t="inlineStr">
        <is>
          <t>Colorado Special Districts Map</t>
        </is>
      </c>
      <c r="E261" s="1260" t="inlineStr">
        <is>
          <t>Map and information for special-district boundaries.</t>
        </is>
      </c>
      <c r="F261" s="1260" t="inlineStr">
        <is>
          <t>Identify water, sanitation, fire, metro and other districts that may tax or serve a property.</t>
        </is>
      </c>
      <c r="G261" s="1256" t="inlineStr">
        <is>
          <t>https://gis.dola.colorado.gov/CO_SpecialDistrict/</t>
        </is>
      </c>
      <c r="H261" s="1259" t="inlineStr">
        <is>
          <t>Critical</t>
        </is>
      </c>
    </row>
    <row r="262">
      <c r="B262" s="1259" t="inlineStr">
        <is>
          <t>Colorado DOLA</t>
        </is>
      </c>
      <c r="C262" s="1259" t="inlineStr">
        <is>
          <t>Local Governments</t>
        </is>
      </c>
      <c r="D262" s="1259" t="inlineStr">
        <is>
          <t>Local Government Information System</t>
        </is>
      </c>
      <c r="E262" s="1260" t="inlineStr">
        <is>
          <t>Local-government contacts, budgets and election filings.</t>
        </is>
      </c>
      <c r="F262" s="1260" t="inlineStr">
        <is>
          <t>Research special districts and other local-government entities.</t>
        </is>
      </c>
      <c r="G262" s="1256" t="inlineStr">
        <is>
          <t>https://dola.colorado.gov/dlg_lgis_ui_pu/</t>
        </is>
      </c>
      <c r="H262" s="1259" t="inlineStr">
        <is>
          <t>High</t>
        </is>
      </c>
    </row>
    <row r="263">
      <c r="B263" s="1259" t="inlineStr">
        <is>
          <t>Colorado DOLA</t>
        </is>
      </c>
      <c r="C263" s="1259" t="inlineStr">
        <is>
          <t>Taxing Entities</t>
        </is>
      </c>
      <c r="D263" s="1259" t="inlineStr">
        <is>
          <t>Search Colorado Property Tax Entities</t>
        </is>
      </c>
      <c r="E263" s="1260" t="inlineStr">
        <is>
          <t>Search entities associated with property taxation.</t>
        </is>
      </c>
      <c r="F263" s="1260" t="inlineStr">
        <is>
          <t>Understand tax districts and locate entity information; verify mill levies with county offices.</t>
        </is>
      </c>
      <c r="G263" s="1256" t="inlineStr">
        <is>
          <t>https://dola.colorado.gov/dlg_lgis_ui_pu/publicLGTaxEntities.jsf</t>
        </is>
      </c>
      <c r="H263" s="1259" t="inlineStr">
        <is>
          <t>High</t>
        </is>
      </c>
    </row>
    <row r="264">
      <c r="B264" s="1259" t="inlineStr">
        <is>
          <t>Colorado DOLA</t>
        </is>
      </c>
      <c r="C264" s="1259" t="inlineStr">
        <is>
          <t>Municipal Boundaries</t>
        </is>
      </c>
      <c r="D264" s="1259" t="inlineStr">
        <is>
          <t>Colorado Municipal Boundaries</t>
        </is>
      </c>
      <c r="E264" s="1260" t="inlineStr">
        <is>
          <t>State municipal boundary map.</t>
        </is>
      </c>
      <c r="F264" s="1260" t="inlineStr">
        <is>
          <t>Confirm whether a parcel is incorporated and identify the municipality.</t>
        </is>
      </c>
      <c r="G264" s="1256" t="inlineStr">
        <is>
          <t>https://gis.dola.colorado.gov/CO_Muni/</t>
        </is>
      </c>
      <c r="H264" s="1259" t="inlineStr">
        <is>
          <t>Critical</t>
        </is>
      </c>
    </row>
    <row r="265">
      <c r="B265" s="1259" t="inlineStr">
        <is>
          <t>Colorado DOLA</t>
        </is>
      </c>
      <c r="C265" s="1259" t="inlineStr">
        <is>
          <t>GIS Downloads</t>
        </is>
      </c>
      <c r="D265" s="1259" t="inlineStr">
        <is>
          <t>GIS Data Sources</t>
        </is>
      </c>
      <c r="E265" s="1260" t="inlineStr">
        <is>
          <t>State-maintained boundary and demographic GIS datasets.</t>
        </is>
      </c>
      <c r="F265" s="1260" t="inlineStr">
        <is>
          <t>Download municipal, annexation and special-district data.</t>
        </is>
      </c>
      <c r="G265" s="1256" t="inlineStr">
        <is>
          <t>https://demography.dola.colorado.gov/assets/html/gis_data.html</t>
        </is>
      </c>
      <c r="H265" s="1259" t="inlineStr">
        <is>
          <t>Useful</t>
        </is>
      </c>
    </row>
    <row r="266">
      <c r="B266" s="1259" t="inlineStr">
        <is>
          <t>Colorado State Demography Office</t>
        </is>
      </c>
      <c r="C266" s="1259" t="inlineStr">
        <is>
          <t>Demographics</t>
        </is>
      </c>
      <c r="D266" s="1259" t="inlineStr">
        <is>
          <t>Data Bundle Lookup</t>
        </is>
      </c>
      <c r="E266" s="1260" t="inlineStr">
        <is>
          <t>Population, housing and demographic data bundles.</t>
        </is>
      </c>
      <c r="F266" s="1260" t="inlineStr">
        <is>
          <t>Support market, planning and growth analysis.</t>
        </is>
      </c>
      <c r="G266" s="1256" t="inlineStr">
        <is>
          <t>https://demography.dola.colorado.gov/assets/lookups/dashboard_lookup.html</t>
        </is>
      </c>
      <c r="H266" s="1259" t="inlineStr">
        <is>
          <t>Useful</t>
        </is>
      </c>
    </row>
    <row r="267">
      <c r="B267" s="1259" t="inlineStr">
        <is>
          <t>Colorado Geospatial Portal</t>
        </is>
      </c>
      <c r="C267" s="1259" t="inlineStr">
        <is>
          <t>GIS / Open Data</t>
        </is>
      </c>
      <c r="D267" s="1259" t="inlineStr">
        <is>
          <t>Colorado Geospatial Portal</t>
        </is>
      </c>
      <c r="E267" s="1260" t="inlineStr">
        <is>
          <t>Statewide open GIS datasets and maps.</t>
        </is>
      </c>
      <c r="F267" s="1260" t="inlineStr">
        <is>
          <t>Find state layers for environment, transportation, boundaries and natural resources.</t>
        </is>
      </c>
      <c r="G267" s="1256" t="inlineStr">
        <is>
          <t>https://geodata.colorado.gov/</t>
        </is>
      </c>
      <c r="H267" s="1259" t="inlineStr">
        <is>
          <t>High</t>
        </is>
      </c>
    </row>
    <row r="268">
      <c r="B268" s="1259" t="inlineStr">
        <is>
          <t>Colorado OIT</t>
        </is>
      </c>
      <c r="C268" s="1259" t="inlineStr">
        <is>
          <t>GIS Viewer</t>
        </is>
      </c>
      <c r="D268" s="1259" t="inlineStr">
        <is>
          <t>Colorado State Map Viewer</t>
        </is>
      </c>
      <c r="E268" s="1260" t="inlineStr">
        <is>
          <t>Statewide interactive map viewer.</t>
        </is>
      </c>
      <c r="F268" s="1260" t="inlineStr">
        <is>
          <t>Screen state datasets without desktop GIS.</t>
        </is>
      </c>
      <c r="G268" s="1256" t="inlineStr">
        <is>
          <t>https://gis.colorado.gov/viewer/?page=Home</t>
        </is>
      </c>
      <c r="H268" s="1259" t="inlineStr">
        <is>
          <t>Useful</t>
        </is>
      </c>
    </row>
    <row r="269">
      <c r="B269" s="1259" t="inlineStr">
        <is>
          <t>DRCOG</t>
        </is>
      </c>
      <c r="C269" s="1259" t="inlineStr">
        <is>
          <t>Regional GIS / Planning</t>
        </is>
      </c>
      <c r="D269" s="1259" t="inlineStr">
        <is>
          <t>Data, Maps &amp; Modeling</t>
        </is>
      </c>
      <c r="E269" s="1260" t="inlineStr">
        <is>
          <t>Denver-region data, maps, forecasts and modeling resources.</t>
        </is>
      </c>
      <c r="F269" s="1260" t="inlineStr">
        <is>
          <t>Research regional growth, transportation, parcels and planning context.</t>
        </is>
      </c>
      <c r="G269" s="1256" t="inlineStr">
        <is>
          <t>https://drcog.org/data-maps-modeling</t>
        </is>
      </c>
      <c r="H269" s="1259" t="inlineStr">
        <is>
          <t>High</t>
        </is>
      </c>
    </row>
    <row r="270">
      <c r="B270" s="1259" t="inlineStr">
        <is>
          <t>Colorado Division of Water Resources</t>
        </is>
      </c>
      <c r="C270" s="1259" t="inlineStr">
        <is>
          <t>Water</t>
        </is>
      </c>
      <c r="D270" s="1259" t="inlineStr">
        <is>
          <t>CDSS / DWR Tools</t>
        </is>
      </c>
      <c r="E270" s="1260" t="inlineStr">
        <is>
          <t>Water-rights, structures, hydrography and decision-support tools.</t>
        </is>
      </c>
      <c r="F270" s="1260" t="inlineStr">
        <is>
          <t>Research water rights, ditches, structures and hydrologic data.</t>
        </is>
      </c>
      <c r="G270" s="1256" t="inlineStr">
        <is>
          <t>https://dwr.state.co.us/Tools</t>
        </is>
      </c>
      <c r="H270" s="1259" t="inlineStr">
        <is>
          <t>Critical</t>
        </is>
      </c>
    </row>
    <row r="271">
      <c r="B271" s="1259" t="inlineStr">
        <is>
          <t>Colorado Division of Water Resources</t>
        </is>
      </c>
      <c r="C271" s="1259" t="inlineStr">
        <is>
          <t>Wells</t>
        </is>
      </c>
      <c r="D271" s="1259" t="inlineStr">
        <is>
          <t>Well Permits</t>
        </is>
      </c>
      <c r="E271" s="1260" t="inlineStr">
        <is>
          <t>Well permit search and information.</t>
        </is>
      </c>
      <c r="F271" s="1260" t="inlineStr">
        <is>
          <t>Check permitted wells and well records near a parcel.</t>
        </is>
      </c>
      <c r="G271" s="1256" t="inlineStr">
        <is>
          <t>https://dwr.state.co.us/Tools/WellPermits</t>
        </is>
      </c>
      <c r="H271" s="1259" t="inlineStr">
        <is>
          <t>Critical</t>
        </is>
      </c>
    </row>
    <row r="272">
      <c r="B272" s="1259" t="inlineStr">
        <is>
          <t>Colorado Energy &amp; Carbon Management Commission</t>
        </is>
      </c>
      <c r="C272" s="1259" t="inlineStr">
        <is>
          <t>Oil &amp; Gas</t>
        </is>
      </c>
      <c r="D272" s="1259" t="inlineStr">
        <is>
          <t>ECMC Maps</t>
        </is>
      </c>
      <c r="E272" s="1260" t="inlineStr">
        <is>
          <t>Oil and gas wells, facilities and regulatory map tools.</t>
        </is>
      </c>
      <c r="F272" s="1260" t="inlineStr">
        <is>
          <t>Screen nearby oil/gas infrastructure, setbacks and regulatory records.</t>
        </is>
      </c>
      <c r="G272" s="1256" t="inlineStr">
        <is>
          <t>https://ecmc.state.co.us/maps.html</t>
        </is>
      </c>
      <c r="H272" s="1259" t="inlineStr">
        <is>
          <t>Critical</t>
        </is>
      </c>
    </row>
    <row r="273">
      <c r="B273" s="1259" t="inlineStr">
        <is>
          <t>Colorado Energy &amp; Carbon Management Commission</t>
        </is>
      </c>
      <c r="C273" s="1259" t="inlineStr">
        <is>
          <t>Oil &amp; Gas Data</t>
        </is>
      </c>
      <c r="D273" s="1259" t="inlineStr">
        <is>
          <t>ECMC Data</t>
        </is>
      </c>
      <c r="E273" s="1260" t="inlineStr">
        <is>
          <t>Downloadable oil and gas data and records.</t>
        </is>
      </c>
      <c r="F273" s="1260" t="inlineStr">
        <is>
          <t>Perform detailed facility and well research.</t>
        </is>
      </c>
      <c r="G273" s="1256" t="inlineStr">
        <is>
          <t>https://ecmc.state.co.us/data.html</t>
        </is>
      </c>
      <c r="H273" s="1259" t="inlineStr">
        <is>
          <t>High</t>
        </is>
      </c>
    </row>
    <row r="274">
      <c r="B274" s="1259" t="inlineStr">
        <is>
          <t>CDPHE</t>
        </is>
      </c>
      <c r="C274" s="1259" t="inlineStr">
        <is>
          <t>Environmental</t>
        </is>
      </c>
      <c r="D274" s="1259" t="inlineStr">
        <is>
          <t>Maps and GIS for Health and Environment</t>
        </is>
      </c>
      <c r="E274" s="1260" t="inlineStr">
        <is>
          <t>Environmental, health, cleanup and facility mapping resources.</t>
        </is>
      </c>
      <c r="F274" s="1260" t="inlineStr">
        <is>
          <t>Screen environmental and public-health conditions.</t>
        </is>
      </c>
      <c r="G274" s="1256" t="inlineStr">
        <is>
          <t>https://cdphe.colorado.gov/maps-and-gis-for-health-and-environment</t>
        </is>
      </c>
      <c r="H274" s="1259" t="inlineStr">
        <is>
          <t>Critical</t>
        </is>
      </c>
    </row>
    <row r="275">
      <c r="B275" s="1259" t="inlineStr">
        <is>
          <t>CDPHE</t>
        </is>
      </c>
      <c r="C275" s="1259" t="inlineStr">
        <is>
          <t>Contamination</t>
        </is>
      </c>
      <c r="D275" s="1259" t="inlineStr">
        <is>
          <t>Environmental Maps and GIS Data</t>
        </is>
      </c>
      <c r="E275" s="1260" t="inlineStr">
        <is>
          <t>Hazardous Materials and Waste Management map portal and records search.</t>
        </is>
      </c>
      <c r="F275" s="1260" t="inlineStr">
        <is>
          <t>Locate regulated facilities, waste sites and associated records.</t>
        </is>
      </c>
      <c r="G275" s="1256" t="inlineStr">
        <is>
          <t>https://cdphe.colorado.gov/hm/gis-data</t>
        </is>
      </c>
      <c r="H275" s="1259" t="inlineStr">
        <is>
          <t>Critical</t>
        </is>
      </c>
    </row>
    <row r="276">
      <c r="B276" s="1259" t="inlineStr">
        <is>
          <t>CDPHE</t>
        </is>
      </c>
      <c r="C276" s="1259" t="inlineStr">
        <is>
          <t>Contamination</t>
        </is>
      </c>
      <c r="D276" s="1259" t="inlineStr">
        <is>
          <t>How to Find Out if a Site Is Contaminated</t>
        </is>
      </c>
      <c r="E276" s="1260" t="inlineStr">
        <is>
          <t>Guide to cleanup, covenant, tank and federal environmental databases.</t>
        </is>
      </c>
      <c r="F276" s="1260" t="inlineStr">
        <is>
          <t>Build an environmental-screening search plan.</t>
        </is>
      </c>
      <c r="G276" s="1256" t="inlineStr">
        <is>
          <t>https://cdphe.colorado.gov/hm/if-site-contaminated</t>
        </is>
      </c>
      <c r="H276" s="1259" t="inlineStr">
        <is>
          <t>High</t>
        </is>
      </c>
    </row>
    <row r="277">
      <c r="B277" s="1259" t="inlineStr">
        <is>
          <t>CDPHE</t>
        </is>
      </c>
      <c r="C277" s="1259" t="inlineStr">
        <is>
          <t>Water Quality</t>
        </is>
      </c>
      <c r="D277" s="1259" t="inlineStr">
        <is>
          <t>Clean Water GIS Maps</t>
        </is>
      </c>
      <c r="E277" s="1260" t="inlineStr">
        <is>
          <t>Impaired waters, stream segments, TMDLs and watershed-plan maps.</t>
        </is>
      </c>
      <c r="F277" s="1260" t="inlineStr">
        <is>
          <t>Screen nearby surface-water quality and regulatory context.</t>
        </is>
      </c>
      <c r="G277" s="1256" t="inlineStr">
        <is>
          <t>https://cdphe.colorado.gov/clean-water-gis-maps</t>
        </is>
      </c>
      <c r="H277" s="1259" t="inlineStr">
        <is>
          <t>High</t>
        </is>
      </c>
    </row>
    <row r="278">
      <c r="B278" s="1259" t="inlineStr">
        <is>
          <t>CDPHE</t>
        </is>
      </c>
      <c r="C278" s="1259" t="inlineStr">
        <is>
          <t>PFAS</t>
        </is>
      </c>
      <c r="D278" s="1259" t="inlineStr">
        <is>
          <t>PFAS Mapping</t>
        </is>
      </c>
      <c r="E278" s="1260" t="inlineStr">
        <is>
          <t>PFAS sampling and vulnerability mapping resources.</t>
        </is>
      </c>
      <c r="F278" s="1260" t="inlineStr">
        <is>
          <t>Screen known sampling and modeled PFAS concerns.</t>
        </is>
      </c>
      <c r="G278" s="1256" t="inlineStr">
        <is>
          <t>https://cdphe.colorado.gov/pfas/mapping</t>
        </is>
      </c>
      <c r="H278" s="1259" t="inlineStr">
        <is>
          <t>Useful</t>
        </is>
      </c>
    </row>
    <row r="279">
      <c r="B279" s="1259" t="inlineStr">
        <is>
          <t>FEMA</t>
        </is>
      </c>
      <c r="C279" s="1259" t="inlineStr">
        <is>
          <t>Flood</t>
        </is>
      </c>
      <c r="D279" s="1259" t="inlineStr">
        <is>
          <t>Flood Maps</t>
        </is>
      </c>
      <c r="E279" s="1260" t="inlineStr">
        <is>
          <t>FEMA flood-hazard mapping overview and resources.</t>
        </is>
      </c>
      <c r="F279" s="1260" t="inlineStr">
        <is>
          <t>Understand official flood-map products and updates.</t>
        </is>
      </c>
      <c r="G279" s="1256" t="inlineStr">
        <is>
          <t>https://www.fema.gov/flood-maps</t>
        </is>
      </c>
      <c r="H279" s="1259" t="inlineStr">
        <is>
          <t>Critical</t>
        </is>
      </c>
    </row>
    <row r="280">
      <c r="B280" s="1259" t="inlineStr">
        <is>
          <t>FEMA</t>
        </is>
      </c>
      <c r="C280" s="1259" t="inlineStr">
        <is>
          <t>Flood</t>
        </is>
      </c>
      <c r="D280" s="1259" t="inlineStr">
        <is>
          <t>Flood Map Service Center</t>
        </is>
      </c>
      <c r="E280" s="1260" t="inlineStr">
        <is>
          <t>Official address and map search for effective flood maps.</t>
        </is>
      </c>
      <c r="F280" s="1260" t="inlineStr">
        <is>
          <t>Search flood zones, panels and Letters of Map Change.</t>
        </is>
      </c>
      <c r="G280" s="1256" t="inlineStr">
        <is>
          <t>https://msc.fema.gov/portal/search</t>
        </is>
      </c>
      <c r="H280" s="1259" t="inlineStr">
        <is>
          <t>Critical</t>
        </is>
      </c>
    </row>
    <row r="281">
      <c r="B281" s="1259" t="inlineStr">
        <is>
          <t>FEMA</t>
        </is>
      </c>
      <c r="C281" s="1259" t="inlineStr">
        <is>
          <t>Flood / GIS</t>
        </is>
      </c>
      <c r="D281" s="1259" t="inlineStr">
        <is>
          <t>National Flood Hazard Layer</t>
        </is>
      </c>
      <c r="E281" s="1260" t="inlineStr">
        <is>
          <t>GIS representation of current flood-hazard information.</t>
        </is>
      </c>
      <c r="F281" s="1260" t="inlineStr">
        <is>
          <t>Overlay flood data in mapping workflows.</t>
        </is>
      </c>
      <c r="G281" s="1256" t="inlineStr">
        <is>
          <t>https://www.fema.gov/flood-maps/national-flood-hazard-layer</t>
        </is>
      </c>
      <c r="H281" s="1259" t="inlineStr">
        <is>
          <t>High</t>
        </is>
      </c>
    </row>
    <row r="282">
      <c r="B282" s="1259" t="inlineStr">
        <is>
          <t>U.S. EPA</t>
        </is>
      </c>
      <c r="C282" s="1259" t="inlineStr">
        <is>
          <t>Environmental</t>
        </is>
      </c>
      <c r="D282" s="1259" t="inlineStr">
        <is>
          <t>Cleanups in My Community</t>
        </is>
      </c>
      <c r="E282" s="1260" t="inlineStr">
        <is>
          <t>Map of federal and state cleanup sites and programs.</t>
        </is>
      </c>
      <c r="F282" s="1260" t="inlineStr">
        <is>
          <t>Screen nearby cleanup and regulated sites.</t>
        </is>
      </c>
      <c r="G282" s="1256" t="inlineStr">
        <is>
          <t>https://www.epa.gov/cleanups/cleanups-my-community</t>
        </is>
      </c>
      <c r="H282" s="1259" t="inlineStr">
        <is>
          <t>Critical</t>
        </is>
      </c>
    </row>
    <row r="283">
      <c r="B283" s="1259" t="inlineStr">
        <is>
          <t>U.S. EPA</t>
        </is>
      </c>
      <c r="C283" s="1259" t="inlineStr">
        <is>
          <t>Environmental</t>
        </is>
      </c>
      <c r="D283" s="1259" t="inlineStr">
        <is>
          <t>Direct Cleanup Map</t>
        </is>
      </c>
      <c r="E283" s="1260" t="inlineStr">
        <is>
          <t>Interactive cleanup-site map.</t>
        </is>
      </c>
      <c r="F283" s="1260" t="inlineStr">
        <is>
          <t>Search a specific address or area for cleanup records.</t>
        </is>
      </c>
      <c r="G283" s="1256" t="inlineStr">
        <is>
          <t>https://map22.epa.gov/cimc/</t>
        </is>
      </c>
      <c r="H283" s="1259" t="inlineStr">
        <is>
          <t>High</t>
        </is>
      </c>
    </row>
    <row r="284">
      <c r="B284" s="1259" t="inlineStr">
        <is>
          <t>U.S. EPA</t>
        </is>
      </c>
      <c r="C284" s="1259" t="inlineStr">
        <is>
          <t>Superfund</t>
        </is>
      </c>
      <c r="D284" s="1259" t="inlineStr">
        <is>
          <t>Search Superfund Sites</t>
        </is>
      </c>
      <c r="E284" s="1260" t="inlineStr">
        <is>
          <t>Superfund and National Priorities List search resources.</t>
        </is>
      </c>
      <c r="F284" s="1260" t="inlineStr">
        <is>
          <t>Check nearby federal Superfund sites and site documents.</t>
        </is>
      </c>
      <c r="G284" s="1256" t="inlineStr">
        <is>
          <t>https://www.epa.gov/superfund/search-superfund-sites-where-you-live</t>
        </is>
      </c>
      <c r="H284" s="1259" t="inlineStr">
        <is>
          <t>High</t>
        </is>
      </c>
    </row>
    <row r="285">
      <c r="B285" s="1259" t="inlineStr">
        <is>
          <t>USDA NRCS</t>
        </is>
      </c>
      <c r="C285" s="1259" t="inlineStr">
        <is>
          <t>Soils</t>
        </is>
      </c>
      <c r="D285" s="1259" t="inlineStr">
        <is>
          <t>Web Soil Survey</t>
        </is>
      </c>
      <c r="E285" s="1260" t="inlineStr">
        <is>
          <t>Authoritative soil maps and interpretations.</t>
        </is>
      </c>
      <c r="F285" s="1260" t="inlineStr">
        <is>
          <t>Evaluate soil type, drainage, engineering and agricultural characteristics.</t>
        </is>
      </c>
      <c r="G285" s="1256" t="inlineStr">
        <is>
          <t>https://websoilsurvey.nrcs.usda.gov/</t>
        </is>
      </c>
      <c r="H285" s="1259" t="inlineStr">
        <is>
          <t>Critical</t>
        </is>
      </c>
    </row>
    <row r="286">
      <c r="B286" s="1259" t="inlineStr">
        <is>
          <t>U.S. Fish &amp; Wildlife Service</t>
        </is>
      </c>
      <c r="C286" s="1259" t="inlineStr">
        <is>
          <t>Wetlands</t>
        </is>
      </c>
      <c r="D286" s="1259" t="inlineStr">
        <is>
          <t>National Wetlands Inventory Mapper</t>
        </is>
      </c>
      <c r="E286" s="1260" t="inlineStr">
        <is>
          <t>Mapped wetland and aquatic-resource information.</t>
        </is>
      </c>
      <c r="F286" s="1260" t="inlineStr">
        <is>
          <t>Screen for potential wetlands; field verification may still be required.</t>
        </is>
      </c>
      <c r="G286" s="1256" t="inlineStr">
        <is>
          <t>https://www.fws.gov/program/national-wetlands-inventory/wetlands-mapper</t>
        </is>
      </c>
      <c r="H286" s="1259" t="inlineStr">
        <is>
          <t>High</t>
        </is>
      </c>
    </row>
    <row r="287">
      <c r="B287" s="1259" t="inlineStr">
        <is>
          <t>CDOT</t>
        </is>
      </c>
      <c r="C287" s="1259" t="inlineStr">
        <is>
          <t>Transportation</t>
        </is>
      </c>
      <c r="D287" s="1259" t="inlineStr">
        <is>
          <t>Online Transportation Information System</t>
        </is>
      </c>
      <c r="E287" s="1260" t="inlineStr">
        <is>
          <t>Traffic, highway attributes, planning and geographic data.</t>
        </is>
      </c>
      <c r="F287" s="1260" t="inlineStr">
        <is>
          <t>Research state-highway context and transportation planning.</t>
        </is>
      </c>
      <c r="G287" s="1256" t="inlineStr">
        <is>
          <t>https://dtdapps.codot.gov/otis</t>
        </is>
      </c>
      <c r="H287" s="1259" t="inlineStr">
        <is>
          <t>Critical</t>
        </is>
      </c>
    </row>
    <row r="288">
      <c r="B288" s="1259" t="inlineStr">
        <is>
          <t>CDOT</t>
        </is>
      </c>
      <c r="C288" s="1259" t="inlineStr">
        <is>
          <t>Transportation</t>
        </is>
      </c>
      <c r="D288" s="1259" t="inlineStr">
        <is>
          <t>Highway Data Explorer</t>
        </is>
      </c>
      <c r="E288" s="1260" t="inlineStr">
        <is>
          <t>Map-based state highway data and attributes.</t>
        </is>
      </c>
      <c r="F288" s="1260" t="inlineStr">
        <is>
          <t>Review highway classification, geometry and related data.</t>
        </is>
      </c>
      <c r="G288" s="1256" t="inlineStr">
        <is>
          <t>https://dtdapps.codot.gov/otis/HighwayData</t>
        </is>
      </c>
      <c r="H288" s="1259" t="inlineStr">
        <is>
          <t>High</t>
        </is>
      </c>
    </row>
    <row r="289">
      <c r="B289" s="1259" t="inlineStr">
        <is>
          <t>CDOT</t>
        </is>
      </c>
      <c r="C289" s="1259" t="inlineStr">
        <is>
          <t>Traffic</t>
        </is>
      </c>
      <c r="D289" s="1259" t="inlineStr">
        <is>
          <t>Traffic Data Explorer</t>
        </is>
      </c>
      <c r="E289" s="1260" t="inlineStr">
        <is>
          <t>Traffic stations, AADT and projected traffic data.</t>
        </is>
      </c>
      <c r="F289" s="1260" t="inlineStr">
        <is>
          <t>Support access, development and market analysis.</t>
        </is>
      </c>
      <c r="G289" s="1256" t="inlineStr">
        <is>
          <t>https://dtdapps.codot.gov/otis/TrafficData</t>
        </is>
      </c>
      <c r="H289" s="1259" t="inlineStr">
        <is>
          <t>High</t>
        </is>
      </c>
    </row>
    <row r="290">
      <c r="B290" s="1259" t="inlineStr">
        <is>
          <t>History Colorado</t>
        </is>
      </c>
      <c r="C290" s="1259" t="inlineStr">
        <is>
          <t>Historic Properties</t>
        </is>
      </c>
      <c r="D290" s="1259" t="inlineStr">
        <is>
          <t>Compass Information</t>
        </is>
      </c>
      <c r="E290" s="1260" t="inlineStr">
        <is>
          <t>State cultural-resource inventory and research guidance.</t>
        </is>
      </c>
      <c r="F290" s="1260" t="inlineStr">
        <is>
          <t>Screen historic resources and understand access to cultural-resource data.</t>
        </is>
      </c>
      <c r="G290" s="1256" t="inlineStr">
        <is>
          <t>https://www.historycolorado.org/compass-information</t>
        </is>
      </c>
      <c r="H290" s="1259" t="inlineStr">
        <is>
          <t>High</t>
        </is>
      </c>
    </row>
    <row r="291">
      <c r="B291" s="1259" t="inlineStr">
        <is>
          <t>History Colorado</t>
        </is>
      </c>
      <c r="C291" s="1259" t="inlineStr">
        <is>
          <t>Historic Properties</t>
        </is>
      </c>
      <c r="D291" s="1259" t="inlineStr">
        <is>
          <t>National &amp; State Register Listed Properties</t>
        </is>
      </c>
      <c r="E291" s="1260" t="inlineStr">
        <is>
          <t>Lists and records of registered historic properties.</t>
        </is>
      </c>
      <c r="F291" s="1260" t="inlineStr">
        <is>
          <t>Check whether a property or nearby resource is listed.</t>
        </is>
      </c>
      <c r="G291" s="1256" t="inlineStr">
        <is>
          <t>https://www.historycolorado.org/national-state-register-listed-properties</t>
        </is>
      </c>
      <c r="H291" s="1259" t="inlineStr">
        <is>
          <t>High</t>
        </is>
      </c>
    </row>
    <row r="292">
      <c r="B292" s="1259" t="inlineStr">
        <is>
          <t>Colorado Division of Real Estate</t>
        </is>
      </c>
      <c r="C292" s="1259" t="inlineStr">
        <is>
          <t>HOA</t>
        </is>
      </c>
      <c r="D292" s="1259" t="inlineStr">
        <is>
          <t>HOA Center</t>
        </is>
      </c>
      <c r="E292" s="1260" t="inlineStr">
        <is>
          <t>Information about common-interest communities, CCIOA and HOA resources.</t>
        </is>
      </c>
      <c r="F292" s="1260" t="inlineStr">
        <is>
          <t>Understand HOA registration and common-interest community issues.</t>
        </is>
      </c>
      <c r="G292" s="1256" t="inlineStr">
        <is>
          <t>https://dre.colorado.gov/hoa-center</t>
        </is>
      </c>
      <c r="H292" s="1259" t="inlineStr">
        <is>
          <t>High</t>
        </is>
      </c>
    </row>
    <row r="293">
      <c r="B293" s="1259" t="inlineStr">
        <is>
          <t>Colorado Division of Real Estate</t>
        </is>
      </c>
      <c r="C293" s="1259" t="inlineStr">
        <is>
          <t>HOA</t>
        </is>
      </c>
      <c r="D293" s="1259" t="inlineStr">
        <is>
          <t>HOA Registration Services</t>
        </is>
      </c>
      <c r="E293" s="1260" t="inlineStr">
        <is>
          <t>HOA registration lookup guidance and registration resources.</t>
        </is>
      </c>
      <c r="F293" s="1260" t="inlineStr">
        <is>
          <t>Check an association's registration status and identify contacts.</t>
        </is>
      </c>
      <c r="G293" s="1256" t="inlineStr">
        <is>
          <t>https://dre.colorado.gov/hoa-registration-services</t>
        </is>
      </c>
      <c r="H293" s="1259" t="inlineStr">
        <is>
          <t>High</t>
        </is>
      </c>
    </row>
    <row r="294">
      <c r="B294" s="1259" t="inlineStr">
        <is>
          <t>Colorado DORA</t>
        </is>
      </c>
      <c r="C294" s="1259" t="inlineStr">
        <is>
          <t>Professional Licenses</t>
        </is>
      </c>
      <c r="D294" s="1259" t="inlineStr">
        <is>
          <t>Verify a Professional or Business License</t>
        </is>
      </c>
      <c r="E294" s="1260" t="inlineStr">
        <is>
          <t>Search licenses for brokers, engineers, architects and other regulated professionals.</t>
        </is>
      </c>
      <c r="F294" s="1260" t="inlineStr">
        <is>
          <t>Verify people and firms involved in a transaction or project.</t>
        </is>
      </c>
      <c r="G294" s="1256" t="inlineStr">
        <is>
          <t>https://co.colorado.gov/verify-status-professionals-license</t>
        </is>
      </c>
      <c r="H294" s="1259" t="inlineStr">
        <is>
          <t>Useful</t>
        </is>
      </c>
    </row>
    <row r="295">
      <c r="B295" s="1259" t="inlineStr">
        <is>
          <t>Colorado State Land Board</t>
        </is>
      </c>
      <c r="C295" s="1259" t="inlineStr">
        <is>
          <t>State Trust Land</t>
        </is>
      </c>
      <c r="D295" s="1259" t="inlineStr">
        <is>
          <t>State Land Board Online Services</t>
        </is>
      </c>
      <c r="E295" s="1260" t="inlineStr">
        <is>
          <t>State trust land and lease-related online services.</t>
        </is>
      </c>
      <c r="F295" s="1260" t="inlineStr">
        <is>
          <t>Screen potential state trust land interests and obtain state land information.</t>
        </is>
      </c>
      <c r="G295" s="1256" t="inlineStr">
        <is>
          <t>https://secure.slb.colorado.gov/</t>
        </is>
      </c>
      <c r="H295" s="1259" t="inlineStr">
        <is>
          <t>Useful</t>
        </is>
      </c>
    </row>
    <row r="296">
      <c r="B296" s="1259" t="inlineStr">
        <is>
          <t>BLM</t>
        </is>
      </c>
      <c r="C296" s="1259" t="inlineStr">
        <is>
          <t>Federal Land / GIS</t>
        </is>
      </c>
      <c r="D296" s="1259" t="inlineStr">
        <is>
          <t>Colorado GIS Datasets</t>
        </is>
      </c>
      <c r="E296" s="1260" t="inlineStr">
        <is>
          <t>Federal land and resource GIS datasets.</t>
        </is>
      </c>
      <c r="F296" s="1260" t="inlineStr">
        <is>
          <t>Screen federal land status and download BLM layers.</t>
        </is>
      </c>
      <c r="G296" s="1256" t="inlineStr">
        <is>
          <t>https://www.blm.gov/maps/frequently-requested/colorado/gis-datasets</t>
        </is>
      </c>
      <c r="H296" s="1259" t="inlineStr">
        <is>
          <t>Useful</t>
        </is>
      </c>
    </row>
    <row r="299">
      <c r="B299" s="1250" t="inlineStr">
        <is>
          <t>PROPERTY DUE-DILIGENCE CHECKLIST — one copy per property; set Status as you go</t>
        </is>
      </c>
      <c r="C299" s="1253" t="n"/>
      <c r="D299" s="1253" t="n"/>
      <c r="E299" s="1253" t="n"/>
      <c r="F299" s="1253" t="n"/>
      <c r="G299" s="1253" t="n"/>
      <c r="H299" s="1253" t="n"/>
      <c r="I299" s="1253" t="n"/>
    </row>
    <row r="300">
      <c r="B300" s="1251" t="inlineStr">
        <is>
          <t>Step</t>
        </is>
      </c>
      <c r="C300" s="1251" t="inlineStr">
        <is>
          <t>Topic</t>
        </is>
      </c>
      <c r="D300" s="1251" t="inlineStr">
        <is>
          <t>Question / Action</t>
        </is>
      </c>
      <c r="E300" s="1251" t="inlineStr">
        <is>
          <t>Primary Resource</t>
        </is>
      </c>
      <c r="F300" s="1251" t="inlineStr">
        <is>
          <t>Link</t>
        </is>
      </c>
      <c r="G300" s="1251" t="inlineStr">
        <is>
          <t>Evidence to Save</t>
        </is>
      </c>
      <c r="H300" s="1251" t="inlineStr">
        <is>
          <t>Red Flags / Follow-up</t>
        </is>
      </c>
      <c r="I300" s="1251" t="inlineStr">
        <is>
          <t>Status</t>
        </is>
      </c>
      <c r="J300" s="1251" t="inlineStr">
        <is>
          <t>Notes</t>
        </is>
      </c>
    </row>
    <row r="301">
      <c r="B301" s="1259" t="n">
        <v>1</v>
      </c>
      <c r="C301" s="1259" t="inlineStr">
        <is>
          <t>Parcel identity</t>
        </is>
      </c>
      <c r="D301" s="1260" t="inlineStr">
        <is>
          <t>Normalize the street address and obtain the Adams County parcel/account number.</t>
        </is>
      </c>
      <c r="E301" s="1260" t="inlineStr">
        <is>
          <t>Adams County Search Real Property</t>
        </is>
      </c>
      <c r="F301" s="1256" t="inlineStr">
        <is>
          <t>Open</t>
        </is>
      </c>
      <c r="G301" s="1260" t="inlineStr">
        <is>
          <t>Property summary, APN/account number and screenshot/PDF</t>
        </is>
      </c>
      <c r="H301" s="1260" t="inlineStr">
        <is>
          <t>Address mismatch, multiple parcels, condominium unit confusion</t>
        </is>
      </c>
      <c r="I301" s="1259" t="inlineStr">
        <is>
          <t>Not Started</t>
        </is>
      </c>
      <c r="J301" s="1259" t="n"/>
    </row>
    <row r="302">
      <c r="B302" s="1259" t="n">
        <v>2</v>
      </c>
      <c r="C302" s="1259" t="inlineStr">
        <is>
          <t>Jurisdiction</t>
        </is>
      </c>
      <c r="D302" s="1260" t="inlineStr">
        <is>
          <t>Confirm the parcel's county, municipal boundary and whether it is unincorporated.</t>
        </is>
      </c>
      <c r="E302" s="1260" t="inlineStr">
        <is>
          <t>County Cities &amp; Towns + Colorado Municipal Boundaries</t>
        </is>
      </c>
      <c r="F302" s="1256" t="inlineStr">
        <is>
          <t>Open</t>
        </is>
      </c>
      <c r="G302" s="1260" t="inlineStr">
        <is>
          <t>Boundary map and jurisdiction note</t>
        </is>
      </c>
      <c r="H302" s="1260" t="inlineStr">
        <is>
          <t>Mailing city differs from legal jurisdiction; recent annexation</t>
        </is>
      </c>
      <c r="I302" s="1259" t="inlineStr">
        <is>
          <t>Not Started</t>
        </is>
      </c>
      <c r="J302" s="1259" t="n"/>
    </row>
    <row r="303">
      <c r="B303" s="1259" t="n">
        <v>3</v>
      </c>
      <c r="C303" s="1259" t="inlineStr">
        <is>
          <t>Ownership</t>
        </is>
      </c>
      <c r="D303" s="1260" t="inlineStr">
        <is>
          <t>Verify current owner name, mailing address, legal description and assessment record.</t>
        </is>
      </c>
      <c r="E303" s="1260" t="inlineStr">
        <is>
          <t>Adams County Assessor Quick Search</t>
        </is>
      </c>
      <c r="F303" s="1256" t="inlineStr">
        <is>
          <t>Open</t>
        </is>
      </c>
      <c r="G303" s="1260" t="inlineStr">
        <is>
          <t>Assessor property detail</t>
        </is>
      </c>
      <c r="H303" s="1260" t="inlineStr">
        <is>
          <t>Owner entity name differs from contract; stale mailing address</t>
        </is>
      </c>
      <c r="I303" s="1259" t="inlineStr">
        <is>
          <t>Not Started</t>
        </is>
      </c>
      <c r="J303" s="1259" t="n"/>
    </row>
    <row r="304">
      <c r="B304" s="1259" t="n">
        <v>4</v>
      </c>
      <c r="C304" s="1259" t="inlineStr">
        <is>
          <t>Legal description</t>
        </is>
      </c>
      <c r="D304" s="1260" t="inlineStr">
        <is>
          <t>Compare the assessor legal description with the deed and survey/plat.</t>
        </is>
      </c>
      <c r="E304" s="1260" t="inlineStr">
        <is>
          <t>Adams County Landmark Web</t>
        </is>
      </c>
      <c r="F304" s="1256" t="inlineStr">
        <is>
          <t>Open</t>
        </is>
      </c>
      <c r="G304" s="1260" t="inlineStr">
        <is>
          <t>Latest vesting deed and legal description</t>
        </is>
      </c>
      <c r="H304" s="1260" t="inlineStr">
        <is>
          <t>Abbreviated assessor description, omitted tract, exception or easement</t>
        </is>
      </c>
      <c r="I304" s="1259" t="inlineStr">
        <is>
          <t>Not Started</t>
        </is>
      </c>
      <c r="J304" s="1259" t="n"/>
    </row>
    <row r="305">
      <c r="B305" s="1259" t="n">
        <v>5</v>
      </c>
      <c r="C305" s="1259" t="inlineStr">
        <is>
          <t>Deed chain</t>
        </is>
      </c>
      <c r="D305" s="1260" t="inlineStr">
        <is>
          <t>Pull the current vesting deed and prior deeds needed to understand title history.</t>
        </is>
      </c>
      <c r="E305" s="1260" t="inlineStr">
        <is>
          <t>Adams County Landmark Web</t>
        </is>
      </c>
      <c r="F305" s="1256" t="inlineStr">
        <is>
          <t>Open</t>
        </is>
      </c>
      <c r="G305" s="1260" t="inlineStr">
        <is>
          <t>Recorded deed images and document numbers</t>
        </is>
      </c>
      <c r="H305" s="1260" t="inlineStr">
        <is>
          <t>Quitclaim transfers, estate/probate issues, entity changes, recording gaps</t>
        </is>
      </c>
      <c r="I305" s="1259" t="inlineStr">
        <is>
          <t>Not Started</t>
        </is>
      </c>
      <c r="J305" s="1259" t="n"/>
    </row>
    <row r="306">
      <c r="B306" s="1259" t="n">
        <v>6</v>
      </c>
      <c r="C306" s="1259" t="inlineStr">
        <is>
          <t>Recorded encumbrances</t>
        </is>
      </c>
      <c r="D306" s="1260" t="inlineStr">
        <is>
          <t>Search for deeds of trust, releases, easements, covenants, liens, notices and agreements.</t>
        </is>
      </c>
      <c r="E306" s="1260" t="inlineStr">
        <is>
          <t>Adams County Recorded Documents</t>
        </is>
      </c>
      <c r="F306" s="1256" t="inlineStr">
        <is>
          <t>Open</t>
        </is>
      </c>
      <c r="G306" s="1260" t="inlineStr">
        <is>
          <t>Index results and relevant document images</t>
        </is>
      </c>
      <c r="H306" s="1260" t="inlineStr">
        <is>
          <t>Unreleased liens, access easements, restrictive covenants, notices of default</t>
        </is>
      </c>
      <c r="I306" s="1259" t="inlineStr">
        <is>
          <t>Not Started</t>
        </is>
      </c>
      <c r="J306" s="1259" t="n"/>
    </row>
    <row r="307">
      <c r="B307" s="1259" t="n">
        <v>7</v>
      </c>
      <c r="C307" s="1259" t="inlineStr">
        <is>
          <t>Title</t>
        </is>
      </c>
      <c r="D307" s="1260" t="inlineStr">
        <is>
          <t>Order a title commitment and compare exceptions with independently found records.</t>
        </is>
      </c>
      <c r="E307" s="1260" t="inlineStr">
        <is>
          <t>Licensed title company / attorney</t>
        </is>
      </c>
      <c r="F307" s="1259" t="n"/>
      <c r="G307" s="1260" t="inlineStr">
        <is>
          <t>Current title commitment and exception documents</t>
        </is>
      </c>
      <c r="H307" s="1260" t="inlineStr">
        <is>
          <t>Unresolved requirements, gap risk, standard exceptions that need survey evidence</t>
        </is>
      </c>
      <c r="I307" s="1259" t="inlineStr">
        <is>
          <t>Not Started</t>
        </is>
      </c>
      <c r="J307" s="1259" t="n"/>
    </row>
    <row r="308">
      <c r="B308" s="1259" t="n">
        <v>8</v>
      </c>
      <c r="C308" s="1259" t="inlineStr">
        <is>
          <t>Taxes</t>
        </is>
      </c>
      <c r="D308" s="1260" t="inlineStr">
        <is>
          <t>Verify current and prior property-tax status, delinquency and payment history.</t>
        </is>
      </c>
      <c r="E308" s="1260" t="inlineStr">
        <is>
          <t>Adams County Tax Portal</t>
        </is>
      </c>
      <c r="F308" s="1256" t="inlineStr">
        <is>
          <t>Open</t>
        </is>
      </c>
      <c r="G308" s="1260" t="inlineStr">
        <is>
          <t>Tax statement and payment history</t>
        </is>
      </c>
      <c r="H308" s="1260" t="inlineStr">
        <is>
          <t>Delinquent taxes, omitted taxes, special assessments</t>
        </is>
      </c>
      <c r="I308" s="1259" t="inlineStr">
        <is>
          <t>Not Started</t>
        </is>
      </c>
      <c r="J308" s="1259" t="n"/>
    </row>
    <row r="309">
      <c r="B309" s="1259" t="n">
        <v>9</v>
      </c>
      <c r="C309" s="1259" t="inlineStr">
        <is>
          <t>Tax liens / deed</t>
        </is>
      </c>
      <c r="D309" s="1260" t="inlineStr">
        <is>
          <t>Check tax-lien sale and treasurer's deed information when delinquency appears.</t>
        </is>
      </c>
      <c r="E309" s="1260" t="inlineStr">
        <is>
          <t>Adams County Tax Lien Sale</t>
        </is>
      </c>
      <c r="F309" s="1256" t="inlineStr">
        <is>
          <t>Open</t>
        </is>
      </c>
      <c r="G309" s="1260" t="inlineStr">
        <is>
          <t>Tax-lien research notes</t>
        </is>
      </c>
      <c r="H309" s="1260" t="inlineStr">
        <is>
          <t>Outstanding certificates, redemption deadlines, treasurer's deed process</t>
        </is>
      </c>
      <c r="I309" s="1259" t="inlineStr">
        <is>
          <t>Not Started</t>
        </is>
      </c>
      <c r="J309" s="1259" t="n"/>
    </row>
    <row r="310">
      <c r="B310" s="1259" t="n">
        <v>10</v>
      </c>
      <c r="C310" s="1259" t="inlineStr">
        <is>
          <t>Foreclosure</t>
        </is>
      </c>
      <c r="D310" s="1260" t="inlineStr">
        <is>
          <t>Search public trustee foreclosure records and reports.</t>
        </is>
      </c>
      <c r="E310" s="1260" t="inlineStr">
        <is>
          <t>Adams County Foreclosure Search</t>
        </is>
      </c>
      <c r="F310" s="1256" t="inlineStr">
        <is>
          <t>Open</t>
        </is>
      </c>
      <c r="G310" s="1260" t="inlineStr">
        <is>
          <t>Foreclosure search results</t>
        </is>
      </c>
      <c r="H310" s="1260" t="inlineStr">
        <is>
          <t>Active case, sale date, withdrawn/restarted case, borrower-name variants</t>
        </is>
      </c>
      <c r="I310" s="1259" t="inlineStr">
        <is>
          <t>Not Started</t>
        </is>
      </c>
      <c r="J310" s="1259" t="n"/>
    </row>
    <row r="311">
      <c r="B311" s="1259" t="n">
        <v>11</v>
      </c>
      <c r="C311" s="1259" t="inlineStr">
        <is>
          <t>Survey / plat</t>
        </is>
      </c>
      <c r="D311" s="1260" t="inlineStr">
        <is>
          <t>Locate recorded plats and surveys; obtain a current survey if boundaries or improvements matter.</t>
        </is>
      </c>
      <c r="E311" s="1260" t="inlineStr">
        <is>
          <t>Adams County Land Survey Plats</t>
        </is>
      </c>
      <c r="F311" s="1256" t="inlineStr">
        <is>
          <t>Open</t>
        </is>
      </c>
      <c r="G311" s="1260" t="inlineStr">
        <is>
          <t>Recorded plat/survey and current field survey when appropriate</t>
        </is>
      </c>
      <c r="H311" s="1260" t="inlineStr">
        <is>
          <t>Encroachments, gaps/overlaps, fence conflicts, unrecorded access</t>
        </is>
      </c>
      <c r="I311" s="1259" t="inlineStr">
        <is>
          <t>Not Started</t>
        </is>
      </c>
      <c r="J311" s="1259" t="n"/>
    </row>
    <row r="312">
      <c r="B312" s="1259" t="n">
        <v>12</v>
      </c>
      <c r="C312" s="1259" t="inlineStr">
        <is>
          <t>Zoning district</t>
        </is>
      </c>
      <c r="D312" s="1260" t="inlineStr">
        <is>
          <t>Confirm zoning with the correct city/town or Adams County for an unincorporated parcel.</t>
        </is>
      </c>
      <c r="E312" s="1260" t="inlineStr">
        <is>
          <t>Quick Matrix / local zoning page</t>
        </is>
      </c>
      <c r="F312" s="1259" t="n"/>
      <c r="G312" s="1260" t="inlineStr">
        <is>
          <t>Zoning map screenshot and written zoning confirmation when material</t>
        </is>
      </c>
      <c r="H312" s="1260" t="inlineStr">
        <is>
          <t>Split zoning, overlay district, pending rezoning, map/code conflict</t>
        </is>
      </c>
      <c r="I312" s="1259" t="inlineStr">
        <is>
          <t>Not Started</t>
        </is>
      </c>
      <c r="J312" s="1259" t="n"/>
    </row>
    <row r="313">
      <c r="B313" s="1259" t="n">
        <v>13</v>
      </c>
      <c r="C313" s="1259" t="inlineStr">
        <is>
          <t>Allowed use</t>
        </is>
      </c>
      <c r="D313" s="1260" t="inlineStr">
        <is>
          <t>Read the current code for permitted, conditional, accessory and prohibited uses.</t>
        </is>
      </c>
      <c r="E313" s="1260" t="inlineStr">
        <is>
          <t>Local land-use code</t>
        </is>
      </c>
      <c r="F313" s="1259" t="n"/>
      <c r="G313" s="1260" t="inlineStr">
        <is>
          <t>Code sections and planner confirmation</t>
        </is>
      </c>
      <c r="H313" s="1260" t="inlineStr">
        <is>
          <t>Use requires hearing, spacing/separation rule, nonconforming status</t>
        </is>
      </c>
      <c r="I313" s="1259" t="inlineStr">
        <is>
          <t>Not Started</t>
        </is>
      </c>
      <c r="J313" s="1259" t="n"/>
    </row>
    <row r="314">
      <c r="B314" s="1259" t="n">
        <v>14</v>
      </c>
      <c r="C314" s="1259" t="inlineStr">
        <is>
          <t>Dimensional / design standards</t>
        </is>
      </c>
      <c r="D314" s="1260" t="inlineStr">
        <is>
          <t>Check setbacks, height, lot coverage, parking, landscaping, design and sign rules.</t>
        </is>
      </c>
      <c r="E314" s="1260" t="inlineStr">
        <is>
          <t>Local zoning/development code</t>
        </is>
      </c>
      <c r="F314" s="1259" t="n"/>
      <c r="G314" s="1260" t="inlineStr">
        <is>
          <t>Applicable standard excerpts</t>
        </is>
      </c>
      <c r="H314" s="1260" t="inlineStr">
        <is>
          <t>Existing or proposed improvements do not comply</t>
        </is>
      </c>
      <c r="I314" s="1259" t="inlineStr">
        <is>
          <t>Not Started</t>
        </is>
      </c>
      <c r="J314" s="1259" t="n"/>
    </row>
    <row r="315">
      <c r="B315" s="1259" t="n">
        <v>15</v>
      </c>
      <c r="C315" s="1259" t="inlineStr">
        <is>
          <t>Overlays / constraints</t>
        </is>
      </c>
      <c r="D315" s="1260" t="inlineStr">
        <is>
          <t>Check airport, flood, historic, oil/gas, design, corridor and other overlay districts.</t>
        </is>
      </c>
      <c r="E315" s="1260" t="inlineStr">
        <is>
          <t>Local GIS + county/state tools</t>
        </is>
      </c>
      <c r="F315" s="1259" t="n"/>
      <c r="G315" s="1260" t="inlineStr">
        <is>
          <t>Overlay maps and applicable standards</t>
        </is>
      </c>
      <c r="H315" s="1260" t="inlineStr">
        <is>
          <t>Overlay adds approval, disclosure or construction limits</t>
        </is>
      </c>
      <c r="I315" s="1259" t="inlineStr">
        <is>
          <t>Not Started</t>
        </is>
      </c>
      <c r="J315" s="1259" t="n"/>
    </row>
    <row r="316">
      <c r="B316" s="1259" t="n">
        <v>16</v>
      </c>
      <c r="C316" s="1259" t="inlineStr">
        <is>
          <t>Future land use</t>
        </is>
      </c>
      <c r="D316" s="1260" t="inlineStr">
        <is>
          <t>Review the comprehensive plan, future land-use map and adopted area/corridor plans.</t>
        </is>
      </c>
      <c r="E316" s="1260" t="inlineStr">
        <is>
          <t>Local comprehensive/long-range plan</t>
        </is>
      </c>
      <c r="F316" s="1259" t="n"/>
      <c r="G316" s="1260" t="inlineStr">
        <is>
          <t>Future land-use designation and policy notes</t>
        </is>
      </c>
      <c r="H316" s="1260" t="inlineStr">
        <is>
          <t>Future designation conflicts with intended use; planned roadway or redevelopment area</t>
        </is>
      </c>
      <c r="I316" s="1259" t="inlineStr">
        <is>
          <t>Not Started</t>
        </is>
      </c>
      <c r="J316" s="1259" t="n"/>
    </row>
    <row r="317">
      <c r="B317" s="1259" t="n">
        <v>17</v>
      </c>
      <c r="C317" s="1259" t="inlineStr">
        <is>
          <t>Active development</t>
        </is>
      </c>
      <c r="D317" s="1260" t="inlineStr">
        <is>
          <t>Search active development maps and project-status portals near the parcel.</t>
        </is>
      </c>
      <c r="E317" s="1260" t="inlineStr">
        <is>
          <t>Local development projects page</t>
        </is>
      </c>
      <c r="F317" s="1259" t="n"/>
      <c r="G317" s="1260" t="inlineStr">
        <is>
          <t>Nearby project list/map</t>
        </is>
      </c>
      <c r="H317" s="1260" t="inlineStr">
        <is>
          <t>Large pending project changes traffic, drainage, views, demand or compatibility</t>
        </is>
      </c>
      <c r="I317" s="1259" t="inlineStr">
        <is>
          <t>Not Started</t>
        </is>
      </c>
      <c r="J317" s="1259" t="n"/>
    </row>
    <row r="318">
      <c r="B318" s="1259" t="n">
        <v>18</v>
      </c>
      <c r="C318" s="1259" t="inlineStr">
        <is>
          <t>Hearings / cases</t>
        </is>
      </c>
      <c r="D318" s="1260" t="inlineStr">
        <is>
          <t>Search current land-use cases, agendas and public notices by address, owner and project name.</t>
        </is>
      </c>
      <c r="E318" s="1260" t="inlineStr">
        <is>
          <t>Meetings &amp; News sheet</t>
        </is>
      </c>
      <c r="F318" s="1259" t="n"/>
      <c r="G318" s="1260" t="inlineStr">
        <is>
          <t>Agendas, staff reports and hearing notices</t>
        </is>
      </c>
      <c r="H318" s="1260" t="inlineStr">
        <is>
          <t>Pending rezoning, variance, annexation, subdivision or code amendment</t>
        </is>
      </c>
      <c r="I318" s="1259" t="inlineStr">
        <is>
          <t>Not Started</t>
        </is>
      </c>
      <c r="J318" s="1259" t="n"/>
    </row>
    <row r="319">
      <c r="B319" s="1259" t="n">
        <v>19</v>
      </c>
      <c r="C319" s="1259" t="inlineStr">
        <is>
          <t>Permit history</t>
        </is>
      </c>
      <c r="D319" s="1260" t="inlineStr">
        <is>
          <t>Search building and development permits; request older records when online data is incomplete.</t>
        </is>
      </c>
      <c r="E319" s="1260" t="inlineStr">
        <is>
          <t>Local permit portal / public records</t>
        </is>
      </c>
      <c r="F319" s="1259" t="n"/>
      <c r="G319" s="1260" t="inlineStr">
        <is>
          <t>Permit list, plans, certificates and inspection history</t>
        </is>
      </c>
      <c r="H319" s="1260" t="inlineStr">
        <is>
          <t>Unpermitted work, open permit, failed inspection, missing certificate of occupancy</t>
        </is>
      </c>
      <c r="I319" s="1259" t="inlineStr">
        <is>
          <t>Not Started</t>
        </is>
      </c>
      <c r="J319" s="1259" t="n"/>
    </row>
    <row r="320">
      <c r="B320" s="1259" t="n">
        <v>20</v>
      </c>
      <c r="C320" s="1259" t="inlineStr">
        <is>
          <t>Code compliance</t>
        </is>
      </c>
      <c r="D320" s="1260" t="inlineStr">
        <is>
          <t>Check for open code cases, violations and nuisance/unsafe-building records.</t>
        </is>
      </c>
      <c r="E320" s="1260" t="inlineStr">
        <is>
          <t>Local code enforcement / records request</t>
        </is>
      </c>
      <c r="F320" s="1259" t="n"/>
      <c r="G320" s="1260" t="inlineStr">
        <is>
          <t>Code case history and clearance confirmation</t>
        </is>
      </c>
      <c r="H320" s="1260" t="inlineStr">
        <is>
          <t>Open violation, repeat complaint, abatement lien or unsafe condition</t>
        </is>
      </c>
      <c r="I320" s="1259" t="inlineStr">
        <is>
          <t>Not Started</t>
        </is>
      </c>
      <c r="J320" s="1259" t="n"/>
    </row>
    <row r="321">
      <c r="B321" s="1259" t="n">
        <v>21</v>
      </c>
      <c r="C321" s="1259" t="inlineStr">
        <is>
          <t>Utilities / districts</t>
        </is>
      </c>
      <c r="D321" s="1260" t="inlineStr">
        <is>
          <t>Identify water, sewer, fire, metro and other special districts; verify service and fees.</t>
        </is>
      </c>
      <c r="E321" s="1260" t="inlineStr">
        <is>
          <t>Colorado Special Districts Map</t>
        </is>
      </c>
      <c r="F321" s="1256" t="inlineStr">
        <is>
          <t>Open</t>
        </is>
      </c>
      <c r="G321" s="1260" t="inlineStr">
        <is>
          <t>District list, service letters, fee schedules</t>
        </is>
      </c>
      <c r="H321" s="1260" t="inlineStr">
        <is>
          <t>No committed service, high tap fees, multiple mill levies, private system</t>
        </is>
      </c>
      <c r="I321" s="1259" t="inlineStr">
        <is>
          <t>Not Started</t>
        </is>
      </c>
      <c r="J321" s="1259" t="n"/>
    </row>
    <row r="322">
      <c r="B322" s="1259" t="n">
        <v>22</v>
      </c>
      <c r="C322" s="1259" t="inlineStr">
        <is>
          <t>Water rights / wells</t>
        </is>
      </c>
      <c r="D322" s="1260" t="inlineStr">
        <is>
          <t>Search wells, water rights, ditches and structures that may affect or serve the property.</t>
        </is>
      </c>
      <c r="E322" s="1260" t="inlineStr">
        <is>
          <t>Colorado DWR Tools</t>
        </is>
      </c>
      <c r="F322" s="1256" t="inlineStr">
        <is>
          <t>Open</t>
        </is>
      </c>
      <c r="G322" s="1260" t="inlineStr">
        <is>
          <t>Well permit and water-right/structure records</t>
        </is>
      </c>
      <c r="H322" s="1260" t="inlineStr">
        <is>
          <t>Unpermitted well, limited use, ditch easement, no transferable water</t>
        </is>
      </c>
      <c r="I322" s="1259" t="inlineStr">
        <is>
          <t>Not Started</t>
        </is>
      </c>
      <c r="J322" s="1259" t="n"/>
    </row>
    <row r="323">
      <c r="B323" s="1259" t="n">
        <v>23</v>
      </c>
      <c r="C323" s="1259" t="inlineStr">
        <is>
          <t>Flood / drainage</t>
        </is>
      </c>
      <c r="D323" s="1260" t="inlineStr">
        <is>
          <t>Check FEMA maps, local floodplain layers, drainage studies and Letters of Map Change.</t>
        </is>
      </c>
      <c r="E323" s="1260" t="inlineStr">
        <is>
          <t>FEMA Flood Map Service Center</t>
        </is>
      </c>
      <c r="F323" s="1256" t="inlineStr">
        <is>
          <t>Open</t>
        </is>
      </c>
      <c r="G323" s="1260" t="inlineStr">
        <is>
          <t>FIRM panel, flood zone, LOMC and local drainage information</t>
        </is>
      </c>
      <c r="H323" s="1260" t="inlineStr">
        <is>
          <t>Special Flood Hazard Area, floodway, shallow flooding, required elevation/floodproofing</t>
        </is>
      </c>
      <c r="I323" s="1259" t="inlineStr">
        <is>
          <t>Not Started</t>
        </is>
      </c>
      <c r="J323" s="1259" t="n"/>
    </row>
    <row r="324">
      <c r="B324" s="1259" t="n">
        <v>24</v>
      </c>
      <c r="C324" s="1259" t="inlineStr">
        <is>
          <t>Soils / geotechnical</t>
        </is>
      </c>
      <c r="D324" s="1260" t="inlineStr">
        <is>
          <t>Review Web Soil Survey and obtain geotechnical information appropriate to the project.</t>
        </is>
      </c>
      <c r="E324" s="1260" t="inlineStr">
        <is>
          <t>USDA Web Soil Survey</t>
        </is>
      </c>
      <c r="F324" s="1256" t="inlineStr">
        <is>
          <t>Open</t>
        </is>
      </c>
      <c r="G324" s="1260" t="inlineStr">
        <is>
          <t>Soil report and geotechnical report when needed</t>
        </is>
      </c>
      <c r="H324" s="1260" t="inlineStr">
        <is>
          <t>Expansive/collapsible soils, high water table, poor bearing or drainage</t>
        </is>
      </c>
      <c r="I324" s="1259" t="inlineStr">
        <is>
          <t>Not Started</t>
        </is>
      </c>
      <c r="J324" s="1259" t="n"/>
    </row>
    <row r="325">
      <c r="B325" s="1259" t="n">
        <v>25</v>
      </c>
      <c r="C325" s="1259" t="inlineStr">
        <is>
          <t>Wetlands / waters</t>
        </is>
      </c>
      <c r="D325" s="1260" t="inlineStr">
        <is>
          <t>Screen wetlands and surface waters; determine whether delineation or permits are needed.</t>
        </is>
      </c>
      <c r="E325" s="1260" t="inlineStr">
        <is>
          <t>National Wetlands Inventory</t>
        </is>
      </c>
      <c r="F325" s="1256" t="inlineStr">
        <is>
          <t>Open</t>
        </is>
      </c>
      <c r="G325" s="1260" t="inlineStr">
        <is>
          <t>Wetland map and consultant/agency determination if needed</t>
        </is>
      </c>
      <c r="H325" s="1260" t="inlineStr">
        <is>
          <t>Mapped or field-indicated wetlands, jurisdictional waters, buffers</t>
        </is>
      </c>
      <c r="I325" s="1259" t="inlineStr">
        <is>
          <t>Not Started</t>
        </is>
      </c>
      <c r="J325" s="1259" t="n"/>
    </row>
    <row r="326">
      <c r="B326" s="1259" t="n">
        <v>26</v>
      </c>
      <c r="C326" s="1259" t="inlineStr">
        <is>
          <t>Environmental</t>
        </is>
      </c>
      <c r="D326" s="1260" t="inlineStr">
        <is>
          <t>Search state and federal cleanup, waste, tank, covenant and Superfund databases.</t>
        </is>
      </c>
      <c r="E326" s="1260" t="inlineStr">
        <is>
          <t>CDPHE Environmental Maps</t>
        </is>
      </c>
      <c r="F326" s="1256" t="inlineStr">
        <is>
          <t>Open</t>
        </is>
      </c>
      <c r="G326" s="1260" t="inlineStr">
        <is>
          <t>Database results and environmental reports</t>
        </is>
      </c>
      <c r="H326" s="1260" t="inlineStr">
        <is>
          <t>Cleanup site, environmental covenant, leaking tank, landfill or hazardous facility</t>
        </is>
      </c>
      <c r="I326" s="1259" t="inlineStr">
        <is>
          <t>Not Started</t>
        </is>
      </c>
      <c r="J326" s="1259" t="n"/>
    </row>
    <row r="327">
      <c r="B327" s="1259" t="n">
        <v>27</v>
      </c>
      <c r="C327" s="1259" t="inlineStr">
        <is>
          <t>Oil and gas</t>
        </is>
      </c>
      <c r="D327" s="1260" t="inlineStr">
        <is>
          <t>Check ECMC maps for wells, facilities, pipelines and regulatory records.</t>
        </is>
      </c>
      <c r="E327" s="1260" t="inlineStr">
        <is>
          <t>ECMC Maps</t>
        </is>
      </c>
      <c r="F327" s="1256" t="inlineStr">
        <is>
          <t>Open</t>
        </is>
      </c>
      <c r="G327" s="1260" t="inlineStr">
        <is>
          <t>Facility map and relevant records</t>
        </is>
      </c>
      <c r="H327" s="1260" t="inlineStr">
        <is>
          <t>Active/abandoned well, flowline, setback issue, remediation or access obligations</t>
        </is>
      </c>
      <c r="I327" s="1259" t="inlineStr">
        <is>
          <t>Not Started</t>
        </is>
      </c>
      <c r="J327" s="1259" t="n"/>
    </row>
    <row r="328">
      <c r="B328" s="1259" t="n">
        <v>28</v>
      </c>
      <c r="C328" s="1259" t="inlineStr">
        <is>
          <t>Access / roads / traffic</t>
        </is>
      </c>
      <c r="D328" s="1260" t="inlineStr">
        <is>
          <t>Confirm legal and physical access, road jurisdiction, access permits and traffic conditions.</t>
        </is>
      </c>
      <c r="E328" s="1260" t="inlineStr">
        <is>
          <t>Local public works + CDOT OTIS</t>
        </is>
      </c>
      <c r="F328" s="1256" t="inlineStr">
        <is>
          <t>Open</t>
        </is>
      </c>
      <c r="G328" s="1260" t="inlineStr">
        <is>
          <t>Access documents, road data and agency correspondence</t>
        </is>
      </c>
      <c r="H328" s="1260" t="inlineStr">
        <is>
          <t>No legal access, private-road maintenance, access-control restriction, future widening</t>
        </is>
      </c>
      <c r="I328" s="1259" t="inlineStr">
        <is>
          <t>Not Started</t>
        </is>
      </c>
      <c r="J328" s="1259" t="n"/>
    </row>
    <row r="329">
      <c r="B329" s="1259" t="n">
        <v>29</v>
      </c>
      <c r="C329" s="1259" t="inlineStr">
        <is>
          <t>Historic / cultural</t>
        </is>
      </c>
      <c r="D329" s="1260" t="inlineStr">
        <is>
          <t>Check local historic overlays and state listed-property/cultural-resource tools.</t>
        </is>
      </c>
      <c r="E329" s="1260" t="inlineStr">
        <is>
          <t>History Colorado Listed Properties</t>
        </is>
      </c>
      <c r="F329" s="1256" t="inlineStr">
        <is>
          <t>Open</t>
        </is>
      </c>
      <c r="G329" s="1260" t="inlineStr">
        <is>
          <t>Historic-status records and review requirements</t>
        </is>
      </c>
      <c r="H329" s="1260" t="inlineStr">
        <is>
          <t>Designation or eligible resource limits demolition/alteration</t>
        </is>
      </c>
      <c r="I329" s="1259" t="inlineStr">
        <is>
          <t>Not Started</t>
        </is>
      </c>
      <c r="J329" s="1259" t="n"/>
    </row>
    <row r="330">
      <c r="B330" s="1259" t="n">
        <v>30</v>
      </c>
      <c r="C330" s="1259" t="inlineStr">
        <is>
          <t>HOA / covenants</t>
        </is>
      </c>
      <c r="D330" s="1260" t="inlineStr">
        <is>
          <t>Search recorded declarations and confirm HOA registration, governing documents, dues and violations.</t>
        </is>
      </c>
      <c r="E330" s="1260" t="inlineStr">
        <is>
          <t>Colorado HOA Center + county recorder</t>
        </is>
      </c>
      <c r="F330" s="1256" t="inlineStr">
        <is>
          <t>Open</t>
        </is>
      </c>
      <c r="G330" s="1260" t="inlineStr">
        <is>
          <t>Declarations, bylaws, budgets, status letter and registration</t>
        </is>
      </c>
      <c r="H330" s="1260" t="inlineStr">
        <is>
          <t>Unregistered association, litigation, special assessment, rental/use restrictions</t>
        </is>
      </c>
      <c r="I330" s="1259" t="inlineStr">
        <is>
          <t>Not Started</t>
        </is>
      </c>
      <c r="J330" s="1259" t="n"/>
    </row>
    <row r="331">
      <c r="B331" s="1259" t="n">
        <v>31</v>
      </c>
      <c r="C331" s="1259" t="inlineStr">
        <is>
          <t>Entities / UCC</t>
        </is>
      </c>
      <c r="D331" s="1260" t="inlineStr">
        <is>
          <t>Research seller/owner/applicant entities and UCC records where relevant.</t>
        </is>
      </c>
      <c r="E331" s="1260" t="inlineStr">
        <is>
          <t>Colorado business and UCC searches</t>
        </is>
      </c>
      <c r="F331" s="1256" t="inlineStr">
        <is>
          <t>Open</t>
        </is>
      </c>
      <c r="G331" s="1260" t="inlineStr">
        <is>
          <t>Entity filings, good-standing information and UCC results</t>
        </is>
      </c>
      <c r="H331" s="1260" t="inlineStr">
        <is>
          <t>Dissolved entity, authority problem, secured filing, name mismatch</t>
        </is>
      </c>
      <c r="I331" s="1259" t="inlineStr">
        <is>
          <t>Not Started</t>
        </is>
      </c>
      <c r="J331" s="1259" t="n"/>
    </row>
    <row r="332">
      <c r="B332" s="1259" t="n">
        <v>32</v>
      </c>
      <c r="C332" s="1259" t="inlineStr">
        <is>
          <t>Final verification</t>
        </is>
      </c>
      <c r="D332" s="1260" t="inlineStr">
        <is>
          <t>Confirm material conclusions with the responsible agency, title company, surveyor, engineer, planner and legal counsel.</t>
        </is>
      </c>
      <c r="E332" s="1260" t="inlineStr">
        <is>
          <t>Responsible professionals and agencies</t>
        </is>
      </c>
      <c r="F332" s="1259" t="n"/>
      <c r="G332" s="1260" t="inlineStr">
        <is>
          <t>Written confirmations and final diligence memo</t>
        </is>
      </c>
      <c r="H332" s="1260" t="inlineStr">
        <is>
          <t>Reliance only on GIS or informal web information; unresolved conflicts</t>
        </is>
      </c>
      <c r="I332" s="1259" t="inlineStr">
        <is>
          <t>Not Started</t>
        </is>
      </c>
      <c r="J332" s="1259" t="n"/>
    </row>
  </sheetData>
  <autoFilter ref="B4:H296"/>
  <dataValidations count="1">
    <dataValidation sqref="I301:I332" showDropDown="0" showInputMessage="0" showErrorMessage="0" allowBlank="1" type="list">
      <formula1>"Not Started,In Progress,Complete,N/A"</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 footer="0.5"/>
</worksheet>
</file>

<file path=xl/worksheets/sheet18.xml><?xml version="1.0" encoding="utf-8"?>
<worksheet xmlns="http://schemas.openxmlformats.org/spreadsheetml/2006/main">
  <sheetPr>
    <tabColor rgb="00D97706"/>
    <outlinePr summaryBelow="1" summaryRight="1"/>
    <pageSetUpPr/>
  </sheetPr>
  <dimension ref="A1:Q10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3" customWidth="1" min="9" max="9"/>
    <col width="9" customWidth="1" min="10" max="10"/>
    <col width="9" customWidth="1" min="11" max="11"/>
    <col width="28" customWidth="1" min="12" max="12"/>
    <col width="32" customWidth="1" min="13" max="13"/>
    <col width="52" customWidth="1" min="14" max="14"/>
    <col width="12" customWidth="1" min="15" max="15"/>
    <col width="52" customWidth="1" min="16" max="16"/>
    <col width="30" customWidth="1" min="17" max="17"/>
  </cols>
  <sheetData>
    <row r="1" ht="24" customHeight="1">
      <c r="A1" s="1130" t="inlineStr">
        <is>
          <t>COMMERCIAL PROPERTY EXPENSE DATABASE ? PROPERTY REGISTRY</t>
        </is>
      </c>
    </row>
    <row r="2" ht="15.95" customHeight="1">
      <c r="A2" s="1222" t="inlineStr">
        <is>
          <t>Adams County Assessor | Add one row per property | Used to track all expense comp submissions</t>
        </is>
      </c>
    </row>
    <row r="3" ht="30" customHeight="1">
      <c r="A3" s="1223" t="inlineStr">
        <is>
          <t>Prop ID</t>
        </is>
      </c>
      <c r="B3" s="1131" t="inlineStr">
        <is>
          <t>Occ Code</t>
        </is>
      </c>
      <c r="C3" s="1131" t="inlineStr">
        <is>
          <t>Account #</t>
        </is>
      </c>
      <c r="D3" s="1224" t="inlineStr">
        <is>
          <t>Address</t>
        </is>
      </c>
      <c r="E3" s="1223" t="inlineStr">
        <is>
          <t>City</t>
        </is>
      </c>
      <c r="F3" s="1223" t="inlineStr">
        <is>
          <t>State</t>
        </is>
      </c>
      <c r="G3" s="1223" t="inlineStr">
        <is>
          <t>Property Type</t>
        </is>
      </c>
      <c r="H3" s="1224" t="inlineStr">
        <is>
          <t>Subtype</t>
        </is>
      </c>
      <c r="I3" s="1223" t="inlineStr">
        <is>
          <t>Year Built</t>
        </is>
      </c>
      <c r="J3" s="1223" t="inlineStr">
        <is>
          <t>Bldg SF</t>
        </is>
      </c>
      <c r="K3" s="1223" t="inlineStr">
        <is>
          <t>Land SF</t>
        </is>
      </c>
      <c r="L3" s="1223" t="inlineStr">
        <is>
          <t>Parcel / Schedule #</t>
        </is>
      </c>
      <c r="M3" s="1223" t="inlineStr">
        <is>
          <t>Owner</t>
        </is>
      </c>
      <c r="N3" s="1224" t="inlineStr">
        <is>
          <t>Data Source</t>
        </is>
      </c>
      <c r="O3" s="1223" t="inlineStr">
        <is>
          <t>Date Added</t>
        </is>
      </c>
      <c r="P3" s="1224" t="inlineStr">
        <is>
          <t>Notes</t>
        </is>
      </c>
      <c r="Q3" s="972" t="inlineStr">
        <is>
          <t>Occ Description (auto)</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c r="Q4" s="1132">
        <f>IF(B4="","",IFERROR(INDEX(OCC_TABLE_DESC,MATCH(B4,OCC_TABLE_CODE,0)),"Unrecognized code"))</f>
        <v/>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c r="Q5" s="1132">
        <f>IF(B5="","",IFERROR(INDEX(OCC_TABLE_DESC,MATCH(B5,OCC_TABLE_CODE,0)),"Unrecognized code"))</f>
        <v/>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c r="Q6" s="1132">
        <f>IF(B6="","",IFERROR(INDEX(OCC_TABLE_DESC,MATCH(B6,OCC_TABLE_CODE,0)),"Unrecognized code"))</f>
        <v/>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c r="Q7" s="1132">
        <f>IF(B7="","",IFERROR(INDEX(OCC_TABLE_DESC,MATCH(B7,OCC_TABLE_CODE,0)),"Unrecognized code"))</f>
        <v/>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c r="Q8" s="1132">
        <f>IF(B8="","",IFERROR(INDEX(OCC_TABLE_DESC,MATCH(B8,OCC_TABLE_CODE,0)),"Unrecognized code"))</f>
        <v/>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c r="Q9" s="1132">
        <f>IF(B9="","",IFERROR(INDEX(OCC_TABLE_DESC,MATCH(B9,OCC_TABLE_CODE,0)),"Unrecognized code"))</f>
        <v/>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c r="Q10" s="1132">
        <f>IF(B10="","",IFERROR(INDEX(OCC_TABLE_DESC,MATCH(B10,OCC_TABLE_CODE,0)),"Unrecognized code"))</f>
        <v/>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c r="Q11" s="1132">
        <f>IF(B11="","",IFERROR(INDEX(OCC_TABLE_DESC,MATCH(B11,OCC_TABLE_CODE,0)),"Unrecognized code"))</f>
        <v/>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c r="Q12" s="1132">
        <f>IF(B12="","",IFERROR(INDEX(OCC_TABLE_DESC,MATCH(B12,OCC_TABLE_CODE,0)),"Unrecognized code"))</f>
        <v/>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c r="Q13" s="1132">
        <f>IF(B13="","",IFERROR(INDEX(OCC_TABLE_DESC,MATCH(B13,OCC_TABLE_CODE,0)),"Unrecognized code"))</f>
        <v/>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c r="Q14" s="1132">
        <f>IF(B14="","",IFERROR(INDEX(OCC_TABLE_DESC,MATCH(B14,OCC_TABLE_CODE,0)),"Unrecognized code"))</f>
        <v/>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c r="Q15" s="1132">
        <f>IF(B15="","",IFERROR(INDEX(OCC_TABLE_DESC,MATCH(B15,OCC_TABLE_CODE,0)),"Unrecognized code"))</f>
        <v/>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c r="Q16" s="1132">
        <f>IF(B16="","",IFERROR(INDEX(OCC_TABLE_DESC,MATCH(B16,OCC_TABLE_CODE,0)),"Unrecognized code"))</f>
        <v/>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c r="Q17" s="1132">
        <f>IF(B17="","",IFERROR(INDEX(OCC_TABLE_DESC,MATCH(B17,OCC_TABLE_CODE,0)),"Unrecognized code"))</f>
        <v/>
      </c>
    </row>
    <row r="18">
      <c r="A18" s="1225" t="inlineStr">
        <is>
          <t>P015</t>
        </is>
      </c>
      <c r="B18" s="695" t="n">
        <v>407</v>
      </c>
      <c r="C18" s="696" t="inlineStr">
        <is>
          <t>R0180894</t>
        </is>
      </c>
      <c r="D18" s="1226" t="inlineStr">
        <is>
          <t>1910 N Gun Club Rd</t>
        </is>
      </c>
      <c r="E18" s="1225" t="inlineStr">
        <is>
          <t>Aurora</t>
        </is>
      </c>
      <c r="F18" s="1225" t="inlineStr">
        <is>
          <t>CO</t>
        </is>
      </c>
      <c r="G18" s="1225" t="inlineStr">
        <is>
          <t>Industrial</t>
        </is>
      </c>
      <c r="H18" s="1226" t="inlineStr">
        <is>
          <t>Distribution Warehouse Multi-Tenant NNN</t>
        </is>
      </c>
      <c r="I18" s="1225" t="n">
        <v>2019</v>
      </c>
      <c r="J18" s="1225" t="n">
        <v>163386</v>
      </c>
      <c r="K18" s="1225" t="n"/>
      <c r="L18" s="1225" t="inlineStr">
        <is>
          <t>R0180894</t>
        </is>
      </c>
      <c r="M18" s="1225" t="n"/>
      <c r="N18" s="1226" t="inlineStr">
        <is>
          <t>MHE 2025 BAA – Owner submitted P&amp;L</t>
        </is>
      </c>
      <c r="O18" s="1225" t="inlineStr">
        <is>
          <t>2026-06-01</t>
        </is>
      </c>
      <c r="P18" s="1226" t="inlineStr">
        <is>
          <t>Actual accrual income; 2023–2024</t>
        </is>
      </c>
      <c r="Q18" s="1132">
        <f>IF(B18="","",IFERROR(INDEX(OCC_TABLE_DESC,MATCH(B18,OCC_TABLE_CODE,0)),"Unrecognized code"))</f>
        <v/>
      </c>
    </row>
    <row r="19">
      <c r="A19" s="699" t="inlineStr">
        <is>
          <t>P016</t>
        </is>
      </c>
      <c r="B19" s="695" t="n">
        <v>584</v>
      </c>
      <c r="C19" s="696" t="inlineStr">
        <is>
          <t>R0212546/R0212547</t>
        </is>
      </c>
      <c r="D19" s="1194" t="inlineStr">
        <is>
          <t>2780 N Tower Rd</t>
        </is>
      </c>
      <c r="E19" s="699" t="inlineStr">
        <is>
          <t>Aurora</t>
        </is>
      </c>
      <c r="F19" s="699" t="inlineStr">
        <is>
          <t>CO</t>
        </is>
      </c>
      <c r="G19" s="699" t="inlineStr">
        <is>
          <t>Industrial</t>
        </is>
      </c>
      <c r="H19" s="1194" t="inlineStr">
        <is>
          <t>Mega Warehouse NNN</t>
        </is>
      </c>
      <c r="I19" s="699" t="n">
        <v>1983</v>
      </c>
      <c r="J19" s="699" t="n">
        <v>384953</v>
      </c>
      <c r="K19" s="699" t="n"/>
      <c r="L19" s="699" t="inlineStr">
        <is>
          <t>R0212546/R0212547</t>
        </is>
      </c>
      <c r="M19" s="699" t="n"/>
      <c r="N19" s="1194" t="inlineStr">
        <is>
          <t>MHE 2025 BAA – County proforma</t>
        </is>
      </c>
      <c r="O19" s="699" t="inlineStr">
        <is>
          <t>2026-06-01</t>
        </is>
      </c>
      <c r="P19" s="1194" t="inlineStr">
        <is>
          <t>County proforma; 2024 only</t>
        </is>
      </c>
      <c r="Q19" s="1132">
        <f>IF(B19="","",IFERROR(INDEX(OCC_TABLE_DESC,MATCH(B19,OCC_TABLE_CODE,0)),"Unrecognized code"))</f>
        <v/>
      </c>
    </row>
    <row r="20">
      <c r="A20" s="1225" t="inlineStr">
        <is>
          <t>P017</t>
        </is>
      </c>
      <c r="B20" s="695" t="n">
        <v>210</v>
      </c>
      <c r="C20" s="696" t="inlineStr">
        <is>
          <t>R0098098</t>
        </is>
      </c>
      <c r="D20" s="1226" t="inlineStr">
        <is>
          <t>1445 E 68th Ave</t>
        </is>
      </c>
      <c r="E20" s="1225" t="inlineStr">
        <is>
          <t>Denver</t>
        </is>
      </c>
      <c r="F20" s="1225" t="inlineStr">
        <is>
          <t>CO</t>
        </is>
      </c>
      <c r="G20" s="1225" t="inlineStr">
        <is>
          <t>Industrial</t>
        </is>
      </c>
      <c r="H20" s="1226" t="inlineStr">
        <is>
          <t>Industrial Office Mix</t>
        </is>
      </c>
      <c r="I20" s="1225" t="n">
        <v>1972</v>
      </c>
      <c r="J20" s="1225" t="n">
        <v>63348</v>
      </c>
      <c r="K20" s="1225" t="n"/>
      <c r="L20" s="1225" t="inlineStr">
        <is>
          <t>R0098098</t>
        </is>
      </c>
      <c r="M20" s="1225" t="n"/>
      <c r="N20" s="1226" t="inlineStr">
        <is>
          <t>MHE 2025 BAA – County proforma</t>
        </is>
      </c>
      <c r="O20" s="1225" t="inlineStr">
        <is>
          <t>2026-06-01</t>
        </is>
      </c>
      <c r="P20" s="1226" t="inlineStr">
        <is>
          <t>YOC 1972/2006/2023; county proforma 2024</t>
        </is>
      </c>
      <c r="Q20" s="1132">
        <f>IF(B20="","",IFERROR(INDEX(OCC_TABLE_DESC,MATCH(B20,OCC_TABLE_CODE,0)),"Unrecognized code"))</f>
        <v/>
      </c>
    </row>
    <row r="21">
      <c r="A21" s="699" t="inlineStr">
        <is>
          <t>P018</t>
        </is>
      </c>
      <c r="B21" s="695" t="n">
        <v>406</v>
      </c>
      <c r="C21" s="696" t="inlineStr">
        <is>
          <t>R0103783</t>
        </is>
      </c>
      <c r="D21" s="1194" t="inlineStr">
        <is>
          <t>2031 E 58th Ave</t>
        </is>
      </c>
      <c r="E21" s="699" t="inlineStr">
        <is>
          <t>Denver</t>
        </is>
      </c>
      <c r="F21" s="699" t="inlineStr">
        <is>
          <t>CO</t>
        </is>
      </c>
      <c r="G21" s="699" t="inlineStr">
        <is>
          <t>Industrial</t>
        </is>
      </c>
      <c r="H21" s="1194" t="inlineStr">
        <is>
          <t>Storage Warehouse / Mod Office NNN</t>
        </is>
      </c>
      <c r="I21" s="699" t="n">
        <v>2004</v>
      </c>
      <c r="J21" s="699" t="n">
        <v>18720</v>
      </c>
      <c r="K21" s="699" t="n"/>
      <c r="L21" s="699" t="inlineStr">
        <is>
          <t>R0103783</t>
        </is>
      </c>
      <c r="M21" s="699" t="n"/>
      <c r="N21" s="1194" t="inlineStr">
        <is>
          <t>MHE 2025 BAA – NNN billed charges</t>
        </is>
      </c>
      <c r="O21" s="699" t="inlineStr">
        <is>
          <t>2026-06-01</t>
        </is>
      </c>
      <c r="P21" s="1194" t="inlineStr">
        <is>
          <t>NNN actual billed charges 2019–2024</t>
        </is>
      </c>
      <c r="Q21" s="1132">
        <f>IF(B21="","",IFERROR(INDEX(OCC_TABLE_DESC,MATCH(B21,OCC_TABLE_CODE,0)),"Unrecognized code"))</f>
        <v/>
      </c>
    </row>
    <row r="22">
      <c r="A22" s="1225" t="inlineStr">
        <is>
          <t>P019</t>
        </is>
      </c>
      <c r="B22" s="695" t="n">
        <v>407</v>
      </c>
      <c r="C22" s="696" t="inlineStr">
        <is>
          <t>R0210402/R0210403</t>
        </is>
      </c>
      <c r="D22" s="1226" t="inlineStr">
        <is>
          <t>17190 E 85th Ave</t>
        </is>
      </c>
      <c r="E22" s="1225" t="inlineStr">
        <is>
          <t>Commerce City</t>
        </is>
      </c>
      <c r="F22" s="1225" t="inlineStr">
        <is>
          <t>CO</t>
        </is>
      </c>
      <c r="G22" s="1225" t="inlineStr">
        <is>
          <t>Industrial</t>
        </is>
      </c>
      <c r="H22" s="1226" t="inlineStr">
        <is>
          <t>Industrial Warehouse NNN</t>
        </is>
      </c>
      <c r="I22" s="1225" t="n">
        <v>2021</v>
      </c>
      <c r="J22" s="1225" t="n">
        <v>329940</v>
      </c>
      <c r="K22" s="1225" t="n"/>
      <c r="L22" s="1225" t="inlineStr">
        <is>
          <t>R0210402/R0210403</t>
        </is>
      </c>
      <c r="M22" s="1225" t="n"/>
      <c r="N22" s="1226" t="inlineStr">
        <is>
          <t>MHE 2025 BAA – Petitioner proforma</t>
        </is>
      </c>
      <c r="O22" s="1225" t="inlineStr">
        <is>
          <t>2026-06-01</t>
        </is>
      </c>
      <c r="P22" s="1226" t="inlineStr">
        <is>
          <t>Petitioner proforma 2024/25</t>
        </is>
      </c>
      <c r="Q22" s="1132">
        <f>IF(B22="","",IFERROR(INDEX(OCC_TABLE_DESC,MATCH(B22,OCC_TABLE_CODE,0)),"Unrecognized code"))</f>
        <v/>
      </c>
    </row>
    <row r="23">
      <c r="A23" s="699" t="inlineStr">
        <is>
          <t>P020</t>
        </is>
      </c>
      <c r="B23" s="695" t="n">
        <v>584</v>
      </c>
      <c r="C23" s="696" t="inlineStr">
        <is>
          <t>R0209679</t>
        </is>
      </c>
      <c r="D23" s="1194" t="inlineStr">
        <is>
          <t>17501 E 84th Ave</t>
        </is>
      </c>
      <c r="E23" s="699" t="inlineStr">
        <is>
          <t>Commerce City</t>
        </is>
      </c>
      <c r="F23" s="699" t="inlineStr">
        <is>
          <t>CO</t>
        </is>
      </c>
      <c r="G23" s="699" t="inlineStr">
        <is>
          <t>Industrial</t>
        </is>
      </c>
      <c r="H23" s="1194" t="inlineStr">
        <is>
          <t>Mega Warehouse / Distribution Center NNN (Lowe's)</t>
        </is>
      </c>
      <c r="I23" s="699" t="n">
        <v>2021</v>
      </c>
      <c r="J23" s="699" t="n">
        <v>999780</v>
      </c>
      <c r="K23" s="699" t="n"/>
      <c r="L23" s="699" t="inlineStr">
        <is>
          <t>R0209679</t>
        </is>
      </c>
      <c r="M23" s="699" t="n"/>
      <c r="N23" s="1194" t="inlineStr">
        <is>
          <t>MHE 2025 BAA – Owner submitted P&amp;L</t>
        </is>
      </c>
      <c r="O23" s="699" t="inlineStr">
        <is>
          <t>2026-06-01</t>
        </is>
      </c>
      <c r="P23" s="1194" t="inlineStr">
        <is>
          <t>Actual accrual; 2023 NOI inflated by ~$2.8M prior-yr tax adj</t>
        </is>
      </c>
      <c r="Q23" s="1132">
        <f>IF(B23="","",IFERROR(INDEX(OCC_TABLE_DESC,MATCH(B23,OCC_TABLE_CODE,0)),"Unrecognized code"))</f>
        <v/>
      </c>
    </row>
    <row r="24">
      <c r="A24" s="1225" t="inlineStr">
        <is>
          <t>P021</t>
        </is>
      </c>
      <c r="B24" s="695" t="n">
        <v>210</v>
      </c>
      <c r="C24" s="696" t="inlineStr">
        <is>
          <t>R0091931</t>
        </is>
      </c>
      <c r="D24" s="1226" t="inlineStr">
        <is>
          <t>6300 E. 58th Ave</t>
        </is>
      </c>
      <c r="E24" s="1225" t="inlineStr">
        <is>
          <t>Commerce City</t>
        </is>
      </c>
      <c r="F24" s="1225" t="inlineStr">
        <is>
          <t>CO</t>
        </is>
      </c>
      <c r="G24" s="1225" t="inlineStr">
        <is>
          <t>Industrial</t>
        </is>
      </c>
      <c r="H24" s="1226" t="inlineStr">
        <is>
          <t>Multi-Tenant Industrial/Flex</t>
        </is>
      </c>
      <c r="I24" s="1225" t="n">
        <v>1999</v>
      </c>
      <c r="J24" s="1225" t="n">
        <v>90000</v>
      </c>
      <c r="K24" s="1225" t="n"/>
      <c r="L24" s="1225" t="inlineStr">
        <is>
          <t>R0091931</t>
        </is>
      </c>
      <c r="M24" s="1225" t="n"/>
      <c r="N24" s="1226" t="inlineStr">
        <is>
          <t>MHE 2025 BOE – Owner actual P&amp;L</t>
        </is>
      </c>
      <c r="O24" s="1225" t="inlineStr">
        <is>
          <t>2026-06-02</t>
        </is>
      </c>
      <c r="P24" s="1226" t="inlineStr">
        <is>
          <t>Actual accrual 2023+2024; YOC 1999–2001</t>
        </is>
      </c>
      <c r="Q24" s="1132">
        <f>IF(B24="","",IFERROR(INDEX(OCC_TABLE_DESC,MATCH(B24,OCC_TABLE_CODE,0)),"Unrecognized code"))</f>
        <v/>
      </c>
    </row>
    <row r="25">
      <c r="A25" s="699" t="inlineStr">
        <is>
          <t>P022</t>
        </is>
      </c>
      <c r="B25" s="695" t="n">
        <v>210</v>
      </c>
      <c r="C25" s="696" t="inlineStr">
        <is>
          <t>R0111559</t>
        </is>
      </c>
      <c r="D25" s="1194" t="inlineStr">
        <is>
          <t>3590 N. Himalaya Rd (Bldg 6)</t>
        </is>
      </c>
      <c r="E25" s="699" t="inlineStr">
        <is>
          <t>Aurora</t>
        </is>
      </c>
      <c r="F25" s="699" t="inlineStr">
        <is>
          <t>CO</t>
        </is>
      </c>
      <c r="G25" s="699" t="inlineStr">
        <is>
          <t>Industrial</t>
        </is>
      </c>
      <c r="H25" s="1194" t="inlineStr">
        <is>
          <t>Multi-Tenant Industrial/Flex NNN</t>
        </is>
      </c>
      <c r="I25" s="699" t="n"/>
      <c r="J25" s="699" t="n"/>
      <c r="K25" s="699" t="n"/>
      <c r="L25" s="699" t="inlineStr">
        <is>
          <t>R0111559</t>
        </is>
      </c>
      <c r="M25" s="699" t="n"/>
      <c r="N25" s="1194" t="inlineStr">
        <is>
          <t>MHE 2025 BOE – Sterling actual P&amp;L</t>
        </is>
      </c>
      <c r="O25" s="699" t="inlineStr">
        <is>
          <t>2026-06-02</t>
        </is>
      </c>
      <c r="P25" s="1194" t="inlineStr">
        <is>
          <t>2023 transitional (vacancy); 2024 new tenant in place; SF not confirmed</t>
        </is>
      </c>
      <c r="Q25" s="1132">
        <f>IF(B25="","",IFERROR(INDEX(OCC_TABLE_DESC,MATCH(B25,OCC_TABLE_CODE,0)),"Unrecognized code"))</f>
        <v/>
      </c>
    </row>
    <row r="26">
      <c r="A26" s="1225" t="inlineStr">
        <is>
          <t>P023</t>
        </is>
      </c>
      <c r="B26" s="695" t="n">
        <v>407</v>
      </c>
      <c r="C26" s="696" t="inlineStr">
        <is>
          <t>R0191098</t>
        </is>
      </c>
      <c r="D26" s="1226" t="inlineStr">
        <is>
          <t>19754 E. 35th Dr (Bldg 4)</t>
        </is>
      </c>
      <c r="E26" s="1225" t="inlineStr">
        <is>
          <t>Aurora</t>
        </is>
      </c>
      <c r="F26" s="1225" t="inlineStr">
        <is>
          <t>CO</t>
        </is>
      </c>
      <c r="G26" s="1225" t="inlineStr">
        <is>
          <t>Industrial</t>
        </is>
      </c>
      <c r="H26" s="1226" t="inlineStr">
        <is>
          <t>Single-Tenant Industrial NNN</t>
        </is>
      </c>
      <c r="I26" s="1225" t="n"/>
      <c r="J26" s="1225" t="n">
        <v>155033</v>
      </c>
      <c r="K26" s="1225" t="n"/>
      <c r="L26" s="1225" t="inlineStr">
        <is>
          <t>R0191098</t>
        </is>
      </c>
      <c r="M26" s="1225" t="n"/>
      <c r="N26" s="1226" t="inlineStr">
        <is>
          <t>MHE 2025 BOE – Sterling actual P&amp;L</t>
        </is>
      </c>
      <c r="O26" s="1225" t="inlineStr">
        <is>
          <t>2026-06-02</t>
        </is>
      </c>
      <c r="P26" s="1226" t="inlineStr">
        <is>
          <t>Single-tenant NNN (Quality Custom Distribution); lease thru 12/31/2029</t>
        </is>
      </c>
      <c r="Q26" s="1132">
        <f>IF(B26="","",IFERROR(INDEX(OCC_TABLE_DESC,MATCH(B26,OCC_TABLE_CODE,0)),"Unrecognized code"))</f>
        <v/>
      </c>
    </row>
    <row r="27">
      <c r="A27" s="699" t="inlineStr">
        <is>
          <t>P024</t>
        </is>
      </c>
      <c r="B27" s="695" t="n">
        <v>407</v>
      </c>
      <c r="C27" s="696" t="inlineStr">
        <is>
          <t>R0111560</t>
        </is>
      </c>
      <c r="D27" s="1194" t="inlineStr">
        <is>
          <t>20320 E. 36th Dr (Bldg 7)</t>
        </is>
      </c>
      <c r="E27" s="699" t="inlineStr">
        <is>
          <t>Aurora</t>
        </is>
      </c>
      <c r="F27" s="699" t="inlineStr">
        <is>
          <t>CO</t>
        </is>
      </c>
      <c r="G27" s="699" t="inlineStr">
        <is>
          <t>Industrial</t>
        </is>
      </c>
      <c r="H27" s="1194" t="inlineStr">
        <is>
          <t>Single-Tenant Industrial NNN</t>
        </is>
      </c>
      <c r="I27" s="699" t="n"/>
      <c r="J27" s="699" t="n">
        <v>200000</v>
      </c>
      <c r="K27" s="699" t="n"/>
      <c r="L27" s="699" t="inlineStr">
        <is>
          <t>R0111560</t>
        </is>
      </c>
      <c r="M27" s="699" t="n"/>
      <c r="N27" s="1194" t="inlineStr">
        <is>
          <t>MHE 2025 BOE – Sterling actual P&amp;L</t>
        </is>
      </c>
      <c r="O27" s="699" t="inlineStr">
        <is>
          <t>2026-06-02</t>
        </is>
      </c>
      <c r="P27" s="1194" t="inlineStr">
        <is>
          <t>FedEx NNN; lease expired 4/30/2024 – 2023 only usable</t>
        </is>
      </c>
      <c r="Q27" s="1132">
        <f>IF(B27="","",IFERROR(INDEX(OCC_TABLE_DESC,MATCH(B27,OCC_TABLE_CODE,0)),"Unrecognized code"))</f>
        <v/>
      </c>
    </row>
    <row r="28">
      <c r="A28" s="1225" t="inlineStr">
        <is>
          <t>P025</t>
        </is>
      </c>
      <c r="B28" s="695" t="n">
        <v>210</v>
      </c>
      <c r="C28" s="696" t="inlineStr">
        <is>
          <t>R0191099</t>
        </is>
      </c>
      <c r="D28" s="1226" t="inlineStr">
        <is>
          <t>3559 N. Himalaya Rd (Bldg 5)</t>
        </is>
      </c>
      <c r="E28" s="1225" t="inlineStr">
        <is>
          <t>Aurora</t>
        </is>
      </c>
      <c r="F28" s="1225" t="inlineStr">
        <is>
          <t>CO</t>
        </is>
      </c>
      <c r="G28" s="1225" t="inlineStr">
        <is>
          <t>Industrial</t>
        </is>
      </c>
      <c r="H28" s="1226" t="inlineStr">
        <is>
          <t>Multi-Tenant Industrial NNN</t>
        </is>
      </c>
      <c r="I28" s="1225" t="n"/>
      <c r="J28" s="1225" t="n">
        <v>159047</v>
      </c>
      <c r="K28" s="1225" t="n"/>
      <c r="L28" s="1225" t="inlineStr">
        <is>
          <t>R0191099</t>
        </is>
      </c>
      <c r="M28" s="1225" t="n"/>
      <c r="N28" s="1226" t="inlineStr">
        <is>
          <t>MHE 2025 BOE – Sterling actual P&amp;L</t>
        </is>
      </c>
      <c r="O28" s="1225" t="inlineStr">
        <is>
          <t>2026-06-02</t>
        </is>
      </c>
      <c r="P28" s="1226" t="inlineStr">
        <is>
          <t>Multi-tenant NNN; 3 tenants; 2023+2024</t>
        </is>
      </c>
      <c r="Q28" s="1132">
        <f>IF(B28="","",IFERROR(INDEX(OCC_TABLE_DESC,MATCH(B28,OCC_TABLE_CODE,0)),"Unrecognized code"))</f>
        <v/>
      </c>
    </row>
    <row r="29">
      <c r="A29" s="699" t="inlineStr">
        <is>
          <t>P026</t>
        </is>
      </c>
      <c r="B29" s="695" t="n">
        <v>406</v>
      </c>
      <c r="C29" s="696" t="inlineStr">
        <is>
          <t>R0092667</t>
        </is>
      </c>
      <c r="D29" s="1194" t="inlineStr">
        <is>
          <t>4901 Locust St</t>
        </is>
      </c>
      <c r="E29" s="699" t="inlineStr">
        <is>
          <t>Commerce City</t>
        </is>
      </c>
      <c r="F29" s="699" t="inlineStr">
        <is>
          <t>CO</t>
        </is>
      </c>
      <c r="G29" s="699" t="inlineStr">
        <is>
          <t>Industrial</t>
        </is>
      </c>
      <c r="H29" s="1194" t="inlineStr">
        <is>
          <t>Industrial Warehouse</t>
        </is>
      </c>
      <c r="I29" s="699" t="n"/>
      <c r="J29" s="699" t="n">
        <v>29512</v>
      </c>
      <c r="K29" s="699" t="n"/>
      <c r="L29" s="699" t="inlineStr">
        <is>
          <t>R0092667</t>
        </is>
      </c>
      <c r="M29" s="699" t="n"/>
      <c r="N29" s="1194" t="inlineStr">
        <is>
          <t>MHE 2025 BOE – Newmark appraisal proforma</t>
        </is>
      </c>
      <c r="O29" s="699" t="inlineStr">
        <is>
          <t>2026-06-02</t>
        </is>
      </c>
      <c r="P29" s="1194" t="inlineStr">
        <is>
          <t>Stabilized proforma; Newmark V&amp;A appraisal 6/30/2024</t>
        </is>
      </c>
      <c r="Q29" s="1132">
        <f>IF(B29="","",IFERROR(INDEX(OCC_TABLE_DESC,MATCH(B29,OCC_TABLE_CODE,0)),"Unrecognized code"))</f>
        <v/>
      </c>
    </row>
    <row r="30">
      <c r="A30" s="1225" t="inlineStr">
        <is>
          <t>P027</t>
        </is>
      </c>
      <c r="B30" s="695" t="n">
        <v>407</v>
      </c>
      <c r="C30" s="696" t="inlineStr">
        <is>
          <t>R0132030</t>
        </is>
      </c>
      <c r="D30" s="1226" t="inlineStr">
        <is>
          <t>Majestic Commercenter (R0132030)</t>
        </is>
      </c>
      <c r="E30" s="1225" t="inlineStr">
        <is>
          <t>Commerce City</t>
        </is>
      </c>
      <c r="F30" s="1225" t="inlineStr">
        <is>
          <t>CO</t>
        </is>
      </c>
      <c r="G30" s="1225" t="inlineStr">
        <is>
          <t>Industrial</t>
        </is>
      </c>
      <c r="H30" s="1226" t="inlineStr">
        <is>
          <t>Warehouse NNN</t>
        </is>
      </c>
      <c r="I30" s="1225" t="n">
        <v>2001</v>
      </c>
      <c r="J30" s="1225" t="n">
        <v>200094</v>
      </c>
      <c r="K30" s="1225" t="n"/>
      <c r="L30" s="1225" t="inlineStr">
        <is>
          <t>R0132030</t>
        </is>
      </c>
      <c r="M30" s="1225" t="n"/>
      <c r="N30" s="1226" t="inlineStr">
        <is>
          <t>AXG – Whse Expenses PSF.xlsx</t>
        </is>
      </c>
      <c r="O30" s="1225" t="inlineStr">
        <is>
          <t>2026-06-02</t>
        </is>
      </c>
      <c r="P30" s="1226" t="inlineStr">
        <is>
          <t>NNN landlord expenses only; 2021–2022</t>
        </is>
      </c>
      <c r="Q30" s="1132">
        <f>IF(B30="","",IFERROR(INDEX(OCC_TABLE_DESC,MATCH(B30,OCC_TABLE_CODE,0)),"Unrecognized code"))</f>
        <v/>
      </c>
    </row>
    <row r="31">
      <c r="A31" s="699" t="inlineStr">
        <is>
          <t>P028</t>
        </is>
      </c>
      <c r="B31" s="695" t="n">
        <v>407</v>
      </c>
      <c r="C31" s="696" t="inlineStr">
        <is>
          <t>R0084040</t>
        </is>
      </c>
      <c r="D31" s="1194" t="inlineStr">
        <is>
          <t>Majestic Commercenter (R0084040)</t>
        </is>
      </c>
      <c r="E31" s="699" t="inlineStr">
        <is>
          <t>Commerce City</t>
        </is>
      </c>
      <c r="F31" s="699" t="inlineStr">
        <is>
          <t>CO</t>
        </is>
      </c>
      <c r="G31" s="699" t="inlineStr">
        <is>
          <t>Industrial</t>
        </is>
      </c>
      <c r="H31" s="1194" t="inlineStr">
        <is>
          <t>Warehouse NNN</t>
        </is>
      </c>
      <c r="I31" s="699" t="n">
        <v>1997</v>
      </c>
      <c r="J31" s="699" t="n">
        <v>177736</v>
      </c>
      <c r="K31" s="699" t="n"/>
      <c r="L31" s="699" t="inlineStr">
        <is>
          <t>R0084040</t>
        </is>
      </c>
      <c r="M31" s="699" t="n"/>
      <c r="N31" s="1194" t="inlineStr">
        <is>
          <t>AXG – Whse Expenses PSF.xlsx</t>
        </is>
      </c>
      <c r="O31" s="699" t="inlineStr">
        <is>
          <t>2026-06-02</t>
        </is>
      </c>
      <c r="P31" s="1194" t="inlineStr">
        <is>
          <t>NNN landlord expenses only; 2021–2022</t>
        </is>
      </c>
      <c r="Q31" s="1132">
        <f>IF(B31="","",IFERROR(INDEX(OCC_TABLE_DESC,MATCH(B31,OCC_TABLE_CODE,0)),"Unrecognized code"))</f>
        <v/>
      </c>
    </row>
    <row r="32">
      <c r="A32" s="1225" t="inlineStr">
        <is>
          <t>P029</t>
        </is>
      </c>
      <c r="B32" s="695" t="n">
        <v>407</v>
      </c>
      <c r="C32" s="696" t="inlineStr">
        <is>
          <t>R0084041</t>
        </is>
      </c>
      <c r="D32" s="1226" t="inlineStr">
        <is>
          <t>Majestic Commercenter (R0084041)</t>
        </is>
      </c>
      <c r="E32" s="1225" t="inlineStr">
        <is>
          <t>Commerce City</t>
        </is>
      </c>
      <c r="F32" s="1225" t="inlineStr">
        <is>
          <t>CO</t>
        </is>
      </c>
      <c r="G32" s="1225" t="inlineStr">
        <is>
          <t>Industrial</t>
        </is>
      </c>
      <c r="H32" s="1226" t="inlineStr">
        <is>
          <t>Warehouse NNN</t>
        </is>
      </c>
      <c r="I32" s="1225" t="n">
        <v>1997</v>
      </c>
      <c r="J32" s="1225" t="n">
        <v>200371</v>
      </c>
      <c r="K32" s="1225" t="n"/>
      <c r="L32" s="1225" t="inlineStr">
        <is>
          <t>R0084041</t>
        </is>
      </c>
      <c r="M32" s="1225" t="n"/>
      <c r="N32" s="1226" t="inlineStr">
        <is>
          <t>AXG – Whse Expenses PSF.xlsx</t>
        </is>
      </c>
      <c r="O32" s="1225" t="inlineStr">
        <is>
          <t>2026-06-02</t>
        </is>
      </c>
      <c r="P32" s="1226" t="inlineStr">
        <is>
          <t>NNN landlord expenses only; 2021–2022</t>
        </is>
      </c>
      <c r="Q32" s="1132">
        <f>IF(B32="","",IFERROR(INDEX(OCC_TABLE_DESC,MATCH(B32,OCC_TABLE_CODE,0)),"Unrecognized code"))</f>
        <v/>
      </c>
    </row>
    <row r="33">
      <c r="A33" s="699" t="inlineStr">
        <is>
          <t>P030</t>
        </is>
      </c>
      <c r="B33" s="695" t="n">
        <v>584</v>
      </c>
      <c r="C33" s="696" t="inlineStr">
        <is>
          <t>R0217015</t>
        </is>
      </c>
      <c r="D33" s="1194" t="inlineStr">
        <is>
          <t>Majestic Commercenter (R0217015)</t>
        </is>
      </c>
      <c r="E33" s="699" t="inlineStr">
        <is>
          <t>Commerce City</t>
        </is>
      </c>
      <c r="F33" s="699" t="inlineStr">
        <is>
          <t>CO</t>
        </is>
      </c>
      <c r="G33" s="699" t="inlineStr">
        <is>
          <t>Industrial</t>
        </is>
      </c>
      <c r="H33" s="1194" t="inlineStr">
        <is>
          <t>Mega Warehouse NNN</t>
        </is>
      </c>
      <c r="I33" s="699" t="n">
        <v>2021</v>
      </c>
      <c r="J33" s="699" t="n">
        <v>548510</v>
      </c>
      <c r="K33" s="699" t="n"/>
      <c r="L33" s="699" t="inlineStr">
        <is>
          <t>R0217015</t>
        </is>
      </c>
      <c r="M33" s="699" t="n"/>
      <c r="N33" s="1194" t="inlineStr">
        <is>
          <t>AXG – Whse Expenses PSF.xlsx</t>
        </is>
      </c>
      <c r="O33" s="699" t="inlineStr">
        <is>
          <t>2026-06-02</t>
        </is>
      </c>
      <c r="P33" s="1194" t="inlineStr">
        <is>
          <t>NNN landlord expenses only; 2022 only</t>
        </is>
      </c>
      <c r="Q33" s="1132">
        <f>IF(B33="","",IFERROR(INDEX(OCC_TABLE_DESC,MATCH(B33,OCC_TABLE_CODE,0)),"Unrecognized code"))</f>
        <v/>
      </c>
    </row>
    <row r="34">
      <c r="A34" s="1225" t="inlineStr">
        <is>
          <t>P031</t>
        </is>
      </c>
      <c r="B34" s="695" t="n">
        <v>407</v>
      </c>
      <c r="C34" s="696" t="inlineStr">
        <is>
          <t>R0111562</t>
        </is>
      </c>
      <c r="D34" s="1226" t="inlineStr">
        <is>
          <t>Majestic Commercenter (R0111562)</t>
        </is>
      </c>
      <c r="E34" s="1225" t="inlineStr">
        <is>
          <t>Commerce City</t>
        </is>
      </c>
      <c r="F34" s="1225" t="inlineStr">
        <is>
          <t>CO</t>
        </is>
      </c>
      <c r="G34" s="1225" t="inlineStr">
        <is>
          <t>Industrial</t>
        </is>
      </c>
      <c r="H34" s="1226" t="inlineStr">
        <is>
          <t>Warehouse NNN</t>
        </is>
      </c>
      <c r="I34" s="1225" t="n">
        <v>2000</v>
      </c>
      <c r="J34" s="1225" t="n">
        <v>149175</v>
      </c>
      <c r="K34" s="1225" t="n"/>
      <c r="L34" s="1225" t="inlineStr">
        <is>
          <t>R0111562</t>
        </is>
      </c>
      <c r="M34" s="1225" t="n"/>
      <c r="N34" s="1226" t="inlineStr">
        <is>
          <t>AXG – Whse Expenses PSF.xlsx</t>
        </is>
      </c>
      <c r="O34" s="1225" t="inlineStr">
        <is>
          <t>2026-06-02</t>
        </is>
      </c>
      <c r="P34" s="1226" t="inlineStr">
        <is>
          <t>NNN landlord expenses only; 2019–2020</t>
        </is>
      </c>
      <c r="Q34" s="1132">
        <f>IF(B34="","",IFERROR(INDEX(OCC_TABLE_DESC,MATCH(B34,OCC_TABLE_CODE,0)),"Unrecognized code"))</f>
        <v/>
      </c>
    </row>
    <row r="35">
      <c r="A35" s="699" t="inlineStr">
        <is>
          <t>P032</t>
        </is>
      </c>
      <c r="B35" s="695" t="n">
        <v>407</v>
      </c>
      <c r="C35" s="696" t="inlineStr">
        <is>
          <t>R0118875</t>
        </is>
      </c>
      <c r="D35" s="1194" t="inlineStr">
        <is>
          <t>Majestic Commercenter (R0118875)</t>
        </is>
      </c>
      <c r="E35" s="699" t="inlineStr">
        <is>
          <t>Commerce City</t>
        </is>
      </c>
      <c r="F35" s="699" t="inlineStr">
        <is>
          <t>CO</t>
        </is>
      </c>
      <c r="G35" s="699" t="inlineStr">
        <is>
          <t>Industrial</t>
        </is>
      </c>
      <c r="H35" s="1194" t="inlineStr">
        <is>
          <t>Warehouse NNN</t>
        </is>
      </c>
      <c r="I35" s="699" t="n">
        <v>1999</v>
      </c>
      <c r="J35" s="699" t="n">
        <v>279640</v>
      </c>
      <c r="K35" s="699" t="n"/>
      <c r="L35" s="699" t="inlineStr">
        <is>
          <t>R0118875</t>
        </is>
      </c>
      <c r="M35" s="699" t="n"/>
      <c r="N35" s="1194" t="inlineStr">
        <is>
          <t>AXG – Whse Expenses PSF.xlsx</t>
        </is>
      </c>
      <c r="O35" s="699" t="inlineStr">
        <is>
          <t>2026-06-02</t>
        </is>
      </c>
      <c r="P35" s="1194" t="inlineStr">
        <is>
          <t>NNN landlord expenses only; 2021–2022</t>
        </is>
      </c>
      <c r="Q35" s="1132">
        <f>IF(B35="","",IFERROR(INDEX(OCC_TABLE_DESC,MATCH(B35,OCC_TABLE_CODE,0)),"Unrecognized code"))</f>
        <v/>
      </c>
    </row>
    <row r="36">
      <c r="A36" s="1225" t="inlineStr">
        <is>
          <t>P033</t>
        </is>
      </c>
      <c r="B36" s="695" t="n">
        <v>407</v>
      </c>
      <c r="C36" s="696" t="inlineStr">
        <is>
          <t>R0132031</t>
        </is>
      </c>
      <c r="D36" s="1226" t="inlineStr">
        <is>
          <t>Majestic Commercenter (R0132031)</t>
        </is>
      </c>
      <c r="E36" s="1225" t="inlineStr">
        <is>
          <t>Commerce City</t>
        </is>
      </c>
      <c r="F36" s="1225" t="inlineStr">
        <is>
          <t>CO</t>
        </is>
      </c>
      <c r="G36" s="1225" t="inlineStr">
        <is>
          <t>Industrial</t>
        </is>
      </c>
      <c r="H36" s="1226" t="inlineStr">
        <is>
          <t>Warehouse NNN</t>
        </is>
      </c>
      <c r="I36" s="1225" t="n">
        <v>2002</v>
      </c>
      <c r="J36" s="1225" t="n">
        <v>280098</v>
      </c>
      <c r="K36" s="1225" t="n"/>
      <c r="L36" s="1225" t="inlineStr">
        <is>
          <t>R0132031</t>
        </is>
      </c>
      <c r="M36" s="1225" t="n"/>
      <c r="N36" s="1226" t="inlineStr">
        <is>
          <t>AXG – Whse Expenses PSF.xlsx</t>
        </is>
      </c>
      <c r="O36" s="1225" t="inlineStr">
        <is>
          <t>2026-06-02</t>
        </is>
      </c>
      <c r="P36" s="1226" t="inlineStr">
        <is>
          <t>NNN landlord expenses only; 2021–2022</t>
        </is>
      </c>
      <c r="Q36" s="1132">
        <f>IF(B36="","",IFERROR(INDEX(OCC_TABLE_DESC,MATCH(B36,OCC_TABLE_CODE,0)),"Unrecognized code"))</f>
        <v/>
      </c>
    </row>
    <row r="37">
      <c r="A37" s="699" t="inlineStr">
        <is>
          <t>P034</t>
        </is>
      </c>
      <c r="B37" s="695" t="n">
        <v>407</v>
      </c>
      <c r="C37" s="696" t="inlineStr">
        <is>
          <t>R0172865</t>
        </is>
      </c>
      <c r="D37" s="1194" t="inlineStr">
        <is>
          <t>Majestic Commercenter (R0172865)</t>
        </is>
      </c>
      <c r="E37" s="699" t="inlineStr">
        <is>
          <t>Commerce City</t>
        </is>
      </c>
      <c r="F37" s="699" t="inlineStr">
        <is>
          <t>CO</t>
        </is>
      </c>
      <c r="G37" s="699" t="inlineStr">
        <is>
          <t>Industrial</t>
        </is>
      </c>
      <c r="H37" s="1194" t="inlineStr">
        <is>
          <t>Warehouse NNN</t>
        </is>
      </c>
      <c r="I37" s="699" t="n">
        <v>2008</v>
      </c>
      <c r="J37" s="699" t="n">
        <v>215461</v>
      </c>
      <c r="K37" s="699" t="n"/>
      <c r="L37" s="699" t="inlineStr">
        <is>
          <t>R0172865</t>
        </is>
      </c>
      <c r="M37" s="699" t="n"/>
      <c r="N37" s="1194" t="inlineStr">
        <is>
          <t>AXG – Whse Expenses PSF.xlsx</t>
        </is>
      </c>
      <c r="O37" s="699" t="inlineStr">
        <is>
          <t>2026-06-02</t>
        </is>
      </c>
      <c r="P37" s="1194" t="inlineStr">
        <is>
          <t>NNN landlord expenses only; 2021–2022</t>
        </is>
      </c>
      <c r="Q37" s="1132">
        <f>IF(B37="","",IFERROR(INDEX(OCC_TABLE_DESC,MATCH(B37,OCC_TABLE_CODE,0)),"Unrecognized code"))</f>
        <v/>
      </c>
    </row>
    <row r="38">
      <c r="A38" s="1225" t="inlineStr">
        <is>
          <t>P035</t>
        </is>
      </c>
      <c r="B38" s="695" t="n">
        <v>407</v>
      </c>
      <c r="C38" s="696" t="inlineStr">
        <is>
          <t>R0172867</t>
        </is>
      </c>
      <c r="D38" s="1226" t="inlineStr">
        <is>
          <t>Majestic Commercenter (R0172867)</t>
        </is>
      </c>
      <c r="E38" s="1225" t="inlineStr">
        <is>
          <t>Commerce City</t>
        </is>
      </c>
      <c r="F38" s="1225" t="inlineStr">
        <is>
          <t>CO</t>
        </is>
      </c>
      <c r="G38" s="1225" t="inlineStr">
        <is>
          <t>Industrial</t>
        </is>
      </c>
      <c r="H38" s="1226" t="inlineStr">
        <is>
          <t>Warehouse NNN</t>
        </is>
      </c>
      <c r="I38" s="1225" t="n">
        <v>2007</v>
      </c>
      <c r="J38" s="1225" t="n">
        <v>215560</v>
      </c>
      <c r="K38" s="1225" t="n"/>
      <c r="L38" s="1225" t="inlineStr">
        <is>
          <t>R0172867</t>
        </is>
      </c>
      <c r="M38" s="1225" t="n"/>
      <c r="N38" s="1226" t="inlineStr">
        <is>
          <t>AXG – Whse Expenses PSF.xlsx</t>
        </is>
      </c>
      <c r="O38" s="1225" t="inlineStr">
        <is>
          <t>2026-06-02</t>
        </is>
      </c>
      <c r="P38" s="1226" t="inlineStr">
        <is>
          <t>NNN landlord expenses only; 2021–2022</t>
        </is>
      </c>
      <c r="Q38" s="1132">
        <f>IF(B38="","",IFERROR(INDEX(OCC_TABLE_DESC,MATCH(B38,OCC_TABLE_CODE,0)),"Unrecognized code"))</f>
        <v/>
      </c>
    </row>
    <row r="39">
      <c r="A39" s="699" t="inlineStr">
        <is>
          <t>P036</t>
        </is>
      </c>
      <c r="B39" s="695" t="n">
        <v>407</v>
      </c>
      <c r="C39" s="696" t="inlineStr">
        <is>
          <t>R0172868</t>
        </is>
      </c>
      <c r="D39" s="1194" t="inlineStr">
        <is>
          <t>Majestic Commercenter (R0172868)</t>
        </is>
      </c>
      <c r="E39" s="699" t="inlineStr">
        <is>
          <t>Commerce City</t>
        </is>
      </c>
      <c r="F39" s="699" t="inlineStr">
        <is>
          <t>CO</t>
        </is>
      </c>
      <c r="G39" s="699" t="inlineStr">
        <is>
          <t>Industrial</t>
        </is>
      </c>
      <c r="H39" s="1194" t="inlineStr">
        <is>
          <t>Warehouse NNN</t>
        </is>
      </c>
      <c r="I39" s="699" t="n">
        <v>2007</v>
      </c>
      <c r="J39" s="699" t="n">
        <v>202091</v>
      </c>
      <c r="K39" s="699" t="n"/>
      <c r="L39" s="699" t="inlineStr">
        <is>
          <t>R0172868</t>
        </is>
      </c>
      <c r="M39" s="699" t="n"/>
      <c r="N39" s="1194" t="inlineStr">
        <is>
          <t>AXG – Whse Expenses PSF.xlsx</t>
        </is>
      </c>
      <c r="O39" s="699" t="inlineStr">
        <is>
          <t>2026-06-02</t>
        </is>
      </c>
      <c r="P39" s="1194" t="inlineStr">
        <is>
          <t>NNN landlord expenses only; 2021–2022</t>
        </is>
      </c>
      <c r="Q39" s="1132">
        <f>IF(B39="","",IFERROR(INDEX(OCC_TABLE_DESC,MATCH(B39,OCC_TABLE_CODE,0)),"Unrecognized code"))</f>
        <v/>
      </c>
    </row>
    <row r="40">
      <c r="A40" s="1225" t="inlineStr">
        <is>
          <t>P037</t>
        </is>
      </c>
      <c r="B40" s="695" t="n">
        <v>407</v>
      </c>
      <c r="C40" s="696" t="inlineStr">
        <is>
          <t>R0145680</t>
        </is>
      </c>
      <c r="D40" s="1226" t="inlineStr">
        <is>
          <t>Majestic Commercenter (R0145680)</t>
        </is>
      </c>
      <c r="E40" s="1225" t="inlineStr">
        <is>
          <t>Commerce City</t>
        </is>
      </c>
      <c r="F40" s="1225" t="inlineStr">
        <is>
          <t>CO</t>
        </is>
      </c>
      <c r="G40" s="1225" t="inlineStr">
        <is>
          <t>Industrial</t>
        </is>
      </c>
      <c r="H40" s="1226" t="inlineStr">
        <is>
          <t>Warehouse NNN</t>
        </is>
      </c>
      <c r="I40" s="1225" t="n">
        <v>2001</v>
      </c>
      <c r="J40" s="1225" t="n">
        <v>150027</v>
      </c>
      <c r="K40" s="1225" t="n"/>
      <c r="L40" s="1225" t="inlineStr">
        <is>
          <t>R0145680</t>
        </is>
      </c>
      <c r="M40" s="1225" t="n"/>
      <c r="N40" s="1226" t="inlineStr">
        <is>
          <t>AXG – Whse Expenses PSF.xlsx</t>
        </is>
      </c>
      <c r="O40" s="1225" t="inlineStr">
        <is>
          <t>2026-06-02</t>
        </is>
      </c>
      <c r="P40" s="1226" t="inlineStr">
        <is>
          <t>NNN landlord expenses only; 2021–2022</t>
        </is>
      </c>
      <c r="Q40" s="1132">
        <f>IF(B40="","",IFERROR(INDEX(OCC_TABLE_DESC,MATCH(B40,OCC_TABLE_CODE,0)),"Unrecognized code"))</f>
        <v/>
      </c>
    </row>
    <row r="41">
      <c r="A41" s="699" t="inlineStr">
        <is>
          <t>P038</t>
        </is>
      </c>
      <c r="B41" s="695" t="n">
        <v>584</v>
      </c>
      <c r="C41" s="696" t="inlineStr">
        <is>
          <t>R0181787</t>
        </is>
      </c>
      <c r="D41" s="1194" t="inlineStr">
        <is>
          <t>Majestic Commercenter (R0181787)</t>
        </is>
      </c>
      <c r="E41" s="699" t="inlineStr">
        <is>
          <t>Commerce City</t>
        </is>
      </c>
      <c r="F41" s="699" t="inlineStr">
        <is>
          <t>CO</t>
        </is>
      </c>
      <c r="G41" s="699" t="inlineStr">
        <is>
          <t>Industrial</t>
        </is>
      </c>
      <c r="H41" s="1194" t="inlineStr">
        <is>
          <t>Mega Warehouse NNN</t>
        </is>
      </c>
      <c r="I41" s="699" t="n">
        <v>2013</v>
      </c>
      <c r="J41" s="699" t="n">
        <v>500358</v>
      </c>
      <c r="K41" s="699" t="n"/>
      <c r="L41" s="699" t="inlineStr">
        <is>
          <t>R0181787</t>
        </is>
      </c>
      <c r="M41" s="699" t="n"/>
      <c r="N41" s="1194" t="inlineStr">
        <is>
          <t>AXG – Whse Expenses PSF.xlsx</t>
        </is>
      </c>
      <c r="O41" s="699" t="inlineStr">
        <is>
          <t>2026-06-02</t>
        </is>
      </c>
      <c r="P41" s="1194" t="inlineStr">
        <is>
          <t>NNN landlord expenses only; 2021–2022</t>
        </is>
      </c>
      <c r="Q41" s="1132">
        <f>IF(B41="","",IFERROR(INDEX(OCC_TABLE_DESC,MATCH(B41,OCC_TABLE_CODE,0)),"Unrecognized code"))</f>
        <v/>
      </c>
    </row>
    <row r="42">
      <c r="A42" s="1225" t="inlineStr">
        <is>
          <t>P039</t>
        </is>
      </c>
      <c r="B42" s="695" t="n">
        <v>584</v>
      </c>
      <c r="C42" s="696" t="inlineStr">
        <is>
          <t>R0191101</t>
        </is>
      </c>
      <c r="D42" s="1226" t="inlineStr">
        <is>
          <t>Majestic Commercenter (R0191101)</t>
        </is>
      </c>
      <c r="E42" s="1225" t="inlineStr">
        <is>
          <t>Commerce City</t>
        </is>
      </c>
      <c r="F42" s="1225" t="inlineStr">
        <is>
          <t>CO</t>
        </is>
      </c>
      <c r="G42" s="1225" t="inlineStr">
        <is>
          <t>Industrial</t>
        </is>
      </c>
      <c r="H42" s="1226" t="inlineStr">
        <is>
          <t>Mega Warehouse NNN</t>
        </is>
      </c>
      <c r="I42" s="1225" t="n">
        <v>2017</v>
      </c>
      <c r="J42" s="1225" t="n">
        <v>522120</v>
      </c>
      <c r="K42" s="1225" t="n"/>
      <c r="L42" s="1225" t="inlineStr">
        <is>
          <t>R0191101</t>
        </is>
      </c>
      <c r="M42" s="1225" t="n"/>
      <c r="N42" s="1226" t="inlineStr">
        <is>
          <t>AXG – Whse Expenses PSF.xlsx</t>
        </is>
      </c>
      <c r="O42" s="1225" t="inlineStr">
        <is>
          <t>2026-06-02</t>
        </is>
      </c>
      <c r="P42" s="1226" t="inlineStr">
        <is>
          <t>NNN landlord expenses only; 2021–2022</t>
        </is>
      </c>
      <c r="Q42" s="1132">
        <f>IF(B42="","",IFERROR(INDEX(OCC_TABLE_DESC,MATCH(B42,OCC_TABLE_CODE,0)),"Unrecognized code"))</f>
        <v/>
      </c>
    </row>
    <row r="43">
      <c r="A43" s="699" t="inlineStr">
        <is>
          <t>P040</t>
        </is>
      </c>
      <c r="B43" s="695" t="n">
        <v>407</v>
      </c>
      <c r="C43" s="696" t="inlineStr">
        <is>
          <t>R0202874</t>
        </is>
      </c>
      <c r="D43" s="1194" t="inlineStr">
        <is>
          <t>900 E 128th Ave</t>
        </is>
      </c>
      <c r="E43" s="699" t="inlineStr">
        <is>
          <t>Henderson</t>
        </is>
      </c>
      <c r="F43" s="699" t="inlineStr">
        <is>
          <t>CO</t>
        </is>
      </c>
      <c r="G43" s="699" t="inlineStr">
        <is>
          <t>Industrial</t>
        </is>
      </c>
      <c r="H43" s="1194" t="inlineStr">
        <is>
          <t>Last-Mile Distribution NNN</t>
        </is>
      </c>
      <c r="I43" s="699" t="n"/>
      <c r="J43" s="699" t="n"/>
      <c r="K43" s="699" t="n"/>
      <c r="L43" s="699" t="inlineStr">
        <is>
          <t>R0202874</t>
        </is>
      </c>
      <c r="M43" s="699" t="inlineStr">
        <is>
          <t>Amazon</t>
        </is>
      </c>
      <c r="N43" s="1194" t="inlineStr">
        <is>
          <t>AXG – Owner Income Statement 2021–2022</t>
        </is>
      </c>
      <c r="O43" s="699" t="inlineStr">
        <is>
          <t>2026-06-02</t>
        </is>
      </c>
      <c r="P43" s="1194" t="inlineStr">
        <is>
          <t>Amazon AMZL Last Mile Site 51812; SF not extracted</t>
        </is>
      </c>
      <c r="Q43" s="1132">
        <f>IF(B43="","",IFERROR(INDEX(OCC_TABLE_DESC,MATCH(B43,OCC_TABLE_CODE,0)),"Unrecognized code"))</f>
        <v/>
      </c>
    </row>
    <row r="44">
      <c r="A44" s="1225" t="inlineStr">
        <is>
          <t>P041</t>
        </is>
      </c>
      <c r="B44" s="695" t="n">
        <v>386</v>
      </c>
      <c r="C44" s="696" t="inlineStr">
        <is>
          <t>R0189384</t>
        </is>
      </c>
      <c r="D44" s="1226" t="inlineStr">
        <is>
          <t>1101 Colorado Blvd</t>
        </is>
      </c>
      <c r="E44" s="1225" t="inlineStr">
        <is>
          <t>Thornton</t>
        </is>
      </c>
      <c r="F44" s="1225" t="inlineStr">
        <is>
          <t>CO</t>
        </is>
      </c>
      <c r="G44" s="1225" t="inlineStr">
        <is>
          <t>Self-Storage</t>
        </is>
      </c>
      <c r="H44" s="1226" t="inlineStr">
        <is>
          <t>Climate-Controlled</t>
        </is>
      </c>
      <c r="I44" s="1225" t="n"/>
      <c r="J44" s="1225" t="n">
        <v>65766</v>
      </c>
      <c r="K44" s="1225" t="n"/>
      <c r="L44" s="1225" t="inlineStr">
        <is>
          <t>R0189384</t>
        </is>
      </c>
      <c r="M44" s="1225" t="n"/>
      <c r="N44" s="1226" t="inlineStr">
        <is>
          <t>AXG – Carlson SS Portfolio P&amp;L</t>
        </is>
      </c>
      <c r="O44" s="1225" t="inlineStr">
        <is>
          <t>2026-06-02</t>
        </is>
      </c>
      <c r="P44" s="1226" t="inlineStr">
        <is>
          <t>Actual FY2021–2023; 101.5% occ Q4 2023</t>
        </is>
      </c>
      <c r="Q44" s="1132">
        <f>IF(B44="","",IFERROR(INDEX(OCC_TABLE_DESC,MATCH(B44,OCC_TABLE_CODE,0)),"Unrecognized code"))</f>
        <v/>
      </c>
    </row>
    <row r="45">
      <c r="A45" s="699" t="inlineStr">
        <is>
          <t>P042</t>
        </is>
      </c>
      <c r="B45" s="695" t="n">
        <v>386</v>
      </c>
      <c r="C45" s="696" t="inlineStr">
        <is>
          <t>R0126235</t>
        </is>
      </c>
      <c r="D45" s="1194" t="inlineStr">
        <is>
          <t>15024 Laroy Drive</t>
        </is>
      </c>
      <c r="E45" s="699" t="inlineStr">
        <is>
          <t>Northglenn</t>
        </is>
      </c>
      <c r="F45" s="699" t="inlineStr">
        <is>
          <t>CO</t>
        </is>
      </c>
      <c r="G45" s="699" t="inlineStr">
        <is>
          <t>Self-Storage</t>
        </is>
      </c>
      <c r="H45" s="1194" t="inlineStr">
        <is>
          <t>Climate-Controlled</t>
        </is>
      </c>
      <c r="I45" s="699" t="n"/>
      <c r="J45" s="699" t="n">
        <v>79950</v>
      </c>
      <c r="K45" s="699" t="n"/>
      <c r="L45" s="699" t="inlineStr">
        <is>
          <t>R0126235</t>
        </is>
      </c>
      <c r="M45" s="699" t="n"/>
      <c r="N45" s="1194" t="inlineStr">
        <is>
          <t>AXG – Carlson SS Portfolio P&amp;L</t>
        </is>
      </c>
      <c r="O45" s="699" t="inlineStr">
        <is>
          <t>2026-06-02</t>
        </is>
      </c>
      <c r="P45" s="1194" t="inlineStr">
        <is>
          <t>Actual FY2021–2023; 91.4% occ Dec 2023</t>
        </is>
      </c>
      <c r="Q45" s="1132">
        <f>IF(B45="","",IFERROR(INDEX(OCC_TABLE_DESC,MATCH(B45,OCC_TABLE_CODE,0)),"Unrecognized code"))</f>
        <v/>
      </c>
    </row>
    <row r="46">
      <c r="A46" s="1225" t="inlineStr">
        <is>
          <t>P043</t>
        </is>
      </c>
      <c r="B46" s="695" t="n">
        <v>386</v>
      </c>
      <c r="C46" s="696" t="inlineStr">
        <is>
          <t>R0126234</t>
        </is>
      </c>
      <c r="D46" s="1226" t="inlineStr">
        <is>
          <t>715 W 112th Ave</t>
        </is>
      </c>
      <c r="E46" s="1225" t="inlineStr">
        <is>
          <t>Northglenn</t>
        </is>
      </c>
      <c r="F46" s="1225" t="inlineStr">
        <is>
          <t>CO</t>
        </is>
      </c>
      <c r="G46" s="1225" t="inlineStr">
        <is>
          <t>Self-Storage</t>
        </is>
      </c>
      <c r="H46" s="1226" t="inlineStr">
        <is>
          <t>Drive-Up/Drop-Off</t>
        </is>
      </c>
      <c r="I46" s="1225" t="n"/>
      <c r="J46" s="1225" t="n">
        <v>83756</v>
      </c>
      <c r="K46" s="1225" t="n"/>
      <c r="L46" s="1225" t="inlineStr">
        <is>
          <t>R0126234</t>
        </is>
      </c>
      <c r="M46" s="1225" t="n"/>
      <c r="N46" s="1226" t="inlineStr">
        <is>
          <t>AXG – Carlson SS Portfolio P&amp;L</t>
        </is>
      </c>
      <c r="O46" s="1225" t="inlineStr">
        <is>
          <t>2026-06-02</t>
        </is>
      </c>
      <c r="P46" s="1226" t="inlineStr">
        <is>
          <t>Actual FY2021–2023</t>
        </is>
      </c>
      <c r="Q46" s="1132">
        <f>IF(B46="","",IFERROR(INDEX(OCC_TABLE_DESC,MATCH(B46,OCC_TABLE_CODE,0)),"Unrecognized code"))</f>
        <v/>
      </c>
    </row>
    <row r="47">
      <c r="A47" s="699" t="inlineStr">
        <is>
          <t>P044</t>
        </is>
      </c>
      <c r="B47" s="695" t="n">
        <v>386</v>
      </c>
      <c r="C47" s="696" t="inlineStr">
        <is>
          <t>R0027089/R0178319</t>
        </is>
      </c>
      <c r="D47" s="1194" t="inlineStr">
        <is>
          <t>2290 E 120th Ave</t>
        </is>
      </c>
      <c r="E47" s="699" t="inlineStr">
        <is>
          <t>Thornton</t>
        </is>
      </c>
      <c r="F47" s="699" t="inlineStr">
        <is>
          <t>CO</t>
        </is>
      </c>
      <c r="G47" s="699" t="inlineStr">
        <is>
          <t>Self-Storage</t>
        </is>
      </c>
      <c r="H47" s="1194" t="inlineStr">
        <is>
          <t>Drive-Up/Drop-Off</t>
        </is>
      </c>
      <c r="I47" s="699" t="n"/>
      <c r="J47" s="699" t="n">
        <v>71909</v>
      </c>
      <c r="K47" s="699" t="n"/>
      <c r="L47" s="699" t="inlineStr">
        <is>
          <t>R0027089/R0178319</t>
        </is>
      </c>
      <c r="M47" s="699" t="n"/>
      <c r="N47" s="1194" t="inlineStr">
        <is>
          <t>AXG – Carlson SS Portfolio P&amp;L</t>
        </is>
      </c>
      <c r="O47" s="699" t="inlineStr">
        <is>
          <t>2026-06-02</t>
        </is>
      </c>
      <c r="P47" s="1194" t="inlineStr">
        <is>
          <t>Combined parcel FY2021–2023; 88.2% occ Dec 2023</t>
        </is>
      </c>
      <c r="Q47" s="1132">
        <f>IF(B47="","",IFERROR(INDEX(OCC_TABLE_DESC,MATCH(B47,OCC_TABLE_CODE,0)),"Unrecognized code"))</f>
        <v/>
      </c>
    </row>
    <row r="48">
      <c r="A48" s="1225" t="inlineStr">
        <is>
          <t>P045</t>
        </is>
      </c>
      <c r="B48" s="695" t="n">
        <v>386</v>
      </c>
      <c r="C48" s="696" t="inlineStr">
        <is>
          <t>R0043569</t>
        </is>
      </c>
      <c r="D48" s="1226" t="inlineStr">
        <is>
          <t>40131 Quivas St (104th &amp; Quivas)</t>
        </is>
      </c>
      <c r="E48" s="1225" t="inlineStr">
        <is>
          <t>Thornton</t>
        </is>
      </c>
      <c r="F48" s="1225" t="inlineStr">
        <is>
          <t>CO</t>
        </is>
      </c>
      <c r="G48" s="1225" t="inlineStr">
        <is>
          <t>Self-Storage</t>
        </is>
      </c>
      <c r="H48" s="1226" t="inlineStr">
        <is>
          <t>Drive-Up/Drop-Off</t>
        </is>
      </c>
      <c r="I48" s="1225" t="n"/>
      <c r="J48" s="1225" t="n">
        <v>41900</v>
      </c>
      <c r="K48" s="1225" t="n"/>
      <c r="L48" s="1225" t="inlineStr">
        <is>
          <t>R0043569</t>
        </is>
      </c>
      <c r="M48" s="1225" t="n"/>
      <c r="N48" s="1226" t="inlineStr">
        <is>
          <t>AXG – SS Expense Matrix + FY2024 P&amp;L</t>
        </is>
      </c>
      <c r="O48" s="1225" t="inlineStr">
        <is>
          <t>2026-06-02</t>
        </is>
      </c>
      <c r="P48" s="1226" t="inlineStr">
        <is>
          <t>Actual FY2024 monthly P&amp;L + expense matrix</t>
        </is>
      </c>
      <c r="Q48" s="1132">
        <f>IF(B48="","",IFERROR(INDEX(OCC_TABLE_DESC,MATCH(B48,OCC_TABLE_CODE,0)),"Unrecognized code"))</f>
        <v/>
      </c>
    </row>
    <row r="49">
      <c r="A49" s="699" t="inlineStr">
        <is>
          <t>P046</t>
        </is>
      </c>
      <c r="B49" s="695" t="n">
        <v>386</v>
      </c>
      <c r="C49" s="696" t="inlineStr">
        <is>
          <t>R0193009</t>
        </is>
      </c>
      <c r="D49" s="1194" t="inlineStr">
        <is>
          <t>Address unknown – see R0193009</t>
        </is>
      </c>
      <c r="E49" s="699" t="inlineStr">
        <is>
          <t>Adams County</t>
        </is>
      </c>
      <c r="F49" s="699" t="inlineStr">
        <is>
          <t>CO</t>
        </is>
      </c>
      <c r="G49" s="699" t="inlineStr">
        <is>
          <t>Self-Storage</t>
        </is>
      </c>
      <c r="H49" s="1194" t="inlineStr">
        <is>
          <t>Climate-Controlled</t>
        </is>
      </c>
      <c r="I49" s="699" t="n"/>
      <c r="J49" s="699" t="n">
        <v>94736</v>
      </c>
      <c r="K49" s="699" t="n"/>
      <c r="L49" s="699" t="inlineStr">
        <is>
          <t>R0193009</t>
        </is>
      </c>
      <c r="M49" s="699" t="n"/>
      <c r="N49" s="1194" t="inlineStr">
        <is>
          <t>AXG – SS Expense Matrix</t>
        </is>
      </c>
      <c r="O49" s="699" t="inlineStr">
        <is>
          <t>2026-06-02</t>
        </is>
      </c>
      <c r="P49" s="1194" t="inlineStr">
        <is>
          <t>Expense matrix data; EGI $1,582,087</t>
        </is>
      </c>
      <c r="Q49" s="1132">
        <f>IF(B49="","",IFERROR(INDEX(OCC_TABLE_DESC,MATCH(B49,OCC_TABLE_CODE,0)),"Unrecognized code"))</f>
        <v/>
      </c>
    </row>
    <row r="50">
      <c r="A50" s="1225" t="inlineStr">
        <is>
          <t>P047</t>
        </is>
      </c>
      <c r="B50" s="695" t="n">
        <v>386</v>
      </c>
      <c r="C50" s="696" t="inlineStr">
        <is>
          <t>R0099616</t>
        </is>
      </c>
      <c r="D50" s="1226" t="inlineStr">
        <is>
          <t>Address unknown – see R0099616</t>
        </is>
      </c>
      <c r="E50" s="1225" t="inlineStr">
        <is>
          <t>Adams County</t>
        </is>
      </c>
      <c r="F50" s="1225" t="inlineStr">
        <is>
          <t>CO</t>
        </is>
      </c>
      <c r="G50" s="1225" t="inlineStr">
        <is>
          <t>Self-Storage</t>
        </is>
      </c>
      <c r="H50" s="1226" t="inlineStr">
        <is>
          <t>Drive-Up/Drop-Off</t>
        </is>
      </c>
      <c r="I50" s="1225" t="n"/>
      <c r="J50" s="1225" t="n">
        <v>73500</v>
      </c>
      <c r="K50" s="1225" t="n"/>
      <c r="L50" s="1225" t="inlineStr">
        <is>
          <t>R0099616</t>
        </is>
      </c>
      <c r="M50" s="1225" t="n"/>
      <c r="N50" s="1226" t="inlineStr">
        <is>
          <t>AXG – SS Expense Matrix</t>
        </is>
      </c>
      <c r="O50" s="1225" t="inlineStr">
        <is>
          <t>2026-06-02</t>
        </is>
      </c>
      <c r="P50" s="1226" t="inlineStr">
        <is>
          <t>Expense matrix data; EGI $834,358</t>
        </is>
      </c>
      <c r="Q50" s="1132">
        <f>IF(B50="","",IFERROR(INDEX(OCC_TABLE_DESC,MATCH(B50,OCC_TABLE_CODE,0)),"Unrecognized code"))</f>
        <v/>
      </c>
    </row>
    <row r="51">
      <c r="A51" s="699" t="inlineStr">
        <is>
          <t>P048</t>
        </is>
      </c>
      <c r="B51" s="695" t="n">
        <v>386</v>
      </c>
      <c r="C51" s="696" t="inlineStr">
        <is>
          <t>R0098019</t>
        </is>
      </c>
      <c r="D51" s="1194" t="inlineStr">
        <is>
          <t>Address unknown – see R0098019</t>
        </is>
      </c>
      <c r="E51" s="699" t="inlineStr">
        <is>
          <t>Adams County</t>
        </is>
      </c>
      <c r="F51" s="699" t="inlineStr">
        <is>
          <t>CO</t>
        </is>
      </c>
      <c r="G51" s="699" t="inlineStr">
        <is>
          <t>Self-Storage</t>
        </is>
      </c>
      <c r="H51" s="1194" t="inlineStr">
        <is>
          <t>Drive-Up/Drop-Off</t>
        </is>
      </c>
      <c r="I51" s="699" t="n"/>
      <c r="J51" s="699" t="n">
        <v>44975</v>
      </c>
      <c r="K51" s="699" t="n"/>
      <c r="L51" s="699" t="inlineStr">
        <is>
          <t>R0098019</t>
        </is>
      </c>
      <c r="M51" s="699" t="n"/>
      <c r="N51" s="1194" t="inlineStr">
        <is>
          <t>AXG – SS Expense Matrix</t>
        </is>
      </c>
      <c r="O51" s="699" t="inlineStr">
        <is>
          <t>2026-06-02</t>
        </is>
      </c>
      <c r="P51" s="1194" t="inlineStr">
        <is>
          <t>Expense matrix data; EGI $588,827</t>
        </is>
      </c>
      <c r="Q51" s="1132">
        <f>IF(B51="","",IFERROR(INDEX(OCC_TABLE_DESC,MATCH(B51,OCC_TABLE_CODE,0)),"Unrecognized code"))</f>
        <v/>
      </c>
    </row>
    <row r="52">
      <c r="A52" s="1225" t="inlineStr">
        <is>
          <t>P049</t>
        </is>
      </c>
      <c r="B52" s="695" t="n">
        <v>386</v>
      </c>
      <c r="C52" s="696" t="inlineStr">
        <is>
          <t>R0102989</t>
        </is>
      </c>
      <c r="D52" s="1226" t="inlineStr">
        <is>
          <t>Fitzsimons area – see R0102989</t>
        </is>
      </c>
      <c r="E52" s="1225" t="inlineStr">
        <is>
          <t>Aurora</t>
        </is>
      </c>
      <c r="F52" s="1225" t="inlineStr">
        <is>
          <t>CO</t>
        </is>
      </c>
      <c r="G52" s="1225" t="inlineStr">
        <is>
          <t>Self-Storage</t>
        </is>
      </c>
      <c r="H52" s="1226" t="inlineStr">
        <is>
          <t>Climate-Controlled</t>
        </is>
      </c>
      <c r="I52" s="1225" t="n"/>
      <c r="J52" s="1225" t="n">
        <v>94797</v>
      </c>
      <c r="K52" s="1225" t="n"/>
      <c r="L52" s="1225" t="inlineStr">
        <is>
          <t>R0102989</t>
        </is>
      </c>
      <c r="M52" s="1225" t="n"/>
      <c r="N52" s="1226" t="inlineStr">
        <is>
          <t>AXG – SS Expense Matrix</t>
        </is>
      </c>
      <c r="O52" s="1225" t="inlineStr">
        <is>
          <t>2026-06-02</t>
        </is>
      </c>
      <c r="P52" s="1226" t="inlineStr">
        <is>
          <t>Expense matrix data; EGI $1,184,503</t>
        </is>
      </c>
      <c r="Q52" s="1132">
        <f>IF(B52="","",IFERROR(INDEX(OCC_TABLE_DESC,MATCH(B52,OCC_TABLE_CODE,0)),"Unrecognized code"))</f>
        <v/>
      </c>
    </row>
    <row r="53">
      <c r="A53" s="699" t="inlineStr">
        <is>
          <t>P050</t>
        </is>
      </c>
      <c r="B53" s="695" t="n">
        <v>386</v>
      </c>
      <c r="C53" s="696" t="inlineStr">
        <is>
          <t>R0085523</t>
        </is>
      </c>
      <c r="D53" s="1194" t="inlineStr">
        <is>
          <t>Address unknown – see R0085523</t>
        </is>
      </c>
      <c r="E53" s="699" t="inlineStr">
        <is>
          <t>Adams County</t>
        </is>
      </c>
      <c r="F53" s="699" t="inlineStr">
        <is>
          <t>CO</t>
        </is>
      </c>
      <c r="G53" s="699" t="inlineStr">
        <is>
          <t>Self-Storage</t>
        </is>
      </c>
      <c r="H53" s="1194" t="inlineStr">
        <is>
          <t>Drive-Up/Drop-Off</t>
        </is>
      </c>
      <c r="I53" s="699" t="n"/>
      <c r="J53" s="699" t="n">
        <v>39525</v>
      </c>
      <c r="K53" s="699" t="n"/>
      <c r="L53" s="699" t="inlineStr">
        <is>
          <t>R0085523</t>
        </is>
      </c>
      <c r="M53" s="699" t="n"/>
      <c r="N53" s="1194" t="inlineStr">
        <is>
          <t>AXG – SS Expense Matrix</t>
        </is>
      </c>
      <c r="O53" s="699" t="inlineStr">
        <is>
          <t>2026-06-02</t>
        </is>
      </c>
      <c r="P53" s="1194" t="inlineStr">
        <is>
          <t>Expense matrix data; EGI $541,974</t>
        </is>
      </c>
      <c r="Q53" s="1132">
        <f>IF(B53="","",IFERROR(INDEX(OCC_TABLE_DESC,MATCH(B53,OCC_TABLE_CODE,0)),"Unrecognized code"))</f>
        <v/>
      </c>
    </row>
    <row r="54">
      <c r="A54" s="1225" t="inlineStr">
        <is>
          <t>P051</t>
        </is>
      </c>
      <c r="B54" s="695" t="n">
        <v>386</v>
      </c>
      <c r="C54" s="696" t="inlineStr">
        <is>
          <t>R0174860</t>
        </is>
      </c>
      <c r="D54" s="1226" t="inlineStr">
        <is>
          <t>Address unknown – see R0174860</t>
        </is>
      </c>
      <c r="E54" s="1225" t="inlineStr">
        <is>
          <t>Adams County</t>
        </is>
      </c>
      <c r="F54" s="1225" t="inlineStr">
        <is>
          <t>CO</t>
        </is>
      </c>
      <c r="G54" s="1225" t="inlineStr">
        <is>
          <t>Self-Storage</t>
        </is>
      </c>
      <c r="H54" s="1226" t="inlineStr">
        <is>
          <t>Drive-Up/Drop-Off (containers)</t>
        </is>
      </c>
      <c r="I54" s="1225" t="n"/>
      <c r="J54" s="1225" t="n">
        <v>45980</v>
      </c>
      <c r="K54" s="1225" t="n"/>
      <c r="L54" s="1225" t="inlineStr">
        <is>
          <t>R0174860</t>
        </is>
      </c>
      <c r="M54" s="1225" t="n"/>
      <c r="N54" s="1226" t="inlineStr">
        <is>
          <t>AXG – SS Expense Matrix</t>
        </is>
      </c>
      <c r="O54" s="1225" t="inlineStr">
        <is>
          <t>2026-06-02</t>
        </is>
      </c>
      <c r="P54" s="1226" t="inlineStr">
        <is>
          <t>Expense matrix data; EGI $646,496</t>
        </is>
      </c>
      <c r="Q54" s="1132">
        <f>IF(B54="","",IFERROR(INDEX(OCC_TABLE_DESC,MATCH(B54,OCC_TABLE_CODE,0)),"Unrecognized code"))</f>
        <v/>
      </c>
    </row>
    <row r="55">
      <c r="A55" s="699" t="inlineStr">
        <is>
          <t>P052</t>
        </is>
      </c>
      <c r="B55" s="695" t="n">
        <v>386</v>
      </c>
      <c r="C55" s="696" t="inlineStr">
        <is>
          <t>R0161412</t>
        </is>
      </c>
      <c r="D55" s="1194" t="inlineStr">
        <is>
          <t>Address unknown – see R0161412</t>
        </is>
      </c>
      <c r="E55" s="699" t="inlineStr">
        <is>
          <t>Adams County</t>
        </is>
      </c>
      <c r="F55" s="699" t="inlineStr">
        <is>
          <t>CO</t>
        </is>
      </c>
      <c r="G55" s="699" t="inlineStr">
        <is>
          <t>Self-Storage</t>
        </is>
      </c>
      <c r="H55" s="1194" t="inlineStr">
        <is>
          <t>Drive-Up/Drop-Off</t>
        </is>
      </c>
      <c r="I55" s="699" t="n"/>
      <c r="J55" s="699" t="n">
        <v>88043</v>
      </c>
      <c r="K55" s="699" t="n"/>
      <c r="L55" s="699" t="inlineStr">
        <is>
          <t>R0161412</t>
        </is>
      </c>
      <c r="M55" s="699" t="n"/>
      <c r="N55" s="1194" t="inlineStr">
        <is>
          <t>AXG – SS Expense Matrix</t>
        </is>
      </c>
      <c r="O55" s="699" t="inlineStr">
        <is>
          <t>2026-06-02</t>
        </is>
      </c>
      <c r="P55" s="1194" t="inlineStr">
        <is>
          <t>Expense matrix data; EGI $1,206,603</t>
        </is>
      </c>
      <c r="Q55" s="1132">
        <f>IF(B55="","",IFERROR(INDEX(OCC_TABLE_DESC,MATCH(B55,OCC_TABLE_CODE,0)),"Unrecognized code"))</f>
        <v/>
      </c>
    </row>
    <row r="56">
      <c r="A56" s="1225" t="inlineStr">
        <is>
          <t>P053</t>
        </is>
      </c>
      <c r="B56" s="695" t="n">
        <v>386</v>
      </c>
      <c r="C56" s="696" t="inlineStr">
        <is>
          <t>R0169115</t>
        </is>
      </c>
      <c r="D56" s="1226" t="inlineStr">
        <is>
          <t>Address unknown – see R0169115</t>
        </is>
      </c>
      <c r="E56" s="1225" t="inlineStr">
        <is>
          <t>Adams County</t>
        </is>
      </c>
      <c r="F56" s="1225" t="inlineStr">
        <is>
          <t>CO</t>
        </is>
      </c>
      <c r="G56" s="1225" t="inlineStr">
        <is>
          <t>Self-Storage</t>
        </is>
      </c>
      <c r="H56" s="1226" t="inlineStr">
        <is>
          <t>Drive-Up/Drop-Off</t>
        </is>
      </c>
      <c r="I56" s="1225" t="n"/>
      <c r="J56" s="1225" t="n">
        <v>41764</v>
      </c>
      <c r="K56" s="1225" t="n"/>
      <c r="L56" s="1225" t="inlineStr">
        <is>
          <t>R0169115</t>
        </is>
      </c>
      <c r="M56" s="1225" t="n"/>
      <c r="N56" s="1226" t="inlineStr">
        <is>
          <t>AXG – SS Expense Matrix</t>
        </is>
      </c>
      <c r="O56" s="1225" t="inlineStr">
        <is>
          <t>2026-06-02</t>
        </is>
      </c>
      <c r="P56" s="1226" t="inlineStr">
        <is>
          <t>Expense matrix data; EGI $787,364</t>
        </is>
      </c>
      <c r="Q56" s="1132">
        <f>IF(B56="","",IFERROR(INDEX(OCC_TABLE_DESC,MATCH(B56,OCC_TABLE_CODE,0)),"Unrecognized code"))</f>
        <v/>
      </c>
    </row>
    <row r="57">
      <c r="A57" s="1225" t="inlineStr">
        <is>
          <t>P054</t>
        </is>
      </c>
      <c r="B57" s="695" t="n">
        <v>210</v>
      </c>
      <c r="C57" s="696" t="inlineStr">
        <is>
          <t>R0180551</t>
        </is>
      </c>
      <c r="D57" s="1226" t="inlineStr">
        <is>
          <t>1953 N Gun Club Rd</t>
        </is>
      </c>
      <c r="E57" s="1225" t="inlineStr">
        <is>
          <t>Aurora</t>
        </is>
      </c>
      <c r="F57" s="1225" t="inlineStr">
        <is>
          <t>CO</t>
        </is>
      </c>
      <c r="G57" s="1225" t="inlineStr">
        <is>
          <t>Industrial</t>
        </is>
      </c>
      <c r="H57" s="1226" t="inlineStr">
        <is>
          <t>Multi-Tenant Industrial/Office NNN</t>
        </is>
      </c>
      <c r="I57" s="1225" t="n"/>
      <c r="J57" s="1225" t="n"/>
      <c r="K57" s="1225" t="n"/>
      <c r="L57" s="1225" t="inlineStr">
        <is>
          <t>R0180551</t>
        </is>
      </c>
      <c r="M57" s="1225" t="inlineStr">
        <is>
          <t>Cherry Owner III LLC / AIP KKR</t>
        </is>
      </c>
      <c r="N57" s="1226" t="inlineStr">
        <is>
          <t>08_2025 Review – owner actual P&amp;L</t>
        </is>
      </c>
      <c r="O57" s="1225" t="inlineStr">
        <is>
          <t>2026-06-02</t>
        </is>
      </c>
      <c r="P57" s="1226" t="inlineStr">
        <is>
          <t>Actual 2023+2024; base rent + full recovery; adj for prior-yr tax</t>
        </is>
      </c>
      <c r="Q57" s="1132">
        <f>IF(B57="","",IFERROR(INDEX(OCC_TABLE_DESC,MATCH(B57,OCC_TABLE_CODE,0)),"Unrecognized code"))</f>
        <v/>
      </c>
    </row>
    <row r="58">
      <c r="A58" s="699" t="inlineStr">
        <is>
          <t>P055</t>
        </is>
      </c>
      <c r="B58" s="695" t="n">
        <v>407</v>
      </c>
      <c r="C58" s="696" t="inlineStr">
        <is>
          <t>R0211072/R0211073/R0211074</t>
        </is>
      </c>
      <c r="D58" s="1194" t="inlineStr">
        <is>
          <t>Park 76 Distribution Center</t>
        </is>
      </c>
      <c r="E58" s="699" t="inlineStr">
        <is>
          <t>Aurora</t>
        </is>
      </c>
      <c r="F58" s="699" t="inlineStr">
        <is>
          <t>CO</t>
        </is>
      </c>
      <c r="G58" s="699" t="inlineStr">
        <is>
          <t>Industrial</t>
        </is>
      </c>
      <c r="H58" s="1194" t="inlineStr">
        <is>
          <t>Industrial Warehouse (3-bldg campus) NNN</t>
        </is>
      </c>
      <c r="I58" s="699" t="n"/>
      <c r="J58" s="699" t="n"/>
      <c r="K58" s="699" t="n"/>
      <c r="L58" s="699" t="inlineStr">
        <is>
          <t>R0211072/R0211073/R0211074</t>
        </is>
      </c>
      <c r="M58" s="699" t="inlineStr">
        <is>
          <t>Park 76 Owner LLC / Alpha Industrial</t>
        </is>
      </c>
      <c r="N58" s="1194" t="inlineStr">
        <is>
          <t>08_2025 Review – owner actual P&amp;L</t>
        </is>
      </c>
      <c r="O58" s="699" t="inlineStr">
        <is>
          <t>2026-06-02</t>
        </is>
      </c>
      <c r="P58" s="1194" t="inlineStr">
        <is>
          <t>3-building campus; actual 2023+2024; lease-up completed ~2023</t>
        </is>
      </c>
      <c r="Q58" s="1132">
        <f>IF(B58="","",IFERROR(INDEX(OCC_TABLE_DESC,MATCH(B58,OCC_TABLE_CODE,0)),"Unrecognized code"))</f>
        <v/>
      </c>
    </row>
    <row r="59">
      <c r="A59" s="1225" t="inlineStr">
        <is>
          <t>P056</t>
        </is>
      </c>
      <c r="B59" s="695" t="n">
        <v>407</v>
      </c>
      <c r="C59" s="696" t="inlineStr">
        <is>
          <t>R0210485</t>
        </is>
      </c>
      <c r="D59" s="1226" t="inlineStr">
        <is>
          <t>1101 E 126th Ave (Bldg A)</t>
        </is>
      </c>
      <c r="E59" s="1225" t="inlineStr">
        <is>
          <t>Thornton</t>
        </is>
      </c>
      <c r="F59" s="1225" t="inlineStr">
        <is>
          <t>CO</t>
        </is>
      </c>
      <c r="G59" s="1225" t="inlineStr">
        <is>
          <t>Industrial</t>
        </is>
      </c>
      <c r="H59" s="1226" t="inlineStr">
        <is>
          <t>Industrial Warehouse NNN</t>
        </is>
      </c>
      <c r="I59" s="1225" t="n">
        <v>2022</v>
      </c>
      <c r="J59" s="1225" t="n"/>
      <c r="K59" s="1225" t="n"/>
      <c r="L59" s="1225" t="inlineStr">
        <is>
          <t>R0210485</t>
        </is>
      </c>
      <c r="M59" s="1225" t="inlineStr">
        <is>
          <t>Thornton Owner LLC / Alpha Industrial</t>
        </is>
      </c>
      <c r="N59" s="1226" t="inlineStr">
        <is>
          <t>08_2025 Review – owner actual P&amp;L</t>
        </is>
      </c>
      <c r="O59" s="1225" t="inlineStr">
        <is>
          <t>2026-06-02</t>
        </is>
      </c>
      <c r="P59" s="1226" t="inlineStr">
        <is>
          <t>New (YOC ~2022); 2023 lease-up; 2024 near-stabilized; 2024 only added</t>
        </is>
      </c>
      <c r="Q59" s="1132">
        <f>IF(B59="","",IFERROR(INDEX(OCC_TABLE_DESC,MATCH(B59,OCC_TABLE_CODE,0)),"Unrecognized code"))</f>
        <v/>
      </c>
    </row>
    <row r="60">
      <c r="A60" s="699" t="inlineStr">
        <is>
          <t>P057</t>
        </is>
      </c>
      <c r="B60" s="695" t="n">
        <v>407</v>
      </c>
      <c r="C60" s="696" t="inlineStr">
        <is>
          <t>R0210486</t>
        </is>
      </c>
      <c r="D60" s="1194" t="inlineStr">
        <is>
          <t>12625 Lafayette St (Bldg B)</t>
        </is>
      </c>
      <c r="E60" s="699" t="inlineStr">
        <is>
          <t>Thornton</t>
        </is>
      </c>
      <c r="F60" s="699" t="inlineStr">
        <is>
          <t>CO</t>
        </is>
      </c>
      <c r="G60" s="699" t="inlineStr">
        <is>
          <t>Industrial</t>
        </is>
      </c>
      <c r="H60" s="1194" t="inlineStr">
        <is>
          <t>Industrial Warehouse NNN</t>
        </is>
      </c>
      <c r="I60" s="699" t="n">
        <v>2022</v>
      </c>
      <c r="J60" s="699" t="n"/>
      <c r="K60" s="699" t="n"/>
      <c r="L60" s="699" t="inlineStr">
        <is>
          <t>R0210486</t>
        </is>
      </c>
      <c r="M60" s="699" t="inlineStr">
        <is>
          <t>Thornton Owner LLC / Alpha Industrial</t>
        </is>
      </c>
      <c r="N60" s="1194" t="inlineStr">
        <is>
          <t>08_2025 Review – owner actual P&amp;L</t>
        </is>
      </c>
      <c r="O60" s="699" t="inlineStr">
        <is>
          <t>2026-06-02</t>
        </is>
      </c>
      <c r="P60" s="1194" t="inlineStr">
        <is>
          <t>New (YOC ~2022); 2023 lease-up; 2024 near-stabilized; 2024 only added</t>
        </is>
      </c>
      <c r="Q60" s="1132">
        <f>IF(B60="","",IFERROR(INDEX(OCC_TABLE_DESC,MATCH(B60,OCC_TABLE_CODE,0)),"Unrecognized code"))</f>
        <v/>
      </c>
    </row>
    <row r="61">
      <c r="A61" s="1225" t="inlineStr">
        <is>
          <t>P058</t>
        </is>
      </c>
      <c r="B61" s="695" t="n">
        <v>407</v>
      </c>
      <c r="C61" s="696" t="inlineStr">
        <is>
          <t>R0091934</t>
        </is>
      </c>
      <c r="D61" s="1226" t="inlineStr">
        <is>
          <t>350 Park Industrial (5759)</t>
        </is>
      </c>
      <c r="E61" s="1225" t="inlineStr">
        <is>
          <t>Aurora</t>
        </is>
      </c>
      <c r="F61" s="1225" t="inlineStr">
        <is>
          <t>CO</t>
        </is>
      </c>
      <c r="G61" s="1225" t="inlineStr">
        <is>
          <t>Industrial</t>
        </is>
      </c>
      <c r="H61" s="1226" t="inlineStr">
        <is>
          <t>Multi-Tenant Industrial 407</t>
        </is>
      </c>
      <c r="I61" s="1225" t="n">
        <v>1995</v>
      </c>
      <c r="J61" s="1225" t="n">
        <v>32600</v>
      </c>
      <c r="K61" s="1225" t="n"/>
      <c r="L61" s="1225" t="inlineStr">
        <is>
          <t>R0091934</t>
        </is>
      </c>
      <c r="M61" s="1225" t="n"/>
      <c r="N61" s="1226" t="inlineStr">
        <is>
          <t>08_2025 Review – owner actual P&amp;L</t>
        </is>
      </c>
      <c r="O61" s="1225" t="inlineStr">
        <is>
          <t>2026-06-02</t>
        </is>
      </c>
      <c r="P61" s="1226" t="inlineStr">
        <is>
          <t>Actual accrual 2023+2024; multi-tenant; 3 tenants</t>
        </is>
      </c>
      <c r="Q61" s="1132">
        <f>IF(B61="","",IFERROR(INDEX(OCC_TABLE_DESC,MATCH(B61,OCC_TABLE_CODE,0)),"Unrecognized code"))</f>
        <v/>
      </c>
    </row>
    <row r="62">
      <c r="A62" s="699" t="inlineStr">
        <is>
          <t>P059</t>
        </is>
      </c>
      <c r="B62" s="695" t="n">
        <v>407</v>
      </c>
      <c r="C62" s="696" t="inlineStr">
        <is>
          <t>R0093111</t>
        </is>
      </c>
      <c r="D62" s="1194" t="inlineStr">
        <is>
          <t>Industrial Property (yden0702)</t>
        </is>
      </c>
      <c r="E62" s="699" t="inlineStr">
        <is>
          <t>Aurora</t>
        </is>
      </c>
      <c r="F62" s="699" t="inlineStr">
        <is>
          <t>CO</t>
        </is>
      </c>
      <c r="G62" s="699" t="inlineStr">
        <is>
          <t>Industrial</t>
        </is>
      </c>
      <c r="H62" s="1194" t="inlineStr">
        <is>
          <t>Multi-Tenant Industrial 407</t>
        </is>
      </c>
      <c r="I62" s="699" t="n"/>
      <c r="J62" s="699" t="n"/>
      <c r="K62" s="699" t="n"/>
      <c r="L62" s="699" t="inlineStr">
        <is>
          <t>R0093111</t>
        </is>
      </c>
      <c r="M62" s="699" t="n"/>
      <c r="N62" s="1194" t="inlineStr">
        <is>
          <t>08_2025 Review – owner actual P&amp;L</t>
        </is>
      </c>
      <c r="O62" s="699" t="inlineStr">
        <is>
          <t>2026-06-02</t>
        </is>
      </c>
      <c r="P62" s="1194" t="inlineStr">
        <is>
          <t>Actual 2023+2024; SF not confirmed; multi-tenant 3 tenants</t>
        </is>
      </c>
      <c r="Q62" s="1132">
        <f>IF(B62="","",IFERROR(INDEX(OCC_TABLE_DESC,MATCH(B62,OCC_TABLE_CODE,0)),"Unrecognized code"))</f>
        <v/>
      </c>
    </row>
    <row r="63">
      <c r="A63" s="1225" t="inlineStr">
        <is>
          <t>P060</t>
        </is>
      </c>
      <c r="B63" s="695" t="n">
        <v>407</v>
      </c>
      <c r="C63" s="696" t="inlineStr">
        <is>
          <t>R0100104</t>
        </is>
      </c>
      <c r="D63" s="1226" t="inlineStr">
        <is>
          <t>312 Kew West</t>
        </is>
      </c>
      <c r="E63" s="1225" t="inlineStr">
        <is>
          <t>Aurora</t>
        </is>
      </c>
      <c r="F63" s="1225" t="inlineStr">
        <is>
          <t>CO</t>
        </is>
      </c>
      <c r="G63" s="1225" t="inlineStr">
        <is>
          <t>Industrial</t>
        </is>
      </c>
      <c r="H63" s="1226" t="inlineStr">
        <is>
          <t>Multi-Tenant Industrial 407</t>
        </is>
      </c>
      <c r="I63" s="1225" t="n"/>
      <c r="J63" s="1225" t="n"/>
      <c r="K63" s="1225" t="n"/>
      <c r="L63" s="1225" t="inlineStr">
        <is>
          <t>R0100104</t>
        </is>
      </c>
      <c r="M63" s="1225" t="n"/>
      <c r="N63" s="1226" t="inlineStr">
        <is>
          <t>08_2025 Review – owner actual P&amp;L</t>
        </is>
      </c>
      <c r="O63" s="1225" t="inlineStr">
        <is>
          <t>2026-06-02</t>
        </is>
      </c>
      <c r="P63" s="1226" t="inlineStr">
        <is>
          <t>Actual 2023+2024; SF not confirmed</t>
        </is>
      </c>
      <c r="Q63" s="1132">
        <f>IF(B63="","",IFERROR(INDEX(OCC_TABLE_DESC,MATCH(B63,OCC_TABLE_CODE,0)),"Unrecognized code"))</f>
        <v/>
      </c>
    </row>
    <row r="64">
      <c r="A64" s="699" t="inlineStr">
        <is>
          <t>P061</t>
        </is>
      </c>
      <c r="B64" s="695" t="n">
        <v>584</v>
      </c>
      <c r="C64" s="696" t="inlineStr">
        <is>
          <t>R0083935</t>
        </is>
      </c>
      <c r="D64" s="1194" t="inlineStr">
        <is>
          <t>20101 E 36th Ave (RK Industries)</t>
        </is>
      </c>
      <c r="E64" s="699" t="inlineStr">
        <is>
          <t>Aurora</t>
        </is>
      </c>
      <c r="F64" s="699" t="inlineStr">
        <is>
          <t>CO</t>
        </is>
      </c>
      <c r="G64" s="699" t="inlineStr">
        <is>
          <t>Industrial</t>
        </is>
      </c>
      <c r="H64" s="1194" t="inlineStr">
        <is>
          <t>Mega Warehouse NNN</t>
        </is>
      </c>
      <c r="I64" s="699" t="n"/>
      <c r="J64" s="699" t="n">
        <v>278538</v>
      </c>
      <c r="K64" s="699" t="n"/>
      <c r="L64" s="699" t="inlineStr">
        <is>
          <t>R0083935</t>
        </is>
      </c>
      <c r="M64" s="699" t="inlineStr">
        <is>
          <t>RK Industries</t>
        </is>
      </c>
      <c r="N64" s="1194" t="inlineStr">
        <is>
          <t>08_2025 Review – CBRE income statement</t>
        </is>
      </c>
      <c r="O64" s="699" t="inlineStr">
        <is>
          <t>2026-06-02</t>
        </is>
      </c>
      <c r="P64" s="1194" t="inlineStr">
        <is>
          <t>Single-tenant NNN; 2024 partial data; rent $4.47/SF NNN</t>
        </is>
      </c>
      <c r="Q64" s="1132">
        <f>IF(B64="","",IFERROR(INDEX(OCC_TABLE_DESC,MATCH(B64,OCC_TABLE_CODE,0)),"Unrecognized code"))</f>
        <v/>
      </c>
    </row>
    <row r="65">
      <c r="A65" s="1225" t="inlineStr">
        <is>
          <t>P062</t>
        </is>
      </c>
      <c r="B65" s="695" t="n">
        <v>407</v>
      </c>
      <c r="C65" s="696" t="inlineStr">
        <is>
          <t>R0200721</t>
        </is>
      </c>
      <c r="D65" s="1226" t="inlineStr">
        <is>
          <t>3420 N Lisbon St</t>
        </is>
      </c>
      <c r="E65" s="1225" t="inlineStr">
        <is>
          <t>Aurora</t>
        </is>
      </c>
      <c r="F65" s="1225" t="inlineStr">
        <is>
          <t>CO</t>
        </is>
      </c>
      <c r="G65" s="1225" t="inlineStr">
        <is>
          <t>Industrial</t>
        </is>
      </c>
      <c r="H65" s="1226" t="inlineStr">
        <is>
          <t>Single-Tenant Industrial NNN</t>
        </is>
      </c>
      <c r="I65" s="1225" t="n">
        <v>2019</v>
      </c>
      <c r="J65" s="1225" t="n">
        <v>36212</v>
      </c>
      <c r="K65" s="1225" t="n"/>
      <c r="L65" s="1225" t="inlineStr">
        <is>
          <t>R0200721</t>
        </is>
      </c>
      <c r="M65" s="1225" t="inlineStr">
        <is>
          <t>Cameron Ashley Bldg Products</t>
        </is>
      </c>
      <c r="N65" s="1226" t="inlineStr">
        <is>
          <t>08_2025 Review – rent roll</t>
        </is>
      </c>
      <c r="O65" s="1225" t="inlineStr">
        <is>
          <t>2026-06-02</t>
        </is>
      </c>
      <c r="P65" s="1226" t="inlineStr">
        <is>
          <t>NNN lease thru 12/31/2028; rent only; tenant pays all opex</t>
        </is>
      </c>
      <c r="Q65" s="1132">
        <f>IF(B65="","",IFERROR(INDEX(OCC_TABLE_DESC,MATCH(B65,OCC_TABLE_CODE,0)),"Unrecognized code"))</f>
        <v/>
      </c>
    </row>
    <row r="66">
      <c r="A66" s="699" t="inlineStr">
        <is>
          <t>P063</t>
        </is>
      </c>
      <c r="B66" s="695" t="n">
        <v>344</v>
      </c>
      <c r="C66" s="696" t="inlineStr">
        <is>
          <t>R0040581</t>
        </is>
      </c>
      <c r="D66" s="1194" t="inlineStr">
        <is>
          <t>2090 E 104th Ave</t>
        </is>
      </c>
      <c r="E66" s="699" t="inlineStr">
        <is>
          <t>Thornton</t>
        </is>
      </c>
      <c r="F66" s="699" t="inlineStr">
        <is>
          <t>CO</t>
        </is>
      </c>
      <c r="G66" s="699" t="inlineStr">
        <is>
          <t>Office</t>
        </is>
      </c>
      <c r="H66" s="1194" t="inlineStr">
        <is>
          <t>Multi-Tenant Office</t>
        </is>
      </c>
      <c r="I66" s="699" t="n"/>
      <c r="J66" s="699" t="n">
        <v>19764</v>
      </c>
      <c r="K66" s="699" t="n"/>
      <c r="L66" s="699" t="inlineStr">
        <is>
          <t>R0040581</t>
        </is>
      </c>
      <c r="M66" s="699" t="n"/>
      <c r="N66" s="1194" t="inlineStr">
        <is>
          <t>08_2025 Review – owner P&amp;L</t>
        </is>
      </c>
      <c r="O66" s="699" t="inlineStr">
        <is>
          <t>2026-06-02</t>
        </is>
      </c>
      <c r="P66" s="1194" t="inlineStr">
        <is>
          <t>Actual 2023+2024; 11 suites</t>
        </is>
      </c>
      <c r="Q66" s="1132">
        <f>IF(B66="","",IFERROR(INDEX(OCC_TABLE_DESC,MATCH(B66,OCC_TABLE_CODE,0)),"Unrecognized code"))</f>
        <v/>
      </c>
    </row>
    <row r="67">
      <c r="A67" s="1225" t="inlineStr">
        <is>
          <t>P064</t>
        </is>
      </c>
      <c r="B67" s="695" t="n">
        <v>344</v>
      </c>
      <c r="C67" s="696" t="inlineStr">
        <is>
          <t>R0050977</t>
        </is>
      </c>
      <c r="D67" s="1226" t="inlineStr">
        <is>
          <t>9351 Grant St</t>
        </is>
      </c>
      <c r="E67" s="1225" t="inlineStr">
        <is>
          <t>Thornton</t>
        </is>
      </c>
      <c r="F67" s="1225" t="inlineStr">
        <is>
          <t>CO</t>
        </is>
      </c>
      <c r="G67" s="1225" t="inlineStr">
        <is>
          <t>Office</t>
        </is>
      </c>
      <c r="H67" s="1226" t="inlineStr">
        <is>
          <t>Multi-Tenant Office</t>
        </is>
      </c>
      <c r="I67" s="1225" t="n"/>
      <c r="J67" s="1225" t="n"/>
      <c r="K67" s="1225" t="n"/>
      <c r="L67" s="1225" t="inlineStr">
        <is>
          <t>R0050977</t>
        </is>
      </c>
      <c r="M67" s="1225" t="inlineStr">
        <is>
          <t>Crown Real Estate Group</t>
        </is>
      </c>
      <c r="N67" s="1226" t="inlineStr">
        <is>
          <t>08_2025 Review – owner P&amp;L</t>
        </is>
      </c>
      <c r="O67" s="1225" t="inlineStr">
        <is>
          <t>2026-06-02</t>
        </is>
      </c>
      <c r="P67" s="1226" t="inlineStr">
        <is>
          <t>Actual 2023; SF not stated; large property</t>
        </is>
      </c>
      <c r="Q67" s="1132">
        <f>IF(B67="","",IFERROR(INDEX(OCC_TABLE_DESC,MATCH(B67,OCC_TABLE_CODE,0)),"Unrecognized code"))</f>
        <v/>
      </c>
    </row>
    <row r="68">
      <c r="A68" s="699" t="inlineStr">
        <is>
          <t>P065</t>
        </is>
      </c>
      <c r="B68" s="695" t="n">
        <v>344</v>
      </c>
      <c r="C68" s="696" t="inlineStr">
        <is>
          <t>R0069041</t>
        </is>
      </c>
      <c r="D68" s="1194" t="inlineStr">
        <is>
          <t>7475 Dakin St (Turnpike Tower)</t>
        </is>
      </c>
      <c r="E68" s="699" t="inlineStr">
        <is>
          <t>Denver</t>
        </is>
      </c>
      <c r="F68" s="699" t="inlineStr">
        <is>
          <t>CO</t>
        </is>
      </c>
      <c r="G68" s="699" t="inlineStr">
        <is>
          <t>Office</t>
        </is>
      </c>
      <c r="H68" s="1194" t="inlineStr">
        <is>
          <t>Multi-Tenant Office</t>
        </is>
      </c>
      <c r="I68" s="699" t="n"/>
      <c r="J68" s="699" t="n">
        <v>114843</v>
      </c>
      <c r="K68" s="699" t="n"/>
      <c r="L68" s="699" t="inlineStr">
        <is>
          <t>R0069041</t>
        </is>
      </c>
      <c r="M68" s="699" t="n"/>
      <c r="N68" s="1194" t="inlineStr">
        <is>
          <t>08_2025 Review – owner P&amp;L</t>
        </is>
      </c>
      <c r="O68" s="699" t="inlineStr">
        <is>
          <t>2026-06-02</t>
        </is>
      </c>
      <c r="P68" s="1194" t="inlineStr">
        <is>
          <t>Actual 2023+2024; 87.7% occ; NNN/Modified leases</t>
        </is>
      </c>
      <c r="Q68" s="1132">
        <f>IF(B68="","",IFERROR(INDEX(OCC_TABLE_DESC,MATCH(B68,OCC_TABLE_CODE,0)),"Unrecognized code"))</f>
        <v/>
      </c>
    </row>
    <row r="69">
      <c r="A69" s="1225" t="inlineStr">
        <is>
          <t>P066</t>
        </is>
      </c>
      <c r="B69" s="695" t="n">
        <v>344</v>
      </c>
      <c r="C69" s="696" t="inlineStr">
        <is>
          <t>R0079409</t>
        </is>
      </c>
      <c r="D69" s="1226" t="inlineStr">
        <is>
          <t>6401 E 72nd Ave</t>
        </is>
      </c>
      <c r="E69" s="1225" t="inlineStr">
        <is>
          <t>Commerce City</t>
        </is>
      </c>
      <c r="F69" s="1225" t="inlineStr">
        <is>
          <t>CO</t>
        </is>
      </c>
      <c r="G69" s="1225" t="inlineStr">
        <is>
          <t>Office</t>
        </is>
      </c>
      <c r="H69" s="1226" t="inlineStr">
        <is>
          <t>Multi-Tenant Office</t>
        </is>
      </c>
      <c r="I69" s="1225" t="n"/>
      <c r="J69" s="1225" t="n">
        <v>8218</v>
      </c>
      <c r="K69" s="1225" t="n"/>
      <c r="L69" s="1225" t="inlineStr">
        <is>
          <t>R0079409</t>
        </is>
      </c>
      <c r="M69" s="1225" t="n"/>
      <c r="N69" s="1226" t="inlineStr">
        <is>
          <t>08_2025 Review – owner P&amp;L</t>
        </is>
      </c>
      <c r="O69" s="1225" t="inlineStr">
        <is>
          <t>2026-06-02</t>
        </is>
      </c>
      <c r="P69" s="1226" t="inlineStr">
        <is>
          <t>Actual 2023; 9 tenants; small multi-tenant office</t>
        </is>
      </c>
      <c r="Q69" s="1132">
        <f>IF(B69="","",IFERROR(INDEX(OCC_TABLE_DESC,MATCH(B69,OCC_TABLE_CODE,0)),"Unrecognized code"))</f>
        <v/>
      </c>
    </row>
    <row r="70">
      <c r="A70" s="699" t="inlineStr">
        <is>
          <t>P067</t>
        </is>
      </c>
      <c r="B70" s="695" t="n">
        <v>344</v>
      </c>
      <c r="C70" s="696" t="inlineStr">
        <is>
          <t>R0189338</t>
        </is>
      </c>
      <c r="D70" s="1194" t="inlineStr">
        <is>
          <t>203 Telluride St</t>
        </is>
      </c>
      <c r="E70" s="699" t="inlineStr">
        <is>
          <t>Aurora</t>
        </is>
      </c>
      <c r="F70" s="699" t="inlineStr">
        <is>
          <t>CO</t>
        </is>
      </c>
      <c r="G70" s="699" t="inlineStr">
        <is>
          <t>Office</t>
        </is>
      </c>
      <c r="H70" s="1194" t="inlineStr">
        <is>
          <t>Multi-Tenant Office</t>
        </is>
      </c>
      <c r="I70" s="699" t="n"/>
      <c r="J70" s="699" t="n"/>
      <c r="K70" s="699" t="n"/>
      <c r="L70" s="699" t="inlineStr">
        <is>
          <t>R0189338</t>
        </is>
      </c>
      <c r="M70" s="699" t="n"/>
      <c r="N70" s="1194" t="inlineStr">
        <is>
          <t>08_2025 Review – owner P&amp;L</t>
        </is>
      </c>
      <c r="O70" s="699" t="inlineStr">
        <is>
          <t>2026-06-02</t>
        </is>
      </c>
      <c r="P70" s="1194" t="inlineStr">
        <is>
          <t>Actual 2023+2024; SF not stated</t>
        </is>
      </c>
      <c r="Q70" s="1132">
        <f>IF(B70="","",IFERROR(INDEX(OCC_TABLE_DESC,MATCH(B70,OCC_TABLE_CODE,0)),"Unrecognized code"))</f>
        <v/>
      </c>
    </row>
    <row r="71">
      <c r="A71" s="1225" t="inlineStr">
        <is>
          <t>P068</t>
        </is>
      </c>
      <c r="B71" s="695" t="n">
        <v>344</v>
      </c>
      <c r="C71" s="696" t="inlineStr">
        <is>
          <t>R0193830</t>
        </is>
      </c>
      <c r="D71" s="1226" t="inlineStr">
        <is>
          <t>Justice Center Office Plaza</t>
        </is>
      </c>
      <c r="E71" s="1225" t="inlineStr">
        <is>
          <t>Denver</t>
        </is>
      </c>
      <c r="F71" s="1225" t="inlineStr">
        <is>
          <t>CO</t>
        </is>
      </c>
      <c r="G71" s="1225" t="inlineStr">
        <is>
          <t>Office</t>
        </is>
      </c>
      <c r="H71" s="1226" t="inlineStr">
        <is>
          <t>Multi-Tenant Office NNN</t>
        </is>
      </c>
      <c r="I71" s="1225" t="n"/>
      <c r="J71" s="1225" t="n">
        <v>41979</v>
      </c>
      <c r="K71" s="1225" t="n"/>
      <c r="L71" s="1225" t="inlineStr">
        <is>
          <t>R0193830</t>
        </is>
      </c>
      <c r="M71" s="1225" t="n"/>
      <c r="N71" s="1226" t="inlineStr">
        <is>
          <t>08_2025 Review – owner P&amp;L</t>
        </is>
      </c>
      <c r="O71" s="1225" t="inlineStr">
        <is>
          <t>2026-06-02</t>
        </is>
      </c>
      <c r="P71" s="1226" t="inlineStr">
        <is>
          <t>Actual 2023+2024; govt tenants; 100% occ; NNN leases</t>
        </is>
      </c>
      <c r="Q71" s="1132">
        <f>IF(B71="","",IFERROR(INDEX(OCC_TABLE_DESC,MATCH(B71,OCC_TABLE_CODE,0)),"Unrecognized code"))</f>
        <v/>
      </c>
    </row>
    <row r="72">
      <c r="A72" s="699" t="inlineStr">
        <is>
          <t>P069</t>
        </is>
      </c>
      <c r="B72" s="695" t="n">
        <v>210</v>
      </c>
      <c r="C72" s="696" t="inlineStr">
        <is>
          <t>R0098223</t>
        </is>
      </c>
      <c r="D72" s="1194" t="inlineStr">
        <is>
          <t>Washington Commerce Center</t>
        </is>
      </c>
      <c r="E72" s="699" t="inlineStr">
        <is>
          <t>Commerce City</t>
        </is>
      </c>
      <c r="F72" s="699" t="inlineStr">
        <is>
          <t>CO</t>
        </is>
      </c>
      <c r="G72" s="699" t="inlineStr">
        <is>
          <t>Office/Industrial</t>
        </is>
      </c>
      <c r="H72" s="1194" t="inlineStr">
        <is>
          <t>Multi-Tenant Office/Industrial</t>
        </is>
      </c>
      <c r="I72" s="699" t="n"/>
      <c r="J72" s="699" t="n">
        <v>278538</v>
      </c>
      <c r="K72" s="699" t="n"/>
      <c r="L72" s="699" t="inlineStr">
        <is>
          <t>R0098223</t>
        </is>
      </c>
      <c r="M72" s="699" t="n"/>
      <c r="N72" s="1194" t="inlineStr">
        <is>
          <t>08_2025 Review – owner P&amp;L</t>
        </is>
      </c>
      <c r="O72" s="699" t="inlineStr">
        <is>
          <t>2026-06-02</t>
        </is>
      </c>
      <c r="P72" s="1194" t="inlineStr">
        <is>
          <t>Actual 2023+2024; SF est; opex very low – likely tenant-pay NNN</t>
        </is>
      </c>
      <c r="Q72" s="1132">
        <f>IF(B72="","",IFERROR(INDEX(OCC_TABLE_DESC,MATCH(B72,OCC_TABLE_CODE,0)),"Unrecognized code"))</f>
        <v/>
      </c>
    </row>
    <row r="73">
      <c r="A73" s="1225" t="inlineStr">
        <is>
          <t>P070</t>
        </is>
      </c>
      <c r="B73" s="695" t="n">
        <v>210</v>
      </c>
      <c r="C73" s="696" t="inlineStr">
        <is>
          <t>R0084242</t>
        </is>
      </c>
      <c r="D73" s="1226" t="inlineStr">
        <is>
          <t>Upland Dist Ctr I (Bldg 1 bt46274)</t>
        </is>
      </c>
      <c r="E73" s="1225" t="inlineStr">
        <is>
          <t>Aurora</t>
        </is>
      </c>
      <c r="F73" s="1225" t="inlineStr">
        <is>
          <t>CO</t>
        </is>
      </c>
      <c r="G73" s="1225" t="inlineStr">
        <is>
          <t>Industrial</t>
        </is>
      </c>
      <c r="H73" s="1226" t="inlineStr">
        <is>
          <t>Multi-Tenant Industrial NNN</t>
        </is>
      </c>
      <c r="I73" s="1225" t="n"/>
      <c r="J73" s="1225" t="n"/>
      <c r="K73" s="1225" t="n"/>
      <c r="L73" s="1225" t="inlineStr">
        <is>
          <t>R0084242</t>
        </is>
      </c>
      <c r="M73" s="1225" t="inlineStr">
        <is>
          <t>Link Logistics</t>
        </is>
      </c>
      <c r="N73" s="1226" t="inlineStr">
        <is>
          <t>08_2025 Review – Link Logistics actual P&amp;L</t>
        </is>
      </c>
      <c r="O73" s="1225" t="inlineStr">
        <is>
          <t>2026-06-02</t>
        </is>
      </c>
      <c r="P73" s="1226" t="inlineStr">
        <is>
          <t>Actual accrual 2023+2024; NNN reimbursable structure</t>
        </is>
      </c>
      <c r="Q73" s="1132">
        <f>IF(B73="","",IFERROR(INDEX(OCC_TABLE_DESC,MATCH(B73,OCC_TABLE_CODE,0)),"Unrecognized code"))</f>
        <v/>
      </c>
    </row>
    <row r="74">
      <c r="A74" s="699" t="inlineStr">
        <is>
          <t>P071</t>
        </is>
      </c>
      <c r="B74" s="695" t="n">
        <v>210</v>
      </c>
      <c r="C74" s="696" t="inlineStr">
        <is>
          <t>R0084243</t>
        </is>
      </c>
      <c r="D74" s="1194" t="inlineStr">
        <is>
          <t>Upland Dist Ctr I (Bldg 2 bt46275)</t>
        </is>
      </c>
      <c r="E74" s="699" t="inlineStr">
        <is>
          <t>Aurora</t>
        </is>
      </c>
      <c r="F74" s="699" t="inlineStr">
        <is>
          <t>CO</t>
        </is>
      </c>
      <c r="G74" s="699" t="inlineStr">
        <is>
          <t>Industrial</t>
        </is>
      </c>
      <c r="H74" s="1194" t="inlineStr">
        <is>
          <t>Multi-Tenant Industrial NNN</t>
        </is>
      </c>
      <c r="I74" s="699" t="n"/>
      <c r="J74" s="699" t="n"/>
      <c r="K74" s="699" t="n"/>
      <c r="L74" s="699" t="inlineStr">
        <is>
          <t>R0084243</t>
        </is>
      </c>
      <c r="M74" s="699" t="inlineStr">
        <is>
          <t>Link Logistics</t>
        </is>
      </c>
      <c r="N74" s="1194" t="inlineStr">
        <is>
          <t>08_2025 Review – Link Logistics actual P&amp;L</t>
        </is>
      </c>
      <c r="O74" s="699" t="inlineStr">
        <is>
          <t>2026-06-02</t>
        </is>
      </c>
      <c r="P74" s="1194" t="inlineStr">
        <is>
          <t>Actual accrual 2023+2024</t>
        </is>
      </c>
      <c r="Q74" s="1132">
        <f>IF(B74="","",IFERROR(INDEX(OCC_TABLE_DESC,MATCH(B74,OCC_TABLE_CODE,0)),"Unrecognized code"))</f>
        <v/>
      </c>
    </row>
    <row r="75">
      <c r="A75" s="1225" t="inlineStr">
        <is>
          <t>P072</t>
        </is>
      </c>
      <c r="B75" s="695" t="n">
        <v>210</v>
      </c>
      <c r="C75" s="696" t="inlineStr">
        <is>
          <t>R0084244</t>
        </is>
      </c>
      <c r="D75" s="1226" t="inlineStr">
        <is>
          <t>Upland Dist Ctr I (Bldg 3 bt46276)</t>
        </is>
      </c>
      <c r="E75" s="1225" t="inlineStr">
        <is>
          <t>Aurora</t>
        </is>
      </c>
      <c r="F75" s="1225" t="inlineStr">
        <is>
          <t>CO</t>
        </is>
      </c>
      <c r="G75" s="1225" t="inlineStr">
        <is>
          <t>Industrial</t>
        </is>
      </c>
      <c r="H75" s="1226" t="inlineStr">
        <is>
          <t>Multi-Tenant Industrial NNN</t>
        </is>
      </c>
      <c r="I75" s="1225" t="n"/>
      <c r="J75" s="1225" t="n"/>
      <c r="K75" s="1225" t="n"/>
      <c r="L75" s="1225" t="inlineStr">
        <is>
          <t>R0084244</t>
        </is>
      </c>
      <c r="M75" s="1225" t="inlineStr">
        <is>
          <t>Link Logistics</t>
        </is>
      </c>
      <c r="N75" s="1226" t="inlineStr">
        <is>
          <t>08_2025 Review – Link Logistics actual P&amp;L</t>
        </is>
      </c>
      <c r="O75" s="1225" t="inlineStr">
        <is>
          <t>2026-06-02</t>
        </is>
      </c>
      <c r="P75" s="1226" t="inlineStr">
        <is>
          <t>2023 only; large warehouse; notable vacancy/free rent period</t>
        </is>
      </c>
      <c r="Q75" s="1132">
        <f>IF(B75="","",IFERROR(INDEX(OCC_TABLE_DESC,MATCH(B75,OCC_TABLE_CODE,0)),"Unrecognized code"))</f>
        <v/>
      </c>
    </row>
    <row r="76">
      <c r="A76" s="699" t="inlineStr">
        <is>
          <t>P073</t>
        </is>
      </c>
      <c r="B76" s="695" t="n">
        <v>210</v>
      </c>
      <c r="C76" s="696" t="inlineStr">
        <is>
          <t>R0084247</t>
        </is>
      </c>
      <c r="D76" s="1194" t="inlineStr">
        <is>
          <t>13802 E 33rd Place</t>
        </is>
      </c>
      <c r="E76" s="699" t="inlineStr">
        <is>
          <t>Aurora</t>
        </is>
      </c>
      <c r="F76" s="699" t="inlineStr">
        <is>
          <t>CO</t>
        </is>
      </c>
      <c r="G76" s="699" t="inlineStr">
        <is>
          <t>Industrial</t>
        </is>
      </c>
      <c r="H76" s="1194" t="inlineStr">
        <is>
          <t>Multi-Tenant Industrial NNN</t>
        </is>
      </c>
      <c r="I76" s="699" t="n"/>
      <c r="J76" s="699" t="n"/>
      <c r="K76" s="699" t="n"/>
      <c r="L76" s="699" t="inlineStr">
        <is>
          <t>R0084247</t>
        </is>
      </c>
      <c r="M76" s="699" t="inlineStr">
        <is>
          <t>Link Logistics</t>
        </is>
      </c>
      <c r="N76" s="1194" t="inlineStr">
        <is>
          <t>08_2025 Review – Link Logistics actual P&amp;L</t>
        </is>
      </c>
      <c r="O76" s="699" t="inlineStr">
        <is>
          <t>2026-06-02</t>
        </is>
      </c>
      <c r="P76" s="1194" t="inlineStr">
        <is>
          <t>Actual accrual 2023+2024</t>
        </is>
      </c>
      <c r="Q76" s="1132">
        <f>IF(B76="","",IFERROR(INDEX(OCC_TABLE_DESC,MATCH(B76,OCC_TABLE_CODE,0)),"Unrecognized code"))</f>
        <v/>
      </c>
    </row>
    <row r="77">
      <c r="A77" s="1225" t="inlineStr">
        <is>
          <t>P074</t>
        </is>
      </c>
      <c r="B77" s="695" t="n">
        <v>210</v>
      </c>
      <c r="C77" s="696" t="inlineStr">
        <is>
          <t>R0084248</t>
        </is>
      </c>
      <c r="D77" s="1226" t="inlineStr">
        <is>
          <t>14002 E 33rd Place</t>
        </is>
      </c>
      <c r="E77" s="1225" t="inlineStr">
        <is>
          <t>Aurora</t>
        </is>
      </c>
      <c r="F77" s="1225" t="inlineStr">
        <is>
          <t>CO</t>
        </is>
      </c>
      <c r="G77" s="1225" t="inlineStr">
        <is>
          <t>Industrial</t>
        </is>
      </c>
      <c r="H77" s="1226" t="inlineStr">
        <is>
          <t>Multi-Tenant Industrial NNN</t>
        </is>
      </c>
      <c r="I77" s="1225" t="n"/>
      <c r="J77" s="1225" t="n"/>
      <c r="K77" s="1225" t="n"/>
      <c r="L77" s="1225" t="inlineStr">
        <is>
          <t>R0084248</t>
        </is>
      </c>
      <c r="M77" s="1225" t="inlineStr">
        <is>
          <t>Link Logistics</t>
        </is>
      </c>
      <c r="N77" s="1226" t="inlineStr">
        <is>
          <t>08_2025 Review – Link Logistics actual P&amp;L</t>
        </is>
      </c>
      <c r="O77" s="1225" t="inlineStr">
        <is>
          <t>2026-06-02</t>
        </is>
      </c>
      <c r="P77" s="1226" t="inlineStr">
        <is>
          <t>Actual accrual 2023+2024; 2023 RE tax net of $53k refund</t>
        </is>
      </c>
      <c r="Q77" s="1132">
        <f>IF(B77="","",IFERROR(INDEX(OCC_TABLE_DESC,MATCH(B77,OCC_TABLE_CODE,0)),"Unrecognized code"))</f>
        <v/>
      </c>
    </row>
    <row r="78">
      <c r="A78" s="699" t="inlineStr">
        <is>
          <t>P075</t>
        </is>
      </c>
      <c r="B78" s="695" t="n">
        <v>210</v>
      </c>
      <c r="C78" s="696" t="inlineStr">
        <is>
          <t>R0084250</t>
        </is>
      </c>
      <c r="D78" s="1194" t="inlineStr">
        <is>
          <t>3250 Abilene Street</t>
        </is>
      </c>
      <c r="E78" s="699" t="inlineStr">
        <is>
          <t>Aurora</t>
        </is>
      </c>
      <c r="F78" s="699" t="inlineStr">
        <is>
          <t>CO</t>
        </is>
      </c>
      <c r="G78" s="699" t="inlineStr">
        <is>
          <t>Industrial</t>
        </is>
      </c>
      <c r="H78" s="1194" t="inlineStr">
        <is>
          <t>Multi-Tenant Industrial NNN</t>
        </is>
      </c>
      <c r="I78" s="699" t="n"/>
      <c r="J78" s="699" t="n"/>
      <c r="K78" s="699" t="n"/>
      <c r="L78" s="699" t="inlineStr">
        <is>
          <t>R0084250</t>
        </is>
      </c>
      <c r="M78" s="699" t="inlineStr">
        <is>
          <t>Link Logistics</t>
        </is>
      </c>
      <c r="N78" s="1194" t="inlineStr">
        <is>
          <t>08_2025 Review – Link Logistics actual P&amp;L</t>
        </is>
      </c>
      <c r="O78" s="699" t="inlineStr">
        <is>
          <t>2026-06-02</t>
        </is>
      </c>
      <c r="P78" s="1194" t="inlineStr">
        <is>
          <t>2024 tenant turnover; base rent dropped $787k→$407k; 2023 more stable</t>
        </is>
      </c>
      <c r="Q78" s="1132">
        <f>IF(B78="","",IFERROR(INDEX(OCC_TABLE_DESC,MATCH(B78,OCC_TABLE_CODE,0)),"Unrecognized code"))</f>
        <v/>
      </c>
    </row>
    <row r="79">
      <c r="A79" s="1225" t="inlineStr">
        <is>
          <t>P076</t>
        </is>
      </c>
      <c r="B79" s="695" t="n">
        <v>210</v>
      </c>
      <c r="C79" s="696" t="inlineStr">
        <is>
          <t>R0084253</t>
        </is>
      </c>
      <c r="D79" s="1226" t="inlineStr">
        <is>
          <t>14509 E 33rd Place (bt46265)</t>
        </is>
      </c>
      <c r="E79" s="1225" t="inlineStr">
        <is>
          <t>Aurora</t>
        </is>
      </c>
      <c r="F79" s="1225" t="inlineStr">
        <is>
          <t>CO</t>
        </is>
      </c>
      <c r="G79" s="1225" t="inlineStr">
        <is>
          <t>Industrial</t>
        </is>
      </c>
      <c r="H79" s="1226" t="inlineStr">
        <is>
          <t>Multi-Tenant Industrial NNN</t>
        </is>
      </c>
      <c r="I79" s="1225" t="n"/>
      <c r="J79" s="1225" t="n"/>
      <c r="K79" s="1225" t="n"/>
      <c r="L79" s="1225" t="inlineStr">
        <is>
          <t>R0084253</t>
        </is>
      </c>
      <c r="M79" s="1225" t="inlineStr">
        <is>
          <t>Link Logistics</t>
        </is>
      </c>
      <c r="N79" s="1226" t="inlineStr">
        <is>
          <t>08_2025 Review – Link Logistics actual P&amp;L</t>
        </is>
      </c>
      <c r="O79" s="1225" t="inlineStr">
        <is>
          <t>2026-06-02</t>
        </is>
      </c>
      <c r="P79" s="1226" t="inlineStr">
        <is>
          <t>Actual 2023+2024; 3-bldg campus R0084253</t>
        </is>
      </c>
      <c r="Q79" s="1132">
        <f>IF(B79="","",IFERROR(INDEX(OCC_TABLE_DESC,MATCH(B79,OCC_TABLE_CODE,0)),"Unrecognized code"))</f>
        <v/>
      </c>
    </row>
    <row r="80">
      <c r="A80" s="699" t="inlineStr">
        <is>
          <t>P077</t>
        </is>
      </c>
      <c r="B80" s="695" t="n">
        <v>210</v>
      </c>
      <c r="C80" s="696" t="inlineStr">
        <is>
          <t>R0084253</t>
        </is>
      </c>
      <c r="D80" s="1194" t="inlineStr">
        <is>
          <t>14704 E 33rd Place (bt46266)</t>
        </is>
      </c>
      <c r="E80" s="699" t="inlineStr">
        <is>
          <t>Aurora</t>
        </is>
      </c>
      <c r="F80" s="699" t="inlineStr">
        <is>
          <t>CO</t>
        </is>
      </c>
      <c r="G80" s="699" t="inlineStr">
        <is>
          <t>Industrial</t>
        </is>
      </c>
      <c r="H80" s="1194" t="inlineStr">
        <is>
          <t>Multi-Tenant Industrial NNN</t>
        </is>
      </c>
      <c r="I80" s="699" t="n"/>
      <c r="J80" s="699" t="n"/>
      <c r="K80" s="699" t="n"/>
      <c r="L80" s="699" t="inlineStr">
        <is>
          <t>R0084253</t>
        </is>
      </c>
      <c r="M80" s="699" t="inlineStr">
        <is>
          <t>Link Logistics</t>
        </is>
      </c>
      <c r="N80" s="1194" t="inlineStr">
        <is>
          <t>08_2025 Review – Link Logistics actual P&amp;L</t>
        </is>
      </c>
      <c r="O80" s="699" t="inlineStr">
        <is>
          <t>2026-06-02</t>
        </is>
      </c>
      <c r="P80" s="1194" t="inlineStr">
        <is>
          <t>Actual 2024; partial vacancy (electric/gas vacancy costs); same parcel R0084253</t>
        </is>
      </c>
      <c r="Q80" s="1132">
        <f>IF(B80="","",IFERROR(INDEX(OCC_TABLE_DESC,MATCH(B80,OCC_TABLE_CODE,0)),"Unrecognized code"))</f>
        <v/>
      </c>
    </row>
    <row r="81">
      <c r="A81" s="1225" t="inlineStr">
        <is>
          <t>P078</t>
        </is>
      </c>
      <c r="B81" s="695" t="n">
        <v>210</v>
      </c>
      <c r="C81" s="696" t="inlineStr">
        <is>
          <t>R0084253</t>
        </is>
      </c>
      <c r="D81" s="1226" t="inlineStr">
        <is>
          <t>14705 E 33rd Place (bt46267)</t>
        </is>
      </c>
      <c r="E81" s="1225" t="inlineStr">
        <is>
          <t>Aurora</t>
        </is>
      </c>
      <c r="F81" s="1225" t="inlineStr">
        <is>
          <t>CO</t>
        </is>
      </c>
      <c r="G81" s="1225" t="inlineStr">
        <is>
          <t>Industrial</t>
        </is>
      </c>
      <c r="H81" s="1226" t="inlineStr">
        <is>
          <t>Multi-Tenant Industrial NNN</t>
        </is>
      </c>
      <c r="I81" s="1225" t="n"/>
      <c r="J81" s="1225" t="n"/>
      <c r="K81" s="1225" t="n"/>
      <c r="L81" s="1225" t="inlineStr">
        <is>
          <t>R0084253</t>
        </is>
      </c>
      <c r="M81" s="1225" t="inlineStr">
        <is>
          <t>Link Logistics</t>
        </is>
      </c>
      <c r="N81" s="1226" t="inlineStr">
        <is>
          <t>08_2025 Review – Link Logistics actual P&amp;L</t>
        </is>
      </c>
      <c r="O81" s="1225" t="inlineStr">
        <is>
          <t>2026-06-02</t>
        </is>
      </c>
      <c r="P81" s="1226" t="inlineStr">
        <is>
          <t>Actual 2024; partial lease-up/free rent; same parcel R0084253</t>
        </is>
      </c>
      <c r="Q81" s="1132">
        <f>IF(B81="","",IFERROR(INDEX(OCC_TABLE_DESC,MATCH(B81,OCC_TABLE_CODE,0)),"Unrecognized code"))</f>
        <v/>
      </c>
    </row>
    <row r="82">
      <c r="A82" s="699" t="inlineStr">
        <is>
          <t>P079</t>
        </is>
      </c>
      <c r="B82" s="695" t="n">
        <v>584</v>
      </c>
      <c r="C82" s="696" t="inlineStr">
        <is>
          <t>R0086214</t>
        </is>
      </c>
      <c r="D82" s="1194" t="inlineStr">
        <is>
          <t>Aurora Warehouse (Polar br40666)</t>
        </is>
      </c>
      <c r="E82" s="699" t="inlineStr">
        <is>
          <t>Aurora</t>
        </is>
      </c>
      <c r="F82" s="699" t="inlineStr">
        <is>
          <t>CO</t>
        </is>
      </c>
      <c r="G82" s="699" t="inlineStr">
        <is>
          <t>Industrial</t>
        </is>
      </c>
      <c r="H82" s="1194" t="inlineStr">
        <is>
          <t>Mega Warehouse NNN</t>
        </is>
      </c>
      <c r="I82" s="699" t="n"/>
      <c r="J82" s="699" t="n"/>
      <c r="K82" s="699" t="n"/>
      <c r="L82" s="699" t="inlineStr">
        <is>
          <t>R0086214</t>
        </is>
      </c>
      <c r="M82" s="699" t="inlineStr">
        <is>
          <t>Link Logistics</t>
        </is>
      </c>
      <c r="N82" s="1194" t="inlineStr">
        <is>
          <t>08_2025 Review – Link Logistics actual P&amp;L</t>
        </is>
      </c>
      <c r="O82" s="699" t="inlineStr">
        <is>
          <t>2026-06-02</t>
        </is>
      </c>
      <c r="P82" s="1194" t="inlineStr">
        <is>
          <t>Actual 2023+2024; very large — RE tax $2.2-2.4M; revenue $6.5-7M</t>
        </is>
      </c>
      <c r="Q82" s="1132">
        <f>IF(B82="","",IFERROR(INDEX(OCC_TABLE_DESC,MATCH(B82,OCC_TABLE_CODE,0)),"Unrecognized code"))</f>
        <v/>
      </c>
    </row>
    <row r="83">
      <c r="A83" s="1225" t="inlineStr">
        <is>
          <t>P080</t>
        </is>
      </c>
      <c r="B83" s="695" t="n">
        <v>407</v>
      </c>
      <c r="C83" s="696" t="inlineStr">
        <is>
          <t>R0194277</t>
        </is>
      </c>
      <c r="D83" s="1226" t="inlineStr">
        <is>
          <t>8251 Quintero St</t>
        </is>
      </c>
      <c r="E83" s="1225" t="inlineStr">
        <is>
          <t>Commerce City</t>
        </is>
      </c>
      <c r="F83" s="1225" t="inlineStr">
        <is>
          <t>CO</t>
        </is>
      </c>
      <c r="G83" s="1225" t="inlineStr">
        <is>
          <t>Industrial</t>
        </is>
      </c>
      <c r="H83" s="1226" t="inlineStr">
        <is>
          <t>Industrial Warehouse NNN</t>
        </is>
      </c>
      <c r="I83" s="1225" t="n"/>
      <c r="J83" s="1225" t="n"/>
      <c r="K83" s="1225" t="n"/>
      <c r="L83" s="1225" t="inlineStr">
        <is>
          <t>R0194277</t>
        </is>
      </c>
      <c r="M83" s="1225" t="inlineStr">
        <is>
          <t>Becknell Industrial</t>
        </is>
      </c>
      <c r="N83" s="1226" t="inlineStr">
        <is>
          <t>08_2025 Review – Becknell Industrial actual P&amp;L</t>
        </is>
      </c>
      <c r="O83" s="1225" t="inlineStr">
        <is>
          <t>2026-06-02</t>
        </is>
      </c>
      <c r="P83" s="1226" t="inlineStr">
        <is>
          <t>Actual accrual 2023+2024; large RE taxes ~$2M; snow $151-188k</t>
        </is>
      </c>
      <c r="Q83" s="1132">
        <f>IF(B83="","",IFERROR(INDEX(OCC_TABLE_DESC,MATCH(B83,OCC_TABLE_CODE,0)),"Unrecognized code"))</f>
        <v/>
      </c>
    </row>
    <row r="84">
      <c r="A84" s="699" t="inlineStr">
        <is>
          <t>P081</t>
        </is>
      </c>
      <c r="B84" s="695" t="n">
        <v>407</v>
      </c>
      <c r="C84" s="696" t="inlineStr">
        <is>
          <t>R0198176</t>
        </is>
      </c>
      <c r="D84" s="1194" t="inlineStr">
        <is>
          <t>21800 E 19th Ave</t>
        </is>
      </c>
      <c r="E84" s="699" t="inlineStr">
        <is>
          <t>Aurora</t>
        </is>
      </c>
      <c r="F84" s="699" t="inlineStr">
        <is>
          <t>CO</t>
        </is>
      </c>
      <c r="G84" s="699" t="inlineStr">
        <is>
          <t>Industrial</t>
        </is>
      </c>
      <c r="H84" s="1194" t="inlineStr">
        <is>
          <t>Industrial Warehouse NNN</t>
        </is>
      </c>
      <c r="I84" s="699" t="n"/>
      <c r="J84" s="699" t="n"/>
      <c r="K84" s="699" t="n"/>
      <c r="L84" s="699" t="inlineStr">
        <is>
          <t>R0198176</t>
        </is>
      </c>
      <c r="M84" s="699" t="inlineStr">
        <is>
          <t>Becknell Industrial</t>
        </is>
      </c>
      <c r="N84" s="1194" t="inlineStr">
        <is>
          <t>08_2025 Review – Becknell Industrial actual P&amp;L</t>
        </is>
      </c>
      <c r="O84" s="699" t="inlineStr">
        <is>
          <t>2026-06-02</t>
        </is>
      </c>
      <c r="P84" s="1194" t="inlineStr">
        <is>
          <t>Actual accrual 2023+2024; absolute NNN – tenant pays RE taxes directly</t>
        </is>
      </c>
      <c r="Q84" s="1132">
        <f>IF(B84="","",IFERROR(INDEX(OCC_TABLE_DESC,MATCH(B84,OCC_TABLE_CODE,0)),"Unrecognized code"))</f>
        <v/>
      </c>
    </row>
    <row r="85">
      <c r="A85" s="1225" t="inlineStr">
        <is>
          <t>P082</t>
        </is>
      </c>
      <c r="B85" s="695" t="n">
        <v>407</v>
      </c>
      <c r="C85" s="696" t="inlineStr">
        <is>
          <t>R0201311</t>
        </is>
      </c>
      <c r="D85" s="1226" t="inlineStr">
        <is>
          <t>Ascent Commerce Center Bldg I</t>
        </is>
      </c>
      <c r="E85" s="1225" t="inlineStr">
        <is>
          <t>Aurora</t>
        </is>
      </c>
      <c r="F85" s="1225" t="inlineStr">
        <is>
          <t>CO</t>
        </is>
      </c>
      <c r="G85" s="1225" t="inlineStr">
        <is>
          <t>Industrial</t>
        </is>
      </c>
      <c r="H85" s="1226" t="inlineStr">
        <is>
          <t>Industrial Warehouse NNN</t>
        </is>
      </c>
      <c r="I85" s="1225" t="n"/>
      <c r="J85" s="1225" t="n"/>
      <c r="K85" s="1225" t="n"/>
      <c r="L85" s="1225" t="inlineStr">
        <is>
          <t>R0201311</t>
        </is>
      </c>
      <c r="M85" s="1225" t="inlineStr">
        <is>
          <t>Ambrose Property Group</t>
        </is>
      </c>
      <c r="N85" s="1226" t="inlineStr">
        <is>
          <t>08_2025 Review – Ambrose Property Group actual P&amp;L</t>
        </is>
      </c>
      <c r="O85" s="1225" t="inlineStr">
        <is>
          <t>2026-06-02</t>
        </is>
      </c>
      <c r="P85" s="1226" t="inlineStr">
        <is>
          <t>Q4 2024 only (Oct–Dec); partial-year/lease-up; 3-bldg campus</t>
        </is>
      </c>
      <c r="Q85" s="1132">
        <f>IF(B85="","",IFERROR(INDEX(OCC_TABLE_DESC,MATCH(B85,OCC_TABLE_CODE,0)),"Unrecognized code"))</f>
        <v/>
      </c>
    </row>
    <row r="86">
      <c r="A86" s="699" t="inlineStr">
        <is>
          <t>P083</t>
        </is>
      </c>
      <c r="B86" s="695" t="n">
        <v>407</v>
      </c>
      <c r="C86" s="696" t="inlineStr">
        <is>
          <t>R0201311</t>
        </is>
      </c>
      <c r="D86" s="1194" t="inlineStr">
        <is>
          <t>Ascent Commerce Center Bldg II</t>
        </is>
      </c>
      <c r="E86" s="699" t="inlineStr">
        <is>
          <t>Aurora</t>
        </is>
      </c>
      <c r="F86" s="699" t="inlineStr">
        <is>
          <t>CO</t>
        </is>
      </c>
      <c r="G86" s="699" t="inlineStr">
        <is>
          <t>Industrial</t>
        </is>
      </c>
      <c r="H86" s="1194" t="inlineStr">
        <is>
          <t>Industrial Warehouse NNN</t>
        </is>
      </c>
      <c r="I86" s="699" t="n"/>
      <c r="J86" s="699" t="n"/>
      <c r="K86" s="699" t="n"/>
      <c r="L86" s="699" t="inlineStr">
        <is>
          <t>R0201311</t>
        </is>
      </c>
      <c r="M86" s="699" t="inlineStr">
        <is>
          <t>Ambrose Property Group</t>
        </is>
      </c>
      <c r="N86" s="1194" t="inlineStr">
        <is>
          <t>08_2025 Review – Ambrose Property Group actual P&amp;L</t>
        </is>
      </c>
      <c r="O86" s="699" t="inlineStr">
        <is>
          <t>2026-06-02</t>
        </is>
      </c>
      <c r="P86" s="1194" t="inlineStr">
        <is>
          <t>Q4 2024 only (Oct–Dec); partial-year/lease-up; same campus R0201311</t>
        </is>
      </c>
      <c r="Q86" s="1132">
        <f>IF(B86="","",IFERROR(INDEX(OCC_TABLE_DESC,MATCH(B86,OCC_TABLE_CODE,0)),"Unrecognized code"))</f>
        <v/>
      </c>
    </row>
    <row r="87">
      <c r="A87" s="1225" t="inlineStr">
        <is>
          <t>P084</t>
        </is>
      </c>
      <c r="B87" s="695" t="n">
        <v>407</v>
      </c>
      <c r="C87" s="696" t="inlineStr">
        <is>
          <t>R0201311</t>
        </is>
      </c>
      <c r="D87" s="1226" t="inlineStr">
        <is>
          <t>Ascent Commerce Center Bldg III</t>
        </is>
      </c>
      <c r="E87" s="1225" t="inlineStr">
        <is>
          <t>Aurora</t>
        </is>
      </c>
      <c r="F87" s="1225" t="inlineStr">
        <is>
          <t>CO</t>
        </is>
      </c>
      <c r="G87" s="1225" t="inlineStr">
        <is>
          <t>Industrial</t>
        </is>
      </c>
      <c r="H87" s="1226" t="inlineStr">
        <is>
          <t>Industrial Warehouse NNN</t>
        </is>
      </c>
      <c r="I87" s="1225" t="n"/>
      <c r="J87" s="1225" t="n"/>
      <c r="K87" s="1225" t="n"/>
      <c r="L87" s="1225" t="inlineStr">
        <is>
          <t>R0201311</t>
        </is>
      </c>
      <c r="M87" s="1225" t="inlineStr">
        <is>
          <t>Ambrose Property Group</t>
        </is>
      </c>
      <c r="N87" s="1226" t="inlineStr">
        <is>
          <t>08_2025 Review – Ambrose Property Group actual P&amp;L</t>
        </is>
      </c>
      <c r="O87" s="1225" t="inlineStr">
        <is>
          <t>2026-06-02</t>
        </is>
      </c>
      <c r="P87" s="1226" t="inlineStr">
        <is>
          <t>Q4 2024 only (Oct–Dec); lease-up/negative NOI; same campus R0201311</t>
        </is>
      </c>
      <c r="Q87" s="1132">
        <f>IF(B87="","",IFERROR(INDEX(OCC_TABLE_DESC,MATCH(B87,OCC_TABLE_CODE,0)),"Unrecognized code"))</f>
        <v/>
      </c>
    </row>
    <row r="88">
      <c r="A88" s="1225" t="inlineStr">
        <is>
          <t>P085</t>
        </is>
      </c>
      <c r="B88" s="695" t="n">
        <v>210</v>
      </c>
      <c r="C88" s="696" t="inlineStr">
        <is>
          <t>R0093018</t>
        </is>
      </c>
      <c r="D88" s="1226" t="inlineStr">
        <is>
          <t>3350 Peoria St</t>
        </is>
      </c>
      <c r="E88" s="1225" t="inlineStr">
        <is>
          <t>Denver</t>
        </is>
      </c>
      <c r="F88" s="1225" t="inlineStr">
        <is>
          <t>CO</t>
        </is>
      </c>
      <c r="G88" s="1225" t="inlineStr">
        <is>
          <t>Industrial</t>
        </is>
      </c>
      <c r="H88" s="1226" t="inlineStr">
        <is>
          <t>Office/Industrial Flex</t>
        </is>
      </c>
      <c r="I88" s="1225" t="n"/>
      <c r="J88" s="1225" t="n">
        <v>33057</v>
      </c>
      <c r="K88" s="1225" t="n"/>
      <c r="L88" s="1225" t="inlineStr">
        <is>
          <t>R0093018</t>
        </is>
      </c>
      <c r="M88" s="1225" t="n"/>
      <c r="N88" s="1226" t="inlineStr">
        <is>
          <t>Lease, Rent or Op Income info – owner P&amp;L 2024</t>
        </is>
      </c>
      <c r="O88" s="1225" t="inlineStr">
        <is>
          <t>2026-06-03</t>
        </is>
      </c>
      <c r="P88" s="1226" t="inlineStr">
        <is>
          <t>Office/Industrial flex; owner-submitted 2024 P&amp;L</t>
        </is>
      </c>
      <c r="Q88" s="1132">
        <f>IF(B88="","",IFERROR(INDEX(OCC_TABLE_DESC,MATCH(B88,OCC_TABLE_CODE,0)),"Unrecognized code"))</f>
        <v/>
      </c>
    </row>
    <row r="89">
      <c r="A89" s="699" t="inlineStr">
        <is>
          <t>P086</t>
        </is>
      </c>
      <c r="B89" s="695" t="n">
        <v>406</v>
      </c>
      <c r="C89" s="696" t="inlineStr">
        <is>
          <t>R0210684</t>
        </is>
      </c>
      <c r="D89" s="1194" t="inlineStr">
        <is>
          <t>14200 E Moncrieff Place</t>
        </is>
      </c>
      <c r="E89" s="699" t="inlineStr">
        <is>
          <t>Aurora</t>
        </is>
      </c>
      <c r="F89" s="699" t="inlineStr">
        <is>
          <t>CO</t>
        </is>
      </c>
      <c r="G89" s="699" t="inlineStr">
        <is>
          <t>Industrial</t>
        </is>
      </c>
      <c r="H89" s="1194" t="inlineStr">
        <is>
          <t>Industrial Warehouse</t>
        </is>
      </c>
      <c r="I89" s="699" t="n">
        <v>1980</v>
      </c>
      <c r="J89" s="699" t="n">
        <v>233808</v>
      </c>
      <c r="K89" s="699" t="n"/>
      <c r="L89" s="699" t="inlineStr">
        <is>
          <t>R0210684</t>
        </is>
      </c>
      <c r="M89" s="699" t="n"/>
      <c r="N89" s="1194" t="inlineStr">
        <is>
          <t>Lease, Rent or Op Income info – owner P&amp;L 2023+2024</t>
        </is>
      </c>
      <c r="O89" s="699" t="inlineStr">
        <is>
          <t>2026-06-03</t>
        </is>
      </c>
      <c r="P89" s="1194" t="inlineStr">
        <is>
          <t>Large industrial; 1980 YOC; 233,808 SF</t>
        </is>
      </c>
      <c r="Q89" s="1132">
        <f>IF(B89="","",IFERROR(INDEX(OCC_TABLE_DESC,MATCH(B89,OCC_TABLE_CODE,0)),"Unrecognized code"))</f>
        <v/>
      </c>
    </row>
    <row r="90">
      <c r="A90" s="1225" t="inlineStr">
        <is>
          <t>P087</t>
        </is>
      </c>
      <c r="B90" s="695" t="n">
        <v>407</v>
      </c>
      <c r="C90" s="696" t="inlineStr">
        <is>
          <t>R0102985</t>
        </is>
      </c>
      <c r="D90" s="1226" t="inlineStr">
        <is>
          <t>5861 Tennyson St</t>
        </is>
      </c>
      <c r="E90" s="1225" t="inlineStr">
        <is>
          <t>Arvada</t>
        </is>
      </c>
      <c r="F90" s="1225" t="inlineStr">
        <is>
          <t>CO</t>
        </is>
      </c>
      <c r="G90" s="1225" t="inlineStr">
        <is>
          <t>Industrial</t>
        </is>
      </c>
      <c r="H90" s="1226" t="inlineStr">
        <is>
          <t>Industrial NNN</t>
        </is>
      </c>
      <c r="I90" s="1225" t="n">
        <v>2000</v>
      </c>
      <c r="J90" s="1225" t="n">
        <v>80640</v>
      </c>
      <c r="K90" s="1225" t="n"/>
      <c r="L90" s="1225" t="inlineStr">
        <is>
          <t>R0102985</t>
        </is>
      </c>
      <c r="M90" s="1225" t="n"/>
      <c r="N90" s="1226" t="inlineStr">
        <is>
          <t>Lease, Rent or Op Income info – owner P&amp;L 2023+2024</t>
        </is>
      </c>
      <c r="O90" s="1225" t="inlineStr">
        <is>
          <t>2026-06-03</t>
        </is>
      </c>
      <c r="P90" s="1226" t="inlineStr">
        <is>
          <t>NNN; landlord expenses only (tenant pays RE tax); 2000 YOC</t>
        </is>
      </c>
      <c r="Q90" s="1132">
        <f>IF(B90="","",IFERROR(INDEX(OCC_TABLE_DESC,MATCH(B90,OCC_TABLE_CODE,0)),"Unrecognized code"))</f>
        <v/>
      </c>
    </row>
    <row r="91">
      <c r="A91" s="699" t="inlineStr">
        <is>
          <t>P088</t>
        </is>
      </c>
      <c r="B91" s="695" t="n">
        <v>210</v>
      </c>
      <c r="C91" s="696" t="inlineStr">
        <is>
          <t>R0090973</t>
        </is>
      </c>
      <c r="D91" s="1194" t="inlineStr">
        <is>
          <t>3975 E 56th Ave</t>
        </is>
      </c>
      <c r="E91" s="699" t="inlineStr">
        <is>
          <t>Commerce City</t>
        </is>
      </c>
      <c r="F91" s="699" t="inlineStr">
        <is>
          <t>CO</t>
        </is>
      </c>
      <c r="G91" s="699" t="inlineStr">
        <is>
          <t>Industrial</t>
        </is>
      </c>
      <c r="H91" s="1194" t="inlineStr">
        <is>
          <t>Multi-Tenant Industrial</t>
        </is>
      </c>
      <c r="I91" s="699" t="n"/>
      <c r="J91" s="699" t="n">
        <v>42299</v>
      </c>
      <c r="K91" s="699" t="n"/>
      <c r="L91" s="699" t="inlineStr">
        <is>
          <t>R0090973</t>
        </is>
      </c>
      <c r="M91" s="699" t="n"/>
      <c r="N91" s="1194" t="inlineStr">
        <is>
          <t>Lease, Rent or Op Income info – owner P&amp;L 2024</t>
        </is>
      </c>
      <c r="O91" s="699" t="inlineStr">
        <is>
          <t>2026-06-03</t>
        </is>
      </c>
      <c r="P91" s="1194" t="inlineStr">
        <is>
          <t>Sand Creek Business Park; 2024 only</t>
        </is>
      </c>
      <c r="Q91" s="1132">
        <f>IF(B91="","",IFERROR(INDEX(OCC_TABLE_DESC,MATCH(B91,OCC_TABLE_CODE,0)),"Unrecognized code"))</f>
        <v/>
      </c>
    </row>
    <row r="92">
      <c r="A92" s="1225" t="inlineStr">
        <is>
          <t>P089</t>
        </is>
      </c>
      <c r="B92" s="695" t="n">
        <v>407</v>
      </c>
      <c r="C92" s="696" t="inlineStr">
        <is>
          <t>R0180951</t>
        </is>
      </c>
      <c r="D92" s="1226" t="inlineStr">
        <is>
          <t>(Address TBD – R0180951)</t>
        </is>
      </c>
      <c r="E92" s="1225" t="inlineStr">
        <is>
          <t>Adams County</t>
        </is>
      </c>
      <c r="F92" s="1225" t="inlineStr">
        <is>
          <t>CO</t>
        </is>
      </c>
      <c r="G92" s="1225" t="inlineStr">
        <is>
          <t>Industrial</t>
        </is>
      </c>
      <c r="H92" s="1226" t="inlineStr">
        <is>
          <t>Industrial NNN</t>
        </is>
      </c>
      <c r="I92" s="1225" t="n">
        <v>2016</v>
      </c>
      <c r="J92" s="1225" t="n">
        <v>122106</v>
      </c>
      <c r="K92" s="1225" t="n"/>
      <c r="L92" s="1225" t="inlineStr">
        <is>
          <t>R0180951</t>
        </is>
      </c>
      <c r="M92" s="1225" t="n"/>
      <c r="N92" s="1226" t="inlineStr">
        <is>
          <t>WH Expenses 2026-Working File – NNN landlord expenses 2023+2024</t>
        </is>
      </c>
      <c r="O92" s="1225" t="inlineStr">
        <is>
          <t>2026-06-03</t>
        </is>
      </c>
      <c r="P92" s="1226" t="inlineStr">
        <is>
          <t>NNN; landlord RE Tax, Ins, Utils, CAM only; 2023+2024</t>
        </is>
      </c>
      <c r="Q92" s="1132">
        <f>IF(B92="","",IFERROR(INDEX(OCC_TABLE_DESC,MATCH(B92,OCC_TABLE_CODE,0)),"Unrecognized code"))</f>
        <v/>
      </c>
    </row>
    <row r="93">
      <c r="A93" s="699" t="inlineStr">
        <is>
          <t>P090</t>
        </is>
      </c>
      <c r="B93" s="695" t="n">
        <v>407</v>
      </c>
      <c r="C93" s="696" t="inlineStr">
        <is>
          <t>R0110351</t>
        </is>
      </c>
      <c r="D93" s="1194" t="inlineStr">
        <is>
          <t>(Address TBD – R0110351)</t>
        </is>
      </c>
      <c r="E93" s="699" t="inlineStr">
        <is>
          <t>Adams County</t>
        </is>
      </c>
      <c r="F93" s="699" t="inlineStr">
        <is>
          <t>CO</t>
        </is>
      </c>
      <c r="G93" s="699" t="inlineStr">
        <is>
          <t>Industrial</t>
        </is>
      </c>
      <c r="H93" s="1194" t="inlineStr">
        <is>
          <t>Industrial NNN</t>
        </is>
      </c>
      <c r="I93" s="699" t="n">
        <v>2000</v>
      </c>
      <c r="J93" s="699" t="n">
        <v>85200</v>
      </c>
      <c r="K93" s="699" t="n"/>
      <c r="L93" s="699" t="inlineStr">
        <is>
          <t>R0110351</t>
        </is>
      </c>
      <c r="M93" s="699" t="n"/>
      <c r="N93" s="1194" t="inlineStr">
        <is>
          <t>WH Expenses 2026-Working File – NNN landlord expenses 2023+2024</t>
        </is>
      </c>
      <c r="O93" s="699" t="inlineStr">
        <is>
          <t>2026-06-03</t>
        </is>
      </c>
      <c r="P93" s="1194" t="inlineStr">
        <is>
          <t>NNN; landlord RE Tax, Ins, CAM only; 2023+2024</t>
        </is>
      </c>
      <c r="Q93" s="1132">
        <f>IF(B93="","",IFERROR(INDEX(OCC_TABLE_DESC,MATCH(B93,OCC_TABLE_CODE,0)),"Unrecognized code"))</f>
        <v/>
      </c>
    </row>
    <row r="94">
      <c r="A94" s="1225" t="inlineStr">
        <is>
          <t>P091</t>
        </is>
      </c>
      <c r="B94" s="695" t="n">
        <v>584</v>
      </c>
      <c r="C94" s="696" t="inlineStr">
        <is>
          <t>R0198530</t>
        </is>
      </c>
      <c r="D94" s="1226" t="inlineStr">
        <is>
          <t>(Address TBD – R0198530)</t>
        </is>
      </c>
      <c r="E94" s="1225" t="inlineStr">
        <is>
          <t>Adams County</t>
        </is>
      </c>
      <c r="F94" s="1225" t="inlineStr">
        <is>
          <t>CO</t>
        </is>
      </c>
      <c r="G94" s="1225" t="inlineStr">
        <is>
          <t>Industrial</t>
        </is>
      </c>
      <c r="H94" s="1226" t="inlineStr">
        <is>
          <t>Industrial Mega-Warehouse NNN</t>
        </is>
      </c>
      <c r="I94" s="1225" t="n">
        <v>2019</v>
      </c>
      <c r="J94" s="1225" t="n">
        <v>555867</v>
      </c>
      <c r="K94" s="1225" t="n"/>
      <c r="L94" s="1225" t="inlineStr">
        <is>
          <t>R0198530</t>
        </is>
      </c>
      <c r="M94" s="1225" t="n"/>
      <c r="N94" s="1226" t="inlineStr">
        <is>
          <t>WH Expenses 2026-Working File – NNN landlord expenses 2024</t>
        </is>
      </c>
      <c r="O94" s="1225" t="inlineStr">
        <is>
          <t>2026-06-03</t>
        </is>
      </c>
      <c r="P94" s="1226" t="inlineStr">
        <is>
          <t>Mega-warehouse; NNN; landlord RE Tax, Ins, Mgmt only; 2024</t>
        </is>
      </c>
      <c r="Q94" s="1132">
        <f>IF(B94="","",IFERROR(INDEX(OCC_TABLE_DESC,MATCH(B94,OCC_TABLE_CODE,0)),"Unrecognized code"))</f>
        <v/>
      </c>
    </row>
    <row r="95">
      <c r="A95" s="699" t="inlineStr">
        <is>
          <t>P092</t>
        </is>
      </c>
      <c r="B95" s="695" t="n">
        <v>447</v>
      </c>
      <c r="C95" s="696" t="inlineStr">
        <is>
          <t>R0180834</t>
        </is>
      </c>
      <c r="D95" s="1194" t="inlineStr">
        <is>
          <t>(Address TBD – R0180834)</t>
        </is>
      </c>
      <c r="E95" s="699" t="inlineStr">
        <is>
          <t>Adams County</t>
        </is>
      </c>
      <c r="F95" s="699" t="inlineStr">
        <is>
          <t>CO</t>
        </is>
      </c>
      <c r="G95" s="699" t="inlineStr">
        <is>
          <t>Industrial</t>
        </is>
      </c>
      <c r="H95" s="1194" t="inlineStr">
        <is>
          <t>Cold Storage/Mega-Warehouse NNN</t>
        </is>
      </c>
      <c r="I95" s="699" t="n">
        <v>2012</v>
      </c>
      <c r="J95" s="699" t="n">
        <v>550031</v>
      </c>
      <c r="K95" s="699" t="n"/>
      <c r="L95" s="699" t="inlineStr">
        <is>
          <t>R0180834</t>
        </is>
      </c>
      <c r="M95" s="699" t="n"/>
      <c r="N95" s="1194" t="inlineStr">
        <is>
          <t>WH Expenses 2026-Working File – NNN landlord expenses 2024</t>
        </is>
      </c>
      <c r="O95" s="699" t="inlineStr">
        <is>
          <t>2026-06-03</t>
        </is>
      </c>
      <c r="P95" s="1194" t="inlineStr">
        <is>
          <t>Cold storage/mega-WH; NNN; 2012 YOC; landlord RE Tax, Ins, Mgmt only</t>
        </is>
      </c>
      <c r="Q95" s="1132">
        <f>IF(B95="","",IFERROR(INDEX(OCC_TABLE_DESC,MATCH(B95,OCC_TABLE_CODE,0)),"Unrecognized code"))</f>
        <v/>
      </c>
    </row>
    <row r="96">
      <c r="A96" s="1225" t="inlineStr">
        <is>
          <t>P093</t>
        </is>
      </c>
      <c r="B96" s="695" t="n">
        <v>407</v>
      </c>
      <c r="C96" s="696" t="inlineStr">
        <is>
          <t>R0114792</t>
        </is>
      </c>
      <c r="D96" s="1226" t="inlineStr">
        <is>
          <t>(Address TBD – R0114792)</t>
        </is>
      </c>
      <c r="E96" s="1225" t="inlineStr">
        <is>
          <t>Adams County</t>
        </is>
      </c>
      <c r="F96" s="1225" t="inlineStr">
        <is>
          <t>CO</t>
        </is>
      </c>
      <c r="G96" s="1225" t="inlineStr">
        <is>
          <t>Industrial</t>
        </is>
      </c>
      <c r="H96" s="1226" t="inlineStr">
        <is>
          <t>Industrial NNN</t>
        </is>
      </c>
      <c r="I96" s="1225" t="n">
        <v>1998</v>
      </c>
      <c r="J96" s="1225" t="n">
        <v>64501</v>
      </c>
      <c r="K96" s="1225" t="n"/>
      <c r="L96" s="1225" t="inlineStr">
        <is>
          <t>R0114792</t>
        </is>
      </c>
      <c r="M96" s="1225" t="n"/>
      <c r="N96" s="1226" t="inlineStr">
        <is>
          <t>WH Expenses 2026-Working File – NNN landlord expenses 2023+2024</t>
        </is>
      </c>
      <c r="O96" s="1225" t="inlineStr">
        <is>
          <t>2026-06-03</t>
        </is>
      </c>
      <c r="P96" s="1226" t="inlineStr">
        <is>
          <t>NNN; landlord RE Tax, Ins, Mgmt only; 1998 YOC</t>
        </is>
      </c>
      <c r="Q96" s="1132">
        <f>IF(B96="","",IFERROR(INDEX(OCC_TABLE_DESC,MATCH(B96,OCC_TABLE_CODE,0)),"Unrecognized code"))</f>
        <v/>
      </c>
    </row>
    <row r="97">
      <c r="A97" s="1225" t="inlineStr">
        <is>
          <t>P094</t>
        </is>
      </c>
      <c r="B97" s="695" t="n">
        <v>407</v>
      </c>
      <c r="C97" s="696" t="inlineStr">
        <is>
          <t>R0104122</t>
        </is>
      </c>
      <c r="D97" s="1226" t="inlineStr">
        <is>
          <t>550 W 53rd Pl</t>
        </is>
      </c>
      <c r="E97" s="1225" t="inlineStr">
        <is>
          <t>Denver</t>
        </is>
      </c>
      <c r="F97" s="1225" t="inlineStr">
        <is>
          <t>CO</t>
        </is>
      </c>
      <c r="G97" s="1225" t="inlineStr">
        <is>
          <t>Industrial</t>
        </is>
      </c>
      <c r="H97" s="1226" t="inlineStr">
        <is>
          <t>Distribution Warehouse</t>
        </is>
      </c>
      <c r="I97" s="1225" t="n">
        <v>1971</v>
      </c>
      <c r="J97" s="1225" t="n">
        <v>127900</v>
      </c>
      <c r="K97" s="1225" t="n"/>
      <c r="L97" s="1225" t="inlineStr">
        <is>
          <t>R0104122</t>
        </is>
      </c>
      <c r="M97" s="1225" t="n"/>
      <c r="N97" s="1226" t="inlineStr">
        <is>
          <t>Brad-CBOE 2024 – appraiser income approach pro forma</t>
        </is>
      </c>
      <c r="O97" s="1225" t="inlineStr">
        <is>
          <t>2026-06-03</t>
        </is>
      </c>
      <c r="P97" s="1226" t="inlineStr">
        <is>
          <t>YOC 1971 (remod 1999/eff 1985); 127,900 SF; 2024 CBOE abatement income approach</t>
        </is>
      </c>
      <c r="Q97" s="1132">
        <f>IF(B97="","",IFERROR(INDEX(OCC_TABLE_DESC,MATCH(B97,OCC_TABLE_CODE,0)),"Unrecognized code"))</f>
        <v/>
      </c>
    </row>
    <row r="98">
      <c r="A98" s="699" t="inlineStr">
        <is>
          <t>P095</t>
        </is>
      </c>
      <c r="B98" s="695" t="n">
        <v>386</v>
      </c>
      <c r="C98" s="696" t="inlineStr">
        <is>
          <t>R0086010</t>
        </is>
      </c>
      <c r="D98" s="1194" t="inlineStr">
        <is>
          <t>15413 E 18th Ave</t>
        </is>
      </c>
      <c r="E98" s="699" t="inlineStr">
        <is>
          <t>Aurora</t>
        </is>
      </c>
      <c r="F98" s="699" t="inlineStr">
        <is>
          <t>CO</t>
        </is>
      </c>
      <c r="G98" s="699" t="inlineStr">
        <is>
          <t>Self-Storage</t>
        </is>
      </c>
      <c r="H98" s="1194" t="inlineStr">
        <is>
          <t>Self-Storage</t>
        </is>
      </c>
      <c r="I98" s="699" t="n">
        <v>1984</v>
      </c>
      <c r="J98" s="699" t="n">
        <v>63989</v>
      </c>
      <c r="K98" s="699" t="n"/>
      <c r="L98" s="699" t="inlineStr">
        <is>
          <t>R0086010</t>
        </is>
      </c>
      <c r="M98" s="699" t="n"/>
      <c r="N98" s="1194" t="inlineStr">
        <is>
          <t>AXG CBOE 2024 – appraiser income approach pro forma</t>
        </is>
      </c>
      <c r="O98" s="699" t="inlineStr">
        <is>
          <t>2026-06-03</t>
        </is>
      </c>
      <c r="P98" s="1194" t="inlineStr">
        <is>
          <t>8 buildings; NRA 57,754 SF; GBA 63,989 SF; 1984 YOC</t>
        </is>
      </c>
      <c r="Q98" s="1132">
        <f>IF(B98="","",IFERROR(INDEX(OCC_TABLE_DESC,MATCH(B98,OCC_TABLE_CODE,0)),"Unrecognized code"))</f>
        <v/>
      </c>
    </row>
    <row r="99">
      <c r="A99" s="1225" t="inlineStr">
        <is>
          <t>P096</t>
        </is>
      </c>
      <c r="B99" s="695" t="n">
        <v>407</v>
      </c>
      <c r="C99" s="696" t="inlineStr">
        <is>
          <t>R0083917</t>
        </is>
      </c>
      <c r="D99" s="1226" t="inlineStr">
        <is>
          <t>14701 E 38th Ave</t>
        </is>
      </c>
      <c r="E99" s="1225" t="inlineStr">
        <is>
          <t>Aurora</t>
        </is>
      </c>
      <c r="F99" s="1225" t="inlineStr">
        <is>
          <t>CO</t>
        </is>
      </c>
      <c r="G99" s="1225" t="inlineStr">
        <is>
          <t>Industrial</t>
        </is>
      </c>
      <c r="H99" s="1226" t="inlineStr">
        <is>
          <t>Industrial Owner-User</t>
        </is>
      </c>
      <c r="I99" s="1225" t="n"/>
      <c r="J99" s="1225" t="n">
        <v>117280</v>
      </c>
      <c r="K99" s="1225" t="n"/>
      <c r="L99" s="1225" t="inlineStr">
        <is>
          <t>R0083917</t>
        </is>
      </c>
      <c r="M99" s="1225" t="n"/>
      <c r="N99" s="1226" t="inlineStr">
        <is>
          <t>MT.xlsx I&amp;E Survey 2024</t>
        </is>
      </c>
      <c r="O99" s="1225" t="inlineStr">
        <is>
          <t>2026-06-03</t>
        </is>
      </c>
      <c r="P99" s="1226" t="inlineStr">
        <is>
          <t>Owner-user; expenses may include non-RE items (flag); 117,280 SF</t>
        </is>
      </c>
      <c r="Q99" s="1132">
        <f>IF(B99="","",IFERROR(INDEX(OCC_TABLE_DESC,MATCH(B99,OCC_TABLE_CODE,0)),"Unrecognized code"))</f>
        <v/>
      </c>
    </row>
    <row r="100">
      <c r="A100" s="699" t="inlineStr">
        <is>
          <t>P097</t>
        </is>
      </c>
      <c r="B100" s="695" t="n">
        <v>210</v>
      </c>
      <c r="C100" s="696" t="inlineStr">
        <is>
          <t>R0137586</t>
        </is>
      </c>
      <c r="D100" s="1194" t="inlineStr">
        <is>
          <t>7273-7285 E 96th Ave</t>
        </is>
      </c>
      <c r="E100" s="699" t="inlineStr">
        <is>
          <t>Commerce City</t>
        </is>
      </c>
      <c r="F100" s="699" t="inlineStr">
        <is>
          <t>CO</t>
        </is>
      </c>
      <c r="G100" s="699" t="inlineStr">
        <is>
          <t>Industrial</t>
        </is>
      </c>
      <c r="H100" s="1194" t="inlineStr">
        <is>
          <t>Multi-Tenant Industrial</t>
        </is>
      </c>
      <c r="I100" s="699" t="n"/>
      <c r="J100" s="699" t="n">
        <v>57200</v>
      </c>
      <c r="K100" s="699" t="n"/>
      <c r="L100" s="699" t="inlineStr">
        <is>
          <t>R0137586</t>
        </is>
      </c>
      <c r="M100" s="699" t="n"/>
      <c r="N100" s="1194" t="inlineStr">
        <is>
          <t>MT.xlsx I&amp;E Survey 2023</t>
        </is>
      </c>
      <c r="O100" s="699" t="inlineStr">
        <is>
          <t>2026-06-03</t>
        </is>
      </c>
      <c r="P100" s="1194" t="inlineStr">
        <is>
          <t>Modified lease; 57,200 SF; 2023 survey data</t>
        </is>
      </c>
      <c r="Q100" s="1132">
        <f>IF(B100="","",IFERROR(INDEX(OCC_TABLE_DESC,MATCH(B100,OCC_TABLE_CODE,0)),"Unrecognized code"))</f>
        <v/>
      </c>
    </row>
    <row r="101">
      <c r="A101" s="1225" t="inlineStr">
        <is>
          <t>P098</t>
        </is>
      </c>
      <c r="B101" s="695" t="n">
        <v>210</v>
      </c>
      <c r="C101" s="696" t="inlineStr">
        <is>
          <t>R0187010</t>
        </is>
      </c>
      <c r="D101" s="1226" t="inlineStr">
        <is>
          <t>8020 Steele St</t>
        </is>
      </c>
      <c r="E101" s="1225" t="inlineStr">
        <is>
          <t>Denver</t>
        </is>
      </c>
      <c r="F101" s="1225" t="inlineStr">
        <is>
          <t>CO</t>
        </is>
      </c>
      <c r="G101" s="1225" t="inlineStr">
        <is>
          <t>Industrial</t>
        </is>
      </c>
      <c r="H101" s="1226" t="inlineStr">
        <is>
          <t>Industrial Modified Gross</t>
        </is>
      </c>
      <c r="I101" s="1225" t="n"/>
      <c r="J101" s="1225" t="n">
        <v>70000</v>
      </c>
      <c r="K101" s="1225" t="n"/>
      <c r="L101" s="1225" t="inlineStr">
        <is>
          <t>R0187010</t>
        </is>
      </c>
      <c r="M101" s="1225" t="n"/>
      <c r="N101" s="1226" t="inlineStr">
        <is>
          <t>MT.xlsx I&amp;E Survey 2024</t>
        </is>
      </c>
      <c r="O101" s="1225" t="inlineStr">
        <is>
          <t>2026-06-03</t>
        </is>
      </c>
      <c r="P101" s="1226" t="inlineStr">
        <is>
          <t>Modified gross; owner pays ins/R&amp;M/mgmt; tenant pays utils/trash; 70,000 SF</t>
        </is>
      </c>
      <c r="Q101" s="1132">
        <f>IF(B101="","",IFERROR(INDEX(OCC_TABLE_DESC,MATCH(B101,OCC_TABLE_CODE,0)),"Unrecognized code"))</f>
        <v/>
      </c>
    </row>
    <row r="102">
      <c r="A102" s="699" t="inlineStr">
        <is>
          <t>P099</t>
        </is>
      </c>
      <c r="B102" s="695" t="n">
        <v>210</v>
      </c>
      <c r="C102" s="696" t="inlineStr">
        <is>
          <t>R0111914</t>
        </is>
      </c>
      <c r="D102" s="1194" t="inlineStr">
        <is>
          <t>1963 Jasper St</t>
        </is>
      </c>
      <c r="E102" s="699" t="inlineStr">
        <is>
          <t>Aurora</t>
        </is>
      </c>
      <c r="F102" s="699" t="inlineStr">
        <is>
          <t>CO</t>
        </is>
      </c>
      <c r="G102" s="699" t="inlineStr">
        <is>
          <t>Industrial</t>
        </is>
      </c>
      <c r="H102" s="1194" t="inlineStr">
        <is>
          <t>Multi-Tenant Industrial Gross</t>
        </is>
      </c>
      <c r="I102" s="699" t="n"/>
      <c r="J102" s="699" t="n">
        <v>33574</v>
      </c>
      <c r="K102" s="699" t="n"/>
      <c r="L102" s="699" t="inlineStr">
        <is>
          <t>R0111914</t>
        </is>
      </c>
      <c r="M102" s="699" t="n"/>
      <c r="N102" s="1194" t="inlineStr">
        <is>
          <t>MT.xlsx I&amp;E Survey 2024</t>
        </is>
      </c>
      <c r="O102" s="699" t="inlineStr">
        <is>
          <t>2026-06-03</t>
        </is>
      </c>
      <c r="P102" s="1194" t="inlineStr">
        <is>
          <t>Gross lease; owner pays all expenses except gas/elec; 33,574 SF</t>
        </is>
      </c>
      <c r="Q102" s="1132">
        <f>IF(B102="","",IFERROR(INDEX(OCC_TABLE_DESC,MATCH(B102,OCC_TABLE_CODE,0)),"Unrecognized code"))</f>
        <v/>
      </c>
    </row>
    <row r="103">
      <c r="A103" s="1225" t="inlineStr">
        <is>
          <t>P100</t>
        </is>
      </c>
      <c r="B103" s="695" t="n">
        <v>1332</v>
      </c>
      <c r="C103" s="696" t="inlineStr">
        <is>
          <t>R0111965</t>
        </is>
      </c>
      <c r="D103" s="1226" t="inlineStr">
        <is>
          <t>12101 Grant St</t>
        </is>
      </c>
      <c r="E103" s="1225" t="inlineStr">
        <is>
          <t>Thornton</t>
        </is>
      </c>
      <c r="F103" s="1225" t="inlineStr">
        <is>
          <t>CO</t>
        </is>
      </c>
      <c r="G103" s="1225" t="inlineStr">
        <is>
          <t>Hospitality</t>
        </is>
      </c>
      <c r="H103" s="1226" t="inlineStr">
        <is>
          <t>Hotel Limited Service</t>
        </is>
      </c>
      <c r="I103" s="1225" t="n">
        <v>1998</v>
      </c>
      <c r="J103" s="1225" t="n"/>
      <c r="K103" s="1225" t="n"/>
      <c r="L103" s="1225" t="inlineStr">
        <is>
          <t>R0111965</t>
        </is>
      </c>
      <c r="M103" s="1225" t="n"/>
      <c r="N103" s="1226" t="inlineStr">
        <is>
          <t>AXG CBOE 2024 – appraiser Rushmore income approach</t>
        </is>
      </c>
      <c r="O103" s="1225" t="inlineStr">
        <is>
          <t>2026-06-03</t>
        </is>
      </c>
      <c r="P103" s="1226" t="inlineStr">
        <is>
          <t>100 rooms; 1998 YOC; 2024 CBOE; ADR $115/occ 70%</t>
        </is>
      </c>
      <c r="Q103" s="1132">
        <f>IF(B103="","",IFERROR(INDEX(OCC_TABLE_DESC,MATCH(B103,OCC_TABLE_CODE,0)),"Unrecognized code"))</f>
        <v/>
      </c>
    </row>
    <row r="104">
      <c r="A104" s="699" t="inlineStr">
        <is>
          <t>P101</t>
        </is>
      </c>
      <c r="B104" s="695" t="n">
        <v>332</v>
      </c>
      <c r="C104" s="696" t="inlineStr">
        <is>
          <t>R0202410</t>
        </is>
      </c>
      <c r="D104" s="1194" t="inlineStr">
        <is>
          <t>2556 Oswego St</t>
        </is>
      </c>
      <c r="E104" s="699" t="inlineStr">
        <is>
          <t>Aurora</t>
        </is>
      </c>
      <c r="F104" s="699" t="inlineStr">
        <is>
          <t>CO</t>
        </is>
      </c>
      <c r="G104" s="699" t="inlineStr">
        <is>
          <t>Hospitality</t>
        </is>
      </c>
      <c r="H104" s="1194" t="inlineStr">
        <is>
          <t>Hotel Full Service</t>
        </is>
      </c>
      <c r="I104" s="699" t="n">
        <v>2023</v>
      </c>
      <c r="J104" s="699" t="n"/>
      <c r="K104" s="699" t="n"/>
      <c r="L104" s="699" t="inlineStr">
        <is>
          <t>R0202410</t>
        </is>
      </c>
      <c r="M104" s="699" t="n"/>
      <c r="N104" s="1194" t="inlineStr">
        <is>
          <t>AXG CBOE 2024 – appraiser Rushmore income approach</t>
        </is>
      </c>
      <c r="O104" s="699" t="inlineStr">
        <is>
          <t>2026-06-03</t>
        </is>
      </c>
      <c r="P104" s="1194" t="inlineStr">
        <is>
          <t>227 rooms; built 2023; 2024 CBOE; ADR $140/occ 70%</t>
        </is>
      </c>
      <c r="Q104" s="1132">
        <f>IF(B104="","",IFERROR(INDEX(OCC_TABLE_DESC,MATCH(B104,OCC_TABLE_CODE,0)),"Unrecognized code"))</f>
        <v/>
      </c>
    </row>
    <row r="105">
      <c r="A105" s="1225" t="inlineStr">
        <is>
          <t>P102</t>
        </is>
      </c>
      <c r="B105" s="695" t="n">
        <v>332</v>
      </c>
      <c r="C105" s="696" t="inlineStr">
        <is>
          <t>R0024498</t>
        </is>
      </c>
      <c r="D105" s="1226" t="inlineStr">
        <is>
          <t>83 E 120th Ave</t>
        </is>
      </c>
      <c r="E105" s="1225" t="inlineStr">
        <is>
          <t>Thornton</t>
        </is>
      </c>
      <c r="F105" s="1225" t="inlineStr">
        <is>
          <t>CO</t>
        </is>
      </c>
      <c r="G105" s="1225" t="inlineStr">
        <is>
          <t>Hospitality</t>
        </is>
      </c>
      <c r="H105" s="1226" t="inlineStr">
        <is>
          <t>Hotel Full Service</t>
        </is>
      </c>
      <c r="I105" s="1225" t="n">
        <v>1984</v>
      </c>
      <c r="J105" s="1225" t="n">
        <v>114796</v>
      </c>
      <c r="K105" s="1225" t="n"/>
      <c r="L105" s="1225" t="inlineStr">
        <is>
          <t>R0024498</t>
        </is>
      </c>
      <c r="M105" s="1225" t="n"/>
      <c r="N105" s="1226" t="inlineStr">
        <is>
          <t>AXG CBOE 2024 – appraiser Rushmore income approach</t>
        </is>
      </c>
      <c r="O105" s="1225" t="inlineStr">
        <is>
          <t>2026-06-03</t>
        </is>
      </c>
      <c r="P105" s="1226" t="inlineStr">
        <is>
          <t>137 rooms; 114,796 SF GBA; 2 bldgs; 1984 YOC; ADR $142/occ 70%</t>
        </is>
      </c>
      <c r="Q105" s="1132">
        <f>IF(B105="","",IFERROR(INDEX(OCC_TABLE_DESC,MATCH(B105,OCC_TABLE_CODE,0)),"Unrecognized code"))</f>
        <v/>
      </c>
    </row>
    <row r="106">
      <c r="A106" s="699" t="inlineStr">
        <is>
          <t>P103</t>
        </is>
      </c>
      <c r="B106" s="695" t="n">
        <v>407</v>
      </c>
      <c r="C106" s="696" t="inlineStr">
        <is>
          <t>R0075212</t>
        </is>
      </c>
      <c r="D106" s="1194" t="inlineStr">
        <is>
          <t>10500 Havana Ct</t>
        </is>
      </c>
      <c r="E106" s="699" t="inlineStr">
        <is>
          <t>Commerce City</t>
        </is>
      </c>
      <c r="F106" s="699" t="inlineStr">
        <is>
          <t>CO</t>
        </is>
      </c>
      <c r="G106" s="699" t="inlineStr">
        <is>
          <t>Industrial</t>
        </is>
      </c>
      <c r="H106" s="1194" t="inlineStr">
        <is>
          <t>Industrial NNN</t>
        </is>
      </c>
      <c r="I106" s="699" t="n"/>
      <c r="J106" s="699" t="n">
        <v>30000</v>
      </c>
      <c r="K106" s="699" t="n"/>
      <c r="L106" s="699" t="inlineStr">
        <is>
          <t>R0075212</t>
        </is>
      </c>
      <c r="M106" s="699" t="n"/>
      <c r="N106" s="1194" t="inlineStr">
        <is>
          <t>MT.xlsx I&amp;E Survey 2024</t>
        </is>
      </c>
      <c r="O106" s="699" t="inlineStr">
        <is>
          <t>2026-06-03</t>
        </is>
      </c>
      <c r="P106" s="1194" t="inlineStr">
        <is>
          <t>NNN; full expense survey; 30,000 SF</t>
        </is>
      </c>
      <c r="Q106" s="1132">
        <f>IF(B106="","",IFERROR(INDEX(OCC_TABLE_DESC,MATCH(B106,OCC_TABLE_CODE,0)),"Unrecognized code"))</f>
        <v/>
      </c>
    </row>
    <row r="107">
      <c r="A107" t="inlineStr">
        <is>
          <t>P104</t>
        </is>
      </c>
      <c r="B107" s="695" t="n">
        <v>210</v>
      </c>
      <c r="C107" t="inlineStr">
        <is>
          <t>R0226379</t>
        </is>
      </c>
      <c r="D107" s="1158" t="inlineStr">
        <is>
          <t>26100 E 68th Ave</t>
        </is>
      </c>
      <c r="E107" t="inlineStr">
        <is>
          <t>Aurora</t>
        </is>
      </c>
      <c r="F107" t="inlineStr">
        <is>
          <t>CO</t>
        </is>
      </c>
      <c r="G107" t="inlineStr">
        <is>
          <t>Industrial</t>
        </is>
      </c>
      <c r="H107" s="1158" t="inlineStr">
        <is>
          <t>Industrial Multi-Tenant</t>
        </is>
      </c>
      <c r="J107" t="n">
        <v>187720</v>
      </c>
      <c r="L107" t="inlineStr">
        <is>
          <t>R0226379</t>
        </is>
      </c>
      <c r="M107" t="inlineStr">
        <is>
          <t>Green Industrial Development Group (.ptg)</t>
        </is>
      </c>
      <c r="N107" s="1158" t="inlineStr">
        <is>
          <t>Owner Income Statement 2023 &amp; 2024</t>
        </is>
      </c>
      <c r="O107" t="inlineStr">
        <is>
          <t>2026-06-03</t>
        </is>
      </c>
      <c r="P107" s="1158" t="inlineStr">
        <is>
          <t>Building 1; Filing 3 Block 1 Lot 1; CAM reimb + TBB structure; SF unknown; 2023-2024 actuals</t>
        </is>
      </c>
      <c r="Q107" s="1132">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sheetPr>
    <tabColor rgb="00D97706"/>
    <outlinePr summaryBelow="1" summaryRight="1"/>
    <pageSetUpPr/>
  </sheetPr>
  <dimension ref="A1:AR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3" customWidth="1" min="13" max="13"/>
    <col width="13" customWidth="1" min="14" max="14"/>
    <col width="11" customWidth="1" min="15" max="15"/>
    <col width="13" customWidth="1" min="16" max="16"/>
    <col width="13" customWidth="1" min="17" max="17"/>
    <col width="16" customWidth="1" min="18" max="18"/>
    <col width="13" customWidth="1" min="19" max="19"/>
    <col width="22" customWidth="1" min="20" max="20"/>
    <col width="11" customWidth="1" min="21" max="21"/>
    <col width="19" customWidth="1" min="22" max="22"/>
    <col width="21" customWidth="1" min="23" max="23"/>
    <col width="25" customWidth="1" min="24" max="24"/>
    <col width="13" customWidth="1" min="25" max="25"/>
    <col width="11" customWidth="1" min="26" max="26"/>
    <col width="13" customWidth="1" min="27" max="27"/>
    <col width="13" customWidth="1" min="28" max="28"/>
    <col width="21" customWidth="1" min="29" max="29"/>
    <col width="15" customWidth="1" min="30" max="30"/>
    <col width="13" customWidth="1" min="31" max="31"/>
    <col width="17" customWidth="1" min="32" max="32"/>
    <col width="20" customWidth="1" min="33" max="33"/>
    <col width="25" customWidth="1" min="34" max="34"/>
    <col width="19" customWidth="1" min="35" max="35"/>
    <col width="25" customWidth="1" min="36" max="36"/>
    <col width="13" customWidth="1" min="37" max="37"/>
    <col width="16" customWidth="1" min="38" max="38"/>
    <col width="52" customWidth="1" min="39" max="39"/>
    <col hidden="1" width="13" customWidth="1" min="40" max="40"/>
    <col hidden="1" width="13" customWidth="1" min="41" max="41"/>
    <col width="30" customWidth="1" min="44" max="44"/>
  </cols>
  <sheetData>
    <row r="1" ht="24" customHeight="1">
      <c r="A1" s="1133" t="inlineStr">
        <is>
          <t>COMMERCIAL PROPERTY EXPENSE DATABASE ? ANNUAL DETAIL</t>
        </is>
      </c>
    </row>
    <row r="2" ht="15.95" customHeight="1">
      <c r="A2" s="1222" t="inlineStr">
        <is>
          <t>One row per property per year | All dollar figures from owner P&amp;L unless noted | $/SF = $ / Building SF</t>
        </is>
      </c>
    </row>
    <row r="3" ht="42" customHeight="1">
      <c r="A3" s="1223" t="inlineStr">
        <is>
          <t>Prop ID</t>
        </is>
      </c>
      <c r="B3" s="1131" t="inlineStr">
        <is>
          <t>Occ Code</t>
        </is>
      </c>
      <c r="C3" s="1134" t="inlineStr">
        <is>
          <t>Account #</t>
        </is>
      </c>
      <c r="D3" s="1224" t="inlineStr">
        <is>
          <t>Address</t>
        </is>
      </c>
      <c r="E3" s="1223" t="inlineStr">
        <is>
          <t>City</t>
        </is>
      </c>
      <c r="F3" s="1223" t="inlineStr">
        <is>
          <t>State</t>
        </is>
      </c>
      <c r="G3" s="1223" t="inlineStr">
        <is>
          <t>Prop Type</t>
        </is>
      </c>
      <c r="H3" s="1224" t="inlineStr">
        <is>
          <t>Subtype</t>
        </is>
      </c>
      <c r="I3" s="1223" t="inlineStr">
        <is>
          <t>Year Built</t>
        </is>
      </c>
      <c r="J3" s="1223" t="inlineStr">
        <is>
          <t>Bldg SF</t>
        </is>
      </c>
      <c r="K3" s="1223" t="inlineStr">
        <is>
          <t>Year</t>
        </is>
      </c>
      <c r="L3" s="1223" t="inlineStr">
        <is>
          <t>Gross Rental Income</t>
        </is>
      </c>
      <c r="M3" s="1223" t="inlineStr">
        <is>
          <t>Other Income</t>
        </is>
      </c>
      <c r="N3" s="1223" t="inlineStr">
        <is>
          <t>EGI</t>
        </is>
      </c>
      <c r="O3" s="1223" t="inlineStr">
        <is>
          <t>Insurance</t>
        </is>
      </c>
      <c r="P3" s="1223" t="inlineStr">
        <is>
          <t>Mgmt/Admin</t>
        </is>
      </c>
      <c r="Q3" s="1223" t="inlineStr">
        <is>
          <t>Plumbing R&amp;M</t>
        </is>
      </c>
      <c r="R3" s="1223" t="inlineStr">
        <is>
          <t>Electrical R&amp;M</t>
        </is>
      </c>
      <c r="S3" s="1223" t="inlineStr">
        <is>
          <t>Exterior R&amp;M</t>
        </is>
      </c>
      <c r="T3" s="1223" t="inlineStr">
        <is>
          <t>Fire/Life Safety R&amp;M</t>
        </is>
      </c>
      <c r="U3" s="1223" t="inlineStr">
        <is>
          <t>HVAC R&amp;M</t>
        </is>
      </c>
      <c r="V3" s="1223" t="inlineStr">
        <is>
          <t>Interior Unit R&amp;M</t>
        </is>
      </c>
      <c r="W3" s="1223" t="inlineStr">
        <is>
          <t>Interior Common R&amp;M</t>
        </is>
      </c>
      <c r="X3" s="1223" t="inlineStr">
        <is>
          <t>General Maint &amp; Repairs</t>
        </is>
      </c>
      <c r="Y3" s="1223" t="inlineStr">
        <is>
          <t>Total R&amp;M</t>
        </is>
      </c>
      <c r="Z3" s="1223" t="inlineStr">
        <is>
          <t>Trash</t>
        </is>
      </c>
      <c r="AA3" s="1223" t="inlineStr">
        <is>
          <t>Landscape</t>
        </is>
      </c>
      <c r="AB3" s="1223" t="inlineStr">
        <is>
          <t>Snow Removal</t>
        </is>
      </c>
      <c r="AC3" s="1223" t="inlineStr">
        <is>
          <t>Total Contract Svcs</t>
        </is>
      </c>
      <c r="AD3" s="1223" t="inlineStr">
        <is>
          <t>Water &amp; Sewer</t>
        </is>
      </c>
      <c r="AE3" s="1223" t="inlineStr">
        <is>
          <t>Electric</t>
        </is>
      </c>
      <c r="AF3" s="1223" t="inlineStr">
        <is>
          <t>Total Utilities</t>
        </is>
      </c>
      <c r="AG3" s="1223" t="inlineStr">
        <is>
          <t>Other/Admin (Misc)</t>
        </is>
      </c>
      <c r="AH3" s="1223" t="inlineStr">
        <is>
          <t>Total OPX excl RE Taxes</t>
        </is>
      </c>
      <c r="AI3" s="1223" t="inlineStr">
        <is>
          <t>Real Estate Taxes</t>
        </is>
      </c>
      <c r="AJ3" s="1223" t="inlineStr">
        <is>
          <t>Total OPX incl RE Taxes</t>
        </is>
      </c>
      <c r="AK3" s="1223" t="inlineStr">
        <is>
          <t>NOI</t>
        </is>
      </c>
      <c r="AL3" s="1223" t="inlineStr">
        <is>
          <t>CapEx (non-op)</t>
        </is>
      </c>
      <c r="AM3" s="1224" t="inlineStr">
        <is>
          <t>Notes</t>
        </is>
      </c>
      <c r="AN3" s="1122" t="inlineStr">
        <is>
          <t>Score (internal)</t>
        </is>
      </c>
      <c r="AO3" t="inlineStr">
        <is>
          <t>TieBreak (internal)</t>
        </is>
      </c>
      <c r="AR3" s="972" t="inlineStr">
        <is>
          <t>Occ Description (auto)</t>
        </is>
      </c>
    </row>
    <row r="4" ht="18" customHeight="1">
      <c r="A4" s="702" t="inlineStr">
        <is>
          <t>P001</t>
        </is>
      </c>
      <c r="B4" s="695" t="n">
        <v>407</v>
      </c>
      <c r="C4" s="703" t="inlineStr">
        <is>
          <t>R0157664</t>
        </is>
      </c>
      <c r="D4" s="694" t="inlineStr">
        <is>
          <t>6045 E. 76th Avenue</t>
        </is>
      </c>
      <c r="E4" s="702" t="inlineStr">
        <is>
          <t>Commerce City</t>
        </is>
      </c>
      <c r="F4" s="702" t="inlineStr">
        <is>
          <t>CO</t>
        </is>
      </c>
      <c r="G4" s="702" t="inlineStr">
        <is>
          <t>Light Industrial</t>
        </is>
      </c>
      <c r="H4" s="694" t="inlineStr">
        <is>
          <t>Distribution Warehouse</t>
        </is>
      </c>
      <c r="I4" s="704" t="n">
        <v>1988</v>
      </c>
      <c r="J4" s="704" t="n">
        <v>21000</v>
      </c>
      <c r="K4" s="704" t="n">
        <v>2021</v>
      </c>
      <c r="L4" s="705" t="n">
        <v>282764.52</v>
      </c>
      <c r="M4" s="705" t="n">
        <v>6372</v>
      </c>
      <c r="N4" s="1135" t="n">
        <v>289136.52</v>
      </c>
      <c r="O4" s="705" t="n">
        <v>4893</v>
      </c>
      <c r="P4" s="705" t="n">
        <v>0</v>
      </c>
      <c r="Q4" s="705" t="n">
        <v>1144</v>
      </c>
      <c r="R4" s="705" t="n">
        <v>0</v>
      </c>
      <c r="S4" s="705" t="n">
        <v>198.75</v>
      </c>
      <c r="T4" s="705" t="n">
        <v>0</v>
      </c>
      <c r="U4" s="705" t="n">
        <v>280</v>
      </c>
      <c r="V4" s="705" t="n">
        <v>846</v>
      </c>
      <c r="W4" s="705" t="n">
        <v>2923</v>
      </c>
      <c r="X4" s="1135" t="n">
        <v>0</v>
      </c>
      <c r="Y4" s="705" t="n">
        <v>5391.75</v>
      </c>
      <c r="Z4" s="705" t="n">
        <v>6710.19</v>
      </c>
      <c r="AA4" s="705" t="n">
        <v>3875</v>
      </c>
      <c r="AB4" s="705" t="n">
        <v>870</v>
      </c>
      <c r="AC4" s="1135" t="n">
        <v>11455.19</v>
      </c>
      <c r="AD4" s="705" t="n">
        <v>3344.39</v>
      </c>
      <c r="AE4" s="705" t="n">
        <v>648.33</v>
      </c>
      <c r="AF4" s="1135" t="n">
        <v>3992.72</v>
      </c>
      <c r="AG4" s="705" t="n">
        <v>762.49</v>
      </c>
      <c r="AH4" s="1136" t="n">
        <v>26515.14999999999</v>
      </c>
      <c r="AI4" s="1136" t="n">
        <v>48263.72</v>
      </c>
      <c r="AJ4" s="1137" t="n">
        <v>74778.87</v>
      </c>
      <c r="AK4" s="1135" t="n">
        <v>214357.65</v>
      </c>
      <c r="AL4" s="705" t="n">
        <v>2642.04</v>
      </c>
      <c r="AM4" s="694" t="inlineStr">
        <is>
          <t>2021: other income = damages $2,392 + misc $3,863 + interest $117</t>
        </is>
      </c>
      <c r="AN4">
        <f>IF(AND($B4=Subj_OccCode,Subj_BldgSF&gt;0,ABS($J4-Subj_BldgSF)&lt;=Subj_BldgSF*Subj_SizeTol),ABS($J4-Subj_BldgSF),NA())</f>
        <v/>
      </c>
      <c r="AO4">
        <f>IF(ISNA(AN4),NA(),AN4+ROW()/10000000)</f>
        <v/>
      </c>
      <c r="AR4" s="1132">
        <f>IF(B4="","",IFERROR(INDEX(OCC_TABLE_DESC,MATCH(B4,OCC_TABLE_CODE,0)),"Unrecognized code"))</f>
        <v/>
      </c>
    </row>
    <row r="5" ht="18" customHeight="1">
      <c r="A5" s="702" t="inlineStr">
        <is>
          <t>P001</t>
        </is>
      </c>
      <c r="B5" s="695" t="n">
        <v>407</v>
      </c>
      <c r="C5" s="703" t="inlineStr">
        <is>
          <t>R0157664</t>
        </is>
      </c>
      <c r="D5" s="694" t="inlineStr">
        <is>
          <t>6045 E. 76th Avenue</t>
        </is>
      </c>
      <c r="E5" s="702" t="inlineStr">
        <is>
          <t>Commerce City</t>
        </is>
      </c>
      <c r="F5" s="702" t="inlineStr">
        <is>
          <t>CO</t>
        </is>
      </c>
      <c r="G5" s="702" t="inlineStr">
        <is>
          <t>Light Industrial</t>
        </is>
      </c>
      <c r="H5" s="694" t="inlineStr">
        <is>
          <t>Distribution Warehouse</t>
        </is>
      </c>
      <c r="I5" s="704" t="n">
        <v>1988</v>
      </c>
      <c r="J5" s="704" t="n">
        <v>21000</v>
      </c>
      <c r="K5" s="704" t="n">
        <v>2022</v>
      </c>
      <c r="L5" s="705" t="n">
        <v>255992.67</v>
      </c>
      <c r="M5" s="705" t="n">
        <v>3000</v>
      </c>
      <c r="N5" s="1135" t="n">
        <v>258992.67</v>
      </c>
      <c r="O5" s="705" t="n">
        <v>5276</v>
      </c>
      <c r="P5" s="705" t="n">
        <v>0</v>
      </c>
      <c r="Q5" s="705" t="n">
        <v>4115</v>
      </c>
      <c r="R5" s="705" t="n">
        <v>611</v>
      </c>
      <c r="S5" s="705" t="n">
        <v>2333.33</v>
      </c>
      <c r="T5" s="705" t="n">
        <v>0</v>
      </c>
      <c r="U5" s="705" t="n">
        <v>0</v>
      </c>
      <c r="V5" s="705" t="n">
        <v>0</v>
      </c>
      <c r="W5" s="705" t="n">
        <v>780</v>
      </c>
      <c r="X5" s="1135" t="n">
        <v>0</v>
      </c>
      <c r="Y5" s="705" t="n">
        <v>7839.33</v>
      </c>
      <c r="Z5" s="705" t="n">
        <v>8303.969999999999</v>
      </c>
      <c r="AA5" s="705" t="n">
        <v>4280</v>
      </c>
      <c r="AB5" s="705" t="n">
        <v>0</v>
      </c>
      <c r="AC5" s="1135" t="n">
        <v>12583.97</v>
      </c>
      <c r="AD5" s="705" t="n">
        <v>3043.11</v>
      </c>
      <c r="AE5" s="705" t="n">
        <v>887.54</v>
      </c>
      <c r="AF5" s="1135" t="n">
        <v>3930.65</v>
      </c>
      <c r="AG5" s="705" t="n">
        <v>658.98</v>
      </c>
      <c r="AH5" s="1136" t="n">
        <v>30288.93000000001</v>
      </c>
      <c r="AI5" s="1136" t="n">
        <v>66104.78</v>
      </c>
      <c r="AJ5" s="1137" t="n">
        <v>96393.71000000001</v>
      </c>
      <c r="AK5" s="1135" t="n">
        <v>162598.96</v>
      </c>
      <c r="AL5" s="705" t="n">
        <v>5791.72</v>
      </c>
      <c r="AM5" s="694" t="inlineStr">
        <is>
          <t>2022: other income = damages $500 + misc $2,500; CapEx unit interior</t>
        </is>
      </c>
      <c r="AN5">
        <f>IF(AND($B5=Subj_OccCode,Subj_BldgSF&gt;0,ABS($J5-Subj_BldgSF)&lt;=Subj_BldgSF*Subj_SizeTol),ABS($J5-Subj_BldgSF),NA())</f>
        <v/>
      </c>
      <c r="AO5">
        <f>IF(ISNA(AN5),NA(),AN5+ROW()/10000000)</f>
        <v/>
      </c>
      <c r="AR5" s="1132">
        <f>IF(B5="","",IFERROR(INDEX(OCC_TABLE_DESC,MATCH(B5,OCC_TABLE_CODE,0)),"Unrecognized code"))</f>
        <v/>
      </c>
    </row>
    <row r="6" ht="18" customHeight="1">
      <c r="A6" s="702" t="inlineStr">
        <is>
          <t>P001</t>
        </is>
      </c>
      <c r="B6" s="695" t="n">
        <v>407</v>
      </c>
      <c r="C6" s="703" t="inlineStr">
        <is>
          <t>R0157664</t>
        </is>
      </c>
      <c r="D6" s="694" t="inlineStr">
        <is>
          <t>6045 E. 76th Avenue</t>
        </is>
      </c>
      <c r="E6" s="702" t="inlineStr">
        <is>
          <t>Commerce City</t>
        </is>
      </c>
      <c r="F6" s="702" t="inlineStr">
        <is>
          <t>CO</t>
        </is>
      </c>
      <c r="G6" s="702" t="inlineStr">
        <is>
          <t>Light Industrial</t>
        </is>
      </c>
      <c r="H6" s="694" t="inlineStr">
        <is>
          <t>Distribution Warehouse</t>
        </is>
      </c>
      <c r="I6" s="704" t="n">
        <v>1988</v>
      </c>
      <c r="J6" s="704" t="n">
        <v>21000</v>
      </c>
      <c r="K6" s="704" t="n">
        <v>2023</v>
      </c>
      <c r="L6" s="705" t="n">
        <v>256200</v>
      </c>
      <c r="M6" s="705" t="n">
        <v>0</v>
      </c>
      <c r="N6" s="1135" t="n">
        <v>256200</v>
      </c>
      <c r="O6" s="705" t="n">
        <v>5867.85</v>
      </c>
      <c r="P6" s="705" t="n">
        <v>800</v>
      </c>
      <c r="Q6" s="705" t="n">
        <v>1094.49</v>
      </c>
      <c r="R6" s="705" t="n">
        <v>990</v>
      </c>
      <c r="S6" s="705" t="n">
        <v>0</v>
      </c>
      <c r="T6" s="705" t="n">
        <v>3870.75</v>
      </c>
      <c r="U6" s="705" t="n">
        <v>480</v>
      </c>
      <c r="V6" s="705" t="n">
        <v>618</v>
      </c>
      <c r="W6" s="705" t="n">
        <v>0</v>
      </c>
      <c r="X6" s="1135" t="n">
        <v>480</v>
      </c>
      <c r="Y6" s="705" t="n">
        <v>7533.24</v>
      </c>
      <c r="Z6" s="705" t="n">
        <v>9561.9</v>
      </c>
      <c r="AA6" s="705" t="n">
        <v>2200</v>
      </c>
      <c r="AB6" s="705" t="n">
        <v>2800</v>
      </c>
      <c r="AC6" s="1135" t="n">
        <v>14561.9</v>
      </c>
      <c r="AD6" s="705" t="n">
        <v>7111.97</v>
      </c>
      <c r="AE6" s="705" t="n">
        <v>760.15</v>
      </c>
      <c r="AF6" s="1135" t="n">
        <v>7872.12</v>
      </c>
      <c r="AG6" s="705" t="n">
        <v>597.59</v>
      </c>
      <c r="AH6" s="1136" t="n">
        <v>31952.69999999999</v>
      </c>
      <c r="AI6" s="1136" t="n">
        <v>59985.48</v>
      </c>
      <c r="AJ6" s="1137" t="n">
        <v>91938.17999999999</v>
      </c>
      <c r="AK6" s="1135" t="n">
        <v>164261.82</v>
      </c>
      <c r="AL6" s="705" t="n">
        <v>0</v>
      </c>
      <c r="AM6" s="702" t="n"/>
      <c r="AN6">
        <f>IF(AND($B6=Subj_OccCode,Subj_BldgSF&gt;0,ABS($J6-Subj_BldgSF)&lt;=Subj_BldgSF*Subj_SizeTol),ABS($J6-Subj_BldgSF),NA())</f>
        <v/>
      </c>
      <c r="AO6">
        <f>IF(ISNA(AN6),NA(),AN6+ROW()/10000000)</f>
        <v/>
      </c>
      <c r="AR6" s="1132">
        <f>IF(B6="","",IFERROR(INDEX(OCC_TABLE_DESC,MATCH(B6,OCC_TABLE_CODE,0)),"Unrecognized code"))</f>
        <v/>
      </c>
    </row>
    <row r="7" ht="18" customHeight="1">
      <c r="A7" s="702" t="inlineStr">
        <is>
          <t>P001</t>
        </is>
      </c>
      <c r="B7" s="695" t="n">
        <v>407</v>
      </c>
      <c r="C7" s="703" t="inlineStr">
        <is>
          <t>R0157664</t>
        </is>
      </c>
      <c r="D7" s="694" t="inlineStr">
        <is>
          <t>6045 E. 76th Avenue</t>
        </is>
      </c>
      <c r="E7" s="702" t="inlineStr">
        <is>
          <t>Commerce City</t>
        </is>
      </c>
      <c r="F7" s="702" t="inlineStr">
        <is>
          <t>CO</t>
        </is>
      </c>
      <c r="G7" s="702" t="inlineStr">
        <is>
          <t>Light Industrial</t>
        </is>
      </c>
      <c r="H7" s="694" t="inlineStr">
        <is>
          <t>Distribution Warehouse</t>
        </is>
      </c>
      <c r="I7" s="704" t="n">
        <v>1988</v>
      </c>
      <c r="J7" s="704" t="n">
        <v>21000</v>
      </c>
      <c r="K7" s="704" t="n">
        <v>2024</v>
      </c>
      <c r="L7" s="705" t="n">
        <v>229531</v>
      </c>
      <c r="M7" s="705" t="n">
        <v>0</v>
      </c>
      <c r="N7" s="1135" t="n">
        <v>229531</v>
      </c>
      <c r="O7" s="705" t="n">
        <v>1834.57</v>
      </c>
      <c r="P7" s="705" t="n">
        <v>1570</v>
      </c>
      <c r="Q7" s="705" t="n">
        <v>0</v>
      </c>
      <c r="R7" s="705" t="n">
        <v>0</v>
      </c>
      <c r="S7" s="705" t="n">
        <v>8000</v>
      </c>
      <c r="T7" s="705" t="n">
        <v>8299.799999999999</v>
      </c>
      <c r="U7" s="705" t="n">
        <v>0</v>
      </c>
      <c r="V7" s="705" t="n">
        <v>175</v>
      </c>
      <c r="W7" s="705" t="n">
        <v>0</v>
      </c>
      <c r="X7" s="1135" t="n">
        <v>819.88</v>
      </c>
      <c r="Y7" s="705" t="n">
        <v>17294.68</v>
      </c>
      <c r="Z7" s="705" t="n">
        <v>8500.75</v>
      </c>
      <c r="AA7" s="705" t="n">
        <v>3350</v>
      </c>
      <c r="AB7" s="705" t="n">
        <v>1050</v>
      </c>
      <c r="AC7" s="1135" t="n">
        <v>12900.75</v>
      </c>
      <c r="AD7" s="705" t="n">
        <v>3438.85</v>
      </c>
      <c r="AE7" s="705" t="n">
        <v>712.77</v>
      </c>
      <c r="AF7" s="1135" t="n">
        <v>4151.62</v>
      </c>
      <c r="AG7" s="705" t="n">
        <v>600.11</v>
      </c>
      <c r="AH7" s="1136" t="n">
        <v>38151.7</v>
      </c>
      <c r="AI7" s="1136" t="n">
        <v>69401.60000000001</v>
      </c>
      <c r="AJ7" s="1137" t="n">
        <v>107553.3</v>
      </c>
      <c r="AK7" s="1135" t="n">
        <v>121977.7</v>
      </c>
      <c r="AL7" s="705" t="n">
        <v>0</v>
      </c>
      <c r="AM7" s="702" t="n"/>
      <c r="AN7">
        <f>IF(AND($B7=Subj_OccCode,Subj_BldgSF&gt;0,ABS($J7-Subj_BldgSF)&lt;=Subj_BldgSF*Subj_SizeTol),ABS($J7-Subj_BldgSF),NA())</f>
        <v/>
      </c>
      <c r="AO7">
        <f>IF(ISNA(AN7),NA(),AN7+ROW()/10000000)</f>
        <v/>
      </c>
      <c r="AR7" s="1132">
        <f>IF(B7="","",IFERROR(INDEX(OCC_TABLE_DESC,MATCH(B7,OCC_TABLE_CODE,0)),"Unrecognized code"))</f>
        <v/>
      </c>
    </row>
    <row r="8" ht="18" customHeight="1">
      <c r="A8" s="702" t="inlineStr">
        <is>
          <t>P002</t>
        </is>
      </c>
      <c r="B8" s="695" t="n">
        <v>344</v>
      </c>
      <c r="C8" s="703" t="inlineStr">
        <is>
          <t>Unknown</t>
        </is>
      </c>
      <c r="D8" s="694" t="inlineStr">
        <is>
          <t>13659 E. 104th Ave</t>
        </is>
      </c>
      <c r="E8" s="702" t="inlineStr">
        <is>
          <t>Adams County</t>
        </is>
      </c>
      <c r="F8" s="702" t="inlineStr">
        <is>
          <t>CO</t>
        </is>
      </c>
      <c r="G8" s="702" t="inlineStr">
        <is>
          <t>Office/Commercial</t>
        </is>
      </c>
      <c r="H8" s="694"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1135" t="n">
        <v>24750</v>
      </c>
      <c r="Z8" s="702" t="n"/>
      <c r="AA8" s="705" t="n">
        <v>13331</v>
      </c>
      <c r="AB8" s="702" t="n"/>
      <c r="AC8" s="1135" t="n">
        <v>13331</v>
      </c>
      <c r="AD8" s="702" t="n"/>
      <c r="AE8" s="702" t="n"/>
      <c r="AF8" s="1135" t="n">
        <v>3990</v>
      </c>
      <c r="AG8" s="705" t="n">
        <v>11264</v>
      </c>
      <c r="AH8" s="1136" t="n">
        <v>75327</v>
      </c>
      <c r="AI8" s="1136" t="n">
        <v>51707</v>
      </c>
      <c r="AJ8" s="1136" t="n">
        <v>127034</v>
      </c>
      <c r="AK8" s="1136" t="n">
        <v>131774</v>
      </c>
      <c r="AL8" s="702" t="n"/>
      <c r="AM8" s="694"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1132">
        <f>IF(B8="","",IFERROR(INDEX(OCC_TABLE_DESC,MATCH(B8,OCC_TABLE_CODE,0)),"Unrecognized code"))</f>
        <v/>
      </c>
    </row>
    <row r="9" ht="18" customHeight="1">
      <c r="A9" s="702" t="inlineStr">
        <is>
          <t>P002</t>
        </is>
      </c>
      <c r="B9" s="695" t="n">
        <v>344</v>
      </c>
      <c r="C9" s="703" t="inlineStr">
        <is>
          <t>Unknown</t>
        </is>
      </c>
      <c r="D9" s="694" t="inlineStr">
        <is>
          <t>13659 E. 104th Ave</t>
        </is>
      </c>
      <c r="E9" s="702" t="inlineStr">
        <is>
          <t>Adams County</t>
        </is>
      </c>
      <c r="F9" s="702" t="inlineStr">
        <is>
          <t>CO</t>
        </is>
      </c>
      <c r="G9" s="702" t="inlineStr">
        <is>
          <t>Office/Commercial</t>
        </is>
      </c>
      <c r="H9" s="694"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1135" t="n">
        <v>37394</v>
      </c>
      <c r="Z9" s="702" t="n"/>
      <c r="AA9" s="705" t="n">
        <v>11888</v>
      </c>
      <c r="AB9" s="702" t="n"/>
      <c r="AC9" s="1135" t="n">
        <v>11888</v>
      </c>
      <c r="AD9" s="702" t="n"/>
      <c r="AE9" s="702" t="n"/>
      <c r="AF9" s="1135" t="n">
        <v>5290</v>
      </c>
      <c r="AG9" s="705" t="n">
        <v>13341</v>
      </c>
      <c r="AH9" s="1136" t="n">
        <v>93583</v>
      </c>
      <c r="AI9" s="1136" t="n">
        <v>44649</v>
      </c>
      <c r="AJ9" s="1136" t="n">
        <v>138232</v>
      </c>
      <c r="AK9" s="1136" t="n">
        <v>126727</v>
      </c>
      <c r="AL9" s="702" t="n"/>
      <c r="AM9" s="694" t="inlineStr">
        <is>
          <t>Insurance $7,442; Mgmt fee $13,020 + asset mgmt $5,208; Prof svcs $13,341; Utilities: gas/elec $1,091 + water/sewer $4,199</t>
        </is>
      </c>
      <c r="AN9">
        <f>IF(AND($B9=Subj_OccCode,Subj_BldgSF&gt;0,ABS($J9-Subj_BldgSF)&lt;=Subj_BldgSF*Subj_SizeTol),ABS($J9-Subj_BldgSF),NA())</f>
        <v/>
      </c>
      <c r="AO9">
        <f>IF(ISNA(AN9),NA(),AN9+ROW()/10000000)</f>
        <v/>
      </c>
      <c r="AR9" s="1132">
        <f>IF(B9="","",IFERROR(INDEX(OCC_TABLE_DESC,MATCH(B9,OCC_TABLE_CODE,0)),"Unrecognized code"))</f>
        <v/>
      </c>
    </row>
    <row r="10" ht="18" customHeight="1">
      <c r="A10" s="702" t="inlineStr">
        <is>
          <t>P003</t>
        </is>
      </c>
      <c r="B10" s="695" t="n">
        <v>344</v>
      </c>
      <c r="C10" s="703" t="inlineStr">
        <is>
          <t>R0024063</t>
        </is>
      </c>
      <c r="D10" s="694" t="inlineStr">
        <is>
          <t>Park Centre - Wells Fargo Bldg</t>
        </is>
      </c>
      <c r="E10" s="702" t="inlineStr">
        <is>
          <t>Westminster</t>
        </is>
      </c>
      <c r="F10" s="702" t="inlineStr">
        <is>
          <t>CO</t>
        </is>
      </c>
      <c r="G10" s="702" t="inlineStr">
        <is>
          <t>Office</t>
        </is>
      </c>
      <c r="H10" s="694"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1138" t="n"/>
      <c r="Z10" s="702" t="n"/>
      <c r="AA10" s="702" t="n"/>
      <c r="AB10" s="702" t="n"/>
      <c r="AC10" s="1138" t="n"/>
      <c r="AD10" s="702" t="n"/>
      <c r="AE10" s="702" t="n"/>
      <c r="AF10" s="1138" t="n"/>
      <c r="AG10" s="702" t="n"/>
      <c r="AH10" s="1136" t="n">
        <v>453480</v>
      </c>
      <c r="AI10" s="1136" t="n">
        <v>184874</v>
      </c>
      <c r="AJ10" s="1136" t="n">
        <v>638354</v>
      </c>
      <c r="AK10" s="1136" t="n">
        <v>473149</v>
      </c>
      <c r="AL10" s="702" t="n"/>
      <c r="AM10" s="694" t="inlineStr">
        <is>
          <t>Westfield managed; recoveries $49,658 + other $43,917 = $93,575; OpEx BT per PROFORMA REVISED.xlsx</t>
        </is>
      </c>
      <c r="AN10">
        <f>IF(AND($B10=Subj_OccCode,Subj_BldgSF&gt;0,ABS($J10-Subj_BldgSF)&lt;=Subj_BldgSF*Subj_SizeTol),ABS($J10-Subj_BldgSF),NA())</f>
        <v/>
      </c>
      <c r="AO10">
        <f>IF(ISNA(AN10),NA(),AN10+ROW()/10000000)</f>
        <v/>
      </c>
      <c r="AR10" s="1132">
        <f>IF(B10="","",IFERROR(INDEX(OCC_TABLE_DESC,MATCH(B10,OCC_TABLE_CODE,0)),"Unrecognized code"))</f>
        <v/>
      </c>
    </row>
    <row r="11" ht="18" customHeight="1">
      <c r="A11" s="702" t="inlineStr">
        <is>
          <t>P003</t>
        </is>
      </c>
      <c r="B11" s="695" t="n">
        <v>344</v>
      </c>
      <c r="C11" s="703" t="inlineStr">
        <is>
          <t>R0024063</t>
        </is>
      </c>
      <c r="D11" s="694" t="inlineStr">
        <is>
          <t>Park Centre - Wells Fargo Bldg</t>
        </is>
      </c>
      <c r="E11" s="702" t="inlineStr">
        <is>
          <t>Westminster</t>
        </is>
      </c>
      <c r="F11" s="702" t="inlineStr">
        <is>
          <t>CO</t>
        </is>
      </c>
      <c r="G11" s="702" t="inlineStr">
        <is>
          <t>Office</t>
        </is>
      </c>
      <c r="H11" s="694"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1138" t="n"/>
      <c r="Z11" s="702" t="n"/>
      <c r="AA11" s="702" t="n"/>
      <c r="AB11" s="702" t="n"/>
      <c r="AC11" s="1138" t="n"/>
      <c r="AD11" s="702" t="n"/>
      <c r="AE11" s="702" t="n"/>
      <c r="AF11" s="1138" t="n"/>
      <c r="AG11" s="702" t="n"/>
      <c r="AH11" s="1136" t="n">
        <v>488239</v>
      </c>
      <c r="AI11" s="1136" t="n">
        <v>179568</v>
      </c>
      <c r="AJ11" s="1136" t="n">
        <v>667807</v>
      </c>
      <c r="AK11" s="1136" t="n">
        <v>354195</v>
      </c>
      <c r="AL11" s="702" t="n"/>
      <c r="AM11" s="694"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1132">
        <f>IF(B11="","",IFERROR(INDEX(OCC_TABLE_DESC,MATCH(B11,OCC_TABLE_CODE,0)),"Unrecognized code"))</f>
        <v/>
      </c>
    </row>
    <row r="12" ht="18" customHeight="1">
      <c r="A12" s="702" t="inlineStr">
        <is>
          <t>P004</t>
        </is>
      </c>
      <c r="B12" s="695" t="n">
        <v>412</v>
      </c>
      <c r="C12" s="703" t="inlineStr">
        <is>
          <t>R0050221</t>
        </is>
      </c>
      <c r="D12" s="694" t="inlineStr">
        <is>
          <t>8860 Federal Blvd</t>
        </is>
      </c>
      <c r="E12" s="702" t="inlineStr">
        <is>
          <t>Adams County</t>
        </is>
      </c>
      <c r="F12" s="702" t="inlineStr">
        <is>
          <t>CO</t>
        </is>
      </c>
      <c r="G12" s="702" t="inlineStr">
        <is>
          <t>Retail</t>
        </is>
      </c>
      <c r="H12" s="694"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1138" t="n"/>
      <c r="Z12" s="702" t="n"/>
      <c r="AA12" s="702" t="n"/>
      <c r="AB12" s="702" t="n"/>
      <c r="AC12" s="1138" t="n"/>
      <c r="AD12" s="702" t="n"/>
      <c r="AE12" s="702" t="n"/>
      <c r="AF12" s="1138" t="n"/>
      <c r="AG12" s="702" t="n"/>
      <c r="AH12" s="1139" t="n"/>
      <c r="AI12" s="1136" t="n">
        <v>74000</v>
      </c>
      <c r="AJ12" s="1136" t="n">
        <v>269935</v>
      </c>
      <c r="AK12" s="1136" t="n">
        <v>300842</v>
      </c>
      <c r="AL12" s="702" t="n"/>
      <c r="AM12" s="694" t="inlineStr">
        <is>
          <t>RE Tax estimated ~$74k (2023 not detailed); Total OpEx per actuals submission; NOI confirmed</t>
        </is>
      </c>
      <c r="AN12">
        <f>IF(AND($B12=Subj_OccCode,Subj_BldgSF&gt;0,ABS($J12-Subj_BldgSF)&lt;=Subj_BldgSF*Subj_SizeTol),ABS($J12-Subj_BldgSF),NA())</f>
        <v/>
      </c>
      <c r="AO12">
        <f>IF(ISNA(AN12),NA(),AN12+ROW()/10000000)</f>
        <v/>
      </c>
      <c r="AR12" s="1132">
        <f>IF(B12="","",IFERROR(INDEX(OCC_TABLE_DESC,MATCH(B12,OCC_TABLE_CODE,0)),"Unrecognized code"))</f>
        <v/>
      </c>
    </row>
    <row r="13" ht="18" customHeight="1">
      <c r="A13" s="702" t="inlineStr">
        <is>
          <t>P004</t>
        </is>
      </c>
      <c r="B13" s="695" t="n">
        <v>412</v>
      </c>
      <c r="C13" s="703" t="inlineStr">
        <is>
          <t>R0050221</t>
        </is>
      </c>
      <c r="D13" s="694" t="inlineStr">
        <is>
          <t>8860 Federal Blvd</t>
        </is>
      </c>
      <c r="E13" s="702" t="inlineStr">
        <is>
          <t>Adams County</t>
        </is>
      </c>
      <c r="F13" s="702" t="inlineStr">
        <is>
          <t>CO</t>
        </is>
      </c>
      <c r="G13" s="702" t="inlineStr">
        <is>
          <t>Retail</t>
        </is>
      </c>
      <c r="H13" s="694"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1135" t="n">
        <v>28919</v>
      </c>
      <c r="Z13" s="705" t="n">
        <v>17561</v>
      </c>
      <c r="AA13" s="705" t="n">
        <v>2002</v>
      </c>
      <c r="AB13" s="705" t="n">
        <v>3485</v>
      </c>
      <c r="AC13" s="1135" t="n">
        <v>23048</v>
      </c>
      <c r="AD13" s="705" t="n">
        <v>12892</v>
      </c>
      <c r="AE13" s="705" t="n">
        <v>7120</v>
      </c>
      <c r="AF13" s="1135" t="n">
        <v>20012</v>
      </c>
      <c r="AG13" s="705" t="n">
        <v>10978</v>
      </c>
      <c r="AH13" s="1136" t="n">
        <v>159331</v>
      </c>
      <c r="AI13" s="1136" t="n">
        <v>105466</v>
      </c>
      <c r="AJ13" s="1136" t="n">
        <v>264797</v>
      </c>
      <c r="AK13" s="1136" t="n">
        <v>323022</v>
      </c>
      <c r="AL13" s="702" t="n"/>
      <c r="AM13" s="694"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1132">
        <f>IF(B13="","",IFERROR(INDEX(OCC_TABLE_DESC,MATCH(B13,OCC_TABLE_CODE,0)),"Unrecognized code"))</f>
        <v/>
      </c>
    </row>
    <row r="14" ht="18" customHeight="1">
      <c r="A14" s="702" t="inlineStr">
        <is>
          <t>P005</t>
        </is>
      </c>
      <c r="B14" s="695" t="n">
        <v>344</v>
      </c>
      <c r="C14" s="703" t="inlineStr">
        <is>
          <t>R0050977</t>
        </is>
      </c>
      <c r="D14" s="694" t="inlineStr">
        <is>
          <t>9351 Grant St (Horizon Terrace)</t>
        </is>
      </c>
      <c r="E14" s="702" t="inlineStr">
        <is>
          <t>Thornton</t>
        </is>
      </c>
      <c r="F14" s="702" t="inlineStr">
        <is>
          <t>CO</t>
        </is>
      </c>
      <c r="G14" s="702" t="inlineStr">
        <is>
          <t>Office</t>
        </is>
      </c>
      <c r="H14" s="694"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1135" t="n">
        <v>144543</v>
      </c>
      <c r="Z14" s="702" t="n"/>
      <c r="AA14" s="705" t="n">
        <v>108773</v>
      </c>
      <c r="AB14" s="705" t="n">
        <v>65183</v>
      </c>
      <c r="AC14" s="1135" t="n">
        <v>273332</v>
      </c>
      <c r="AD14" s="705" t="n">
        <v>14762</v>
      </c>
      <c r="AE14" s="705" t="n">
        <v>225588</v>
      </c>
      <c r="AF14" s="1135" t="n">
        <v>240350</v>
      </c>
      <c r="AG14" s="705" t="n">
        <v>32925</v>
      </c>
      <c r="AH14" s="1136" t="n">
        <v>845814</v>
      </c>
      <c r="AI14" s="1136" t="n">
        <v>372013</v>
      </c>
      <c r="AJ14" s="1136" t="n">
        <v>1217827</v>
      </c>
      <c r="AK14" s="1136" t="n">
        <v>1021407</v>
      </c>
      <c r="AL14" s="702" t="n"/>
      <c r="AM14" s="694"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1132">
        <f>IF(B14="","",IFERROR(INDEX(OCC_TABLE_DESC,MATCH(B14,OCC_TABLE_CODE,0)),"Unrecognized code"))</f>
        <v/>
      </c>
    </row>
    <row r="15" ht="18" customHeight="1">
      <c r="A15" s="702" t="inlineStr">
        <is>
          <t>P005</t>
        </is>
      </c>
      <c r="B15" s="695" t="n">
        <v>344</v>
      </c>
      <c r="C15" s="703" t="inlineStr">
        <is>
          <t>R0050977</t>
        </is>
      </c>
      <c r="D15" s="694" t="inlineStr">
        <is>
          <t>9351 Grant St (Horizon Terrace)</t>
        </is>
      </c>
      <c r="E15" s="702" t="inlineStr">
        <is>
          <t>Thornton</t>
        </is>
      </c>
      <c r="F15" s="702" t="inlineStr">
        <is>
          <t>CO</t>
        </is>
      </c>
      <c r="G15" s="702" t="inlineStr">
        <is>
          <t>Office</t>
        </is>
      </c>
      <c r="H15" s="694"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1135" t="n">
        <v>150462</v>
      </c>
      <c r="Z15" s="702" t="n"/>
      <c r="AA15" s="705" t="n">
        <v>109178</v>
      </c>
      <c r="AB15" s="702" t="n"/>
      <c r="AC15" s="1135" t="n">
        <v>262640</v>
      </c>
      <c r="AD15" s="702" t="n"/>
      <c r="AE15" s="702" t="n"/>
      <c r="AF15" s="1135" t="n">
        <v>232174</v>
      </c>
      <c r="AG15" s="705" t="n">
        <v>37416</v>
      </c>
      <c r="AH15" s="1136" t="n">
        <v>856390</v>
      </c>
      <c r="AI15" s="1136" t="n">
        <v>413583</v>
      </c>
      <c r="AJ15" s="1136" t="n">
        <v>1269973</v>
      </c>
      <c r="AK15" s="1136" t="n">
        <v>1052180</v>
      </c>
      <c r="AL15" s="702" t="n"/>
      <c r="AM15" s="694"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1132">
        <f>IF(B15="","",IFERROR(INDEX(OCC_TABLE_DESC,MATCH(B15,OCC_TABLE_CODE,0)),"Unrecognized code"))</f>
        <v/>
      </c>
    </row>
    <row r="16" ht="18" customHeight="1">
      <c r="A16" s="702" t="inlineStr">
        <is>
          <t>P006</t>
        </is>
      </c>
      <c r="B16" s="695" t="n">
        <v>210</v>
      </c>
      <c r="C16" s="703" t="inlineStr">
        <is>
          <t>R0062937</t>
        </is>
      </c>
      <c r="D16" s="694" t="inlineStr">
        <is>
          <t>8670 Wolff Ct (Sheridan Park 8)</t>
        </is>
      </c>
      <c r="E16" s="702" t="inlineStr">
        <is>
          <t>Westminster</t>
        </is>
      </c>
      <c r="F16" s="702" t="inlineStr">
        <is>
          <t>CO</t>
        </is>
      </c>
      <c r="G16" s="702" t="inlineStr">
        <is>
          <t>Office/Flex</t>
        </is>
      </c>
      <c r="H16" s="694"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1138" t="n"/>
      <c r="Z16" s="702" t="n"/>
      <c r="AA16" s="702" t="n"/>
      <c r="AB16" s="702" t="n"/>
      <c r="AC16" s="1135" t="n">
        <v>133689</v>
      </c>
      <c r="AD16" s="702" t="n"/>
      <c r="AE16" s="702" t="n"/>
      <c r="AF16" s="1135" t="n">
        <v>116321</v>
      </c>
      <c r="AG16" s="702" t="n"/>
      <c r="AH16" s="1136" t="n">
        <v>275286</v>
      </c>
      <c r="AI16" s="1136" t="n">
        <v>88705</v>
      </c>
      <c r="AJ16" s="1136" t="n">
        <v>363991</v>
      </c>
      <c r="AK16" s="1139" t="n"/>
      <c r="AL16" s="702" t="n"/>
      <c r="AM16" s="694" t="inlineStr">
        <is>
          <t>Income not available; expense-only from DYCO CAM history; CAM in contract total</t>
        </is>
      </c>
      <c r="AN16">
        <f>IF(AND($B16=Subj_OccCode,Subj_BldgSF&gt;0,ABS($J16-Subj_BldgSF)&lt;=Subj_BldgSF*Subj_SizeTol),ABS($J16-Subj_BldgSF),NA())</f>
        <v/>
      </c>
      <c r="AO16">
        <f>IF(ISNA(AN16),NA(),AN16+ROW()/10000000)</f>
        <v/>
      </c>
      <c r="AR16" s="1132">
        <f>IF(B16="","",IFERROR(INDEX(OCC_TABLE_DESC,MATCH(B16,OCC_TABLE_CODE,0)),"Unrecognized code"))</f>
        <v/>
      </c>
    </row>
    <row r="17" ht="18" customHeight="1">
      <c r="A17" s="702" t="inlineStr">
        <is>
          <t>P006</t>
        </is>
      </c>
      <c r="B17" s="695" t="n">
        <v>210</v>
      </c>
      <c r="C17" s="703" t="inlineStr">
        <is>
          <t>R0062937</t>
        </is>
      </c>
      <c r="D17" s="694" t="inlineStr">
        <is>
          <t>8670 Wolff Ct (Sheridan Park 8)</t>
        </is>
      </c>
      <c r="E17" s="702" t="inlineStr">
        <is>
          <t>Westminster</t>
        </is>
      </c>
      <c r="F17" s="702" t="inlineStr">
        <is>
          <t>CO</t>
        </is>
      </c>
      <c r="G17" s="702" t="inlineStr">
        <is>
          <t>Office/Flex</t>
        </is>
      </c>
      <c r="H17" s="694"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1138" t="n"/>
      <c r="Z17" s="702" t="n"/>
      <c r="AA17" s="702" t="n"/>
      <c r="AB17" s="702" t="n"/>
      <c r="AC17" s="1135" t="n">
        <v>104519</v>
      </c>
      <c r="AD17" s="702" t="n"/>
      <c r="AE17" s="702" t="n"/>
      <c r="AF17" s="1135" t="n">
        <v>108857</v>
      </c>
      <c r="AG17" s="702" t="n"/>
      <c r="AH17" s="1136" t="n">
        <v>238202</v>
      </c>
      <c r="AI17" s="1136" t="n">
        <v>84200</v>
      </c>
      <c r="AJ17" s="1136" t="n">
        <v>322402</v>
      </c>
      <c r="AK17" s="1139" t="n"/>
      <c r="AL17" s="702" t="n"/>
      <c r="AM17" s="694" t="inlineStr">
        <is>
          <t>Income not available; expense-only from DYCO CAM history</t>
        </is>
      </c>
      <c r="AN17">
        <f>IF(AND($B17=Subj_OccCode,Subj_BldgSF&gt;0,ABS($J17-Subj_BldgSF)&lt;=Subj_BldgSF*Subj_SizeTol),ABS($J17-Subj_BldgSF),NA())</f>
        <v/>
      </c>
      <c r="AO17">
        <f>IF(ISNA(AN17),NA(),AN17+ROW()/10000000)</f>
        <v/>
      </c>
      <c r="AR17" s="1132">
        <f>IF(B17="","",IFERROR(INDEX(OCC_TABLE_DESC,MATCH(B17,OCC_TABLE_CODE,0)),"Unrecognized code"))</f>
        <v/>
      </c>
    </row>
    <row r="18" ht="18" customHeight="1">
      <c r="A18" s="702" t="inlineStr">
        <is>
          <t>P006</t>
        </is>
      </c>
      <c r="B18" s="695" t="n">
        <v>210</v>
      </c>
      <c r="C18" s="703" t="inlineStr">
        <is>
          <t>R0062937</t>
        </is>
      </c>
      <c r="D18" s="694" t="inlineStr">
        <is>
          <t>8670 Wolff Ct (Sheridan Park 8)</t>
        </is>
      </c>
      <c r="E18" s="702" t="inlineStr">
        <is>
          <t>Westminster</t>
        </is>
      </c>
      <c r="F18" s="702" t="inlineStr">
        <is>
          <t>CO</t>
        </is>
      </c>
      <c r="G18" s="702" t="inlineStr">
        <is>
          <t>Office/Flex</t>
        </is>
      </c>
      <c r="H18" s="694"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1138" t="n"/>
      <c r="Z18" s="702" t="n"/>
      <c r="AA18" s="702" t="n"/>
      <c r="AB18" s="702" t="n"/>
      <c r="AC18" s="1135" t="n">
        <v>112201</v>
      </c>
      <c r="AD18" s="702" t="n"/>
      <c r="AE18" s="702" t="n"/>
      <c r="AF18" s="1135" t="n">
        <v>111968</v>
      </c>
      <c r="AG18" s="702" t="n"/>
      <c r="AH18" s="1136" t="n">
        <v>252988</v>
      </c>
      <c r="AI18" s="1136" t="n">
        <v>137142</v>
      </c>
      <c r="AJ18" s="1136" t="n">
        <v>390130</v>
      </c>
      <c r="AK18" s="1139" t="n"/>
      <c r="AL18" s="702" t="n"/>
      <c r="AM18" s="694"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1132">
        <f>IF(B18="","",IFERROR(INDEX(OCC_TABLE_DESC,MATCH(B18,OCC_TABLE_CODE,0)),"Unrecognized code"))</f>
        <v/>
      </c>
    </row>
    <row r="19" ht="18" customHeight="1">
      <c r="A19" s="702" t="inlineStr">
        <is>
          <t>P006</t>
        </is>
      </c>
      <c r="B19" s="695" t="n">
        <v>210</v>
      </c>
      <c r="C19" s="703" t="inlineStr">
        <is>
          <t>R0062937</t>
        </is>
      </c>
      <c r="D19" s="694" t="inlineStr">
        <is>
          <t>8670 Wolff Ct (Sheridan Park 8)</t>
        </is>
      </c>
      <c r="E19" s="702" t="inlineStr">
        <is>
          <t>Westminster</t>
        </is>
      </c>
      <c r="F19" s="702" t="inlineStr">
        <is>
          <t>CO</t>
        </is>
      </c>
      <c r="G19" s="702" t="inlineStr">
        <is>
          <t>Office/Flex</t>
        </is>
      </c>
      <c r="H19" s="694"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1138" t="n"/>
      <c r="Z19" s="702" t="n"/>
      <c r="AA19" s="702" t="n"/>
      <c r="AB19" s="702" t="n"/>
      <c r="AC19" s="1135" t="n">
        <v>116495</v>
      </c>
      <c r="AD19" s="702" t="n"/>
      <c r="AE19" s="702" t="n"/>
      <c r="AF19" s="1135" t="n">
        <v>111903</v>
      </c>
      <c r="AG19" s="702" t="n"/>
      <c r="AH19" s="1136" t="n">
        <v>255052</v>
      </c>
      <c r="AI19" s="1136" t="n">
        <v>131777</v>
      </c>
      <c r="AJ19" s="1136" t="n">
        <v>386829</v>
      </c>
      <c r="AK19" s="1139" t="n"/>
      <c r="AL19" s="702" t="n"/>
      <c r="AM19" s="694" t="inlineStr">
        <is>
          <t>Income not available; 2023 YTD annualized per DYCO</t>
        </is>
      </c>
      <c r="AN19">
        <f>IF(AND($B19=Subj_OccCode,Subj_BldgSF&gt;0,ABS($J19-Subj_BldgSF)&lt;=Subj_BldgSF*Subj_SizeTol),ABS($J19-Subj_BldgSF),NA())</f>
        <v/>
      </c>
      <c r="AO19">
        <f>IF(ISNA(AN19),NA(),AN19+ROW()/10000000)</f>
        <v/>
      </c>
      <c r="AR19" s="1132">
        <f>IF(B19="","",IFERROR(INDEX(OCC_TABLE_DESC,MATCH(B19,OCC_TABLE_CODE,0)),"Unrecognized code"))</f>
        <v/>
      </c>
    </row>
    <row r="20" ht="18" customHeight="1">
      <c r="A20" s="702" t="inlineStr">
        <is>
          <t>P006</t>
        </is>
      </c>
      <c r="B20" s="695" t="n">
        <v>210</v>
      </c>
      <c r="C20" s="703" t="inlineStr">
        <is>
          <t>R0062937</t>
        </is>
      </c>
      <c r="D20" s="694" t="inlineStr">
        <is>
          <t>8670 Wolff Ct (Sheridan Park 8)</t>
        </is>
      </c>
      <c r="E20" s="702" t="inlineStr">
        <is>
          <t>Westminster</t>
        </is>
      </c>
      <c r="F20" s="702" t="inlineStr">
        <is>
          <t>CO</t>
        </is>
      </c>
      <c r="G20" s="702" t="inlineStr">
        <is>
          <t>Office/Flex</t>
        </is>
      </c>
      <c r="H20" s="694"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1138" t="n"/>
      <c r="Z20" s="702" t="n"/>
      <c r="AA20" s="702" t="n"/>
      <c r="AB20" s="702" t="n"/>
      <c r="AC20" s="1135" t="n">
        <v>139794</v>
      </c>
      <c r="AD20" s="702" t="n"/>
      <c r="AE20" s="702" t="n"/>
      <c r="AF20" s="1135" t="n">
        <v>134284</v>
      </c>
      <c r="AG20" s="702" t="n"/>
      <c r="AH20" s="1136" t="n">
        <v>304332</v>
      </c>
      <c r="AI20" s="1136" t="n">
        <v>131777</v>
      </c>
      <c r="AJ20" s="1136" t="n">
        <v>436109</v>
      </c>
      <c r="AK20" s="1139" t="n"/>
      <c r="AL20" s="702" t="n"/>
      <c r="AM20" s="694" t="inlineStr">
        <is>
          <t>Income not available; 2024 actuals per DYCO CAM history</t>
        </is>
      </c>
      <c r="AN20">
        <f>IF(AND($B20=Subj_OccCode,Subj_BldgSF&gt;0,ABS($J20-Subj_BldgSF)&lt;=Subj_BldgSF*Subj_SizeTol),ABS($J20-Subj_BldgSF),NA())</f>
        <v/>
      </c>
      <c r="AO20">
        <f>IF(ISNA(AN20),NA(),AN20+ROW()/10000000)</f>
        <v/>
      </c>
      <c r="AR20" s="1132">
        <f>IF(B20="","",IFERROR(INDEX(OCC_TABLE_DESC,MATCH(B20,OCC_TABLE_CODE,0)),"Unrecognized code"))</f>
        <v/>
      </c>
    </row>
    <row r="21" ht="18" customHeight="1">
      <c r="A21" s="702" t="inlineStr">
        <is>
          <t>P007</t>
        </is>
      </c>
      <c r="B21" s="695" t="n">
        <v>341</v>
      </c>
      <c r="C21" s="703" t="inlineStr">
        <is>
          <t>R0062944</t>
        </is>
      </c>
      <c r="D21" s="694" t="inlineStr">
        <is>
          <t>8787 (medical office complex)</t>
        </is>
      </c>
      <c r="E21" s="702" t="inlineStr">
        <is>
          <t>Adams County</t>
        </is>
      </c>
      <c r="F21" s="702" t="inlineStr">
        <is>
          <t>CO</t>
        </is>
      </c>
      <c r="G21" s="702" t="inlineStr">
        <is>
          <t>Medical Office</t>
        </is>
      </c>
      <c r="H21" s="694"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1135" t="n">
        <v>26521</v>
      </c>
      <c r="Z21" s="705" t="n">
        <v>2032</v>
      </c>
      <c r="AA21" s="705" t="n">
        <v>11685</v>
      </c>
      <c r="AB21" s="705" t="n">
        <v>6338</v>
      </c>
      <c r="AC21" s="1135" t="n">
        <v>20055</v>
      </c>
      <c r="AD21" s="705" t="n">
        <v>7660</v>
      </c>
      <c r="AE21" s="705" t="n">
        <v>37676</v>
      </c>
      <c r="AF21" s="1135" t="n">
        <v>45336</v>
      </c>
      <c r="AG21" s="705" t="n">
        <v>18144</v>
      </c>
      <c r="AH21" s="1136" t="n">
        <v>151355</v>
      </c>
      <c r="AI21" s="1136" t="n">
        <v>53397</v>
      </c>
      <c r="AJ21" s="1136" t="n">
        <v>204752</v>
      </c>
      <c r="AK21" s="1136" t="n">
        <v>189057</v>
      </c>
      <c r="AL21" s="702" t="n"/>
      <c r="AM21" s="694"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1132">
        <f>IF(B21="","",IFERROR(INDEX(OCC_TABLE_DESC,MATCH(B21,OCC_TABLE_CODE,0)),"Unrecognized code"))</f>
        <v/>
      </c>
    </row>
    <row r="22" ht="18" customHeight="1">
      <c r="A22" s="702" t="inlineStr">
        <is>
          <t>P007</t>
        </is>
      </c>
      <c r="B22" s="695" t="n">
        <v>341</v>
      </c>
      <c r="C22" s="703" t="inlineStr">
        <is>
          <t>R0062944</t>
        </is>
      </c>
      <c r="D22" s="694" t="inlineStr">
        <is>
          <t>8787 (medical office complex)</t>
        </is>
      </c>
      <c r="E22" s="702" t="inlineStr">
        <is>
          <t>Adams County</t>
        </is>
      </c>
      <c r="F22" s="702" t="inlineStr">
        <is>
          <t>CO</t>
        </is>
      </c>
      <c r="G22" s="702" t="inlineStr">
        <is>
          <t>Medical Office</t>
        </is>
      </c>
      <c r="H22" s="694"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1135" t="n">
        <v>25835</v>
      </c>
      <c r="Z22" s="705" t="n">
        <v>1958</v>
      </c>
      <c r="AA22" s="705" t="n">
        <v>15696</v>
      </c>
      <c r="AB22" s="705" t="n">
        <v>5885</v>
      </c>
      <c r="AC22" s="1135" t="n">
        <v>23539</v>
      </c>
      <c r="AD22" s="705" t="n">
        <v>6421</v>
      </c>
      <c r="AE22" s="705" t="n">
        <v>33074</v>
      </c>
      <c r="AF22" s="1135" t="n">
        <v>39495</v>
      </c>
      <c r="AG22" s="705" t="n">
        <v>16022</v>
      </c>
      <c r="AH22" s="1136" t="n">
        <v>170540</v>
      </c>
      <c r="AI22" s="1136" t="n">
        <v>63200</v>
      </c>
      <c r="AJ22" s="1136" t="n">
        <v>233740</v>
      </c>
      <c r="AK22" s="1136" t="n">
        <v>156757</v>
      </c>
      <c r="AL22" s="702" t="n"/>
      <c r="AM22" s="694"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1132">
        <f>IF(B22="","",IFERROR(INDEX(OCC_TABLE_DESC,MATCH(B22,OCC_TABLE_CODE,0)),"Unrecognized code"))</f>
        <v/>
      </c>
    </row>
    <row r="23" ht="18" customHeight="1">
      <c r="A23" s="702" t="inlineStr">
        <is>
          <t>P008</t>
        </is>
      </c>
      <c r="B23" s="695" t="n">
        <v>210</v>
      </c>
      <c r="C23" s="703" t="inlineStr">
        <is>
          <t>R0070622</t>
        </is>
      </c>
      <c r="D23" s="694" t="inlineStr">
        <is>
          <t>460-550 E. 76th Ave (WPC Corporate)</t>
        </is>
      </c>
      <c r="E23" s="702" t="inlineStr">
        <is>
          <t>Adams County</t>
        </is>
      </c>
      <c r="F23" s="702" t="inlineStr">
        <is>
          <t>CO</t>
        </is>
      </c>
      <c r="G23" s="702" t="inlineStr">
        <is>
          <t>Industrial</t>
        </is>
      </c>
      <c r="H23" s="694"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1138" t="n"/>
      <c r="Z23" s="702" t="n"/>
      <c r="AA23" s="702" t="n"/>
      <c r="AB23" s="702" t="n"/>
      <c r="AC23" s="1138" t="n"/>
      <c r="AD23" s="702" t="n"/>
      <c r="AE23" s="702" t="n"/>
      <c r="AF23" s="1138" t="n"/>
      <c r="AG23" s="702" t="n"/>
      <c r="AH23" s="1139" t="n"/>
      <c r="AI23" s="1139" t="n"/>
      <c r="AJ23" s="1136" t="n">
        <v>1338440</v>
      </c>
      <c r="AK23" s="1136" t="n">
        <v>1412098</v>
      </c>
      <c r="AL23" s="702" t="n"/>
      <c r="AM23" s="694"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1132">
        <f>IF(B23="","",IFERROR(INDEX(OCC_TABLE_DESC,MATCH(B23,OCC_TABLE_CODE,0)),"Unrecognized code"))</f>
        <v/>
      </c>
    </row>
    <row r="24" ht="18" customHeight="1">
      <c r="A24" s="702" t="inlineStr">
        <is>
          <t>P009</t>
        </is>
      </c>
      <c r="B24" s="695" t="n">
        <v>407</v>
      </c>
      <c r="C24" s="703" t="inlineStr">
        <is>
          <t>R0075212</t>
        </is>
      </c>
      <c r="D24" s="694" t="inlineStr">
        <is>
          <t>10500 Havana Court</t>
        </is>
      </c>
      <c r="E24" s="702" t="inlineStr">
        <is>
          <t>Adams County</t>
        </is>
      </c>
      <c r="F24" s="702" t="inlineStr">
        <is>
          <t>CO</t>
        </is>
      </c>
      <c r="G24" s="702" t="inlineStr">
        <is>
          <t>Industrial</t>
        </is>
      </c>
      <c r="H24" s="694"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1135" t="n">
        <v>12804</v>
      </c>
      <c r="Z24" s="702" t="n"/>
      <c r="AA24" s="705" t="n">
        <v>6910</v>
      </c>
      <c r="AB24" s="705" t="n">
        <v>1800</v>
      </c>
      <c r="AC24" s="1135" t="n">
        <v>8710</v>
      </c>
      <c r="AD24" s="705" t="n">
        <v>2209</v>
      </c>
      <c r="AE24" s="705" t="n">
        <v>1956</v>
      </c>
      <c r="AF24" s="1135" t="n">
        <v>4165</v>
      </c>
      <c r="AG24" s="705" t="n">
        <v>8397</v>
      </c>
      <c r="AH24" s="1136" t="n">
        <v>127005</v>
      </c>
      <c r="AI24" s="1136" t="n">
        <v>60552</v>
      </c>
      <c r="AJ24" s="1136" t="n">
        <v>187557</v>
      </c>
      <c r="AK24" s="1136" t="n">
        <v>265550</v>
      </c>
      <c r="AL24" s="702" t="n"/>
      <c r="AM24" s="694"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1132">
        <f>IF(B24="","",IFERROR(INDEX(OCC_TABLE_DESC,MATCH(B24,OCC_TABLE_CODE,0)),"Unrecognized code"))</f>
        <v/>
      </c>
    </row>
    <row r="25" ht="18" customHeight="1">
      <c r="A25" s="702" t="inlineStr">
        <is>
          <t>P009</t>
        </is>
      </c>
      <c r="B25" s="695" t="n">
        <v>407</v>
      </c>
      <c r="C25" s="703" t="inlineStr">
        <is>
          <t>R0075212</t>
        </is>
      </c>
      <c r="D25" s="694" t="inlineStr">
        <is>
          <t>10500 Havana Court</t>
        </is>
      </c>
      <c r="E25" s="702" t="inlineStr">
        <is>
          <t>Adams County</t>
        </is>
      </c>
      <c r="F25" s="702" t="inlineStr">
        <is>
          <t>CO</t>
        </is>
      </c>
      <c r="G25" s="702" t="inlineStr">
        <is>
          <t>Industrial</t>
        </is>
      </c>
      <c r="H25" s="694"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1135" t="n">
        <v>9601</v>
      </c>
      <c r="Z25" s="702" t="n"/>
      <c r="AA25" s="705" t="n">
        <v>3045</v>
      </c>
      <c r="AB25" s="705" t="n">
        <v>1960</v>
      </c>
      <c r="AC25" s="1135" t="n">
        <v>5005</v>
      </c>
      <c r="AD25" s="705" t="n">
        <v>3555</v>
      </c>
      <c r="AE25" s="705" t="n">
        <v>1567</v>
      </c>
      <c r="AF25" s="1135" t="n">
        <v>5122</v>
      </c>
      <c r="AG25" s="705" t="n">
        <v>10035</v>
      </c>
      <c r="AH25" s="1136" t="n">
        <v>69350</v>
      </c>
      <c r="AI25" s="1136" t="n">
        <v>101114</v>
      </c>
      <c r="AJ25" s="1136" t="n">
        <v>170464</v>
      </c>
      <c r="AK25" s="1136" t="n">
        <v>290993</v>
      </c>
      <c r="AL25" s="702" t="n"/>
      <c r="AM25" s="694"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1132">
        <f>IF(B25="","",IFERROR(INDEX(OCC_TABLE_DESC,MATCH(B25,OCC_TABLE_CODE,0)),"Unrecognized code"))</f>
        <v/>
      </c>
    </row>
    <row r="26" ht="18" customHeight="1">
      <c r="A26" s="702" t="inlineStr">
        <is>
          <t>P010</t>
        </is>
      </c>
      <c r="B26" s="695" t="n">
        <v>210</v>
      </c>
      <c r="C26" s="703" t="inlineStr">
        <is>
          <t>R0098225</t>
        </is>
      </c>
      <c r="D26" s="694" t="inlineStr">
        <is>
          <t>Broadway Business Center (7040B Broadway)</t>
        </is>
      </c>
      <c r="E26" s="702" t="inlineStr">
        <is>
          <t>Denver</t>
        </is>
      </c>
      <c r="F26" s="702" t="inlineStr">
        <is>
          <t>CO</t>
        </is>
      </c>
      <c r="G26" s="702" t="inlineStr">
        <is>
          <t>Flex/Industrial</t>
        </is>
      </c>
      <c r="H26" s="694"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1135" t="n">
        <v>66445</v>
      </c>
      <c r="Z26" s="705" t="n">
        <v>49021</v>
      </c>
      <c r="AA26" s="705" t="n">
        <v>22802</v>
      </c>
      <c r="AB26" s="705" t="n">
        <v>58641</v>
      </c>
      <c r="AC26" s="1135" t="n">
        <v>130464</v>
      </c>
      <c r="AD26" s="705" t="n">
        <v>53517</v>
      </c>
      <c r="AE26" s="702" t="n"/>
      <c r="AF26" s="1135" t="n">
        <v>75845</v>
      </c>
      <c r="AG26" s="702" t="n"/>
      <c r="AH26" s="1136" t="n">
        <v>484485</v>
      </c>
      <c r="AI26" s="1136" t="n">
        <v>229515</v>
      </c>
      <c r="AJ26" s="1136" t="n">
        <v>714000</v>
      </c>
      <c r="AK26" s="1136" t="n">
        <v>533000</v>
      </c>
      <c r="AL26" s="702" t="n"/>
      <c r="AM26" s="694"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1132">
        <f>IF(B26="","",IFERROR(INDEX(OCC_TABLE_DESC,MATCH(B26,OCC_TABLE_CODE,0)),"Unrecognized code"))</f>
        <v/>
      </c>
    </row>
    <row r="27" ht="18" customHeight="1">
      <c r="A27" s="702" t="inlineStr">
        <is>
          <t>P010</t>
        </is>
      </c>
      <c r="B27" s="695" t="n">
        <v>210</v>
      </c>
      <c r="C27" s="703" t="inlineStr">
        <is>
          <t>R0098225</t>
        </is>
      </c>
      <c r="D27" s="694" t="inlineStr">
        <is>
          <t>Broadway Business Center (7040B Broadway)</t>
        </is>
      </c>
      <c r="E27" s="702" t="inlineStr">
        <is>
          <t>Denver</t>
        </is>
      </c>
      <c r="F27" s="702" t="inlineStr">
        <is>
          <t>CO</t>
        </is>
      </c>
      <c r="G27" s="702" t="inlineStr">
        <is>
          <t>Flex/Industrial</t>
        </is>
      </c>
      <c r="H27" s="694"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1135" t="n">
        <v>75128</v>
      </c>
      <c r="Z27" s="705" t="n">
        <v>58998</v>
      </c>
      <c r="AA27" s="705" t="n">
        <v>18144</v>
      </c>
      <c r="AB27" s="705" t="n">
        <v>52328</v>
      </c>
      <c r="AC27" s="1135" t="n">
        <v>129470</v>
      </c>
      <c r="AD27" s="705" t="n">
        <v>87196</v>
      </c>
      <c r="AE27" s="702" t="n"/>
      <c r="AF27" s="1135" t="n">
        <v>100191</v>
      </c>
      <c r="AG27" s="702" t="n"/>
      <c r="AH27" s="1136" t="n">
        <v>502686</v>
      </c>
      <c r="AI27" s="1136" t="n">
        <v>544314</v>
      </c>
      <c r="AJ27" s="1136" t="n">
        <v>1047000</v>
      </c>
      <c r="AK27" s="1136" t="n">
        <v>640000</v>
      </c>
      <c r="AL27" s="702" t="n"/>
      <c r="AM27" s="694"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1132">
        <f>IF(B27="","",IFERROR(INDEX(OCC_TABLE_DESC,MATCH(B27,OCC_TABLE_CODE,0)),"Unrecognized code"))</f>
        <v/>
      </c>
    </row>
    <row r="28" ht="18" customHeight="1">
      <c r="A28" s="702" t="inlineStr">
        <is>
          <t>P011</t>
        </is>
      </c>
      <c r="B28" s="695" t="n">
        <v>210</v>
      </c>
      <c r="C28" s="703" t="inlineStr">
        <is>
          <t>R0103767</t>
        </is>
      </c>
      <c r="D28" s="694" t="inlineStr">
        <is>
          <t>5650 Washington St (Washington Business Park)</t>
        </is>
      </c>
      <c r="E28" s="702" t="inlineStr">
        <is>
          <t>Adams County</t>
        </is>
      </c>
      <c r="F28" s="702" t="inlineStr">
        <is>
          <t>CO</t>
        </is>
      </c>
      <c r="G28" s="702" t="inlineStr">
        <is>
          <t>Industrial/Flex</t>
        </is>
      </c>
      <c r="H28" s="694"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1135" t="n">
        <v>71762</v>
      </c>
      <c r="Z28" s="702" t="n"/>
      <c r="AA28" s="705" t="n">
        <v>6528</v>
      </c>
      <c r="AB28" s="702" t="n"/>
      <c r="AC28" s="1135" t="n">
        <v>6528</v>
      </c>
      <c r="AD28" s="705" t="n">
        <v>4858</v>
      </c>
      <c r="AE28" s="705" t="n">
        <v>525</v>
      </c>
      <c r="AF28" s="1135" t="n">
        <v>5383</v>
      </c>
      <c r="AG28" s="702" t="n"/>
      <c r="AH28" s="1136" t="n">
        <v>209625</v>
      </c>
      <c r="AI28" s="1136" t="n">
        <v>64792</v>
      </c>
      <c r="AJ28" s="1136" t="n">
        <v>274417</v>
      </c>
      <c r="AK28" s="1136" t="n">
        <v>227649</v>
      </c>
      <c r="AL28" s="702" t="n"/>
      <c r="AM28" s="694"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1132">
        <f>IF(B28="","",IFERROR(INDEX(OCC_TABLE_DESC,MATCH(B28,OCC_TABLE_CODE,0)),"Unrecognized code"))</f>
        <v/>
      </c>
    </row>
    <row r="29" ht="18" customHeight="1">
      <c r="A29" s="702" t="inlineStr">
        <is>
          <t>P011</t>
        </is>
      </c>
      <c r="B29" s="695" t="n">
        <v>210</v>
      </c>
      <c r="C29" s="703" t="inlineStr">
        <is>
          <t>R0103767</t>
        </is>
      </c>
      <c r="D29" s="694" t="inlineStr">
        <is>
          <t>5650 Washington St (Washington Business Park)</t>
        </is>
      </c>
      <c r="E29" s="702" t="inlineStr">
        <is>
          <t>Adams County</t>
        </is>
      </c>
      <c r="F29" s="702" t="inlineStr">
        <is>
          <t>CO</t>
        </is>
      </c>
      <c r="G29" s="702" t="inlineStr">
        <is>
          <t>Industrial/Flex</t>
        </is>
      </c>
      <c r="H29" s="694"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1135" t="n">
        <v>83293</v>
      </c>
      <c r="Z29" s="702" t="n"/>
      <c r="AA29" s="705" t="n">
        <v>6029</v>
      </c>
      <c r="AB29" s="702" t="n"/>
      <c r="AC29" s="1135" t="n">
        <v>6029</v>
      </c>
      <c r="AD29" s="705" t="n">
        <v>6487</v>
      </c>
      <c r="AE29" s="702" t="n"/>
      <c r="AF29" s="1135" t="n">
        <v>6487</v>
      </c>
      <c r="AG29" s="702" t="n"/>
      <c r="AH29" s="1136" t="n">
        <v>141304</v>
      </c>
      <c r="AI29" s="1136" t="n">
        <v>63133</v>
      </c>
      <c r="AJ29" s="1136" t="n">
        <v>204437</v>
      </c>
      <c r="AK29" s="1136" t="n">
        <v>328030</v>
      </c>
      <c r="AL29" s="702" t="n"/>
      <c r="AM29" s="694"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1132">
        <f>IF(B29="","",IFERROR(INDEX(OCC_TABLE_DESC,MATCH(B29,OCC_TABLE_CODE,0)),"Unrecognized code"))</f>
        <v/>
      </c>
    </row>
    <row r="30" ht="18" customHeight="1">
      <c r="A30" s="702" t="inlineStr">
        <is>
          <t>P011</t>
        </is>
      </c>
      <c r="B30" s="695" t="n">
        <v>210</v>
      </c>
      <c r="C30" s="703" t="inlineStr">
        <is>
          <t>R0103767</t>
        </is>
      </c>
      <c r="D30" s="694" t="inlineStr">
        <is>
          <t>5650 Washington St (Washington Business Park)</t>
        </is>
      </c>
      <c r="E30" s="702" t="inlineStr">
        <is>
          <t>Adams County</t>
        </is>
      </c>
      <c r="F30" s="702" t="inlineStr">
        <is>
          <t>CO</t>
        </is>
      </c>
      <c r="G30" s="702" t="inlineStr">
        <is>
          <t>Industrial/Flex</t>
        </is>
      </c>
      <c r="H30" s="694"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1135" t="n">
        <v>32385</v>
      </c>
      <c r="Z30" s="702" t="n"/>
      <c r="AA30" s="705" t="n">
        <v>4814</v>
      </c>
      <c r="AB30" s="702" t="n"/>
      <c r="AC30" s="1135" t="n">
        <v>4814</v>
      </c>
      <c r="AD30" s="705" t="n">
        <v>5690</v>
      </c>
      <c r="AE30" s="702" t="n"/>
      <c r="AF30" s="1135" t="n">
        <v>5690</v>
      </c>
      <c r="AG30" s="702" t="n"/>
      <c r="AH30" s="1139" t="n"/>
      <c r="AI30" s="1139" t="n"/>
      <c r="AJ30" s="1136" t="n">
        <v>331645</v>
      </c>
      <c r="AK30" s="1136" t="n">
        <v>185389</v>
      </c>
      <c r="AL30" s="702" t="n"/>
      <c r="AM30" s="694"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1132">
        <f>IF(B30="","",IFERROR(INDEX(OCC_TABLE_DESC,MATCH(B30,OCC_TABLE_CODE,0)),"Unrecognized code"))</f>
        <v/>
      </c>
    </row>
    <row r="31" ht="18" customHeight="1">
      <c r="A31" s="702" t="inlineStr">
        <is>
          <t>P012</t>
        </is>
      </c>
      <c r="B31" s="695" t="n">
        <v>344</v>
      </c>
      <c r="C31" s="703" t="inlineStr">
        <is>
          <t>R0124385</t>
        </is>
      </c>
      <c r="D31" s="694" t="inlineStr">
        <is>
          <t>Unknown (Tax District 555)</t>
        </is>
      </c>
      <c r="E31" s="702" t="inlineStr">
        <is>
          <t>Adams County</t>
        </is>
      </c>
      <c r="F31" s="702" t="inlineStr">
        <is>
          <t>CO</t>
        </is>
      </c>
      <c r="G31" s="702" t="inlineStr">
        <is>
          <t>Office</t>
        </is>
      </c>
      <c r="H31" s="694"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1138" t="n"/>
      <c r="Z31" s="702" t="n"/>
      <c r="AA31" s="702" t="n"/>
      <c r="AB31" s="702" t="n"/>
      <c r="AC31" s="1138" t="n"/>
      <c r="AD31" s="702" t="n"/>
      <c r="AE31" s="702" t="n"/>
      <c r="AF31" s="1138" t="n"/>
      <c r="AG31" s="702" t="n"/>
      <c r="AH31" s="1136" t="n">
        <v>108096</v>
      </c>
      <c r="AI31" s="1136" t="n">
        <v>45179</v>
      </c>
      <c r="AJ31" s="1136" t="n">
        <v>153275</v>
      </c>
      <c r="AK31" s="1136" t="n">
        <v>167644</v>
      </c>
      <c r="AL31" s="702" t="n"/>
      <c r="AM31" s="694" t="inlineStr">
        <is>
          <t>Limited line-item detail; totals from PROFORMA BASIS FOR OFFER.xlsx actuals section</t>
        </is>
      </c>
      <c r="AN31">
        <f>IF(AND($B31=Subj_OccCode,Subj_BldgSF&gt;0,ABS($J31-Subj_BldgSF)&lt;=Subj_BldgSF*Subj_SizeTol),ABS($J31-Subj_BldgSF),NA())</f>
        <v/>
      </c>
      <c r="AO31">
        <f>IF(ISNA(AN31),NA(),AN31+ROW()/10000000)</f>
        <v/>
      </c>
      <c r="AR31" s="1132">
        <f>IF(B31="","",IFERROR(INDEX(OCC_TABLE_DESC,MATCH(B31,OCC_TABLE_CODE,0)),"Unrecognized code"))</f>
        <v/>
      </c>
    </row>
    <row r="32" ht="18" customHeight="1">
      <c r="A32" s="702" t="inlineStr">
        <is>
          <t>P012</t>
        </is>
      </c>
      <c r="B32" s="695" t="n">
        <v>344</v>
      </c>
      <c r="C32" s="703" t="inlineStr">
        <is>
          <t>R0124385</t>
        </is>
      </c>
      <c r="D32" s="694" t="inlineStr">
        <is>
          <t>Unknown (Tax District 555)</t>
        </is>
      </c>
      <c r="E32" s="702" t="inlineStr">
        <is>
          <t>Adams County</t>
        </is>
      </c>
      <c r="F32" s="702" t="inlineStr">
        <is>
          <t>CO</t>
        </is>
      </c>
      <c r="G32" s="702" t="inlineStr">
        <is>
          <t>Office</t>
        </is>
      </c>
      <c r="H32" s="694"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1138" t="n"/>
      <c r="Z32" s="702" t="n"/>
      <c r="AA32" s="702" t="n"/>
      <c r="AB32" s="702" t="n"/>
      <c r="AC32" s="1138" t="n"/>
      <c r="AD32" s="702" t="n"/>
      <c r="AE32" s="702" t="n"/>
      <c r="AF32" s="1138" t="n"/>
      <c r="AG32" s="702" t="n"/>
      <c r="AH32" s="1136" t="n">
        <v>127491</v>
      </c>
      <c r="AI32" s="1136" t="n">
        <v>43698</v>
      </c>
      <c r="AJ32" s="1136" t="n">
        <v>185189</v>
      </c>
      <c r="AK32" s="1136" t="n">
        <v>171065</v>
      </c>
      <c r="AL32" s="702" t="n"/>
      <c r="AM32" s="694" t="inlineStr">
        <is>
          <t>CapEx $14,000 non-recurring excluded from OPX; limited line-item detail</t>
        </is>
      </c>
      <c r="AN32">
        <f>IF(AND($B32=Subj_OccCode,Subj_BldgSF&gt;0,ABS($J32-Subj_BldgSF)&lt;=Subj_BldgSF*Subj_SizeTol),ABS($J32-Subj_BldgSF),NA())</f>
        <v/>
      </c>
      <c r="AO32">
        <f>IF(ISNA(AN32),NA(),AN32+ROW()/10000000)</f>
        <v/>
      </c>
      <c r="AR32" s="1132">
        <f>IF(B32="","",IFERROR(INDEX(OCC_TABLE_DESC,MATCH(B32,OCC_TABLE_CODE,0)),"Unrecognized code"))</f>
        <v/>
      </c>
    </row>
    <row r="33" ht="18" customHeight="1">
      <c r="A33" s="702" t="inlineStr">
        <is>
          <t>P013</t>
        </is>
      </c>
      <c r="B33" s="695" t="n">
        <v>353</v>
      </c>
      <c r="C33" s="703" t="inlineStr">
        <is>
          <t>R0169176</t>
        </is>
      </c>
      <c r="D33" s="694" t="inlineStr">
        <is>
          <t>Unknown (new const., opened Oct 2023)</t>
        </is>
      </c>
      <c r="E33" s="702" t="inlineStr">
        <is>
          <t>Adams County</t>
        </is>
      </c>
      <c r="F33" s="702" t="inlineStr">
        <is>
          <t>CO</t>
        </is>
      </c>
      <c r="G33" s="702" t="inlineStr">
        <is>
          <t>Retail/Office</t>
        </is>
      </c>
      <c r="H33" s="694"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1135" t="n">
        <v>50972</v>
      </c>
      <c r="Z33" s="702" t="n"/>
      <c r="AA33" s="705" t="n">
        <v>7543</v>
      </c>
      <c r="AB33" s="702" t="n"/>
      <c r="AC33" s="1135" t="n">
        <v>7543</v>
      </c>
      <c r="AD33" s="705" t="n">
        <v>4602</v>
      </c>
      <c r="AE33" s="705" t="n">
        <v>51467</v>
      </c>
      <c r="AF33" s="1135" t="n">
        <v>56069</v>
      </c>
      <c r="AG33" s="702" t="n"/>
      <c r="AH33" s="1136" t="n">
        <v>157946</v>
      </c>
      <c r="AI33" s="1136" t="n">
        <v>125577</v>
      </c>
      <c r="AJ33" s="1136" t="n">
        <v>283523</v>
      </c>
      <c r="AK33" s="1136" t="n">
        <v>241009</v>
      </c>
      <c r="AL33" s="702" t="n"/>
      <c r="AM33" s="694"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1132">
        <f>IF(B33="","",IFERROR(INDEX(OCC_TABLE_DESC,MATCH(B33,OCC_TABLE_CODE,0)),"Unrecognized code"))</f>
        <v/>
      </c>
    </row>
    <row r="34" ht="18" customHeight="1">
      <c r="A34" s="702" t="inlineStr">
        <is>
          <t>P013</t>
        </is>
      </c>
      <c r="B34" s="695" t="n">
        <v>353</v>
      </c>
      <c r="C34" s="703" t="inlineStr">
        <is>
          <t>R0169176</t>
        </is>
      </c>
      <c r="D34" s="694" t="inlineStr">
        <is>
          <t>Unknown (new const., opened Oct 2023)</t>
        </is>
      </c>
      <c r="E34" s="702" t="inlineStr">
        <is>
          <t>Adams County</t>
        </is>
      </c>
      <c r="F34" s="702" t="inlineStr">
        <is>
          <t>CO</t>
        </is>
      </c>
      <c r="G34" s="702" t="inlineStr">
        <is>
          <t>Retail/Office</t>
        </is>
      </c>
      <c r="H34" s="694"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1135" t="n">
        <v>36931</v>
      </c>
      <c r="Z34" s="702" t="n"/>
      <c r="AA34" s="705" t="n">
        <v>27159</v>
      </c>
      <c r="AB34" s="702" t="n"/>
      <c r="AC34" s="1135" t="n">
        <v>27159</v>
      </c>
      <c r="AD34" s="705" t="n">
        <v>5043</v>
      </c>
      <c r="AE34" s="705" t="n">
        <v>54230</v>
      </c>
      <c r="AF34" s="1135" t="n">
        <v>59273</v>
      </c>
      <c r="AG34" s="702" t="n"/>
      <c r="AH34" s="1136" t="n">
        <v>162518</v>
      </c>
      <c r="AI34" s="1136" t="n">
        <v>156074</v>
      </c>
      <c r="AJ34" s="1136" t="n">
        <v>318592</v>
      </c>
      <c r="AK34" s="1136" t="n">
        <v>278464</v>
      </c>
      <c r="AL34" s="702" t="n"/>
      <c r="AM34" s="694"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1132">
        <f>IF(B34="","",IFERROR(INDEX(OCC_TABLE_DESC,MATCH(B34,OCC_TABLE_CODE,0)),"Unrecognized code"))</f>
        <v/>
      </c>
    </row>
    <row r="35" ht="18" customHeight="1">
      <c r="A35" s="702" t="inlineStr">
        <is>
          <t>P014</t>
        </is>
      </c>
      <c r="B35" s="695" t="n">
        <v>407</v>
      </c>
      <c r="C35" s="703" t="inlineStr">
        <is>
          <t>R0198530</t>
        </is>
      </c>
      <c r="D35" s="694" t="inlineStr">
        <is>
          <t>Amazon DEN7 Distribution Center</t>
        </is>
      </c>
      <c r="E35" s="702" t="inlineStr">
        <is>
          <t>Aurora</t>
        </is>
      </c>
      <c r="F35" s="702" t="inlineStr">
        <is>
          <t>CO</t>
        </is>
      </c>
      <c r="G35" s="702" t="inlineStr">
        <is>
          <t>Industrial/Distribution</t>
        </is>
      </c>
      <c r="H35" s="694"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1138" t="n"/>
      <c r="Z35" s="702" t="n"/>
      <c r="AA35" s="702" t="n"/>
      <c r="AB35" s="702" t="n"/>
      <c r="AC35" s="1135" t="n">
        <v>22360</v>
      </c>
      <c r="AD35" s="702" t="n"/>
      <c r="AE35" s="702" t="n"/>
      <c r="AF35" s="1135" t="n">
        <v>1107</v>
      </c>
      <c r="AG35" s="702" t="n"/>
      <c r="AH35" s="1136" t="n">
        <v>197351</v>
      </c>
      <c r="AI35" s="1136" t="n">
        <v>1617282</v>
      </c>
      <c r="AJ35" s="1136" t="n">
        <v>1814633</v>
      </c>
      <c r="AK35" s="1139" t="n"/>
      <c r="AL35" s="702" t="n"/>
      <c r="AM35" s="694"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1132">
        <f>IF(B35="","",IFERROR(INDEX(OCC_TABLE_DESC,MATCH(B35,OCC_TABLE_CODE,0)),"Unrecognized code"))</f>
        <v/>
      </c>
    </row>
    <row r="36" ht="18" customHeight="1">
      <c r="A36" s="702" t="inlineStr">
        <is>
          <t>P014</t>
        </is>
      </c>
      <c r="B36" s="695" t="n">
        <v>407</v>
      </c>
      <c r="C36" s="703" t="inlineStr">
        <is>
          <t>R0198530</t>
        </is>
      </c>
      <c r="D36" s="694" t="inlineStr">
        <is>
          <t>Amazon DEN7 Distribution Center</t>
        </is>
      </c>
      <c r="E36" s="702" t="inlineStr">
        <is>
          <t>Aurora</t>
        </is>
      </c>
      <c r="F36" s="702" t="inlineStr">
        <is>
          <t>CO</t>
        </is>
      </c>
      <c r="G36" s="702" t="inlineStr">
        <is>
          <t>Industrial/Distribution</t>
        </is>
      </c>
      <c r="H36" s="694"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1138" t="n"/>
      <c r="Z36" s="702" t="n"/>
      <c r="AA36" s="702" t="n"/>
      <c r="AB36" s="705" t="n">
        <v>2110</v>
      </c>
      <c r="AC36" s="1135" t="n">
        <v>17455</v>
      </c>
      <c r="AD36" s="702" t="n"/>
      <c r="AE36" s="702" t="n"/>
      <c r="AF36" s="1135" t="n">
        <v>2024</v>
      </c>
      <c r="AG36" s="702" t="n"/>
      <c r="AH36" s="1136" t="n">
        <v>154693</v>
      </c>
      <c r="AI36" s="1136" t="n">
        <v>2161856</v>
      </c>
      <c r="AJ36" s="1136" t="n">
        <v>2316549</v>
      </c>
      <c r="AK36" s="1139" t="n"/>
      <c r="AL36" s="702" t="n"/>
      <c r="AM36" s="694"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1132">
        <f>IF(B36="","",IFERROR(INDEX(OCC_TABLE_DESC,MATCH(B36,OCC_TABLE_CODE,0)),"Unrecognized code"))</f>
        <v/>
      </c>
    </row>
    <row r="37">
      <c r="A37" s="703" t="inlineStr">
        <is>
          <t>P015</t>
        </is>
      </c>
      <c r="B37" s="695" t="n">
        <v>407</v>
      </c>
      <c r="C37" s="703" t="inlineStr">
        <is>
          <t>R0180894</t>
        </is>
      </c>
      <c r="D37" s="1195" t="inlineStr">
        <is>
          <t>1910 N Gun Club Rd</t>
        </is>
      </c>
      <c r="E37" s="703" t="inlineStr">
        <is>
          <t>Aurora</t>
        </is>
      </c>
      <c r="F37" s="703" t="inlineStr">
        <is>
          <t>CO</t>
        </is>
      </c>
      <c r="G37" s="703" t="inlineStr">
        <is>
          <t>Industrial</t>
        </is>
      </c>
      <c r="H37" s="1195"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1195" t="inlineStr">
        <is>
          <t>Actual accrual; security $159,500 in Other</t>
        </is>
      </c>
      <c r="AN37">
        <f>IF(AND($B37=Subj_OccCode,Subj_BldgSF&gt;0,ABS($J37-Subj_BldgSF)&lt;=Subj_BldgSF*Subj_SizeTol),ABS($J37-Subj_BldgSF),NA())</f>
        <v/>
      </c>
      <c r="AO37">
        <f>IF(ISNA(AN37),NA(),AN37+ROW()/10000000)</f>
        <v/>
      </c>
      <c r="AR37" s="1132">
        <f>IF(B37="","",IFERROR(INDEX(OCC_TABLE_DESC,MATCH(B37,OCC_TABLE_CODE,0)),"Unrecognized code"))</f>
        <v/>
      </c>
    </row>
    <row r="38">
      <c r="A38" s="703" t="inlineStr">
        <is>
          <t>P015</t>
        </is>
      </c>
      <c r="B38" s="695" t="n">
        <v>407</v>
      </c>
      <c r="C38" s="703" t="inlineStr">
        <is>
          <t>R0180894</t>
        </is>
      </c>
      <c r="D38" s="1195" t="inlineStr">
        <is>
          <t>1910 N Gun Club Rd</t>
        </is>
      </c>
      <c r="E38" s="703" t="inlineStr">
        <is>
          <t>Aurora</t>
        </is>
      </c>
      <c r="F38" s="703" t="inlineStr">
        <is>
          <t>CO</t>
        </is>
      </c>
      <c r="G38" s="703" t="inlineStr">
        <is>
          <t>Industrial</t>
        </is>
      </c>
      <c r="H38" s="1195"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1195" t="inlineStr">
        <is>
          <t>Actual accrual; security $132,552 in Other</t>
        </is>
      </c>
      <c r="AN38">
        <f>IF(AND($B38=Subj_OccCode,Subj_BldgSF&gt;0,ABS($J38-Subj_BldgSF)&lt;=Subj_BldgSF*Subj_SizeTol),ABS($J38-Subj_BldgSF),NA())</f>
        <v/>
      </c>
      <c r="AO38">
        <f>IF(ISNA(AN38),NA(),AN38+ROW()/10000000)</f>
        <v/>
      </c>
      <c r="AR38" s="1132">
        <f>IF(B38="","",IFERROR(INDEX(OCC_TABLE_DESC,MATCH(B38,OCC_TABLE_CODE,0)),"Unrecognized code"))</f>
        <v/>
      </c>
    </row>
    <row r="39">
      <c r="A39" s="703" t="inlineStr">
        <is>
          <t>P016</t>
        </is>
      </c>
      <c r="B39" s="695" t="n">
        <v>584</v>
      </c>
      <c r="C39" s="703" t="inlineStr">
        <is>
          <t>R0212546/R0212547</t>
        </is>
      </c>
      <c r="D39" s="1195" t="inlineStr">
        <is>
          <t>2780 N Tower Rd</t>
        </is>
      </c>
      <c r="E39" s="703" t="inlineStr">
        <is>
          <t>Aurora</t>
        </is>
      </c>
      <c r="F39" s="703" t="inlineStr">
        <is>
          <t>CO</t>
        </is>
      </c>
      <c r="G39" s="703" t="inlineStr">
        <is>
          <t>Industrial</t>
        </is>
      </c>
      <c r="H39" s="1195"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1195" t="inlineStr">
        <is>
          <t>County proforma only; limited line-item detail available</t>
        </is>
      </c>
      <c r="AN39">
        <f>IF(AND($B39=Subj_OccCode,Subj_BldgSF&gt;0,ABS($J39-Subj_BldgSF)&lt;=Subj_BldgSF*Subj_SizeTol),ABS($J39-Subj_BldgSF),NA())</f>
        <v/>
      </c>
      <c r="AO39">
        <f>IF(ISNA(AN39),NA(),AN39+ROW()/10000000)</f>
        <v/>
      </c>
      <c r="AR39" s="1132">
        <f>IF(B39="","",IFERROR(INDEX(OCC_TABLE_DESC,MATCH(B39,OCC_TABLE_CODE,0)),"Unrecognized code"))</f>
        <v/>
      </c>
    </row>
    <row r="40">
      <c r="A40" s="703" t="inlineStr">
        <is>
          <t>P017</t>
        </is>
      </c>
      <c r="B40" s="695" t="n">
        <v>210</v>
      </c>
      <c r="C40" s="703" t="inlineStr">
        <is>
          <t>R0098098</t>
        </is>
      </c>
      <c r="D40" s="1195" t="inlineStr">
        <is>
          <t>1445 E 68th Ave</t>
        </is>
      </c>
      <c r="E40" s="703" t="inlineStr">
        <is>
          <t>Denver</t>
        </is>
      </c>
      <c r="F40" s="703" t="inlineStr">
        <is>
          <t>CO</t>
        </is>
      </c>
      <c r="G40" s="703" t="inlineStr">
        <is>
          <t>Industrial</t>
        </is>
      </c>
      <c r="H40" s="1195"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1195" t="inlineStr">
        <is>
          <t>County proforma 2024; YOC 1972/2006/2023 additions</t>
        </is>
      </c>
      <c r="AN40">
        <f>IF(AND($B40=Subj_OccCode,Subj_BldgSF&gt;0,ABS($J40-Subj_BldgSF)&lt;=Subj_BldgSF*Subj_SizeTol),ABS($J40-Subj_BldgSF),NA())</f>
        <v/>
      </c>
      <c r="AO40">
        <f>IF(ISNA(AN40),NA(),AN40+ROW()/10000000)</f>
        <v/>
      </c>
      <c r="AR40" s="1132">
        <f>IF(B40="","",IFERROR(INDEX(OCC_TABLE_DESC,MATCH(B40,OCC_TABLE_CODE,0)),"Unrecognized code"))</f>
        <v/>
      </c>
    </row>
    <row r="41">
      <c r="A41" s="703" t="inlineStr">
        <is>
          <t>P018</t>
        </is>
      </c>
      <c r="B41" s="695" t="n">
        <v>406</v>
      </c>
      <c r="C41" s="703" t="inlineStr">
        <is>
          <t>R0103783</t>
        </is>
      </c>
      <c r="D41" s="1195" t="inlineStr">
        <is>
          <t>2031 E 58th Ave</t>
        </is>
      </c>
      <c r="E41" s="703" t="inlineStr">
        <is>
          <t>Denver</t>
        </is>
      </c>
      <c r="F41" s="703" t="inlineStr">
        <is>
          <t>CO</t>
        </is>
      </c>
      <c r="G41" s="703" t="inlineStr">
        <is>
          <t>Industrial</t>
        </is>
      </c>
      <c r="H41" s="1195"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1195" t="inlineStr">
        <is>
          <t>NNN billed charges; EGI = base rent + NNN pass-throughs</t>
        </is>
      </c>
      <c r="AN41">
        <f>IF(AND($B41=Subj_OccCode,Subj_BldgSF&gt;0,ABS($J41-Subj_BldgSF)&lt;=Subj_BldgSF*Subj_SizeTol),ABS($J41-Subj_BldgSF),NA())</f>
        <v/>
      </c>
      <c r="AO41">
        <f>IF(ISNA(AN41),NA(),AN41+ROW()/10000000)</f>
        <v/>
      </c>
      <c r="AR41" s="1132">
        <f>IF(B41="","",IFERROR(INDEX(OCC_TABLE_DESC,MATCH(B41,OCC_TABLE_CODE,0)),"Unrecognized code"))</f>
        <v/>
      </c>
    </row>
    <row r="42">
      <c r="A42" s="703" t="inlineStr">
        <is>
          <t>P018</t>
        </is>
      </c>
      <c r="B42" s="695" t="n">
        <v>406</v>
      </c>
      <c r="C42" s="703" t="inlineStr">
        <is>
          <t>R0103783</t>
        </is>
      </c>
      <c r="D42" s="1195" t="inlineStr">
        <is>
          <t>2031 E 58th Ave</t>
        </is>
      </c>
      <c r="E42" s="703" t="inlineStr">
        <is>
          <t>Denver</t>
        </is>
      </c>
      <c r="F42" s="703" t="inlineStr">
        <is>
          <t>CO</t>
        </is>
      </c>
      <c r="G42" s="703" t="inlineStr">
        <is>
          <t>Industrial</t>
        </is>
      </c>
      <c r="H42" s="1195"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1195" t="inlineStr">
        <is>
          <t>NNN billed charges; EGI = base rent + NNN pass-throughs</t>
        </is>
      </c>
      <c r="AN42">
        <f>IF(AND($B42=Subj_OccCode,Subj_BldgSF&gt;0,ABS($J42-Subj_BldgSF)&lt;=Subj_BldgSF*Subj_SizeTol),ABS($J42-Subj_BldgSF),NA())</f>
        <v/>
      </c>
      <c r="AO42">
        <f>IF(ISNA(AN42),NA(),AN42+ROW()/10000000)</f>
        <v/>
      </c>
      <c r="AR42" s="1132">
        <f>IF(B42="","",IFERROR(INDEX(OCC_TABLE_DESC,MATCH(B42,OCC_TABLE_CODE,0)),"Unrecognized code"))</f>
        <v/>
      </c>
    </row>
    <row r="43">
      <c r="A43" s="703" t="inlineStr">
        <is>
          <t>P019</t>
        </is>
      </c>
      <c r="B43" s="695" t="n">
        <v>407</v>
      </c>
      <c r="C43" s="703" t="inlineStr">
        <is>
          <t>R0210402/R0210403</t>
        </is>
      </c>
      <c r="D43" s="1195" t="inlineStr">
        <is>
          <t>17190 E 85th Ave</t>
        </is>
      </c>
      <c r="E43" s="703" t="inlineStr">
        <is>
          <t>Commerce City</t>
        </is>
      </c>
      <c r="F43" s="703" t="inlineStr">
        <is>
          <t>CO</t>
        </is>
      </c>
      <c r="G43" s="703" t="inlineStr">
        <is>
          <t>Industrial</t>
        </is>
      </c>
      <c r="H43" s="1195"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1195" t="inlineStr">
        <is>
          <t>Petitioner proforma 2024/25; limited line-item detail</t>
        </is>
      </c>
      <c r="AN43">
        <f>IF(AND($B43=Subj_OccCode,Subj_BldgSF&gt;0,ABS($J43-Subj_BldgSF)&lt;=Subj_BldgSF*Subj_SizeTol),ABS($J43-Subj_BldgSF),NA())</f>
        <v/>
      </c>
      <c r="AO43">
        <f>IF(ISNA(AN43),NA(),AN43+ROW()/10000000)</f>
        <v/>
      </c>
      <c r="AR43" s="1132">
        <f>IF(B43="","",IFERROR(INDEX(OCC_TABLE_DESC,MATCH(B43,OCC_TABLE_CODE,0)),"Unrecognized code"))</f>
        <v/>
      </c>
    </row>
    <row r="44">
      <c r="A44" s="703" t="inlineStr">
        <is>
          <t>P020</t>
        </is>
      </c>
      <c r="B44" s="695" t="n">
        <v>584</v>
      </c>
      <c r="C44" s="703" t="inlineStr">
        <is>
          <t>R0209679</t>
        </is>
      </c>
      <c r="D44" s="1195" t="inlineStr">
        <is>
          <t>17501 E 84th Ave</t>
        </is>
      </c>
      <c r="E44" s="703" t="inlineStr">
        <is>
          <t>Commerce City</t>
        </is>
      </c>
      <c r="F44" s="703" t="inlineStr">
        <is>
          <t>CO</t>
        </is>
      </c>
      <c r="G44" s="703" t="inlineStr">
        <is>
          <t>Industrial</t>
        </is>
      </c>
      <c r="H44" s="1195"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1195" t="inlineStr">
        <is>
          <t>Actual accrual; 2023 NOI inflated ~$2.8M by prior-yr RE tax adj; security in Other</t>
        </is>
      </c>
      <c r="AN44">
        <f>IF(AND($B44=Subj_OccCode,Subj_BldgSF&gt;0,ABS($J44-Subj_BldgSF)&lt;=Subj_BldgSF*Subj_SizeTol),ABS($J44-Subj_BldgSF),NA())</f>
        <v/>
      </c>
      <c r="AO44">
        <f>IF(ISNA(AN44),NA(),AN44+ROW()/10000000)</f>
        <v/>
      </c>
      <c r="AR44" s="1132">
        <f>IF(B44="","",IFERROR(INDEX(OCC_TABLE_DESC,MATCH(B44,OCC_TABLE_CODE,0)),"Unrecognized code"))</f>
        <v/>
      </c>
    </row>
    <row r="45">
      <c r="A45" s="703" t="inlineStr">
        <is>
          <t>P020</t>
        </is>
      </c>
      <c r="B45" s="695" t="n">
        <v>584</v>
      </c>
      <c r="C45" s="703" t="inlineStr">
        <is>
          <t>R0209679</t>
        </is>
      </c>
      <c r="D45" s="1195" t="inlineStr">
        <is>
          <t>17501 E 84th Ave</t>
        </is>
      </c>
      <c r="E45" s="703" t="inlineStr">
        <is>
          <t>Commerce City</t>
        </is>
      </c>
      <c r="F45" s="703" t="inlineStr">
        <is>
          <t>CO</t>
        </is>
      </c>
      <c r="G45" s="703" t="inlineStr">
        <is>
          <t>Industrial</t>
        </is>
      </c>
      <c r="H45" s="1195"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1195" t="inlineStr">
        <is>
          <t>Actual accrual; security $30,799 in Other</t>
        </is>
      </c>
      <c r="AN45">
        <f>IF(AND($B45=Subj_OccCode,Subj_BldgSF&gt;0,ABS($J45-Subj_BldgSF)&lt;=Subj_BldgSF*Subj_SizeTol),ABS($J45-Subj_BldgSF),NA())</f>
        <v/>
      </c>
      <c r="AO45">
        <f>IF(ISNA(AN45),NA(),AN45+ROW()/10000000)</f>
        <v/>
      </c>
      <c r="AR45" s="1132">
        <f>IF(B45="","",IFERROR(INDEX(OCC_TABLE_DESC,MATCH(B45,OCC_TABLE_CODE,0)),"Unrecognized code"))</f>
        <v/>
      </c>
    </row>
    <row r="46">
      <c r="A46" s="703" t="inlineStr">
        <is>
          <t>P021</t>
        </is>
      </c>
      <c r="B46" s="695" t="n">
        <v>210</v>
      </c>
      <c r="C46" s="703" t="inlineStr">
        <is>
          <t>R0091931</t>
        </is>
      </c>
      <c r="D46" s="1195" t="inlineStr">
        <is>
          <t>6300 E. 58th Ave</t>
        </is>
      </c>
      <c r="E46" s="703" t="inlineStr">
        <is>
          <t>Commerce City</t>
        </is>
      </c>
      <c r="F46" s="703" t="inlineStr">
        <is>
          <t>CO</t>
        </is>
      </c>
      <c r="G46" s="703" t="inlineStr">
        <is>
          <t>Industrial</t>
        </is>
      </c>
      <c r="H46" s="1195"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1195" t="inlineStr">
        <is>
          <t>Actual accrual; parking sweep in Trash; admin fees in Mgmt</t>
        </is>
      </c>
      <c r="AN46">
        <f>IF(AND($B46=Subj_OccCode,Subj_BldgSF&gt;0,ABS($J46-Subj_BldgSF)&lt;=Subj_BldgSF*Subj_SizeTol),ABS($J46-Subj_BldgSF),NA())</f>
        <v/>
      </c>
      <c r="AO46">
        <f>IF(ISNA(AN46),NA(),AN46+ROW()/10000000)</f>
        <v/>
      </c>
      <c r="AR46" s="1132">
        <f>IF(B46="","",IFERROR(INDEX(OCC_TABLE_DESC,MATCH(B46,OCC_TABLE_CODE,0)),"Unrecognized code"))</f>
        <v/>
      </c>
    </row>
    <row r="47">
      <c r="A47" s="703" t="inlineStr">
        <is>
          <t>P021</t>
        </is>
      </c>
      <c r="B47" s="695" t="n">
        <v>210</v>
      </c>
      <c r="C47" s="703" t="inlineStr">
        <is>
          <t>R0091931</t>
        </is>
      </c>
      <c r="D47" s="1195" t="inlineStr">
        <is>
          <t>6300 E. 58th Ave</t>
        </is>
      </c>
      <c r="E47" s="703" t="inlineStr">
        <is>
          <t>Commerce City</t>
        </is>
      </c>
      <c r="F47" s="703" t="inlineStr">
        <is>
          <t>CO</t>
        </is>
      </c>
      <c r="G47" s="703" t="inlineStr">
        <is>
          <t>Industrial</t>
        </is>
      </c>
      <c r="H47" s="1195"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1195" t="inlineStr">
        <is>
          <t>Actual accrual; snow $14,953 also listed under ext R&amp;M; security/admin in ext maint</t>
        </is>
      </c>
      <c r="AN47">
        <f>IF(AND($B47=Subj_OccCode,Subj_BldgSF&gt;0,ABS($J47-Subj_BldgSF)&lt;=Subj_BldgSF*Subj_SizeTol),ABS($J47-Subj_BldgSF),NA())</f>
        <v/>
      </c>
      <c r="AO47">
        <f>IF(ISNA(AN47),NA(),AN47+ROW()/10000000)</f>
        <v/>
      </c>
      <c r="AR47" s="1132">
        <f>IF(B47="","",IFERROR(INDEX(OCC_TABLE_DESC,MATCH(B47,OCC_TABLE_CODE,0)),"Unrecognized code"))</f>
        <v/>
      </c>
    </row>
    <row r="48">
      <c r="A48" s="703" t="inlineStr">
        <is>
          <t>P022</t>
        </is>
      </c>
      <c r="B48" s="695" t="n">
        <v>210</v>
      </c>
      <c r="C48" s="703" t="inlineStr">
        <is>
          <t>R0111559</t>
        </is>
      </c>
      <c r="D48" s="1195" t="inlineStr">
        <is>
          <t>3590 N. Himalaya Rd (Bldg 6)</t>
        </is>
      </c>
      <c r="E48" s="703" t="inlineStr">
        <is>
          <t>Aurora</t>
        </is>
      </c>
      <c r="F48" s="703" t="inlineStr">
        <is>
          <t>CO</t>
        </is>
      </c>
      <c r="G48" s="703" t="inlineStr">
        <is>
          <t>Industrial</t>
        </is>
      </c>
      <c r="H48" s="1195"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1195" t="inlineStr">
        <is>
          <t>2024 only – 2023 was transitional vacancy year; SF not confirmed; approx figures</t>
        </is>
      </c>
      <c r="AN48">
        <f>IF(AND($B48=Subj_OccCode,Subj_BldgSF&gt;0,ABS($J48-Subj_BldgSF)&lt;=Subj_BldgSF*Subj_SizeTol),ABS($J48-Subj_BldgSF),NA())</f>
        <v/>
      </c>
      <c r="AO48">
        <f>IF(ISNA(AN48),NA(),AN48+ROW()/10000000)</f>
        <v/>
      </c>
      <c r="AR48" s="1132">
        <f>IF(B48="","",IFERROR(INDEX(OCC_TABLE_DESC,MATCH(B48,OCC_TABLE_CODE,0)),"Unrecognized code"))</f>
        <v/>
      </c>
    </row>
    <row r="49">
      <c r="A49" s="703" t="inlineStr">
        <is>
          <t>P023</t>
        </is>
      </c>
      <c r="B49" s="695" t="n">
        <v>407</v>
      </c>
      <c r="C49" s="703" t="inlineStr">
        <is>
          <t>R0191098</t>
        </is>
      </c>
      <c r="D49" s="1195" t="inlineStr">
        <is>
          <t>19754 E. 35th Dr (Bldg 4)</t>
        </is>
      </c>
      <c r="E49" s="703" t="inlineStr">
        <is>
          <t>Aurora</t>
        </is>
      </c>
      <c r="F49" s="703" t="inlineStr">
        <is>
          <t>CO</t>
        </is>
      </c>
      <c r="G49" s="703" t="inlineStr">
        <is>
          <t>Industrial</t>
        </is>
      </c>
      <c r="H49" s="1195"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1195" t="inlineStr">
        <is>
          <t>NNN; tenant pays most R&amp;M directly; Quality Custom Distribution lease thru 12/31/2029</t>
        </is>
      </c>
      <c r="AN49">
        <f>IF(AND($B49=Subj_OccCode,Subj_BldgSF&gt;0,ABS($J49-Subj_BldgSF)&lt;=Subj_BldgSF*Subj_SizeTol),ABS($J49-Subj_BldgSF),NA())</f>
        <v/>
      </c>
      <c r="AO49">
        <f>IF(ISNA(AN49),NA(),AN49+ROW()/10000000)</f>
        <v/>
      </c>
      <c r="AR49" s="1132">
        <f>IF(B49="","",IFERROR(INDEX(OCC_TABLE_DESC,MATCH(B49,OCC_TABLE_CODE,0)),"Unrecognized code"))</f>
        <v/>
      </c>
    </row>
    <row r="50">
      <c r="A50" s="703" t="inlineStr">
        <is>
          <t>P023</t>
        </is>
      </c>
      <c r="B50" s="695" t="n">
        <v>407</v>
      </c>
      <c r="C50" s="703" t="inlineStr">
        <is>
          <t>R0191098</t>
        </is>
      </c>
      <c r="D50" s="1195" t="inlineStr">
        <is>
          <t>19754 E. 35th Dr (Bldg 4)</t>
        </is>
      </c>
      <c r="E50" s="703" t="inlineStr">
        <is>
          <t>Aurora</t>
        </is>
      </c>
      <c r="F50" s="703" t="inlineStr">
        <is>
          <t>CO</t>
        </is>
      </c>
      <c r="G50" s="703" t="inlineStr">
        <is>
          <t>Industrial</t>
        </is>
      </c>
      <c r="H50" s="1195"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1195" t="inlineStr">
        <is>
          <t>NNN; tenant pays most R&amp;M directly</t>
        </is>
      </c>
      <c r="AN50">
        <f>IF(AND($B50=Subj_OccCode,Subj_BldgSF&gt;0,ABS($J50-Subj_BldgSF)&lt;=Subj_BldgSF*Subj_SizeTol),ABS($J50-Subj_BldgSF),NA())</f>
        <v/>
      </c>
      <c r="AO50">
        <f>IF(ISNA(AN50),NA(),AN50+ROW()/10000000)</f>
        <v/>
      </c>
      <c r="AR50" s="1132">
        <f>IF(B50="","",IFERROR(INDEX(OCC_TABLE_DESC,MATCH(B50,OCC_TABLE_CODE,0)),"Unrecognized code"))</f>
        <v/>
      </c>
    </row>
    <row r="51">
      <c r="A51" s="703" t="inlineStr">
        <is>
          <t>P024</t>
        </is>
      </c>
      <c r="B51" s="695" t="n">
        <v>407</v>
      </c>
      <c r="C51" s="703" t="inlineStr">
        <is>
          <t>R0111560</t>
        </is>
      </c>
      <c r="D51" s="1195" t="inlineStr">
        <is>
          <t>20320 E. 36th Dr (Bldg 7)</t>
        </is>
      </c>
      <c r="E51" s="703" t="inlineStr">
        <is>
          <t>Aurora</t>
        </is>
      </c>
      <c r="F51" s="703" t="inlineStr">
        <is>
          <t>CO</t>
        </is>
      </c>
      <c r="G51" s="703" t="inlineStr">
        <is>
          <t>Industrial</t>
        </is>
      </c>
      <c r="H51" s="1195"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1195" t="inlineStr">
        <is>
          <t>FedEx NNN thru 4/30/2024; tenant pays nearly all expenses; 2024 excluded (lease expiry vacancy)</t>
        </is>
      </c>
      <c r="AN51">
        <f>IF(AND($B51=Subj_OccCode,Subj_BldgSF&gt;0,ABS($J51-Subj_BldgSF)&lt;=Subj_BldgSF*Subj_SizeTol),ABS($J51-Subj_BldgSF),NA())</f>
        <v/>
      </c>
      <c r="AO51">
        <f>IF(ISNA(AN51),NA(),AN51+ROW()/10000000)</f>
        <v/>
      </c>
      <c r="AR51" s="1132">
        <f>IF(B51="","",IFERROR(INDEX(OCC_TABLE_DESC,MATCH(B51,OCC_TABLE_CODE,0)),"Unrecognized code"))</f>
        <v/>
      </c>
    </row>
    <row r="52">
      <c r="A52" s="703" t="inlineStr">
        <is>
          <t>P025</t>
        </is>
      </c>
      <c r="B52" s="695" t="n">
        <v>210</v>
      </c>
      <c r="C52" s="703" t="inlineStr">
        <is>
          <t>R0191099</t>
        </is>
      </c>
      <c r="D52" s="1195" t="inlineStr">
        <is>
          <t>3559 N. Himalaya Rd (Bldg 5)</t>
        </is>
      </c>
      <c r="E52" s="703" t="inlineStr">
        <is>
          <t>Aurora</t>
        </is>
      </c>
      <c r="F52" s="703" t="inlineStr">
        <is>
          <t>CO</t>
        </is>
      </c>
      <c r="G52" s="703" t="inlineStr">
        <is>
          <t>Industrial</t>
        </is>
      </c>
      <c r="H52" s="1195"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1195" t="inlineStr">
        <is>
          <t>Multi-tenant NNN; limited expense detail available; approx figures</t>
        </is>
      </c>
      <c r="AN52">
        <f>IF(AND($B52=Subj_OccCode,Subj_BldgSF&gt;0,ABS($J52-Subj_BldgSF)&lt;=Subj_BldgSF*Subj_SizeTol),ABS($J52-Subj_BldgSF),NA())</f>
        <v/>
      </c>
      <c r="AO52">
        <f>IF(ISNA(AN52),NA(),AN52+ROW()/10000000)</f>
        <v/>
      </c>
      <c r="AR52" s="1132">
        <f>IF(B52="","",IFERROR(INDEX(OCC_TABLE_DESC,MATCH(B52,OCC_TABLE_CODE,0)),"Unrecognized code"))</f>
        <v/>
      </c>
    </row>
    <row r="53">
      <c r="A53" s="703" t="inlineStr">
        <is>
          <t>P025</t>
        </is>
      </c>
      <c r="B53" s="695" t="n">
        <v>210</v>
      </c>
      <c r="C53" s="703" t="inlineStr">
        <is>
          <t>R0191099</t>
        </is>
      </c>
      <c r="D53" s="1195" t="inlineStr">
        <is>
          <t>3559 N. Himalaya Rd (Bldg 5)</t>
        </is>
      </c>
      <c r="E53" s="703" t="inlineStr">
        <is>
          <t>Aurora</t>
        </is>
      </c>
      <c r="F53" s="703" t="inlineStr">
        <is>
          <t>CO</t>
        </is>
      </c>
      <c r="G53" s="703" t="inlineStr">
        <is>
          <t>Industrial</t>
        </is>
      </c>
      <c r="H53" s="1195"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1195" t="inlineStr">
        <is>
          <t>Multi-tenant NNN; limited expense detail available; approx figures</t>
        </is>
      </c>
      <c r="AN53">
        <f>IF(AND($B53=Subj_OccCode,Subj_BldgSF&gt;0,ABS($J53-Subj_BldgSF)&lt;=Subj_BldgSF*Subj_SizeTol),ABS($J53-Subj_BldgSF),NA())</f>
        <v/>
      </c>
      <c r="AO53">
        <f>IF(ISNA(AN53),NA(),AN53+ROW()/10000000)</f>
        <v/>
      </c>
      <c r="AR53" s="1132">
        <f>IF(B53="","",IFERROR(INDEX(OCC_TABLE_DESC,MATCH(B53,OCC_TABLE_CODE,0)),"Unrecognized code"))</f>
        <v/>
      </c>
    </row>
    <row r="54">
      <c r="A54" s="703" t="inlineStr">
        <is>
          <t>P026</t>
        </is>
      </c>
      <c r="B54" s="695" t="n">
        <v>406</v>
      </c>
      <c r="C54" s="703" t="inlineStr">
        <is>
          <t>R0092667</t>
        </is>
      </c>
      <c r="D54" s="1195" t="inlineStr">
        <is>
          <t>4901 Locust St</t>
        </is>
      </c>
      <c r="E54" s="703" t="inlineStr">
        <is>
          <t>Commerce City</t>
        </is>
      </c>
      <c r="F54" s="703" t="inlineStr">
        <is>
          <t>CO</t>
        </is>
      </c>
      <c r="G54" s="703" t="inlineStr">
        <is>
          <t>Industrial</t>
        </is>
      </c>
      <c r="H54" s="1195"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1195" t="inlineStr">
        <is>
          <t>Newmark stabilized proforma 6/30/2024; cap rate 7.00%; not actual historical</t>
        </is>
      </c>
      <c r="AN54">
        <f>IF(AND($B54=Subj_OccCode,Subj_BldgSF&gt;0,ABS($J54-Subj_BldgSF)&lt;=Subj_BldgSF*Subj_SizeTol),ABS($J54-Subj_BldgSF),NA())</f>
        <v/>
      </c>
      <c r="AO54">
        <f>IF(ISNA(AN54),NA(),AN54+ROW()/10000000)</f>
        <v/>
      </c>
      <c r="AR54" s="1132">
        <f>IF(B54="","",IFERROR(INDEX(OCC_TABLE_DESC,MATCH(B54,OCC_TABLE_CODE,0)),"Unrecognized code"))</f>
        <v/>
      </c>
    </row>
    <row r="55">
      <c r="A55" s="703" t="inlineStr">
        <is>
          <t>P022</t>
        </is>
      </c>
      <c r="B55" s="695" t="n">
        <v>210</v>
      </c>
      <c r="C55" s="703" t="inlineStr">
        <is>
          <t>R0111559</t>
        </is>
      </c>
      <c r="D55" s="1195" t="inlineStr">
        <is>
          <t>3590 N. Himalaya Rd (Bldg 6)</t>
        </is>
      </c>
      <c r="E55" s="703" t="inlineStr">
        <is>
          <t>Aurora</t>
        </is>
      </c>
      <c r="F55" s="703" t="inlineStr">
        <is>
          <t>CO</t>
        </is>
      </c>
      <c r="G55" s="703" t="inlineStr">
        <is>
          <t>Industrial</t>
        </is>
      </c>
      <c r="H55" s="1195"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1195" t="inlineStr">
        <is>
          <t>NNN landlord expenses only; from AXG Whse Expenses PSF.xlsx</t>
        </is>
      </c>
      <c r="AN55">
        <f>IF(AND($B55=Subj_OccCode,Subj_BldgSF&gt;0,ABS($J55-Subj_BldgSF)&lt;=Subj_BldgSF*Subj_SizeTol),ABS($J55-Subj_BldgSF),NA())</f>
        <v/>
      </c>
      <c r="AO55">
        <f>IF(ISNA(AN55),NA(),AN55+ROW()/10000000)</f>
        <v/>
      </c>
      <c r="AR55" s="1132">
        <f>IF(B55="","",IFERROR(INDEX(OCC_TABLE_DESC,MATCH(B55,OCC_TABLE_CODE,0)),"Unrecognized code"))</f>
        <v/>
      </c>
    </row>
    <row r="56">
      <c r="A56" s="703" t="inlineStr">
        <is>
          <t>P022</t>
        </is>
      </c>
      <c r="B56" s="695" t="n">
        <v>210</v>
      </c>
      <c r="C56" s="703" t="inlineStr">
        <is>
          <t>R0111559</t>
        </is>
      </c>
      <c r="D56" s="1195" t="inlineStr">
        <is>
          <t>3590 N. Himalaya Rd (Bldg 6)</t>
        </is>
      </c>
      <c r="E56" s="703" t="inlineStr">
        <is>
          <t>Aurora</t>
        </is>
      </c>
      <c r="F56" s="703" t="inlineStr">
        <is>
          <t>CO</t>
        </is>
      </c>
      <c r="G56" s="703" t="inlineStr">
        <is>
          <t>Industrial</t>
        </is>
      </c>
      <c r="H56" s="1195"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1195" t="inlineStr">
        <is>
          <t>NNN landlord expenses only; from AXG Whse Expenses PSF.xlsx</t>
        </is>
      </c>
      <c r="AN56">
        <f>IF(AND($B56=Subj_OccCode,Subj_BldgSF&gt;0,ABS($J56-Subj_BldgSF)&lt;=Subj_BldgSF*Subj_SizeTol),ABS($J56-Subj_BldgSF),NA())</f>
        <v/>
      </c>
      <c r="AO56">
        <f>IF(ISNA(AN56),NA(),AN56+ROW()/10000000)</f>
        <v/>
      </c>
      <c r="AR56" s="1132">
        <f>IF(B56="","",IFERROR(INDEX(OCC_TABLE_DESC,MATCH(B56,OCC_TABLE_CODE,0)),"Unrecognized code"))</f>
        <v/>
      </c>
    </row>
    <row r="57">
      <c r="A57" s="703" t="inlineStr">
        <is>
          <t>P024</t>
        </is>
      </c>
      <c r="B57" s="695" t="n">
        <v>407</v>
      </c>
      <c r="C57" s="703" t="inlineStr">
        <is>
          <t>R0111560</t>
        </is>
      </c>
      <c r="D57" s="1195" t="inlineStr">
        <is>
          <t>20320 E. 36th Dr (Bldg 7)</t>
        </is>
      </c>
      <c r="E57" s="703" t="inlineStr">
        <is>
          <t>Aurora</t>
        </is>
      </c>
      <c r="F57" s="703" t="inlineStr">
        <is>
          <t>CO</t>
        </is>
      </c>
      <c r="G57" s="703" t="inlineStr">
        <is>
          <t>Industrial</t>
        </is>
      </c>
      <c r="H57" s="1195"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1195" t="inlineStr">
        <is>
          <t>NNN landlord expenses only; from AXG Whse Expenses PSF.xlsx</t>
        </is>
      </c>
      <c r="AN57">
        <f>IF(AND($B57=Subj_OccCode,Subj_BldgSF&gt;0,ABS($J57-Subj_BldgSF)&lt;=Subj_BldgSF*Subj_SizeTol),ABS($J57-Subj_BldgSF),NA())</f>
        <v/>
      </c>
      <c r="AO57">
        <f>IF(ISNA(AN57),NA(),AN57+ROW()/10000000)</f>
        <v/>
      </c>
      <c r="AR57" s="1132">
        <f>IF(B57="","",IFERROR(INDEX(OCC_TABLE_DESC,MATCH(B57,OCC_TABLE_CODE,0)),"Unrecognized code"))</f>
        <v/>
      </c>
    </row>
    <row r="58">
      <c r="A58" s="703" t="inlineStr">
        <is>
          <t>P024</t>
        </is>
      </c>
      <c r="B58" s="695" t="n">
        <v>407</v>
      </c>
      <c r="C58" s="703" t="inlineStr">
        <is>
          <t>R0111560</t>
        </is>
      </c>
      <c r="D58" s="1195" t="inlineStr">
        <is>
          <t>20320 E. 36th Dr (Bldg 7)</t>
        </is>
      </c>
      <c r="E58" s="703" t="inlineStr">
        <is>
          <t>Aurora</t>
        </is>
      </c>
      <c r="F58" s="703" t="inlineStr">
        <is>
          <t>CO</t>
        </is>
      </c>
      <c r="G58" s="703" t="inlineStr">
        <is>
          <t>Industrial</t>
        </is>
      </c>
      <c r="H58" s="1195"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1195" t="inlineStr">
        <is>
          <t>NNN landlord expenses only; from AXG Whse Expenses PSF.xlsx</t>
        </is>
      </c>
      <c r="AN58">
        <f>IF(AND($B58=Subj_OccCode,Subj_BldgSF&gt;0,ABS($J58-Subj_BldgSF)&lt;=Subj_BldgSF*Subj_SizeTol),ABS($J58-Subj_BldgSF),NA())</f>
        <v/>
      </c>
      <c r="AO58">
        <f>IF(ISNA(AN58),NA(),AN58+ROW()/10000000)</f>
        <v/>
      </c>
      <c r="AR58" s="1132">
        <f>IF(B58="","",IFERROR(INDEX(OCC_TABLE_DESC,MATCH(B58,OCC_TABLE_CODE,0)),"Unrecognized code"))</f>
        <v/>
      </c>
    </row>
    <row r="59">
      <c r="A59" s="703" t="inlineStr">
        <is>
          <t>P025</t>
        </is>
      </c>
      <c r="B59" s="695" t="n">
        <v>210</v>
      </c>
      <c r="C59" s="703" t="inlineStr">
        <is>
          <t>R0191099</t>
        </is>
      </c>
      <c r="D59" s="1195" t="inlineStr">
        <is>
          <t>3559 N. Himalaya Rd (Bldg 5)</t>
        </is>
      </c>
      <c r="E59" s="703" t="inlineStr">
        <is>
          <t>Aurora</t>
        </is>
      </c>
      <c r="F59" s="703" t="inlineStr">
        <is>
          <t>CO</t>
        </is>
      </c>
      <c r="G59" s="703" t="inlineStr">
        <is>
          <t>Industrial</t>
        </is>
      </c>
      <c r="H59" s="1195"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1195" t="inlineStr">
        <is>
          <t>NNN landlord expenses only; from AXG Whse Expenses PSF.xlsx</t>
        </is>
      </c>
      <c r="AN59">
        <f>IF(AND($B59=Subj_OccCode,Subj_BldgSF&gt;0,ABS($J59-Subj_BldgSF)&lt;=Subj_BldgSF*Subj_SizeTol),ABS($J59-Subj_BldgSF),NA())</f>
        <v/>
      </c>
      <c r="AO59">
        <f>IF(ISNA(AN59),NA(),AN59+ROW()/10000000)</f>
        <v/>
      </c>
      <c r="AR59" s="1132">
        <f>IF(B59="","",IFERROR(INDEX(OCC_TABLE_DESC,MATCH(B59,OCC_TABLE_CODE,0)),"Unrecognized code"))</f>
        <v/>
      </c>
    </row>
    <row r="60">
      <c r="A60" s="703" t="inlineStr">
        <is>
          <t>P025</t>
        </is>
      </c>
      <c r="B60" s="695" t="n">
        <v>210</v>
      </c>
      <c r="C60" s="703" t="inlineStr">
        <is>
          <t>R0191099</t>
        </is>
      </c>
      <c r="D60" s="1195" t="inlineStr">
        <is>
          <t>3559 N. Himalaya Rd (Bldg 5)</t>
        </is>
      </c>
      <c r="E60" s="703" t="inlineStr">
        <is>
          <t>Aurora</t>
        </is>
      </c>
      <c r="F60" s="703" t="inlineStr">
        <is>
          <t>CO</t>
        </is>
      </c>
      <c r="G60" s="703" t="inlineStr">
        <is>
          <t>Industrial</t>
        </is>
      </c>
      <c r="H60" s="1195"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1195" t="inlineStr">
        <is>
          <t>NNN landlord expenses only; from AXG Whse Expenses PSF.xlsx</t>
        </is>
      </c>
      <c r="AN60">
        <f>IF(AND($B60=Subj_OccCode,Subj_BldgSF&gt;0,ABS($J60-Subj_BldgSF)&lt;=Subj_BldgSF*Subj_SizeTol),ABS($J60-Subj_BldgSF),NA())</f>
        <v/>
      </c>
      <c r="AO60">
        <f>IF(ISNA(AN60),NA(),AN60+ROW()/10000000)</f>
        <v/>
      </c>
      <c r="AR60" s="1132">
        <f>IF(B60="","",IFERROR(INDEX(OCC_TABLE_DESC,MATCH(B60,OCC_TABLE_CODE,0)),"Unrecognized code"))</f>
        <v/>
      </c>
    </row>
    <row r="61">
      <c r="A61" s="703" t="inlineStr">
        <is>
          <t>P027</t>
        </is>
      </c>
      <c r="B61" s="695" t="n">
        <v>407</v>
      </c>
      <c r="C61" s="703" t="inlineStr">
        <is>
          <t>R0132030</t>
        </is>
      </c>
      <c r="D61" s="1195" t="inlineStr">
        <is>
          <t>Majestic Commercenter (R0132030)</t>
        </is>
      </c>
      <c r="E61" s="703" t="inlineStr">
        <is>
          <t>Commerce City</t>
        </is>
      </c>
      <c r="F61" s="703" t="inlineStr">
        <is>
          <t>CO</t>
        </is>
      </c>
      <c r="G61" s="703" t="inlineStr">
        <is>
          <t>Industrial</t>
        </is>
      </c>
      <c r="H61" s="1195"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1195" t="inlineStr">
        <is>
          <t>NNN landlord expenses only; from AXG Whse Expenses PSF.xlsx (R0132030)</t>
        </is>
      </c>
      <c r="AN61">
        <f>IF(AND($B61=Subj_OccCode,Subj_BldgSF&gt;0,ABS($J61-Subj_BldgSF)&lt;=Subj_BldgSF*Subj_SizeTol),ABS($J61-Subj_BldgSF),NA())</f>
        <v/>
      </c>
      <c r="AO61">
        <f>IF(ISNA(AN61),NA(),AN61+ROW()/10000000)</f>
        <v/>
      </c>
      <c r="AR61" s="1132">
        <f>IF(B61="","",IFERROR(INDEX(OCC_TABLE_DESC,MATCH(B61,OCC_TABLE_CODE,0)),"Unrecognized code"))</f>
        <v/>
      </c>
    </row>
    <row r="62">
      <c r="A62" s="703" t="inlineStr">
        <is>
          <t>P027</t>
        </is>
      </c>
      <c r="B62" s="695" t="n">
        <v>407</v>
      </c>
      <c r="C62" s="703" t="inlineStr">
        <is>
          <t>R0132030</t>
        </is>
      </c>
      <c r="D62" s="1195" t="inlineStr">
        <is>
          <t>Majestic Commercenter (R0132030)</t>
        </is>
      </c>
      <c r="E62" s="703" t="inlineStr">
        <is>
          <t>Commerce City</t>
        </is>
      </c>
      <c r="F62" s="703" t="inlineStr">
        <is>
          <t>CO</t>
        </is>
      </c>
      <c r="G62" s="703" t="inlineStr">
        <is>
          <t>Industrial</t>
        </is>
      </c>
      <c r="H62" s="1195"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1195" t="inlineStr">
        <is>
          <t>NNN landlord expenses only; from AXG Whse Expenses PSF.xlsx (R0132030)</t>
        </is>
      </c>
      <c r="AN62">
        <f>IF(AND($B62=Subj_OccCode,Subj_BldgSF&gt;0,ABS($J62-Subj_BldgSF)&lt;=Subj_BldgSF*Subj_SizeTol),ABS($J62-Subj_BldgSF),NA())</f>
        <v/>
      </c>
      <c r="AO62">
        <f>IF(ISNA(AN62),NA(),AN62+ROW()/10000000)</f>
        <v/>
      </c>
      <c r="AR62" s="1132">
        <f>IF(B62="","",IFERROR(INDEX(OCC_TABLE_DESC,MATCH(B62,OCC_TABLE_CODE,0)),"Unrecognized code"))</f>
        <v/>
      </c>
    </row>
    <row r="63">
      <c r="A63" s="703" t="inlineStr">
        <is>
          <t>P028</t>
        </is>
      </c>
      <c r="B63" s="695" t="n">
        <v>407</v>
      </c>
      <c r="C63" s="703" t="inlineStr">
        <is>
          <t>R0084040</t>
        </is>
      </c>
      <c r="D63" s="1195" t="inlineStr">
        <is>
          <t>Majestic Commercenter (R0084040)</t>
        </is>
      </c>
      <c r="E63" s="703" t="inlineStr">
        <is>
          <t>Commerce City</t>
        </is>
      </c>
      <c r="F63" s="703" t="inlineStr">
        <is>
          <t>CO</t>
        </is>
      </c>
      <c r="G63" s="703" t="inlineStr">
        <is>
          <t>Industrial</t>
        </is>
      </c>
      <c r="H63" s="1195"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1195" t="inlineStr">
        <is>
          <t>NNN landlord expenses only; from AXG Whse Expenses PSF.xlsx (R0084040)</t>
        </is>
      </c>
      <c r="AN63">
        <f>IF(AND($B63=Subj_OccCode,Subj_BldgSF&gt;0,ABS($J63-Subj_BldgSF)&lt;=Subj_BldgSF*Subj_SizeTol),ABS($J63-Subj_BldgSF),NA())</f>
        <v/>
      </c>
      <c r="AO63">
        <f>IF(ISNA(AN63),NA(),AN63+ROW()/10000000)</f>
        <v/>
      </c>
      <c r="AR63" s="1132">
        <f>IF(B63="","",IFERROR(INDEX(OCC_TABLE_DESC,MATCH(B63,OCC_TABLE_CODE,0)),"Unrecognized code"))</f>
        <v/>
      </c>
    </row>
    <row r="64">
      <c r="A64" s="703" t="inlineStr">
        <is>
          <t>P028</t>
        </is>
      </c>
      <c r="B64" s="695" t="n">
        <v>407</v>
      </c>
      <c r="C64" s="703" t="inlineStr">
        <is>
          <t>R0084040</t>
        </is>
      </c>
      <c r="D64" s="1195" t="inlineStr">
        <is>
          <t>Majestic Commercenter (R0084040)</t>
        </is>
      </c>
      <c r="E64" s="703" t="inlineStr">
        <is>
          <t>Commerce City</t>
        </is>
      </c>
      <c r="F64" s="703" t="inlineStr">
        <is>
          <t>CO</t>
        </is>
      </c>
      <c r="G64" s="703" t="inlineStr">
        <is>
          <t>Industrial</t>
        </is>
      </c>
      <c r="H64" s="1195"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1195" t="inlineStr">
        <is>
          <t>NNN landlord expenses only; from AXG Whse Expenses PSF.xlsx (R0084040)</t>
        </is>
      </c>
      <c r="AN64">
        <f>IF(AND($B64=Subj_OccCode,Subj_BldgSF&gt;0,ABS($J64-Subj_BldgSF)&lt;=Subj_BldgSF*Subj_SizeTol),ABS($J64-Subj_BldgSF),NA())</f>
        <v/>
      </c>
      <c r="AO64">
        <f>IF(ISNA(AN64),NA(),AN64+ROW()/10000000)</f>
        <v/>
      </c>
      <c r="AR64" s="1132">
        <f>IF(B64="","",IFERROR(INDEX(OCC_TABLE_DESC,MATCH(B64,OCC_TABLE_CODE,0)),"Unrecognized code"))</f>
        <v/>
      </c>
    </row>
    <row r="65">
      <c r="A65" s="703" t="inlineStr">
        <is>
          <t>P029</t>
        </is>
      </c>
      <c r="B65" s="695" t="n">
        <v>407</v>
      </c>
      <c r="C65" s="703" t="inlineStr">
        <is>
          <t>R0084041</t>
        </is>
      </c>
      <c r="D65" s="1195" t="inlineStr">
        <is>
          <t>Majestic Commercenter (R0084041)</t>
        </is>
      </c>
      <c r="E65" s="703" t="inlineStr">
        <is>
          <t>Commerce City</t>
        </is>
      </c>
      <c r="F65" s="703" t="inlineStr">
        <is>
          <t>CO</t>
        </is>
      </c>
      <c r="G65" s="703" t="inlineStr">
        <is>
          <t>Industrial</t>
        </is>
      </c>
      <c r="H65" s="1195"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1195" t="inlineStr">
        <is>
          <t>NNN landlord expenses only; from AXG Whse Expenses PSF.xlsx (R0084041)</t>
        </is>
      </c>
      <c r="AN65">
        <f>IF(AND($B65=Subj_OccCode,Subj_BldgSF&gt;0,ABS($J65-Subj_BldgSF)&lt;=Subj_BldgSF*Subj_SizeTol),ABS($J65-Subj_BldgSF),NA())</f>
        <v/>
      </c>
      <c r="AO65">
        <f>IF(ISNA(AN65),NA(),AN65+ROW()/10000000)</f>
        <v/>
      </c>
      <c r="AR65" s="1132">
        <f>IF(B65="","",IFERROR(INDEX(OCC_TABLE_DESC,MATCH(B65,OCC_TABLE_CODE,0)),"Unrecognized code"))</f>
        <v/>
      </c>
    </row>
    <row r="66">
      <c r="A66" s="703" t="inlineStr">
        <is>
          <t>P029</t>
        </is>
      </c>
      <c r="B66" s="695" t="n">
        <v>407</v>
      </c>
      <c r="C66" s="703" t="inlineStr">
        <is>
          <t>R0084041</t>
        </is>
      </c>
      <c r="D66" s="1195" t="inlineStr">
        <is>
          <t>Majestic Commercenter (R0084041)</t>
        </is>
      </c>
      <c r="E66" s="703" t="inlineStr">
        <is>
          <t>Commerce City</t>
        </is>
      </c>
      <c r="F66" s="703" t="inlineStr">
        <is>
          <t>CO</t>
        </is>
      </c>
      <c r="G66" s="703" t="inlineStr">
        <is>
          <t>Industrial</t>
        </is>
      </c>
      <c r="H66" s="1195"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1195" t="inlineStr">
        <is>
          <t>NNN landlord expenses only; from AXG Whse Expenses PSF.xlsx (R0084041)</t>
        </is>
      </c>
      <c r="AN66">
        <f>IF(AND($B66=Subj_OccCode,Subj_BldgSF&gt;0,ABS($J66-Subj_BldgSF)&lt;=Subj_BldgSF*Subj_SizeTol),ABS($J66-Subj_BldgSF),NA())</f>
        <v/>
      </c>
      <c r="AO66">
        <f>IF(ISNA(AN66),NA(),AN66+ROW()/10000000)</f>
        <v/>
      </c>
      <c r="AR66" s="1132">
        <f>IF(B66="","",IFERROR(INDEX(OCC_TABLE_DESC,MATCH(B66,OCC_TABLE_CODE,0)),"Unrecognized code"))</f>
        <v/>
      </c>
    </row>
    <row r="67">
      <c r="A67" s="703" t="inlineStr">
        <is>
          <t>P030</t>
        </is>
      </c>
      <c r="B67" s="695" t="n">
        <v>584</v>
      </c>
      <c r="C67" s="703" t="inlineStr">
        <is>
          <t>R0217015</t>
        </is>
      </c>
      <c r="D67" s="1195" t="inlineStr">
        <is>
          <t>Majestic Commercenter (R0217015)</t>
        </is>
      </c>
      <c r="E67" s="703" t="inlineStr">
        <is>
          <t>Commerce City</t>
        </is>
      </c>
      <c r="F67" s="703" t="inlineStr">
        <is>
          <t>CO</t>
        </is>
      </c>
      <c r="G67" s="703" t="inlineStr">
        <is>
          <t>Industrial</t>
        </is>
      </c>
      <c r="H67" s="1195"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1195" t="inlineStr">
        <is>
          <t>NNN landlord expenses only; from AXG Whse Expenses PSF.xlsx (R0217015)</t>
        </is>
      </c>
      <c r="AN67">
        <f>IF(AND($B67=Subj_OccCode,Subj_BldgSF&gt;0,ABS($J67-Subj_BldgSF)&lt;=Subj_BldgSF*Subj_SizeTol),ABS($J67-Subj_BldgSF),NA())</f>
        <v/>
      </c>
      <c r="AO67">
        <f>IF(ISNA(AN67),NA(),AN67+ROW()/10000000)</f>
        <v/>
      </c>
      <c r="AR67" s="1132">
        <f>IF(B67="","",IFERROR(INDEX(OCC_TABLE_DESC,MATCH(B67,OCC_TABLE_CODE,0)),"Unrecognized code"))</f>
        <v/>
      </c>
    </row>
    <row r="68">
      <c r="A68" s="703" t="inlineStr">
        <is>
          <t>P031</t>
        </is>
      </c>
      <c r="B68" s="695" t="n">
        <v>407</v>
      </c>
      <c r="C68" s="703" t="inlineStr">
        <is>
          <t>R0111562</t>
        </is>
      </c>
      <c r="D68" s="1195" t="inlineStr">
        <is>
          <t>Majestic Commercenter (R0111562)</t>
        </is>
      </c>
      <c r="E68" s="703" t="inlineStr">
        <is>
          <t>Commerce City</t>
        </is>
      </c>
      <c r="F68" s="703" t="inlineStr">
        <is>
          <t>CO</t>
        </is>
      </c>
      <c r="G68" s="703" t="inlineStr">
        <is>
          <t>Industrial</t>
        </is>
      </c>
      <c r="H68" s="1195"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1195" t="inlineStr">
        <is>
          <t>NNN landlord expenses only; from AXG Whse Expenses PSF.xlsx (R0111562)</t>
        </is>
      </c>
      <c r="AN68">
        <f>IF(AND($B68=Subj_OccCode,Subj_BldgSF&gt;0,ABS($J68-Subj_BldgSF)&lt;=Subj_BldgSF*Subj_SizeTol),ABS($J68-Subj_BldgSF),NA())</f>
        <v/>
      </c>
      <c r="AO68">
        <f>IF(ISNA(AN68),NA(),AN68+ROW()/10000000)</f>
        <v/>
      </c>
      <c r="AR68" s="1132">
        <f>IF(B68="","",IFERROR(INDEX(OCC_TABLE_DESC,MATCH(B68,OCC_TABLE_CODE,0)),"Unrecognized code"))</f>
        <v/>
      </c>
    </row>
    <row r="69">
      <c r="A69" s="703" t="inlineStr">
        <is>
          <t>P031</t>
        </is>
      </c>
      <c r="B69" s="695" t="n">
        <v>407</v>
      </c>
      <c r="C69" s="703" t="inlineStr">
        <is>
          <t>R0111562</t>
        </is>
      </c>
      <c r="D69" s="1195" t="inlineStr">
        <is>
          <t>Majestic Commercenter (R0111562)</t>
        </is>
      </c>
      <c r="E69" s="703" t="inlineStr">
        <is>
          <t>Commerce City</t>
        </is>
      </c>
      <c r="F69" s="703" t="inlineStr">
        <is>
          <t>CO</t>
        </is>
      </c>
      <c r="G69" s="703" t="inlineStr">
        <is>
          <t>Industrial</t>
        </is>
      </c>
      <c r="H69" s="1195"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1195" t="inlineStr">
        <is>
          <t>NNN landlord expenses only; from AXG Whse Expenses PSF.xlsx (R0111562)</t>
        </is>
      </c>
      <c r="AN69">
        <f>IF(AND($B69=Subj_OccCode,Subj_BldgSF&gt;0,ABS($J69-Subj_BldgSF)&lt;=Subj_BldgSF*Subj_SizeTol),ABS($J69-Subj_BldgSF),NA())</f>
        <v/>
      </c>
      <c r="AO69">
        <f>IF(ISNA(AN69),NA(),AN69+ROW()/10000000)</f>
        <v/>
      </c>
      <c r="AR69" s="1132">
        <f>IF(B69="","",IFERROR(INDEX(OCC_TABLE_DESC,MATCH(B69,OCC_TABLE_CODE,0)),"Unrecognized code"))</f>
        <v/>
      </c>
    </row>
    <row r="70">
      <c r="A70" s="703" t="inlineStr">
        <is>
          <t>P032</t>
        </is>
      </c>
      <c r="B70" s="695" t="n">
        <v>407</v>
      </c>
      <c r="C70" s="703" t="inlineStr">
        <is>
          <t>R0118875</t>
        </is>
      </c>
      <c r="D70" s="1195" t="inlineStr">
        <is>
          <t>Majestic Commercenter (R0118875)</t>
        </is>
      </c>
      <c r="E70" s="703" t="inlineStr">
        <is>
          <t>Commerce City</t>
        </is>
      </c>
      <c r="F70" s="703" t="inlineStr">
        <is>
          <t>CO</t>
        </is>
      </c>
      <c r="G70" s="703" t="inlineStr">
        <is>
          <t>Industrial</t>
        </is>
      </c>
      <c r="H70" s="1195"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1195" t="inlineStr">
        <is>
          <t>NNN landlord expenses only; from AXG Whse Expenses PSF.xlsx (R0118875)</t>
        </is>
      </c>
      <c r="AN70">
        <f>IF(AND($B70=Subj_OccCode,Subj_BldgSF&gt;0,ABS($J70-Subj_BldgSF)&lt;=Subj_BldgSF*Subj_SizeTol),ABS($J70-Subj_BldgSF),NA())</f>
        <v/>
      </c>
      <c r="AO70">
        <f>IF(ISNA(AN70),NA(),AN70+ROW()/10000000)</f>
        <v/>
      </c>
      <c r="AR70" s="1132">
        <f>IF(B70="","",IFERROR(INDEX(OCC_TABLE_DESC,MATCH(B70,OCC_TABLE_CODE,0)),"Unrecognized code"))</f>
        <v/>
      </c>
    </row>
    <row r="71">
      <c r="A71" s="703" t="inlineStr">
        <is>
          <t>P032</t>
        </is>
      </c>
      <c r="B71" s="695" t="n">
        <v>407</v>
      </c>
      <c r="C71" s="703" t="inlineStr">
        <is>
          <t>R0118875</t>
        </is>
      </c>
      <c r="D71" s="1195" t="inlineStr">
        <is>
          <t>Majestic Commercenter (R0118875)</t>
        </is>
      </c>
      <c r="E71" s="703" t="inlineStr">
        <is>
          <t>Commerce City</t>
        </is>
      </c>
      <c r="F71" s="703" t="inlineStr">
        <is>
          <t>CO</t>
        </is>
      </c>
      <c r="G71" s="703" t="inlineStr">
        <is>
          <t>Industrial</t>
        </is>
      </c>
      <c r="H71" s="1195"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1195" t="inlineStr">
        <is>
          <t>NNN landlord expenses only; from AXG Whse Expenses PSF.xlsx (R0118875)</t>
        </is>
      </c>
      <c r="AN71">
        <f>IF(AND($B71=Subj_OccCode,Subj_BldgSF&gt;0,ABS($J71-Subj_BldgSF)&lt;=Subj_BldgSF*Subj_SizeTol),ABS($J71-Subj_BldgSF),NA())</f>
        <v/>
      </c>
      <c r="AO71">
        <f>IF(ISNA(AN71),NA(),AN71+ROW()/10000000)</f>
        <v/>
      </c>
      <c r="AR71" s="1132">
        <f>IF(B71="","",IFERROR(INDEX(OCC_TABLE_DESC,MATCH(B71,OCC_TABLE_CODE,0)),"Unrecognized code"))</f>
        <v/>
      </c>
    </row>
    <row r="72">
      <c r="A72" s="703" t="inlineStr">
        <is>
          <t>P033</t>
        </is>
      </c>
      <c r="B72" s="695" t="n">
        <v>407</v>
      </c>
      <c r="C72" s="703" t="inlineStr">
        <is>
          <t>R0132031</t>
        </is>
      </c>
      <c r="D72" s="1195" t="inlineStr">
        <is>
          <t>Majestic Commercenter (R0132031)</t>
        </is>
      </c>
      <c r="E72" s="703" t="inlineStr">
        <is>
          <t>Commerce City</t>
        </is>
      </c>
      <c r="F72" s="703" t="inlineStr">
        <is>
          <t>CO</t>
        </is>
      </c>
      <c r="G72" s="703" t="inlineStr">
        <is>
          <t>Industrial</t>
        </is>
      </c>
      <c r="H72" s="1195"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1195" t="inlineStr">
        <is>
          <t>NNN landlord expenses only; from AXG Whse Expenses PSF.xlsx (R0132031)</t>
        </is>
      </c>
      <c r="AN72">
        <f>IF(AND($B72=Subj_OccCode,Subj_BldgSF&gt;0,ABS($J72-Subj_BldgSF)&lt;=Subj_BldgSF*Subj_SizeTol),ABS($J72-Subj_BldgSF),NA())</f>
        <v/>
      </c>
      <c r="AO72">
        <f>IF(ISNA(AN72),NA(),AN72+ROW()/10000000)</f>
        <v/>
      </c>
      <c r="AR72" s="1132">
        <f>IF(B72="","",IFERROR(INDEX(OCC_TABLE_DESC,MATCH(B72,OCC_TABLE_CODE,0)),"Unrecognized code"))</f>
        <v/>
      </c>
    </row>
    <row r="73">
      <c r="A73" s="703" t="inlineStr">
        <is>
          <t>P033</t>
        </is>
      </c>
      <c r="B73" s="695" t="n">
        <v>407</v>
      </c>
      <c r="C73" s="703" t="inlineStr">
        <is>
          <t>R0132031</t>
        </is>
      </c>
      <c r="D73" s="1195" t="inlineStr">
        <is>
          <t>Majestic Commercenter (R0132031)</t>
        </is>
      </c>
      <c r="E73" s="703" t="inlineStr">
        <is>
          <t>Commerce City</t>
        </is>
      </c>
      <c r="F73" s="703" t="inlineStr">
        <is>
          <t>CO</t>
        </is>
      </c>
      <c r="G73" s="703" t="inlineStr">
        <is>
          <t>Industrial</t>
        </is>
      </c>
      <c r="H73" s="1195"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1195" t="inlineStr">
        <is>
          <t>NNN landlord expenses only; from AXG Whse Expenses PSF.xlsx (R0132031)</t>
        </is>
      </c>
      <c r="AN73">
        <f>IF(AND($B73=Subj_OccCode,Subj_BldgSF&gt;0,ABS($J73-Subj_BldgSF)&lt;=Subj_BldgSF*Subj_SizeTol),ABS($J73-Subj_BldgSF),NA())</f>
        <v/>
      </c>
      <c r="AO73">
        <f>IF(ISNA(AN73),NA(),AN73+ROW()/10000000)</f>
        <v/>
      </c>
      <c r="AR73" s="1132">
        <f>IF(B73="","",IFERROR(INDEX(OCC_TABLE_DESC,MATCH(B73,OCC_TABLE_CODE,0)),"Unrecognized code"))</f>
        <v/>
      </c>
    </row>
    <row r="74">
      <c r="A74" s="703" t="inlineStr">
        <is>
          <t>P034</t>
        </is>
      </c>
      <c r="B74" s="695" t="n">
        <v>407</v>
      </c>
      <c r="C74" s="703" t="inlineStr">
        <is>
          <t>R0172865</t>
        </is>
      </c>
      <c r="D74" s="1195" t="inlineStr">
        <is>
          <t>Majestic Commercenter (R0172865)</t>
        </is>
      </c>
      <c r="E74" s="703" t="inlineStr">
        <is>
          <t>Commerce City</t>
        </is>
      </c>
      <c r="F74" s="703" t="inlineStr">
        <is>
          <t>CO</t>
        </is>
      </c>
      <c r="G74" s="703" t="inlineStr">
        <is>
          <t>Industrial</t>
        </is>
      </c>
      <c r="H74" s="1195"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1195" t="inlineStr">
        <is>
          <t>NNN landlord expenses only; from AXG Whse Expenses PSF.xlsx (R0172865)</t>
        </is>
      </c>
      <c r="AN74">
        <f>IF(AND($B74=Subj_OccCode,Subj_BldgSF&gt;0,ABS($J74-Subj_BldgSF)&lt;=Subj_BldgSF*Subj_SizeTol),ABS($J74-Subj_BldgSF),NA())</f>
        <v/>
      </c>
      <c r="AO74">
        <f>IF(ISNA(AN74),NA(),AN74+ROW()/10000000)</f>
        <v/>
      </c>
      <c r="AR74" s="1132">
        <f>IF(B74="","",IFERROR(INDEX(OCC_TABLE_DESC,MATCH(B74,OCC_TABLE_CODE,0)),"Unrecognized code"))</f>
        <v/>
      </c>
    </row>
    <row r="75">
      <c r="A75" s="703" t="inlineStr">
        <is>
          <t>P034</t>
        </is>
      </c>
      <c r="B75" s="695" t="n">
        <v>407</v>
      </c>
      <c r="C75" s="703" t="inlineStr">
        <is>
          <t>R0172865</t>
        </is>
      </c>
      <c r="D75" s="1195" t="inlineStr">
        <is>
          <t>Majestic Commercenter (R0172865)</t>
        </is>
      </c>
      <c r="E75" s="703" t="inlineStr">
        <is>
          <t>Commerce City</t>
        </is>
      </c>
      <c r="F75" s="703" t="inlineStr">
        <is>
          <t>CO</t>
        </is>
      </c>
      <c r="G75" s="703" t="inlineStr">
        <is>
          <t>Industrial</t>
        </is>
      </c>
      <c r="H75" s="1195"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1195" t="inlineStr">
        <is>
          <t>NNN landlord expenses only; from AXG Whse Expenses PSF.xlsx (R0172865)</t>
        </is>
      </c>
      <c r="AN75">
        <f>IF(AND($B75=Subj_OccCode,Subj_BldgSF&gt;0,ABS($J75-Subj_BldgSF)&lt;=Subj_BldgSF*Subj_SizeTol),ABS($J75-Subj_BldgSF),NA())</f>
        <v/>
      </c>
      <c r="AO75">
        <f>IF(ISNA(AN75),NA(),AN75+ROW()/10000000)</f>
        <v/>
      </c>
      <c r="AR75" s="1132">
        <f>IF(B75="","",IFERROR(INDEX(OCC_TABLE_DESC,MATCH(B75,OCC_TABLE_CODE,0)),"Unrecognized code"))</f>
        <v/>
      </c>
    </row>
    <row r="76">
      <c r="A76" s="703" t="inlineStr">
        <is>
          <t>P035</t>
        </is>
      </c>
      <c r="B76" s="695" t="n">
        <v>407</v>
      </c>
      <c r="C76" s="703" t="inlineStr">
        <is>
          <t>R0172867</t>
        </is>
      </c>
      <c r="D76" s="1195" t="inlineStr">
        <is>
          <t>Majestic Commercenter (R0172867)</t>
        </is>
      </c>
      <c r="E76" s="703" t="inlineStr">
        <is>
          <t>Commerce City</t>
        </is>
      </c>
      <c r="F76" s="703" t="inlineStr">
        <is>
          <t>CO</t>
        </is>
      </c>
      <c r="G76" s="703" t="inlineStr">
        <is>
          <t>Industrial</t>
        </is>
      </c>
      <c r="H76" s="1195"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1195" t="inlineStr">
        <is>
          <t>NNN landlord expenses only; from AXG Whse Expenses PSF.xlsx (R0172867)</t>
        </is>
      </c>
      <c r="AN76">
        <f>IF(AND($B76=Subj_OccCode,Subj_BldgSF&gt;0,ABS($J76-Subj_BldgSF)&lt;=Subj_BldgSF*Subj_SizeTol),ABS($J76-Subj_BldgSF),NA())</f>
        <v/>
      </c>
      <c r="AO76">
        <f>IF(ISNA(AN76),NA(),AN76+ROW()/10000000)</f>
        <v/>
      </c>
      <c r="AR76" s="1132">
        <f>IF(B76="","",IFERROR(INDEX(OCC_TABLE_DESC,MATCH(B76,OCC_TABLE_CODE,0)),"Unrecognized code"))</f>
        <v/>
      </c>
    </row>
    <row r="77">
      <c r="A77" s="703" t="inlineStr">
        <is>
          <t>P035</t>
        </is>
      </c>
      <c r="B77" s="695" t="n">
        <v>407</v>
      </c>
      <c r="C77" s="703" t="inlineStr">
        <is>
          <t>R0172867</t>
        </is>
      </c>
      <c r="D77" s="1195" t="inlineStr">
        <is>
          <t>Majestic Commercenter (R0172867)</t>
        </is>
      </c>
      <c r="E77" s="703" t="inlineStr">
        <is>
          <t>Commerce City</t>
        </is>
      </c>
      <c r="F77" s="703" t="inlineStr">
        <is>
          <t>CO</t>
        </is>
      </c>
      <c r="G77" s="703" t="inlineStr">
        <is>
          <t>Industrial</t>
        </is>
      </c>
      <c r="H77" s="1195"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1195" t="inlineStr">
        <is>
          <t>NNN landlord expenses only; from AXG Whse Expenses PSF.xlsx (R0172867)</t>
        </is>
      </c>
      <c r="AN77">
        <f>IF(AND($B77=Subj_OccCode,Subj_BldgSF&gt;0,ABS($J77-Subj_BldgSF)&lt;=Subj_BldgSF*Subj_SizeTol),ABS($J77-Subj_BldgSF),NA())</f>
        <v/>
      </c>
      <c r="AO77">
        <f>IF(ISNA(AN77),NA(),AN77+ROW()/10000000)</f>
        <v/>
      </c>
      <c r="AR77" s="1132">
        <f>IF(B77="","",IFERROR(INDEX(OCC_TABLE_DESC,MATCH(B77,OCC_TABLE_CODE,0)),"Unrecognized code"))</f>
        <v/>
      </c>
    </row>
    <row r="78">
      <c r="A78" s="703" t="inlineStr">
        <is>
          <t>P036</t>
        </is>
      </c>
      <c r="B78" s="695" t="n">
        <v>407</v>
      </c>
      <c r="C78" s="703" t="inlineStr">
        <is>
          <t>R0172868</t>
        </is>
      </c>
      <c r="D78" s="1195" t="inlineStr">
        <is>
          <t>Majestic Commercenter (R0172868)</t>
        </is>
      </c>
      <c r="E78" s="703" t="inlineStr">
        <is>
          <t>Commerce City</t>
        </is>
      </c>
      <c r="F78" s="703" t="inlineStr">
        <is>
          <t>CO</t>
        </is>
      </c>
      <c r="G78" s="703" t="inlineStr">
        <is>
          <t>Industrial</t>
        </is>
      </c>
      <c r="H78" s="1195"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1195" t="inlineStr">
        <is>
          <t>NNN landlord expenses only; from AXG Whse Expenses PSF.xlsx (R0172868)</t>
        </is>
      </c>
      <c r="AN78">
        <f>IF(AND($B78=Subj_OccCode,Subj_BldgSF&gt;0,ABS($J78-Subj_BldgSF)&lt;=Subj_BldgSF*Subj_SizeTol),ABS($J78-Subj_BldgSF),NA())</f>
        <v/>
      </c>
      <c r="AO78">
        <f>IF(ISNA(AN78),NA(),AN78+ROW()/10000000)</f>
        <v/>
      </c>
      <c r="AR78" s="1132">
        <f>IF(B78="","",IFERROR(INDEX(OCC_TABLE_DESC,MATCH(B78,OCC_TABLE_CODE,0)),"Unrecognized code"))</f>
        <v/>
      </c>
    </row>
    <row r="79">
      <c r="A79" s="703" t="inlineStr">
        <is>
          <t>P036</t>
        </is>
      </c>
      <c r="B79" s="695" t="n">
        <v>407</v>
      </c>
      <c r="C79" s="703" t="inlineStr">
        <is>
          <t>R0172868</t>
        </is>
      </c>
      <c r="D79" s="1195" t="inlineStr">
        <is>
          <t>Majestic Commercenter (R0172868)</t>
        </is>
      </c>
      <c r="E79" s="703" t="inlineStr">
        <is>
          <t>Commerce City</t>
        </is>
      </c>
      <c r="F79" s="703" t="inlineStr">
        <is>
          <t>CO</t>
        </is>
      </c>
      <c r="G79" s="703" t="inlineStr">
        <is>
          <t>Industrial</t>
        </is>
      </c>
      <c r="H79" s="1195"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1195" t="inlineStr">
        <is>
          <t>NNN landlord expenses only; from AXG Whse Expenses PSF.xlsx (R0172868)</t>
        </is>
      </c>
      <c r="AN79">
        <f>IF(AND($B79=Subj_OccCode,Subj_BldgSF&gt;0,ABS($J79-Subj_BldgSF)&lt;=Subj_BldgSF*Subj_SizeTol),ABS($J79-Subj_BldgSF),NA())</f>
        <v/>
      </c>
      <c r="AO79">
        <f>IF(ISNA(AN79),NA(),AN79+ROW()/10000000)</f>
        <v/>
      </c>
      <c r="AR79" s="1132">
        <f>IF(B79="","",IFERROR(INDEX(OCC_TABLE_DESC,MATCH(B79,OCC_TABLE_CODE,0)),"Unrecognized code"))</f>
        <v/>
      </c>
    </row>
    <row r="80">
      <c r="A80" s="703" t="inlineStr">
        <is>
          <t>P037</t>
        </is>
      </c>
      <c r="B80" s="695" t="n">
        <v>407</v>
      </c>
      <c r="C80" s="703" t="inlineStr">
        <is>
          <t>R0145680</t>
        </is>
      </c>
      <c r="D80" s="1195" t="inlineStr">
        <is>
          <t>Majestic Commercenter (R0145680)</t>
        </is>
      </c>
      <c r="E80" s="703" t="inlineStr">
        <is>
          <t>Commerce City</t>
        </is>
      </c>
      <c r="F80" s="703" t="inlineStr">
        <is>
          <t>CO</t>
        </is>
      </c>
      <c r="G80" s="703" t="inlineStr">
        <is>
          <t>Industrial</t>
        </is>
      </c>
      <c r="H80" s="1195"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1195" t="inlineStr">
        <is>
          <t>NNN landlord expenses only; from AXG Whse Expenses PSF.xlsx (R0145680)</t>
        </is>
      </c>
      <c r="AN80">
        <f>IF(AND($B80=Subj_OccCode,Subj_BldgSF&gt;0,ABS($J80-Subj_BldgSF)&lt;=Subj_BldgSF*Subj_SizeTol),ABS($J80-Subj_BldgSF),NA())</f>
        <v/>
      </c>
      <c r="AO80">
        <f>IF(ISNA(AN80),NA(),AN80+ROW()/10000000)</f>
        <v/>
      </c>
      <c r="AR80" s="1132">
        <f>IF(B80="","",IFERROR(INDEX(OCC_TABLE_DESC,MATCH(B80,OCC_TABLE_CODE,0)),"Unrecognized code"))</f>
        <v/>
      </c>
    </row>
    <row r="81">
      <c r="A81" s="703" t="inlineStr">
        <is>
          <t>P037</t>
        </is>
      </c>
      <c r="B81" s="695" t="n">
        <v>407</v>
      </c>
      <c r="C81" s="703" t="inlineStr">
        <is>
          <t>R0145680</t>
        </is>
      </c>
      <c r="D81" s="1195" t="inlineStr">
        <is>
          <t>Majestic Commercenter (R0145680)</t>
        </is>
      </c>
      <c r="E81" s="703" t="inlineStr">
        <is>
          <t>Commerce City</t>
        </is>
      </c>
      <c r="F81" s="703" t="inlineStr">
        <is>
          <t>CO</t>
        </is>
      </c>
      <c r="G81" s="703" t="inlineStr">
        <is>
          <t>Industrial</t>
        </is>
      </c>
      <c r="H81" s="1195"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1195" t="inlineStr">
        <is>
          <t>NNN landlord expenses only; from AXG Whse Expenses PSF.xlsx (R0145680)</t>
        </is>
      </c>
      <c r="AN81">
        <f>IF(AND($B81=Subj_OccCode,Subj_BldgSF&gt;0,ABS($J81-Subj_BldgSF)&lt;=Subj_BldgSF*Subj_SizeTol),ABS($J81-Subj_BldgSF),NA())</f>
        <v/>
      </c>
      <c r="AO81">
        <f>IF(ISNA(AN81),NA(),AN81+ROW()/10000000)</f>
        <v/>
      </c>
      <c r="AR81" s="1132">
        <f>IF(B81="","",IFERROR(INDEX(OCC_TABLE_DESC,MATCH(B81,OCC_TABLE_CODE,0)),"Unrecognized code"))</f>
        <v/>
      </c>
    </row>
    <row r="82">
      <c r="A82" s="703" t="inlineStr">
        <is>
          <t>P038</t>
        </is>
      </c>
      <c r="B82" s="695" t="n">
        <v>584</v>
      </c>
      <c r="C82" s="703" t="inlineStr">
        <is>
          <t>R0181787</t>
        </is>
      </c>
      <c r="D82" s="1195" t="inlineStr">
        <is>
          <t>Majestic Commercenter (R0181787)</t>
        </is>
      </c>
      <c r="E82" s="703" t="inlineStr">
        <is>
          <t>Commerce City</t>
        </is>
      </c>
      <c r="F82" s="703" t="inlineStr">
        <is>
          <t>CO</t>
        </is>
      </c>
      <c r="G82" s="703" t="inlineStr">
        <is>
          <t>Industrial</t>
        </is>
      </c>
      <c r="H82" s="1195"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1195" t="inlineStr">
        <is>
          <t>NNN landlord expenses only; from AXG Whse Expenses PSF.xlsx (R0181787)</t>
        </is>
      </c>
      <c r="AN82">
        <f>IF(AND($B82=Subj_OccCode,Subj_BldgSF&gt;0,ABS($J82-Subj_BldgSF)&lt;=Subj_BldgSF*Subj_SizeTol),ABS($J82-Subj_BldgSF),NA())</f>
        <v/>
      </c>
      <c r="AO82">
        <f>IF(ISNA(AN82),NA(),AN82+ROW()/10000000)</f>
        <v/>
      </c>
      <c r="AR82" s="1132">
        <f>IF(B82="","",IFERROR(INDEX(OCC_TABLE_DESC,MATCH(B82,OCC_TABLE_CODE,0)),"Unrecognized code"))</f>
        <v/>
      </c>
    </row>
    <row r="83">
      <c r="A83" s="703" t="inlineStr">
        <is>
          <t>P038</t>
        </is>
      </c>
      <c r="B83" s="695" t="n">
        <v>584</v>
      </c>
      <c r="C83" s="703" t="inlineStr">
        <is>
          <t>R0181787</t>
        </is>
      </c>
      <c r="D83" s="1195" t="inlineStr">
        <is>
          <t>Majestic Commercenter (R0181787)</t>
        </is>
      </c>
      <c r="E83" s="703" t="inlineStr">
        <is>
          <t>Commerce City</t>
        </is>
      </c>
      <c r="F83" s="703" t="inlineStr">
        <is>
          <t>CO</t>
        </is>
      </c>
      <c r="G83" s="703" t="inlineStr">
        <is>
          <t>Industrial</t>
        </is>
      </c>
      <c r="H83" s="1195"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1195" t="inlineStr">
        <is>
          <t>NNN landlord expenses only; from AXG Whse Expenses PSF.xlsx (R0181787)</t>
        </is>
      </c>
      <c r="AN83">
        <f>IF(AND($B83=Subj_OccCode,Subj_BldgSF&gt;0,ABS($J83-Subj_BldgSF)&lt;=Subj_BldgSF*Subj_SizeTol),ABS($J83-Subj_BldgSF),NA())</f>
        <v/>
      </c>
      <c r="AO83">
        <f>IF(ISNA(AN83),NA(),AN83+ROW()/10000000)</f>
        <v/>
      </c>
      <c r="AR83" s="1132">
        <f>IF(B83="","",IFERROR(INDEX(OCC_TABLE_DESC,MATCH(B83,OCC_TABLE_CODE,0)),"Unrecognized code"))</f>
        <v/>
      </c>
    </row>
    <row r="84">
      <c r="A84" s="703" t="inlineStr">
        <is>
          <t>P039</t>
        </is>
      </c>
      <c r="B84" s="695" t="n">
        <v>584</v>
      </c>
      <c r="C84" s="703" t="inlineStr">
        <is>
          <t>R0191101</t>
        </is>
      </c>
      <c r="D84" s="1195" t="inlineStr">
        <is>
          <t>Majestic Commercenter (R0191101)</t>
        </is>
      </c>
      <c r="E84" s="703" t="inlineStr">
        <is>
          <t>Commerce City</t>
        </is>
      </c>
      <c r="F84" s="703" t="inlineStr">
        <is>
          <t>CO</t>
        </is>
      </c>
      <c r="G84" s="703" t="inlineStr">
        <is>
          <t>Industrial</t>
        </is>
      </c>
      <c r="H84" s="1195"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1195" t="inlineStr">
        <is>
          <t>NNN landlord expenses only; from AXG Whse Expenses PSF.xlsx (R0191101)</t>
        </is>
      </c>
      <c r="AN84">
        <f>IF(AND($B84=Subj_OccCode,Subj_BldgSF&gt;0,ABS($J84-Subj_BldgSF)&lt;=Subj_BldgSF*Subj_SizeTol),ABS($J84-Subj_BldgSF),NA())</f>
        <v/>
      </c>
      <c r="AO84">
        <f>IF(ISNA(AN84),NA(),AN84+ROW()/10000000)</f>
        <v/>
      </c>
      <c r="AR84" s="1132">
        <f>IF(B84="","",IFERROR(INDEX(OCC_TABLE_DESC,MATCH(B84,OCC_TABLE_CODE,0)),"Unrecognized code"))</f>
        <v/>
      </c>
    </row>
    <row r="85">
      <c r="A85" s="703" t="inlineStr">
        <is>
          <t>P039</t>
        </is>
      </c>
      <c r="B85" s="695" t="n">
        <v>584</v>
      </c>
      <c r="C85" s="703" t="inlineStr">
        <is>
          <t>R0191101</t>
        </is>
      </c>
      <c r="D85" s="1195" t="inlineStr">
        <is>
          <t>Majestic Commercenter (R0191101)</t>
        </is>
      </c>
      <c r="E85" s="703" t="inlineStr">
        <is>
          <t>Commerce City</t>
        </is>
      </c>
      <c r="F85" s="703" t="inlineStr">
        <is>
          <t>CO</t>
        </is>
      </c>
      <c r="G85" s="703" t="inlineStr">
        <is>
          <t>Industrial</t>
        </is>
      </c>
      <c r="H85" s="1195"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1195" t="inlineStr">
        <is>
          <t>NNN landlord expenses only; from AXG Whse Expenses PSF.xlsx (R0191101)</t>
        </is>
      </c>
      <c r="AN85">
        <f>IF(AND($B85=Subj_OccCode,Subj_BldgSF&gt;0,ABS($J85-Subj_BldgSF)&lt;=Subj_BldgSF*Subj_SizeTol),ABS($J85-Subj_BldgSF),NA())</f>
        <v/>
      </c>
      <c r="AO85">
        <f>IF(ISNA(AN85),NA(),AN85+ROW()/10000000)</f>
        <v/>
      </c>
      <c r="AR85" s="1132">
        <f>IF(B85="","",IFERROR(INDEX(OCC_TABLE_DESC,MATCH(B85,OCC_TABLE_CODE,0)),"Unrecognized code"))</f>
        <v/>
      </c>
    </row>
    <row r="86">
      <c r="A86" s="703" t="inlineStr">
        <is>
          <t>P040</t>
        </is>
      </c>
      <c r="B86" s="695" t="n">
        <v>407</v>
      </c>
      <c r="C86" s="703" t="inlineStr">
        <is>
          <t>R0202874</t>
        </is>
      </c>
      <c r="D86" s="1195" t="inlineStr">
        <is>
          <t>900 E 128th Ave</t>
        </is>
      </c>
      <c r="E86" s="703" t="inlineStr">
        <is>
          <t>Henderson</t>
        </is>
      </c>
      <c r="F86" s="703" t="inlineStr">
        <is>
          <t>CO</t>
        </is>
      </c>
      <c r="G86" s="703" t="inlineStr">
        <is>
          <t>Industrial</t>
        </is>
      </c>
      <c r="H86" s="1195"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1195" t="inlineStr">
        <is>
          <t>Amazon AMZL Site 51812; SF not extracted; RE Tax not broken out in 2021</t>
        </is>
      </c>
      <c r="AN86">
        <f>IF(AND($B86=Subj_OccCode,Subj_BldgSF&gt;0,ABS($J86-Subj_BldgSF)&lt;=Subj_BldgSF*Subj_SizeTol),ABS($J86-Subj_BldgSF),NA())</f>
        <v/>
      </c>
      <c r="AO86">
        <f>IF(ISNA(AN86),NA(),AN86+ROW()/10000000)</f>
        <v/>
      </c>
      <c r="AR86" s="1132">
        <f>IF(B86="","",IFERROR(INDEX(OCC_TABLE_DESC,MATCH(B86,OCC_TABLE_CODE,0)),"Unrecognized code"))</f>
        <v/>
      </c>
    </row>
    <row r="87">
      <c r="A87" s="703" t="inlineStr">
        <is>
          <t>P040</t>
        </is>
      </c>
      <c r="B87" s="695" t="n">
        <v>407</v>
      </c>
      <c r="C87" s="703" t="inlineStr">
        <is>
          <t>R0202874</t>
        </is>
      </c>
      <c r="D87" s="1195" t="inlineStr">
        <is>
          <t>900 E 128th Ave</t>
        </is>
      </c>
      <c r="E87" s="703" t="inlineStr">
        <is>
          <t>Henderson</t>
        </is>
      </c>
      <c r="F87" s="703" t="inlineStr">
        <is>
          <t>CO</t>
        </is>
      </c>
      <c r="G87" s="703" t="inlineStr">
        <is>
          <t>Industrial</t>
        </is>
      </c>
      <c r="H87" s="1195"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1195" t="inlineStr">
        <is>
          <t>Amazon AMZL Site 51812; 2022 dominated by RE Tax $1.08M; asset mgmt fee $70k</t>
        </is>
      </c>
      <c r="AN87">
        <f>IF(AND($B87=Subj_OccCode,Subj_BldgSF&gt;0,ABS($J87-Subj_BldgSF)&lt;=Subj_BldgSF*Subj_SizeTol),ABS($J87-Subj_BldgSF),NA())</f>
        <v/>
      </c>
      <c r="AO87">
        <f>IF(ISNA(AN87),NA(),AN87+ROW()/10000000)</f>
        <v/>
      </c>
      <c r="AR87" s="1132">
        <f>IF(B87="","",IFERROR(INDEX(OCC_TABLE_DESC,MATCH(B87,OCC_TABLE_CODE,0)),"Unrecognized code"))</f>
        <v/>
      </c>
    </row>
    <row r="88">
      <c r="A88" s="703" t="inlineStr">
        <is>
          <t>P041</t>
        </is>
      </c>
      <c r="B88" s="695" t="n">
        <v>386</v>
      </c>
      <c r="C88" s="703" t="inlineStr">
        <is>
          <t>R0189384</t>
        </is>
      </c>
      <c r="D88" s="1195" t="inlineStr">
        <is>
          <t>1101 Colorado Blvd</t>
        </is>
      </c>
      <c r="E88" s="703" t="inlineStr">
        <is>
          <t>Thornton</t>
        </is>
      </c>
      <c r="F88" s="703" t="inlineStr">
        <is>
          <t>CO</t>
        </is>
      </c>
      <c r="G88" s="703" t="inlineStr">
        <is>
          <t>Self-Storage</t>
        </is>
      </c>
      <c r="H88" s="1195"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1195" t="inlineStr">
        <is>
          <t>Actual SS P&amp;L; mgmt=off-site+on-site combined; admin+adv in Other</t>
        </is>
      </c>
      <c r="AN88">
        <f>IF(AND($B88=Subj_OccCode,Subj_BldgSF&gt;0,ABS($J88-Subj_BldgSF)&lt;=Subj_BldgSF*Subj_SizeTol),ABS($J88-Subj_BldgSF),NA())</f>
        <v/>
      </c>
      <c r="AO88">
        <f>IF(ISNA(AN88),NA(),AN88+ROW()/10000000)</f>
        <v/>
      </c>
      <c r="AR88" s="1132">
        <f>IF(B88="","",IFERROR(INDEX(OCC_TABLE_DESC,MATCH(B88,OCC_TABLE_CODE,0)),"Unrecognized code"))</f>
        <v/>
      </c>
    </row>
    <row r="89">
      <c r="A89" s="703" t="inlineStr">
        <is>
          <t>P041</t>
        </is>
      </c>
      <c r="B89" s="695" t="n">
        <v>386</v>
      </c>
      <c r="C89" s="703" t="inlineStr">
        <is>
          <t>R0189384</t>
        </is>
      </c>
      <c r="D89" s="1195" t="inlineStr">
        <is>
          <t>1101 Colorado Blvd</t>
        </is>
      </c>
      <c r="E89" s="703" t="inlineStr">
        <is>
          <t>Thornton</t>
        </is>
      </c>
      <c r="F89" s="703" t="inlineStr">
        <is>
          <t>CO</t>
        </is>
      </c>
      <c r="G89" s="703" t="inlineStr">
        <is>
          <t>Self-Storage</t>
        </is>
      </c>
      <c r="H89" s="1195"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1195" t="inlineStr">
        <is>
          <t>Actual SS P&amp;L; mgmt=off-site+on-site combined; admin+adv in Other</t>
        </is>
      </c>
      <c r="AN89">
        <f>IF(AND($B89=Subj_OccCode,Subj_BldgSF&gt;0,ABS($J89-Subj_BldgSF)&lt;=Subj_BldgSF*Subj_SizeTol),ABS($J89-Subj_BldgSF),NA())</f>
        <v/>
      </c>
      <c r="AO89">
        <f>IF(ISNA(AN89),NA(),AN89+ROW()/10000000)</f>
        <v/>
      </c>
      <c r="AR89" s="1132">
        <f>IF(B89="","",IFERROR(INDEX(OCC_TABLE_DESC,MATCH(B89,OCC_TABLE_CODE,0)),"Unrecognized code"))</f>
        <v/>
      </c>
    </row>
    <row r="90">
      <c r="A90" s="703" t="inlineStr">
        <is>
          <t>P041</t>
        </is>
      </c>
      <c r="B90" s="695" t="n">
        <v>386</v>
      </c>
      <c r="C90" s="703" t="inlineStr">
        <is>
          <t>R0189384</t>
        </is>
      </c>
      <c r="D90" s="1195" t="inlineStr">
        <is>
          <t>1101 Colorado Blvd</t>
        </is>
      </c>
      <c r="E90" s="703" t="inlineStr">
        <is>
          <t>Thornton</t>
        </is>
      </c>
      <c r="F90" s="703" t="inlineStr">
        <is>
          <t>CO</t>
        </is>
      </c>
      <c r="G90" s="703" t="inlineStr">
        <is>
          <t>Self-Storage</t>
        </is>
      </c>
      <c r="H90" s="1195"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1195" t="inlineStr">
        <is>
          <t>Actual SS P&amp;L; mgmt=off-site+on-site combined; admin+adv in Other</t>
        </is>
      </c>
      <c r="AN90">
        <f>IF(AND($B90=Subj_OccCode,Subj_BldgSF&gt;0,ABS($J90-Subj_BldgSF)&lt;=Subj_BldgSF*Subj_SizeTol),ABS($J90-Subj_BldgSF),NA())</f>
        <v/>
      </c>
      <c r="AO90">
        <f>IF(ISNA(AN90),NA(),AN90+ROW()/10000000)</f>
        <v/>
      </c>
      <c r="AR90" s="1132">
        <f>IF(B90="","",IFERROR(INDEX(OCC_TABLE_DESC,MATCH(B90,OCC_TABLE_CODE,0)),"Unrecognized code"))</f>
        <v/>
      </c>
    </row>
    <row r="91">
      <c r="A91" s="703" t="inlineStr">
        <is>
          <t>P042</t>
        </is>
      </c>
      <c r="B91" s="695" t="n">
        <v>386</v>
      </c>
      <c r="C91" s="703" t="inlineStr">
        <is>
          <t>R0126235</t>
        </is>
      </c>
      <c r="D91" s="1195" t="inlineStr">
        <is>
          <t>15024 Laroy Drive</t>
        </is>
      </c>
      <c r="E91" s="703" t="inlineStr">
        <is>
          <t>Northglenn</t>
        </is>
      </c>
      <c r="F91" s="703" t="inlineStr">
        <is>
          <t>CO</t>
        </is>
      </c>
      <c r="G91" s="703" t="inlineStr">
        <is>
          <t>Self-Storage</t>
        </is>
      </c>
      <c r="H91" s="1195"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1195" t="inlineStr">
        <is>
          <t>Actual SS P&amp;L; mgmt=off-site+on-site combined</t>
        </is>
      </c>
      <c r="AN91">
        <f>IF(AND($B91=Subj_OccCode,Subj_BldgSF&gt;0,ABS($J91-Subj_BldgSF)&lt;=Subj_BldgSF*Subj_SizeTol),ABS($J91-Subj_BldgSF),NA())</f>
        <v/>
      </c>
      <c r="AO91">
        <f>IF(ISNA(AN91),NA(),AN91+ROW()/10000000)</f>
        <v/>
      </c>
      <c r="AR91" s="1132">
        <f>IF(B91="","",IFERROR(INDEX(OCC_TABLE_DESC,MATCH(B91,OCC_TABLE_CODE,0)),"Unrecognized code"))</f>
        <v/>
      </c>
    </row>
    <row r="92">
      <c r="A92" s="703" t="inlineStr">
        <is>
          <t>P042</t>
        </is>
      </c>
      <c r="B92" s="695" t="n">
        <v>386</v>
      </c>
      <c r="C92" s="703" t="inlineStr">
        <is>
          <t>R0126235</t>
        </is>
      </c>
      <c r="D92" s="1195" t="inlineStr">
        <is>
          <t>15024 Laroy Drive</t>
        </is>
      </c>
      <c r="E92" s="703" t="inlineStr">
        <is>
          <t>Northglenn</t>
        </is>
      </c>
      <c r="F92" s="703" t="inlineStr">
        <is>
          <t>CO</t>
        </is>
      </c>
      <c r="G92" s="703" t="inlineStr">
        <is>
          <t>Self-Storage</t>
        </is>
      </c>
      <c r="H92" s="1195"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1195" t="inlineStr">
        <is>
          <t>Actual SS P&amp;L; mgmt=off-site+on-site combined</t>
        </is>
      </c>
      <c r="AN92">
        <f>IF(AND($B92=Subj_OccCode,Subj_BldgSF&gt;0,ABS($J92-Subj_BldgSF)&lt;=Subj_BldgSF*Subj_SizeTol),ABS($J92-Subj_BldgSF),NA())</f>
        <v/>
      </c>
      <c r="AO92">
        <f>IF(ISNA(AN92),NA(),AN92+ROW()/10000000)</f>
        <v/>
      </c>
      <c r="AR92" s="1132">
        <f>IF(B92="","",IFERROR(INDEX(OCC_TABLE_DESC,MATCH(B92,OCC_TABLE_CODE,0)),"Unrecognized code"))</f>
        <v/>
      </c>
    </row>
    <row r="93">
      <c r="A93" s="703" t="inlineStr">
        <is>
          <t>P042</t>
        </is>
      </c>
      <c r="B93" s="695" t="n">
        <v>386</v>
      </c>
      <c r="C93" s="703" t="inlineStr">
        <is>
          <t>R0126235</t>
        </is>
      </c>
      <c r="D93" s="1195" t="inlineStr">
        <is>
          <t>15024 Laroy Drive</t>
        </is>
      </c>
      <c r="E93" s="703" t="inlineStr">
        <is>
          <t>Northglenn</t>
        </is>
      </c>
      <c r="F93" s="703" t="inlineStr">
        <is>
          <t>CO</t>
        </is>
      </c>
      <c r="G93" s="703" t="inlineStr">
        <is>
          <t>Self-Storage</t>
        </is>
      </c>
      <c r="H93" s="1195"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1195" t="inlineStr">
        <is>
          <t>Actual SS P&amp;L; mgmt=off-site+on-site combined</t>
        </is>
      </c>
      <c r="AN93">
        <f>IF(AND($B93=Subj_OccCode,Subj_BldgSF&gt;0,ABS($J93-Subj_BldgSF)&lt;=Subj_BldgSF*Subj_SizeTol),ABS($J93-Subj_BldgSF),NA())</f>
        <v/>
      </c>
      <c r="AO93">
        <f>IF(ISNA(AN93),NA(),AN93+ROW()/10000000)</f>
        <v/>
      </c>
      <c r="AR93" s="1132">
        <f>IF(B93="","",IFERROR(INDEX(OCC_TABLE_DESC,MATCH(B93,OCC_TABLE_CODE,0)),"Unrecognized code"))</f>
        <v/>
      </c>
    </row>
    <row r="94">
      <c r="A94" s="703" t="inlineStr">
        <is>
          <t>P043</t>
        </is>
      </c>
      <c r="B94" s="695" t="n">
        <v>386</v>
      </c>
      <c r="C94" s="703" t="inlineStr">
        <is>
          <t>R0126234</t>
        </is>
      </c>
      <c r="D94" s="1195" t="inlineStr">
        <is>
          <t>715 W 112th Ave</t>
        </is>
      </c>
      <c r="E94" s="703" t="inlineStr">
        <is>
          <t>Northglenn</t>
        </is>
      </c>
      <c r="F94" s="703" t="inlineStr">
        <is>
          <t>CO</t>
        </is>
      </c>
      <c r="G94" s="703" t="inlineStr">
        <is>
          <t>Self-Storage</t>
        </is>
      </c>
      <c r="H94" s="1195"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1195" t="inlineStr">
        <is>
          <t>Actual SS P&amp;L; mgmt=off-site+on-site combined</t>
        </is>
      </c>
      <c r="AN94">
        <f>IF(AND($B94=Subj_OccCode,Subj_BldgSF&gt;0,ABS($J94-Subj_BldgSF)&lt;=Subj_BldgSF*Subj_SizeTol),ABS($J94-Subj_BldgSF),NA())</f>
        <v/>
      </c>
      <c r="AO94">
        <f>IF(ISNA(AN94),NA(),AN94+ROW()/10000000)</f>
        <v/>
      </c>
      <c r="AR94" s="1132">
        <f>IF(B94="","",IFERROR(INDEX(OCC_TABLE_DESC,MATCH(B94,OCC_TABLE_CODE,0)),"Unrecognized code"))</f>
        <v/>
      </c>
    </row>
    <row r="95">
      <c r="A95" s="703" t="inlineStr">
        <is>
          <t>P043</t>
        </is>
      </c>
      <c r="B95" s="695" t="n">
        <v>386</v>
      </c>
      <c r="C95" s="703" t="inlineStr">
        <is>
          <t>R0126234</t>
        </is>
      </c>
      <c r="D95" s="1195" t="inlineStr">
        <is>
          <t>715 W 112th Ave</t>
        </is>
      </c>
      <c r="E95" s="703" t="inlineStr">
        <is>
          <t>Northglenn</t>
        </is>
      </c>
      <c r="F95" s="703" t="inlineStr">
        <is>
          <t>CO</t>
        </is>
      </c>
      <c r="G95" s="703" t="inlineStr">
        <is>
          <t>Self-Storage</t>
        </is>
      </c>
      <c r="H95" s="1195"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1195" t="inlineStr">
        <is>
          <t>Actual SS P&amp;L; mgmt=off-site+on-site combined</t>
        </is>
      </c>
      <c r="AN95">
        <f>IF(AND($B95=Subj_OccCode,Subj_BldgSF&gt;0,ABS($J95-Subj_BldgSF)&lt;=Subj_BldgSF*Subj_SizeTol),ABS($J95-Subj_BldgSF),NA())</f>
        <v/>
      </c>
      <c r="AO95">
        <f>IF(ISNA(AN95),NA(),AN95+ROW()/10000000)</f>
        <v/>
      </c>
      <c r="AR95" s="1132">
        <f>IF(B95="","",IFERROR(INDEX(OCC_TABLE_DESC,MATCH(B95,OCC_TABLE_CODE,0)),"Unrecognized code"))</f>
        <v/>
      </c>
    </row>
    <row r="96">
      <c r="A96" s="703" t="inlineStr">
        <is>
          <t>P043</t>
        </is>
      </c>
      <c r="B96" s="695" t="n">
        <v>386</v>
      </c>
      <c r="C96" s="703" t="inlineStr">
        <is>
          <t>R0126234</t>
        </is>
      </c>
      <c r="D96" s="1195" t="inlineStr">
        <is>
          <t>715 W 112th Ave</t>
        </is>
      </c>
      <c r="E96" s="703" t="inlineStr">
        <is>
          <t>Northglenn</t>
        </is>
      </c>
      <c r="F96" s="703" t="inlineStr">
        <is>
          <t>CO</t>
        </is>
      </c>
      <c r="G96" s="703" t="inlineStr">
        <is>
          <t>Self-Storage</t>
        </is>
      </c>
      <c r="H96" s="1195"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1195" t="inlineStr">
        <is>
          <t>Actual SS P&amp;L; mgmt=off-site+on-site combined</t>
        </is>
      </c>
      <c r="AN96">
        <f>IF(AND($B96=Subj_OccCode,Subj_BldgSF&gt;0,ABS($J96-Subj_BldgSF)&lt;=Subj_BldgSF*Subj_SizeTol),ABS($J96-Subj_BldgSF),NA())</f>
        <v/>
      </c>
      <c r="AO96">
        <f>IF(ISNA(AN96),NA(),AN96+ROW()/10000000)</f>
        <v/>
      </c>
      <c r="AR96" s="1132">
        <f>IF(B96="","",IFERROR(INDEX(OCC_TABLE_DESC,MATCH(B96,OCC_TABLE_CODE,0)),"Unrecognized code"))</f>
        <v/>
      </c>
    </row>
    <row r="97">
      <c r="A97" s="703" t="inlineStr">
        <is>
          <t>P044</t>
        </is>
      </c>
      <c r="B97" s="695" t="n">
        <v>386</v>
      </c>
      <c r="C97" s="703" t="inlineStr">
        <is>
          <t>R0027089/R0178319</t>
        </is>
      </c>
      <c r="D97" s="1195" t="inlineStr">
        <is>
          <t>2290 E 120th Ave</t>
        </is>
      </c>
      <c r="E97" s="703" t="inlineStr">
        <is>
          <t>Thornton</t>
        </is>
      </c>
      <c r="F97" s="703" t="inlineStr">
        <is>
          <t>CO</t>
        </is>
      </c>
      <c r="G97" s="703" t="inlineStr">
        <is>
          <t>Self-Storage</t>
        </is>
      </c>
      <c r="H97" s="1195"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1195" t="inlineStr">
        <is>
          <t>Actual SS P&amp;L; combined parcels R0027089+R0178319; mgmt=off-site+on-site</t>
        </is>
      </c>
      <c r="AN97">
        <f>IF(AND($B97=Subj_OccCode,Subj_BldgSF&gt;0,ABS($J97-Subj_BldgSF)&lt;=Subj_BldgSF*Subj_SizeTol),ABS($J97-Subj_BldgSF),NA())</f>
        <v/>
      </c>
      <c r="AO97">
        <f>IF(ISNA(AN97),NA(),AN97+ROW()/10000000)</f>
        <v/>
      </c>
      <c r="AR97" s="1132">
        <f>IF(B97="","",IFERROR(INDEX(OCC_TABLE_DESC,MATCH(B97,OCC_TABLE_CODE,0)),"Unrecognized code"))</f>
        <v/>
      </c>
    </row>
    <row r="98">
      <c r="A98" s="703" t="inlineStr">
        <is>
          <t>P044</t>
        </is>
      </c>
      <c r="B98" s="695" t="n">
        <v>386</v>
      </c>
      <c r="C98" s="703" t="inlineStr">
        <is>
          <t>R0027089/R0178319</t>
        </is>
      </c>
      <c r="D98" s="1195" t="inlineStr">
        <is>
          <t>2290 E 120th Ave</t>
        </is>
      </c>
      <c r="E98" s="703" t="inlineStr">
        <is>
          <t>Thornton</t>
        </is>
      </c>
      <c r="F98" s="703" t="inlineStr">
        <is>
          <t>CO</t>
        </is>
      </c>
      <c r="G98" s="703" t="inlineStr">
        <is>
          <t>Self-Storage</t>
        </is>
      </c>
      <c r="H98" s="1195"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1195" t="inlineStr">
        <is>
          <t>Actual SS P&amp;L; combined parcels R0027089+R0178319; mgmt=off-site+on-site</t>
        </is>
      </c>
      <c r="AN98">
        <f>IF(AND($B98=Subj_OccCode,Subj_BldgSF&gt;0,ABS($J98-Subj_BldgSF)&lt;=Subj_BldgSF*Subj_SizeTol),ABS($J98-Subj_BldgSF),NA())</f>
        <v/>
      </c>
      <c r="AO98">
        <f>IF(ISNA(AN98),NA(),AN98+ROW()/10000000)</f>
        <v/>
      </c>
      <c r="AR98" s="1132">
        <f>IF(B98="","",IFERROR(INDEX(OCC_TABLE_DESC,MATCH(B98,OCC_TABLE_CODE,0)),"Unrecognized code"))</f>
        <v/>
      </c>
    </row>
    <row r="99">
      <c r="A99" s="703" t="inlineStr">
        <is>
          <t>P044</t>
        </is>
      </c>
      <c r="B99" s="695" t="n">
        <v>386</v>
      </c>
      <c r="C99" s="703" t="inlineStr">
        <is>
          <t>R0027089/R0178319</t>
        </is>
      </c>
      <c r="D99" s="1195" t="inlineStr">
        <is>
          <t>2290 E 120th Ave</t>
        </is>
      </c>
      <c r="E99" s="703" t="inlineStr">
        <is>
          <t>Thornton</t>
        </is>
      </c>
      <c r="F99" s="703" t="inlineStr">
        <is>
          <t>CO</t>
        </is>
      </c>
      <c r="G99" s="703" t="inlineStr">
        <is>
          <t>Self-Storage</t>
        </is>
      </c>
      <c r="H99" s="1195"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1195" t="inlineStr">
        <is>
          <t>Actual SS P&amp;L; combined parcels R0027089+R0178319; mgmt=off-site+on-site</t>
        </is>
      </c>
      <c r="AN99">
        <f>IF(AND($B99=Subj_OccCode,Subj_BldgSF&gt;0,ABS($J99-Subj_BldgSF)&lt;=Subj_BldgSF*Subj_SizeTol),ABS($J99-Subj_BldgSF),NA())</f>
        <v/>
      </c>
      <c r="AO99">
        <f>IF(ISNA(AN99),NA(),AN99+ROW()/10000000)</f>
        <v/>
      </c>
      <c r="AR99" s="1132">
        <f>IF(B99="","",IFERROR(INDEX(OCC_TABLE_DESC,MATCH(B99,OCC_TABLE_CODE,0)),"Unrecognized code"))</f>
        <v/>
      </c>
    </row>
    <row r="100">
      <c r="A100" s="703" t="inlineStr">
        <is>
          <t>P045</t>
        </is>
      </c>
      <c r="B100" s="695" t="n">
        <v>386</v>
      </c>
      <c r="C100" s="703" t="inlineStr">
        <is>
          <t>R0043569</t>
        </is>
      </c>
      <c r="D100" s="1195" t="inlineStr">
        <is>
          <t>40131 Quivas St</t>
        </is>
      </c>
      <c r="E100" s="703" t="inlineStr">
        <is>
          <t>Thornton</t>
        </is>
      </c>
      <c r="F100" s="703" t="inlineStr">
        <is>
          <t>CO</t>
        </is>
      </c>
      <c r="G100" s="703" t="inlineStr">
        <is>
          <t>Self-Storage</t>
        </is>
      </c>
      <c r="H100" s="1195"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1195" t="inlineStr">
        <is>
          <t>Actual FY2024 P&amp;L; mgmt=off-site $42,964+on-site $51,011; RE Tax est from matrix</t>
        </is>
      </c>
      <c r="AN100">
        <f>IF(AND($B100=Subj_OccCode,Subj_BldgSF&gt;0,ABS($J100-Subj_BldgSF)&lt;=Subj_BldgSF*Subj_SizeTol),ABS($J100-Subj_BldgSF),NA())</f>
        <v/>
      </c>
      <c r="AO100">
        <f>IF(ISNA(AN100),NA(),AN100+ROW()/10000000)</f>
        <v/>
      </c>
      <c r="AR100" s="1132">
        <f>IF(B100="","",IFERROR(INDEX(OCC_TABLE_DESC,MATCH(B100,OCC_TABLE_CODE,0)),"Unrecognized code"))</f>
        <v/>
      </c>
    </row>
    <row r="101">
      <c r="A101" s="703" t="inlineStr">
        <is>
          <t>P046</t>
        </is>
      </c>
      <c r="B101" s="695" t="n">
        <v>386</v>
      </c>
      <c r="C101" s="703" t="inlineStr">
        <is>
          <t>R0193009</t>
        </is>
      </c>
      <c r="D101" s="1195" t="inlineStr">
        <is>
          <t>Address unknown – see R0193009</t>
        </is>
      </c>
      <c r="E101" s="703" t="inlineStr">
        <is>
          <t>Adams County</t>
        </is>
      </c>
      <c r="F101" s="703" t="inlineStr">
        <is>
          <t>CO</t>
        </is>
      </c>
      <c r="G101" s="703" t="inlineStr">
        <is>
          <t>Self-Storage</t>
        </is>
      </c>
      <c r="H101" s="1195"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1195" t="inlineStr">
        <is>
          <t>AXG SS Expense Matrix; year not specified (~2022/23); R0193009</t>
        </is>
      </c>
      <c r="AN101">
        <f>IF(AND($B101=Subj_OccCode,Subj_BldgSF&gt;0,ABS($J101-Subj_BldgSF)&lt;=Subj_BldgSF*Subj_SizeTol),ABS($J101-Subj_BldgSF),NA())</f>
        <v/>
      </c>
      <c r="AO101">
        <f>IF(ISNA(AN101),NA(),AN101+ROW()/10000000)</f>
        <v/>
      </c>
      <c r="AR101" s="1132">
        <f>IF(B101="","",IFERROR(INDEX(OCC_TABLE_DESC,MATCH(B101,OCC_TABLE_CODE,0)),"Unrecognized code"))</f>
        <v/>
      </c>
    </row>
    <row r="102">
      <c r="A102" s="703" t="inlineStr">
        <is>
          <t>P047</t>
        </is>
      </c>
      <c r="B102" s="695" t="n">
        <v>386</v>
      </c>
      <c r="C102" s="703" t="inlineStr">
        <is>
          <t>R0099616</t>
        </is>
      </c>
      <c r="D102" s="1195" t="inlineStr">
        <is>
          <t>Address unknown – see R0099616</t>
        </is>
      </c>
      <c r="E102" s="703" t="inlineStr">
        <is>
          <t>Adams County</t>
        </is>
      </c>
      <c r="F102" s="703" t="inlineStr">
        <is>
          <t>CO</t>
        </is>
      </c>
      <c r="G102" s="703" t="inlineStr">
        <is>
          <t>Self-Storage</t>
        </is>
      </c>
      <c r="H102" s="1195"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1195" t="inlineStr">
        <is>
          <t>AXG SS Expense Matrix; year not specified (~2022/23); R0099616</t>
        </is>
      </c>
      <c r="AN102">
        <f>IF(AND($B102=Subj_OccCode,Subj_BldgSF&gt;0,ABS($J102-Subj_BldgSF)&lt;=Subj_BldgSF*Subj_SizeTol),ABS($J102-Subj_BldgSF),NA())</f>
        <v/>
      </c>
      <c r="AO102">
        <f>IF(ISNA(AN102),NA(),AN102+ROW()/10000000)</f>
        <v/>
      </c>
      <c r="AR102" s="1132">
        <f>IF(B102="","",IFERROR(INDEX(OCC_TABLE_DESC,MATCH(B102,OCC_TABLE_CODE,0)),"Unrecognized code"))</f>
        <v/>
      </c>
    </row>
    <row r="103">
      <c r="A103" s="703" t="inlineStr">
        <is>
          <t>P048</t>
        </is>
      </c>
      <c r="B103" s="695" t="n">
        <v>386</v>
      </c>
      <c r="C103" s="703" t="inlineStr">
        <is>
          <t>R0098019</t>
        </is>
      </c>
      <c r="D103" s="1195" t="inlineStr">
        <is>
          <t>Address unknown – see R0098019</t>
        </is>
      </c>
      <c r="E103" s="703" t="inlineStr">
        <is>
          <t>Adams County</t>
        </is>
      </c>
      <c r="F103" s="703" t="inlineStr">
        <is>
          <t>CO</t>
        </is>
      </c>
      <c r="G103" s="703" t="inlineStr">
        <is>
          <t>Self-Storage</t>
        </is>
      </c>
      <c r="H103" s="1195"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1195" t="inlineStr">
        <is>
          <t>AXG SS Expense Matrix; year not specified (~2022/23); R0098019</t>
        </is>
      </c>
      <c r="AN103">
        <f>IF(AND($B103=Subj_OccCode,Subj_BldgSF&gt;0,ABS($J103-Subj_BldgSF)&lt;=Subj_BldgSF*Subj_SizeTol),ABS($J103-Subj_BldgSF),NA())</f>
        <v/>
      </c>
      <c r="AO103">
        <f>IF(ISNA(AN103),NA(),AN103+ROW()/10000000)</f>
        <v/>
      </c>
      <c r="AR103" s="1132">
        <f>IF(B103="","",IFERROR(INDEX(OCC_TABLE_DESC,MATCH(B103,OCC_TABLE_CODE,0)),"Unrecognized code"))</f>
        <v/>
      </c>
    </row>
    <row r="104">
      <c r="A104" s="703" t="inlineStr">
        <is>
          <t>P049</t>
        </is>
      </c>
      <c r="B104" s="695" t="n">
        <v>386</v>
      </c>
      <c r="C104" s="703" t="inlineStr">
        <is>
          <t>R0102989</t>
        </is>
      </c>
      <c r="D104" s="1195" t="inlineStr">
        <is>
          <t>Address unknown – see R0102989</t>
        </is>
      </c>
      <c r="E104" s="703" t="inlineStr">
        <is>
          <t>Adams County</t>
        </is>
      </c>
      <c r="F104" s="703" t="inlineStr">
        <is>
          <t>CO</t>
        </is>
      </c>
      <c r="G104" s="703" t="inlineStr">
        <is>
          <t>Self-Storage</t>
        </is>
      </c>
      <c r="H104" s="1195"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1195" t="inlineStr">
        <is>
          <t>AXG SS Expense Matrix; year not specified (~2022/23); R0102989</t>
        </is>
      </c>
      <c r="AN104">
        <f>IF(AND($B104=Subj_OccCode,Subj_BldgSF&gt;0,ABS($J104-Subj_BldgSF)&lt;=Subj_BldgSF*Subj_SizeTol),ABS($J104-Subj_BldgSF),NA())</f>
        <v/>
      </c>
      <c r="AO104">
        <f>IF(ISNA(AN104),NA(),AN104+ROW()/10000000)</f>
        <v/>
      </c>
      <c r="AR104" s="1132">
        <f>IF(B104="","",IFERROR(INDEX(OCC_TABLE_DESC,MATCH(B104,OCC_TABLE_CODE,0)),"Unrecognized code"))</f>
        <v/>
      </c>
    </row>
    <row r="105">
      <c r="A105" s="703" t="inlineStr">
        <is>
          <t>P050</t>
        </is>
      </c>
      <c r="B105" s="695" t="n">
        <v>386</v>
      </c>
      <c r="C105" s="703" t="inlineStr">
        <is>
          <t>R0085523</t>
        </is>
      </c>
      <c r="D105" s="1195" t="inlineStr">
        <is>
          <t>Address unknown – see R0085523</t>
        </is>
      </c>
      <c r="E105" s="703" t="inlineStr">
        <is>
          <t>Adams County</t>
        </is>
      </c>
      <c r="F105" s="703" t="inlineStr">
        <is>
          <t>CO</t>
        </is>
      </c>
      <c r="G105" s="703" t="inlineStr">
        <is>
          <t>Self-Storage</t>
        </is>
      </c>
      <c r="H105" s="1195"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1195" t="inlineStr">
        <is>
          <t>AXG SS Expense Matrix; year not specified (~2022/23); R0085523</t>
        </is>
      </c>
      <c r="AN105">
        <f>IF(AND($B105=Subj_OccCode,Subj_BldgSF&gt;0,ABS($J105-Subj_BldgSF)&lt;=Subj_BldgSF*Subj_SizeTol),ABS($J105-Subj_BldgSF),NA())</f>
        <v/>
      </c>
      <c r="AO105">
        <f>IF(ISNA(AN105),NA(),AN105+ROW()/10000000)</f>
        <v/>
      </c>
      <c r="AR105" s="1132">
        <f>IF(B105="","",IFERROR(INDEX(OCC_TABLE_DESC,MATCH(B105,OCC_TABLE_CODE,0)),"Unrecognized code"))</f>
        <v/>
      </c>
    </row>
    <row r="106">
      <c r="A106" s="703" t="inlineStr">
        <is>
          <t>P051</t>
        </is>
      </c>
      <c r="B106" s="695" t="n">
        <v>386</v>
      </c>
      <c r="C106" s="703" t="inlineStr">
        <is>
          <t>R0174860</t>
        </is>
      </c>
      <c r="D106" s="1195" t="inlineStr">
        <is>
          <t>Address unknown – see R0174860</t>
        </is>
      </c>
      <c r="E106" s="703" t="inlineStr">
        <is>
          <t>Adams County</t>
        </is>
      </c>
      <c r="F106" s="703" t="inlineStr">
        <is>
          <t>CO</t>
        </is>
      </c>
      <c r="G106" s="703" t="inlineStr">
        <is>
          <t>Self-Storage</t>
        </is>
      </c>
      <c r="H106" s="1195"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1195" t="inlineStr">
        <is>
          <t>AXG SS Expense Matrix; year not specified (~2022/23); R0174860</t>
        </is>
      </c>
      <c r="AN106">
        <f>IF(AND($B106=Subj_OccCode,Subj_BldgSF&gt;0,ABS($J106-Subj_BldgSF)&lt;=Subj_BldgSF*Subj_SizeTol),ABS($J106-Subj_BldgSF),NA())</f>
        <v/>
      </c>
      <c r="AO106">
        <f>IF(ISNA(AN106),NA(),AN106+ROW()/10000000)</f>
        <v/>
      </c>
      <c r="AR106" s="1132">
        <f>IF(B106="","",IFERROR(INDEX(OCC_TABLE_DESC,MATCH(B106,OCC_TABLE_CODE,0)),"Unrecognized code"))</f>
        <v/>
      </c>
    </row>
    <row r="107">
      <c r="A107" s="703" t="inlineStr">
        <is>
          <t>P052</t>
        </is>
      </c>
      <c r="B107" s="695" t="n">
        <v>386</v>
      </c>
      <c r="C107" s="703" t="inlineStr">
        <is>
          <t>R0161412</t>
        </is>
      </c>
      <c r="D107" s="1195" t="inlineStr">
        <is>
          <t>Address unknown – see R0161412</t>
        </is>
      </c>
      <c r="E107" s="703" t="inlineStr">
        <is>
          <t>Adams County</t>
        </is>
      </c>
      <c r="F107" s="703" t="inlineStr">
        <is>
          <t>CO</t>
        </is>
      </c>
      <c r="G107" s="703" t="inlineStr">
        <is>
          <t>Self-Storage</t>
        </is>
      </c>
      <c r="H107" s="1195"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1195" t="inlineStr">
        <is>
          <t>AXG SS Expense Matrix; year not specified (~2022/23); R0161412</t>
        </is>
      </c>
      <c r="AN107">
        <f>IF(AND($B107=Subj_OccCode,Subj_BldgSF&gt;0,ABS($J107-Subj_BldgSF)&lt;=Subj_BldgSF*Subj_SizeTol),ABS($J107-Subj_BldgSF),NA())</f>
        <v/>
      </c>
      <c r="AO107">
        <f>IF(ISNA(AN107),NA(),AN107+ROW()/10000000)</f>
        <v/>
      </c>
      <c r="AR107" s="1132">
        <f>IF(B107="","",IFERROR(INDEX(OCC_TABLE_DESC,MATCH(B107,OCC_TABLE_CODE,0)),"Unrecognized code"))</f>
        <v/>
      </c>
    </row>
    <row r="108">
      <c r="A108" s="703" t="inlineStr">
        <is>
          <t>P053</t>
        </is>
      </c>
      <c r="B108" s="695" t="n">
        <v>386</v>
      </c>
      <c r="C108" s="703" t="inlineStr">
        <is>
          <t>R0169115</t>
        </is>
      </c>
      <c r="D108" s="1195" t="inlineStr">
        <is>
          <t>Address unknown – see R0169115</t>
        </is>
      </c>
      <c r="E108" s="703" t="inlineStr">
        <is>
          <t>Adams County</t>
        </is>
      </c>
      <c r="F108" s="703" t="inlineStr">
        <is>
          <t>CO</t>
        </is>
      </c>
      <c r="G108" s="703" t="inlineStr">
        <is>
          <t>Self-Storage</t>
        </is>
      </c>
      <c r="H108" s="1195"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1195" t="inlineStr">
        <is>
          <t>AXG SS Expense Matrix; year not specified (~2022/23); R0169115</t>
        </is>
      </c>
      <c r="AN108">
        <f>IF(AND($B108=Subj_OccCode,Subj_BldgSF&gt;0,ABS($J108-Subj_BldgSF)&lt;=Subj_BldgSF*Subj_SizeTol),ABS($J108-Subj_BldgSF),NA())</f>
        <v/>
      </c>
      <c r="AO108">
        <f>IF(ISNA(AN108),NA(),AN108+ROW()/10000000)</f>
        <v/>
      </c>
      <c r="AR108" s="1132">
        <f>IF(B108="","",IFERROR(INDEX(OCC_TABLE_DESC,MATCH(B108,OCC_TABLE_CODE,0)),"Unrecognized code"))</f>
        <v/>
      </c>
    </row>
    <row r="109">
      <c r="A109" s="703" t="inlineStr">
        <is>
          <t>P016</t>
        </is>
      </c>
      <c r="B109" s="695" t="n">
        <v>584</v>
      </c>
      <c r="C109" s="703" t="inlineStr">
        <is>
          <t>R0212546/R0212547</t>
        </is>
      </c>
      <c r="D109" s="1195" t="inlineStr">
        <is>
          <t>2780 N Tower Rd</t>
        </is>
      </c>
      <c r="E109" s="703" t="inlineStr">
        <is>
          <t>Aurora</t>
        </is>
      </c>
      <c r="F109" s="703" t="inlineStr">
        <is>
          <t>CO</t>
        </is>
      </c>
      <c r="G109" s="703" t="inlineStr">
        <is>
          <t>Industrial</t>
        </is>
      </c>
      <c r="H109" s="1195"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1195"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1132">
        <f>IF(B109="","",IFERROR(INDEX(OCC_TABLE_DESC,MATCH(B109,OCC_TABLE_CODE,0)),"Unrecognized code"))</f>
        <v/>
      </c>
    </row>
    <row r="110">
      <c r="A110" s="703" t="inlineStr">
        <is>
          <t>P016</t>
        </is>
      </c>
      <c r="B110" s="695" t="n">
        <v>584</v>
      </c>
      <c r="C110" s="703" t="inlineStr">
        <is>
          <t>R0212546/R0212547</t>
        </is>
      </c>
      <c r="D110" s="1195" t="inlineStr">
        <is>
          <t>2780 N Tower Rd</t>
        </is>
      </c>
      <c r="E110" s="703" t="inlineStr">
        <is>
          <t>Aurora</t>
        </is>
      </c>
      <c r="F110" s="703" t="inlineStr">
        <is>
          <t>CO</t>
        </is>
      </c>
      <c r="G110" s="703" t="inlineStr">
        <is>
          <t>Industrial</t>
        </is>
      </c>
      <c r="H110" s="1195"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1195"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1132">
        <f>IF(B110="","",IFERROR(INDEX(OCC_TABLE_DESC,MATCH(B110,OCC_TABLE_CODE,0)),"Unrecognized code"))</f>
        <v/>
      </c>
    </row>
    <row r="111">
      <c r="A111" s="703" t="inlineStr">
        <is>
          <t>P034</t>
        </is>
      </c>
      <c r="B111" s="695" t="n">
        <v>407</v>
      </c>
      <c r="C111" s="703" t="inlineStr">
        <is>
          <t>R0172865</t>
        </is>
      </c>
      <c r="D111" s="1195" t="inlineStr">
        <is>
          <t>Majestic Commercenter (R0172865)</t>
        </is>
      </c>
      <c r="E111" s="703" t="inlineStr">
        <is>
          <t>Commerce City</t>
        </is>
      </c>
      <c r="F111" s="703" t="inlineStr">
        <is>
          <t>CO</t>
        </is>
      </c>
      <c r="G111" s="703" t="inlineStr">
        <is>
          <t>Industrial</t>
        </is>
      </c>
      <c r="H111" s="1195"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1195" t="inlineStr">
        <is>
          <t>2024 actual 12-month P&amp;L; NOI est. per expense ratio; from 08_2025 Review</t>
        </is>
      </c>
      <c r="AN111">
        <f>IF(AND($B111=Subj_OccCode,Subj_BldgSF&gt;0,ABS($J111-Subj_BldgSF)&lt;=Subj_BldgSF*Subj_SizeTol),ABS($J111-Subj_BldgSF),NA())</f>
        <v/>
      </c>
      <c r="AO111">
        <f>IF(ISNA(AN111),NA(),AN111+ROW()/10000000)</f>
        <v/>
      </c>
      <c r="AR111" s="1132">
        <f>IF(B111="","",IFERROR(INDEX(OCC_TABLE_DESC,MATCH(B111,OCC_TABLE_CODE,0)),"Unrecognized code"))</f>
        <v/>
      </c>
    </row>
    <row r="112">
      <c r="A112" s="703" t="inlineStr">
        <is>
          <t>P036</t>
        </is>
      </c>
      <c r="B112" s="695" t="n">
        <v>407</v>
      </c>
      <c r="C112" s="703" t="inlineStr">
        <is>
          <t>R0172868</t>
        </is>
      </c>
      <c r="D112" s="1195" t="inlineStr">
        <is>
          <t>Majestic Commercenter (R0172868)</t>
        </is>
      </c>
      <c r="E112" s="703" t="inlineStr">
        <is>
          <t>Commerce City</t>
        </is>
      </c>
      <c r="F112" s="703" t="inlineStr">
        <is>
          <t>CO</t>
        </is>
      </c>
      <c r="G112" s="703" t="inlineStr">
        <is>
          <t>Industrial</t>
        </is>
      </c>
      <c r="H112" s="1195"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1195" t="inlineStr">
        <is>
          <t>2024 actual 12-month P&amp;L; from 08_2025 Review</t>
        </is>
      </c>
      <c r="AN112">
        <f>IF(AND($B112=Subj_OccCode,Subj_BldgSF&gt;0,ABS($J112-Subj_BldgSF)&lt;=Subj_BldgSF*Subj_SizeTol),ABS($J112-Subj_BldgSF),NA())</f>
        <v/>
      </c>
      <c r="AO112">
        <f>IF(ISNA(AN112),NA(),AN112+ROW()/10000000)</f>
        <v/>
      </c>
      <c r="AR112" s="1132">
        <f>IF(B112="","",IFERROR(INDEX(OCC_TABLE_DESC,MATCH(B112,OCC_TABLE_CODE,0)),"Unrecognized code"))</f>
        <v/>
      </c>
    </row>
    <row r="113">
      <c r="A113" s="703" t="inlineStr">
        <is>
          <t>P054</t>
        </is>
      </c>
      <c r="B113" s="695" t="n">
        <v>210</v>
      </c>
      <c r="C113" s="703" t="inlineStr">
        <is>
          <t>R0180551</t>
        </is>
      </c>
      <c r="D113" s="1195" t="inlineStr">
        <is>
          <t>1953 N Gun Club Rd</t>
        </is>
      </c>
      <c r="E113" s="703" t="inlineStr">
        <is>
          <t>Aurora</t>
        </is>
      </c>
      <c r="F113" s="703" t="inlineStr">
        <is>
          <t>CO</t>
        </is>
      </c>
      <c r="G113" s="703" t="inlineStr">
        <is>
          <t>Industrial</t>
        </is>
      </c>
      <c r="H113" s="1195"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1195" t="inlineStr">
        <is>
          <t>Actual accrual; base rent $880k; recovery $1.59M; prior-yr adj included</t>
        </is>
      </c>
      <c r="AN113">
        <f>IF(AND($B113=Subj_OccCode,Subj_BldgSF&gt;0,ABS($J113-Subj_BldgSF)&lt;=Subj_BldgSF*Subj_SizeTol),ABS($J113-Subj_BldgSF),NA())</f>
        <v/>
      </c>
      <c r="AO113">
        <f>IF(ISNA(AN113),NA(),AN113+ROW()/10000000)</f>
        <v/>
      </c>
      <c r="AR113" s="1132">
        <f>IF(B113="","",IFERROR(INDEX(OCC_TABLE_DESC,MATCH(B113,OCC_TABLE_CODE,0)),"Unrecognized code"))</f>
        <v/>
      </c>
    </row>
    <row r="114">
      <c r="A114" s="703" t="inlineStr">
        <is>
          <t>P054</t>
        </is>
      </c>
      <c r="B114" s="695" t="n">
        <v>210</v>
      </c>
      <c r="C114" s="703" t="inlineStr">
        <is>
          <t>R0180551</t>
        </is>
      </c>
      <c r="D114" s="1195" t="inlineStr">
        <is>
          <t>1953 N Gun Club Rd</t>
        </is>
      </c>
      <c r="E114" s="703" t="inlineStr">
        <is>
          <t>Aurora</t>
        </is>
      </c>
      <c r="F114" s="703" t="inlineStr">
        <is>
          <t>CO</t>
        </is>
      </c>
      <c r="G114" s="703" t="inlineStr">
        <is>
          <t>Industrial</t>
        </is>
      </c>
      <c r="H114" s="1195"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1195" t="inlineStr">
        <is>
          <t>Actual accrual; base rent $1.09M stepped; recovery $1.62M</t>
        </is>
      </c>
      <c r="AN114">
        <f>IF(AND($B114=Subj_OccCode,Subj_BldgSF&gt;0,ABS($J114-Subj_BldgSF)&lt;=Subj_BldgSF*Subj_SizeTol),ABS($J114-Subj_BldgSF),NA())</f>
        <v/>
      </c>
      <c r="AO114">
        <f>IF(ISNA(AN114),NA(),AN114+ROW()/10000000)</f>
        <v/>
      </c>
      <c r="AR114" s="1132">
        <f>IF(B114="","",IFERROR(INDEX(OCC_TABLE_DESC,MATCH(B114,OCC_TABLE_CODE,0)),"Unrecognized code"))</f>
        <v/>
      </c>
    </row>
    <row r="115">
      <c r="A115" s="703" t="inlineStr">
        <is>
          <t>P055</t>
        </is>
      </c>
      <c r="B115" s="695" t="n">
        <v>407</v>
      </c>
      <c r="C115" s="703" t="inlineStr">
        <is>
          <t>R0211072/R0211073/R0211074</t>
        </is>
      </c>
      <c r="D115" s="1195" t="inlineStr">
        <is>
          <t>Park 76 Distribution Center</t>
        </is>
      </c>
      <c r="E115" s="703" t="inlineStr">
        <is>
          <t>Aurora</t>
        </is>
      </c>
      <c r="F115" s="703" t="inlineStr">
        <is>
          <t>CO</t>
        </is>
      </c>
      <c r="G115" s="703" t="inlineStr">
        <is>
          <t>Industrial</t>
        </is>
      </c>
      <c r="H115" s="1195"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1195" t="inlineStr">
        <is>
          <t>3-bldg campus; actual accrual; base rent $1.87M; recovery $992k; prior-yr tax credit ($186k) netted</t>
        </is>
      </c>
      <c r="AN115">
        <f>IF(AND($B115=Subj_OccCode,Subj_BldgSF&gt;0,ABS($J115-Subj_BldgSF)&lt;=Subj_BldgSF*Subj_SizeTol),ABS($J115-Subj_BldgSF),NA())</f>
        <v/>
      </c>
      <c r="AO115">
        <f>IF(ISNA(AN115),NA(),AN115+ROW()/10000000)</f>
        <v/>
      </c>
      <c r="AR115" s="1132">
        <f>IF(B115="","",IFERROR(INDEX(OCC_TABLE_DESC,MATCH(B115,OCC_TABLE_CODE,0)),"Unrecognized code"))</f>
        <v/>
      </c>
    </row>
    <row r="116">
      <c r="A116" s="703" t="inlineStr">
        <is>
          <t>P055</t>
        </is>
      </c>
      <c r="B116" s="695" t="n">
        <v>407</v>
      </c>
      <c r="C116" s="703" t="inlineStr">
        <is>
          <t>R0211072/R0211073/R0211074</t>
        </is>
      </c>
      <c r="D116" s="1195" t="inlineStr">
        <is>
          <t>Park 76 Distribution Center</t>
        </is>
      </c>
      <c r="E116" s="703" t="inlineStr">
        <is>
          <t>Aurora</t>
        </is>
      </c>
      <c r="F116" s="703" t="inlineStr">
        <is>
          <t>CO</t>
        </is>
      </c>
      <c r="G116" s="703" t="inlineStr">
        <is>
          <t>Industrial</t>
        </is>
      </c>
      <c r="H116" s="1195"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1195" t="inlineStr">
        <is>
          <t>3-bldg campus; actual accrual; near-stabilized; base rent $2.08M; recovery $1.23M</t>
        </is>
      </c>
      <c r="AN116">
        <f>IF(AND($B116=Subj_OccCode,Subj_BldgSF&gt;0,ABS($J116-Subj_BldgSF)&lt;=Subj_BldgSF*Subj_SizeTol),ABS($J116-Subj_BldgSF),NA())</f>
        <v/>
      </c>
      <c r="AO116">
        <f>IF(ISNA(AN116),NA(),AN116+ROW()/10000000)</f>
        <v/>
      </c>
      <c r="AR116" s="1132">
        <f>IF(B116="","",IFERROR(INDEX(OCC_TABLE_DESC,MATCH(B116,OCC_TABLE_CODE,0)),"Unrecognized code"))</f>
        <v/>
      </c>
    </row>
    <row r="117">
      <c r="A117" s="703" t="inlineStr">
        <is>
          <t>P056</t>
        </is>
      </c>
      <c r="B117" s="695" t="n">
        <v>407</v>
      </c>
      <c r="C117" s="703" t="inlineStr">
        <is>
          <t>R0210485</t>
        </is>
      </c>
      <c r="D117" s="1195" t="inlineStr">
        <is>
          <t>1101 E 126th Ave (Bldg A)</t>
        </is>
      </c>
      <c r="E117" s="703" t="inlineStr">
        <is>
          <t>Thornton</t>
        </is>
      </c>
      <c r="F117" s="703" t="inlineStr">
        <is>
          <t>CO</t>
        </is>
      </c>
      <c r="G117" s="703" t="inlineStr">
        <is>
          <t>Industrial</t>
        </is>
      </c>
      <c r="H117" s="1195"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1195" t="inlineStr">
        <is>
          <t>New (YOC ~2022); 2024 near-stabilized; 2023 excluded (lease-up, negative NOI)</t>
        </is>
      </c>
      <c r="AN117">
        <f>IF(AND($B117=Subj_OccCode,Subj_BldgSF&gt;0,ABS($J117-Subj_BldgSF)&lt;=Subj_BldgSF*Subj_SizeTol),ABS($J117-Subj_BldgSF),NA())</f>
        <v/>
      </c>
      <c r="AO117">
        <f>IF(ISNA(AN117),NA(),AN117+ROW()/10000000)</f>
        <v/>
      </c>
      <c r="AR117" s="1132">
        <f>IF(B117="","",IFERROR(INDEX(OCC_TABLE_DESC,MATCH(B117,OCC_TABLE_CODE,0)),"Unrecognized code"))</f>
        <v/>
      </c>
    </row>
    <row r="118">
      <c r="A118" s="703" t="inlineStr">
        <is>
          <t>P057</t>
        </is>
      </c>
      <c r="B118" s="695" t="n">
        <v>407</v>
      </c>
      <c r="C118" s="703" t="inlineStr">
        <is>
          <t>R0210486</t>
        </is>
      </c>
      <c r="D118" s="1195" t="inlineStr">
        <is>
          <t>12625 Lafayette St (Bldg B)</t>
        </is>
      </c>
      <c r="E118" s="703" t="inlineStr">
        <is>
          <t>Thornton</t>
        </is>
      </c>
      <c r="F118" s="703" t="inlineStr">
        <is>
          <t>CO</t>
        </is>
      </c>
      <c r="G118" s="703" t="inlineStr">
        <is>
          <t>Industrial</t>
        </is>
      </c>
      <c r="H118" s="1195"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1195" t="inlineStr">
        <is>
          <t>New (YOC ~2022); 2024 near-stabilized; 2023 excluded (lease-up, negative NOI)</t>
        </is>
      </c>
      <c r="AN118">
        <f>IF(AND($B118=Subj_OccCode,Subj_BldgSF&gt;0,ABS($J118-Subj_BldgSF)&lt;=Subj_BldgSF*Subj_SizeTol),ABS($J118-Subj_BldgSF),NA())</f>
        <v/>
      </c>
      <c r="AO118">
        <f>IF(ISNA(AN118),NA(),AN118+ROW()/10000000)</f>
        <v/>
      </c>
      <c r="AR118" s="1132">
        <f>IF(B118="","",IFERROR(INDEX(OCC_TABLE_DESC,MATCH(B118,OCC_TABLE_CODE,0)),"Unrecognized code"))</f>
        <v/>
      </c>
    </row>
    <row r="119">
      <c r="A119" s="703" t="inlineStr">
        <is>
          <t>P058</t>
        </is>
      </c>
      <c r="B119" s="695" t="n">
        <v>407</v>
      </c>
      <c r="C119" s="703" t="inlineStr">
        <is>
          <t>R0091934</t>
        </is>
      </c>
      <c r="D119" s="1195" t="inlineStr">
        <is>
          <t>350 Park Industrial (5759)</t>
        </is>
      </c>
      <c r="E119" s="703" t="inlineStr">
        <is>
          <t>Aurora</t>
        </is>
      </c>
      <c r="F119" s="703" t="inlineStr">
        <is>
          <t>CO</t>
        </is>
      </c>
      <c r="G119" s="703" t="inlineStr">
        <is>
          <t>Industrial</t>
        </is>
      </c>
      <c r="H119" s="1195"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1195" t="inlineStr">
        <is>
          <t>Actual accrual; 3 tenants; multi-tenant industrial</t>
        </is>
      </c>
      <c r="AN119">
        <f>IF(AND($B119=Subj_OccCode,Subj_BldgSF&gt;0,ABS($J119-Subj_BldgSF)&lt;=Subj_BldgSF*Subj_SizeTol),ABS($J119-Subj_BldgSF),NA())</f>
        <v/>
      </c>
      <c r="AO119">
        <f>IF(ISNA(AN119),NA(),AN119+ROW()/10000000)</f>
        <v/>
      </c>
      <c r="AR119" s="1132">
        <f>IF(B119="","",IFERROR(INDEX(OCC_TABLE_DESC,MATCH(B119,OCC_TABLE_CODE,0)),"Unrecognized code"))</f>
        <v/>
      </c>
    </row>
    <row r="120">
      <c r="A120" s="703" t="inlineStr">
        <is>
          <t>P058</t>
        </is>
      </c>
      <c r="B120" s="695" t="n">
        <v>407</v>
      </c>
      <c r="C120" s="703" t="inlineStr">
        <is>
          <t>R0091934</t>
        </is>
      </c>
      <c r="D120" s="1195" t="inlineStr">
        <is>
          <t>350 Park Industrial (5759)</t>
        </is>
      </c>
      <c r="E120" s="703" t="inlineStr">
        <is>
          <t>Aurora</t>
        </is>
      </c>
      <c r="F120" s="703" t="inlineStr">
        <is>
          <t>CO</t>
        </is>
      </c>
      <c r="G120" s="703" t="inlineStr">
        <is>
          <t>Industrial</t>
        </is>
      </c>
      <c r="H120" s="1195"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1195" t="inlineStr">
        <is>
          <t>Actual accrual; 3 tenants</t>
        </is>
      </c>
      <c r="AN120">
        <f>IF(AND($B120=Subj_OccCode,Subj_BldgSF&gt;0,ABS($J120-Subj_BldgSF)&lt;=Subj_BldgSF*Subj_SizeTol),ABS($J120-Subj_BldgSF),NA())</f>
        <v/>
      </c>
      <c r="AO120">
        <f>IF(ISNA(AN120),NA(),AN120+ROW()/10000000)</f>
        <v/>
      </c>
      <c r="AR120" s="1132">
        <f>IF(B120="","",IFERROR(INDEX(OCC_TABLE_DESC,MATCH(B120,OCC_TABLE_CODE,0)),"Unrecognized code"))</f>
        <v/>
      </c>
    </row>
    <row r="121">
      <c r="A121" s="703" t="inlineStr">
        <is>
          <t>P059</t>
        </is>
      </c>
      <c r="B121" s="695" t="n">
        <v>407</v>
      </c>
      <c r="C121" s="703" t="inlineStr">
        <is>
          <t>R0093111</t>
        </is>
      </c>
      <c r="D121" s="1195" t="inlineStr">
        <is>
          <t>Industrial Property (R0093111)</t>
        </is>
      </c>
      <c r="E121" s="703" t="inlineStr">
        <is>
          <t>Aurora</t>
        </is>
      </c>
      <c r="F121" s="703" t="inlineStr">
        <is>
          <t>CO</t>
        </is>
      </c>
      <c r="G121" s="703" t="inlineStr">
        <is>
          <t>Industrial</t>
        </is>
      </c>
      <c r="H121" s="1195"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1195" t="inlineStr">
        <is>
          <t>Actual; RE tax heavy due to NNN recovery; SF not confirmed</t>
        </is>
      </c>
      <c r="AN121">
        <f>IF(AND($B121=Subj_OccCode,Subj_BldgSF&gt;0,ABS($J121-Subj_BldgSF)&lt;=Subj_BldgSF*Subj_SizeTol),ABS($J121-Subj_BldgSF),NA())</f>
        <v/>
      </c>
      <c r="AO121">
        <f>IF(ISNA(AN121),NA(),AN121+ROW()/10000000)</f>
        <v/>
      </c>
      <c r="AR121" s="1132">
        <f>IF(B121="","",IFERROR(INDEX(OCC_TABLE_DESC,MATCH(B121,OCC_TABLE_CODE,0)),"Unrecognized code"))</f>
        <v/>
      </c>
    </row>
    <row r="122">
      <c r="A122" s="703" t="inlineStr">
        <is>
          <t>P059</t>
        </is>
      </c>
      <c r="B122" s="695" t="n">
        <v>407</v>
      </c>
      <c r="C122" s="703" t="inlineStr">
        <is>
          <t>R0093111</t>
        </is>
      </c>
      <c r="D122" s="1195" t="inlineStr">
        <is>
          <t>Industrial Property (R0093111)</t>
        </is>
      </c>
      <c r="E122" s="703" t="inlineStr">
        <is>
          <t>Aurora</t>
        </is>
      </c>
      <c r="F122" s="703" t="inlineStr">
        <is>
          <t>CO</t>
        </is>
      </c>
      <c r="G122" s="703" t="inlineStr">
        <is>
          <t>Industrial</t>
        </is>
      </c>
      <c r="H122" s="1195"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1195" t="inlineStr">
        <is>
          <t>2024 summary data; limited line-item detail; SF not confirmed</t>
        </is>
      </c>
      <c r="AN122">
        <f>IF(AND($B122=Subj_OccCode,Subj_BldgSF&gt;0,ABS($J122-Subj_BldgSF)&lt;=Subj_BldgSF*Subj_SizeTol),ABS($J122-Subj_BldgSF),NA())</f>
        <v/>
      </c>
      <c r="AO122">
        <f>IF(ISNA(AN122),NA(),AN122+ROW()/10000000)</f>
        <v/>
      </c>
      <c r="AR122" s="1132">
        <f>IF(B122="","",IFERROR(INDEX(OCC_TABLE_DESC,MATCH(B122,OCC_TABLE_CODE,0)),"Unrecognized code"))</f>
        <v/>
      </c>
    </row>
    <row r="123">
      <c r="A123" s="703" t="inlineStr">
        <is>
          <t>P060</t>
        </is>
      </c>
      <c r="B123" s="695" t="n">
        <v>407</v>
      </c>
      <c r="C123" s="703" t="inlineStr">
        <is>
          <t>R0100104</t>
        </is>
      </c>
      <c r="D123" s="1195" t="inlineStr">
        <is>
          <t>312 Kew West</t>
        </is>
      </c>
      <c r="E123" s="703" t="inlineStr">
        <is>
          <t>Aurora</t>
        </is>
      </c>
      <c r="F123" s="703" t="inlineStr">
        <is>
          <t>CO</t>
        </is>
      </c>
      <c r="G123" s="703" t="inlineStr">
        <is>
          <t>Industrial</t>
        </is>
      </c>
      <c r="H123" s="1195"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1195" t="inlineStr">
        <is>
          <t>Actual accrual; SF not confirmed</t>
        </is>
      </c>
      <c r="AN123">
        <f>IF(AND($B123=Subj_OccCode,Subj_BldgSF&gt;0,ABS($J123-Subj_BldgSF)&lt;=Subj_BldgSF*Subj_SizeTol),ABS($J123-Subj_BldgSF),NA())</f>
        <v/>
      </c>
      <c r="AO123">
        <f>IF(ISNA(AN123),NA(),AN123+ROW()/10000000)</f>
        <v/>
      </c>
      <c r="AR123" s="1132">
        <f>IF(B123="","",IFERROR(INDEX(OCC_TABLE_DESC,MATCH(B123,OCC_TABLE_CODE,0)),"Unrecognized code"))</f>
        <v/>
      </c>
    </row>
    <row r="124">
      <c r="A124" s="703" t="inlineStr">
        <is>
          <t>P060</t>
        </is>
      </c>
      <c r="B124" s="695" t="n">
        <v>407</v>
      </c>
      <c r="C124" s="703" t="inlineStr">
        <is>
          <t>R0100104</t>
        </is>
      </c>
      <c r="D124" s="1195" t="inlineStr">
        <is>
          <t>312 Kew West</t>
        </is>
      </c>
      <c r="E124" s="703" t="inlineStr">
        <is>
          <t>Aurora</t>
        </is>
      </c>
      <c r="F124" s="703" t="inlineStr">
        <is>
          <t>CO</t>
        </is>
      </c>
      <c r="G124" s="703" t="inlineStr">
        <is>
          <t>Industrial</t>
        </is>
      </c>
      <c r="H124" s="1195"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1195" t="inlineStr">
        <is>
          <t>Actual accrual; SF not confirmed</t>
        </is>
      </c>
      <c r="AN124">
        <f>IF(AND($B124=Subj_OccCode,Subj_BldgSF&gt;0,ABS($J124-Subj_BldgSF)&lt;=Subj_BldgSF*Subj_SizeTol),ABS($J124-Subj_BldgSF),NA())</f>
        <v/>
      </c>
      <c r="AO124">
        <f>IF(ISNA(AN124),NA(),AN124+ROW()/10000000)</f>
        <v/>
      </c>
      <c r="AR124" s="1132">
        <f>IF(B124="","",IFERROR(INDEX(OCC_TABLE_DESC,MATCH(B124,OCC_TABLE_CODE,0)),"Unrecognized code"))</f>
        <v/>
      </c>
    </row>
    <row r="125">
      <c r="A125" s="703" t="inlineStr">
        <is>
          <t>P061</t>
        </is>
      </c>
      <c r="B125" s="695" t="n">
        <v>584</v>
      </c>
      <c r="C125" s="703" t="inlineStr">
        <is>
          <t>R0083935</t>
        </is>
      </c>
      <c r="D125" s="1195" t="inlineStr">
        <is>
          <t>20101 E 36th Ave</t>
        </is>
      </c>
      <c r="E125" s="703" t="inlineStr">
        <is>
          <t>Aurora</t>
        </is>
      </c>
      <c r="F125" s="703" t="inlineStr">
        <is>
          <t>CO</t>
        </is>
      </c>
      <c r="G125" s="703" t="inlineStr">
        <is>
          <t>Industrial</t>
        </is>
      </c>
      <c r="H125" s="1195"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1195"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1132">
        <f>IF(B125="","",IFERROR(INDEX(OCC_TABLE_DESC,MATCH(B125,OCC_TABLE_CODE,0)),"Unrecognized code"))</f>
        <v/>
      </c>
    </row>
    <row r="126">
      <c r="A126" s="703" t="inlineStr">
        <is>
          <t>P062</t>
        </is>
      </c>
      <c r="B126" s="695" t="n">
        <v>407</v>
      </c>
      <c r="C126" s="703" t="inlineStr">
        <is>
          <t>R0200721</t>
        </is>
      </c>
      <c r="D126" s="1195" t="inlineStr">
        <is>
          <t>3420 N Lisbon St</t>
        </is>
      </c>
      <c r="E126" s="703" t="inlineStr">
        <is>
          <t>Aurora</t>
        </is>
      </c>
      <c r="F126" s="703" t="inlineStr">
        <is>
          <t>CO</t>
        </is>
      </c>
      <c r="G126" s="703" t="inlineStr">
        <is>
          <t>Industrial</t>
        </is>
      </c>
      <c r="H126" s="1195"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1195" t="inlineStr">
        <is>
          <t>NNN absolute; tenant pays all opex; owner income = rent only; $7.52/SF</t>
        </is>
      </c>
      <c r="AN126">
        <f>IF(AND($B126=Subj_OccCode,Subj_BldgSF&gt;0,ABS($J126-Subj_BldgSF)&lt;=Subj_BldgSF*Subj_SizeTol),ABS($J126-Subj_BldgSF),NA())</f>
        <v/>
      </c>
      <c r="AO126">
        <f>IF(ISNA(AN126),NA(),AN126+ROW()/10000000)</f>
        <v/>
      </c>
      <c r="AR126" s="1132">
        <f>IF(B126="","",IFERROR(INDEX(OCC_TABLE_DESC,MATCH(B126,OCC_TABLE_CODE,0)),"Unrecognized code"))</f>
        <v/>
      </c>
    </row>
    <row r="127">
      <c r="A127" s="703" t="inlineStr">
        <is>
          <t>P062</t>
        </is>
      </c>
      <c r="B127" s="695" t="n">
        <v>407</v>
      </c>
      <c r="C127" s="703" t="inlineStr">
        <is>
          <t>R0200721</t>
        </is>
      </c>
      <c r="D127" s="1195" t="inlineStr">
        <is>
          <t>3420 N Lisbon St</t>
        </is>
      </c>
      <c r="E127" s="703" t="inlineStr">
        <is>
          <t>Aurora</t>
        </is>
      </c>
      <c r="F127" s="703" t="inlineStr">
        <is>
          <t>CO</t>
        </is>
      </c>
      <c r="G127" s="703" t="inlineStr">
        <is>
          <t>Industrial</t>
        </is>
      </c>
      <c r="H127" s="1195"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1195" t="inlineStr">
        <is>
          <t>NNN absolute; tenant pays all opex; owner income = rent only; $7.75/SF</t>
        </is>
      </c>
      <c r="AN127">
        <f>IF(AND($B127=Subj_OccCode,Subj_BldgSF&gt;0,ABS($J127-Subj_BldgSF)&lt;=Subj_BldgSF*Subj_SizeTol),ABS($J127-Subj_BldgSF),NA())</f>
        <v/>
      </c>
      <c r="AO127">
        <f>IF(ISNA(AN127),NA(),AN127+ROW()/10000000)</f>
        <v/>
      </c>
      <c r="AR127" s="1132">
        <f>IF(B127="","",IFERROR(INDEX(OCC_TABLE_DESC,MATCH(B127,OCC_TABLE_CODE,0)),"Unrecognized code"))</f>
        <v/>
      </c>
    </row>
    <row r="128">
      <c r="A128" s="703" t="inlineStr">
        <is>
          <t>P063</t>
        </is>
      </c>
      <c r="B128" s="695" t="n">
        <v>344</v>
      </c>
      <c r="C128" s="703" t="inlineStr">
        <is>
          <t>R0040581</t>
        </is>
      </c>
      <c r="D128" s="1195" t="inlineStr">
        <is>
          <t>2090 E 104th Ave</t>
        </is>
      </c>
      <c r="E128" s="703" t="inlineStr">
        <is>
          <t>Thornton</t>
        </is>
      </c>
      <c r="F128" s="703" t="inlineStr">
        <is>
          <t>CO</t>
        </is>
      </c>
      <c r="G128" s="703" t="inlineStr">
        <is>
          <t>Office</t>
        </is>
      </c>
      <c r="H128" s="1195"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1195" t="inlineStr">
        <is>
          <t>Office; expenses only; GRI est. ~$228k at $11.56/SF 100% occ</t>
        </is>
      </c>
      <c r="AN128">
        <f>IF(AND($B128=Subj_OccCode,Subj_BldgSF&gt;0,ABS($J128-Subj_BldgSF)&lt;=Subj_BldgSF*Subj_SizeTol),ABS($J128-Subj_BldgSF),NA())</f>
        <v/>
      </c>
      <c r="AO128">
        <f>IF(ISNA(AN128),NA(),AN128+ROW()/10000000)</f>
        <v/>
      </c>
      <c r="AR128" s="1132">
        <f>IF(B128="","",IFERROR(INDEX(OCC_TABLE_DESC,MATCH(B128,OCC_TABLE_CODE,0)),"Unrecognized code"))</f>
        <v/>
      </c>
    </row>
    <row r="129">
      <c r="A129" s="703" t="inlineStr">
        <is>
          <t>P063</t>
        </is>
      </c>
      <c r="B129" s="695" t="n">
        <v>344</v>
      </c>
      <c r="C129" s="703" t="inlineStr">
        <is>
          <t>R0040581</t>
        </is>
      </c>
      <c r="D129" s="1195" t="inlineStr">
        <is>
          <t>2090 E 104th Ave</t>
        </is>
      </c>
      <c r="E129" s="703" t="inlineStr">
        <is>
          <t>Thornton</t>
        </is>
      </c>
      <c r="F129" s="703" t="inlineStr">
        <is>
          <t>CO</t>
        </is>
      </c>
      <c r="G129" s="703" t="inlineStr">
        <is>
          <t>Office</t>
        </is>
      </c>
      <c r="H129" s="1195"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1195" t="inlineStr">
        <is>
          <t>Office; expenses only; GRI est. ~$228k</t>
        </is>
      </c>
      <c r="AN129">
        <f>IF(AND($B129=Subj_OccCode,Subj_BldgSF&gt;0,ABS($J129-Subj_BldgSF)&lt;=Subj_BldgSF*Subj_SizeTol),ABS($J129-Subj_BldgSF),NA())</f>
        <v/>
      </c>
      <c r="AO129">
        <f>IF(ISNA(AN129),NA(),AN129+ROW()/10000000)</f>
        <v/>
      </c>
      <c r="AR129" s="1132">
        <f>IF(B129="","",IFERROR(INDEX(OCC_TABLE_DESC,MATCH(B129,OCC_TABLE_CODE,0)),"Unrecognized code"))</f>
        <v/>
      </c>
    </row>
    <row r="130">
      <c r="A130" s="703" t="inlineStr">
        <is>
          <t>P064</t>
        </is>
      </c>
      <c r="B130" s="695" t="n">
        <v>344</v>
      </c>
      <c r="C130" s="703" t="inlineStr">
        <is>
          <t>R0050977</t>
        </is>
      </c>
      <c r="D130" s="1195" t="inlineStr">
        <is>
          <t>9351 Grant St</t>
        </is>
      </c>
      <c r="E130" s="703" t="inlineStr">
        <is>
          <t>Thornton</t>
        </is>
      </c>
      <c r="F130" s="703" t="inlineStr">
        <is>
          <t>CO</t>
        </is>
      </c>
      <c r="G130" s="703" t="inlineStr">
        <is>
          <t>Office</t>
        </is>
      </c>
      <c r="H130" s="1195"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1195" t="inlineStr">
        <is>
          <t>Actual P&amp;L; Crown RE Group; RE Tax + Ins combined in $497,852 line; large office property</t>
        </is>
      </c>
      <c r="AN130">
        <f>IF(AND($B130=Subj_OccCode,Subj_BldgSF&gt;0,ABS($J130-Subj_BldgSF)&lt;=Subj_BldgSF*Subj_SizeTol),ABS($J130-Subj_BldgSF),NA())</f>
        <v/>
      </c>
      <c r="AO130">
        <f>IF(ISNA(AN130),NA(),AN130+ROW()/10000000)</f>
        <v/>
      </c>
      <c r="AR130" s="1132">
        <f>IF(B130="","",IFERROR(INDEX(OCC_TABLE_DESC,MATCH(B130,OCC_TABLE_CODE,0)),"Unrecognized code"))</f>
        <v/>
      </c>
    </row>
    <row r="131">
      <c r="A131" s="703" t="inlineStr">
        <is>
          <t>P065</t>
        </is>
      </c>
      <c r="B131" s="695" t="n">
        <v>344</v>
      </c>
      <c r="C131" s="703" t="inlineStr">
        <is>
          <t>R0069041</t>
        </is>
      </c>
      <c r="D131" s="1195" t="inlineStr">
        <is>
          <t>7475 Dakin St (Turnpike Tower)</t>
        </is>
      </c>
      <c r="E131" s="703" t="inlineStr">
        <is>
          <t>Denver</t>
        </is>
      </c>
      <c r="F131" s="703" t="inlineStr">
        <is>
          <t>CO</t>
        </is>
      </c>
      <c r="G131" s="703" t="inlineStr">
        <is>
          <t>Office</t>
        </is>
      </c>
      <c r="H131" s="1195"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1195" t="inlineStr">
        <is>
          <t>Actual; 87.7% occ; NNN/Modified leases; RE Tax heavy; approx figures</t>
        </is>
      </c>
      <c r="AN131">
        <f>IF(AND($B131=Subj_OccCode,Subj_BldgSF&gt;0,ABS($J131-Subj_BldgSF)&lt;=Subj_BldgSF*Subj_SizeTol),ABS($J131-Subj_BldgSF),NA())</f>
        <v/>
      </c>
      <c r="AO131">
        <f>IF(ISNA(AN131),NA(),AN131+ROW()/10000000)</f>
        <v/>
      </c>
      <c r="AR131" s="1132">
        <f>IF(B131="","",IFERROR(INDEX(OCC_TABLE_DESC,MATCH(B131,OCC_TABLE_CODE,0)),"Unrecognized code"))</f>
        <v/>
      </c>
    </row>
    <row r="132">
      <c r="A132" s="703" t="inlineStr">
        <is>
          <t>P065</t>
        </is>
      </c>
      <c r="B132" s="695" t="n">
        <v>344</v>
      </c>
      <c r="C132" s="703" t="inlineStr">
        <is>
          <t>R0069041</t>
        </is>
      </c>
      <c r="D132" s="1195" t="inlineStr">
        <is>
          <t>7475 Dakin St (Turnpike Tower)</t>
        </is>
      </c>
      <c r="E132" s="703" t="inlineStr">
        <is>
          <t>Denver</t>
        </is>
      </c>
      <c r="F132" s="703" t="inlineStr">
        <is>
          <t>CO</t>
        </is>
      </c>
      <c r="G132" s="703" t="inlineStr">
        <is>
          <t>Office</t>
        </is>
      </c>
      <c r="H132" s="1195"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1195" t="inlineStr">
        <is>
          <t>Actual 2024; approx figures; RE Tax est. ~$262k</t>
        </is>
      </c>
      <c r="AN132">
        <f>IF(AND($B132=Subj_OccCode,Subj_BldgSF&gt;0,ABS($J132-Subj_BldgSF)&lt;=Subj_BldgSF*Subj_SizeTol),ABS($J132-Subj_BldgSF),NA())</f>
        <v/>
      </c>
      <c r="AO132">
        <f>IF(ISNA(AN132),NA(),AN132+ROW()/10000000)</f>
        <v/>
      </c>
      <c r="AR132" s="1132">
        <f>IF(B132="","",IFERROR(INDEX(OCC_TABLE_DESC,MATCH(B132,OCC_TABLE_CODE,0)),"Unrecognized code"))</f>
        <v/>
      </c>
    </row>
    <row r="133">
      <c r="A133" s="703" t="inlineStr">
        <is>
          <t>P066</t>
        </is>
      </c>
      <c r="B133" s="695" t="n">
        <v>344</v>
      </c>
      <c r="C133" s="703" t="inlineStr">
        <is>
          <t>R0079409</t>
        </is>
      </c>
      <c r="D133" s="1195" t="inlineStr">
        <is>
          <t>6401 E 72nd Ave</t>
        </is>
      </c>
      <c r="E133" s="703" t="inlineStr">
        <is>
          <t>Commerce City</t>
        </is>
      </c>
      <c r="F133" s="703" t="inlineStr">
        <is>
          <t>CO</t>
        </is>
      </c>
      <c r="G133" s="703" t="inlineStr">
        <is>
          <t>Office</t>
        </is>
      </c>
      <c r="H133" s="1195"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1195" t="inlineStr">
        <is>
          <t>Actual 2023; 9 tenants small multi-tenant office; approx total OPX/NOI</t>
        </is>
      </c>
      <c r="AN133">
        <f>IF(AND($B133=Subj_OccCode,Subj_BldgSF&gt;0,ABS($J133-Subj_BldgSF)&lt;=Subj_BldgSF*Subj_SizeTol),ABS($J133-Subj_BldgSF),NA())</f>
        <v/>
      </c>
      <c r="AO133">
        <f>IF(ISNA(AN133),NA(),AN133+ROW()/10000000)</f>
        <v/>
      </c>
      <c r="AR133" s="1132">
        <f>IF(B133="","",IFERROR(INDEX(OCC_TABLE_DESC,MATCH(B133,OCC_TABLE_CODE,0)),"Unrecognized code"))</f>
        <v/>
      </c>
    </row>
    <row r="134">
      <c r="A134" s="703" t="inlineStr">
        <is>
          <t>P067</t>
        </is>
      </c>
      <c r="B134" s="695" t="n">
        <v>344</v>
      </c>
      <c r="C134" s="703" t="inlineStr">
        <is>
          <t>R0189338</t>
        </is>
      </c>
      <c r="D134" s="1195" t="inlineStr">
        <is>
          <t>203 Telluride St</t>
        </is>
      </c>
      <c r="E134" s="703" t="inlineStr">
        <is>
          <t>Aurora</t>
        </is>
      </c>
      <c r="F134" s="703" t="inlineStr">
        <is>
          <t>CO</t>
        </is>
      </c>
      <c r="G134" s="703" t="inlineStr">
        <is>
          <t>Office</t>
        </is>
      </c>
      <c r="H134" s="1195"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1195" t="inlineStr">
        <is>
          <t>Actual 2023; SF not stated; approx total OPX</t>
        </is>
      </c>
      <c r="AN134">
        <f>IF(AND($B134=Subj_OccCode,Subj_BldgSF&gt;0,ABS($J134-Subj_BldgSF)&lt;=Subj_BldgSF*Subj_SizeTol),ABS($J134-Subj_BldgSF),NA())</f>
        <v/>
      </c>
      <c r="AO134">
        <f>IF(ISNA(AN134),NA(),AN134+ROW()/10000000)</f>
        <v/>
      </c>
      <c r="AR134" s="1132">
        <f>IF(B134="","",IFERROR(INDEX(OCC_TABLE_DESC,MATCH(B134,OCC_TABLE_CODE,0)),"Unrecognized code"))</f>
        <v/>
      </c>
    </row>
    <row r="135">
      <c r="A135" s="703" t="inlineStr">
        <is>
          <t>P067</t>
        </is>
      </c>
      <c r="B135" s="695" t="n">
        <v>344</v>
      </c>
      <c r="C135" s="703" t="inlineStr">
        <is>
          <t>R0189338</t>
        </is>
      </c>
      <c r="D135" s="1195" t="inlineStr">
        <is>
          <t>203 Telluride St</t>
        </is>
      </c>
      <c r="E135" s="703" t="inlineStr">
        <is>
          <t>Aurora</t>
        </is>
      </c>
      <c r="F135" s="703" t="inlineStr">
        <is>
          <t>CO</t>
        </is>
      </c>
      <c r="G135" s="703" t="inlineStr">
        <is>
          <t>Office</t>
        </is>
      </c>
      <c r="H135" s="1195"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1195" t="inlineStr">
        <is>
          <t>Actual 2024; SF not stated</t>
        </is>
      </c>
      <c r="AN135">
        <f>IF(AND($B135=Subj_OccCode,Subj_BldgSF&gt;0,ABS($J135-Subj_BldgSF)&lt;=Subj_BldgSF*Subj_SizeTol),ABS($J135-Subj_BldgSF),NA())</f>
        <v/>
      </c>
      <c r="AO135">
        <f>IF(ISNA(AN135),NA(),AN135+ROW()/10000000)</f>
        <v/>
      </c>
      <c r="AR135" s="1132">
        <f>IF(B135="","",IFERROR(INDEX(OCC_TABLE_DESC,MATCH(B135,OCC_TABLE_CODE,0)),"Unrecognized code"))</f>
        <v/>
      </c>
    </row>
    <row r="136">
      <c r="A136" s="703" t="inlineStr">
        <is>
          <t>P068</t>
        </is>
      </c>
      <c r="B136" s="695" t="n">
        <v>344</v>
      </c>
      <c r="C136" s="703" t="inlineStr">
        <is>
          <t>R0193830</t>
        </is>
      </c>
      <c r="D136" s="1195" t="inlineStr">
        <is>
          <t>Justice Center Office Plaza</t>
        </is>
      </c>
      <c r="E136" s="703" t="inlineStr">
        <is>
          <t>Denver</t>
        </is>
      </c>
      <c r="F136" s="703" t="inlineStr">
        <is>
          <t>CO</t>
        </is>
      </c>
      <c r="G136" s="703" t="inlineStr">
        <is>
          <t>Office</t>
        </is>
      </c>
      <c r="H136" s="1195"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1195" t="inlineStr">
        <is>
          <t>Actual accrual; govt tenants; 100% occ NNN; special assessments in Other</t>
        </is>
      </c>
      <c r="AN136">
        <f>IF(AND($B136=Subj_OccCode,Subj_BldgSF&gt;0,ABS($J136-Subj_BldgSF)&lt;=Subj_BldgSF*Subj_SizeTol),ABS($J136-Subj_BldgSF),NA())</f>
        <v/>
      </c>
      <c r="AO136">
        <f>IF(ISNA(AN136),NA(),AN136+ROW()/10000000)</f>
        <v/>
      </c>
      <c r="AR136" s="1132">
        <f>IF(B136="","",IFERROR(INDEX(OCC_TABLE_DESC,MATCH(B136,OCC_TABLE_CODE,0)),"Unrecognized code"))</f>
        <v/>
      </c>
    </row>
    <row r="137">
      <c r="A137" s="703" t="inlineStr">
        <is>
          <t>P068</t>
        </is>
      </c>
      <c r="B137" s="695" t="n">
        <v>344</v>
      </c>
      <c r="C137" s="703" t="inlineStr">
        <is>
          <t>R0193830</t>
        </is>
      </c>
      <c r="D137" s="1195" t="inlineStr">
        <is>
          <t>Justice Center Office Plaza</t>
        </is>
      </c>
      <c r="E137" s="703" t="inlineStr">
        <is>
          <t>Denver</t>
        </is>
      </c>
      <c r="F137" s="703" t="inlineStr">
        <is>
          <t>CO</t>
        </is>
      </c>
      <c r="G137" s="703" t="inlineStr">
        <is>
          <t>Office</t>
        </is>
      </c>
      <c r="H137" s="1195"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1195" t="inlineStr">
        <is>
          <t>Actual accrual; govt tenants; 100% occ NNN; special assessments in Other</t>
        </is>
      </c>
      <c r="AN137">
        <f>IF(AND($B137=Subj_OccCode,Subj_BldgSF&gt;0,ABS($J137-Subj_BldgSF)&lt;=Subj_BldgSF*Subj_SizeTol),ABS($J137-Subj_BldgSF),NA())</f>
        <v/>
      </c>
      <c r="AO137">
        <f>IF(ISNA(AN137),NA(),AN137+ROW()/10000000)</f>
        <v/>
      </c>
      <c r="AR137" s="1132">
        <f>IF(B137="","",IFERROR(INDEX(OCC_TABLE_DESC,MATCH(B137,OCC_TABLE_CODE,0)),"Unrecognized code"))</f>
        <v/>
      </c>
    </row>
    <row r="138">
      <c r="A138" s="703" t="inlineStr">
        <is>
          <t>P069</t>
        </is>
      </c>
      <c r="B138" s="695" t="n">
        <v>210</v>
      </c>
      <c r="C138" s="703" t="inlineStr">
        <is>
          <t>R0098223</t>
        </is>
      </c>
      <c r="D138" s="1195" t="inlineStr">
        <is>
          <t>Washington Commerce Center</t>
        </is>
      </c>
      <c r="E138" s="703" t="inlineStr">
        <is>
          <t>Commerce City</t>
        </is>
      </c>
      <c r="F138" s="703" t="inlineStr">
        <is>
          <t>CO</t>
        </is>
      </c>
      <c r="G138" s="703" t="inlineStr">
        <is>
          <t>Office/Industrial</t>
        </is>
      </c>
      <c r="H138" s="1195"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1195" t="inlineStr">
        <is>
          <t>Actual; tenants pay RE tax; high R&amp;M 2023 ($127k major maint); SF est.</t>
        </is>
      </c>
      <c r="AN138">
        <f>IF(AND($B138=Subj_OccCode,Subj_BldgSF&gt;0,ABS($J138-Subj_BldgSF)&lt;=Subj_BldgSF*Subj_SizeTol),ABS($J138-Subj_BldgSF),NA())</f>
        <v/>
      </c>
      <c r="AO138">
        <f>IF(ISNA(AN138),NA(),AN138+ROW()/10000000)</f>
        <v/>
      </c>
      <c r="AR138" s="1132">
        <f>IF(B138="","",IFERROR(INDEX(OCC_TABLE_DESC,MATCH(B138,OCC_TABLE_CODE,0)),"Unrecognized code"))</f>
        <v/>
      </c>
    </row>
    <row r="139">
      <c r="A139" s="703" t="inlineStr">
        <is>
          <t>P069</t>
        </is>
      </c>
      <c r="B139" s="695" t="n">
        <v>210</v>
      </c>
      <c r="C139" s="703" t="inlineStr">
        <is>
          <t>R0098223</t>
        </is>
      </c>
      <c r="D139" s="1195" t="inlineStr">
        <is>
          <t>Washington Commerce Center</t>
        </is>
      </c>
      <c r="E139" s="703" t="inlineStr">
        <is>
          <t>Commerce City</t>
        </is>
      </c>
      <c r="F139" s="703" t="inlineStr">
        <is>
          <t>CO</t>
        </is>
      </c>
      <c r="G139" s="703" t="inlineStr">
        <is>
          <t>Office/Industrial</t>
        </is>
      </c>
      <c r="H139" s="1195"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1195" t="inlineStr">
        <is>
          <t>Actual; tenants pay RE tax; lower R&amp;M 2024; SF est.</t>
        </is>
      </c>
      <c r="AN139">
        <f>IF(AND($B139=Subj_OccCode,Subj_BldgSF&gt;0,ABS($J139-Subj_BldgSF)&lt;=Subj_BldgSF*Subj_SizeTol),ABS($J139-Subj_BldgSF),NA())</f>
        <v/>
      </c>
      <c r="AO139">
        <f>IF(ISNA(AN139),NA(),AN139+ROW()/10000000)</f>
        <v/>
      </c>
      <c r="AR139" s="1132">
        <f>IF(B139="","",IFERROR(INDEX(OCC_TABLE_DESC,MATCH(B139,OCC_TABLE_CODE,0)),"Unrecognized code"))</f>
        <v/>
      </c>
    </row>
    <row r="140">
      <c r="A140" s="703" t="inlineStr">
        <is>
          <t>P070</t>
        </is>
      </c>
      <c r="B140" s="695" t="n">
        <v>210</v>
      </c>
      <c r="C140" s="703" t="inlineStr">
        <is>
          <t>R0084242</t>
        </is>
      </c>
      <c r="D140" s="1195" t="inlineStr">
        <is>
          <t>Upland Dist Ctr I (Bldg 1)</t>
        </is>
      </c>
      <c r="E140" s="703" t="inlineStr">
        <is>
          <t>Aurora</t>
        </is>
      </c>
      <c r="F140" s="703" t="inlineStr">
        <is>
          <t>CO</t>
        </is>
      </c>
      <c r="G140" s="703" t="inlineStr">
        <is>
          <t>Industrial</t>
        </is>
      </c>
      <c r="H140" s="1195"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1195" t="inlineStr">
        <is>
          <t>Link Logistics actual accrual; security $3,096 in contract; mgmt non-billable</t>
        </is>
      </c>
      <c r="AN140">
        <f>IF(AND($B140=Subj_OccCode,Subj_BldgSF&gt;0,ABS($J140-Subj_BldgSF)&lt;=Subj_BldgSF*Subj_SizeTol),ABS($J140-Subj_BldgSF),NA())</f>
        <v/>
      </c>
      <c r="AO140">
        <f>IF(ISNA(AN140),NA(),AN140+ROW()/10000000)</f>
        <v/>
      </c>
      <c r="AR140" s="1132">
        <f>IF(B140="","",IFERROR(INDEX(OCC_TABLE_DESC,MATCH(B140,OCC_TABLE_CODE,0)),"Unrecognized code"))</f>
        <v/>
      </c>
    </row>
    <row r="141">
      <c r="A141" s="703" t="inlineStr">
        <is>
          <t>P070</t>
        </is>
      </c>
      <c r="B141" s="695" t="n">
        <v>210</v>
      </c>
      <c r="C141" s="703" t="inlineStr">
        <is>
          <t>R0084242</t>
        </is>
      </c>
      <c r="D141" s="1195" t="inlineStr">
        <is>
          <t>Upland Dist Ctr I (Bldg 1)</t>
        </is>
      </c>
      <c r="E141" s="703" t="inlineStr">
        <is>
          <t>Aurora</t>
        </is>
      </c>
      <c r="F141" s="703" t="inlineStr">
        <is>
          <t>CO</t>
        </is>
      </c>
      <c r="G141" s="703" t="inlineStr">
        <is>
          <t>Industrial</t>
        </is>
      </c>
      <c r="H141" s="1195"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1195" t="inlineStr">
        <is>
          <t>Link Logistics actual accrual; security $3,871 in contract; mgmt non-billable</t>
        </is>
      </c>
      <c r="AN141">
        <f>IF(AND($B141=Subj_OccCode,Subj_BldgSF&gt;0,ABS($J141-Subj_BldgSF)&lt;=Subj_BldgSF*Subj_SizeTol),ABS($J141-Subj_BldgSF),NA())</f>
        <v/>
      </c>
      <c r="AO141">
        <f>IF(ISNA(AN141),NA(),AN141+ROW()/10000000)</f>
        <v/>
      </c>
      <c r="AR141" s="1132">
        <f>IF(B141="","",IFERROR(INDEX(OCC_TABLE_DESC,MATCH(B141,OCC_TABLE_CODE,0)),"Unrecognized code"))</f>
        <v/>
      </c>
    </row>
    <row r="142">
      <c r="A142" s="703" t="inlineStr">
        <is>
          <t>P071</t>
        </is>
      </c>
      <c r="B142" s="695" t="n">
        <v>210</v>
      </c>
      <c r="C142" s="703" t="inlineStr">
        <is>
          <t>R0084243</t>
        </is>
      </c>
      <c r="D142" s="1195" t="inlineStr">
        <is>
          <t>Upland Dist Ctr I (Bldg 2)</t>
        </is>
      </c>
      <c r="E142" s="703" t="inlineStr">
        <is>
          <t>Aurora</t>
        </is>
      </c>
      <c r="F142" s="703" t="inlineStr">
        <is>
          <t>CO</t>
        </is>
      </c>
      <c r="G142" s="703" t="inlineStr">
        <is>
          <t>Industrial</t>
        </is>
      </c>
      <c r="H142" s="1195"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1195" t="inlineStr">
        <is>
          <t>Link Logistics actual accrual</t>
        </is>
      </c>
      <c r="AN142">
        <f>IF(AND($B142=Subj_OccCode,Subj_BldgSF&gt;0,ABS($J142-Subj_BldgSF)&lt;=Subj_BldgSF*Subj_SizeTol),ABS($J142-Subj_BldgSF),NA())</f>
        <v/>
      </c>
      <c r="AO142">
        <f>IF(ISNA(AN142),NA(),AN142+ROW()/10000000)</f>
        <v/>
      </c>
      <c r="AR142" s="1132">
        <f>IF(B142="","",IFERROR(INDEX(OCC_TABLE_DESC,MATCH(B142,OCC_TABLE_CODE,0)),"Unrecognized code"))</f>
        <v/>
      </c>
    </row>
    <row r="143">
      <c r="A143" s="703" t="inlineStr">
        <is>
          <t>P071</t>
        </is>
      </c>
      <c r="B143" s="695" t="n">
        <v>210</v>
      </c>
      <c r="C143" s="703" t="inlineStr">
        <is>
          <t>R0084243</t>
        </is>
      </c>
      <c r="D143" s="1195" t="inlineStr">
        <is>
          <t>Upland Dist Ctr I (Bldg 2)</t>
        </is>
      </c>
      <c r="E143" s="703" t="inlineStr">
        <is>
          <t>Aurora</t>
        </is>
      </c>
      <c r="F143" s="703" t="inlineStr">
        <is>
          <t>CO</t>
        </is>
      </c>
      <c r="G143" s="703" t="inlineStr">
        <is>
          <t>Industrial</t>
        </is>
      </c>
      <c r="H143" s="1195"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1195" t="inlineStr">
        <is>
          <t>Link Logistics actual accrual</t>
        </is>
      </c>
      <c r="AN143">
        <f>IF(AND($B143=Subj_OccCode,Subj_BldgSF&gt;0,ABS($J143-Subj_BldgSF)&lt;=Subj_BldgSF*Subj_SizeTol),ABS($J143-Subj_BldgSF),NA())</f>
        <v/>
      </c>
      <c r="AO143">
        <f>IF(ISNA(AN143),NA(),AN143+ROW()/10000000)</f>
        <v/>
      </c>
      <c r="AR143" s="1132">
        <f>IF(B143="","",IFERROR(INDEX(OCC_TABLE_DESC,MATCH(B143,OCC_TABLE_CODE,0)),"Unrecognized code"))</f>
        <v/>
      </c>
    </row>
    <row r="144">
      <c r="A144" s="703" t="inlineStr">
        <is>
          <t>P072</t>
        </is>
      </c>
      <c r="B144" s="695" t="n">
        <v>210</v>
      </c>
      <c r="C144" s="703" t="inlineStr">
        <is>
          <t>R0084244</t>
        </is>
      </c>
      <c r="D144" s="1195" t="inlineStr">
        <is>
          <t>Upland Dist Ctr I (Bldg 3)</t>
        </is>
      </c>
      <c r="E144" s="703" t="inlineStr">
        <is>
          <t>Aurora</t>
        </is>
      </c>
      <c r="F144" s="703" t="inlineStr">
        <is>
          <t>CO</t>
        </is>
      </c>
      <c r="G144" s="703" t="inlineStr">
        <is>
          <t>Industrial</t>
        </is>
      </c>
      <c r="H144" s="1195"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1195" t="inlineStr">
        <is>
          <t>Link Logistics 2023 only; large warehouse; notable free rent ($111k) and lease-up period</t>
        </is>
      </c>
      <c r="AN144">
        <f>IF(AND($B144=Subj_OccCode,Subj_BldgSF&gt;0,ABS($J144-Subj_BldgSF)&lt;=Subj_BldgSF*Subj_SizeTol),ABS($J144-Subj_BldgSF),NA())</f>
        <v/>
      </c>
      <c r="AO144">
        <f>IF(ISNA(AN144),NA(),AN144+ROW()/10000000)</f>
        <v/>
      </c>
      <c r="AR144" s="1132">
        <f>IF(B144="","",IFERROR(INDEX(OCC_TABLE_DESC,MATCH(B144,OCC_TABLE_CODE,0)),"Unrecognized code"))</f>
        <v/>
      </c>
    </row>
    <row r="145">
      <c r="A145" s="703" t="inlineStr">
        <is>
          <t>P073</t>
        </is>
      </c>
      <c r="B145" s="695" t="n">
        <v>210</v>
      </c>
      <c r="C145" s="703" t="inlineStr">
        <is>
          <t>R0084247</t>
        </is>
      </c>
      <c r="D145" s="1195" t="inlineStr">
        <is>
          <t>13802 E 33rd Place</t>
        </is>
      </c>
      <c r="E145" s="703" t="inlineStr">
        <is>
          <t>Aurora</t>
        </is>
      </c>
      <c r="F145" s="703" t="inlineStr">
        <is>
          <t>CO</t>
        </is>
      </c>
      <c r="G145" s="703" t="inlineStr">
        <is>
          <t>Industrial</t>
        </is>
      </c>
      <c r="H145" s="1195"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1195" t="inlineStr">
        <is>
          <t>Link Logistics actual accrual</t>
        </is>
      </c>
      <c r="AN145">
        <f>IF(AND($B145=Subj_OccCode,Subj_BldgSF&gt;0,ABS($J145-Subj_BldgSF)&lt;=Subj_BldgSF*Subj_SizeTol),ABS($J145-Subj_BldgSF),NA())</f>
        <v/>
      </c>
      <c r="AO145">
        <f>IF(ISNA(AN145),NA(),AN145+ROW()/10000000)</f>
        <v/>
      </c>
      <c r="AR145" s="1132">
        <f>IF(B145="","",IFERROR(INDEX(OCC_TABLE_DESC,MATCH(B145,OCC_TABLE_CODE,0)),"Unrecognized code"))</f>
        <v/>
      </c>
    </row>
    <row r="146">
      <c r="A146" s="703" t="inlineStr">
        <is>
          <t>P073</t>
        </is>
      </c>
      <c r="B146" s="695" t="n">
        <v>210</v>
      </c>
      <c r="C146" s="703" t="inlineStr">
        <is>
          <t>R0084247</t>
        </is>
      </c>
      <c r="D146" s="1195" t="inlineStr">
        <is>
          <t>13802 E 33rd Place</t>
        </is>
      </c>
      <c r="E146" s="703" t="inlineStr">
        <is>
          <t>Aurora</t>
        </is>
      </c>
      <c r="F146" s="703" t="inlineStr">
        <is>
          <t>CO</t>
        </is>
      </c>
      <c r="G146" s="703" t="inlineStr">
        <is>
          <t>Industrial</t>
        </is>
      </c>
      <c r="H146" s="1195"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1195" t="inlineStr">
        <is>
          <t>Link Logistics actual accrual</t>
        </is>
      </c>
      <c r="AN146">
        <f>IF(AND($B146=Subj_OccCode,Subj_BldgSF&gt;0,ABS($J146-Subj_BldgSF)&lt;=Subj_BldgSF*Subj_SizeTol),ABS($J146-Subj_BldgSF),NA())</f>
        <v/>
      </c>
      <c r="AO146">
        <f>IF(ISNA(AN146),NA(),AN146+ROW()/10000000)</f>
        <v/>
      </c>
      <c r="AR146" s="1132">
        <f>IF(B146="","",IFERROR(INDEX(OCC_TABLE_DESC,MATCH(B146,OCC_TABLE_CODE,0)),"Unrecognized code"))</f>
        <v/>
      </c>
    </row>
    <row r="147">
      <c r="A147" s="703" t="inlineStr">
        <is>
          <t>P074</t>
        </is>
      </c>
      <c r="B147" s="695" t="n">
        <v>210</v>
      </c>
      <c r="C147" s="703" t="inlineStr">
        <is>
          <t>R0084248</t>
        </is>
      </c>
      <c r="D147" s="1195" t="inlineStr">
        <is>
          <t>14002 E 33rd Place</t>
        </is>
      </c>
      <c r="E147" s="703" t="inlineStr">
        <is>
          <t>Aurora</t>
        </is>
      </c>
      <c r="F147" s="703" t="inlineStr">
        <is>
          <t>CO</t>
        </is>
      </c>
      <c r="G147" s="703" t="inlineStr">
        <is>
          <t>Industrial</t>
        </is>
      </c>
      <c r="H147" s="1195"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1195" t="inlineStr">
        <is>
          <t>Link Logistics actual; 2023 RE tax net $53k refund; 2024 normal rate</t>
        </is>
      </c>
      <c r="AN147">
        <f>IF(AND($B147=Subj_OccCode,Subj_BldgSF&gt;0,ABS($J147-Subj_BldgSF)&lt;=Subj_BldgSF*Subj_SizeTol),ABS($J147-Subj_BldgSF),NA())</f>
        <v/>
      </c>
      <c r="AO147">
        <f>IF(ISNA(AN147),NA(),AN147+ROW()/10000000)</f>
        <v/>
      </c>
      <c r="AR147" s="1132">
        <f>IF(B147="","",IFERROR(INDEX(OCC_TABLE_DESC,MATCH(B147,OCC_TABLE_CODE,0)),"Unrecognized code"))</f>
        <v/>
      </c>
    </row>
    <row r="148">
      <c r="A148" s="703" t="inlineStr">
        <is>
          <t>P074</t>
        </is>
      </c>
      <c r="B148" s="695" t="n">
        <v>210</v>
      </c>
      <c r="C148" s="703" t="inlineStr">
        <is>
          <t>R0084248</t>
        </is>
      </c>
      <c r="D148" s="1195" t="inlineStr">
        <is>
          <t>14002 E 33rd Place</t>
        </is>
      </c>
      <c r="E148" s="703" t="inlineStr">
        <is>
          <t>Aurora</t>
        </is>
      </c>
      <c r="F148" s="703" t="inlineStr">
        <is>
          <t>CO</t>
        </is>
      </c>
      <c r="G148" s="703" t="inlineStr">
        <is>
          <t>Industrial</t>
        </is>
      </c>
      <c r="H148" s="1195"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1195" t="inlineStr">
        <is>
          <t>Link Logistics actual; 2023 RE tax net $53k refund; 2024 normal rate</t>
        </is>
      </c>
      <c r="AN148">
        <f>IF(AND($B148=Subj_OccCode,Subj_BldgSF&gt;0,ABS($J148-Subj_BldgSF)&lt;=Subj_BldgSF*Subj_SizeTol),ABS($J148-Subj_BldgSF),NA())</f>
        <v/>
      </c>
      <c r="AO148">
        <f>IF(ISNA(AN148),NA(),AN148+ROW()/10000000)</f>
        <v/>
      </c>
      <c r="AR148" s="1132">
        <f>IF(B148="","",IFERROR(INDEX(OCC_TABLE_DESC,MATCH(B148,OCC_TABLE_CODE,0)),"Unrecognized code"))</f>
        <v/>
      </c>
    </row>
    <row r="149">
      <c r="A149" s="703" t="inlineStr">
        <is>
          <t>P075</t>
        </is>
      </c>
      <c r="B149" s="695" t="n">
        <v>210</v>
      </c>
      <c r="C149" s="703" t="inlineStr">
        <is>
          <t>R0084250</t>
        </is>
      </c>
      <c r="D149" s="1195" t="inlineStr">
        <is>
          <t>3250 Abilene Street</t>
        </is>
      </c>
      <c r="E149" s="703" t="inlineStr">
        <is>
          <t>Aurora</t>
        </is>
      </c>
      <c r="F149" s="703" t="inlineStr">
        <is>
          <t>CO</t>
        </is>
      </c>
      <c r="G149" s="703" t="inlineStr">
        <is>
          <t>Industrial</t>
        </is>
      </c>
      <c r="H149" s="1195"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1195"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1132">
        <f>IF(B149="","",IFERROR(INDEX(OCC_TABLE_DESC,MATCH(B149,OCC_TABLE_CODE,0)),"Unrecognized code"))</f>
        <v/>
      </c>
    </row>
    <row r="150">
      <c r="A150" s="703" t="inlineStr">
        <is>
          <t>P075</t>
        </is>
      </c>
      <c r="B150" s="695" t="n">
        <v>210</v>
      </c>
      <c r="C150" s="703" t="inlineStr">
        <is>
          <t>R0084250</t>
        </is>
      </c>
      <c r="D150" s="1195" t="inlineStr">
        <is>
          <t>3250 Abilene Street</t>
        </is>
      </c>
      <c r="E150" s="703" t="inlineStr">
        <is>
          <t>Aurora</t>
        </is>
      </c>
      <c r="F150" s="703" t="inlineStr">
        <is>
          <t>CO</t>
        </is>
      </c>
      <c r="G150" s="703" t="inlineStr">
        <is>
          <t>Industrial</t>
        </is>
      </c>
      <c r="H150" s="1195"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1195" t="inlineStr">
        <is>
          <t>Link Logistics actual; 2023 stable; 2024 ins inflated by $25k deductible</t>
        </is>
      </c>
      <c r="AN150">
        <f>IF(AND($B150=Subj_OccCode,Subj_BldgSF&gt;0,ABS($J150-Subj_BldgSF)&lt;=Subj_BldgSF*Subj_SizeTol),ABS($J150-Subj_BldgSF),NA())</f>
        <v/>
      </c>
      <c r="AO150">
        <f>IF(ISNA(AN150),NA(),AN150+ROW()/10000000)</f>
        <v/>
      </c>
      <c r="AR150" s="1132">
        <f>IF(B150="","",IFERROR(INDEX(OCC_TABLE_DESC,MATCH(B150,OCC_TABLE_CODE,0)),"Unrecognized code"))</f>
        <v/>
      </c>
    </row>
    <row r="151">
      <c r="A151" s="703" t="inlineStr">
        <is>
          <t>P076</t>
        </is>
      </c>
      <c r="B151" s="695" t="n">
        <v>210</v>
      </c>
      <c r="C151" s="703" t="inlineStr">
        <is>
          <t>R0084253</t>
        </is>
      </c>
      <c r="D151" s="1195" t="inlineStr">
        <is>
          <t>14509 E 33rd Place</t>
        </is>
      </c>
      <c r="E151" s="703" t="inlineStr">
        <is>
          <t>Aurora</t>
        </is>
      </c>
      <c r="F151" s="703" t="inlineStr">
        <is>
          <t>CO</t>
        </is>
      </c>
      <c r="G151" s="703" t="inlineStr">
        <is>
          <t>Industrial</t>
        </is>
      </c>
      <c r="H151" s="1195"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1195" t="inlineStr">
        <is>
          <t>Link Logistics actual; 2023 security includes one-time $54k</t>
        </is>
      </c>
      <c r="AN151">
        <f>IF(AND($B151=Subj_OccCode,Subj_BldgSF&gt;0,ABS($J151-Subj_BldgSF)&lt;=Subj_BldgSF*Subj_SizeTol),ABS($J151-Subj_BldgSF),NA())</f>
        <v/>
      </c>
      <c r="AO151">
        <f>IF(ISNA(AN151),NA(),AN151+ROW()/10000000)</f>
        <v/>
      </c>
      <c r="AR151" s="1132">
        <f>IF(B151="","",IFERROR(INDEX(OCC_TABLE_DESC,MATCH(B151,OCC_TABLE_CODE,0)),"Unrecognized code"))</f>
        <v/>
      </c>
    </row>
    <row r="152">
      <c r="A152" s="703" t="inlineStr">
        <is>
          <t>P076</t>
        </is>
      </c>
      <c r="B152" s="695" t="n">
        <v>210</v>
      </c>
      <c r="C152" s="703" t="inlineStr">
        <is>
          <t>R0084253</t>
        </is>
      </c>
      <c r="D152" s="1195" t="inlineStr">
        <is>
          <t>14509 E 33rd Place</t>
        </is>
      </c>
      <c r="E152" s="703" t="inlineStr">
        <is>
          <t>Aurora</t>
        </is>
      </c>
      <c r="F152" s="703" t="inlineStr">
        <is>
          <t>CO</t>
        </is>
      </c>
      <c r="G152" s="703" t="inlineStr">
        <is>
          <t>Industrial</t>
        </is>
      </c>
      <c r="H152" s="1195"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1195" t="inlineStr">
        <is>
          <t>Link Logistics actual; 2023 security includes one-time $54k</t>
        </is>
      </c>
      <c r="AN152">
        <f>IF(AND($B152=Subj_OccCode,Subj_BldgSF&gt;0,ABS($J152-Subj_BldgSF)&lt;=Subj_BldgSF*Subj_SizeTol),ABS($J152-Subj_BldgSF),NA())</f>
        <v/>
      </c>
      <c r="AO152">
        <f>IF(ISNA(AN152),NA(),AN152+ROW()/10000000)</f>
        <v/>
      </c>
      <c r="AR152" s="1132">
        <f>IF(B152="","",IFERROR(INDEX(OCC_TABLE_DESC,MATCH(B152,OCC_TABLE_CODE,0)),"Unrecognized code"))</f>
        <v/>
      </c>
    </row>
    <row r="153">
      <c r="A153" s="703" t="inlineStr">
        <is>
          <t>P077</t>
        </is>
      </c>
      <c r="B153" s="695" t="n">
        <v>210</v>
      </c>
      <c r="C153" s="703" t="inlineStr">
        <is>
          <t>R0084253</t>
        </is>
      </c>
      <c r="D153" s="1195" t="inlineStr">
        <is>
          <t>14704 E 33rd Place</t>
        </is>
      </c>
      <c r="E153" s="703" t="inlineStr">
        <is>
          <t>Aurora</t>
        </is>
      </c>
      <c r="F153" s="703" t="inlineStr">
        <is>
          <t>CO</t>
        </is>
      </c>
      <c r="G153" s="703" t="inlineStr">
        <is>
          <t>Industrial</t>
        </is>
      </c>
      <c r="H153" s="1195"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1195" t="inlineStr">
        <is>
          <t>Link Logistics 2024; partial vacancy (elec/gas $124k); NOI understated excl vacancy costs</t>
        </is>
      </c>
      <c r="AN153">
        <f>IF(AND($B153=Subj_OccCode,Subj_BldgSF&gt;0,ABS($J153-Subj_BldgSF)&lt;=Subj_BldgSF*Subj_SizeTol),ABS($J153-Subj_BldgSF),NA())</f>
        <v/>
      </c>
      <c r="AO153">
        <f>IF(ISNA(AN153),NA(),AN153+ROW()/10000000)</f>
        <v/>
      </c>
      <c r="AR153" s="1132">
        <f>IF(B153="","",IFERROR(INDEX(OCC_TABLE_DESC,MATCH(B153,OCC_TABLE_CODE,0)),"Unrecognized code"))</f>
        <v/>
      </c>
    </row>
    <row r="154">
      <c r="A154" s="703" t="inlineStr">
        <is>
          <t>P078</t>
        </is>
      </c>
      <c r="B154" s="695" t="n">
        <v>210</v>
      </c>
      <c r="C154" s="703" t="inlineStr">
        <is>
          <t>R0084253</t>
        </is>
      </c>
      <c r="D154" s="1195" t="inlineStr">
        <is>
          <t>14705 E 33rd Place</t>
        </is>
      </c>
      <c r="E154" s="703" t="inlineStr">
        <is>
          <t>Aurora</t>
        </is>
      </c>
      <c r="F154" s="703" t="inlineStr">
        <is>
          <t>CO</t>
        </is>
      </c>
      <c r="G154" s="703" t="inlineStr">
        <is>
          <t>Industrial</t>
        </is>
      </c>
      <c r="H154" s="1195"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1195" t="inlineStr">
        <is>
          <t>Link Logistics 2024; partial free rent ($38k); lease-up period</t>
        </is>
      </c>
      <c r="AN154">
        <f>IF(AND($B154=Subj_OccCode,Subj_BldgSF&gt;0,ABS($J154-Subj_BldgSF)&lt;=Subj_BldgSF*Subj_SizeTol),ABS($J154-Subj_BldgSF),NA())</f>
        <v/>
      </c>
      <c r="AO154">
        <f>IF(ISNA(AN154),NA(),AN154+ROW()/10000000)</f>
        <v/>
      </c>
      <c r="AR154" s="1132">
        <f>IF(B154="","",IFERROR(INDEX(OCC_TABLE_DESC,MATCH(B154,OCC_TABLE_CODE,0)),"Unrecognized code"))</f>
        <v/>
      </c>
    </row>
    <row r="155">
      <c r="A155" s="703" t="inlineStr">
        <is>
          <t>P079</t>
        </is>
      </c>
      <c r="B155" s="695" t="n">
        <v>584</v>
      </c>
      <c r="C155" s="703" t="inlineStr">
        <is>
          <t>R0086214</t>
        </is>
      </c>
      <c r="D155" s="1195" t="inlineStr">
        <is>
          <t>Aurora Warehouse (Polar)</t>
        </is>
      </c>
      <c r="E155" s="703" t="inlineStr">
        <is>
          <t>Aurora</t>
        </is>
      </c>
      <c r="F155" s="703" t="inlineStr">
        <is>
          <t>CO</t>
        </is>
      </c>
      <c r="G155" s="703" t="inlineStr">
        <is>
          <t>Industrial</t>
        </is>
      </c>
      <c r="H155" s="1195"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1195" t="inlineStr">
        <is>
          <t>Link Logistics; very large – RE tax $2.2-2.4M; minimal CAM (near-absolute NNN); SF not confirmed</t>
        </is>
      </c>
      <c r="AN155">
        <f>IF(AND($B155=Subj_OccCode,Subj_BldgSF&gt;0,ABS($J155-Subj_BldgSF)&lt;=Subj_BldgSF*Subj_SizeTol),ABS($J155-Subj_BldgSF),NA())</f>
        <v/>
      </c>
      <c r="AO155">
        <f>IF(ISNA(AN155),NA(),AN155+ROW()/10000000)</f>
        <v/>
      </c>
      <c r="AR155" s="1132">
        <f>IF(B155="","",IFERROR(INDEX(OCC_TABLE_DESC,MATCH(B155,OCC_TABLE_CODE,0)),"Unrecognized code"))</f>
        <v/>
      </c>
    </row>
    <row r="156">
      <c r="A156" s="703" t="inlineStr">
        <is>
          <t>P079</t>
        </is>
      </c>
      <c r="B156" s="695" t="n">
        <v>584</v>
      </c>
      <c r="C156" s="703" t="inlineStr">
        <is>
          <t>R0086214</t>
        </is>
      </c>
      <c r="D156" s="1195" t="inlineStr">
        <is>
          <t>Aurora Warehouse (Polar)</t>
        </is>
      </c>
      <c r="E156" s="703" t="inlineStr">
        <is>
          <t>Aurora</t>
        </is>
      </c>
      <c r="F156" s="703" t="inlineStr">
        <is>
          <t>CO</t>
        </is>
      </c>
      <c r="G156" s="703" t="inlineStr">
        <is>
          <t>Industrial</t>
        </is>
      </c>
      <c r="H156" s="1195"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1195" t="inlineStr">
        <is>
          <t>Link Logistics; very large – RE tax $2.2-2.4M; minimal CAM (near-absolute NNN); SF not confirmed</t>
        </is>
      </c>
      <c r="AN156">
        <f>IF(AND($B156=Subj_OccCode,Subj_BldgSF&gt;0,ABS($J156-Subj_BldgSF)&lt;=Subj_BldgSF*Subj_SizeTol),ABS($J156-Subj_BldgSF),NA())</f>
        <v/>
      </c>
      <c r="AO156">
        <f>IF(ISNA(AN156),NA(),AN156+ROW()/10000000)</f>
        <v/>
      </c>
      <c r="AR156" s="1132">
        <f>IF(B156="","",IFERROR(INDEX(OCC_TABLE_DESC,MATCH(B156,OCC_TABLE_CODE,0)),"Unrecognized code"))</f>
        <v/>
      </c>
    </row>
    <row r="157">
      <c r="A157" s="703" t="inlineStr">
        <is>
          <t>P080</t>
        </is>
      </c>
      <c r="B157" s="695" t="n">
        <v>407</v>
      </c>
      <c r="C157" s="703" t="inlineStr">
        <is>
          <t>R0194277</t>
        </is>
      </c>
      <c r="D157" s="1195" t="inlineStr">
        <is>
          <t>8251 Quintero St</t>
        </is>
      </c>
      <c r="E157" s="703" t="inlineStr">
        <is>
          <t>Commerce City</t>
        </is>
      </c>
      <c r="F157" s="703" t="inlineStr">
        <is>
          <t>CO</t>
        </is>
      </c>
      <c r="G157" s="703" t="inlineStr">
        <is>
          <t>Industrial</t>
        </is>
      </c>
      <c r="H157" s="1195"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1195" t="inlineStr">
        <is>
          <t>Becknell Industrial; 2024 EGI/OPX inflated by $967k PY RE tax true-up; normalized NOI ~$2.86M</t>
        </is>
      </c>
      <c r="AN157">
        <f>IF(AND($B157=Subj_OccCode,Subj_BldgSF&gt;0,ABS($J157-Subj_BldgSF)&lt;=Subj_BldgSF*Subj_SizeTol),ABS($J157-Subj_BldgSF),NA())</f>
        <v/>
      </c>
      <c r="AO157">
        <f>IF(ISNA(AN157),NA(),AN157+ROW()/10000000)</f>
        <v/>
      </c>
      <c r="AR157" s="1132">
        <f>IF(B157="","",IFERROR(INDEX(OCC_TABLE_DESC,MATCH(B157,OCC_TABLE_CODE,0)),"Unrecognized code"))</f>
        <v/>
      </c>
    </row>
    <row r="158">
      <c r="A158" s="703" t="inlineStr">
        <is>
          <t>P080</t>
        </is>
      </c>
      <c r="B158" s="695" t="n">
        <v>407</v>
      </c>
      <c r="C158" s="703" t="inlineStr">
        <is>
          <t>R0194277</t>
        </is>
      </c>
      <c r="D158" s="1195" t="inlineStr">
        <is>
          <t>8251 Quintero St</t>
        </is>
      </c>
      <c r="E158" s="703" t="inlineStr">
        <is>
          <t>Commerce City</t>
        </is>
      </c>
      <c r="F158" s="703" t="inlineStr">
        <is>
          <t>CO</t>
        </is>
      </c>
      <c r="G158" s="703" t="inlineStr">
        <is>
          <t>Industrial</t>
        </is>
      </c>
      <c r="H158" s="1195"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1195" t="inlineStr">
        <is>
          <t>Becknell Industrial; actual accrual</t>
        </is>
      </c>
      <c r="AN158">
        <f>IF(AND($B158=Subj_OccCode,Subj_BldgSF&gt;0,ABS($J158-Subj_BldgSF)&lt;=Subj_BldgSF*Subj_SizeTol),ABS($J158-Subj_BldgSF),NA())</f>
        <v/>
      </c>
      <c r="AO158">
        <f>IF(ISNA(AN158),NA(),AN158+ROW()/10000000)</f>
        <v/>
      </c>
      <c r="AR158" s="1132">
        <f>IF(B158="","",IFERROR(INDEX(OCC_TABLE_DESC,MATCH(B158,OCC_TABLE_CODE,0)),"Unrecognized code"))</f>
        <v/>
      </c>
    </row>
    <row r="159">
      <c r="A159" s="703" t="inlineStr">
        <is>
          <t>P081</t>
        </is>
      </c>
      <c r="B159" s="695" t="n">
        <v>407</v>
      </c>
      <c r="C159" s="703" t="inlineStr">
        <is>
          <t>R0198176</t>
        </is>
      </c>
      <c r="D159" s="1195" t="inlineStr">
        <is>
          <t>21800 E 19th Ave</t>
        </is>
      </c>
      <c r="E159" s="703" t="inlineStr">
        <is>
          <t>Aurora</t>
        </is>
      </c>
      <c r="F159" s="703" t="inlineStr">
        <is>
          <t>CO</t>
        </is>
      </c>
      <c r="G159" s="703" t="inlineStr">
        <is>
          <t>Industrial</t>
        </is>
      </c>
      <c r="H159" s="1195"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1195" t="inlineStr">
        <is>
          <t>Becknell; absolute NNN – tenant pays RE taxes directly; opex = CAM only</t>
        </is>
      </c>
      <c r="AN159">
        <f>IF(AND($B159=Subj_OccCode,Subj_BldgSF&gt;0,ABS($J159-Subj_BldgSF)&lt;=Subj_BldgSF*Subj_SizeTol),ABS($J159-Subj_BldgSF),NA())</f>
        <v/>
      </c>
      <c r="AO159">
        <f>IF(ISNA(AN159),NA(),AN159+ROW()/10000000)</f>
        <v/>
      </c>
      <c r="AR159" s="1132">
        <f>IF(B159="","",IFERROR(INDEX(OCC_TABLE_DESC,MATCH(B159,OCC_TABLE_CODE,0)),"Unrecognized code"))</f>
        <v/>
      </c>
    </row>
    <row r="160">
      <c r="A160" s="703" t="inlineStr">
        <is>
          <t>P081</t>
        </is>
      </c>
      <c r="B160" s="695" t="n">
        <v>407</v>
      </c>
      <c r="C160" s="703" t="inlineStr">
        <is>
          <t>R0198176</t>
        </is>
      </c>
      <c r="D160" s="1195" t="inlineStr">
        <is>
          <t>21800 E 19th Ave</t>
        </is>
      </c>
      <c r="E160" s="703" t="inlineStr">
        <is>
          <t>Aurora</t>
        </is>
      </c>
      <c r="F160" s="703" t="inlineStr">
        <is>
          <t>CO</t>
        </is>
      </c>
      <c r="G160" s="703" t="inlineStr">
        <is>
          <t>Industrial</t>
        </is>
      </c>
      <c r="H160" s="1195"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1195" t="inlineStr">
        <is>
          <t>Becknell; absolute NNN – tenant pays RE taxes directly; opex = CAM only</t>
        </is>
      </c>
      <c r="AN160">
        <f>IF(AND($B160=Subj_OccCode,Subj_BldgSF&gt;0,ABS($J160-Subj_BldgSF)&lt;=Subj_BldgSF*Subj_SizeTol),ABS($J160-Subj_BldgSF),NA())</f>
        <v/>
      </c>
      <c r="AO160">
        <f>IF(ISNA(AN160),NA(),AN160+ROW()/10000000)</f>
        <v/>
      </c>
      <c r="AR160" s="1132">
        <f>IF(B160="","",IFERROR(INDEX(OCC_TABLE_DESC,MATCH(B160,OCC_TABLE_CODE,0)),"Unrecognized code"))</f>
        <v/>
      </c>
    </row>
    <row r="161">
      <c r="A161" s="703" t="inlineStr">
        <is>
          <t>P082</t>
        </is>
      </c>
      <c r="B161" s="695" t="n">
        <v>407</v>
      </c>
      <c r="C161" s="703" t="inlineStr">
        <is>
          <t>R0201311</t>
        </is>
      </c>
      <c r="D161" s="1195" t="inlineStr">
        <is>
          <t>Ascent Commerce Center Bldg I</t>
        </is>
      </c>
      <c r="E161" s="703" t="inlineStr">
        <is>
          <t>Aurora</t>
        </is>
      </c>
      <c r="F161" s="703" t="inlineStr">
        <is>
          <t>CO</t>
        </is>
      </c>
      <c r="G161" s="703" t="inlineStr">
        <is>
          <t>Industrial</t>
        </is>
      </c>
      <c r="H161" s="1195"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1195" t="inlineStr">
        <is>
          <t>Ambrose; Q4 2024 ONLY (Oct–Dec, 3 months); lease-up/stabilizing; DO NOT use for annual PSF</t>
        </is>
      </c>
      <c r="AN161">
        <f>IF(AND($B161=Subj_OccCode,Subj_BldgSF&gt;0,ABS($J161-Subj_BldgSF)&lt;=Subj_BldgSF*Subj_SizeTol),ABS($J161-Subj_BldgSF),NA())</f>
        <v/>
      </c>
      <c r="AO161">
        <f>IF(ISNA(AN161),NA(),AN161+ROW()/10000000)</f>
        <v/>
      </c>
      <c r="AR161" s="1132">
        <f>IF(B161="","",IFERROR(INDEX(OCC_TABLE_DESC,MATCH(B161,OCC_TABLE_CODE,0)),"Unrecognized code"))</f>
        <v/>
      </c>
    </row>
    <row r="162">
      <c r="A162" s="703" t="inlineStr">
        <is>
          <t>P083</t>
        </is>
      </c>
      <c r="B162" s="695" t="n">
        <v>407</v>
      </c>
      <c r="C162" s="703" t="inlineStr">
        <is>
          <t>R0201311</t>
        </is>
      </c>
      <c r="D162" s="1195" t="inlineStr">
        <is>
          <t>Ascent Commerce Center Bldg II</t>
        </is>
      </c>
      <c r="E162" s="703" t="inlineStr">
        <is>
          <t>Aurora</t>
        </is>
      </c>
      <c r="F162" s="703" t="inlineStr">
        <is>
          <t>CO</t>
        </is>
      </c>
      <c r="G162" s="703" t="inlineStr">
        <is>
          <t>Industrial</t>
        </is>
      </c>
      <c r="H162" s="1195"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1195" t="inlineStr">
        <is>
          <t>Ambrose; Q4 2024 ONLY (Oct–Dec, 3 months); lease-up/stabilizing; DO NOT use for annual PSF</t>
        </is>
      </c>
      <c r="AN162">
        <f>IF(AND($B162=Subj_OccCode,Subj_BldgSF&gt;0,ABS($J162-Subj_BldgSF)&lt;=Subj_BldgSF*Subj_SizeTol),ABS($J162-Subj_BldgSF),NA())</f>
        <v/>
      </c>
      <c r="AO162">
        <f>IF(ISNA(AN162),NA(),AN162+ROW()/10000000)</f>
        <v/>
      </c>
      <c r="AR162" s="1132">
        <f>IF(B162="","",IFERROR(INDEX(OCC_TABLE_DESC,MATCH(B162,OCC_TABLE_CODE,0)),"Unrecognized code"))</f>
        <v/>
      </c>
    </row>
    <row r="163">
      <c r="A163" s="703" t="inlineStr">
        <is>
          <t>P084</t>
        </is>
      </c>
      <c r="B163" s="695" t="n">
        <v>407</v>
      </c>
      <c r="C163" s="703" t="inlineStr">
        <is>
          <t>R0201311</t>
        </is>
      </c>
      <c r="D163" s="1195" t="inlineStr">
        <is>
          <t>Ascent Commerce Center Bldg III</t>
        </is>
      </c>
      <c r="E163" s="703" t="inlineStr">
        <is>
          <t>Aurora</t>
        </is>
      </c>
      <c r="F163" s="703" t="inlineStr">
        <is>
          <t>CO</t>
        </is>
      </c>
      <c r="G163" s="703" t="inlineStr">
        <is>
          <t>Industrial</t>
        </is>
      </c>
      <c r="H163" s="1195"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1195" t="inlineStr">
        <is>
          <t>Ambrose; Q4 2024 ONLY (Oct–Dec, 3 months); lease-up/stabilizing; DO NOT use for annual PSF</t>
        </is>
      </c>
      <c r="AN163">
        <f>IF(AND($B163=Subj_OccCode,Subj_BldgSF&gt;0,ABS($J163-Subj_BldgSF)&lt;=Subj_BldgSF*Subj_SizeTol),ABS($J163-Subj_BldgSF),NA())</f>
        <v/>
      </c>
      <c r="AO163">
        <f>IF(ISNA(AN163),NA(),AN163+ROW()/10000000)</f>
        <v/>
      </c>
      <c r="AR163" s="1132">
        <f>IF(B163="","",IFERROR(INDEX(OCC_TABLE_DESC,MATCH(B163,OCC_TABLE_CODE,0)),"Unrecognized code"))</f>
        <v/>
      </c>
    </row>
    <row r="164">
      <c r="A164" s="703" t="inlineStr">
        <is>
          <t>P085</t>
        </is>
      </c>
      <c r="B164" s="695" t="n">
        <v>210</v>
      </c>
      <c r="C164" s="703" t="inlineStr">
        <is>
          <t>R0093018</t>
        </is>
      </c>
      <c r="D164" s="1195" t="inlineStr">
        <is>
          <t>3350 Peoria St</t>
        </is>
      </c>
      <c r="E164" s="703" t="inlineStr">
        <is>
          <t>Denver</t>
        </is>
      </c>
      <c r="F164" s="703" t="inlineStr">
        <is>
          <t>CO</t>
        </is>
      </c>
      <c r="G164" s="703" t="inlineStr">
        <is>
          <t>Industrial</t>
        </is>
      </c>
      <c r="H164" s="1195"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1195"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1132">
        <f>IF(B164="","",IFERROR(INDEX(OCC_TABLE_DESC,MATCH(B164,OCC_TABLE_CODE,0)),"Unrecognized code"))</f>
        <v/>
      </c>
    </row>
    <row r="165">
      <c r="A165" s="703" t="inlineStr">
        <is>
          <t>P086</t>
        </is>
      </c>
      <c r="B165" s="695" t="n">
        <v>406</v>
      </c>
      <c r="C165" s="703" t="inlineStr">
        <is>
          <t>R0210684</t>
        </is>
      </c>
      <c r="D165" s="1195" t="inlineStr">
        <is>
          <t>14200 E Moncrieff Place</t>
        </is>
      </c>
      <c r="E165" s="703" t="inlineStr">
        <is>
          <t>Aurora</t>
        </is>
      </c>
      <c r="F165" s="703" t="inlineStr">
        <is>
          <t>CO</t>
        </is>
      </c>
      <c r="G165" s="703" t="inlineStr">
        <is>
          <t>Industrial</t>
        </is>
      </c>
      <c r="H165" s="1195"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1195" t="inlineStr">
        <is>
          <t>Owner P&amp;L 2023; large industrial 233,808 SF; 1980 YOC; landscape $12,324/snow $32,256 in CAM</t>
        </is>
      </c>
      <c r="AN165">
        <f>IF(AND($B165=Subj_OccCode,Subj_BldgSF&gt;0,ABS($J165-Subj_BldgSF)&lt;=Subj_BldgSF*Subj_SizeTol),ABS($J165-Subj_BldgSF),NA())</f>
        <v/>
      </c>
      <c r="AO165">
        <f>IF(ISNA(AN165),NA(),AN165+ROW()/10000000)</f>
        <v/>
      </c>
      <c r="AR165" s="1132">
        <f>IF(B165="","",IFERROR(INDEX(OCC_TABLE_DESC,MATCH(B165,OCC_TABLE_CODE,0)),"Unrecognized code"))</f>
        <v/>
      </c>
    </row>
    <row r="166">
      <c r="A166" s="703" t="inlineStr">
        <is>
          <t>P086</t>
        </is>
      </c>
      <c r="B166" s="695" t="n">
        <v>406</v>
      </c>
      <c r="C166" s="703" t="inlineStr">
        <is>
          <t>R0210684</t>
        </is>
      </c>
      <c r="D166" s="1195" t="inlineStr">
        <is>
          <t>14200 E Moncrieff Place</t>
        </is>
      </c>
      <c r="E166" s="703" t="inlineStr">
        <is>
          <t>Aurora</t>
        </is>
      </c>
      <c r="F166" s="703" t="inlineStr">
        <is>
          <t>CO</t>
        </is>
      </c>
      <c r="G166" s="703" t="inlineStr">
        <is>
          <t>Industrial</t>
        </is>
      </c>
      <c r="H166" s="1195"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1195" t="inlineStr">
        <is>
          <t>Owner P&amp;L 2024; total OPX only – line items not fully detailed for 2024</t>
        </is>
      </c>
      <c r="AN166">
        <f>IF(AND($B166=Subj_OccCode,Subj_BldgSF&gt;0,ABS($J166-Subj_BldgSF)&lt;=Subj_BldgSF*Subj_SizeTol),ABS($J166-Subj_BldgSF),NA())</f>
        <v/>
      </c>
      <c r="AO166">
        <f>IF(ISNA(AN166),NA(),AN166+ROW()/10000000)</f>
        <v/>
      </c>
      <c r="AR166" s="1132">
        <f>IF(B166="","",IFERROR(INDEX(OCC_TABLE_DESC,MATCH(B166,OCC_TABLE_CODE,0)),"Unrecognized code"))</f>
        <v/>
      </c>
    </row>
    <row r="167">
      <c r="A167" s="703" t="inlineStr">
        <is>
          <t>P087</t>
        </is>
      </c>
      <c r="B167" s="695" t="n">
        <v>407</v>
      </c>
      <c r="C167" s="703" t="inlineStr">
        <is>
          <t>R0102985</t>
        </is>
      </c>
      <c r="D167" s="1195" t="inlineStr">
        <is>
          <t>5861 Tennyson St</t>
        </is>
      </c>
      <c r="E167" s="703" t="inlineStr">
        <is>
          <t>Arvada</t>
        </is>
      </c>
      <c r="F167" s="703" t="inlineStr">
        <is>
          <t>CO</t>
        </is>
      </c>
      <c r="G167" s="703" t="inlineStr">
        <is>
          <t>Industrial</t>
        </is>
      </c>
      <c r="H167" s="1195"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1195" t="inlineStr">
        <is>
          <t>NNN; landlord expenses only; tenant pays RE taxes; 2023</t>
        </is>
      </c>
      <c r="AN167">
        <f>IF(AND($B167=Subj_OccCode,Subj_BldgSF&gt;0,ABS($J167-Subj_BldgSF)&lt;=Subj_BldgSF*Subj_SizeTol),ABS($J167-Subj_BldgSF),NA())</f>
        <v/>
      </c>
      <c r="AO167">
        <f>IF(ISNA(AN167),NA(),AN167+ROW()/10000000)</f>
        <v/>
      </c>
      <c r="AR167" s="1132">
        <f>IF(B167="","",IFERROR(INDEX(OCC_TABLE_DESC,MATCH(B167,OCC_TABLE_CODE,0)),"Unrecognized code"))</f>
        <v/>
      </c>
    </row>
    <row r="168">
      <c r="A168" s="703" t="inlineStr">
        <is>
          <t>P087</t>
        </is>
      </c>
      <c r="B168" s="695" t="n">
        <v>407</v>
      </c>
      <c r="C168" s="703" t="inlineStr">
        <is>
          <t>R0102985</t>
        </is>
      </c>
      <c r="D168" s="1195" t="inlineStr">
        <is>
          <t>5861 Tennyson St</t>
        </is>
      </c>
      <c r="E168" s="703" t="inlineStr">
        <is>
          <t>Arvada</t>
        </is>
      </c>
      <c r="F168" s="703" t="inlineStr">
        <is>
          <t>CO</t>
        </is>
      </c>
      <c r="G168" s="703" t="inlineStr">
        <is>
          <t>Industrial</t>
        </is>
      </c>
      <c r="H168" s="1195"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1195" t="inlineStr">
        <is>
          <t>NNN; landlord expenses only; tenant pays RE taxes; 2024</t>
        </is>
      </c>
      <c r="AN168">
        <f>IF(AND($B168=Subj_OccCode,Subj_BldgSF&gt;0,ABS($J168-Subj_BldgSF)&lt;=Subj_BldgSF*Subj_SizeTol),ABS($J168-Subj_BldgSF),NA())</f>
        <v/>
      </c>
      <c r="AO168">
        <f>IF(ISNA(AN168),NA(),AN168+ROW()/10000000)</f>
        <v/>
      </c>
      <c r="AR168" s="1132">
        <f>IF(B168="","",IFERROR(INDEX(OCC_TABLE_DESC,MATCH(B168,OCC_TABLE_CODE,0)),"Unrecognized code"))</f>
        <v/>
      </c>
    </row>
    <row r="169">
      <c r="A169" s="703" t="inlineStr">
        <is>
          <t>P088</t>
        </is>
      </c>
      <c r="B169" s="695" t="n">
        <v>210</v>
      </c>
      <c r="C169" s="703" t="inlineStr">
        <is>
          <t>R0090973</t>
        </is>
      </c>
      <c r="D169" s="1195" t="inlineStr">
        <is>
          <t>3975 E 56th Ave</t>
        </is>
      </c>
      <c r="E169" s="703" t="inlineStr">
        <is>
          <t>Commerce City</t>
        </is>
      </c>
      <c r="F169" s="703" t="inlineStr">
        <is>
          <t>CO</t>
        </is>
      </c>
      <c r="G169" s="703" t="inlineStr">
        <is>
          <t>Industrial</t>
        </is>
      </c>
      <c r="H169" s="1195"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1195" t="inlineStr">
        <is>
          <t>Sand Creek Business Park; owner P&amp;L 2024; limited line-item detail</t>
        </is>
      </c>
      <c r="AN169">
        <f>IF(AND($B169=Subj_OccCode,Subj_BldgSF&gt;0,ABS($J169-Subj_BldgSF)&lt;=Subj_BldgSF*Subj_SizeTol),ABS($J169-Subj_BldgSF),NA())</f>
        <v/>
      </c>
      <c r="AO169">
        <f>IF(ISNA(AN169),NA(),AN169+ROW()/10000000)</f>
        <v/>
      </c>
      <c r="AR169" s="1132">
        <f>IF(B169="","",IFERROR(INDEX(OCC_TABLE_DESC,MATCH(B169,OCC_TABLE_CODE,0)),"Unrecognized code"))</f>
        <v/>
      </c>
    </row>
    <row r="170">
      <c r="A170" s="703" t="inlineStr">
        <is>
          <t>P089</t>
        </is>
      </c>
      <c r="B170" s="695" t="n">
        <v>407</v>
      </c>
      <c r="C170" s="703" t="inlineStr">
        <is>
          <t>R0180951</t>
        </is>
      </c>
      <c r="D170" s="1195" t="inlineStr">
        <is>
          <t>(Address TBD – R0180951)</t>
        </is>
      </c>
      <c r="E170" s="703" t="inlineStr">
        <is>
          <t>Adams County</t>
        </is>
      </c>
      <c r="F170" s="703" t="inlineStr">
        <is>
          <t>CO</t>
        </is>
      </c>
      <c r="G170" s="703" t="inlineStr">
        <is>
          <t>Industrial</t>
        </is>
      </c>
      <c r="H170" s="1195"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1195"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1132">
        <f>IF(B170="","",IFERROR(INDEX(OCC_TABLE_DESC,MATCH(B170,OCC_TABLE_CODE,0)),"Unrecognized code"))</f>
        <v/>
      </c>
    </row>
    <row r="171">
      <c r="A171" s="703" t="inlineStr">
        <is>
          <t>P089</t>
        </is>
      </c>
      <c r="B171" s="695" t="n">
        <v>407</v>
      </c>
      <c r="C171" s="703" t="inlineStr">
        <is>
          <t>R0180951</t>
        </is>
      </c>
      <c r="D171" s="1195" t="inlineStr">
        <is>
          <t>(Address TBD – R0180951)</t>
        </is>
      </c>
      <c r="E171" s="703" t="inlineStr">
        <is>
          <t>Adams County</t>
        </is>
      </c>
      <c r="F171" s="703" t="inlineStr">
        <is>
          <t>CO</t>
        </is>
      </c>
      <c r="G171" s="703" t="inlineStr">
        <is>
          <t>Industrial</t>
        </is>
      </c>
      <c r="H171" s="1195"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1195"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1132">
        <f>IF(B171="","",IFERROR(INDEX(OCC_TABLE_DESC,MATCH(B171,OCC_TABLE_CODE,0)),"Unrecognized code"))</f>
        <v/>
      </c>
    </row>
    <row r="172">
      <c r="A172" s="703" t="inlineStr">
        <is>
          <t>P090</t>
        </is>
      </c>
      <c r="B172" s="695" t="n">
        <v>407</v>
      </c>
      <c r="C172" s="703" t="inlineStr">
        <is>
          <t>R0110351</t>
        </is>
      </c>
      <c r="D172" s="1195" t="inlineStr">
        <is>
          <t>(Address TBD – R0110351)</t>
        </is>
      </c>
      <c r="E172" s="703" t="inlineStr">
        <is>
          <t>Adams County</t>
        </is>
      </c>
      <c r="F172" s="703" t="inlineStr">
        <is>
          <t>CO</t>
        </is>
      </c>
      <c r="G172" s="703" t="inlineStr">
        <is>
          <t>Industrial</t>
        </is>
      </c>
      <c r="H172" s="1195"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1195"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1132">
        <f>IF(B172="","",IFERROR(INDEX(OCC_TABLE_DESC,MATCH(B172,OCC_TABLE_CODE,0)),"Unrecognized code"))</f>
        <v/>
      </c>
    </row>
    <row r="173">
      <c r="A173" s="703" t="inlineStr">
        <is>
          <t>P090</t>
        </is>
      </c>
      <c r="B173" s="695" t="n">
        <v>407</v>
      </c>
      <c r="C173" s="703" t="inlineStr">
        <is>
          <t>R0110351</t>
        </is>
      </c>
      <c r="D173" s="1195" t="inlineStr">
        <is>
          <t>(Address TBD – R0110351)</t>
        </is>
      </c>
      <c r="E173" s="703" t="inlineStr">
        <is>
          <t>Adams County</t>
        </is>
      </c>
      <c r="F173" s="703" t="inlineStr">
        <is>
          <t>CO</t>
        </is>
      </c>
      <c r="G173" s="703" t="inlineStr">
        <is>
          <t>Industrial</t>
        </is>
      </c>
      <c r="H173" s="1195"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1195" t="inlineStr">
        <is>
          <t>NNN; landlord expenses only from WH Expenses 2026; 2024: RE Tax $331,811/Ins $25,578/CAM $21,372</t>
        </is>
      </c>
      <c r="AN173">
        <f>IF(AND($B173=Subj_OccCode,Subj_BldgSF&gt;0,ABS($J173-Subj_BldgSF)&lt;=Subj_BldgSF*Subj_SizeTol),ABS($J173-Subj_BldgSF),NA())</f>
        <v/>
      </c>
      <c r="AO173">
        <f>IF(ISNA(AN173),NA(),AN173+ROW()/10000000)</f>
        <v/>
      </c>
      <c r="AR173" s="1132">
        <f>IF(B173="","",IFERROR(INDEX(OCC_TABLE_DESC,MATCH(B173,OCC_TABLE_CODE,0)),"Unrecognized code"))</f>
        <v/>
      </c>
    </row>
    <row r="174">
      <c r="A174" s="703" t="inlineStr">
        <is>
          <t>P091</t>
        </is>
      </c>
      <c r="B174" s="695" t="n">
        <v>584</v>
      </c>
      <c r="C174" s="703" t="inlineStr">
        <is>
          <t>R0198530</t>
        </is>
      </c>
      <c r="D174" s="1195" t="inlineStr">
        <is>
          <t>(Address TBD – R0198530)</t>
        </is>
      </c>
      <c r="E174" s="703" t="inlineStr">
        <is>
          <t>Adams County</t>
        </is>
      </c>
      <c r="F174" s="703" t="inlineStr">
        <is>
          <t>CO</t>
        </is>
      </c>
      <c r="G174" s="703" t="inlineStr">
        <is>
          <t>Industrial</t>
        </is>
      </c>
      <c r="H174" s="1195"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1195" t="inlineStr">
        <is>
          <t>Mega-warehouse 555,867 SF; NNN; landlord only: RE Tax $2,160,792/Ins $86,084/Mgmt $64,029; 2019 YOC</t>
        </is>
      </c>
      <c r="AN174">
        <f>IF(AND($B174=Subj_OccCode,Subj_BldgSF&gt;0,ABS($J174-Subj_BldgSF)&lt;=Subj_BldgSF*Subj_SizeTol),ABS($J174-Subj_BldgSF),NA())</f>
        <v/>
      </c>
      <c r="AO174">
        <f>IF(ISNA(AN174),NA(),AN174+ROW()/10000000)</f>
        <v/>
      </c>
      <c r="AR174" s="1132">
        <f>IF(B174="","",IFERROR(INDEX(OCC_TABLE_DESC,MATCH(B174,OCC_TABLE_CODE,0)),"Unrecognized code"))</f>
        <v/>
      </c>
    </row>
    <row r="175">
      <c r="A175" s="703" t="inlineStr">
        <is>
          <t>P092</t>
        </is>
      </c>
      <c r="B175" s="695" t="n">
        <v>447</v>
      </c>
      <c r="C175" s="703" t="inlineStr">
        <is>
          <t>R0180834</t>
        </is>
      </c>
      <c r="D175" s="1195" t="inlineStr">
        <is>
          <t>(Address TBD – R0180834)</t>
        </is>
      </c>
      <c r="E175" s="703" t="inlineStr">
        <is>
          <t>Adams County</t>
        </is>
      </c>
      <c r="F175" s="703" t="inlineStr">
        <is>
          <t>CO</t>
        </is>
      </c>
      <c r="G175" s="703" t="inlineStr">
        <is>
          <t>Industrial</t>
        </is>
      </c>
      <c r="H175" s="1195"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1195"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1132">
        <f>IF(B175="","",IFERROR(INDEX(OCC_TABLE_DESC,MATCH(B175,OCC_TABLE_CODE,0)),"Unrecognized code"))</f>
        <v/>
      </c>
    </row>
    <row r="176">
      <c r="A176" s="703" t="inlineStr">
        <is>
          <t>P093</t>
        </is>
      </c>
      <c r="B176" s="695" t="n">
        <v>407</v>
      </c>
      <c r="C176" s="703" t="inlineStr">
        <is>
          <t>R0114792</t>
        </is>
      </c>
      <c r="D176" s="1195" t="inlineStr">
        <is>
          <t>(Address TBD – R0114792)</t>
        </is>
      </c>
      <c r="E176" s="703" t="inlineStr">
        <is>
          <t>Adams County</t>
        </is>
      </c>
      <c r="F176" s="703" t="inlineStr">
        <is>
          <t>CO</t>
        </is>
      </c>
      <c r="G176" s="703" t="inlineStr">
        <is>
          <t>Industrial</t>
        </is>
      </c>
      <c r="H176" s="1195"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1195" t="inlineStr">
        <is>
          <t>NNN; landlord only: RE Tax $201,248/Ins $9,589/Mgmt $23,542; 1998 YOC</t>
        </is>
      </c>
      <c r="AN176">
        <f>IF(AND($B176=Subj_OccCode,Subj_BldgSF&gt;0,ABS($J176-Subj_BldgSF)&lt;=Subj_BldgSF*Subj_SizeTol),ABS($J176-Subj_BldgSF),NA())</f>
        <v/>
      </c>
      <c r="AO176">
        <f>IF(ISNA(AN176),NA(),AN176+ROW()/10000000)</f>
        <v/>
      </c>
      <c r="AR176" s="1132">
        <f>IF(B176="","",IFERROR(INDEX(OCC_TABLE_DESC,MATCH(B176,OCC_TABLE_CODE,0)),"Unrecognized code"))</f>
        <v/>
      </c>
    </row>
    <row r="177">
      <c r="A177" s="703" t="inlineStr">
        <is>
          <t>P093</t>
        </is>
      </c>
      <c r="B177" s="695" t="n">
        <v>407</v>
      </c>
      <c r="C177" s="703" t="inlineStr">
        <is>
          <t>R0114792</t>
        </is>
      </c>
      <c r="D177" s="1195" t="inlineStr">
        <is>
          <t>(Address TBD – R0114792)</t>
        </is>
      </c>
      <c r="E177" s="703" t="inlineStr">
        <is>
          <t>Adams County</t>
        </is>
      </c>
      <c r="F177" s="703" t="inlineStr">
        <is>
          <t>CO</t>
        </is>
      </c>
      <c r="G177" s="703" t="inlineStr">
        <is>
          <t>Industrial</t>
        </is>
      </c>
      <c r="H177" s="1195"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1195" t="inlineStr">
        <is>
          <t>NNN; landlord only: RE Tax $244,551/Ins $7,536/Mgmt $23,889</t>
        </is>
      </c>
      <c r="AN177">
        <f>IF(AND($B177=Subj_OccCode,Subj_BldgSF&gt;0,ABS($J177-Subj_BldgSF)&lt;=Subj_BldgSF*Subj_SizeTol),ABS($J177-Subj_BldgSF),NA())</f>
        <v/>
      </c>
      <c r="AO177">
        <f>IF(ISNA(AN177),NA(),AN177+ROW()/10000000)</f>
        <v/>
      </c>
      <c r="AR177" s="1132">
        <f>IF(B177="","",IFERROR(INDEX(OCC_TABLE_DESC,MATCH(B177,OCC_TABLE_CODE,0)),"Unrecognized code"))</f>
        <v/>
      </c>
    </row>
    <row r="178">
      <c r="A178" s="703" t="inlineStr">
        <is>
          <t>P027</t>
        </is>
      </c>
      <c r="B178" s="695" t="n">
        <v>407</v>
      </c>
      <c r="C178" s="703" t="inlineStr">
        <is>
          <t>R0132030</t>
        </is>
      </c>
      <c r="D178" s="1195" t="inlineStr">
        <is>
          <t>(R0132030)</t>
        </is>
      </c>
      <c r="E178" s="703" t="inlineStr">
        <is>
          <t>Adams County</t>
        </is>
      </c>
      <c r="F178" s="703" t="inlineStr">
        <is>
          <t>CO</t>
        </is>
      </c>
      <c r="G178" s="703" t="inlineStr">
        <is>
          <t>Industrial</t>
        </is>
      </c>
      <c r="H178" s="1195"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1195" t="inlineStr">
        <is>
          <t>NNN; WH Expenses 2026 landlord data: RE Tax $440,287/Ins $26,308/Utils $64,237/Mgmt $48,882/CAM $80,298</t>
        </is>
      </c>
      <c r="AN178">
        <f>IF(AND($B178=Subj_OccCode,Subj_BldgSF&gt;0,ABS($J178-Subj_BldgSF)&lt;=Subj_BldgSF*Subj_SizeTol),ABS($J178-Subj_BldgSF),NA())</f>
        <v/>
      </c>
      <c r="AO178">
        <f>IF(ISNA(AN178),NA(),AN178+ROW()/10000000)</f>
        <v/>
      </c>
      <c r="AR178" s="1132">
        <f>IF(B178="","",IFERROR(INDEX(OCC_TABLE_DESC,MATCH(B178,OCC_TABLE_CODE,0)),"Unrecognized code"))</f>
        <v/>
      </c>
    </row>
    <row r="179">
      <c r="A179" s="703" t="inlineStr">
        <is>
          <t>P028</t>
        </is>
      </c>
      <c r="B179" s="695" t="n">
        <v>407</v>
      </c>
      <c r="C179" s="703" t="inlineStr">
        <is>
          <t>R0084040</t>
        </is>
      </c>
      <c r="D179" s="1195" t="inlineStr">
        <is>
          <t>(R0084040)</t>
        </is>
      </c>
      <c r="E179" s="703" t="inlineStr">
        <is>
          <t>Adams County</t>
        </is>
      </c>
      <c r="F179" s="703" t="inlineStr">
        <is>
          <t>CO</t>
        </is>
      </c>
      <c r="G179" s="703" t="inlineStr">
        <is>
          <t>Industrial</t>
        </is>
      </c>
      <c r="H179" s="1195"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1195"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1132">
        <f>IF(B179="","",IFERROR(INDEX(OCC_TABLE_DESC,MATCH(B179,OCC_TABLE_CODE,0)),"Unrecognized code"))</f>
        <v/>
      </c>
    </row>
    <row r="180">
      <c r="A180" s="703" t="inlineStr">
        <is>
          <t>P034</t>
        </is>
      </c>
      <c r="B180" s="695" t="n">
        <v>407</v>
      </c>
      <c r="C180" s="703" t="inlineStr">
        <is>
          <t>R0172865</t>
        </is>
      </c>
      <c r="D180" s="1195" t="inlineStr">
        <is>
          <t>(R0172865)</t>
        </is>
      </c>
      <c r="E180" s="703" t="inlineStr">
        <is>
          <t>Adams County</t>
        </is>
      </c>
      <c r="F180" s="703" t="inlineStr">
        <is>
          <t>CO</t>
        </is>
      </c>
      <c r="G180" s="703" t="inlineStr">
        <is>
          <t>Industrial</t>
        </is>
      </c>
      <c r="H180" s="1195"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1195"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1132">
        <f>IF(B180="","",IFERROR(INDEX(OCC_TABLE_DESC,MATCH(B180,OCC_TABLE_CODE,0)),"Unrecognized code"))</f>
        <v/>
      </c>
    </row>
    <row r="181">
      <c r="A181" s="703" t="inlineStr">
        <is>
          <t>P036</t>
        </is>
      </c>
      <c r="B181" s="695" t="n">
        <v>407</v>
      </c>
      <c r="C181" s="703" t="inlineStr">
        <is>
          <t>R0172868</t>
        </is>
      </c>
      <c r="D181" s="1195" t="inlineStr">
        <is>
          <t>(R0172868)</t>
        </is>
      </c>
      <c r="E181" s="703" t="inlineStr">
        <is>
          <t>Adams County</t>
        </is>
      </c>
      <c r="F181" s="703" t="inlineStr">
        <is>
          <t>CO</t>
        </is>
      </c>
      <c r="G181" s="703" t="inlineStr">
        <is>
          <t>Industrial</t>
        </is>
      </c>
      <c r="H181" s="1195"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1195" t="inlineStr">
        <is>
          <t>NNN; WH Expenses 2026 landlord data: RE Tax $608,209/Ins $30,594/Mgmt $36,085/CAM $95,792</t>
        </is>
      </c>
      <c r="AN181">
        <f>IF(AND($B181=Subj_OccCode,Subj_BldgSF&gt;0,ABS($J181-Subj_BldgSF)&lt;=Subj_BldgSF*Subj_SizeTol),ABS($J181-Subj_BldgSF),NA())</f>
        <v/>
      </c>
      <c r="AO181">
        <f>IF(ISNA(AN181),NA(),AN181+ROW()/10000000)</f>
        <v/>
      </c>
      <c r="AR181" s="1132">
        <f>IF(B181="","",IFERROR(INDEX(OCC_TABLE_DESC,MATCH(B181,OCC_TABLE_CODE,0)),"Unrecognized code"))</f>
        <v/>
      </c>
    </row>
    <row r="182">
      <c r="A182" s="703" t="inlineStr">
        <is>
          <t>P061</t>
        </is>
      </c>
      <c r="B182" s="695" t="n">
        <v>584</v>
      </c>
      <c r="C182" s="703" t="inlineStr">
        <is>
          <t>R0083935</t>
        </is>
      </c>
      <c r="D182" s="1195" t="inlineStr">
        <is>
          <t>(R0083935)</t>
        </is>
      </c>
      <c r="E182" s="703" t="inlineStr">
        <is>
          <t>Adams County</t>
        </is>
      </c>
      <c r="F182" s="703" t="inlineStr">
        <is>
          <t>CO</t>
        </is>
      </c>
      <c r="G182" s="703" t="inlineStr">
        <is>
          <t>Industrial</t>
        </is>
      </c>
      <c r="H182" s="1195"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1195"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1132">
        <f>IF(B182="","",IFERROR(INDEX(OCC_TABLE_DESC,MATCH(B182,OCC_TABLE_CODE,0)),"Unrecognized code"))</f>
        <v/>
      </c>
    </row>
    <row r="183">
      <c r="A183" s="703" t="inlineStr">
        <is>
          <t>P069</t>
        </is>
      </c>
      <c r="B183" s="695" t="n">
        <v>210</v>
      </c>
      <c r="C183" s="703" t="inlineStr">
        <is>
          <t>R0098223</t>
        </is>
      </c>
      <c r="D183" s="1195" t="inlineStr">
        <is>
          <t>(R0098223)</t>
        </is>
      </c>
      <c r="E183" s="703" t="inlineStr">
        <is>
          <t>Adams County</t>
        </is>
      </c>
      <c r="F183" s="703" t="inlineStr">
        <is>
          <t>CO</t>
        </is>
      </c>
      <c r="G183" s="703" t="inlineStr">
        <is>
          <t>Industrial</t>
        </is>
      </c>
      <c r="H183" s="1195"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1195"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1132">
        <f>IF(B183="","",IFERROR(INDEX(OCC_TABLE_DESC,MATCH(B183,OCC_TABLE_CODE,0)),"Unrecognized code"))</f>
        <v/>
      </c>
    </row>
    <row r="184">
      <c r="A184" s="703" t="inlineStr">
        <is>
          <t>P069</t>
        </is>
      </c>
      <c r="B184" s="695" t="n">
        <v>210</v>
      </c>
      <c r="C184" s="703" t="inlineStr">
        <is>
          <t>R0098223</t>
        </is>
      </c>
      <c r="D184" s="1195" t="inlineStr">
        <is>
          <t>(R0098223)</t>
        </is>
      </c>
      <c r="E184" s="703" t="inlineStr">
        <is>
          <t>Adams County</t>
        </is>
      </c>
      <c r="F184" s="703" t="inlineStr">
        <is>
          <t>CO</t>
        </is>
      </c>
      <c r="G184" s="703" t="inlineStr">
        <is>
          <t>Industrial</t>
        </is>
      </c>
      <c r="H184" s="1195"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1195" t="inlineStr">
        <is>
          <t>New 2024 row from WH Expenses 2026; NOI $1,005,999</t>
        </is>
      </c>
      <c r="AN184">
        <f>IF(AND($B184=Subj_OccCode,Subj_BldgSF&gt;0,ABS($J184-Subj_BldgSF)&lt;=Subj_BldgSF*Subj_SizeTol),ABS($J184-Subj_BldgSF),NA())</f>
        <v/>
      </c>
      <c r="AO184">
        <f>IF(ISNA(AN184),NA(),AN184+ROW()/10000000)</f>
        <v/>
      </c>
      <c r="AR184" s="1132">
        <f>IF(B184="","",IFERROR(INDEX(OCC_TABLE_DESC,MATCH(B184,OCC_TABLE_CODE,0)),"Unrecognized code"))</f>
        <v/>
      </c>
    </row>
    <row r="185">
      <c r="A185" s="703" t="inlineStr">
        <is>
          <t>P094</t>
        </is>
      </c>
      <c r="B185" s="695" t="n">
        <v>407</v>
      </c>
      <c r="C185" s="703" t="inlineStr">
        <is>
          <t>R0104122</t>
        </is>
      </c>
      <c r="D185" s="1195" t="inlineStr">
        <is>
          <t>550 W 53rd Pl</t>
        </is>
      </c>
      <c r="E185" s="703" t="inlineStr">
        <is>
          <t>Denver</t>
        </is>
      </c>
      <c r="F185" s="703" t="inlineStr">
        <is>
          <t>CO</t>
        </is>
      </c>
      <c r="G185" s="703" t="inlineStr">
        <is>
          <t>Industrial</t>
        </is>
      </c>
      <c r="H185" s="1195"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1195"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1132">
        <f>IF(B185="","",IFERROR(INDEX(OCC_TABLE_DESC,MATCH(B185,OCC_TABLE_CODE,0)),"Unrecognized code"))</f>
        <v/>
      </c>
    </row>
    <row r="186">
      <c r="A186" s="703" t="inlineStr">
        <is>
          <t>P095</t>
        </is>
      </c>
      <c r="B186" s="695" t="n">
        <v>386</v>
      </c>
      <c r="C186" s="703" t="inlineStr">
        <is>
          <t>R0086010</t>
        </is>
      </c>
      <c r="D186" s="1195" t="inlineStr">
        <is>
          <t>15413 E 18th Ave</t>
        </is>
      </c>
      <c r="E186" s="703" t="inlineStr">
        <is>
          <t>Aurora</t>
        </is>
      </c>
      <c r="F186" s="703" t="inlineStr">
        <is>
          <t>CO</t>
        </is>
      </c>
      <c r="G186" s="703" t="inlineStr">
        <is>
          <t>Self-Storage</t>
        </is>
      </c>
      <c r="H186" s="1195"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1195"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1132">
        <f>IF(B186="","",IFERROR(INDEX(OCC_TABLE_DESC,MATCH(B186,OCC_TABLE_CODE,0)),"Unrecognized code"))</f>
        <v/>
      </c>
    </row>
    <row r="187">
      <c r="A187" s="703" t="inlineStr">
        <is>
          <t>P096</t>
        </is>
      </c>
      <c r="B187" s="695" t="n">
        <v>407</v>
      </c>
      <c r="C187" s="703" t="inlineStr">
        <is>
          <t>R0083917</t>
        </is>
      </c>
      <c r="D187" s="1195" t="inlineStr">
        <is>
          <t>14701 E 38th Ave</t>
        </is>
      </c>
      <c r="E187" s="703" t="inlineStr">
        <is>
          <t>Aurora</t>
        </is>
      </c>
      <c r="F187" s="703" t="inlineStr">
        <is>
          <t>CO</t>
        </is>
      </c>
      <c r="G187" s="703" t="inlineStr">
        <is>
          <t>Industrial</t>
        </is>
      </c>
      <c r="H187" s="1195"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1195"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1132">
        <f>IF(B187="","",IFERROR(INDEX(OCC_TABLE_DESC,MATCH(B187,OCC_TABLE_CODE,0)),"Unrecognized code"))</f>
        <v/>
      </c>
    </row>
    <row r="188">
      <c r="A188" s="703" t="inlineStr">
        <is>
          <t>P097</t>
        </is>
      </c>
      <c r="B188" s="695" t="n">
        <v>210</v>
      </c>
      <c r="C188" s="703" t="inlineStr">
        <is>
          <t>R0137586</t>
        </is>
      </c>
      <c r="D188" s="1195" t="inlineStr">
        <is>
          <t>7273-7285 E 96th Ave</t>
        </is>
      </c>
      <c r="E188" s="703" t="inlineStr">
        <is>
          <t>Commerce City</t>
        </is>
      </c>
      <c r="F188" s="703" t="inlineStr">
        <is>
          <t>CO</t>
        </is>
      </c>
      <c r="G188" s="703" t="inlineStr">
        <is>
          <t>Industrial</t>
        </is>
      </c>
      <c r="H188" s="1195"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1195"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1132">
        <f>IF(B188="","",IFERROR(INDEX(OCC_TABLE_DESC,MATCH(B188,OCC_TABLE_CODE,0)),"Unrecognized code"))</f>
        <v/>
      </c>
    </row>
    <row r="189">
      <c r="A189" s="703" t="inlineStr">
        <is>
          <t>P098</t>
        </is>
      </c>
      <c r="B189" s="695" t="n">
        <v>210</v>
      </c>
      <c r="C189" s="703" t="inlineStr">
        <is>
          <t>R0187010</t>
        </is>
      </c>
      <c r="D189" s="1195" t="inlineStr">
        <is>
          <t>8020 Steele St</t>
        </is>
      </c>
      <c r="E189" s="703" t="inlineStr">
        <is>
          <t>Denver</t>
        </is>
      </c>
      <c r="F189" s="703" t="inlineStr">
        <is>
          <t>CO</t>
        </is>
      </c>
      <c r="G189" s="703" t="inlineStr">
        <is>
          <t>Industrial</t>
        </is>
      </c>
      <c r="H189" s="1195"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1195"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1132">
        <f>IF(B189="","",IFERROR(INDEX(OCC_TABLE_DESC,MATCH(B189,OCC_TABLE_CODE,0)),"Unrecognized code"))</f>
        <v/>
      </c>
    </row>
    <row r="190">
      <c r="A190" s="703" t="inlineStr">
        <is>
          <t>P099</t>
        </is>
      </c>
      <c r="B190" s="695" t="n">
        <v>210</v>
      </c>
      <c r="C190" s="703" t="inlineStr">
        <is>
          <t>R0111914</t>
        </is>
      </c>
      <c r="D190" s="1195" t="inlineStr">
        <is>
          <t>1963 Jasper St</t>
        </is>
      </c>
      <c r="E190" s="703" t="inlineStr">
        <is>
          <t>Aurora</t>
        </is>
      </c>
      <c r="F190" s="703" t="inlineStr">
        <is>
          <t>CO</t>
        </is>
      </c>
      <c r="G190" s="703" t="inlineStr">
        <is>
          <t>Industrial</t>
        </is>
      </c>
      <c r="H190" s="1195"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1195"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1132">
        <f>IF(B190="","",IFERROR(INDEX(OCC_TABLE_DESC,MATCH(B190,OCC_TABLE_CODE,0)),"Unrecognized code"))</f>
        <v/>
      </c>
    </row>
    <row r="191">
      <c r="A191" s="703" t="inlineStr">
        <is>
          <t>P100</t>
        </is>
      </c>
      <c r="B191" s="695" t="n">
        <v>1332</v>
      </c>
      <c r="C191" s="703" t="inlineStr">
        <is>
          <t>R0111965</t>
        </is>
      </c>
      <c r="D191" s="1195" t="inlineStr">
        <is>
          <t>12101 Grant St</t>
        </is>
      </c>
      <c r="E191" s="703" t="inlineStr">
        <is>
          <t>Thornton</t>
        </is>
      </c>
      <c r="F191" s="703" t="inlineStr">
        <is>
          <t>CO</t>
        </is>
      </c>
      <c r="G191" s="703" t="inlineStr">
        <is>
          <t>Hospitality</t>
        </is>
      </c>
      <c r="H191" s="1195"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1195"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1132">
        <f>IF(B191="","",IFERROR(INDEX(OCC_TABLE_DESC,MATCH(B191,OCC_TABLE_CODE,0)),"Unrecognized code"))</f>
        <v/>
      </c>
    </row>
    <row r="192">
      <c r="A192" s="703" t="inlineStr">
        <is>
          <t>P101</t>
        </is>
      </c>
      <c r="B192" s="695" t="n">
        <v>332</v>
      </c>
      <c r="C192" s="703" t="inlineStr">
        <is>
          <t>R0202410</t>
        </is>
      </c>
      <c r="D192" s="1195" t="inlineStr">
        <is>
          <t>2556 Oswego St</t>
        </is>
      </c>
      <c r="E192" s="703" t="inlineStr">
        <is>
          <t>Aurora</t>
        </is>
      </c>
      <c r="F192" s="703" t="inlineStr">
        <is>
          <t>CO</t>
        </is>
      </c>
      <c r="G192" s="703" t="inlineStr">
        <is>
          <t>Hospitality</t>
        </is>
      </c>
      <c r="H192" s="1195"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1195"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1132">
        <f>IF(B192="","",IFERROR(INDEX(OCC_TABLE_DESC,MATCH(B192,OCC_TABLE_CODE,0)),"Unrecognized code"))</f>
        <v/>
      </c>
    </row>
    <row r="193">
      <c r="A193" s="703" t="inlineStr">
        <is>
          <t>P102</t>
        </is>
      </c>
      <c r="B193" s="695" t="n">
        <v>332</v>
      </c>
      <c r="C193" s="703" t="inlineStr">
        <is>
          <t>R0024498</t>
        </is>
      </c>
      <c r="D193" s="1195" t="inlineStr">
        <is>
          <t>83 E 120th Ave</t>
        </is>
      </c>
      <c r="E193" s="703" t="inlineStr">
        <is>
          <t>Thornton</t>
        </is>
      </c>
      <c r="F193" s="703" t="inlineStr">
        <is>
          <t>CO</t>
        </is>
      </c>
      <c r="G193" s="703" t="inlineStr">
        <is>
          <t>Hospitality</t>
        </is>
      </c>
      <c r="H193" s="1195"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1195"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1132">
        <f>IF(B193="","",IFERROR(INDEX(OCC_TABLE_DESC,MATCH(B193,OCC_TABLE_CODE,0)),"Unrecognized code"))</f>
        <v/>
      </c>
    </row>
    <row r="194">
      <c r="A194" s="703" t="inlineStr">
        <is>
          <t>P103</t>
        </is>
      </c>
      <c r="B194" s="695" t="n">
        <v>407</v>
      </c>
      <c r="C194" s="703" t="inlineStr">
        <is>
          <t>R0075212</t>
        </is>
      </c>
      <c r="D194" s="1195" t="inlineStr">
        <is>
          <t>10500 Havana Ct</t>
        </is>
      </c>
      <c r="E194" s="703" t="inlineStr">
        <is>
          <t>Commerce City</t>
        </is>
      </c>
      <c r="F194" s="703" t="inlineStr">
        <is>
          <t>CO</t>
        </is>
      </c>
      <c r="G194" s="703" t="inlineStr">
        <is>
          <t>Industrial</t>
        </is>
      </c>
      <c r="H194" s="1195"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1195" t="inlineStr">
        <is>
          <t>I&amp;E Survey 2024; NNN lease; owner-reported; 30,000 SF; no NOI computed (no EGI reported)</t>
        </is>
      </c>
      <c r="AN194">
        <f>IF(AND($B194=Subj_OccCode,Subj_BldgSF&gt;0,ABS($J194-Subj_BldgSF)&lt;=Subj_BldgSF*Subj_SizeTol),ABS($J194-Subj_BldgSF),NA())</f>
        <v/>
      </c>
      <c r="AO194">
        <f>IF(ISNA(AN194),NA(),AN194+ROW()/10000000)</f>
        <v/>
      </c>
      <c r="AR194" s="1132">
        <f>IF(B194="","",IFERROR(INDEX(OCC_TABLE_DESC,MATCH(B194,OCC_TABLE_CODE,0)),"Unrecognized code"))</f>
        <v/>
      </c>
    </row>
    <row r="195">
      <c r="A195" s="703" t="inlineStr">
        <is>
          <t>P089</t>
        </is>
      </c>
      <c r="B195" s="695" t="n">
        <v>407</v>
      </c>
      <c r="C195" s="703" t="inlineStr">
        <is>
          <t>R0180951</t>
        </is>
      </c>
      <c r="D195" s="1195" t="inlineStr">
        <is>
          <t>21200 E 36th Dr</t>
        </is>
      </c>
      <c r="E195" s="703" t="inlineStr">
        <is>
          <t>Aurora</t>
        </is>
      </c>
      <c r="F195" s="703" t="inlineStr">
        <is>
          <t>CO</t>
        </is>
      </c>
      <c r="G195" s="703" t="inlineStr">
        <is>
          <t>Industrial</t>
        </is>
      </c>
      <c r="H195" s="1195"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1195"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1132">
        <f>IF(B195="","",IFERROR(INDEX(OCC_TABLE_DESC,MATCH(B195,OCC_TABLE_CODE,0)),"Unrecognized code"))</f>
        <v/>
      </c>
    </row>
    <row r="196">
      <c r="A196" t="inlineStr">
        <is>
          <t>P104</t>
        </is>
      </c>
      <c r="B196" s="695" t="n">
        <v>210</v>
      </c>
      <c r="C196" t="inlineStr">
        <is>
          <t>R0226379</t>
        </is>
      </c>
      <c r="D196" s="1158" t="inlineStr">
        <is>
          <t>26100 E 68th Ave</t>
        </is>
      </c>
      <c r="E196" t="inlineStr">
        <is>
          <t>Aurora</t>
        </is>
      </c>
      <c r="F196" t="inlineStr">
        <is>
          <t>CO</t>
        </is>
      </c>
      <c r="G196" t="inlineStr">
        <is>
          <t>Industrial</t>
        </is>
      </c>
      <c r="H196" s="1158"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s="1158"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1132">
        <f>IF(B196="","",IFERROR(INDEX(OCC_TABLE_DESC,MATCH(B196,OCC_TABLE_CODE,0)),"Unrecognized code"))</f>
        <v/>
      </c>
    </row>
    <row r="197">
      <c r="A197" t="inlineStr">
        <is>
          <t>P104</t>
        </is>
      </c>
      <c r="B197" s="695" t="n">
        <v>210</v>
      </c>
      <c r="C197" t="inlineStr">
        <is>
          <t>R0226379</t>
        </is>
      </c>
      <c r="D197" s="1158" t="inlineStr">
        <is>
          <t>26100 E 68th Ave</t>
        </is>
      </c>
      <c r="E197" t="inlineStr">
        <is>
          <t>Aurora</t>
        </is>
      </c>
      <c r="F197" t="inlineStr">
        <is>
          <t>CO</t>
        </is>
      </c>
      <c r="G197" t="inlineStr">
        <is>
          <t>Industrial</t>
        </is>
      </c>
      <c r="H197" s="1158"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s="1158"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1132">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sheetPr>
    <tabColor rgb="00D97706"/>
    <outlinePr summaryBelow="1" summaryRight="1"/>
    <pageSetUpPr/>
  </sheetPr>
  <dimension ref="A1:AM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4" customWidth="1" min="13" max="13"/>
    <col width="11.28515625" customWidth="1" min="14" max="14"/>
    <col width="11" customWidth="1" min="15" max="15"/>
    <col width="13" customWidth="1" min="16" max="16"/>
    <col width="13" customWidth="1" min="17" max="17"/>
    <col width="16" customWidth="1" min="18" max="18"/>
    <col width="13" customWidth="1" min="19" max="19"/>
    <col width="22" customWidth="1" min="20" max="20"/>
    <col width="10" customWidth="1" min="21" max="21"/>
    <col width="19" customWidth="1" min="22" max="22"/>
    <col width="21" customWidth="1" min="23" max="23"/>
    <col width="25" customWidth="1" min="24" max="24"/>
    <col width="11" customWidth="1" min="25" max="25"/>
    <col width="7" customWidth="1" min="26" max="26"/>
    <col width="11" customWidth="1" min="27" max="27"/>
    <col width="13" customWidth="1" min="28" max="28"/>
    <col width="21" customWidth="1" min="29" max="29"/>
    <col width="15" customWidth="1" min="30" max="30"/>
    <col width="10" customWidth="1" min="31" max="31"/>
    <col width="17" customWidth="1" min="32" max="32"/>
    <col width="20" customWidth="1" min="33" max="33"/>
    <col width="25" customWidth="1" min="34" max="34"/>
    <col width="19" customWidth="1" min="35" max="35"/>
    <col width="25" customWidth="1" min="36" max="36"/>
    <col width="11" customWidth="1" min="37" max="37"/>
    <col width="16" customWidth="1" min="38" max="38"/>
    <col width="52" customWidth="1" min="39" max="39"/>
  </cols>
  <sheetData>
    <row r="1" ht="20.1" customHeight="1">
      <c r="A1" s="1140" t="inlineStr">
        <is>
          <t>COMMERCIAL PROPERTY EXPENSE DATABASE - PSF SUMMARY  ($/SF)</t>
        </is>
      </c>
    </row>
    <row r="2" ht="14.1" customHeight="1">
      <c r="A2" s="1227" t="inlineStr">
        <is>
          <t>Figures in $/SF of building area  |  Rows with no BldgSF show raw dollar amounts flagged [NO SF]  |  Text/ID fields copied from Expense Database</t>
        </is>
      </c>
    </row>
    <row r="3" ht="32.1" customHeight="1">
      <c r="A3" s="1141" t="inlineStr">
        <is>
          <t>Prop ID</t>
        </is>
      </c>
      <c r="B3" s="1131" t="inlineStr">
        <is>
          <t>Occ Code</t>
        </is>
      </c>
      <c r="C3" s="1141" t="inlineStr">
        <is>
          <t>Account #</t>
        </is>
      </c>
      <c r="D3" s="1196" t="inlineStr">
        <is>
          <t>Address</t>
        </is>
      </c>
      <c r="E3" s="1141" t="inlineStr">
        <is>
          <t>City</t>
        </is>
      </c>
      <c r="F3" s="1141" t="inlineStr">
        <is>
          <t>State</t>
        </is>
      </c>
      <c r="G3" s="1141" t="inlineStr">
        <is>
          <t>Prop Type</t>
        </is>
      </c>
      <c r="H3" s="1196" t="inlineStr">
        <is>
          <t>Subtype</t>
        </is>
      </c>
      <c r="I3" s="1141" t="inlineStr">
        <is>
          <t>Year Built</t>
        </is>
      </c>
      <c r="J3" s="1141" t="inlineStr">
        <is>
          <t>Bldg SF</t>
        </is>
      </c>
      <c r="K3" s="1141" t="inlineStr">
        <is>
          <t>Year</t>
        </is>
      </c>
      <c r="L3" s="1141" t="inlineStr">
        <is>
          <t>Gross Rental Income</t>
        </is>
      </c>
      <c r="M3" s="1141" t="inlineStr">
        <is>
          <t>Other Income</t>
        </is>
      </c>
      <c r="N3" s="1141" t="inlineStr">
        <is>
          <t>EGI</t>
        </is>
      </c>
      <c r="O3" s="1141" t="inlineStr">
        <is>
          <t>Insurance</t>
        </is>
      </c>
      <c r="P3" s="1141" t="inlineStr">
        <is>
          <t>Mgmt/Admin</t>
        </is>
      </c>
      <c r="Q3" s="1141" t="inlineStr">
        <is>
          <t>Plumbing R&amp;M</t>
        </is>
      </c>
      <c r="R3" s="1141" t="inlineStr">
        <is>
          <t>Electrical R&amp;M</t>
        </is>
      </c>
      <c r="S3" s="1141" t="inlineStr">
        <is>
          <t>Exterior R&amp;M</t>
        </is>
      </c>
      <c r="T3" s="1141" t="inlineStr">
        <is>
          <t>Fire/Life Safety R&amp;M</t>
        </is>
      </c>
      <c r="U3" s="1141" t="inlineStr">
        <is>
          <t>HVAC R&amp;M</t>
        </is>
      </c>
      <c r="V3" s="1141" t="inlineStr">
        <is>
          <t>Interior Unit R&amp;M</t>
        </is>
      </c>
      <c r="W3" s="1141" t="inlineStr">
        <is>
          <t>Interior Common R&amp;M</t>
        </is>
      </c>
      <c r="X3" s="1141" t="inlineStr">
        <is>
          <t>General Maint &amp; Repairs</t>
        </is>
      </c>
      <c r="Y3" s="1141" t="inlineStr">
        <is>
          <t>Total R&amp;M</t>
        </is>
      </c>
      <c r="Z3" s="1141" t="inlineStr">
        <is>
          <t>Trash</t>
        </is>
      </c>
      <c r="AA3" s="1141" t="inlineStr">
        <is>
          <t>Landscape</t>
        </is>
      </c>
      <c r="AB3" s="1141" t="inlineStr">
        <is>
          <t>Snow Removal</t>
        </is>
      </c>
      <c r="AC3" s="1141" t="inlineStr">
        <is>
          <t>Total Contract Svcs</t>
        </is>
      </c>
      <c r="AD3" s="1141" t="inlineStr">
        <is>
          <t>Water &amp; Sewer</t>
        </is>
      </c>
      <c r="AE3" s="1141" t="inlineStr">
        <is>
          <t>Electric</t>
        </is>
      </c>
      <c r="AF3" s="1141" t="inlineStr">
        <is>
          <t>Total Utilities</t>
        </is>
      </c>
      <c r="AG3" s="1141" t="inlineStr">
        <is>
          <t>Other/Admin (Misc)</t>
        </is>
      </c>
      <c r="AH3" s="1141" t="inlineStr">
        <is>
          <t>Total OPX excl RE Taxes</t>
        </is>
      </c>
      <c r="AI3" s="1141" t="inlineStr">
        <is>
          <t>Real Estate Taxes</t>
        </is>
      </c>
      <c r="AJ3" s="1141" t="inlineStr">
        <is>
          <t>Total OPX incl RE Taxes</t>
        </is>
      </c>
      <c r="AK3" s="1141" t="inlineStr">
        <is>
          <t>NOI</t>
        </is>
      </c>
      <c r="AL3" s="1141" t="inlineStr">
        <is>
          <t>CapEx (non-op)</t>
        </is>
      </c>
      <c r="AM3" s="1196" t="inlineStr">
        <is>
          <t>Notes</t>
        </is>
      </c>
    </row>
    <row r="4" ht="14.1" customHeight="1">
      <c r="A4" s="1228" t="inlineStr">
        <is>
          <t>P001</t>
        </is>
      </c>
      <c r="B4" s="695" t="n">
        <v>407</v>
      </c>
      <c r="C4" s="1228" t="inlineStr">
        <is>
          <t>R0157664</t>
        </is>
      </c>
      <c r="D4" s="1229" t="inlineStr">
        <is>
          <t>6045 E. 76th Avenue</t>
        </is>
      </c>
      <c r="E4" s="1228" t="inlineStr">
        <is>
          <t>Commerce City</t>
        </is>
      </c>
      <c r="F4" s="1228" t="inlineStr">
        <is>
          <t>CO</t>
        </is>
      </c>
      <c r="G4" s="1228" t="inlineStr">
        <is>
          <t>Light Industrial</t>
        </is>
      </c>
      <c r="H4" s="1229" t="inlineStr">
        <is>
          <t>Distribution Warehouse</t>
        </is>
      </c>
      <c r="I4" s="1230" t="n">
        <v>1988</v>
      </c>
      <c r="J4" s="1230" t="n">
        <v>21000</v>
      </c>
      <c r="K4" s="1230" t="n">
        <v>2021</v>
      </c>
      <c r="L4" s="1231" t="n">
        <v>13.465</v>
      </c>
      <c r="M4" s="1231" t="n">
        <v>0.3034</v>
      </c>
      <c r="N4" s="1231" t="n">
        <v>13.7684</v>
      </c>
      <c r="O4" s="1231" t="n">
        <v>0.233</v>
      </c>
      <c r="P4" s="1231" t="n">
        <v>0</v>
      </c>
      <c r="Q4" s="1231" t="n">
        <v>0.0545</v>
      </c>
      <c r="R4" s="1231" t="n">
        <v>0</v>
      </c>
      <c r="S4" s="1231" t="n">
        <v>0.0095</v>
      </c>
      <c r="T4" s="1231" t="n">
        <v>0</v>
      </c>
      <c r="U4" s="1231" t="n">
        <v>0.0133</v>
      </c>
      <c r="V4" s="1231" t="n">
        <v>0.0403</v>
      </c>
      <c r="W4" s="1231" t="n">
        <v>0.1392</v>
      </c>
      <c r="X4" s="1231" t="n">
        <v>0</v>
      </c>
      <c r="Y4" s="1231" t="n">
        <v>0.2567</v>
      </c>
      <c r="Z4" s="1231" t="n">
        <v>0.3195</v>
      </c>
      <c r="AA4" s="1231" t="n">
        <v>0.1845</v>
      </c>
      <c r="AB4" s="1231" t="n">
        <v>0.0414</v>
      </c>
      <c r="AC4" s="1231" t="n">
        <v>0.5455</v>
      </c>
      <c r="AD4" s="1231" t="n">
        <v>0.1593</v>
      </c>
      <c r="AE4" s="1231" t="n">
        <v>0.0309</v>
      </c>
      <c r="AF4" s="1231" t="n">
        <v>0.1901</v>
      </c>
      <c r="AG4" s="1231" t="n">
        <v>0.0363</v>
      </c>
      <c r="AH4" s="1231" t="n">
        <v>1.2626</v>
      </c>
      <c r="AI4" s="1231" t="n">
        <v>2.2983</v>
      </c>
      <c r="AJ4" s="1231" t="n">
        <v>3.5609</v>
      </c>
      <c r="AK4" s="1231" t="n">
        <v>10.2075</v>
      </c>
      <c r="AL4" s="1231" t="n">
        <v>0.1258</v>
      </c>
      <c r="AM4" s="1229" t="inlineStr">
        <is>
          <t>2021: other income = damages $2,392 + misc $3,863 + interest $117</t>
        </is>
      </c>
    </row>
    <row r="5" ht="14.1" customHeight="1">
      <c r="A5" s="696" t="inlineStr">
        <is>
          <t>P001</t>
        </is>
      </c>
      <c r="B5" s="695" t="n">
        <v>407</v>
      </c>
      <c r="C5" s="696" t="inlineStr">
        <is>
          <t>R0157664</t>
        </is>
      </c>
      <c r="D5" s="1195" t="inlineStr">
        <is>
          <t>6045 E. 76th Avenue</t>
        </is>
      </c>
      <c r="E5" s="696" t="inlineStr">
        <is>
          <t>Commerce City</t>
        </is>
      </c>
      <c r="F5" s="696" t="inlineStr">
        <is>
          <t>CO</t>
        </is>
      </c>
      <c r="G5" s="696" t="inlineStr">
        <is>
          <t>Light Industrial</t>
        </is>
      </c>
      <c r="H5" s="1195"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1195" t="inlineStr">
        <is>
          <t>2022: other income = damages $500 + misc $2,500; CapEx unit interior</t>
        </is>
      </c>
    </row>
    <row r="6" ht="14.1" customHeight="1">
      <c r="A6" s="1228" t="inlineStr">
        <is>
          <t>P001</t>
        </is>
      </c>
      <c r="B6" s="695" t="n">
        <v>407</v>
      </c>
      <c r="C6" s="1228" t="inlineStr">
        <is>
          <t>R0157664</t>
        </is>
      </c>
      <c r="D6" s="1229" t="inlineStr">
        <is>
          <t>6045 E. 76th Avenue</t>
        </is>
      </c>
      <c r="E6" s="1228" t="inlineStr">
        <is>
          <t>Commerce City</t>
        </is>
      </c>
      <c r="F6" s="1228" t="inlineStr">
        <is>
          <t>CO</t>
        </is>
      </c>
      <c r="G6" s="1228" t="inlineStr">
        <is>
          <t>Light Industrial</t>
        </is>
      </c>
      <c r="H6" s="1229" t="inlineStr">
        <is>
          <t>Distribution Warehouse</t>
        </is>
      </c>
      <c r="I6" s="1230" t="n">
        <v>1988</v>
      </c>
      <c r="J6" s="1230" t="n">
        <v>21000</v>
      </c>
      <c r="K6" s="1230" t="n">
        <v>2023</v>
      </c>
      <c r="L6" s="1231" t="n">
        <v>12.2</v>
      </c>
      <c r="M6" s="1231" t="n">
        <v>0</v>
      </c>
      <c r="N6" s="1231" t="n">
        <v>12.2</v>
      </c>
      <c r="O6" s="1231" t="n">
        <v>0.2794</v>
      </c>
      <c r="P6" s="1231" t="n">
        <v>0.0381</v>
      </c>
      <c r="Q6" s="1231" t="n">
        <v>0.0521</v>
      </c>
      <c r="R6" s="1231" t="n">
        <v>0.0471</v>
      </c>
      <c r="S6" s="1231" t="n">
        <v>0</v>
      </c>
      <c r="T6" s="1231" t="n">
        <v>0.1843</v>
      </c>
      <c r="U6" s="1231" t="n">
        <v>0.0229</v>
      </c>
      <c r="V6" s="1231" t="n">
        <v>0.0294</v>
      </c>
      <c r="W6" s="1231" t="n">
        <v>0</v>
      </c>
      <c r="X6" s="1231" t="n">
        <v>0.0229</v>
      </c>
      <c r="Y6" s="1231" t="n">
        <v>0.3587</v>
      </c>
      <c r="Z6" s="1231" t="n">
        <v>0.4553</v>
      </c>
      <c r="AA6" s="1231" t="n">
        <v>0.1048</v>
      </c>
      <c r="AB6" s="1231" t="n">
        <v>0.1333</v>
      </c>
      <c r="AC6" s="1231" t="n">
        <v>0.6934</v>
      </c>
      <c r="AD6" s="1231" t="n">
        <v>0.3387</v>
      </c>
      <c r="AE6" s="1231" t="n">
        <v>0.0362</v>
      </c>
      <c r="AF6" s="1231" t="n">
        <v>0.3749</v>
      </c>
      <c r="AG6" s="1231" t="n">
        <v>0.0285</v>
      </c>
      <c r="AH6" s="1231" t="n">
        <v>1.5216</v>
      </c>
      <c r="AI6" s="1231" t="n">
        <v>2.8565</v>
      </c>
      <c r="AJ6" s="1231" t="n">
        <v>4.378</v>
      </c>
      <c r="AK6" s="1231" t="n">
        <v>7.822</v>
      </c>
      <c r="AL6" s="1231" t="n">
        <v>0</v>
      </c>
      <c r="AM6" s="1232" t="n"/>
    </row>
    <row r="7" ht="14.1" customHeight="1">
      <c r="A7" s="696" t="inlineStr">
        <is>
          <t>P001</t>
        </is>
      </c>
      <c r="B7" s="695" t="n">
        <v>407</v>
      </c>
      <c r="C7" s="696" t="inlineStr">
        <is>
          <t>R0157664</t>
        </is>
      </c>
      <c r="D7" s="1195" t="inlineStr">
        <is>
          <t>6045 E. 76th Avenue</t>
        </is>
      </c>
      <c r="E7" s="696" t="inlineStr">
        <is>
          <t>Commerce City</t>
        </is>
      </c>
      <c r="F7" s="696" t="inlineStr">
        <is>
          <t>CO</t>
        </is>
      </c>
      <c r="G7" s="696" t="inlineStr">
        <is>
          <t>Light Industrial</t>
        </is>
      </c>
      <c r="H7" s="1195"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1142" t="inlineStr">
        <is>
          <t>P002</t>
        </is>
      </c>
      <c r="B8" s="695" t="n">
        <v>344</v>
      </c>
      <c r="C8" s="1142" t="inlineStr">
        <is>
          <t>Unknown</t>
        </is>
      </c>
      <c r="D8" s="1198" t="inlineStr">
        <is>
          <t>13659 E. 104th Ave</t>
        </is>
      </c>
      <c r="E8" s="1142" t="inlineStr">
        <is>
          <t>Adams County</t>
        </is>
      </c>
      <c r="F8" s="1142" t="inlineStr">
        <is>
          <t>CO</t>
        </is>
      </c>
      <c r="G8" s="1142" t="inlineStr">
        <is>
          <t>Office/Commercial</t>
        </is>
      </c>
      <c r="H8" s="1198" t="inlineStr">
        <is>
          <t>Multi-tenant</t>
        </is>
      </c>
      <c r="I8" s="1143" t="n"/>
      <c r="J8" s="1143" t="n"/>
      <c r="K8" s="1143" t="n">
        <v>2023</v>
      </c>
      <c r="L8" s="1142" t="n"/>
      <c r="M8" s="1142" t="n"/>
      <c r="N8" s="1144" t="n">
        <v>258808</v>
      </c>
      <c r="O8" s="1144" t="n">
        <v>3292</v>
      </c>
      <c r="P8" s="1144" t="n">
        <v>18539</v>
      </c>
      <c r="Q8" s="1142" t="n"/>
      <c r="R8" s="1142" t="n"/>
      <c r="S8" s="1142" t="n"/>
      <c r="T8" s="1142" t="n"/>
      <c r="U8" s="1142" t="n"/>
      <c r="V8" s="1142" t="n"/>
      <c r="W8" s="1142" t="n"/>
      <c r="X8" s="1144" t="n">
        <v>24750</v>
      </c>
      <c r="Y8" s="1144" t="n">
        <v>24750</v>
      </c>
      <c r="Z8" s="1142" t="n"/>
      <c r="AA8" s="1144" t="n">
        <v>13331</v>
      </c>
      <c r="AB8" s="1142" t="n"/>
      <c r="AC8" s="1144" t="n">
        <v>13331</v>
      </c>
      <c r="AD8" s="1142" t="n"/>
      <c r="AE8" s="1142" t="n"/>
      <c r="AF8" s="1144" t="n">
        <v>3990</v>
      </c>
      <c r="AG8" s="1144" t="n">
        <v>11264</v>
      </c>
      <c r="AH8" s="1144" t="n">
        <v>75327</v>
      </c>
      <c r="AI8" s="1144" t="n">
        <v>51707</v>
      </c>
      <c r="AJ8" s="1144" t="n">
        <v>127034</v>
      </c>
      <c r="AK8" s="1144" t="n">
        <v>131774</v>
      </c>
      <c r="AL8" s="1142" t="n"/>
      <c r="AM8" s="1198" t="inlineStr">
        <is>
          <t>[NO SF] Insurance: $3,292; Mgmt fee $13,242 + asset mgmt $5,297; Professional svcs $11,264; actuals from BAA operating statement</t>
        </is>
      </c>
    </row>
    <row r="9" ht="14.1" customHeight="1">
      <c r="A9" s="1142" t="inlineStr">
        <is>
          <t>P002</t>
        </is>
      </c>
      <c r="B9" s="695" t="n">
        <v>344</v>
      </c>
      <c r="C9" s="1142" t="inlineStr">
        <is>
          <t>Unknown</t>
        </is>
      </c>
      <c r="D9" s="1198" t="inlineStr">
        <is>
          <t>13659 E. 104th Ave</t>
        </is>
      </c>
      <c r="E9" s="1142" t="inlineStr">
        <is>
          <t>Adams County</t>
        </is>
      </c>
      <c r="F9" s="1142" t="inlineStr">
        <is>
          <t>CO</t>
        </is>
      </c>
      <c r="G9" s="1142" t="inlineStr">
        <is>
          <t>Office/Commercial</t>
        </is>
      </c>
      <c r="H9" s="1198" t="inlineStr">
        <is>
          <t>Multi-tenant</t>
        </is>
      </c>
      <c r="I9" s="1143" t="n"/>
      <c r="J9" s="1143" t="n"/>
      <c r="K9" s="1143" t="n">
        <v>2024</v>
      </c>
      <c r="L9" s="1142" t="n"/>
      <c r="M9" s="1142" t="n"/>
      <c r="N9" s="1144" t="n">
        <v>264959</v>
      </c>
      <c r="O9" s="1144" t="n">
        <v>7442</v>
      </c>
      <c r="P9" s="1144" t="n">
        <v>18228</v>
      </c>
      <c r="Q9" s="1142" t="n"/>
      <c r="R9" s="1142" t="n"/>
      <c r="S9" s="1142" t="n"/>
      <c r="T9" s="1142" t="n"/>
      <c r="U9" s="1142" t="n"/>
      <c r="V9" s="1142" t="n"/>
      <c r="W9" s="1142" t="n"/>
      <c r="X9" s="1144" t="n">
        <v>37394</v>
      </c>
      <c r="Y9" s="1144" t="n">
        <v>37394</v>
      </c>
      <c r="Z9" s="1142" t="n"/>
      <c r="AA9" s="1144" t="n">
        <v>11888</v>
      </c>
      <c r="AB9" s="1142" t="n"/>
      <c r="AC9" s="1144" t="n">
        <v>11888</v>
      </c>
      <c r="AD9" s="1142" t="n"/>
      <c r="AE9" s="1142" t="n"/>
      <c r="AF9" s="1144" t="n">
        <v>5290</v>
      </c>
      <c r="AG9" s="1144" t="n">
        <v>13341</v>
      </c>
      <c r="AH9" s="1144" t="n">
        <v>93583</v>
      </c>
      <c r="AI9" s="1144" t="n">
        <v>44649</v>
      </c>
      <c r="AJ9" s="1144" t="n">
        <v>138232</v>
      </c>
      <c r="AK9" s="1144" t="n">
        <v>126727</v>
      </c>
      <c r="AL9" s="1142" t="n"/>
      <c r="AM9" s="1198" t="inlineStr">
        <is>
          <t>[NO SF] Insurance $7,442; Mgmt fee $13,020 + asset mgmt $5,208; Prof svcs $13,341; Utilities: gas/elec $1,091 + water/sewer $4,199</t>
        </is>
      </c>
    </row>
    <row r="10" ht="14.1" customHeight="1">
      <c r="A10" s="1142" t="inlineStr">
        <is>
          <t>P003</t>
        </is>
      </c>
      <c r="B10" s="695" t="n">
        <v>344</v>
      </c>
      <c r="C10" s="1142" t="inlineStr">
        <is>
          <t>R0024063</t>
        </is>
      </c>
      <c r="D10" s="1198" t="inlineStr">
        <is>
          <t>Park Centre - Wells Fargo Bldg</t>
        </is>
      </c>
      <c r="E10" s="1142" t="inlineStr">
        <is>
          <t>Westminster</t>
        </is>
      </c>
      <c r="F10" s="1142" t="inlineStr">
        <is>
          <t>CO</t>
        </is>
      </c>
      <c r="G10" s="1142" t="inlineStr">
        <is>
          <t>Office</t>
        </is>
      </c>
      <c r="H10" s="1198" t="inlineStr">
        <is>
          <t>Class B Multi-tenant</t>
        </is>
      </c>
      <c r="I10" s="1143" t="n"/>
      <c r="J10" s="1143" t="n">
        <v>49479</v>
      </c>
      <c r="K10" s="1143" t="n">
        <v>2023</v>
      </c>
      <c r="L10" s="1146" t="n">
        <v>20.5729</v>
      </c>
      <c r="M10" s="1146" t="n">
        <v>1.8912</v>
      </c>
      <c r="N10" s="1146" t="n">
        <v>22.4641</v>
      </c>
      <c r="O10" s="1142" t="n"/>
      <c r="P10" s="1142" t="n"/>
      <c r="Q10" s="1142" t="n"/>
      <c r="R10" s="1142" t="n"/>
      <c r="S10" s="1142" t="n"/>
      <c r="T10" s="1142" t="n"/>
      <c r="U10" s="1142" t="n"/>
      <c r="V10" s="1142" t="n"/>
      <c r="W10" s="1142" t="n"/>
      <c r="X10" s="1142" t="n"/>
      <c r="Y10" s="1142" t="n"/>
      <c r="Z10" s="1142" t="n"/>
      <c r="AA10" s="1142" t="n"/>
      <c r="AB10" s="1142" t="n"/>
      <c r="AC10" s="1142" t="n"/>
      <c r="AD10" s="1142" t="n"/>
      <c r="AE10" s="1142" t="n"/>
      <c r="AF10" s="1142" t="n"/>
      <c r="AG10" s="1142" t="n"/>
      <c r="AH10" s="1146" t="n">
        <v>9.165100000000001</v>
      </c>
      <c r="AI10" s="1146" t="n">
        <v>3.7364</v>
      </c>
      <c r="AJ10" s="1146" t="n">
        <v>12.9015</v>
      </c>
      <c r="AK10" s="1146" t="n">
        <v>9.5626</v>
      </c>
      <c r="AL10" s="1142" t="n"/>
      <c r="AM10" s="1198" t="inlineStr">
        <is>
          <t>Westfield managed; recoveries $49,658 + other $43,917 = $93,575; OpEx BT per PROFORMA REVISED.xlsx</t>
        </is>
      </c>
    </row>
    <row r="11" ht="14.1" customHeight="1">
      <c r="A11" s="1142" t="inlineStr">
        <is>
          <t>P003</t>
        </is>
      </c>
      <c r="B11" s="695" t="n">
        <v>344</v>
      </c>
      <c r="C11" s="1142" t="inlineStr">
        <is>
          <t>R0024063</t>
        </is>
      </c>
      <c r="D11" s="1198" t="inlineStr">
        <is>
          <t>Park Centre - Wells Fargo Bldg</t>
        </is>
      </c>
      <c r="E11" s="1142" t="inlineStr">
        <is>
          <t>Westminster</t>
        </is>
      </c>
      <c r="F11" s="1142" t="inlineStr">
        <is>
          <t>CO</t>
        </is>
      </c>
      <c r="G11" s="1142" t="inlineStr">
        <is>
          <t>Office</t>
        </is>
      </c>
      <c r="H11" s="1198" t="inlineStr">
        <is>
          <t>Class B Multi-tenant</t>
        </is>
      </c>
      <c r="I11" s="1143" t="n"/>
      <c r="J11" s="1143" t="n">
        <v>49479</v>
      </c>
      <c r="K11" s="1143" t="n">
        <v>2024</v>
      </c>
      <c r="L11" s="1146" t="n">
        <v>19.0796</v>
      </c>
      <c r="M11" s="1146" t="n">
        <v>1.5757</v>
      </c>
      <c r="N11" s="1146" t="n">
        <v>20.6553</v>
      </c>
      <c r="O11" s="1142" t="n"/>
      <c r="P11" s="1142" t="n"/>
      <c r="Q11" s="1142" t="n"/>
      <c r="R11" s="1142" t="n"/>
      <c r="S11" s="1142" t="n"/>
      <c r="T11" s="1142" t="n"/>
      <c r="U11" s="1142" t="n"/>
      <c r="V11" s="1142" t="n"/>
      <c r="W11" s="1142" t="n"/>
      <c r="X11" s="1142" t="n"/>
      <c r="Y11" s="1142" t="n"/>
      <c r="Z11" s="1142" t="n"/>
      <c r="AA11" s="1142" t="n"/>
      <c r="AB11" s="1142" t="n"/>
      <c r="AC11" s="1142" t="n"/>
      <c r="AD11" s="1142" t="n"/>
      <c r="AE11" s="1142" t="n"/>
      <c r="AF11" s="1142" t="n"/>
      <c r="AG11" s="1142" t="n"/>
      <c r="AH11" s="1146" t="n">
        <v>9.867599999999999</v>
      </c>
      <c r="AI11" s="1146" t="n">
        <v>3.6292</v>
      </c>
      <c r="AJ11" s="1146" t="n">
        <v>13.4968</v>
      </c>
      <c r="AK11" s="1146" t="n">
        <v>7.1585</v>
      </c>
      <c r="AL11" s="1142" t="n"/>
      <c r="AM11" s="1198" t="inlineStr">
        <is>
          <t>Recoveries $21,696 + other $56,266; OpEx BT per PROFORMA REVISED.xlsx; NOI decline reflects higher vacancy</t>
        </is>
      </c>
    </row>
    <row r="12" ht="14.1" customHeight="1">
      <c r="A12" s="1228" t="inlineStr">
        <is>
          <t>P004</t>
        </is>
      </c>
      <c r="B12" s="695" t="n">
        <v>412</v>
      </c>
      <c r="C12" s="1228" t="inlineStr">
        <is>
          <t>R0050221</t>
        </is>
      </c>
      <c r="D12" s="1229" t="inlineStr">
        <is>
          <t>8860 Federal Blvd</t>
        </is>
      </c>
      <c r="E12" s="1228" t="inlineStr">
        <is>
          <t>Adams County</t>
        </is>
      </c>
      <c r="F12" s="1228" t="inlineStr">
        <is>
          <t>CO</t>
        </is>
      </c>
      <c r="G12" s="1228" t="inlineStr">
        <is>
          <t>Retail</t>
        </is>
      </c>
      <c r="H12" s="1229" t="inlineStr">
        <is>
          <t>Strip/Multi-tenant</t>
        </is>
      </c>
      <c r="I12" s="1230" t="n"/>
      <c r="J12" s="1230" t="n">
        <v>65850</v>
      </c>
      <c r="K12" s="1230" t="n">
        <v>2023</v>
      </c>
      <c r="L12" s="1228" t="n"/>
      <c r="M12" s="1228" t="n"/>
      <c r="N12" s="1231" t="n">
        <v>8.6678</v>
      </c>
      <c r="O12" s="1228" t="n"/>
      <c r="P12" s="1228" t="n"/>
      <c r="Q12" s="1228" t="n"/>
      <c r="R12" s="1228" t="n"/>
      <c r="S12" s="1228" t="n"/>
      <c r="T12" s="1228" t="n"/>
      <c r="U12" s="1228" t="n"/>
      <c r="V12" s="1228" t="n"/>
      <c r="W12" s="1228" t="n"/>
      <c r="X12" s="1228" t="n"/>
      <c r="Y12" s="1228" t="n"/>
      <c r="Z12" s="1228" t="n"/>
      <c r="AA12" s="1228" t="n"/>
      <c r="AB12" s="1228" t="n"/>
      <c r="AC12" s="1228" t="n"/>
      <c r="AD12" s="1228" t="n"/>
      <c r="AE12" s="1228" t="n"/>
      <c r="AF12" s="1228" t="n"/>
      <c r="AG12" s="1228" t="n"/>
      <c r="AH12" s="1228" t="n"/>
      <c r="AI12" s="1231" t="n">
        <v>1.1238</v>
      </c>
      <c r="AJ12" s="1231" t="n">
        <v>4.0992</v>
      </c>
      <c r="AK12" s="1231" t="n">
        <v>4.5686</v>
      </c>
      <c r="AL12" s="1228" t="n"/>
      <c r="AM12" s="1229" t="inlineStr">
        <is>
          <t>RE Tax estimated ~$74k (2023 not detailed); Total OpEx per actuals submission; NOI confirmed</t>
        </is>
      </c>
    </row>
    <row r="13" ht="14.1" customHeight="1">
      <c r="A13" s="696" t="inlineStr">
        <is>
          <t>P004</t>
        </is>
      </c>
      <c r="B13" s="695" t="n">
        <v>412</v>
      </c>
      <c r="C13" s="696" t="inlineStr">
        <is>
          <t>R0050221</t>
        </is>
      </c>
      <c r="D13" s="1195" t="inlineStr">
        <is>
          <t>8860 Federal Blvd</t>
        </is>
      </c>
      <c r="E13" s="696" t="inlineStr">
        <is>
          <t>Adams County</t>
        </is>
      </c>
      <c r="F13" s="696" t="inlineStr">
        <is>
          <t>CO</t>
        </is>
      </c>
      <c r="G13" s="696" t="inlineStr">
        <is>
          <t>Retail</t>
        </is>
      </c>
      <c r="H13" s="1195"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1195" t="inlineStr">
        <is>
          <t>Detailed 2024 actuals; R&amp;M includes CAM component $261; insurance unusually high at $51,223; drainage/lighting included in Other</t>
        </is>
      </c>
    </row>
    <row r="14" ht="14.1" customHeight="1">
      <c r="A14" s="1142" t="inlineStr">
        <is>
          <t>P005</t>
        </is>
      </c>
      <c r="B14" s="695" t="n">
        <v>344</v>
      </c>
      <c r="C14" s="1142" t="inlineStr">
        <is>
          <t>R0050977</t>
        </is>
      </c>
      <c r="D14" s="1198" t="inlineStr">
        <is>
          <t>9351 Grant St (Horizon Terrace)</t>
        </is>
      </c>
      <c r="E14" s="1142" t="inlineStr">
        <is>
          <t>Thornton</t>
        </is>
      </c>
      <c r="F14" s="1142" t="inlineStr">
        <is>
          <t>CO</t>
        </is>
      </c>
      <c r="G14" s="1142" t="inlineStr">
        <is>
          <t>Office</t>
        </is>
      </c>
      <c r="H14" s="1198" t="inlineStr">
        <is>
          <t>Class B Multi-story</t>
        </is>
      </c>
      <c r="I14" s="1143" t="n"/>
      <c r="J14" s="1143" t="n">
        <v>91646</v>
      </c>
      <c r="K14" s="1143" t="n">
        <v>2023</v>
      </c>
      <c r="L14" s="1146" t="n">
        <v>21.9536</v>
      </c>
      <c r="M14" s="1146" t="n">
        <v>2.4799</v>
      </c>
      <c r="N14" s="1146" t="n">
        <v>24.4335</v>
      </c>
      <c r="O14" s="1146" t="n">
        <v>0.2665</v>
      </c>
      <c r="P14" s="1146" t="n">
        <v>1.4405</v>
      </c>
      <c r="Q14" s="1142" t="n"/>
      <c r="R14" s="1142" t="n"/>
      <c r="S14" s="1142" t="n"/>
      <c r="T14" s="1142" t="n"/>
      <c r="U14" s="1142" t="n"/>
      <c r="V14" s="1142" t="n"/>
      <c r="W14" s="1142" t="n"/>
      <c r="X14" s="1146" t="n">
        <v>1.5772</v>
      </c>
      <c r="Y14" s="1146" t="n">
        <v>1.5772</v>
      </c>
      <c r="Z14" s="1142" t="n"/>
      <c r="AA14" s="1146" t="n">
        <v>1.1869</v>
      </c>
      <c r="AB14" s="1146" t="n">
        <v>0.7112000000000001</v>
      </c>
      <c r="AC14" s="1146" t="n">
        <v>2.9825</v>
      </c>
      <c r="AD14" s="1146" t="n">
        <v>0.1611</v>
      </c>
      <c r="AE14" s="1146" t="n">
        <v>2.4615</v>
      </c>
      <c r="AF14" s="1146" t="n">
        <v>2.6226</v>
      </c>
      <c r="AG14" s="1146" t="n">
        <v>0.3593</v>
      </c>
      <c r="AH14" s="1146" t="n">
        <v>9.229100000000001</v>
      </c>
      <c r="AI14" s="1146" t="n">
        <v>4.0592</v>
      </c>
      <c r="AJ14" s="1146" t="n">
        <v>13.2884</v>
      </c>
      <c r="AK14" s="1146" t="n">
        <v>11.1451</v>
      </c>
      <c r="AL14" s="1142" t="n"/>
      <c r="AM14" s="1198" t="inlineStr">
        <is>
          <t>Full-service office: janitorial $164,559 in contract total; security/life safety $29,726 in Other; landscape incl snow $65,183; 2023 actuals confirmed</t>
        </is>
      </c>
    </row>
    <row r="15" ht="14.1" customHeight="1">
      <c r="A15" s="1142" t="inlineStr">
        <is>
          <t>P005</t>
        </is>
      </c>
      <c r="B15" s="695" t="n">
        <v>344</v>
      </c>
      <c r="C15" s="1142" t="inlineStr">
        <is>
          <t>R0050977</t>
        </is>
      </c>
      <c r="D15" s="1198" t="inlineStr">
        <is>
          <t>9351 Grant St (Horizon Terrace)</t>
        </is>
      </c>
      <c r="E15" s="1142" t="inlineStr">
        <is>
          <t>Thornton</t>
        </is>
      </c>
      <c r="F15" s="1142" t="inlineStr">
        <is>
          <t>CO</t>
        </is>
      </c>
      <c r="G15" s="1142" t="inlineStr">
        <is>
          <t>Office</t>
        </is>
      </c>
      <c r="H15" s="1198" t="inlineStr">
        <is>
          <t>Class B Multi-story</t>
        </is>
      </c>
      <c r="I15" s="1143" t="n"/>
      <c r="J15" s="1143" t="n">
        <v>91646</v>
      </c>
      <c r="K15" s="1143" t="n">
        <v>2024</v>
      </c>
      <c r="L15" s="1146" t="n">
        <v>22.3966</v>
      </c>
      <c r="M15" s="1146" t="n">
        <v>2.9417</v>
      </c>
      <c r="N15" s="1146" t="n">
        <v>25.3383</v>
      </c>
      <c r="O15" s="1146" t="n">
        <v>0.2648</v>
      </c>
      <c r="P15" s="1146" t="n">
        <v>1.6305</v>
      </c>
      <c r="Q15" s="1142" t="n"/>
      <c r="R15" s="1142" t="n"/>
      <c r="S15" s="1142" t="n"/>
      <c r="T15" s="1142" t="n"/>
      <c r="U15" s="1142" t="n"/>
      <c r="V15" s="1142" t="n"/>
      <c r="W15" s="1142" t="n"/>
      <c r="X15" s="1146" t="n">
        <v>1.6418</v>
      </c>
      <c r="Y15" s="1146" t="n">
        <v>1.6418</v>
      </c>
      <c r="Z15" s="1142" t="n"/>
      <c r="AA15" s="1146" t="n">
        <v>1.1913</v>
      </c>
      <c r="AB15" s="1142" t="n"/>
      <c r="AC15" s="1146" t="n">
        <v>2.8658</v>
      </c>
      <c r="AD15" s="1142" t="n"/>
      <c r="AE15" s="1142" t="n"/>
      <c r="AF15" s="1146" t="n">
        <v>2.5334</v>
      </c>
      <c r="AG15" s="1146" t="n">
        <v>0.4083</v>
      </c>
      <c r="AH15" s="1146" t="n">
        <v>9.3445</v>
      </c>
      <c r="AI15" s="1146" t="n">
        <v>4.5128</v>
      </c>
      <c r="AJ15" s="1146" t="n">
        <v>13.8574</v>
      </c>
      <c r="AK15" s="1146" t="n">
        <v>11.4809</v>
      </c>
      <c r="AL15" s="1142" t="n"/>
      <c r="AM15" s="1198" t="inlineStr">
        <is>
          <t>2024 actuals; janitorial $153,462 in contract total; security $32,603 in Other; sales/use tax $4,813 in Other</t>
        </is>
      </c>
    </row>
    <row r="16" ht="14.1" customHeight="1">
      <c r="A16" s="1142" t="inlineStr">
        <is>
          <t>P006</t>
        </is>
      </c>
      <c r="B16" s="695" t="n">
        <v>210</v>
      </c>
      <c r="C16" s="1142" t="inlineStr">
        <is>
          <t>R0062937</t>
        </is>
      </c>
      <c r="D16" s="1198" t="inlineStr">
        <is>
          <t>8670 Wolff Ct (Sheridan Park 8)</t>
        </is>
      </c>
      <c r="E16" s="1142" t="inlineStr">
        <is>
          <t>Westminster</t>
        </is>
      </c>
      <c r="F16" s="1142" t="inlineStr">
        <is>
          <t>CO</t>
        </is>
      </c>
      <c r="G16" s="1142" t="inlineStr">
        <is>
          <t>Office/Flex</t>
        </is>
      </c>
      <c r="H16" s="1198" t="inlineStr">
        <is>
          <t>Multi-tenant</t>
        </is>
      </c>
      <c r="I16" s="1143" t="n"/>
      <c r="J16" s="1143" t="n">
        <v>37078</v>
      </c>
      <c r="K16" s="1143" t="n">
        <v>2020</v>
      </c>
      <c r="L16" s="1142" t="n"/>
      <c r="M16" s="1142" t="n"/>
      <c r="N16" s="1142" t="n"/>
      <c r="O16" s="1146" t="n">
        <v>0.1558</v>
      </c>
      <c r="P16" s="1146" t="n">
        <v>0.5259</v>
      </c>
      <c r="Q16" s="1142" t="n"/>
      <c r="R16" s="1142" t="n"/>
      <c r="S16" s="1142" t="n"/>
      <c r="T16" s="1142" t="n"/>
      <c r="U16" s="1142" t="n"/>
      <c r="V16" s="1142" t="n"/>
      <c r="W16" s="1142" t="n"/>
      <c r="X16" s="1142" t="n"/>
      <c r="Y16" s="1142" t="n"/>
      <c r="Z16" s="1142" t="n"/>
      <c r="AA16" s="1142" t="n"/>
      <c r="AB16" s="1142" t="n"/>
      <c r="AC16" s="1146" t="n">
        <v>3.6056</v>
      </c>
      <c r="AD16" s="1142" t="n"/>
      <c r="AE16" s="1142" t="n"/>
      <c r="AF16" s="1146" t="n">
        <v>3.1372</v>
      </c>
      <c r="AG16" s="1142" t="n"/>
      <c r="AH16" s="1146" t="n">
        <v>7.4245</v>
      </c>
      <c r="AI16" s="1146" t="n">
        <v>2.3924</v>
      </c>
      <c r="AJ16" s="1146" t="n">
        <v>9.8169</v>
      </c>
      <c r="AK16" s="1142" t="n"/>
      <c r="AL16" s="1142" t="n"/>
      <c r="AM16" s="1198" t="inlineStr">
        <is>
          <t>Income not available; expense-only from DYCO CAM history; CAM in contract total</t>
        </is>
      </c>
    </row>
    <row r="17" ht="14.1" customHeight="1">
      <c r="A17" s="1142" t="inlineStr">
        <is>
          <t>P006</t>
        </is>
      </c>
      <c r="B17" s="695" t="n">
        <v>210</v>
      </c>
      <c r="C17" s="1142" t="inlineStr">
        <is>
          <t>R0062937</t>
        </is>
      </c>
      <c r="D17" s="1198" t="inlineStr">
        <is>
          <t>8670 Wolff Ct (Sheridan Park 8)</t>
        </is>
      </c>
      <c r="E17" s="1142" t="inlineStr">
        <is>
          <t>Westminster</t>
        </is>
      </c>
      <c r="F17" s="1142" t="inlineStr">
        <is>
          <t>CO</t>
        </is>
      </c>
      <c r="G17" s="1142" t="inlineStr">
        <is>
          <t>Office/Flex</t>
        </is>
      </c>
      <c r="H17" s="1198" t="inlineStr">
        <is>
          <t>Multi-tenant</t>
        </is>
      </c>
      <c r="I17" s="1143" t="n"/>
      <c r="J17" s="1143" t="n">
        <v>37078</v>
      </c>
      <c r="K17" s="1143" t="n">
        <v>2021</v>
      </c>
      <c r="L17" s="1142" t="n"/>
      <c r="M17" s="1142" t="n"/>
      <c r="N17" s="1142" t="n"/>
      <c r="O17" s="1146" t="n">
        <v>0.1841</v>
      </c>
      <c r="P17" s="1146" t="n">
        <v>0.4855</v>
      </c>
      <c r="Q17" s="1142" t="n"/>
      <c r="R17" s="1142" t="n"/>
      <c r="S17" s="1142" t="n"/>
      <c r="T17" s="1142" t="n"/>
      <c r="U17" s="1142" t="n"/>
      <c r="V17" s="1142" t="n"/>
      <c r="W17" s="1142" t="n"/>
      <c r="X17" s="1142" t="n"/>
      <c r="Y17" s="1142" t="n"/>
      <c r="Z17" s="1142" t="n"/>
      <c r="AA17" s="1142" t="n"/>
      <c r="AB17" s="1142" t="n"/>
      <c r="AC17" s="1146" t="n">
        <v>2.8189</v>
      </c>
      <c r="AD17" s="1142" t="n"/>
      <c r="AE17" s="1142" t="n"/>
      <c r="AF17" s="1146" t="n">
        <v>2.9359</v>
      </c>
      <c r="AG17" s="1142" t="n"/>
      <c r="AH17" s="1146" t="n">
        <v>6.4243</v>
      </c>
      <c r="AI17" s="1146" t="n">
        <v>2.2709</v>
      </c>
      <c r="AJ17" s="1146" t="n">
        <v>8.6952</v>
      </c>
      <c r="AK17" s="1142" t="n"/>
      <c r="AL17" s="1142" t="n"/>
      <c r="AM17" s="1198" t="inlineStr">
        <is>
          <t>Income not available; expense-only from DYCO CAM history</t>
        </is>
      </c>
    </row>
    <row r="18" ht="14.1" customHeight="1">
      <c r="A18" s="1142" t="inlineStr">
        <is>
          <t>P006</t>
        </is>
      </c>
      <c r="B18" s="695" t="n">
        <v>210</v>
      </c>
      <c r="C18" s="1142" t="inlineStr">
        <is>
          <t>R0062937</t>
        </is>
      </c>
      <c r="D18" s="1198" t="inlineStr">
        <is>
          <t>8670 Wolff Ct (Sheridan Park 8)</t>
        </is>
      </c>
      <c r="E18" s="1142" t="inlineStr">
        <is>
          <t>Westminster</t>
        </is>
      </c>
      <c r="F18" s="1142" t="inlineStr">
        <is>
          <t>CO</t>
        </is>
      </c>
      <c r="G18" s="1142" t="inlineStr">
        <is>
          <t>Office/Flex</t>
        </is>
      </c>
      <c r="H18" s="1198" t="inlineStr">
        <is>
          <t>Multi-tenant</t>
        </is>
      </c>
      <c r="I18" s="1143" t="n"/>
      <c r="J18" s="1143" t="n">
        <v>37078</v>
      </c>
      <c r="K18" s="1143" t="n">
        <v>2022</v>
      </c>
      <c r="L18" s="1142" t="n"/>
      <c r="M18" s="1142" t="n"/>
      <c r="N18" s="1142" t="n"/>
      <c r="O18" s="1146" t="n">
        <v>0.2122</v>
      </c>
      <c r="P18" s="1146" t="n">
        <v>0.5651</v>
      </c>
      <c r="Q18" s="1142" t="n"/>
      <c r="R18" s="1142" t="n"/>
      <c r="S18" s="1142" t="n"/>
      <c r="T18" s="1142" t="n"/>
      <c r="U18" s="1142" t="n"/>
      <c r="V18" s="1142" t="n"/>
      <c r="W18" s="1142" t="n"/>
      <c r="X18" s="1142" t="n"/>
      <c r="Y18" s="1142" t="n"/>
      <c r="Z18" s="1142" t="n"/>
      <c r="AA18" s="1142" t="n"/>
      <c r="AB18" s="1142" t="n"/>
      <c r="AC18" s="1146" t="n">
        <v>3.0261</v>
      </c>
      <c r="AD18" s="1142" t="n"/>
      <c r="AE18" s="1142" t="n"/>
      <c r="AF18" s="1146" t="n">
        <v>3.0198</v>
      </c>
      <c r="AG18" s="1142" t="n"/>
      <c r="AH18" s="1146" t="n">
        <v>6.8231</v>
      </c>
      <c r="AI18" s="1146" t="n">
        <v>3.6987</v>
      </c>
      <c r="AJ18" s="1146" t="n">
        <v>10.5219</v>
      </c>
      <c r="AK18" s="1142" t="n"/>
      <c r="AL18" s="1142" t="n"/>
      <c r="AM18" s="1198" t="inlineStr">
        <is>
          <t>Income not available; expense-only from DYCO CAM history; RE Tax jumped from $84k to $137k (reval year)</t>
        </is>
      </c>
    </row>
    <row r="19" ht="14.1" customHeight="1">
      <c r="A19" s="1142" t="inlineStr">
        <is>
          <t>P006</t>
        </is>
      </c>
      <c r="B19" s="695" t="n">
        <v>210</v>
      </c>
      <c r="C19" s="1142" t="inlineStr">
        <is>
          <t>R0062937</t>
        </is>
      </c>
      <c r="D19" s="1198" t="inlineStr">
        <is>
          <t>8670 Wolff Ct (Sheridan Park 8)</t>
        </is>
      </c>
      <c r="E19" s="1142" t="inlineStr">
        <is>
          <t>Westminster</t>
        </is>
      </c>
      <c r="F19" s="1142" t="inlineStr">
        <is>
          <t>CO</t>
        </is>
      </c>
      <c r="G19" s="1142" t="inlineStr">
        <is>
          <t>Office/Flex</t>
        </is>
      </c>
      <c r="H19" s="1198" t="inlineStr">
        <is>
          <t>Multi-tenant</t>
        </is>
      </c>
      <c r="I19" s="1143" t="n"/>
      <c r="J19" s="1143" t="n">
        <v>37078</v>
      </c>
      <c r="K19" s="1143" t="n">
        <v>2023</v>
      </c>
      <c r="L19" s="1142" t="n"/>
      <c r="M19" s="1142" t="n"/>
      <c r="N19" s="1142" t="n"/>
      <c r="O19" s="1146" t="n">
        <v>0.2334</v>
      </c>
      <c r="P19" s="1146" t="n">
        <v>0.4855</v>
      </c>
      <c r="Q19" s="1142" t="n"/>
      <c r="R19" s="1142" t="n"/>
      <c r="S19" s="1142" t="n"/>
      <c r="T19" s="1142" t="n"/>
      <c r="U19" s="1142" t="n"/>
      <c r="V19" s="1142" t="n"/>
      <c r="W19" s="1142" t="n"/>
      <c r="X19" s="1142" t="n"/>
      <c r="Y19" s="1142" t="n"/>
      <c r="Z19" s="1142" t="n"/>
      <c r="AA19" s="1142" t="n"/>
      <c r="AB19" s="1142" t="n"/>
      <c r="AC19" s="1146" t="n">
        <v>3.1419</v>
      </c>
      <c r="AD19" s="1142" t="n"/>
      <c r="AE19" s="1142" t="n"/>
      <c r="AF19" s="1146" t="n">
        <v>3.018</v>
      </c>
      <c r="AG19" s="1142" t="n"/>
      <c r="AH19" s="1146" t="n">
        <v>6.8788</v>
      </c>
      <c r="AI19" s="1146" t="n">
        <v>3.554</v>
      </c>
      <c r="AJ19" s="1146" t="n">
        <v>10.4328</v>
      </c>
      <c r="AK19" s="1142" t="n"/>
      <c r="AL19" s="1142" t="n"/>
      <c r="AM19" s="1198" t="inlineStr">
        <is>
          <t>Income not available; 2023 YTD annualized per DYCO</t>
        </is>
      </c>
    </row>
    <row r="20" ht="14.1" customHeight="1">
      <c r="A20" s="1142" t="inlineStr">
        <is>
          <t>P006</t>
        </is>
      </c>
      <c r="B20" s="695" t="n">
        <v>210</v>
      </c>
      <c r="C20" s="1142" t="inlineStr">
        <is>
          <t>R0062937</t>
        </is>
      </c>
      <c r="D20" s="1198" t="inlineStr">
        <is>
          <t>8670 Wolff Ct (Sheridan Park 8)</t>
        </is>
      </c>
      <c r="E20" s="1142" t="inlineStr">
        <is>
          <t>Westminster</t>
        </is>
      </c>
      <c r="F20" s="1142" t="inlineStr">
        <is>
          <t>CO</t>
        </is>
      </c>
      <c r="G20" s="1142" t="inlineStr">
        <is>
          <t>Office/Flex</t>
        </is>
      </c>
      <c r="H20" s="1198" t="inlineStr">
        <is>
          <t>Multi-tenant</t>
        </is>
      </c>
      <c r="I20" s="1143" t="n"/>
      <c r="J20" s="1143" t="n">
        <v>37078</v>
      </c>
      <c r="K20" s="1143" t="n">
        <v>2024</v>
      </c>
      <c r="L20" s="1142" t="n"/>
      <c r="M20" s="1142" t="n"/>
      <c r="N20" s="1142" t="n"/>
      <c r="O20" s="1146" t="n">
        <v>0.2334</v>
      </c>
      <c r="P20" s="1146" t="n">
        <v>0.5826</v>
      </c>
      <c r="Q20" s="1142" t="n"/>
      <c r="R20" s="1142" t="n"/>
      <c r="S20" s="1142" t="n"/>
      <c r="T20" s="1142" t="n"/>
      <c r="U20" s="1142" t="n"/>
      <c r="V20" s="1142" t="n"/>
      <c r="W20" s="1142" t="n"/>
      <c r="X20" s="1142" t="n"/>
      <c r="Y20" s="1142" t="n"/>
      <c r="Z20" s="1142" t="n"/>
      <c r="AA20" s="1142" t="n"/>
      <c r="AB20" s="1142" t="n"/>
      <c r="AC20" s="1146" t="n">
        <v>3.7703</v>
      </c>
      <c r="AD20" s="1142" t="n"/>
      <c r="AE20" s="1142" t="n"/>
      <c r="AF20" s="1146" t="n">
        <v>3.6217</v>
      </c>
      <c r="AG20" s="1142" t="n"/>
      <c r="AH20" s="1146" t="n">
        <v>8.2079</v>
      </c>
      <c r="AI20" s="1146" t="n">
        <v>3.554</v>
      </c>
      <c r="AJ20" s="1146" t="n">
        <v>11.7619</v>
      </c>
      <c r="AK20" s="1142" t="n"/>
      <c r="AL20" s="1142" t="n"/>
      <c r="AM20" s="1198" t="inlineStr">
        <is>
          <t>Income not available; 2024 actuals per DYCO CAM history</t>
        </is>
      </c>
    </row>
    <row r="21" ht="14.1" customHeight="1">
      <c r="A21" s="1142" t="inlineStr">
        <is>
          <t>P007</t>
        </is>
      </c>
      <c r="B21" s="695" t="n">
        <v>341</v>
      </c>
      <c r="C21" s="1142" t="inlineStr">
        <is>
          <t>R0062944</t>
        </is>
      </c>
      <c r="D21" s="1198" t="inlineStr">
        <is>
          <t>8787 (medical office complex)</t>
        </is>
      </c>
      <c r="E21" s="1142" t="inlineStr">
        <is>
          <t>Adams County</t>
        </is>
      </c>
      <c r="F21" s="1142" t="inlineStr">
        <is>
          <t>CO</t>
        </is>
      </c>
      <c r="G21" s="1142" t="inlineStr">
        <is>
          <t>Medical Office</t>
        </is>
      </c>
      <c r="H21" s="1198" t="inlineStr">
        <is>
          <t>Multi-tenant</t>
        </is>
      </c>
      <c r="I21" s="1143" t="n"/>
      <c r="J21" s="1143" t="n">
        <v>19430</v>
      </c>
      <c r="K21" s="1143" t="n">
        <v>2023</v>
      </c>
      <c r="L21" s="1142" t="n"/>
      <c r="M21" s="1142" t="n"/>
      <c r="N21" s="1146" t="n">
        <v>20.2681</v>
      </c>
      <c r="O21" s="1146" t="n">
        <v>0.4882</v>
      </c>
      <c r="P21" s="1146" t="n">
        <v>0.525</v>
      </c>
      <c r="Q21" s="1142" t="n"/>
      <c r="R21" s="1142" t="n"/>
      <c r="S21" s="1142" t="n"/>
      <c r="T21" s="1142" t="n"/>
      <c r="U21" s="1146" t="n">
        <v>1.1125</v>
      </c>
      <c r="V21" s="1142" t="n"/>
      <c r="W21" s="1142" t="n"/>
      <c r="X21" s="1146" t="n">
        <v>1.365</v>
      </c>
      <c r="Y21" s="1146" t="n">
        <v>1.365</v>
      </c>
      <c r="Z21" s="1146" t="n">
        <v>0.1046</v>
      </c>
      <c r="AA21" s="1146" t="n">
        <v>0.6014</v>
      </c>
      <c r="AB21" s="1146" t="n">
        <v>0.3262</v>
      </c>
      <c r="AC21" s="1146" t="n">
        <v>1.0322</v>
      </c>
      <c r="AD21" s="1146" t="n">
        <v>0.3942</v>
      </c>
      <c r="AE21" s="1146" t="n">
        <v>1.9391</v>
      </c>
      <c r="AF21" s="1146" t="n">
        <v>2.3333</v>
      </c>
      <c r="AG21" s="1146" t="n">
        <v>0.9338</v>
      </c>
      <c r="AH21" s="1146" t="n">
        <v>7.7898</v>
      </c>
      <c r="AI21" s="1146" t="n">
        <v>2.7482</v>
      </c>
      <c r="AJ21" s="1146" t="n">
        <v>10.5379</v>
      </c>
      <c r="AK21" s="1146" t="n">
        <v>9.7302</v>
      </c>
      <c r="AL21" s="1142" t="n"/>
      <c r="AM21" s="1198" t="inlineStr">
        <is>
          <t>HVAC maint $21,615 included in R&amp;M; janitorial $16,418 in Other; professional svcs $1,726 in Other; 2023 actuals</t>
        </is>
      </c>
    </row>
    <row r="22" ht="14.1" customHeight="1">
      <c r="A22" s="1142" t="inlineStr">
        <is>
          <t>P007</t>
        </is>
      </c>
      <c r="B22" s="695" t="n">
        <v>341</v>
      </c>
      <c r="C22" s="1142" t="inlineStr">
        <is>
          <t>R0062944</t>
        </is>
      </c>
      <c r="D22" s="1198" t="inlineStr">
        <is>
          <t>8787 (medical office complex)</t>
        </is>
      </c>
      <c r="E22" s="1142" t="inlineStr">
        <is>
          <t>Adams County</t>
        </is>
      </c>
      <c r="F22" s="1142" t="inlineStr">
        <is>
          <t>CO</t>
        </is>
      </c>
      <c r="G22" s="1142" t="inlineStr">
        <is>
          <t>Medical Office</t>
        </is>
      </c>
      <c r="H22" s="1198" t="inlineStr">
        <is>
          <t>Multi-tenant</t>
        </is>
      </c>
      <c r="I22" s="1143" t="n"/>
      <c r="J22" s="1143" t="n">
        <v>19430</v>
      </c>
      <c r="K22" s="1143" t="n">
        <v>2024</v>
      </c>
      <c r="L22" s="1142" t="n"/>
      <c r="M22" s="1142" t="n"/>
      <c r="N22" s="1146" t="n">
        <v>20.0976</v>
      </c>
      <c r="O22" s="1146" t="n">
        <v>0.7185</v>
      </c>
      <c r="P22" s="1146" t="n">
        <v>1.9878</v>
      </c>
      <c r="Q22" s="1142" t="n"/>
      <c r="R22" s="1142" t="n"/>
      <c r="S22" s="1142" t="n"/>
      <c r="T22" s="1142" t="n"/>
      <c r="U22" s="1146" t="n">
        <v>0.6725</v>
      </c>
      <c r="V22" s="1142" t="n"/>
      <c r="W22" s="1142" t="n"/>
      <c r="X22" s="1146" t="n">
        <v>1.3296</v>
      </c>
      <c r="Y22" s="1146" t="n">
        <v>1.3296</v>
      </c>
      <c r="Z22" s="1146" t="n">
        <v>0.1008</v>
      </c>
      <c r="AA22" s="1146" t="n">
        <v>0.8078</v>
      </c>
      <c r="AB22" s="1146" t="n">
        <v>0.3029</v>
      </c>
      <c r="AC22" s="1146" t="n">
        <v>1.2115</v>
      </c>
      <c r="AD22" s="1146" t="n">
        <v>0.3305</v>
      </c>
      <c r="AE22" s="1146" t="n">
        <v>1.7022</v>
      </c>
      <c r="AF22" s="1146" t="n">
        <v>2.0327</v>
      </c>
      <c r="AG22" s="1146" t="n">
        <v>0.8246</v>
      </c>
      <c r="AH22" s="1146" t="n">
        <v>8.777100000000001</v>
      </c>
      <c r="AI22" s="1146" t="n">
        <v>3.2527</v>
      </c>
      <c r="AJ22" s="1146" t="n">
        <v>12.0299</v>
      </c>
      <c r="AK22" s="1146" t="n">
        <v>8.0678</v>
      </c>
      <c r="AL22" s="1142" t="n"/>
      <c r="AM22" s="1198" t="inlineStr">
        <is>
          <t>Mgmt = CAM portion $10,600 + non-CAM $28,022; janitorial $16,022 in Other; HVAC $13,067 in R&amp;M; 2024 actuals</t>
        </is>
      </c>
    </row>
    <row r="23" ht="14.1" customHeight="1">
      <c r="A23" s="696" t="inlineStr">
        <is>
          <t>P008</t>
        </is>
      </c>
      <c r="B23" s="695" t="n">
        <v>210</v>
      </c>
      <c r="C23" s="696" t="inlineStr">
        <is>
          <t>R0070622</t>
        </is>
      </c>
      <c r="D23" s="1195" t="inlineStr">
        <is>
          <t>460-550 E. 76th Ave (WPC Corporate)</t>
        </is>
      </c>
      <c r="E23" s="696" t="inlineStr">
        <is>
          <t>Adams County</t>
        </is>
      </c>
      <c r="F23" s="696" t="inlineStr">
        <is>
          <t>CO</t>
        </is>
      </c>
      <c r="G23" s="696" t="inlineStr">
        <is>
          <t>Industrial</t>
        </is>
      </c>
      <c r="H23" s="1195"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1195" t="inlineStr">
        <is>
          <t>2024 only; total OPX derived (EGI - NOI); limited line-item detail from scanned actuals; large multi-tenant industrial complex</t>
        </is>
      </c>
    </row>
    <row r="24" ht="14.1" customHeight="1">
      <c r="A24" s="1228" t="inlineStr">
        <is>
          <t>P009</t>
        </is>
      </c>
      <c r="B24" s="695" t="n">
        <v>407</v>
      </c>
      <c r="C24" s="1228" t="inlineStr">
        <is>
          <t>R0075212</t>
        </is>
      </c>
      <c r="D24" s="1229" t="inlineStr">
        <is>
          <t>10500 Havana Court</t>
        </is>
      </c>
      <c r="E24" s="1228" t="inlineStr">
        <is>
          <t>Adams County</t>
        </is>
      </c>
      <c r="F24" s="1228" t="inlineStr">
        <is>
          <t>CO</t>
        </is>
      </c>
      <c r="G24" s="1228" t="inlineStr">
        <is>
          <t>Industrial</t>
        </is>
      </c>
      <c r="H24" s="1229" t="inlineStr">
        <is>
          <t>NNN Single-tenant</t>
        </is>
      </c>
      <c r="I24" s="1230" t="n"/>
      <c r="J24" s="1230" t="n"/>
      <c r="K24" s="1230" t="n">
        <v>2023</v>
      </c>
      <c r="L24" s="1228" t="n"/>
      <c r="M24" s="1228" t="n"/>
      <c r="N24" s="1233" t="n">
        <v>332759</v>
      </c>
      <c r="O24" s="1233" t="n">
        <v>22784</v>
      </c>
      <c r="P24" s="1233" t="n">
        <v>4000</v>
      </c>
      <c r="Q24" s="1228" t="n"/>
      <c r="R24" s="1228" t="n"/>
      <c r="S24" s="1228" t="n"/>
      <c r="T24" s="1228" t="n"/>
      <c r="U24" s="1228" t="n"/>
      <c r="V24" s="1228" t="n"/>
      <c r="W24" s="1228" t="n"/>
      <c r="X24" s="1233" t="n">
        <v>12804</v>
      </c>
      <c r="Y24" s="1233" t="n">
        <v>12804</v>
      </c>
      <c r="Z24" s="1228" t="n"/>
      <c r="AA24" s="1233" t="n">
        <v>6910</v>
      </c>
      <c r="AB24" s="1233" t="n">
        <v>1800</v>
      </c>
      <c r="AC24" s="1233" t="n">
        <v>8710</v>
      </c>
      <c r="AD24" s="1233" t="n">
        <v>2209</v>
      </c>
      <c r="AE24" s="1233" t="n">
        <v>1956</v>
      </c>
      <c r="AF24" s="1233" t="n">
        <v>4165</v>
      </c>
      <c r="AG24" s="1233" t="n">
        <v>8397</v>
      </c>
      <c r="AH24" s="1233" t="n">
        <v>127005</v>
      </c>
      <c r="AI24" s="1233" t="n">
        <v>60552</v>
      </c>
      <c r="AJ24" s="1233" t="n">
        <v>187557</v>
      </c>
      <c r="AK24" s="1233" t="n">
        <v>265550</v>
      </c>
      <c r="AL24" s="1228" t="n"/>
      <c r="AM24" s="1229"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1195" t="inlineStr">
        <is>
          <t>10500 Havana Court</t>
        </is>
      </c>
      <c r="E25" s="696" t="inlineStr">
        <is>
          <t>Adams County</t>
        </is>
      </c>
      <c r="F25" s="696" t="inlineStr">
        <is>
          <t>CO</t>
        </is>
      </c>
      <c r="G25" s="696" t="inlineStr">
        <is>
          <t>Industrial</t>
        </is>
      </c>
      <c r="H25" s="1195"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1195" t="inlineStr">
        <is>
          <t>[NO SF] NNN; depreciation ($52,109) and mortgage interest ($58,574) excluded from NOI; Other includes acctg, dues, inspections; 2024 actuals</t>
        </is>
      </c>
    </row>
    <row r="26" ht="14.1" customHeight="1">
      <c r="A26" s="1228" t="inlineStr">
        <is>
          <t>P010</t>
        </is>
      </c>
      <c r="B26" s="695" t="n">
        <v>210</v>
      </c>
      <c r="C26" s="1228" t="inlineStr">
        <is>
          <t>R0098225</t>
        </is>
      </c>
      <c r="D26" s="1229" t="inlineStr">
        <is>
          <t>Broadway Business Center (7040B Broadway)</t>
        </is>
      </c>
      <c r="E26" s="1228" t="inlineStr">
        <is>
          <t>Denver</t>
        </is>
      </c>
      <c r="F26" s="1228" t="inlineStr">
        <is>
          <t>CO</t>
        </is>
      </c>
      <c r="G26" s="1228" t="inlineStr">
        <is>
          <t>Flex/Industrial</t>
        </is>
      </c>
      <c r="H26" s="1229" t="inlineStr">
        <is>
          <t>Multi-tenant CAM</t>
        </is>
      </c>
      <c r="I26" s="1230" t="n"/>
      <c r="J26" s="1230" t="n">
        <v>105000</v>
      </c>
      <c r="K26" s="1230" t="n">
        <v>2023</v>
      </c>
      <c r="L26" s="1231" t="n">
        <v>7.0284</v>
      </c>
      <c r="M26" s="1231" t="n">
        <v>4.8451</v>
      </c>
      <c r="N26" s="1231" t="n">
        <v>11.8736</v>
      </c>
      <c r="O26" s="1231" t="n">
        <v>0.4657</v>
      </c>
      <c r="P26" s="1231" t="n">
        <v>0.9933999999999999</v>
      </c>
      <c r="Q26" s="1228" t="n"/>
      <c r="R26" s="1228" t="n"/>
      <c r="S26" s="1228" t="n"/>
      <c r="T26" s="1228" t="n"/>
      <c r="U26" s="1228" t="n"/>
      <c r="V26" s="1228" t="n"/>
      <c r="W26" s="1228" t="n"/>
      <c r="X26" s="1231" t="n">
        <v>0.6328</v>
      </c>
      <c r="Y26" s="1231" t="n">
        <v>0.6328</v>
      </c>
      <c r="Z26" s="1231" t="n">
        <v>0.4669</v>
      </c>
      <c r="AA26" s="1231" t="n">
        <v>0.2172</v>
      </c>
      <c r="AB26" s="1231" t="n">
        <v>0.5585</v>
      </c>
      <c r="AC26" s="1231" t="n">
        <v>1.2425</v>
      </c>
      <c r="AD26" s="1231" t="n">
        <v>0.5097</v>
      </c>
      <c r="AE26" s="1228" t="n"/>
      <c r="AF26" s="1231" t="n">
        <v>0.7223000000000001</v>
      </c>
      <c r="AG26" s="1228" t="n"/>
      <c r="AH26" s="1231" t="n">
        <v>4.6141</v>
      </c>
      <c r="AI26" s="1231" t="n">
        <v>2.1859</v>
      </c>
      <c r="AJ26" s="1231" t="n">
        <v>6.8</v>
      </c>
      <c r="AK26" s="1231" t="n">
        <v>5.0762</v>
      </c>
      <c r="AL26" s="1228" t="n"/>
      <c r="AM26" s="1229"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1195" t="inlineStr">
        <is>
          <t>Broadway Business Center (7040B Broadway)</t>
        </is>
      </c>
      <c r="E27" s="696" t="inlineStr">
        <is>
          <t>Denver</t>
        </is>
      </c>
      <c r="F27" s="696" t="inlineStr">
        <is>
          <t>CO</t>
        </is>
      </c>
      <c r="G27" s="696" t="inlineStr">
        <is>
          <t>Flex/Industrial</t>
        </is>
      </c>
      <c r="H27" s="1195"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1195" t="inlineStr">
        <is>
          <t>2024 RE Tax inflated by $111,314 prior-yr catchup; normalized tax ~$425k; parking lot $52,328 in snow/contract; NOI estimated</t>
        </is>
      </c>
    </row>
    <row r="28" ht="14.1" customHeight="1">
      <c r="A28" s="1228" t="inlineStr">
        <is>
          <t>P011</t>
        </is>
      </c>
      <c r="B28" s="695" t="n">
        <v>210</v>
      </c>
      <c r="C28" s="1228" t="inlineStr">
        <is>
          <t>R0103767</t>
        </is>
      </c>
      <c r="D28" s="1229" t="inlineStr">
        <is>
          <t>5650 Washington St (Washington Business Park)</t>
        </is>
      </c>
      <c r="E28" s="1228" t="inlineStr">
        <is>
          <t>Adams County</t>
        </is>
      </c>
      <c r="F28" s="1228" t="inlineStr">
        <is>
          <t>CO</t>
        </is>
      </c>
      <c r="G28" s="1228" t="inlineStr">
        <is>
          <t>Industrial/Flex</t>
        </is>
      </c>
      <c r="H28" s="1229" t="inlineStr">
        <is>
          <t>Multi-tenant</t>
        </is>
      </c>
      <c r="I28" s="1230" t="n"/>
      <c r="J28" s="1230" t="n"/>
      <c r="K28" s="1230" t="n">
        <v>2022</v>
      </c>
      <c r="L28" s="1228" t="n"/>
      <c r="M28" s="1228" t="n"/>
      <c r="N28" s="1233" t="n">
        <v>502006</v>
      </c>
      <c r="O28" s="1233" t="n">
        <v>16872</v>
      </c>
      <c r="P28" s="1233" t="n">
        <v>54025</v>
      </c>
      <c r="Q28" s="1228" t="n"/>
      <c r="R28" s="1228" t="n"/>
      <c r="S28" s="1228" t="n"/>
      <c r="T28" s="1228" t="n"/>
      <c r="U28" s="1228" t="n"/>
      <c r="V28" s="1228" t="n"/>
      <c r="W28" s="1228" t="n"/>
      <c r="X28" s="1233" t="n">
        <v>71762</v>
      </c>
      <c r="Y28" s="1233" t="n">
        <v>71762</v>
      </c>
      <c r="Z28" s="1228" t="n"/>
      <c r="AA28" s="1233" t="n">
        <v>6528</v>
      </c>
      <c r="AB28" s="1228" t="n"/>
      <c r="AC28" s="1233" t="n">
        <v>6528</v>
      </c>
      <c r="AD28" s="1233" t="n">
        <v>4858</v>
      </c>
      <c r="AE28" s="1233" t="n">
        <v>525</v>
      </c>
      <c r="AF28" s="1233" t="n">
        <v>5383</v>
      </c>
      <c r="AG28" s="1228" t="n"/>
      <c r="AH28" s="1233" t="n">
        <v>209625</v>
      </c>
      <c r="AI28" s="1233" t="n">
        <v>64792</v>
      </c>
      <c r="AJ28" s="1233" t="n">
        <v>274417</v>
      </c>
      <c r="AK28" s="1233" t="n">
        <v>227649</v>
      </c>
      <c r="AL28" s="1228" t="n"/>
      <c r="AM28" s="1229"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1195" t="inlineStr">
        <is>
          <t>5650 Washington St (Washington Business Park)</t>
        </is>
      </c>
      <c r="E29" s="696" t="inlineStr">
        <is>
          <t>Adams County</t>
        </is>
      </c>
      <c r="F29" s="696" t="inlineStr">
        <is>
          <t>CO</t>
        </is>
      </c>
      <c r="G29" s="696" t="inlineStr">
        <is>
          <t>Industrial/Flex</t>
        </is>
      </c>
      <c r="H29" s="1195"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1195" t="inlineStr">
        <is>
          <t>[NO SF] No mgmt fee in 2023; R&amp;M higher due to building repairs; gas negligible per statement; 2023 actuals</t>
        </is>
      </c>
    </row>
    <row r="30" ht="14.1" customHeight="1">
      <c r="A30" s="1228" t="inlineStr">
        <is>
          <t>P011</t>
        </is>
      </c>
      <c r="B30" s="695" t="n">
        <v>210</v>
      </c>
      <c r="C30" s="1228" t="inlineStr">
        <is>
          <t>R0103767</t>
        </is>
      </c>
      <c r="D30" s="1229" t="inlineStr">
        <is>
          <t>5650 Washington St (Washington Business Park)</t>
        </is>
      </c>
      <c r="E30" s="1228" t="inlineStr">
        <is>
          <t>Adams County</t>
        </is>
      </c>
      <c r="F30" s="1228" t="inlineStr">
        <is>
          <t>CO</t>
        </is>
      </c>
      <c r="G30" s="1228" t="inlineStr">
        <is>
          <t>Industrial/Flex</t>
        </is>
      </c>
      <c r="H30" s="1229" t="inlineStr">
        <is>
          <t>Multi-tenant</t>
        </is>
      </c>
      <c r="I30" s="1230" t="n"/>
      <c r="J30" s="1230" t="n"/>
      <c r="K30" s="1230" t="n">
        <v>2024</v>
      </c>
      <c r="L30" s="1228" t="n"/>
      <c r="M30" s="1228" t="n"/>
      <c r="N30" s="1233" t="n">
        <v>517234</v>
      </c>
      <c r="O30" s="1233" t="n">
        <v>20795</v>
      </c>
      <c r="P30" s="1228" t="n"/>
      <c r="Q30" s="1228" t="n"/>
      <c r="R30" s="1228" t="n"/>
      <c r="S30" s="1228" t="n"/>
      <c r="T30" s="1228" t="n"/>
      <c r="U30" s="1228" t="n"/>
      <c r="V30" s="1228" t="n"/>
      <c r="W30" s="1228" t="n"/>
      <c r="X30" s="1233" t="n">
        <v>32385</v>
      </c>
      <c r="Y30" s="1233" t="n">
        <v>32385</v>
      </c>
      <c r="Z30" s="1228" t="n"/>
      <c r="AA30" s="1233" t="n">
        <v>4814</v>
      </c>
      <c r="AB30" s="1228" t="n"/>
      <c r="AC30" s="1233" t="n">
        <v>4814</v>
      </c>
      <c r="AD30" s="1233" t="n">
        <v>5690</v>
      </c>
      <c r="AE30" s="1228" t="n"/>
      <c r="AF30" s="1233" t="n">
        <v>5690</v>
      </c>
      <c r="AG30" s="1228" t="n"/>
      <c r="AH30" s="1228" t="n"/>
      <c r="AI30" s="1228" t="n"/>
      <c r="AJ30" s="1233" t="n">
        <v>331645</v>
      </c>
      <c r="AK30" s="1233" t="n">
        <v>185389</v>
      </c>
      <c r="AL30" s="1228" t="n"/>
      <c r="AM30" s="1229" t="inlineStr">
        <is>
          <t>[NO SF] RE Tax not separately identified in 2024 column of operating stmt; total OPX from actuals; NOI confirmed</t>
        </is>
      </c>
    </row>
    <row r="31" ht="14.1" customHeight="1">
      <c r="A31" s="1142" t="inlineStr">
        <is>
          <t>P012</t>
        </is>
      </c>
      <c r="B31" s="695" t="n">
        <v>344</v>
      </c>
      <c r="C31" s="1142" t="inlineStr">
        <is>
          <t>R0124385</t>
        </is>
      </c>
      <c r="D31" s="1198" t="inlineStr">
        <is>
          <t>Unknown (Tax District 555)</t>
        </is>
      </c>
      <c r="E31" s="1142" t="inlineStr">
        <is>
          <t>Adams County</t>
        </is>
      </c>
      <c r="F31" s="1142" t="inlineStr">
        <is>
          <t>CO</t>
        </is>
      </c>
      <c r="G31" s="1142" t="inlineStr">
        <is>
          <t>Office</t>
        </is>
      </c>
      <c r="H31" s="1198" t="inlineStr">
        <is>
          <t>Multi-tenant</t>
        </is>
      </c>
      <c r="I31" s="1143" t="n"/>
      <c r="J31" s="1143" t="n">
        <v>20170</v>
      </c>
      <c r="K31" s="1143" t="n">
        <v>2023</v>
      </c>
      <c r="L31" s="1142" t="n"/>
      <c r="M31" s="1142" t="n"/>
      <c r="N31" s="1146" t="n">
        <v>13.6708</v>
      </c>
      <c r="O31" s="1142" t="n"/>
      <c r="P31" s="1142" t="n"/>
      <c r="Q31" s="1142" t="n"/>
      <c r="R31" s="1142" t="n"/>
      <c r="S31" s="1142" t="n"/>
      <c r="T31" s="1142" t="n"/>
      <c r="U31" s="1142" t="n"/>
      <c r="V31" s="1142" t="n"/>
      <c r="W31" s="1142" t="n"/>
      <c r="X31" s="1142" t="n"/>
      <c r="Y31" s="1142" t="n"/>
      <c r="Z31" s="1142" t="n"/>
      <c r="AA31" s="1142" t="n"/>
      <c r="AB31" s="1142" t="n"/>
      <c r="AC31" s="1142" t="n"/>
      <c r="AD31" s="1142" t="n"/>
      <c r="AE31" s="1142" t="n"/>
      <c r="AF31" s="1142" t="n"/>
      <c r="AG31" s="1142" t="n"/>
      <c r="AH31" s="1146" t="n">
        <v>5.3592</v>
      </c>
      <c r="AI31" s="1146" t="n">
        <v>2.2399</v>
      </c>
      <c r="AJ31" s="1146" t="n">
        <v>7.5992</v>
      </c>
      <c r="AK31" s="1146" t="n">
        <v>8.3116</v>
      </c>
      <c r="AL31" s="1142" t="n"/>
      <c r="AM31" s="1198" t="inlineStr">
        <is>
          <t>Limited line-item detail; totals from PROFORMA BASIS FOR OFFER.xlsx actuals section</t>
        </is>
      </c>
    </row>
    <row r="32" ht="14.1" customHeight="1">
      <c r="A32" s="1142" t="inlineStr">
        <is>
          <t>P012</t>
        </is>
      </c>
      <c r="B32" s="695" t="n">
        <v>344</v>
      </c>
      <c r="C32" s="1142" t="inlineStr">
        <is>
          <t>R0124385</t>
        </is>
      </c>
      <c r="D32" s="1198" t="inlineStr">
        <is>
          <t>Unknown (Tax District 555)</t>
        </is>
      </c>
      <c r="E32" s="1142" t="inlineStr">
        <is>
          <t>Adams County</t>
        </is>
      </c>
      <c r="F32" s="1142" t="inlineStr">
        <is>
          <t>CO</t>
        </is>
      </c>
      <c r="G32" s="1142" t="inlineStr">
        <is>
          <t>Office</t>
        </is>
      </c>
      <c r="H32" s="1198" t="inlineStr">
        <is>
          <t>Multi-tenant</t>
        </is>
      </c>
      <c r="I32" s="1143" t="n"/>
      <c r="J32" s="1143" t="n">
        <v>20170</v>
      </c>
      <c r="K32" s="1143" t="n">
        <v>2024</v>
      </c>
      <c r="L32" s="1142" t="n"/>
      <c r="M32" s="1142" t="n"/>
      <c r="N32" s="1146" t="n">
        <v>14.802</v>
      </c>
      <c r="O32" s="1142" t="n"/>
      <c r="P32" s="1142" t="n"/>
      <c r="Q32" s="1142" t="n"/>
      <c r="R32" s="1142" t="n"/>
      <c r="S32" s="1142" t="n"/>
      <c r="T32" s="1142" t="n"/>
      <c r="U32" s="1142" t="n"/>
      <c r="V32" s="1142" t="n"/>
      <c r="W32" s="1142" t="n"/>
      <c r="X32" s="1142" t="n"/>
      <c r="Y32" s="1142" t="n"/>
      <c r="Z32" s="1142" t="n"/>
      <c r="AA32" s="1142" t="n"/>
      <c r="AB32" s="1142" t="n"/>
      <c r="AC32" s="1142" t="n"/>
      <c r="AD32" s="1142" t="n"/>
      <c r="AE32" s="1142" t="n"/>
      <c r="AF32" s="1142" t="n"/>
      <c r="AG32" s="1142" t="n"/>
      <c r="AH32" s="1146" t="n">
        <v>6.3208</v>
      </c>
      <c r="AI32" s="1146" t="n">
        <v>2.1665</v>
      </c>
      <c r="AJ32" s="1146" t="n">
        <v>9.1814</v>
      </c>
      <c r="AK32" s="1146" t="n">
        <v>8.481199999999999</v>
      </c>
      <c r="AL32" s="1142" t="n"/>
      <c r="AM32" s="1198" t="inlineStr">
        <is>
          <t>CapEx $14,000 non-recurring excluded from OPX; limited line-item detail</t>
        </is>
      </c>
    </row>
    <row r="33" ht="14.1" customHeight="1">
      <c r="A33" s="1142" t="inlineStr">
        <is>
          <t>P013</t>
        </is>
      </c>
      <c r="B33" s="695" t="n">
        <v>353</v>
      </c>
      <c r="C33" s="1142" t="inlineStr">
        <is>
          <t>R0169176</t>
        </is>
      </c>
      <c r="D33" s="1198" t="inlineStr">
        <is>
          <t>Unknown (new const., opened Oct 2023)</t>
        </is>
      </c>
      <c r="E33" s="1142" t="inlineStr">
        <is>
          <t>Adams County</t>
        </is>
      </c>
      <c r="F33" s="1142" t="inlineStr">
        <is>
          <t>CO</t>
        </is>
      </c>
      <c r="G33" s="1142" t="inlineStr">
        <is>
          <t>Retail/Office</t>
        </is>
      </c>
      <c r="H33" s="1198" t="inlineStr">
        <is>
          <t>Multi-tenant</t>
        </is>
      </c>
      <c r="I33" s="1143" t="n">
        <v>2023</v>
      </c>
      <c r="J33" s="1143" t="n"/>
      <c r="K33" s="1143" t="n">
        <v>2023</v>
      </c>
      <c r="L33" s="1144" t="n">
        <v>270793</v>
      </c>
      <c r="M33" s="1144" t="n">
        <v>258323</v>
      </c>
      <c r="N33" s="1144" t="n">
        <v>524533</v>
      </c>
      <c r="O33" s="1144" t="n">
        <v>16865</v>
      </c>
      <c r="P33" s="1144" t="n">
        <v>26496</v>
      </c>
      <c r="Q33" s="1142" t="n"/>
      <c r="R33" s="1142" t="n"/>
      <c r="S33" s="1142" t="n"/>
      <c r="T33" s="1142" t="n"/>
      <c r="U33" s="1142" t="n"/>
      <c r="V33" s="1142" t="n"/>
      <c r="W33" s="1142" t="n"/>
      <c r="X33" s="1144" t="n">
        <v>50972</v>
      </c>
      <c r="Y33" s="1144" t="n">
        <v>50972</v>
      </c>
      <c r="Z33" s="1142" t="n"/>
      <c r="AA33" s="1144" t="n">
        <v>7543</v>
      </c>
      <c r="AB33" s="1142" t="n"/>
      <c r="AC33" s="1144" t="n">
        <v>7543</v>
      </c>
      <c r="AD33" s="1144" t="n">
        <v>4602</v>
      </c>
      <c r="AE33" s="1144" t="n">
        <v>51467</v>
      </c>
      <c r="AF33" s="1144" t="n">
        <v>56069</v>
      </c>
      <c r="AG33" s="1142" t="n"/>
      <c r="AH33" s="1144" t="n">
        <v>157946</v>
      </c>
      <c r="AI33" s="1144" t="n">
        <v>125577</v>
      </c>
      <c r="AJ33" s="1144" t="n">
        <v>283523</v>
      </c>
      <c r="AK33" s="1144" t="n">
        <v>241009</v>
      </c>
      <c r="AL33" s="1142" t="n"/>
      <c r="AM33" s="1198" t="inlineStr">
        <is>
          <t>[NO SF] 2023 partial year (opened Oct 2023); RE Tax high for new construction; gas $3,877 + elec $47,590 in utilities</t>
        </is>
      </c>
    </row>
    <row r="34" ht="14.1" customHeight="1">
      <c r="A34" s="1142" t="inlineStr">
        <is>
          <t>P013</t>
        </is>
      </c>
      <c r="B34" s="695" t="n">
        <v>353</v>
      </c>
      <c r="C34" s="1142" t="inlineStr">
        <is>
          <t>R0169176</t>
        </is>
      </c>
      <c r="D34" s="1198" t="inlineStr">
        <is>
          <t>Unknown (new const., opened Oct 2023)</t>
        </is>
      </c>
      <c r="E34" s="1142" t="inlineStr">
        <is>
          <t>Adams County</t>
        </is>
      </c>
      <c r="F34" s="1142" t="inlineStr">
        <is>
          <t>CO</t>
        </is>
      </c>
      <c r="G34" s="1142" t="inlineStr">
        <is>
          <t>Retail/Office</t>
        </is>
      </c>
      <c r="H34" s="1198" t="inlineStr">
        <is>
          <t>Multi-tenant</t>
        </is>
      </c>
      <c r="I34" s="1143" t="n">
        <v>2023</v>
      </c>
      <c r="J34" s="1143" t="n"/>
      <c r="K34" s="1143" t="n">
        <v>2024</v>
      </c>
      <c r="L34" s="1144" t="n">
        <v>260040</v>
      </c>
      <c r="M34" s="1144" t="n">
        <v>337015</v>
      </c>
      <c r="N34" s="1144" t="n">
        <v>597056</v>
      </c>
      <c r="O34" s="1144" t="n">
        <v>12437</v>
      </c>
      <c r="P34" s="1144" t="n">
        <v>26717</v>
      </c>
      <c r="Q34" s="1142" t="n"/>
      <c r="R34" s="1142" t="n"/>
      <c r="S34" s="1142" t="n"/>
      <c r="T34" s="1142" t="n"/>
      <c r="U34" s="1142" t="n"/>
      <c r="V34" s="1142" t="n"/>
      <c r="W34" s="1142" t="n"/>
      <c r="X34" s="1144" t="n">
        <v>36931</v>
      </c>
      <c r="Y34" s="1144" t="n">
        <v>36931</v>
      </c>
      <c r="Z34" s="1142" t="n"/>
      <c r="AA34" s="1144" t="n">
        <v>27159</v>
      </c>
      <c r="AB34" s="1142" t="n"/>
      <c r="AC34" s="1144" t="n">
        <v>27159</v>
      </c>
      <c r="AD34" s="1144" t="n">
        <v>5043</v>
      </c>
      <c r="AE34" s="1144" t="n">
        <v>54230</v>
      </c>
      <c r="AF34" s="1144" t="n">
        <v>59273</v>
      </c>
      <c r="AG34" s="1142" t="n"/>
      <c r="AH34" s="1144" t="n">
        <v>162518</v>
      </c>
      <c r="AI34" s="1144" t="n">
        <v>156074</v>
      </c>
      <c r="AJ34" s="1144" t="n">
        <v>318592</v>
      </c>
      <c r="AK34" s="1144" t="n">
        <v>278464</v>
      </c>
      <c r="AL34" s="1142" t="n"/>
      <c r="AM34" s="119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1195" t="inlineStr">
        <is>
          <t>Amazon DEN7 Distribution Center</t>
        </is>
      </c>
      <c r="E35" s="696" t="inlineStr">
        <is>
          <t>Aurora</t>
        </is>
      </c>
      <c r="F35" s="696" t="inlineStr">
        <is>
          <t>CO</t>
        </is>
      </c>
      <c r="G35" s="696" t="inlineStr">
        <is>
          <t>Industrial/Distribution</t>
        </is>
      </c>
      <c r="H35" s="1195"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1195" t="inlineStr">
        <is>
          <t>NNN ? expenses = LL CAM billed to Amazon tenant; RE Tax $1.617M dominates; base rent $3.12M; 2023 CAM reconciliation</t>
        </is>
      </c>
    </row>
    <row r="36" ht="14.1" customHeight="1">
      <c r="A36" s="1228" t="inlineStr">
        <is>
          <t>P014</t>
        </is>
      </c>
      <c r="B36" s="695" t="n">
        <v>407</v>
      </c>
      <c r="C36" s="1228" t="inlineStr">
        <is>
          <t>R0198530</t>
        </is>
      </c>
      <c r="D36" s="1229" t="inlineStr">
        <is>
          <t>Amazon DEN7 Distribution Center</t>
        </is>
      </c>
      <c r="E36" s="1228" t="inlineStr">
        <is>
          <t>Aurora</t>
        </is>
      </c>
      <c r="F36" s="1228" t="inlineStr">
        <is>
          <t>CO</t>
        </is>
      </c>
      <c r="G36" s="1228" t="inlineStr">
        <is>
          <t>Industrial/Distribution</t>
        </is>
      </c>
      <c r="H36" s="1229" t="inlineStr">
        <is>
          <t>Single-tenant NNN</t>
        </is>
      </c>
      <c r="I36" s="1230" t="n"/>
      <c r="J36" s="1230" t="n">
        <v>555840</v>
      </c>
      <c r="K36" s="1230" t="n">
        <v>2024</v>
      </c>
      <c r="L36" s="1231" t="n">
        <v>5.7597</v>
      </c>
      <c r="M36" s="1228" t="n"/>
      <c r="N36" s="1231" t="n">
        <v>5.7597</v>
      </c>
      <c r="O36" s="1231" t="n">
        <v>0.1616</v>
      </c>
      <c r="P36" s="1231" t="n">
        <v>0.1152</v>
      </c>
      <c r="Q36" s="1228" t="n"/>
      <c r="R36" s="1228" t="n"/>
      <c r="S36" s="1228" t="n"/>
      <c r="T36" s="1228" t="n"/>
      <c r="U36" s="1228" t="n"/>
      <c r="V36" s="1228" t="n"/>
      <c r="W36" s="1228" t="n"/>
      <c r="X36" s="1228" t="n"/>
      <c r="Y36" s="1228" t="n"/>
      <c r="Z36" s="1228" t="n"/>
      <c r="AA36" s="1228" t="n"/>
      <c r="AB36" s="1231" t="n">
        <v>0.0038</v>
      </c>
      <c r="AC36" s="1231" t="n">
        <v>0.0314</v>
      </c>
      <c r="AD36" s="1228" t="n"/>
      <c r="AE36" s="1228" t="n"/>
      <c r="AF36" s="1231" t="n">
        <v>0.0036</v>
      </c>
      <c r="AG36" s="1228" t="n"/>
      <c r="AH36" s="1231" t="n">
        <v>0.2783</v>
      </c>
      <c r="AI36" s="1231" t="n">
        <v>3.8893</v>
      </c>
      <c r="AJ36" s="1231" t="n">
        <v>4.1677</v>
      </c>
      <c r="AK36" s="1228" t="n"/>
      <c r="AL36" s="1228" t="n"/>
      <c r="AM36" s="1229" t="inlineStr">
        <is>
          <t>NNN; RE Tax $2.162M = $3.89/SF reflecting Adams County assessment increase (+34% YOY); 2024 CAM reconciliation</t>
        </is>
      </c>
    </row>
    <row r="37" ht="14.1" customHeight="1">
      <c r="A37" s="696" t="inlineStr">
        <is>
          <t>P015</t>
        </is>
      </c>
      <c r="B37" s="695" t="n">
        <v>407</v>
      </c>
      <c r="C37" s="696" t="inlineStr">
        <is>
          <t>R0180894</t>
        </is>
      </c>
      <c r="D37" s="1195" t="inlineStr">
        <is>
          <t>1910 N Gun Club Rd</t>
        </is>
      </c>
      <c r="E37" s="696" t="inlineStr">
        <is>
          <t>Aurora</t>
        </is>
      </c>
      <c r="F37" s="696" t="inlineStr">
        <is>
          <t>CO</t>
        </is>
      </c>
      <c r="G37" s="696" t="inlineStr">
        <is>
          <t>Industrial</t>
        </is>
      </c>
      <c r="H37" s="1195"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1195" t="inlineStr">
        <is>
          <t>Actual accrual; security $159,500 in Other</t>
        </is>
      </c>
    </row>
    <row r="38" ht="14.1" customHeight="1">
      <c r="A38" s="1228" t="inlineStr">
        <is>
          <t>P015</t>
        </is>
      </c>
      <c r="B38" s="695" t="n">
        <v>407</v>
      </c>
      <c r="C38" s="1228" t="inlineStr">
        <is>
          <t>R0180894</t>
        </is>
      </c>
      <c r="D38" s="1229" t="inlineStr">
        <is>
          <t>1910 N Gun Club Rd</t>
        </is>
      </c>
      <c r="E38" s="1228" t="inlineStr">
        <is>
          <t>Aurora</t>
        </is>
      </c>
      <c r="F38" s="1228" t="inlineStr">
        <is>
          <t>CO</t>
        </is>
      </c>
      <c r="G38" s="1228" t="inlineStr">
        <is>
          <t>Industrial</t>
        </is>
      </c>
      <c r="H38" s="1229" t="inlineStr">
        <is>
          <t>Distribution Warehouse Multi-Tenant NNN</t>
        </is>
      </c>
      <c r="I38" s="1230" t="n">
        <v>2019</v>
      </c>
      <c r="J38" s="1230" t="n">
        <v>163386</v>
      </c>
      <c r="K38" s="1230" t="n">
        <v>2024</v>
      </c>
      <c r="L38" s="1231" t="n">
        <v>13.1836</v>
      </c>
      <c r="M38" s="1228" t="n"/>
      <c r="N38" s="1231" t="n">
        <v>13.1836</v>
      </c>
      <c r="O38" s="1231" t="n">
        <v>0.2943</v>
      </c>
      <c r="P38" s="1231" t="n">
        <v>0.4581</v>
      </c>
      <c r="Q38" s="1228" t="n"/>
      <c r="R38" s="1228" t="n"/>
      <c r="S38" s="1228" t="n"/>
      <c r="T38" s="1228" t="n"/>
      <c r="U38" s="1228" t="n"/>
      <c r="V38" s="1228" t="n"/>
      <c r="W38" s="1228" t="n"/>
      <c r="X38" s="1228" t="n"/>
      <c r="Y38" s="1231" t="n">
        <v>0.0322</v>
      </c>
      <c r="Z38" s="1228" t="n"/>
      <c r="AA38" s="1231" t="n">
        <v>0.0822</v>
      </c>
      <c r="AB38" s="1231" t="n">
        <v>0.2856</v>
      </c>
      <c r="AC38" s="1228" t="n"/>
      <c r="AD38" s="1228" t="n"/>
      <c r="AE38" s="1228" t="n"/>
      <c r="AF38" s="1231" t="n">
        <v>0.3299</v>
      </c>
      <c r="AG38" s="1231" t="n">
        <v>0.8113</v>
      </c>
      <c r="AH38" s="1231" t="n">
        <v>2.4145</v>
      </c>
      <c r="AI38" s="1231" t="n">
        <v>5.5843</v>
      </c>
      <c r="AJ38" s="1231" t="n">
        <v>7.9988</v>
      </c>
      <c r="AK38" s="1231" t="n">
        <v>5.1848</v>
      </c>
      <c r="AL38" s="1228" t="n"/>
      <c r="AM38" s="1229" t="inlineStr">
        <is>
          <t>Actual accrual; security $132,552 in Other</t>
        </is>
      </c>
    </row>
    <row r="39" ht="14.1" customHeight="1">
      <c r="A39" s="696" t="inlineStr">
        <is>
          <t>P016</t>
        </is>
      </c>
      <c r="B39" s="695" t="n">
        <v>584</v>
      </c>
      <c r="C39" s="696" t="inlineStr">
        <is>
          <t>R0212546/R0212547</t>
        </is>
      </c>
      <c r="D39" s="1195" t="inlineStr">
        <is>
          <t>2780 N Tower Rd</t>
        </is>
      </c>
      <c r="E39" s="696" t="inlineStr">
        <is>
          <t>Aurora</t>
        </is>
      </c>
      <c r="F39" s="696" t="inlineStr">
        <is>
          <t>CO</t>
        </is>
      </c>
      <c r="G39" s="696" t="inlineStr">
        <is>
          <t>Industrial</t>
        </is>
      </c>
      <c r="H39" s="1195"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1195" t="inlineStr">
        <is>
          <t>County proforma only; limited line-item detail available</t>
        </is>
      </c>
    </row>
    <row r="40" ht="14.1" customHeight="1">
      <c r="A40" s="1228" t="inlineStr">
        <is>
          <t>P017</t>
        </is>
      </c>
      <c r="B40" s="695" t="n">
        <v>210</v>
      </c>
      <c r="C40" s="1228" t="inlineStr">
        <is>
          <t>R0098098</t>
        </is>
      </c>
      <c r="D40" s="1229" t="inlineStr">
        <is>
          <t>1445 E 68th Ave</t>
        </is>
      </c>
      <c r="E40" s="1228" t="inlineStr">
        <is>
          <t>Denver</t>
        </is>
      </c>
      <c r="F40" s="1228" t="inlineStr">
        <is>
          <t>CO</t>
        </is>
      </c>
      <c r="G40" s="1228" t="inlineStr">
        <is>
          <t>Industrial</t>
        </is>
      </c>
      <c r="H40" s="1229" t="inlineStr">
        <is>
          <t>Industrial Office Mix</t>
        </is>
      </c>
      <c r="I40" s="1230" t="n">
        <v>1972</v>
      </c>
      <c r="J40" s="1230" t="n">
        <v>63348</v>
      </c>
      <c r="K40" s="1230" t="n">
        <v>2024</v>
      </c>
      <c r="L40" s="1228" t="n"/>
      <c r="M40" s="1228" t="n"/>
      <c r="N40" s="1228" t="n"/>
      <c r="O40" s="1228" t="n"/>
      <c r="P40" s="1228" t="n"/>
      <c r="Q40" s="1228" t="n"/>
      <c r="R40" s="1228" t="n"/>
      <c r="S40" s="1228" t="n"/>
      <c r="T40" s="1228" t="n"/>
      <c r="U40" s="1228" t="n"/>
      <c r="V40" s="1228" t="n"/>
      <c r="W40" s="1228" t="n"/>
      <c r="X40" s="1228" t="n"/>
      <c r="Y40" s="1228" t="n"/>
      <c r="Z40" s="1228" t="n"/>
      <c r="AA40" s="1228" t="n"/>
      <c r="AB40" s="1228" t="n"/>
      <c r="AC40" s="1228" t="n"/>
      <c r="AD40" s="1228" t="n"/>
      <c r="AE40" s="1228" t="n"/>
      <c r="AF40" s="1228" t="n"/>
      <c r="AG40" s="1228" t="n"/>
      <c r="AH40" s="1228" t="n"/>
      <c r="AI40" s="1228" t="n"/>
      <c r="AJ40" s="1228" t="n"/>
      <c r="AK40" s="1228" t="n"/>
      <c r="AL40" s="1228" t="n"/>
      <c r="AM40" s="1229" t="inlineStr">
        <is>
          <t>County proforma 2024; YOC 1972/2006/2023 additions</t>
        </is>
      </c>
    </row>
    <row r="41" ht="14.1" customHeight="1">
      <c r="A41" s="696" t="inlineStr">
        <is>
          <t>P018</t>
        </is>
      </c>
      <c r="B41" s="695" t="n">
        <v>406</v>
      </c>
      <c r="C41" s="696" t="inlineStr">
        <is>
          <t>R0103783</t>
        </is>
      </c>
      <c r="D41" s="1195" t="inlineStr">
        <is>
          <t>2031 E 58th Ave</t>
        </is>
      </c>
      <c r="E41" s="696" t="inlineStr">
        <is>
          <t>Denver</t>
        </is>
      </c>
      <c r="F41" s="696" t="inlineStr">
        <is>
          <t>CO</t>
        </is>
      </c>
      <c r="G41" s="696" t="inlineStr">
        <is>
          <t>Industrial</t>
        </is>
      </c>
      <c r="H41" s="1195"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1195" t="inlineStr">
        <is>
          <t>NNN billed charges; EGI = base rent + NNN pass-throughs</t>
        </is>
      </c>
    </row>
    <row r="42" ht="14.1" customHeight="1">
      <c r="A42" s="1228" t="inlineStr">
        <is>
          <t>P018</t>
        </is>
      </c>
      <c r="B42" s="695" t="n">
        <v>406</v>
      </c>
      <c r="C42" s="1228" t="inlineStr">
        <is>
          <t>R0103783</t>
        </is>
      </c>
      <c r="D42" s="1229" t="inlineStr">
        <is>
          <t>2031 E 58th Ave</t>
        </is>
      </c>
      <c r="E42" s="1228" t="inlineStr">
        <is>
          <t>Denver</t>
        </is>
      </c>
      <c r="F42" s="1228" t="inlineStr">
        <is>
          <t>CO</t>
        </is>
      </c>
      <c r="G42" s="1228" t="inlineStr">
        <is>
          <t>Industrial</t>
        </is>
      </c>
      <c r="H42" s="1229" t="inlineStr">
        <is>
          <t>Storage Warehouse / Mod Office NNN</t>
        </is>
      </c>
      <c r="I42" s="1230" t="n">
        <v>2004</v>
      </c>
      <c r="J42" s="1230" t="n">
        <v>18720</v>
      </c>
      <c r="K42" s="1230" t="n">
        <v>2023</v>
      </c>
      <c r="L42" s="1231" t="n">
        <v>13.0298</v>
      </c>
      <c r="M42" s="1228" t="n"/>
      <c r="N42" s="1231" t="n">
        <v>15.7619</v>
      </c>
      <c r="O42" s="1231" t="n">
        <v>0.2061</v>
      </c>
      <c r="P42" s="1228" t="n"/>
      <c r="Q42" s="1228" t="n"/>
      <c r="R42" s="1228" t="n"/>
      <c r="S42" s="1228" t="n"/>
      <c r="T42" s="1228" t="n"/>
      <c r="U42" s="1228" t="n"/>
      <c r="V42" s="1228" t="n"/>
      <c r="W42" s="1228" t="n"/>
      <c r="X42" s="1228" t="n"/>
      <c r="Y42" s="1228" t="n"/>
      <c r="Z42" s="1228" t="n"/>
      <c r="AA42" s="1228" t="n"/>
      <c r="AB42" s="1228" t="n"/>
      <c r="AC42" s="1231" t="n">
        <v>0.1296</v>
      </c>
      <c r="AD42" s="1228" t="n"/>
      <c r="AE42" s="1228" t="n"/>
      <c r="AF42" s="1228" t="n"/>
      <c r="AG42" s="1228" t="n"/>
      <c r="AH42" s="1231" t="n">
        <v>0.3357</v>
      </c>
      <c r="AI42" s="1231" t="n">
        <v>2.3964</v>
      </c>
      <c r="AJ42" s="1231" t="n">
        <v>2.7321</v>
      </c>
      <c r="AK42" s="1231" t="n">
        <v>13.0298</v>
      </c>
      <c r="AL42" s="1228" t="n"/>
      <c r="AM42" s="1229" t="inlineStr">
        <is>
          <t>NNN billed charges; EGI = base rent + NNN pass-throughs</t>
        </is>
      </c>
    </row>
    <row r="43" ht="14.1" customHeight="1">
      <c r="A43" s="696" t="inlineStr">
        <is>
          <t>P019</t>
        </is>
      </c>
      <c r="B43" s="695" t="n">
        <v>407</v>
      </c>
      <c r="C43" s="696" t="inlineStr">
        <is>
          <t>R0210402/R0210403</t>
        </is>
      </c>
      <c r="D43" s="1195" t="inlineStr">
        <is>
          <t>17190 E 85th Ave</t>
        </is>
      </c>
      <c r="E43" s="696" t="inlineStr">
        <is>
          <t>Commerce City</t>
        </is>
      </c>
      <c r="F43" s="696" t="inlineStr">
        <is>
          <t>CO</t>
        </is>
      </c>
      <c r="G43" s="696" t="inlineStr">
        <is>
          <t>Industrial</t>
        </is>
      </c>
      <c r="H43" s="1195"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1195" t="inlineStr">
        <is>
          <t>Petitioner proforma 2024/25; limited line-item detail</t>
        </is>
      </c>
    </row>
    <row r="44" ht="14.1" customHeight="1">
      <c r="A44" s="1228" t="inlineStr">
        <is>
          <t>P020</t>
        </is>
      </c>
      <c r="B44" s="695" t="n">
        <v>584</v>
      </c>
      <c r="C44" s="1228" t="inlineStr">
        <is>
          <t>R0209679</t>
        </is>
      </c>
      <c r="D44" s="1229" t="inlineStr">
        <is>
          <t>17501 E 84th Ave</t>
        </is>
      </c>
      <c r="E44" s="1228" t="inlineStr">
        <is>
          <t>Commerce City</t>
        </is>
      </c>
      <c r="F44" s="1228" t="inlineStr">
        <is>
          <t>CO</t>
        </is>
      </c>
      <c r="G44" s="1228" t="inlineStr">
        <is>
          <t>Industrial</t>
        </is>
      </c>
      <c r="H44" s="1229" t="inlineStr">
        <is>
          <t>Mega Warehouse / Distribution Center NNN (Lowe's)</t>
        </is>
      </c>
      <c r="I44" s="1230" t="n">
        <v>2021</v>
      </c>
      <c r="J44" s="1230" t="n">
        <v>999780</v>
      </c>
      <c r="K44" s="1230" t="n">
        <v>2023</v>
      </c>
      <c r="L44" s="1231" t="n">
        <v>12.3992</v>
      </c>
      <c r="M44" s="1228" t="n"/>
      <c r="N44" s="1231" t="n">
        <v>12.3992</v>
      </c>
      <c r="O44" s="1231" t="n">
        <v>0.1505</v>
      </c>
      <c r="P44" s="1231" t="n">
        <v>0.1005</v>
      </c>
      <c r="Q44" s="1228" t="n"/>
      <c r="R44" s="1228" t="n"/>
      <c r="S44" s="1228" t="n"/>
      <c r="T44" s="1228" t="n"/>
      <c r="U44" s="1228" t="n"/>
      <c r="V44" s="1228" t="n"/>
      <c r="W44" s="1228" t="n"/>
      <c r="X44" s="1228" t="n"/>
      <c r="Y44" s="1231" t="n">
        <v>0.0533</v>
      </c>
      <c r="Z44" s="1228" t="n"/>
      <c r="AA44" s="1231" t="n">
        <v>0.0508</v>
      </c>
      <c r="AB44" s="1231" t="n">
        <v>0.1178</v>
      </c>
      <c r="AC44" s="1228" t="n"/>
      <c r="AD44" s="1228" t="n"/>
      <c r="AE44" s="1228" t="n"/>
      <c r="AF44" s="1228" t="n"/>
      <c r="AG44" s="1231" t="n">
        <v>0.008399999999999999</v>
      </c>
      <c r="AH44" s="1231" t="n">
        <v>1.355</v>
      </c>
      <c r="AI44" s="1231" t="n">
        <v>4.9234</v>
      </c>
      <c r="AJ44" s="1231" t="n">
        <v>8.2796</v>
      </c>
      <c r="AK44" s="1231" t="n">
        <v>4.1196</v>
      </c>
      <c r="AL44" s="1228" t="n"/>
      <c r="AM44" s="1229" t="inlineStr">
        <is>
          <t>Actual accrual; 2023 NOI inflated ~$2.8M by prior-yr RE tax adj; security in Other</t>
        </is>
      </c>
    </row>
    <row r="45" ht="14.1" customHeight="1">
      <c r="A45" s="696" t="inlineStr">
        <is>
          <t>P020</t>
        </is>
      </c>
      <c r="B45" s="695" t="n">
        <v>584</v>
      </c>
      <c r="C45" s="696" t="inlineStr">
        <is>
          <t>R0209679</t>
        </is>
      </c>
      <c r="D45" s="1195" t="inlineStr">
        <is>
          <t>17501 E 84th Ave</t>
        </is>
      </c>
      <c r="E45" s="696" t="inlineStr">
        <is>
          <t>Commerce City</t>
        </is>
      </c>
      <c r="F45" s="696" t="inlineStr">
        <is>
          <t>CO</t>
        </is>
      </c>
      <c r="G45" s="696" t="inlineStr">
        <is>
          <t>Industrial</t>
        </is>
      </c>
      <c r="H45" s="1195"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1195" t="inlineStr">
        <is>
          <t>Actual accrual; security $30,799 in Other</t>
        </is>
      </c>
    </row>
    <row r="46" ht="14.1" customHeight="1">
      <c r="A46" s="1228" t="inlineStr">
        <is>
          <t>P021</t>
        </is>
      </c>
      <c r="B46" s="695" t="n">
        <v>210</v>
      </c>
      <c r="C46" s="1228" t="inlineStr">
        <is>
          <t>R0091931</t>
        </is>
      </c>
      <c r="D46" s="1229" t="inlineStr">
        <is>
          <t>6300 E. 58th Ave</t>
        </is>
      </c>
      <c r="E46" s="1228" t="inlineStr">
        <is>
          <t>Commerce City</t>
        </is>
      </c>
      <c r="F46" s="1228" t="inlineStr">
        <is>
          <t>CO</t>
        </is>
      </c>
      <c r="G46" s="1228" t="inlineStr">
        <is>
          <t>Industrial</t>
        </is>
      </c>
      <c r="H46" s="1229" t="inlineStr">
        <is>
          <t>Multi-Tenant Industrial/Flex</t>
        </is>
      </c>
      <c r="I46" s="1230" t="n">
        <v>1999</v>
      </c>
      <c r="J46" s="1230" t="n">
        <v>90000</v>
      </c>
      <c r="K46" s="1230" t="n">
        <v>2023</v>
      </c>
      <c r="L46" s="1231" t="n">
        <v>10.5459</v>
      </c>
      <c r="M46" s="1228" t="n"/>
      <c r="N46" s="1231" t="n">
        <v>13.7594</v>
      </c>
      <c r="O46" s="1231" t="n">
        <v>0.176</v>
      </c>
      <c r="P46" s="1231" t="n">
        <v>0.516</v>
      </c>
      <c r="Q46" s="1231" t="n">
        <v>0.0441</v>
      </c>
      <c r="R46" s="1228" t="n"/>
      <c r="S46" s="1231" t="n">
        <v>0.3032</v>
      </c>
      <c r="T46" s="1231" t="n">
        <v>0.0731</v>
      </c>
      <c r="U46" s="1228" t="n"/>
      <c r="V46" s="1228" t="n"/>
      <c r="W46" s="1228" t="n"/>
      <c r="X46" s="1231" t="n">
        <v>0.2579</v>
      </c>
      <c r="Y46" s="1231" t="n">
        <v>0.6783</v>
      </c>
      <c r="Z46" s="1231" t="n">
        <v>0.0103</v>
      </c>
      <c r="AA46" s="1231" t="n">
        <v>0.0531</v>
      </c>
      <c r="AB46" s="1231" t="n">
        <v>0.1252</v>
      </c>
      <c r="AC46" s="1231" t="n">
        <v>0.1886</v>
      </c>
      <c r="AD46" s="1231" t="n">
        <v>0.1574</v>
      </c>
      <c r="AE46" s="1231" t="n">
        <v>0.0621</v>
      </c>
      <c r="AF46" s="1231" t="n">
        <v>0.2196</v>
      </c>
      <c r="AG46" s="1228" t="n"/>
      <c r="AH46" s="1231" t="n">
        <v>1.8054</v>
      </c>
      <c r="AI46" s="1231" t="n">
        <v>3.1511</v>
      </c>
      <c r="AJ46" s="1231" t="n">
        <v>4.9565</v>
      </c>
      <c r="AK46" s="1231" t="n">
        <v>8.802899999999999</v>
      </c>
      <c r="AL46" s="1228" t="n"/>
      <c r="AM46" s="1229" t="inlineStr">
        <is>
          <t>Actual accrual; parking sweep in Trash; admin fees in Mgmt</t>
        </is>
      </c>
    </row>
    <row r="47" ht="14.1" customHeight="1">
      <c r="A47" s="696" t="inlineStr">
        <is>
          <t>P021</t>
        </is>
      </c>
      <c r="B47" s="695" t="n">
        <v>210</v>
      </c>
      <c r="C47" s="696" t="inlineStr">
        <is>
          <t>R0091931</t>
        </is>
      </c>
      <c r="D47" s="1195" t="inlineStr">
        <is>
          <t>6300 E. 58th Ave</t>
        </is>
      </c>
      <c r="E47" s="696" t="inlineStr">
        <is>
          <t>Commerce City</t>
        </is>
      </c>
      <c r="F47" s="696" t="inlineStr">
        <is>
          <t>CO</t>
        </is>
      </c>
      <c r="G47" s="696" t="inlineStr">
        <is>
          <t>Industrial</t>
        </is>
      </c>
      <c r="H47" s="1195"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1195" t="inlineStr">
        <is>
          <t>Actual accrual; snow $14,953 also listed under ext R&amp;M; security/admin in ext maint</t>
        </is>
      </c>
    </row>
    <row r="48" ht="14.1" customHeight="1">
      <c r="A48" s="1228" t="inlineStr">
        <is>
          <t>P022</t>
        </is>
      </c>
      <c r="B48" s="695" t="n">
        <v>210</v>
      </c>
      <c r="C48" s="1228" t="inlineStr">
        <is>
          <t>R0111559</t>
        </is>
      </c>
      <c r="D48" s="1229" t="inlineStr">
        <is>
          <t>3590 N. Himalaya Rd (Bldg 6)</t>
        </is>
      </c>
      <c r="E48" s="1228" t="inlineStr">
        <is>
          <t>Aurora</t>
        </is>
      </c>
      <c r="F48" s="1228" t="inlineStr">
        <is>
          <t>CO</t>
        </is>
      </c>
      <c r="G48" s="1228" t="inlineStr">
        <is>
          <t>Industrial</t>
        </is>
      </c>
      <c r="H48" s="1229" t="inlineStr">
        <is>
          <t>Multi-Tenant Industrial/Flex NNN</t>
        </is>
      </c>
      <c r="I48" s="1230" t="n"/>
      <c r="J48" s="1230" t="n"/>
      <c r="K48" s="1230" t="n">
        <v>2024</v>
      </c>
      <c r="L48" s="1233" t="n">
        <v>548918</v>
      </c>
      <c r="M48" s="1228" t="n"/>
      <c r="N48" s="1233" t="n">
        <v>766859</v>
      </c>
      <c r="O48" s="1233" t="n">
        <v>23025</v>
      </c>
      <c r="P48" s="1228" t="n"/>
      <c r="Q48" s="1228" t="n"/>
      <c r="R48" s="1228" t="n"/>
      <c r="S48" s="1228" t="n"/>
      <c r="T48" s="1228" t="n"/>
      <c r="U48" s="1228" t="n"/>
      <c r="V48" s="1228" t="n"/>
      <c r="W48" s="1228" t="n"/>
      <c r="X48" s="1228" t="n"/>
      <c r="Y48" s="1228" t="n"/>
      <c r="Z48" s="1228" t="n"/>
      <c r="AA48" s="1228" t="n"/>
      <c r="AB48" s="1228" t="n"/>
      <c r="AC48" s="1228" t="n"/>
      <c r="AD48" s="1233" t="n">
        <v>7986</v>
      </c>
      <c r="AE48" s="1233" t="n">
        <v>33669</v>
      </c>
      <c r="AF48" s="1233" t="n">
        <v>41655</v>
      </c>
      <c r="AG48" s="1228" t="n"/>
      <c r="AH48" s="1228" t="n"/>
      <c r="AI48" s="1233" t="n">
        <v>129107</v>
      </c>
      <c r="AJ48" s="1233" t="n">
        <v>250157</v>
      </c>
      <c r="AK48" s="1233" t="n">
        <v>374789</v>
      </c>
      <c r="AL48" s="1228" t="n"/>
      <c r="AM48" s="1229" t="inlineStr">
        <is>
          <t>[NO SF] 2024 only – 2023 was transitional vacancy year; SF not confirmed; approx figures</t>
        </is>
      </c>
    </row>
    <row r="49" ht="14.1" customHeight="1">
      <c r="A49" s="696" t="inlineStr">
        <is>
          <t>P023</t>
        </is>
      </c>
      <c r="B49" s="695" t="n">
        <v>407</v>
      </c>
      <c r="C49" s="696" t="inlineStr">
        <is>
          <t>R0191098</t>
        </is>
      </c>
      <c r="D49" s="1195" t="inlineStr">
        <is>
          <t>19754 E. 35th Dr (Bldg 4)</t>
        </is>
      </c>
      <c r="E49" s="696" t="inlineStr">
        <is>
          <t>Aurora</t>
        </is>
      </c>
      <c r="F49" s="696" t="inlineStr">
        <is>
          <t>CO</t>
        </is>
      </c>
      <c r="G49" s="696" t="inlineStr">
        <is>
          <t>Industrial</t>
        </is>
      </c>
      <c r="H49" s="1195"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1195" t="inlineStr">
        <is>
          <t>NNN; tenant pays most R&amp;M directly; Quality Custom Distribution lease thru 12/31/2029</t>
        </is>
      </c>
    </row>
    <row r="50" ht="14.1" customHeight="1">
      <c r="A50" s="1228" t="inlineStr">
        <is>
          <t>P023</t>
        </is>
      </c>
      <c r="B50" s="695" t="n">
        <v>407</v>
      </c>
      <c r="C50" s="1228" t="inlineStr">
        <is>
          <t>R0191098</t>
        </is>
      </c>
      <c r="D50" s="1229" t="inlineStr">
        <is>
          <t>19754 E. 35th Dr (Bldg 4)</t>
        </is>
      </c>
      <c r="E50" s="1228" t="inlineStr">
        <is>
          <t>Aurora</t>
        </is>
      </c>
      <c r="F50" s="1228" t="inlineStr">
        <is>
          <t>CO</t>
        </is>
      </c>
      <c r="G50" s="1228" t="inlineStr">
        <is>
          <t>Industrial</t>
        </is>
      </c>
      <c r="H50" s="1229" t="inlineStr">
        <is>
          <t>Single-Tenant Industrial NNN</t>
        </is>
      </c>
      <c r="I50" s="1230" t="n"/>
      <c r="J50" s="1230" t="n">
        <v>155033</v>
      </c>
      <c r="K50" s="1230" t="n">
        <v>2024</v>
      </c>
      <c r="L50" s="1231" t="n">
        <v>6.5223</v>
      </c>
      <c r="M50" s="1228" t="n"/>
      <c r="N50" s="1231" t="n">
        <v>6.5223</v>
      </c>
      <c r="O50" s="1231" t="n">
        <v>0.183</v>
      </c>
      <c r="P50" s="1231" t="n">
        <v>0.1894</v>
      </c>
      <c r="Q50" s="1228" t="n"/>
      <c r="R50" s="1228" t="n"/>
      <c r="S50" s="1228" t="n"/>
      <c r="T50" s="1228" t="n"/>
      <c r="U50" s="1228" t="n"/>
      <c r="V50" s="1228" t="n"/>
      <c r="W50" s="1228" t="n"/>
      <c r="X50" s="1228" t="n"/>
      <c r="Y50" s="1228" t="n"/>
      <c r="Z50" s="1228" t="n"/>
      <c r="AA50" s="1228" t="n"/>
      <c r="AB50" s="1228" t="n"/>
      <c r="AC50" s="1228" t="n"/>
      <c r="AD50" s="1231" t="n">
        <v>0.2365</v>
      </c>
      <c r="AE50" s="1231" t="n">
        <v>0.1764</v>
      </c>
      <c r="AF50" s="1231" t="n">
        <v>0.4129</v>
      </c>
      <c r="AG50" s="1228" t="n"/>
      <c r="AH50" s="1231" t="n">
        <v>1.7082</v>
      </c>
      <c r="AI50" s="1231" t="n">
        <v>0.7799</v>
      </c>
      <c r="AJ50" s="1231" t="n">
        <v>2.4881</v>
      </c>
      <c r="AK50" s="1231" t="n">
        <v>4.0342</v>
      </c>
      <c r="AL50" s="1228" t="n"/>
      <c r="AM50" s="1229" t="inlineStr">
        <is>
          <t>NNN; tenant pays most R&amp;M directly</t>
        </is>
      </c>
    </row>
    <row r="51" ht="14.1" customHeight="1">
      <c r="A51" s="696" t="inlineStr">
        <is>
          <t>P024</t>
        </is>
      </c>
      <c r="B51" s="695" t="n">
        <v>407</v>
      </c>
      <c r="C51" s="696" t="inlineStr">
        <is>
          <t>R0111560</t>
        </is>
      </c>
      <c r="D51" s="1195" t="inlineStr">
        <is>
          <t>20320 E. 36th Dr (Bldg 7)</t>
        </is>
      </c>
      <c r="E51" s="696" t="inlineStr">
        <is>
          <t>Aurora</t>
        </is>
      </c>
      <c r="F51" s="696" t="inlineStr">
        <is>
          <t>CO</t>
        </is>
      </c>
      <c r="G51" s="696" t="inlineStr">
        <is>
          <t>Industrial</t>
        </is>
      </c>
      <c r="H51" s="1195"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1195" t="inlineStr">
        <is>
          <t>FedEx NNN thru 4/30/2024; tenant pays nearly all expenses; 2024 excluded (lease expiry vacancy)</t>
        </is>
      </c>
    </row>
    <row r="52" ht="14.1" customHeight="1">
      <c r="A52" s="1228" t="inlineStr">
        <is>
          <t>P025</t>
        </is>
      </c>
      <c r="B52" s="695" t="n">
        <v>210</v>
      </c>
      <c r="C52" s="1228" t="inlineStr">
        <is>
          <t>R0191099</t>
        </is>
      </c>
      <c r="D52" s="1229" t="inlineStr">
        <is>
          <t>3559 N. Himalaya Rd (Bldg 5)</t>
        </is>
      </c>
      <c r="E52" s="1228" t="inlineStr">
        <is>
          <t>Aurora</t>
        </is>
      </c>
      <c r="F52" s="1228" t="inlineStr">
        <is>
          <t>CO</t>
        </is>
      </c>
      <c r="G52" s="1228" t="inlineStr">
        <is>
          <t>Industrial</t>
        </is>
      </c>
      <c r="H52" s="1229" t="inlineStr">
        <is>
          <t>Multi-Tenant Industrial NNN</t>
        </is>
      </c>
      <c r="I52" s="1230" t="n"/>
      <c r="J52" s="1230" t="n">
        <v>159047</v>
      </c>
      <c r="K52" s="1230" t="n">
        <v>2023</v>
      </c>
      <c r="L52" s="1228" t="n"/>
      <c r="M52" s="1228" t="n"/>
      <c r="N52" s="1231" t="n">
        <v>13.4944</v>
      </c>
      <c r="O52" s="1228" t="n"/>
      <c r="P52" s="1231" t="n">
        <v>0.0367</v>
      </c>
      <c r="Q52" s="1228" t="n"/>
      <c r="R52" s="1228" t="n"/>
      <c r="S52" s="1228" t="n"/>
      <c r="T52" s="1228" t="n"/>
      <c r="U52" s="1228" t="n"/>
      <c r="V52" s="1228" t="n"/>
      <c r="W52" s="1228" t="n"/>
      <c r="X52" s="1228" t="n"/>
      <c r="Y52" s="1228" t="n"/>
      <c r="Z52" s="1228" t="n"/>
      <c r="AA52" s="1228" t="n"/>
      <c r="AB52" s="1231" t="n">
        <v>0.0177</v>
      </c>
      <c r="AC52" s="1228" t="n"/>
      <c r="AD52" s="1228" t="n"/>
      <c r="AE52" s="1228" t="n"/>
      <c r="AF52" s="1228" t="n"/>
      <c r="AG52" s="1228" t="n"/>
      <c r="AH52" s="1228" t="n"/>
      <c r="AI52" s="1228" t="n"/>
      <c r="AJ52" s="1231" t="n">
        <v>6.3824</v>
      </c>
      <c r="AK52" s="1231" t="n">
        <v>7.112</v>
      </c>
      <c r="AL52" s="1228" t="n"/>
      <c r="AM52" s="1229" t="inlineStr">
        <is>
          <t>Multi-tenant NNN; limited expense detail available; approx figures</t>
        </is>
      </c>
    </row>
    <row r="53" ht="14.1" customHeight="1">
      <c r="A53" s="696" t="inlineStr">
        <is>
          <t>P025</t>
        </is>
      </c>
      <c r="B53" s="695" t="n">
        <v>210</v>
      </c>
      <c r="C53" s="696" t="inlineStr">
        <is>
          <t>R0191099</t>
        </is>
      </c>
      <c r="D53" s="1195" t="inlineStr">
        <is>
          <t>3559 N. Himalaya Rd (Bldg 5)</t>
        </is>
      </c>
      <c r="E53" s="696" t="inlineStr">
        <is>
          <t>Aurora</t>
        </is>
      </c>
      <c r="F53" s="696" t="inlineStr">
        <is>
          <t>CO</t>
        </is>
      </c>
      <c r="G53" s="696" t="inlineStr">
        <is>
          <t>Industrial</t>
        </is>
      </c>
      <c r="H53" s="1195"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1195" t="inlineStr">
        <is>
          <t>Multi-tenant NNN; limited expense detail available; approx figures</t>
        </is>
      </c>
    </row>
    <row r="54" ht="14.1" customHeight="1">
      <c r="A54" s="1228" t="inlineStr">
        <is>
          <t>P026</t>
        </is>
      </c>
      <c r="B54" s="695" t="n">
        <v>406</v>
      </c>
      <c r="C54" s="1228" t="inlineStr">
        <is>
          <t>R0092667</t>
        </is>
      </c>
      <c r="D54" s="1229" t="inlineStr">
        <is>
          <t>4901 Locust St</t>
        </is>
      </c>
      <c r="E54" s="1228" t="inlineStr">
        <is>
          <t>Commerce City</t>
        </is>
      </c>
      <c r="F54" s="1228" t="inlineStr">
        <is>
          <t>CO</t>
        </is>
      </c>
      <c r="G54" s="1228" t="inlineStr">
        <is>
          <t>Industrial</t>
        </is>
      </c>
      <c r="H54" s="1229" t="inlineStr">
        <is>
          <t>Industrial Warehouse</t>
        </is>
      </c>
      <c r="I54" s="1230" t="n"/>
      <c r="J54" s="1230" t="n">
        <v>29512</v>
      </c>
      <c r="K54" s="1230" t="n">
        <v>2024</v>
      </c>
      <c r="L54" s="1228" t="n"/>
      <c r="M54" s="1228" t="n"/>
      <c r="N54" s="1231" t="n">
        <v>14.2131</v>
      </c>
      <c r="O54" s="1231" t="n">
        <v>0.15</v>
      </c>
      <c r="P54" s="1231" t="n">
        <v>0.3553</v>
      </c>
      <c r="Q54" s="1228" t="n"/>
      <c r="R54" s="1228" t="n"/>
      <c r="S54" s="1228" t="n"/>
      <c r="T54" s="1228" t="n"/>
      <c r="U54" s="1228" t="n"/>
      <c r="V54" s="1228" t="n"/>
      <c r="W54" s="1228" t="n"/>
      <c r="X54" s="1231" t="n">
        <v>0.55</v>
      </c>
      <c r="Y54" s="1231" t="n">
        <v>0.55</v>
      </c>
      <c r="Z54" s="1228" t="n"/>
      <c r="AA54" s="1228" t="n"/>
      <c r="AB54" s="1228" t="n"/>
      <c r="AC54" s="1228" t="n"/>
      <c r="AD54" s="1228" t="n"/>
      <c r="AE54" s="1228" t="n"/>
      <c r="AF54" s="1231" t="n">
        <v>0.25</v>
      </c>
      <c r="AG54" s="1231" t="n">
        <v>0.5</v>
      </c>
      <c r="AH54" s="1231" t="n">
        <v>2.0053</v>
      </c>
      <c r="AI54" s="1231" t="n">
        <v>3.315</v>
      </c>
      <c r="AJ54" s="1231" t="n">
        <v>5.3203</v>
      </c>
      <c r="AK54" s="1231" t="n">
        <v>8.892799999999999</v>
      </c>
      <c r="AL54" s="1231" t="n">
        <v>0.2</v>
      </c>
      <c r="AM54" s="1229" t="inlineStr">
        <is>
          <t>Newmark stabilized proforma 6/30/2024; cap rate 7.00%; not actual historical</t>
        </is>
      </c>
    </row>
    <row r="55" ht="14.1" customHeight="1">
      <c r="A55" s="696" t="inlineStr">
        <is>
          <t>P022</t>
        </is>
      </c>
      <c r="B55" s="695" t="n">
        <v>210</v>
      </c>
      <c r="C55" s="696" t="inlineStr">
        <is>
          <t>R0111559</t>
        </is>
      </c>
      <c r="D55" s="1195" t="inlineStr">
        <is>
          <t>3590 N. Himalaya Rd (Bldg 6)</t>
        </is>
      </c>
      <c r="E55" s="696" t="inlineStr">
        <is>
          <t>Aurora</t>
        </is>
      </c>
      <c r="F55" s="696" t="inlineStr">
        <is>
          <t>CO</t>
        </is>
      </c>
      <c r="G55" s="696" t="inlineStr">
        <is>
          <t>Industrial</t>
        </is>
      </c>
      <c r="H55" s="1195"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1195" t="inlineStr">
        <is>
          <t>NNN landlord expenses only; from AXG Whse Expenses PSF.xlsx</t>
        </is>
      </c>
    </row>
    <row r="56" ht="14.1" customHeight="1">
      <c r="A56" s="1228" t="inlineStr">
        <is>
          <t>P022</t>
        </is>
      </c>
      <c r="B56" s="695" t="n">
        <v>210</v>
      </c>
      <c r="C56" s="1228" t="inlineStr">
        <is>
          <t>R0111559</t>
        </is>
      </c>
      <c r="D56" s="1229" t="inlineStr">
        <is>
          <t>3590 N. Himalaya Rd (Bldg 6)</t>
        </is>
      </c>
      <c r="E56" s="1228" t="inlineStr">
        <is>
          <t>Aurora</t>
        </is>
      </c>
      <c r="F56" s="1228" t="inlineStr">
        <is>
          <t>CO</t>
        </is>
      </c>
      <c r="G56" s="1228" t="inlineStr">
        <is>
          <t>Industrial</t>
        </is>
      </c>
      <c r="H56" s="1229" t="inlineStr">
        <is>
          <t>Multi-Tenant Industrial/Flex NNN</t>
        </is>
      </c>
      <c r="I56" s="1230" t="n">
        <v>1998</v>
      </c>
      <c r="J56" s="1230" t="n">
        <v>123603</v>
      </c>
      <c r="K56" s="1230" t="n">
        <v>2022</v>
      </c>
      <c r="L56" s="1228" t="n"/>
      <c r="M56" s="1228" t="n"/>
      <c r="N56" s="1228" t="n"/>
      <c r="O56" s="1231" t="n">
        <v>0.0893</v>
      </c>
      <c r="P56" s="1231" t="n">
        <v>0.3221</v>
      </c>
      <c r="Q56" s="1228" t="n"/>
      <c r="R56" s="1228" t="n"/>
      <c r="S56" s="1228" t="n"/>
      <c r="T56" s="1228" t="n"/>
      <c r="U56" s="1228" t="n"/>
      <c r="V56" s="1228" t="n"/>
      <c r="W56" s="1228" t="n"/>
      <c r="X56" s="1228" t="n"/>
      <c r="Y56" s="1228" t="n"/>
      <c r="Z56" s="1228" t="n"/>
      <c r="AA56" s="1228" t="n"/>
      <c r="AB56" s="1228" t="n"/>
      <c r="AC56" s="1231" t="n">
        <v>0.7439</v>
      </c>
      <c r="AD56" s="1228" t="n"/>
      <c r="AE56" s="1228" t="n"/>
      <c r="AF56" s="1231" t="n">
        <v>0.3112</v>
      </c>
      <c r="AG56" s="1228" t="n"/>
      <c r="AH56" s="1231" t="n">
        <v>1.4664</v>
      </c>
      <c r="AI56" s="1231" t="n">
        <v>2.5796</v>
      </c>
      <c r="AJ56" s="1231" t="n">
        <v>4.046</v>
      </c>
      <c r="AK56" s="1228" t="n"/>
      <c r="AL56" s="1228" t="n"/>
      <c r="AM56" s="1229" t="inlineStr">
        <is>
          <t>NNN landlord expenses only; from AXG Whse Expenses PSF.xlsx</t>
        </is>
      </c>
    </row>
    <row r="57" ht="14.1" customHeight="1">
      <c r="A57" s="696" t="inlineStr">
        <is>
          <t>P024</t>
        </is>
      </c>
      <c r="B57" s="695" t="n">
        <v>407</v>
      </c>
      <c r="C57" s="696" t="inlineStr">
        <is>
          <t>R0111560</t>
        </is>
      </c>
      <c r="D57" s="1195" t="inlineStr">
        <is>
          <t>20320 E. 36th Dr (Bldg 7)</t>
        </is>
      </c>
      <c r="E57" s="696" t="inlineStr">
        <is>
          <t>Aurora</t>
        </is>
      </c>
      <c r="F57" s="696" t="inlineStr">
        <is>
          <t>CO</t>
        </is>
      </c>
      <c r="G57" s="696" t="inlineStr">
        <is>
          <t>Industrial</t>
        </is>
      </c>
      <c r="H57" s="1195"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1195" t="inlineStr">
        <is>
          <t>NNN landlord expenses only; from AXG Whse Expenses PSF.xlsx</t>
        </is>
      </c>
    </row>
    <row r="58" ht="14.1" customHeight="1">
      <c r="A58" s="1228" t="inlineStr">
        <is>
          <t>P024</t>
        </is>
      </c>
      <c r="B58" s="695" t="n">
        <v>407</v>
      </c>
      <c r="C58" s="1228" t="inlineStr">
        <is>
          <t>R0111560</t>
        </is>
      </c>
      <c r="D58" s="1229" t="inlineStr">
        <is>
          <t>20320 E. 36th Dr (Bldg 7)</t>
        </is>
      </c>
      <c r="E58" s="1228" t="inlineStr">
        <is>
          <t>Aurora</t>
        </is>
      </c>
      <c r="F58" s="1228" t="inlineStr">
        <is>
          <t>CO</t>
        </is>
      </c>
      <c r="G58" s="1228" t="inlineStr">
        <is>
          <t>Industrial</t>
        </is>
      </c>
      <c r="H58" s="1229" t="inlineStr">
        <is>
          <t>Single-Tenant Industrial NNN</t>
        </is>
      </c>
      <c r="I58" s="1230" t="n">
        <v>1998</v>
      </c>
      <c r="J58" s="1230" t="n">
        <v>199962</v>
      </c>
      <c r="K58" s="1230" t="n">
        <v>2020</v>
      </c>
      <c r="L58" s="1228" t="n"/>
      <c r="M58" s="1228" t="n"/>
      <c r="N58" s="1228" t="n"/>
      <c r="O58" s="1231" t="n">
        <v>0.0484</v>
      </c>
      <c r="P58" s="1231" t="n">
        <v>0.1332</v>
      </c>
      <c r="Q58" s="1228" t="n"/>
      <c r="R58" s="1228" t="n"/>
      <c r="S58" s="1228" t="n"/>
      <c r="T58" s="1228" t="n"/>
      <c r="U58" s="1228" t="n"/>
      <c r="V58" s="1228" t="n"/>
      <c r="W58" s="1228" t="n"/>
      <c r="X58" s="1228" t="n"/>
      <c r="Y58" s="1228" t="n"/>
      <c r="Z58" s="1228" t="n"/>
      <c r="AA58" s="1228" t="n"/>
      <c r="AB58" s="1228" t="n"/>
      <c r="AC58" s="1231" t="n">
        <v>0.7242</v>
      </c>
      <c r="AD58" s="1228" t="n"/>
      <c r="AE58" s="1228" t="n"/>
      <c r="AF58" s="1228" t="n"/>
      <c r="AG58" s="1228" t="n"/>
      <c r="AH58" s="1231" t="n">
        <v>0.9058</v>
      </c>
      <c r="AI58" s="1231" t="n">
        <v>2.0784</v>
      </c>
      <c r="AJ58" s="1231" t="n">
        <v>2.9841</v>
      </c>
      <c r="AK58" s="1228" t="n"/>
      <c r="AL58" s="1228" t="n"/>
      <c r="AM58" s="1229" t="inlineStr">
        <is>
          <t>NNN landlord expenses only; from AXG Whse Expenses PSF.xlsx</t>
        </is>
      </c>
    </row>
    <row r="59" ht="14.1" customHeight="1">
      <c r="A59" s="696" t="inlineStr">
        <is>
          <t>P025</t>
        </is>
      </c>
      <c r="B59" s="695" t="n">
        <v>210</v>
      </c>
      <c r="C59" s="696" t="inlineStr">
        <is>
          <t>R0191099</t>
        </is>
      </c>
      <c r="D59" s="1195" t="inlineStr">
        <is>
          <t>3559 N. Himalaya Rd (Bldg 5)</t>
        </is>
      </c>
      <c r="E59" s="696" t="inlineStr">
        <is>
          <t>Aurora</t>
        </is>
      </c>
      <c r="F59" s="696" t="inlineStr">
        <is>
          <t>CO</t>
        </is>
      </c>
      <c r="G59" s="696" t="inlineStr">
        <is>
          <t>Industrial</t>
        </is>
      </c>
      <c r="H59" s="1195"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1195" t="inlineStr">
        <is>
          <t>NNN landlord expenses only; from AXG Whse Expenses PSF.xlsx</t>
        </is>
      </c>
    </row>
    <row r="60" ht="14.1" customHeight="1">
      <c r="A60" s="1228" t="inlineStr">
        <is>
          <t>P025</t>
        </is>
      </c>
      <c r="B60" s="695" t="n">
        <v>210</v>
      </c>
      <c r="C60" s="1228" t="inlineStr">
        <is>
          <t>R0191099</t>
        </is>
      </c>
      <c r="D60" s="1229" t="inlineStr">
        <is>
          <t>3559 N. Himalaya Rd (Bldg 5)</t>
        </is>
      </c>
      <c r="E60" s="1228" t="inlineStr">
        <is>
          <t>Aurora</t>
        </is>
      </c>
      <c r="F60" s="1228" t="inlineStr">
        <is>
          <t>CO</t>
        </is>
      </c>
      <c r="G60" s="1228" t="inlineStr">
        <is>
          <t>Industrial</t>
        </is>
      </c>
      <c r="H60" s="1229" t="inlineStr">
        <is>
          <t>Multi-Tenant Industrial NNN</t>
        </is>
      </c>
      <c r="I60" s="1230" t="n">
        <v>2017</v>
      </c>
      <c r="J60" s="1230" t="n">
        <v>159047</v>
      </c>
      <c r="K60" s="1230" t="n">
        <v>2022</v>
      </c>
      <c r="L60" s="1228" t="n"/>
      <c r="M60" s="1228" t="n"/>
      <c r="N60" s="1228" t="n"/>
      <c r="O60" s="1231" t="n">
        <v>0.1017</v>
      </c>
      <c r="P60" s="1231" t="n">
        <v>0.3102</v>
      </c>
      <c r="Q60" s="1228" t="n"/>
      <c r="R60" s="1228" t="n"/>
      <c r="S60" s="1228" t="n"/>
      <c r="T60" s="1228" t="n"/>
      <c r="U60" s="1228" t="n"/>
      <c r="V60" s="1228" t="n"/>
      <c r="W60" s="1228" t="n"/>
      <c r="X60" s="1228" t="n"/>
      <c r="Y60" s="1228" t="n"/>
      <c r="Z60" s="1228" t="n"/>
      <c r="AA60" s="1228" t="n"/>
      <c r="AB60" s="1228" t="n"/>
      <c r="AC60" s="1231" t="n">
        <v>0.3353</v>
      </c>
      <c r="AD60" s="1228" t="n"/>
      <c r="AE60" s="1228" t="n"/>
      <c r="AF60" s="1231" t="n">
        <v>0.3232</v>
      </c>
      <c r="AG60" s="1228" t="n"/>
      <c r="AH60" s="1231" t="n">
        <v>1.0704</v>
      </c>
      <c r="AI60" s="1231" t="n">
        <v>2.9479</v>
      </c>
      <c r="AJ60" s="1231" t="n">
        <v>4.0183</v>
      </c>
      <c r="AK60" s="1228" t="n"/>
      <c r="AL60" s="1228" t="n"/>
      <c r="AM60" s="1229" t="inlineStr">
        <is>
          <t>NNN landlord expenses only; from AXG Whse Expenses PSF.xlsx</t>
        </is>
      </c>
    </row>
    <row r="61" ht="14.1" customHeight="1">
      <c r="A61" s="696" t="inlineStr">
        <is>
          <t>P027</t>
        </is>
      </c>
      <c r="B61" s="695" t="n">
        <v>407</v>
      </c>
      <c r="C61" s="696" t="inlineStr">
        <is>
          <t>R0132030</t>
        </is>
      </c>
      <c r="D61" s="1195" t="inlineStr">
        <is>
          <t>Majestic Commercenter (R0132030)</t>
        </is>
      </c>
      <c r="E61" s="696" t="inlineStr">
        <is>
          <t>Commerce City</t>
        </is>
      </c>
      <c r="F61" s="696" t="inlineStr">
        <is>
          <t>CO</t>
        </is>
      </c>
      <c r="G61" s="696" t="inlineStr">
        <is>
          <t>Industrial</t>
        </is>
      </c>
      <c r="H61" s="1195"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1195" t="inlineStr">
        <is>
          <t>NNN landlord expenses only; from AXG Whse Expenses PSF.xlsx (R0132030)</t>
        </is>
      </c>
    </row>
    <row r="62" ht="14.1" customHeight="1">
      <c r="A62" s="1228" t="inlineStr">
        <is>
          <t>P027</t>
        </is>
      </c>
      <c r="B62" s="695" t="n">
        <v>407</v>
      </c>
      <c r="C62" s="1228" t="inlineStr">
        <is>
          <t>R0132030</t>
        </is>
      </c>
      <c r="D62" s="1229" t="inlineStr">
        <is>
          <t>Majestic Commercenter (R0132030)</t>
        </is>
      </c>
      <c r="E62" s="1228" t="inlineStr">
        <is>
          <t>Commerce City</t>
        </is>
      </c>
      <c r="F62" s="1228" t="inlineStr">
        <is>
          <t>CO</t>
        </is>
      </c>
      <c r="G62" s="1228" t="inlineStr">
        <is>
          <t>Industrial</t>
        </is>
      </c>
      <c r="H62" s="1229" t="inlineStr">
        <is>
          <t>Warehouse NNN</t>
        </is>
      </c>
      <c r="I62" s="1230" t="n">
        <v>2001</v>
      </c>
      <c r="J62" s="1230" t="n">
        <v>200094</v>
      </c>
      <c r="K62" s="1230" t="n">
        <v>2022</v>
      </c>
      <c r="L62" s="1228" t="n"/>
      <c r="M62" s="1228" t="n"/>
      <c r="N62" s="1228" t="n"/>
      <c r="O62" s="1231" t="n">
        <v>0.0761</v>
      </c>
      <c r="P62" s="1231" t="n">
        <v>0.2474</v>
      </c>
      <c r="Q62" s="1228" t="n"/>
      <c r="R62" s="1228" t="n"/>
      <c r="S62" s="1228" t="n"/>
      <c r="T62" s="1228" t="n"/>
      <c r="U62" s="1228" t="n"/>
      <c r="V62" s="1228" t="n"/>
      <c r="W62" s="1228" t="n"/>
      <c r="X62" s="1228" t="n"/>
      <c r="Y62" s="1228" t="n"/>
      <c r="Z62" s="1228" t="n"/>
      <c r="AA62" s="1228" t="n"/>
      <c r="AB62" s="1228" t="n"/>
      <c r="AC62" s="1231" t="n">
        <v>0.49</v>
      </c>
      <c r="AD62" s="1228" t="n"/>
      <c r="AE62" s="1228" t="n"/>
      <c r="AF62" s="1231" t="n">
        <v>0.3539</v>
      </c>
      <c r="AG62" s="1228" t="n"/>
      <c r="AH62" s="1231" t="n">
        <v>1.1674</v>
      </c>
      <c r="AI62" s="1231" t="n">
        <v>2.2575</v>
      </c>
      <c r="AJ62" s="1231" t="n">
        <v>3.4249</v>
      </c>
      <c r="AK62" s="1228" t="n"/>
      <c r="AL62" s="1228" t="n"/>
      <c r="AM62" s="1229" t="inlineStr">
        <is>
          <t>NNN landlord expenses only; from AXG Whse Expenses PSF.xlsx (R0132030)</t>
        </is>
      </c>
    </row>
    <row r="63" ht="14.1" customHeight="1">
      <c r="A63" s="696" t="inlineStr">
        <is>
          <t>P028</t>
        </is>
      </c>
      <c r="B63" s="695" t="n">
        <v>407</v>
      </c>
      <c r="C63" s="696" t="inlineStr">
        <is>
          <t>R0084040</t>
        </is>
      </c>
      <c r="D63" s="1195" t="inlineStr">
        <is>
          <t>Majestic Commercenter (R0084040)</t>
        </is>
      </c>
      <c r="E63" s="696" t="inlineStr">
        <is>
          <t>Commerce City</t>
        </is>
      </c>
      <c r="F63" s="696" t="inlineStr">
        <is>
          <t>CO</t>
        </is>
      </c>
      <c r="G63" s="696" t="inlineStr">
        <is>
          <t>Industrial</t>
        </is>
      </c>
      <c r="H63" s="1195"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1195" t="inlineStr">
        <is>
          <t>NNN landlord expenses only; from AXG Whse Expenses PSF.xlsx (R0084040)</t>
        </is>
      </c>
    </row>
    <row r="64" ht="14.1" customHeight="1">
      <c r="A64" s="1228" t="inlineStr">
        <is>
          <t>P028</t>
        </is>
      </c>
      <c r="B64" s="695" t="n">
        <v>407</v>
      </c>
      <c r="C64" s="1228" t="inlineStr">
        <is>
          <t>R0084040</t>
        </is>
      </c>
      <c r="D64" s="1229" t="inlineStr">
        <is>
          <t>Majestic Commercenter (R0084040)</t>
        </is>
      </c>
      <c r="E64" s="1228" t="inlineStr">
        <is>
          <t>Commerce City</t>
        </is>
      </c>
      <c r="F64" s="1228" t="inlineStr">
        <is>
          <t>CO</t>
        </is>
      </c>
      <c r="G64" s="1228" t="inlineStr">
        <is>
          <t>Industrial</t>
        </is>
      </c>
      <c r="H64" s="1229" t="inlineStr">
        <is>
          <t>Warehouse NNN</t>
        </is>
      </c>
      <c r="I64" s="1230" t="n">
        <v>1997</v>
      </c>
      <c r="J64" s="1230" t="n">
        <v>177736</v>
      </c>
      <c r="K64" s="1230" t="n">
        <v>2022</v>
      </c>
      <c r="L64" s="1228" t="n"/>
      <c r="M64" s="1228" t="n"/>
      <c r="N64" s="1228" t="n"/>
      <c r="O64" s="1231" t="n">
        <v>0.07829999999999999</v>
      </c>
      <c r="P64" s="1231" t="n">
        <v>0.3114</v>
      </c>
      <c r="Q64" s="1228" t="n"/>
      <c r="R64" s="1228" t="n"/>
      <c r="S64" s="1228" t="n"/>
      <c r="T64" s="1228" t="n"/>
      <c r="U64" s="1228" t="n"/>
      <c r="V64" s="1228" t="n"/>
      <c r="W64" s="1228" t="n"/>
      <c r="X64" s="1228" t="n"/>
      <c r="Y64" s="1228" t="n"/>
      <c r="Z64" s="1228" t="n"/>
      <c r="AA64" s="1228" t="n"/>
      <c r="AB64" s="1228" t="n"/>
      <c r="AC64" s="1231" t="n">
        <v>0.6591</v>
      </c>
      <c r="AD64" s="1228" t="n"/>
      <c r="AE64" s="1228" t="n"/>
      <c r="AF64" s="1231" t="n">
        <v>0.3559</v>
      </c>
      <c r="AG64" s="1228" t="n"/>
      <c r="AH64" s="1231" t="n">
        <v>1.4047</v>
      </c>
      <c r="AI64" s="1231" t="n">
        <v>2.8511</v>
      </c>
      <c r="AJ64" s="1231" t="n">
        <v>4.2558</v>
      </c>
      <c r="AK64" s="1228" t="n"/>
      <c r="AL64" s="1228" t="n"/>
      <c r="AM64" s="1229" t="inlineStr">
        <is>
          <t>NNN landlord expenses only; from AXG Whse Expenses PSF.xlsx (R0084040)</t>
        </is>
      </c>
    </row>
    <row r="65" ht="14.1" customHeight="1">
      <c r="A65" s="696" t="inlineStr">
        <is>
          <t>P029</t>
        </is>
      </c>
      <c r="B65" s="695" t="n">
        <v>407</v>
      </c>
      <c r="C65" s="696" t="inlineStr">
        <is>
          <t>R0084041</t>
        </is>
      </c>
      <c r="D65" s="1195" t="inlineStr">
        <is>
          <t>Majestic Commercenter (R0084041)</t>
        </is>
      </c>
      <c r="E65" s="696" t="inlineStr">
        <is>
          <t>Commerce City</t>
        </is>
      </c>
      <c r="F65" s="696" t="inlineStr">
        <is>
          <t>CO</t>
        </is>
      </c>
      <c r="G65" s="696" t="inlineStr">
        <is>
          <t>Industrial</t>
        </is>
      </c>
      <c r="H65" s="1195"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1195" t="inlineStr">
        <is>
          <t>NNN landlord expenses only; from AXG Whse Expenses PSF.xlsx (R0084041)</t>
        </is>
      </c>
    </row>
    <row r="66" ht="14.1" customHeight="1">
      <c r="A66" s="1228" t="inlineStr">
        <is>
          <t>P029</t>
        </is>
      </c>
      <c r="B66" s="695" t="n">
        <v>407</v>
      </c>
      <c r="C66" s="1228" t="inlineStr">
        <is>
          <t>R0084041</t>
        </is>
      </c>
      <c r="D66" s="1229" t="inlineStr">
        <is>
          <t>Majestic Commercenter (R0084041)</t>
        </is>
      </c>
      <c r="E66" s="1228" t="inlineStr">
        <is>
          <t>Commerce City</t>
        </is>
      </c>
      <c r="F66" s="1228" t="inlineStr">
        <is>
          <t>CO</t>
        </is>
      </c>
      <c r="G66" s="1228" t="inlineStr">
        <is>
          <t>Industrial</t>
        </is>
      </c>
      <c r="H66" s="1229" t="inlineStr">
        <is>
          <t>Warehouse NNN</t>
        </is>
      </c>
      <c r="I66" s="1230" t="n">
        <v>1997</v>
      </c>
      <c r="J66" s="1230" t="n">
        <v>200371</v>
      </c>
      <c r="K66" s="1230" t="n">
        <v>2022</v>
      </c>
      <c r="L66" s="1228" t="n"/>
      <c r="M66" s="1228" t="n"/>
      <c r="N66" s="1228" t="n"/>
      <c r="O66" s="1231" t="n">
        <v>0.073</v>
      </c>
      <c r="P66" s="1231" t="n">
        <v>0.1496</v>
      </c>
      <c r="Q66" s="1228" t="n"/>
      <c r="R66" s="1228" t="n"/>
      <c r="S66" s="1228" t="n"/>
      <c r="T66" s="1228" t="n"/>
      <c r="U66" s="1228" t="n"/>
      <c r="V66" s="1228" t="n"/>
      <c r="W66" s="1228" t="n"/>
      <c r="X66" s="1228" t="n"/>
      <c r="Y66" s="1228" t="n"/>
      <c r="Z66" s="1228" t="n"/>
      <c r="AA66" s="1228" t="n"/>
      <c r="AB66" s="1228" t="n"/>
      <c r="AC66" s="1231" t="n">
        <v>0.5187</v>
      </c>
      <c r="AD66" s="1228" t="n"/>
      <c r="AE66" s="1228" t="n"/>
      <c r="AF66" s="1228" t="n"/>
      <c r="AG66" s="1228" t="n"/>
      <c r="AH66" s="1231" t="n">
        <v>0.7413</v>
      </c>
      <c r="AI66" s="1231" t="n">
        <v>2.5893</v>
      </c>
      <c r="AJ66" s="1231" t="n">
        <v>3.3306</v>
      </c>
      <c r="AK66" s="1228" t="n"/>
      <c r="AL66" s="1228" t="n"/>
      <c r="AM66" s="1229" t="inlineStr">
        <is>
          <t>NNN landlord expenses only; from AXG Whse Expenses PSF.xlsx (R0084041)</t>
        </is>
      </c>
    </row>
    <row r="67" ht="14.1" customHeight="1">
      <c r="A67" s="696" t="inlineStr">
        <is>
          <t>P030</t>
        </is>
      </c>
      <c r="B67" s="695" t="n">
        <v>584</v>
      </c>
      <c r="C67" s="696" t="inlineStr">
        <is>
          <t>R0217015</t>
        </is>
      </c>
      <c r="D67" s="1195" t="inlineStr">
        <is>
          <t>Majestic Commercenter (R0217015)</t>
        </is>
      </c>
      <c r="E67" s="696" t="inlineStr">
        <is>
          <t>Commerce City</t>
        </is>
      </c>
      <c r="F67" s="696" t="inlineStr">
        <is>
          <t>CO</t>
        </is>
      </c>
      <c r="G67" s="696" t="inlineStr">
        <is>
          <t>Industrial</t>
        </is>
      </c>
      <c r="H67" s="1195"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1195" t="inlineStr">
        <is>
          <t>NNN landlord expenses only; from AXG Whse Expenses PSF.xlsx (R0217015)</t>
        </is>
      </c>
    </row>
    <row r="68" ht="14.1" customHeight="1">
      <c r="A68" s="1228" t="inlineStr">
        <is>
          <t>P031</t>
        </is>
      </c>
      <c r="B68" s="695" t="n">
        <v>407</v>
      </c>
      <c r="C68" s="1228" t="inlineStr">
        <is>
          <t>R0111562</t>
        </is>
      </c>
      <c r="D68" s="1229" t="inlineStr">
        <is>
          <t>Majestic Commercenter (R0111562)</t>
        </is>
      </c>
      <c r="E68" s="1228" t="inlineStr">
        <is>
          <t>Commerce City</t>
        </is>
      </c>
      <c r="F68" s="1228" t="inlineStr">
        <is>
          <t>CO</t>
        </is>
      </c>
      <c r="G68" s="1228" t="inlineStr">
        <is>
          <t>Industrial</t>
        </is>
      </c>
      <c r="H68" s="1229" t="inlineStr">
        <is>
          <t>Warehouse NNN</t>
        </is>
      </c>
      <c r="I68" s="1230" t="n">
        <v>2000</v>
      </c>
      <c r="J68" s="1230" t="n">
        <v>149175</v>
      </c>
      <c r="K68" s="1230" t="n">
        <v>2019</v>
      </c>
      <c r="L68" s="1228" t="n"/>
      <c r="M68" s="1228" t="n"/>
      <c r="N68" s="1228" t="n"/>
      <c r="O68" s="1231" t="n">
        <v>0.0437</v>
      </c>
      <c r="P68" s="1231" t="n">
        <v>0.1522</v>
      </c>
      <c r="Q68" s="1228" t="n"/>
      <c r="R68" s="1228" t="n"/>
      <c r="S68" s="1228" t="n"/>
      <c r="T68" s="1228" t="n"/>
      <c r="U68" s="1228" t="n"/>
      <c r="V68" s="1228" t="n"/>
      <c r="W68" s="1228" t="n"/>
      <c r="X68" s="1228" t="n"/>
      <c r="Y68" s="1228" t="n"/>
      <c r="Z68" s="1228" t="n"/>
      <c r="AA68" s="1228" t="n"/>
      <c r="AB68" s="1228" t="n"/>
      <c r="AC68" s="1231" t="n">
        <v>0.6822</v>
      </c>
      <c r="AD68" s="1228" t="n"/>
      <c r="AE68" s="1228" t="n"/>
      <c r="AF68" s="1228" t="n"/>
      <c r="AG68" s="1228" t="n"/>
      <c r="AH68" s="1231" t="n">
        <v>0.8781</v>
      </c>
      <c r="AI68" s="1231" t="n">
        <v>1.8902</v>
      </c>
      <c r="AJ68" s="1231" t="n">
        <v>2.7683</v>
      </c>
      <c r="AK68" s="1228" t="n"/>
      <c r="AL68" s="1228" t="n"/>
      <c r="AM68" s="1229" t="inlineStr">
        <is>
          <t>NNN landlord expenses only; from AXG Whse Expenses PSF.xlsx (R0111562)</t>
        </is>
      </c>
    </row>
    <row r="69" ht="14.1" customHeight="1">
      <c r="A69" s="696" t="inlineStr">
        <is>
          <t>P031</t>
        </is>
      </c>
      <c r="B69" s="695" t="n">
        <v>407</v>
      </c>
      <c r="C69" s="696" t="inlineStr">
        <is>
          <t>R0111562</t>
        </is>
      </c>
      <c r="D69" s="1195" t="inlineStr">
        <is>
          <t>Majestic Commercenter (R0111562)</t>
        </is>
      </c>
      <c r="E69" s="696" t="inlineStr">
        <is>
          <t>Commerce City</t>
        </is>
      </c>
      <c r="F69" s="696" t="inlineStr">
        <is>
          <t>CO</t>
        </is>
      </c>
      <c r="G69" s="696" t="inlineStr">
        <is>
          <t>Industrial</t>
        </is>
      </c>
      <c r="H69" s="1195"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1195" t="inlineStr">
        <is>
          <t>NNN landlord expenses only; from AXG Whse Expenses PSF.xlsx (R0111562)</t>
        </is>
      </c>
    </row>
    <row r="70" ht="14.1" customHeight="1">
      <c r="A70" s="1228" t="inlineStr">
        <is>
          <t>P032</t>
        </is>
      </c>
      <c r="B70" s="695" t="n">
        <v>407</v>
      </c>
      <c r="C70" s="1228" t="inlineStr">
        <is>
          <t>R0118875</t>
        </is>
      </c>
      <c r="D70" s="1229" t="inlineStr">
        <is>
          <t>Majestic Commercenter (R0118875)</t>
        </is>
      </c>
      <c r="E70" s="1228" t="inlineStr">
        <is>
          <t>Commerce City</t>
        </is>
      </c>
      <c r="F70" s="1228" t="inlineStr">
        <is>
          <t>CO</t>
        </is>
      </c>
      <c r="G70" s="1228" t="inlineStr">
        <is>
          <t>Industrial</t>
        </is>
      </c>
      <c r="H70" s="1229" t="inlineStr">
        <is>
          <t>Warehouse NNN</t>
        </is>
      </c>
      <c r="I70" s="1230" t="n">
        <v>1999</v>
      </c>
      <c r="J70" s="1230" t="n">
        <v>279640</v>
      </c>
      <c r="K70" s="1230" t="n">
        <v>2021</v>
      </c>
      <c r="L70" s="1228" t="n"/>
      <c r="M70" s="1228" t="n"/>
      <c r="N70" s="1228" t="n"/>
      <c r="O70" s="1231" t="n">
        <v>0.0881</v>
      </c>
      <c r="P70" s="1231" t="n">
        <v>0.2248</v>
      </c>
      <c r="Q70" s="1228" t="n"/>
      <c r="R70" s="1228" t="n"/>
      <c r="S70" s="1228" t="n"/>
      <c r="T70" s="1228" t="n"/>
      <c r="U70" s="1228" t="n"/>
      <c r="V70" s="1228" t="n"/>
      <c r="W70" s="1228" t="n"/>
      <c r="X70" s="1228" t="n"/>
      <c r="Y70" s="1228" t="n"/>
      <c r="Z70" s="1228" t="n"/>
      <c r="AA70" s="1228" t="n"/>
      <c r="AB70" s="1228" t="n"/>
      <c r="AC70" s="1231" t="n">
        <v>0.3589</v>
      </c>
      <c r="AD70" s="1228" t="n"/>
      <c r="AE70" s="1228" t="n"/>
      <c r="AF70" s="1228" t="n"/>
      <c r="AG70" s="1228" t="n"/>
      <c r="AH70" s="1231" t="n">
        <v>0.6718</v>
      </c>
      <c r="AI70" s="1231" t="n">
        <v>2.2918</v>
      </c>
      <c r="AJ70" s="1231" t="n">
        <v>2.9636</v>
      </c>
      <c r="AK70" s="1228" t="n"/>
      <c r="AL70" s="1228" t="n"/>
      <c r="AM70" s="1229" t="inlineStr">
        <is>
          <t>NNN landlord expenses only; from AXG Whse Expenses PSF.xlsx (R0118875)</t>
        </is>
      </c>
    </row>
    <row r="71" ht="14.1" customHeight="1">
      <c r="A71" s="696" t="inlineStr">
        <is>
          <t>P032</t>
        </is>
      </c>
      <c r="B71" s="695" t="n">
        <v>407</v>
      </c>
      <c r="C71" s="696" t="inlineStr">
        <is>
          <t>R0118875</t>
        </is>
      </c>
      <c r="D71" s="1195" t="inlineStr">
        <is>
          <t>Majestic Commercenter (R0118875)</t>
        </is>
      </c>
      <c r="E71" s="696" t="inlineStr">
        <is>
          <t>Commerce City</t>
        </is>
      </c>
      <c r="F71" s="696" t="inlineStr">
        <is>
          <t>CO</t>
        </is>
      </c>
      <c r="G71" s="696" t="inlineStr">
        <is>
          <t>Industrial</t>
        </is>
      </c>
      <c r="H71" s="1195"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1195" t="inlineStr">
        <is>
          <t>NNN landlord expenses only; from AXG Whse Expenses PSF.xlsx (R0118875)</t>
        </is>
      </c>
    </row>
    <row r="72" ht="14.1" customHeight="1">
      <c r="A72" s="1228" t="inlineStr">
        <is>
          <t>P033</t>
        </is>
      </c>
      <c r="B72" s="695" t="n">
        <v>407</v>
      </c>
      <c r="C72" s="1228" t="inlineStr">
        <is>
          <t>R0132031</t>
        </is>
      </c>
      <c r="D72" s="1229" t="inlineStr">
        <is>
          <t>Majestic Commercenter (R0132031)</t>
        </is>
      </c>
      <c r="E72" s="1228" t="inlineStr">
        <is>
          <t>Commerce City</t>
        </is>
      </c>
      <c r="F72" s="1228" t="inlineStr">
        <is>
          <t>CO</t>
        </is>
      </c>
      <c r="G72" s="1228" t="inlineStr">
        <is>
          <t>Industrial</t>
        </is>
      </c>
      <c r="H72" s="1229" t="inlineStr">
        <is>
          <t>Warehouse NNN</t>
        </is>
      </c>
      <c r="I72" s="1230" t="n">
        <v>2002</v>
      </c>
      <c r="J72" s="1230" t="n">
        <v>280098</v>
      </c>
      <c r="K72" s="1230" t="n">
        <v>2021</v>
      </c>
      <c r="L72" s="1228" t="n"/>
      <c r="M72" s="1228" t="n"/>
      <c r="N72" s="1228" t="n"/>
      <c r="O72" s="1231" t="n">
        <v>0.0713</v>
      </c>
      <c r="P72" s="1231" t="n">
        <v>0.231</v>
      </c>
      <c r="Q72" s="1228" t="n"/>
      <c r="R72" s="1228" t="n"/>
      <c r="S72" s="1228" t="n"/>
      <c r="T72" s="1228" t="n"/>
      <c r="U72" s="1228" t="n"/>
      <c r="V72" s="1228" t="n"/>
      <c r="W72" s="1228" t="n"/>
      <c r="X72" s="1228" t="n"/>
      <c r="Y72" s="1228" t="n"/>
      <c r="Z72" s="1228" t="n"/>
      <c r="AA72" s="1228" t="n"/>
      <c r="AB72" s="1228" t="n"/>
      <c r="AC72" s="1231" t="n">
        <v>0.2633</v>
      </c>
      <c r="AD72" s="1228" t="n"/>
      <c r="AE72" s="1228" t="n"/>
      <c r="AF72" s="1231" t="n">
        <v>0.3067</v>
      </c>
      <c r="AG72" s="1228" t="n"/>
      <c r="AH72" s="1231" t="n">
        <v>0.8723</v>
      </c>
      <c r="AI72" s="1231" t="n">
        <v>2.2816</v>
      </c>
      <c r="AJ72" s="1231" t="n">
        <v>3.1539</v>
      </c>
      <c r="AK72" s="1228" t="n"/>
      <c r="AL72" s="1228" t="n"/>
      <c r="AM72" s="1229" t="inlineStr">
        <is>
          <t>NNN landlord expenses only; from AXG Whse Expenses PSF.xlsx (R0132031)</t>
        </is>
      </c>
    </row>
    <row r="73" ht="14.1" customHeight="1">
      <c r="A73" s="696" t="inlineStr">
        <is>
          <t>P033</t>
        </is>
      </c>
      <c r="B73" s="695" t="n">
        <v>407</v>
      </c>
      <c r="C73" s="696" t="inlineStr">
        <is>
          <t>R0132031</t>
        </is>
      </c>
      <c r="D73" s="1195" t="inlineStr">
        <is>
          <t>Majestic Commercenter (R0132031)</t>
        </is>
      </c>
      <c r="E73" s="696" t="inlineStr">
        <is>
          <t>Commerce City</t>
        </is>
      </c>
      <c r="F73" s="696" t="inlineStr">
        <is>
          <t>CO</t>
        </is>
      </c>
      <c r="G73" s="696" t="inlineStr">
        <is>
          <t>Industrial</t>
        </is>
      </c>
      <c r="H73" s="1195"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1195" t="inlineStr">
        <is>
          <t>NNN landlord expenses only; from AXG Whse Expenses PSF.xlsx (R0132031)</t>
        </is>
      </c>
    </row>
    <row r="74" ht="14.1" customHeight="1">
      <c r="A74" s="1228" t="inlineStr">
        <is>
          <t>P034</t>
        </is>
      </c>
      <c r="B74" s="695" t="n">
        <v>407</v>
      </c>
      <c r="C74" s="1228" t="inlineStr">
        <is>
          <t>R0172865</t>
        </is>
      </c>
      <c r="D74" s="1229" t="inlineStr">
        <is>
          <t>Majestic Commercenter (R0172865)</t>
        </is>
      </c>
      <c r="E74" s="1228" t="inlineStr">
        <is>
          <t>Commerce City</t>
        </is>
      </c>
      <c r="F74" s="1228" t="inlineStr">
        <is>
          <t>CO</t>
        </is>
      </c>
      <c r="G74" s="1228" t="inlineStr">
        <is>
          <t>Industrial</t>
        </is>
      </c>
      <c r="H74" s="1229" t="inlineStr">
        <is>
          <t>Warehouse NNN</t>
        </is>
      </c>
      <c r="I74" s="1230" t="n">
        <v>2008</v>
      </c>
      <c r="J74" s="1230" t="n">
        <v>215461</v>
      </c>
      <c r="K74" s="1230" t="n">
        <v>2021</v>
      </c>
      <c r="L74" s="1228" t="n"/>
      <c r="M74" s="1228" t="n"/>
      <c r="N74" s="1228" t="n"/>
      <c r="O74" s="1231" t="n">
        <v>0.0809</v>
      </c>
      <c r="P74" s="1231" t="n">
        <v>0.3054</v>
      </c>
      <c r="Q74" s="1228" t="n"/>
      <c r="R74" s="1228" t="n"/>
      <c r="S74" s="1228" t="n"/>
      <c r="T74" s="1228" t="n"/>
      <c r="U74" s="1228" t="n"/>
      <c r="V74" s="1228" t="n"/>
      <c r="W74" s="1228" t="n"/>
      <c r="X74" s="1228" t="n"/>
      <c r="Y74" s="1228" t="n"/>
      <c r="Z74" s="1228" t="n"/>
      <c r="AA74" s="1228" t="n"/>
      <c r="AB74" s="1228" t="n"/>
      <c r="AC74" s="1231" t="n">
        <v>0.4686</v>
      </c>
      <c r="AD74" s="1228" t="n"/>
      <c r="AE74" s="1228" t="n"/>
      <c r="AF74" s="1231" t="n">
        <v>0.3395</v>
      </c>
      <c r="AG74" s="1228" t="n"/>
      <c r="AH74" s="1231" t="n">
        <v>1.1944</v>
      </c>
      <c r="AI74" s="1231" t="n">
        <v>2.8499</v>
      </c>
      <c r="AJ74" s="1231" t="n">
        <v>4.0443</v>
      </c>
      <c r="AK74" s="1228" t="n"/>
      <c r="AL74" s="1228" t="n"/>
      <c r="AM74" s="1229" t="inlineStr">
        <is>
          <t>NNN landlord expenses only; from AXG Whse Expenses PSF.xlsx (R0172865)</t>
        </is>
      </c>
    </row>
    <row r="75" ht="14.1" customHeight="1">
      <c r="A75" s="696" t="inlineStr">
        <is>
          <t>P034</t>
        </is>
      </c>
      <c r="B75" s="695" t="n">
        <v>407</v>
      </c>
      <c r="C75" s="696" t="inlineStr">
        <is>
          <t>R0172865</t>
        </is>
      </c>
      <c r="D75" s="1195" t="inlineStr">
        <is>
          <t>Majestic Commercenter (R0172865)</t>
        </is>
      </c>
      <c r="E75" s="696" t="inlineStr">
        <is>
          <t>Commerce City</t>
        </is>
      </c>
      <c r="F75" s="696" t="inlineStr">
        <is>
          <t>CO</t>
        </is>
      </c>
      <c r="G75" s="696" t="inlineStr">
        <is>
          <t>Industrial</t>
        </is>
      </c>
      <c r="H75" s="1195"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1195" t="inlineStr">
        <is>
          <t>NNN landlord expenses only; from AXG Whse Expenses PSF.xlsx (R0172865)</t>
        </is>
      </c>
    </row>
    <row r="76" ht="14.1" customHeight="1">
      <c r="A76" s="1228" t="inlineStr">
        <is>
          <t>P035</t>
        </is>
      </c>
      <c r="B76" s="695" t="n">
        <v>407</v>
      </c>
      <c r="C76" s="1228" t="inlineStr">
        <is>
          <t>R0172867</t>
        </is>
      </c>
      <c r="D76" s="1229" t="inlineStr">
        <is>
          <t>Majestic Commercenter (R0172867)</t>
        </is>
      </c>
      <c r="E76" s="1228" t="inlineStr">
        <is>
          <t>Commerce City</t>
        </is>
      </c>
      <c r="F76" s="1228" t="inlineStr">
        <is>
          <t>CO</t>
        </is>
      </c>
      <c r="G76" s="1228" t="inlineStr">
        <is>
          <t>Industrial</t>
        </is>
      </c>
      <c r="H76" s="1229" t="inlineStr">
        <is>
          <t>Warehouse NNN</t>
        </is>
      </c>
      <c r="I76" s="1230" t="n">
        <v>2007</v>
      </c>
      <c r="J76" s="1230" t="n">
        <v>215560</v>
      </c>
      <c r="K76" s="1230" t="n">
        <v>2021</v>
      </c>
      <c r="L76" s="1228" t="n"/>
      <c r="M76" s="1228" t="n"/>
      <c r="N76" s="1228" t="n"/>
      <c r="O76" s="1231" t="n">
        <v>0.0975</v>
      </c>
      <c r="P76" s="1231" t="n">
        <v>0.2429</v>
      </c>
      <c r="Q76" s="1228" t="n"/>
      <c r="R76" s="1228" t="n"/>
      <c r="S76" s="1228" t="n"/>
      <c r="T76" s="1228" t="n"/>
      <c r="U76" s="1228" t="n"/>
      <c r="V76" s="1228" t="n"/>
      <c r="W76" s="1228" t="n"/>
      <c r="X76" s="1228" t="n"/>
      <c r="Y76" s="1228" t="n"/>
      <c r="Z76" s="1228" t="n"/>
      <c r="AA76" s="1228" t="n"/>
      <c r="AB76" s="1228" t="n"/>
      <c r="AC76" s="1231" t="n">
        <v>0.2979</v>
      </c>
      <c r="AD76" s="1228" t="n"/>
      <c r="AE76" s="1228" t="n"/>
      <c r="AF76" s="1231" t="n">
        <v>0.3114</v>
      </c>
      <c r="AG76" s="1228" t="n"/>
      <c r="AH76" s="1231" t="n">
        <v>0.9497</v>
      </c>
      <c r="AI76" s="1231" t="n">
        <v>2.4921</v>
      </c>
      <c r="AJ76" s="1231" t="n">
        <v>3.4419</v>
      </c>
      <c r="AK76" s="1228" t="n"/>
      <c r="AL76" s="1228" t="n"/>
      <c r="AM76" s="1229" t="inlineStr">
        <is>
          <t>NNN landlord expenses only; from AXG Whse Expenses PSF.xlsx (R0172867)</t>
        </is>
      </c>
    </row>
    <row r="77" ht="14.1" customHeight="1">
      <c r="A77" s="696" t="inlineStr">
        <is>
          <t>P035</t>
        </is>
      </c>
      <c r="B77" s="695" t="n">
        <v>407</v>
      </c>
      <c r="C77" s="696" t="inlineStr">
        <is>
          <t>R0172867</t>
        </is>
      </c>
      <c r="D77" s="1195" t="inlineStr">
        <is>
          <t>Majestic Commercenter (R0172867)</t>
        </is>
      </c>
      <c r="E77" s="696" t="inlineStr">
        <is>
          <t>Commerce City</t>
        </is>
      </c>
      <c r="F77" s="696" t="inlineStr">
        <is>
          <t>CO</t>
        </is>
      </c>
      <c r="G77" s="696" t="inlineStr">
        <is>
          <t>Industrial</t>
        </is>
      </c>
      <c r="H77" s="1195"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1195" t="inlineStr">
        <is>
          <t>NNN landlord expenses only; from AXG Whse Expenses PSF.xlsx (R0172867)</t>
        </is>
      </c>
    </row>
    <row r="78" ht="14.1" customHeight="1">
      <c r="A78" s="1228" t="inlineStr">
        <is>
          <t>P036</t>
        </is>
      </c>
      <c r="B78" s="695" t="n">
        <v>407</v>
      </c>
      <c r="C78" s="1228" t="inlineStr">
        <is>
          <t>R0172868</t>
        </is>
      </c>
      <c r="D78" s="1229" t="inlineStr">
        <is>
          <t>Majestic Commercenter (R0172868)</t>
        </is>
      </c>
      <c r="E78" s="1228" t="inlineStr">
        <is>
          <t>Commerce City</t>
        </is>
      </c>
      <c r="F78" s="1228" t="inlineStr">
        <is>
          <t>CO</t>
        </is>
      </c>
      <c r="G78" s="1228" t="inlineStr">
        <is>
          <t>Industrial</t>
        </is>
      </c>
      <c r="H78" s="1229" t="inlineStr">
        <is>
          <t>Warehouse NNN</t>
        </is>
      </c>
      <c r="I78" s="1230" t="n">
        <v>2007</v>
      </c>
      <c r="J78" s="1230" t="n">
        <v>202091</v>
      </c>
      <c r="K78" s="1230" t="n">
        <v>2021</v>
      </c>
      <c r="L78" s="1228" t="n"/>
      <c r="M78" s="1228" t="n"/>
      <c r="N78" s="1228" t="n"/>
      <c r="O78" s="1231" t="n">
        <v>0.0863</v>
      </c>
      <c r="P78" s="1231" t="n">
        <v>0.1541</v>
      </c>
      <c r="Q78" s="1228" t="n"/>
      <c r="R78" s="1228" t="n"/>
      <c r="S78" s="1228" t="n"/>
      <c r="T78" s="1228" t="n"/>
      <c r="U78" s="1228" t="n"/>
      <c r="V78" s="1228" t="n"/>
      <c r="W78" s="1228" t="n"/>
      <c r="X78" s="1228" t="n"/>
      <c r="Y78" s="1228" t="n"/>
      <c r="Z78" s="1228" t="n"/>
      <c r="AA78" s="1228" t="n"/>
      <c r="AB78" s="1228" t="n"/>
      <c r="AC78" s="1231" t="n">
        <v>0.4114</v>
      </c>
      <c r="AD78" s="1228" t="n"/>
      <c r="AE78" s="1228" t="n"/>
      <c r="AF78" s="1228" t="n"/>
      <c r="AG78" s="1228" t="n"/>
      <c r="AH78" s="1231" t="n">
        <v>0.6518</v>
      </c>
      <c r="AI78" s="1231" t="n">
        <v>2.4692</v>
      </c>
      <c r="AJ78" s="1231" t="n">
        <v>3.121</v>
      </c>
      <c r="AK78" s="1228" t="n"/>
      <c r="AL78" s="1228" t="n"/>
      <c r="AM78" s="1229" t="inlineStr">
        <is>
          <t>NNN landlord expenses only; from AXG Whse Expenses PSF.xlsx (R0172868)</t>
        </is>
      </c>
    </row>
    <row r="79" ht="14.1" customHeight="1">
      <c r="A79" s="696" t="inlineStr">
        <is>
          <t>P036</t>
        </is>
      </c>
      <c r="B79" s="695" t="n">
        <v>407</v>
      </c>
      <c r="C79" s="696" t="inlineStr">
        <is>
          <t>R0172868</t>
        </is>
      </c>
      <c r="D79" s="1195" t="inlineStr">
        <is>
          <t>Majestic Commercenter (R0172868)</t>
        </is>
      </c>
      <c r="E79" s="696" t="inlineStr">
        <is>
          <t>Commerce City</t>
        </is>
      </c>
      <c r="F79" s="696" t="inlineStr">
        <is>
          <t>CO</t>
        </is>
      </c>
      <c r="G79" s="696" t="inlineStr">
        <is>
          <t>Industrial</t>
        </is>
      </c>
      <c r="H79" s="1195"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1195" t="inlineStr">
        <is>
          <t>NNN landlord expenses only; from AXG Whse Expenses PSF.xlsx (R0172868)</t>
        </is>
      </c>
    </row>
    <row r="80" ht="14.1" customHeight="1">
      <c r="A80" s="1228" t="inlineStr">
        <is>
          <t>P037</t>
        </is>
      </c>
      <c r="B80" s="695" t="n">
        <v>407</v>
      </c>
      <c r="C80" s="1228" t="inlineStr">
        <is>
          <t>R0145680</t>
        </is>
      </c>
      <c r="D80" s="1229" t="inlineStr">
        <is>
          <t>Majestic Commercenter (R0145680)</t>
        </is>
      </c>
      <c r="E80" s="1228" t="inlineStr">
        <is>
          <t>Commerce City</t>
        </is>
      </c>
      <c r="F80" s="1228" t="inlineStr">
        <is>
          <t>CO</t>
        </is>
      </c>
      <c r="G80" s="1228" t="inlineStr">
        <is>
          <t>Industrial</t>
        </is>
      </c>
      <c r="H80" s="1229" t="inlineStr">
        <is>
          <t>Warehouse NNN</t>
        </is>
      </c>
      <c r="I80" s="1230" t="n">
        <v>2001</v>
      </c>
      <c r="J80" s="1230" t="n">
        <v>150027</v>
      </c>
      <c r="K80" s="1230" t="n">
        <v>2021</v>
      </c>
      <c r="L80" s="1228" t="n"/>
      <c r="M80" s="1228" t="n"/>
      <c r="N80" s="1228" t="n"/>
      <c r="O80" s="1231" t="n">
        <v>0.0779</v>
      </c>
      <c r="P80" s="1231" t="n">
        <v>0.2768</v>
      </c>
      <c r="Q80" s="1228" t="n"/>
      <c r="R80" s="1228" t="n"/>
      <c r="S80" s="1228" t="n"/>
      <c r="T80" s="1228" t="n"/>
      <c r="U80" s="1228" t="n"/>
      <c r="V80" s="1228" t="n"/>
      <c r="W80" s="1228" t="n"/>
      <c r="X80" s="1228" t="n"/>
      <c r="Y80" s="1228" t="n"/>
      <c r="Z80" s="1228" t="n"/>
      <c r="AA80" s="1228" t="n"/>
      <c r="AB80" s="1228" t="n"/>
      <c r="AC80" s="1231" t="n">
        <v>0.3322</v>
      </c>
      <c r="AD80" s="1228" t="n"/>
      <c r="AE80" s="1228" t="n"/>
      <c r="AF80" s="1228" t="n"/>
      <c r="AG80" s="1228" t="n"/>
      <c r="AH80" s="1231" t="n">
        <v>0.6868</v>
      </c>
      <c r="AI80" s="1231" t="n">
        <v>2.8525</v>
      </c>
      <c r="AJ80" s="1231" t="n">
        <v>3.5393</v>
      </c>
      <c r="AK80" s="1228" t="n"/>
      <c r="AL80" s="1228" t="n"/>
      <c r="AM80" s="1229" t="inlineStr">
        <is>
          <t>NNN landlord expenses only; from AXG Whse Expenses PSF.xlsx (R0145680)</t>
        </is>
      </c>
    </row>
    <row r="81" ht="14.1" customHeight="1">
      <c r="A81" s="696" t="inlineStr">
        <is>
          <t>P037</t>
        </is>
      </c>
      <c r="B81" s="695" t="n">
        <v>407</v>
      </c>
      <c r="C81" s="696" t="inlineStr">
        <is>
          <t>R0145680</t>
        </is>
      </c>
      <c r="D81" s="1195" t="inlineStr">
        <is>
          <t>Majestic Commercenter (R0145680)</t>
        </is>
      </c>
      <c r="E81" s="696" t="inlineStr">
        <is>
          <t>Commerce City</t>
        </is>
      </c>
      <c r="F81" s="696" t="inlineStr">
        <is>
          <t>CO</t>
        </is>
      </c>
      <c r="G81" s="696" t="inlineStr">
        <is>
          <t>Industrial</t>
        </is>
      </c>
      <c r="H81" s="1195"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1195" t="inlineStr">
        <is>
          <t>NNN landlord expenses only; from AXG Whse Expenses PSF.xlsx (R0145680)</t>
        </is>
      </c>
    </row>
    <row r="82" ht="14.1" customHeight="1">
      <c r="A82" s="1228" t="inlineStr">
        <is>
          <t>P038</t>
        </is>
      </c>
      <c r="B82" s="695" t="n">
        <v>584</v>
      </c>
      <c r="C82" s="1228" t="inlineStr">
        <is>
          <t>R0181787</t>
        </is>
      </c>
      <c r="D82" s="1229" t="inlineStr">
        <is>
          <t>Majestic Commercenter (R0181787)</t>
        </is>
      </c>
      <c r="E82" s="1228" t="inlineStr">
        <is>
          <t>Commerce City</t>
        </is>
      </c>
      <c r="F82" s="1228" t="inlineStr">
        <is>
          <t>CO</t>
        </is>
      </c>
      <c r="G82" s="1228" t="inlineStr">
        <is>
          <t>Industrial</t>
        </is>
      </c>
      <c r="H82" s="1229" t="inlineStr">
        <is>
          <t>Warehouse NNN</t>
        </is>
      </c>
      <c r="I82" s="1230" t="n">
        <v>2013</v>
      </c>
      <c r="J82" s="1230" t="n">
        <v>500358</v>
      </c>
      <c r="K82" s="1230" t="n">
        <v>2021</v>
      </c>
      <c r="L82" s="1228" t="n"/>
      <c r="M82" s="1228" t="n"/>
      <c r="N82" s="1228" t="n"/>
      <c r="O82" s="1231" t="n">
        <v>0.0743</v>
      </c>
      <c r="P82" s="1231" t="n">
        <v>0.2354</v>
      </c>
      <c r="Q82" s="1228" t="n"/>
      <c r="R82" s="1228" t="n"/>
      <c r="S82" s="1228" t="n"/>
      <c r="T82" s="1228" t="n"/>
      <c r="U82" s="1228" t="n"/>
      <c r="V82" s="1228" t="n"/>
      <c r="W82" s="1228" t="n"/>
      <c r="X82" s="1228" t="n"/>
      <c r="Y82" s="1228" t="n"/>
      <c r="Z82" s="1228" t="n"/>
      <c r="AA82" s="1228" t="n"/>
      <c r="AB82" s="1228" t="n"/>
      <c r="AC82" s="1231" t="n">
        <v>0.3128</v>
      </c>
      <c r="AD82" s="1228" t="n"/>
      <c r="AE82" s="1228" t="n"/>
      <c r="AF82" s="1231" t="n">
        <v>0.2341</v>
      </c>
      <c r="AG82" s="1228" t="n"/>
      <c r="AH82" s="1231" t="n">
        <v>0.8566</v>
      </c>
      <c r="AI82" s="1231" t="n">
        <v>2.2838</v>
      </c>
      <c r="AJ82" s="1231" t="n">
        <v>3.1403</v>
      </c>
      <c r="AK82" s="1228" t="n"/>
      <c r="AL82" s="1228" t="n"/>
      <c r="AM82" s="1229" t="inlineStr">
        <is>
          <t>NNN landlord expenses only; from AXG Whse Expenses PSF.xlsx (R0181787)</t>
        </is>
      </c>
    </row>
    <row r="83" ht="14.1" customHeight="1">
      <c r="A83" s="696" t="inlineStr">
        <is>
          <t>P038</t>
        </is>
      </c>
      <c r="B83" s="695" t="n">
        <v>584</v>
      </c>
      <c r="C83" s="696" t="inlineStr">
        <is>
          <t>R0181787</t>
        </is>
      </c>
      <c r="D83" s="1195" t="inlineStr">
        <is>
          <t>Majestic Commercenter (R0181787)</t>
        </is>
      </c>
      <c r="E83" s="696" t="inlineStr">
        <is>
          <t>Commerce City</t>
        </is>
      </c>
      <c r="F83" s="696" t="inlineStr">
        <is>
          <t>CO</t>
        </is>
      </c>
      <c r="G83" s="696" t="inlineStr">
        <is>
          <t>Industrial</t>
        </is>
      </c>
      <c r="H83" s="1195"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1195" t="inlineStr">
        <is>
          <t>NNN landlord expenses only; from AXG Whse Expenses PSF.xlsx (R0181787)</t>
        </is>
      </c>
    </row>
    <row r="84" ht="14.1" customHeight="1">
      <c r="A84" s="1228" t="inlineStr">
        <is>
          <t>P039</t>
        </is>
      </c>
      <c r="B84" s="695" t="n">
        <v>584</v>
      </c>
      <c r="C84" s="1228" t="inlineStr">
        <is>
          <t>R0191101</t>
        </is>
      </c>
      <c r="D84" s="1229" t="inlineStr">
        <is>
          <t>Majestic Commercenter (R0191101)</t>
        </is>
      </c>
      <c r="E84" s="1228" t="inlineStr">
        <is>
          <t>Commerce City</t>
        </is>
      </c>
      <c r="F84" s="1228" t="inlineStr">
        <is>
          <t>CO</t>
        </is>
      </c>
      <c r="G84" s="1228" t="inlineStr">
        <is>
          <t>Industrial</t>
        </is>
      </c>
      <c r="H84" s="1229" t="inlineStr">
        <is>
          <t>Warehouse NNN</t>
        </is>
      </c>
      <c r="I84" s="1230" t="n">
        <v>2017</v>
      </c>
      <c r="J84" s="1230" t="n">
        <v>522120</v>
      </c>
      <c r="K84" s="1230" t="n">
        <v>2021</v>
      </c>
      <c r="L84" s="1228" t="n"/>
      <c r="M84" s="1228" t="n"/>
      <c r="N84" s="1228" t="n"/>
      <c r="O84" s="1231" t="n">
        <v>0.0822</v>
      </c>
      <c r="P84" s="1231" t="n">
        <v>0.2582</v>
      </c>
      <c r="Q84" s="1228" t="n"/>
      <c r="R84" s="1228" t="n"/>
      <c r="S84" s="1228" t="n"/>
      <c r="T84" s="1228" t="n"/>
      <c r="U84" s="1228" t="n"/>
      <c r="V84" s="1228" t="n"/>
      <c r="W84" s="1228" t="n"/>
      <c r="X84" s="1228" t="n"/>
      <c r="Y84" s="1228" t="n"/>
      <c r="Z84" s="1228" t="n"/>
      <c r="AA84" s="1228" t="n"/>
      <c r="AB84" s="1228" t="n"/>
      <c r="AC84" s="1231" t="n">
        <v>0.2825</v>
      </c>
      <c r="AD84" s="1228" t="n"/>
      <c r="AE84" s="1228" t="n"/>
      <c r="AF84" s="1231" t="n">
        <v>0.1793</v>
      </c>
      <c r="AG84" s="1228" t="n"/>
      <c r="AH84" s="1231" t="n">
        <v>0.8022</v>
      </c>
      <c r="AI84" s="1231" t="n">
        <v>2.1785</v>
      </c>
      <c r="AJ84" s="1231" t="n">
        <v>2.9807</v>
      </c>
      <c r="AK84" s="1228" t="n"/>
      <c r="AL84" s="1228" t="n"/>
      <c r="AM84" s="1229" t="inlineStr">
        <is>
          <t>NNN landlord expenses only; from AXG Whse Expenses PSF.xlsx (R0191101)</t>
        </is>
      </c>
    </row>
    <row r="85" ht="14.1" customHeight="1">
      <c r="A85" s="696" t="inlineStr">
        <is>
          <t>P039</t>
        </is>
      </c>
      <c r="B85" s="695" t="n">
        <v>584</v>
      </c>
      <c r="C85" s="696" t="inlineStr">
        <is>
          <t>R0191101</t>
        </is>
      </c>
      <c r="D85" s="1195" t="inlineStr">
        <is>
          <t>Majestic Commercenter (R0191101)</t>
        </is>
      </c>
      <c r="E85" s="696" t="inlineStr">
        <is>
          <t>Commerce City</t>
        </is>
      </c>
      <c r="F85" s="696" t="inlineStr">
        <is>
          <t>CO</t>
        </is>
      </c>
      <c r="G85" s="696" t="inlineStr">
        <is>
          <t>Industrial</t>
        </is>
      </c>
      <c r="H85" s="1195"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1195" t="inlineStr">
        <is>
          <t>NNN landlord expenses only; from AXG Whse Expenses PSF.xlsx (R0191101)</t>
        </is>
      </c>
    </row>
    <row r="86" ht="14.1" customHeight="1">
      <c r="A86" s="1228" t="inlineStr">
        <is>
          <t>P040</t>
        </is>
      </c>
      <c r="B86" s="695" t="n">
        <v>407</v>
      </c>
      <c r="C86" s="1228" t="inlineStr">
        <is>
          <t>R0202874</t>
        </is>
      </c>
      <c r="D86" s="1229" t="inlineStr">
        <is>
          <t>900 E 128th Ave</t>
        </is>
      </c>
      <c r="E86" s="1228" t="inlineStr">
        <is>
          <t>Henderson</t>
        </is>
      </c>
      <c r="F86" s="1228" t="inlineStr">
        <is>
          <t>CO</t>
        </is>
      </c>
      <c r="G86" s="1228" t="inlineStr">
        <is>
          <t>Industrial</t>
        </is>
      </c>
      <c r="H86" s="1229" t="inlineStr">
        <is>
          <t>Last-Mile Distribution NNN</t>
        </is>
      </c>
      <c r="I86" s="1230" t="n"/>
      <c r="J86" s="1230" t="n"/>
      <c r="K86" s="1230" t="n">
        <v>2021</v>
      </c>
      <c r="L86" s="1233" t="n">
        <v>2633716</v>
      </c>
      <c r="M86" s="1228" t="n"/>
      <c r="N86" s="1233" t="n">
        <v>3256403</v>
      </c>
      <c r="O86" s="1233" t="n">
        <v>56624</v>
      </c>
      <c r="P86" s="1228" t="n"/>
      <c r="Q86" s="1233" t="n">
        <v>300</v>
      </c>
      <c r="R86" s="1228" t="n"/>
      <c r="S86" s="1228" t="n"/>
      <c r="T86" s="1228" t="n"/>
      <c r="U86" s="1228" t="n"/>
      <c r="V86" s="1228" t="n"/>
      <c r="W86" s="1228" t="n"/>
      <c r="X86" s="1233" t="n">
        <v>29535</v>
      </c>
      <c r="Y86" s="1233" t="n">
        <v>30138</v>
      </c>
      <c r="Z86" s="1228" t="n"/>
      <c r="AA86" s="1233" t="n">
        <v>54136</v>
      </c>
      <c r="AB86" s="1233" t="n">
        <v>127274</v>
      </c>
      <c r="AC86" s="1228" t="n"/>
      <c r="AD86" s="1228" t="n"/>
      <c r="AE86" s="1228" t="n"/>
      <c r="AF86" s="1233" t="n">
        <v>18748</v>
      </c>
      <c r="AG86" s="1228" t="n"/>
      <c r="AH86" s="1233" t="n">
        <v>731951</v>
      </c>
      <c r="AI86" s="1228" t="n"/>
      <c r="AJ86" s="1228" t="n"/>
      <c r="AK86" s="1233" t="n">
        <v>2524452</v>
      </c>
      <c r="AL86" s="1228" t="n"/>
      <c r="AM86" s="1229" t="inlineStr">
        <is>
          <t>[NO SF] Amazon AMZL Site 51812; SF not extracted; RE Tax not broken out in 2021</t>
        </is>
      </c>
    </row>
    <row r="87" ht="14.1" customHeight="1">
      <c r="A87" s="696" t="inlineStr">
        <is>
          <t>P040</t>
        </is>
      </c>
      <c r="B87" s="695" t="n">
        <v>407</v>
      </c>
      <c r="C87" s="696" t="inlineStr">
        <is>
          <t>R0202874</t>
        </is>
      </c>
      <c r="D87" s="1195" t="inlineStr">
        <is>
          <t>900 E 128th Ave</t>
        </is>
      </c>
      <c r="E87" s="696" t="inlineStr">
        <is>
          <t>Henderson</t>
        </is>
      </c>
      <c r="F87" s="696" t="inlineStr">
        <is>
          <t>CO</t>
        </is>
      </c>
      <c r="G87" s="696" t="inlineStr">
        <is>
          <t>Industrial</t>
        </is>
      </c>
      <c r="H87" s="1195"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1195" t="inlineStr">
        <is>
          <t>[NO SF] Amazon AMZL Site 51812; 2022 dominated by RE Tax $1.08M; asset mgmt fee $70k</t>
        </is>
      </c>
    </row>
    <row r="88" ht="14.1" customHeight="1">
      <c r="A88" s="1228" t="inlineStr">
        <is>
          <t>P041</t>
        </is>
      </c>
      <c r="B88" s="695" t="n">
        <v>386</v>
      </c>
      <c r="C88" s="1228" t="inlineStr">
        <is>
          <t>R0189384</t>
        </is>
      </c>
      <c r="D88" s="1229" t="inlineStr">
        <is>
          <t>1101 Colorado Blvd</t>
        </is>
      </c>
      <c r="E88" s="1228" t="inlineStr">
        <is>
          <t>Thornton</t>
        </is>
      </c>
      <c r="F88" s="1228" t="inlineStr">
        <is>
          <t>CO</t>
        </is>
      </c>
      <c r="G88" s="1228" t="inlineStr">
        <is>
          <t>Self-Storage</t>
        </is>
      </c>
      <c r="H88" s="1229" t="inlineStr">
        <is>
          <t>Climate-Controlled</t>
        </is>
      </c>
      <c r="I88" s="1230" t="n"/>
      <c r="J88" s="1230" t="n">
        <v>65766</v>
      </c>
      <c r="K88" s="1230" t="n">
        <v>2021</v>
      </c>
      <c r="L88" s="1228" t="n"/>
      <c r="M88" s="1228" t="n"/>
      <c r="N88" s="1231" t="n">
        <v>13.3807</v>
      </c>
      <c r="O88" s="1228" t="n"/>
      <c r="P88" s="1228" t="n"/>
      <c r="Q88" s="1228" t="n"/>
      <c r="R88" s="1228" t="n"/>
      <c r="S88" s="1228" t="n"/>
      <c r="T88" s="1228" t="n"/>
      <c r="U88" s="1228" t="n"/>
      <c r="V88" s="1228" t="n"/>
      <c r="W88" s="1228" t="n"/>
      <c r="X88" s="1228" t="n"/>
      <c r="Y88" s="1228" t="n"/>
      <c r="Z88" s="1228" t="n"/>
      <c r="AA88" s="1228" t="n"/>
      <c r="AB88" s="1228" t="n"/>
      <c r="AC88" s="1228" t="n"/>
      <c r="AD88" s="1228" t="n"/>
      <c r="AE88" s="1228" t="n"/>
      <c r="AF88" s="1228" t="n"/>
      <c r="AG88" s="1228" t="n"/>
      <c r="AH88" s="1228" t="n"/>
      <c r="AI88" s="1228" t="n"/>
      <c r="AJ88" s="1231" t="n">
        <v>6.3574</v>
      </c>
      <c r="AK88" s="1231" t="n">
        <v>7.0233</v>
      </c>
      <c r="AL88" s="1228" t="n"/>
      <c r="AM88" s="1229" t="inlineStr">
        <is>
          <t>Actual SS P&amp;L; mgmt=off-site+on-site combined; admin+adv in Other</t>
        </is>
      </c>
    </row>
    <row r="89" ht="14.1" customHeight="1">
      <c r="A89" s="1228" t="inlineStr">
        <is>
          <t>P041</t>
        </is>
      </c>
      <c r="B89" s="695" t="n">
        <v>386</v>
      </c>
      <c r="C89" s="1228" t="inlineStr">
        <is>
          <t>R0189384</t>
        </is>
      </c>
      <c r="D89" s="1229" t="inlineStr">
        <is>
          <t>1101 Colorado Blvd</t>
        </is>
      </c>
      <c r="E89" s="1228" t="inlineStr">
        <is>
          <t>Thornton</t>
        </is>
      </c>
      <c r="F89" s="1228" t="inlineStr">
        <is>
          <t>CO</t>
        </is>
      </c>
      <c r="G89" s="1228" t="inlineStr">
        <is>
          <t>Self-Storage</t>
        </is>
      </c>
      <c r="H89" s="1229" t="inlineStr">
        <is>
          <t>Climate-Controlled</t>
        </is>
      </c>
      <c r="I89" s="1230" t="n"/>
      <c r="J89" s="1230" t="n">
        <v>65766</v>
      </c>
      <c r="K89" s="1230" t="n">
        <v>2022</v>
      </c>
      <c r="L89" s="1228" t="n"/>
      <c r="M89" s="1228" t="n"/>
      <c r="N89" s="1231" t="n">
        <v>14.0623</v>
      </c>
      <c r="O89" s="1228" t="n"/>
      <c r="P89" s="1228" t="n"/>
      <c r="Q89" s="1228" t="n"/>
      <c r="R89" s="1228" t="n"/>
      <c r="S89" s="1228" t="n"/>
      <c r="T89" s="1228" t="n"/>
      <c r="U89" s="1228" t="n"/>
      <c r="V89" s="1228" t="n"/>
      <c r="W89" s="1228" t="n"/>
      <c r="X89" s="1228" t="n"/>
      <c r="Y89" s="1228" t="n"/>
      <c r="Z89" s="1228" t="n"/>
      <c r="AA89" s="1228" t="n"/>
      <c r="AB89" s="1228" t="n"/>
      <c r="AC89" s="1228" t="n"/>
      <c r="AD89" s="1228" t="n"/>
      <c r="AE89" s="1228" t="n"/>
      <c r="AF89" s="1228" t="n"/>
      <c r="AG89" s="1228" t="n"/>
      <c r="AH89" s="1228" t="n"/>
      <c r="AI89" s="1228" t="n"/>
      <c r="AJ89" s="1231" t="n">
        <v>6.9302</v>
      </c>
      <c r="AK89" s="1231" t="n">
        <v>7.1322</v>
      </c>
      <c r="AL89" s="1228" t="n"/>
      <c r="AM89" s="1229" t="inlineStr">
        <is>
          <t>Actual SS P&amp;L; mgmt=off-site+on-site combined; admin+adv in Other</t>
        </is>
      </c>
    </row>
    <row r="90" ht="14.1" customHeight="1">
      <c r="A90" s="1228" t="inlineStr">
        <is>
          <t>P041</t>
        </is>
      </c>
      <c r="B90" s="695" t="n">
        <v>386</v>
      </c>
      <c r="C90" s="1228" t="inlineStr">
        <is>
          <t>R0189384</t>
        </is>
      </c>
      <c r="D90" s="1229" t="inlineStr">
        <is>
          <t>1101 Colorado Blvd</t>
        </is>
      </c>
      <c r="E90" s="1228" t="inlineStr">
        <is>
          <t>Thornton</t>
        </is>
      </c>
      <c r="F90" s="1228" t="inlineStr">
        <is>
          <t>CO</t>
        </is>
      </c>
      <c r="G90" s="1228" t="inlineStr">
        <is>
          <t>Self-Storage</t>
        </is>
      </c>
      <c r="H90" s="1229" t="inlineStr">
        <is>
          <t>Climate-Controlled</t>
        </is>
      </c>
      <c r="I90" s="1230" t="n"/>
      <c r="J90" s="1230" t="n">
        <v>65766</v>
      </c>
      <c r="K90" s="1230" t="n">
        <v>2023</v>
      </c>
      <c r="L90" s="1228" t="n"/>
      <c r="M90" s="1228" t="n"/>
      <c r="N90" s="1231" t="n">
        <v>14.16</v>
      </c>
      <c r="O90" s="1231" t="n">
        <v>0.6306</v>
      </c>
      <c r="P90" s="1231" t="n">
        <v>1.5829</v>
      </c>
      <c r="Q90" s="1228" t="n"/>
      <c r="R90" s="1228" t="n"/>
      <c r="S90" s="1228" t="n"/>
      <c r="T90" s="1228" t="n"/>
      <c r="U90" s="1228" t="n"/>
      <c r="V90" s="1228" t="n"/>
      <c r="W90" s="1228" t="n"/>
      <c r="X90" s="1228" t="n"/>
      <c r="Y90" s="1231" t="n">
        <v>0.2367</v>
      </c>
      <c r="Z90" s="1228" t="n"/>
      <c r="AA90" s="1228" t="n"/>
      <c r="AB90" s="1228" t="n"/>
      <c r="AC90" s="1228" t="n"/>
      <c r="AD90" s="1228" t="n"/>
      <c r="AE90" s="1228" t="n"/>
      <c r="AF90" s="1231" t="n">
        <v>0.5644</v>
      </c>
      <c r="AG90" s="1228" t="n"/>
      <c r="AH90" s="1231" t="n">
        <v>4.479</v>
      </c>
      <c r="AI90" s="1231" t="n">
        <v>2.7358</v>
      </c>
      <c r="AJ90" s="1231" t="n">
        <v>7.2147</v>
      </c>
      <c r="AK90" s="1231" t="n">
        <v>7.1427</v>
      </c>
      <c r="AL90" s="1228" t="n"/>
      <c r="AM90" s="1229" t="inlineStr">
        <is>
          <t>Actual SS P&amp;L; mgmt=off-site+on-site combined; admin+adv in Other</t>
        </is>
      </c>
    </row>
    <row r="91" ht="14.1" customHeight="1">
      <c r="A91" s="1228" t="inlineStr">
        <is>
          <t>P042</t>
        </is>
      </c>
      <c r="B91" s="695" t="n">
        <v>386</v>
      </c>
      <c r="C91" s="1228" t="inlineStr">
        <is>
          <t>R0126235</t>
        </is>
      </c>
      <c r="D91" s="1229" t="inlineStr">
        <is>
          <t>15024 Laroy Drive</t>
        </is>
      </c>
      <c r="E91" s="1228" t="inlineStr">
        <is>
          <t>Northglenn</t>
        </is>
      </c>
      <c r="F91" s="1228" t="inlineStr">
        <is>
          <t>CO</t>
        </is>
      </c>
      <c r="G91" s="1228" t="inlineStr">
        <is>
          <t>Self-Storage</t>
        </is>
      </c>
      <c r="H91" s="1229" t="inlineStr">
        <is>
          <t>Climate-Controlled</t>
        </is>
      </c>
      <c r="I91" s="1230" t="n"/>
      <c r="J91" s="1230" t="n">
        <v>79950</v>
      </c>
      <c r="K91" s="1230" t="n">
        <v>2021</v>
      </c>
      <c r="L91" s="1228" t="n"/>
      <c r="M91" s="1228" t="n"/>
      <c r="N91" s="1231" t="n">
        <v>11.9617</v>
      </c>
      <c r="O91" s="1228" t="n"/>
      <c r="P91" s="1228" t="n"/>
      <c r="Q91" s="1228" t="n"/>
      <c r="R91" s="1228" t="n"/>
      <c r="S91" s="1228" t="n"/>
      <c r="T91" s="1228" t="n"/>
      <c r="U91" s="1228" t="n"/>
      <c r="V91" s="1228" t="n"/>
      <c r="W91" s="1228" t="n"/>
      <c r="X91" s="1228" t="n"/>
      <c r="Y91" s="1228" t="n"/>
      <c r="Z91" s="1228" t="n"/>
      <c r="AA91" s="1228" t="n"/>
      <c r="AB91" s="1228" t="n"/>
      <c r="AC91" s="1228" t="n"/>
      <c r="AD91" s="1228" t="n"/>
      <c r="AE91" s="1228" t="n"/>
      <c r="AF91" s="1228" t="n"/>
      <c r="AG91" s="1228" t="n"/>
      <c r="AH91" s="1228" t="n"/>
      <c r="AI91" s="1228" t="n"/>
      <c r="AJ91" s="1231" t="n">
        <v>6.0239</v>
      </c>
      <c r="AK91" s="1231" t="n">
        <v>6.4381</v>
      </c>
      <c r="AL91" s="1228" t="n"/>
      <c r="AM91" s="1229" t="inlineStr">
        <is>
          <t>Actual SS P&amp;L; mgmt=off-site+on-site combined</t>
        </is>
      </c>
    </row>
    <row r="92" ht="14.1" customHeight="1">
      <c r="A92" s="1228" t="inlineStr">
        <is>
          <t>P042</t>
        </is>
      </c>
      <c r="B92" s="695" t="n">
        <v>386</v>
      </c>
      <c r="C92" s="1228" t="inlineStr">
        <is>
          <t>R0126235</t>
        </is>
      </c>
      <c r="D92" s="1229" t="inlineStr">
        <is>
          <t>15024 Laroy Drive</t>
        </is>
      </c>
      <c r="E92" s="1228" t="inlineStr">
        <is>
          <t>Northglenn</t>
        </is>
      </c>
      <c r="F92" s="1228" t="inlineStr">
        <is>
          <t>CO</t>
        </is>
      </c>
      <c r="G92" s="1228" t="inlineStr">
        <is>
          <t>Self-Storage</t>
        </is>
      </c>
      <c r="H92" s="1229" t="inlineStr">
        <is>
          <t>Climate-Controlled</t>
        </is>
      </c>
      <c r="I92" s="1230" t="n"/>
      <c r="J92" s="1230" t="n">
        <v>79950</v>
      </c>
      <c r="K92" s="1230" t="n">
        <v>2022</v>
      </c>
      <c r="L92" s="1228" t="n"/>
      <c r="M92" s="1228" t="n"/>
      <c r="N92" s="1231" t="n">
        <v>12.7321</v>
      </c>
      <c r="O92" s="1228" t="n"/>
      <c r="P92" s="1228" t="n"/>
      <c r="Q92" s="1228" t="n"/>
      <c r="R92" s="1228" t="n"/>
      <c r="S92" s="1228" t="n"/>
      <c r="T92" s="1228" t="n"/>
      <c r="U92" s="1228" t="n"/>
      <c r="V92" s="1228" t="n"/>
      <c r="W92" s="1228" t="n"/>
      <c r="X92" s="1228" t="n"/>
      <c r="Y92" s="1228" t="n"/>
      <c r="Z92" s="1228" t="n"/>
      <c r="AA92" s="1228" t="n"/>
      <c r="AB92" s="1228" t="n"/>
      <c r="AC92" s="1228" t="n"/>
      <c r="AD92" s="1228" t="n"/>
      <c r="AE92" s="1228" t="n"/>
      <c r="AF92" s="1228" t="n"/>
      <c r="AG92" s="1228" t="n"/>
      <c r="AH92" s="1228" t="n"/>
      <c r="AI92" s="1228" t="n"/>
      <c r="AJ92" s="1231" t="n">
        <v>5.4064</v>
      </c>
      <c r="AK92" s="1231" t="n">
        <v>7.3257</v>
      </c>
      <c r="AL92" s="1228" t="n"/>
      <c r="AM92" s="1229" t="inlineStr">
        <is>
          <t>Actual SS P&amp;L; mgmt=off-site+on-site combined</t>
        </is>
      </c>
    </row>
    <row r="93" ht="14.1" customHeight="1">
      <c r="A93" s="1228" t="inlineStr">
        <is>
          <t>P042</t>
        </is>
      </c>
      <c r="B93" s="695" t="n">
        <v>386</v>
      </c>
      <c r="C93" s="1228" t="inlineStr">
        <is>
          <t>R0126235</t>
        </is>
      </c>
      <c r="D93" s="1229" t="inlineStr">
        <is>
          <t>15024 Laroy Drive</t>
        </is>
      </c>
      <c r="E93" s="1228" t="inlineStr">
        <is>
          <t>Northglenn</t>
        </is>
      </c>
      <c r="F93" s="1228" t="inlineStr">
        <is>
          <t>CO</t>
        </is>
      </c>
      <c r="G93" s="1228" t="inlineStr">
        <is>
          <t>Self-Storage</t>
        </is>
      </c>
      <c r="H93" s="1229" t="inlineStr">
        <is>
          <t>Climate-Controlled</t>
        </is>
      </c>
      <c r="I93" s="1230" t="n"/>
      <c r="J93" s="1230" t="n">
        <v>79950</v>
      </c>
      <c r="K93" s="1230" t="n">
        <v>2023</v>
      </c>
      <c r="L93" s="1228" t="n"/>
      <c r="M93" s="1228" t="n"/>
      <c r="N93" s="1231" t="n">
        <v>11.94</v>
      </c>
      <c r="O93" s="1231" t="n">
        <v>0.5105</v>
      </c>
      <c r="P93" s="1231" t="n">
        <v>1.3574</v>
      </c>
      <c r="Q93" s="1228" t="n"/>
      <c r="R93" s="1228" t="n"/>
      <c r="S93" s="1228" t="n"/>
      <c r="T93" s="1228" t="n"/>
      <c r="U93" s="1228" t="n"/>
      <c r="V93" s="1228" t="n"/>
      <c r="W93" s="1228" t="n"/>
      <c r="X93" s="1228" t="n"/>
      <c r="Y93" s="1231" t="n">
        <v>0.301</v>
      </c>
      <c r="Z93" s="1228" t="n"/>
      <c r="AA93" s="1228" t="n"/>
      <c r="AB93" s="1228" t="n"/>
      <c r="AC93" s="1228" t="n"/>
      <c r="AD93" s="1228" t="n"/>
      <c r="AE93" s="1228" t="n"/>
      <c r="AF93" s="1231" t="n">
        <v>0.2587</v>
      </c>
      <c r="AG93" s="1228" t="n"/>
      <c r="AH93" s="1231" t="n">
        <v>3.4355</v>
      </c>
      <c r="AI93" s="1231" t="n">
        <v>3.061</v>
      </c>
      <c r="AJ93" s="1231" t="n">
        <v>6.4964</v>
      </c>
      <c r="AK93" s="1231" t="n">
        <v>5.4436</v>
      </c>
      <c r="AL93" s="1228" t="n"/>
      <c r="AM93" s="1229" t="inlineStr">
        <is>
          <t>Actual SS P&amp;L; mgmt=off-site+on-site combined</t>
        </is>
      </c>
    </row>
    <row r="94" ht="14.1" customHeight="1">
      <c r="A94" s="1228" t="inlineStr">
        <is>
          <t>P043</t>
        </is>
      </c>
      <c r="B94" s="695" t="n">
        <v>386</v>
      </c>
      <c r="C94" s="1228" t="inlineStr">
        <is>
          <t>R0126234</t>
        </is>
      </c>
      <c r="D94" s="1229" t="inlineStr">
        <is>
          <t>715 W 112th Ave</t>
        </is>
      </c>
      <c r="E94" s="1228" t="inlineStr">
        <is>
          <t>Northglenn</t>
        </is>
      </c>
      <c r="F94" s="1228" t="inlineStr">
        <is>
          <t>CO</t>
        </is>
      </c>
      <c r="G94" s="1228" t="inlineStr">
        <is>
          <t>Self-Storage</t>
        </is>
      </c>
      <c r="H94" s="1229" t="inlineStr">
        <is>
          <t>Drive-Up/Drop-Off</t>
        </is>
      </c>
      <c r="I94" s="1230" t="n"/>
      <c r="J94" s="1230" t="n">
        <v>83756</v>
      </c>
      <c r="K94" s="1230" t="n">
        <v>2021</v>
      </c>
      <c r="L94" s="1228" t="n"/>
      <c r="M94" s="1228" t="n"/>
      <c r="N94" s="1231" t="n">
        <v>9.7278</v>
      </c>
      <c r="O94" s="1228" t="n"/>
      <c r="P94" s="1228" t="n"/>
      <c r="Q94" s="1228" t="n"/>
      <c r="R94" s="1228" t="n"/>
      <c r="S94" s="1228" t="n"/>
      <c r="T94" s="1228" t="n"/>
      <c r="U94" s="1228" t="n"/>
      <c r="V94" s="1228" t="n"/>
      <c r="W94" s="1228" t="n"/>
      <c r="X94" s="1228" t="n"/>
      <c r="Y94" s="1228" t="n"/>
      <c r="Z94" s="1228" t="n"/>
      <c r="AA94" s="1228" t="n"/>
      <c r="AB94" s="1228" t="n"/>
      <c r="AC94" s="1228" t="n"/>
      <c r="AD94" s="1228" t="n"/>
      <c r="AE94" s="1228" t="n"/>
      <c r="AF94" s="1228" t="n"/>
      <c r="AG94" s="1228" t="n"/>
      <c r="AH94" s="1228" t="n"/>
      <c r="AI94" s="1228" t="n"/>
      <c r="AJ94" s="1231" t="n">
        <v>5.2127</v>
      </c>
      <c r="AK94" s="1231" t="n">
        <v>4.5151</v>
      </c>
      <c r="AL94" s="1228" t="n"/>
      <c r="AM94" s="1229" t="inlineStr">
        <is>
          <t>Actual SS P&amp;L; mgmt=off-site+on-site combined</t>
        </is>
      </c>
    </row>
    <row r="95" ht="14.1" customHeight="1">
      <c r="A95" s="1228" t="inlineStr">
        <is>
          <t>P043</t>
        </is>
      </c>
      <c r="B95" s="695" t="n">
        <v>386</v>
      </c>
      <c r="C95" s="1228" t="inlineStr">
        <is>
          <t>R0126234</t>
        </is>
      </c>
      <c r="D95" s="1229" t="inlineStr">
        <is>
          <t>715 W 112th Ave</t>
        </is>
      </c>
      <c r="E95" s="1228" t="inlineStr">
        <is>
          <t>Northglenn</t>
        </is>
      </c>
      <c r="F95" s="1228" t="inlineStr">
        <is>
          <t>CO</t>
        </is>
      </c>
      <c r="G95" s="1228" t="inlineStr">
        <is>
          <t>Self-Storage</t>
        </is>
      </c>
      <c r="H95" s="1229" t="inlineStr">
        <is>
          <t>Drive-Up/Drop-Off</t>
        </is>
      </c>
      <c r="I95" s="1230" t="n"/>
      <c r="J95" s="1230" t="n">
        <v>83756</v>
      </c>
      <c r="K95" s="1230" t="n">
        <v>2022</v>
      </c>
      <c r="L95" s="1228" t="n"/>
      <c r="M95" s="1228" t="n"/>
      <c r="N95" s="1231" t="n">
        <v>11.7102</v>
      </c>
      <c r="O95" s="1228" t="n"/>
      <c r="P95" s="1228" t="n"/>
      <c r="Q95" s="1228" t="n"/>
      <c r="R95" s="1228" t="n"/>
      <c r="S95" s="1228" t="n"/>
      <c r="T95" s="1228" t="n"/>
      <c r="U95" s="1228" t="n"/>
      <c r="V95" s="1228" t="n"/>
      <c r="W95" s="1228" t="n"/>
      <c r="X95" s="1228" t="n"/>
      <c r="Y95" s="1228" t="n"/>
      <c r="Z95" s="1228" t="n"/>
      <c r="AA95" s="1228" t="n"/>
      <c r="AB95" s="1228" t="n"/>
      <c r="AC95" s="1228" t="n"/>
      <c r="AD95" s="1228" t="n"/>
      <c r="AE95" s="1228" t="n"/>
      <c r="AF95" s="1228" t="n"/>
      <c r="AG95" s="1228" t="n"/>
      <c r="AH95" s="1228" t="n"/>
      <c r="AI95" s="1228" t="n"/>
      <c r="AJ95" s="1231" t="n">
        <v>5.4426</v>
      </c>
      <c r="AK95" s="1231" t="n">
        <v>6.2675</v>
      </c>
      <c r="AL95" s="1228" t="n"/>
      <c r="AM95" s="1229" t="inlineStr">
        <is>
          <t>Actual SS P&amp;L; mgmt=off-site+on-site combined</t>
        </is>
      </c>
    </row>
    <row r="96" ht="14.1" customHeight="1">
      <c r="A96" s="1228" t="inlineStr">
        <is>
          <t>P043</t>
        </is>
      </c>
      <c r="B96" s="695" t="n">
        <v>386</v>
      </c>
      <c r="C96" s="1228" t="inlineStr">
        <is>
          <t>R0126234</t>
        </is>
      </c>
      <c r="D96" s="1229" t="inlineStr">
        <is>
          <t>715 W 112th Ave</t>
        </is>
      </c>
      <c r="E96" s="1228" t="inlineStr">
        <is>
          <t>Northglenn</t>
        </is>
      </c>
      <c r="F96" s="1228" t="inlineStr">
        <is>
          <t>CO</t>
        </is>
      </c>
      <c r="G96" s="1228" t="inlineStr">
        <is>
          <t>Self-Storage</t>
        </is>
      </c>
      <c r="H96" s="1229" t="inlineStr">
        <is>
          <t>Drive-Up/Drop-Off</t>
        </is>
      </c>
      <c r="I96" s="1230" t="n"/>
      <c r="J96" s="1230" t="n">
        <v>83756</v>
      </c>
      <c r="K96" s="1230" t="n">
        <v>2023</v>
      </c>
      <c r="L96" s="1228" t="n"/>
      <c r="M96" s="1228" t="n"/>
      <c r="N96" s="1231" t="n">
        <v>12.0821</v>
      </c>
      <c r="O96" s="1231" t="n">
        <v>0.5624</v>
      </c>
      <c r="P96" s="1231" t="n">
        <v>1.3342</v>
      </c>
      <c r="Q96" s="1228" t="n"/>
      <c r="R96" s="1228" t="n"/>
      <c r="S96" s="1228" t="n"/>
      <c r="T96" s="1228" t="n"/>
      <c r="U96" s="1228" t="n"/>
      <c r="V96" s="1228" t="n"/>
      <c r="W96" s="1228" t="n"/>
      <c r="X96" s="1228" t="n"/>
      <c r="Y96" s="1231" t="n">
        <v>0.1222</v>
      </c>
      <c r="Z96" s="1228" t="n"/>
      <c r="AA96" s="1228" t="n"/>
      <c r="AB96" s="1228" t="n"/>
      <c r="AC96" s="1228" t="n"/>
      <c r="AD96" s="1228" t="n"/>
      <c r="AE96" s="1228" t="n"/>
      <c r="AF96" s="1231" t="n">
        <v>0.1904</v>
      </c>
      <c r="AG96" s="1228" t="n"/>
      <c r="AH96" s="1231" t="n">
        <v>3.0787</v>
      </c>
      <c r="AI96" s="1231" t="n">
        <v>2.42</v>
      </c>
      <c r="AJ96" s="1231" t="n">
        <v>5.4986</v>
      </c>
      <c r="AK96" s="1231" t="n">
        <v>6.5859</v>
      </c>
      <c r="AL96" s="1228" t="n"/>
      <c r="AM96" s="1229" t="inlineStr">
        <is>
          <t>Actual SS P&amp;L; mgmt=off-site+on-site combined</t>
        </is>
      </c>
    </row>
    <row r="97" ht="14.1" customHeight="1">
      <c r="A97" s="1228" t="inlineStr">
        <is>
          <t>P044</t>
        </is>
      </c>
      <c r="B97" s="695" t="n">
        <v>386</v>
      </c>
      <c r="C97" s="1228" t="inlineStr">
        <is>
          <t>R0027089/R0178319</t>
        </is>
      </c>
      <c r="D97" s="1229" t="inlineStr">
        <is>
          <t>2290 E 120th Ave</t>
        </is>
      </c>
      <c r="E97" s="1228" t="inlineStr">
        <is>
          <t>Thornton</t>
        </is>
      </c>
      <c r="F97" s="1228" t="inlineStr">
        <is>
          <t>CO</t>
        </is>
      </c>
      <c r="G97" s="1228" t="inlineStr">
        <is>
          <t>Self-Storage</t>
        </is>
      </c>
      <c r="H97" s="1229" t="inlineStr">
        <is>
          <t>Drive-Up/Drop-Off</t>
        </is>
      </c>
      <c r="I97" s="1230" t="n"/>
      <c r="J97" s="1230" t="n">
        <v>71909</v>
      </c>
      <c r="K97" s="1230" t="n">
        <v>2021</v>
      </c>
      <c r="L97" s="1228" t="n"/>
      <c r="M97" s="1228" t="n"/>
      <c r="N97" s="1231" t="n">
        <v>11.6457</v>
      </c>
      <c r="O97" s="1228" t="n"/>
      <c r="P97" s="1228" t="n"/>
      <c r="Q97" s="1228" t="n"/>
      <c r="R97" s="1228" t="n"/>
      <c r="S97" s="1228" t="n"/>
      <c r="T97" s="1228" t="n"/>
      <c r="U97" s="1228" t="n"/>
      <c r="V97" s="1228" t="n"/>
      <c r="W97" s="1228" t="n"/>
      <c r="X97" s="1228" t="n"/>
      <c r="Y97" s="1228" t="n"/>
      <c r="Z97" s="1228" t="n"/>
      <c r="AA97" s="1228" t="n"/>
      <c r="AB97" s="1228" t="n"/>
      <c r="AC97" s="1228" t="n"/>
      <c r="AD97" s="1228" t="n"/>
      <c r="AE97" s="1228" t="n"/>
      <c r="AF97" s="1228" t="n"/>
      <c r="AG97" s="1228" t="n"/>
      <c r="AH97" s="1228" t="n"/>
      <c r="AI97" s="1228" t="n"/>
      <c r="AJ97" s="1231" t="n">
        <v>6.1981</v>
      </c>
      <c r="AK97" s="1231" t="n">
        <v>5.4476</v>
      </c>
      <c r="AL97" s="1228" t="n"/>
      <c r="AM97" s="1229" t="inlineStr">
        <is>
          <t>Actual SS P&amp;L; combined parcels R0027089+R0178319; mgmt=off-site+on-site</t>
        </is>
      </c>
    </row>
    <row r="98" ht="14.1" customHeight="1">
      <c r="A98" s="1228" t="inlineStr">
        <is>
          <t>P044</t>
        </is>
      </c>
      <c r="B98" s="695" t="n">
        <v>386</v>
      </c>
      <c r="C98" s="1228" t="inlineStr">
        <is>
          <t>R0027089/R0178319</t>
        </is>
      </c>
      <c r="D98" s="1229" t="inlineStr">
        <is>
          <t>2290 E 120th Ave</t>
        </is>
      </c>
      <c r="E98" s="1228" t="inlineStr">
        <is>
          <t>Thornton</t>
        </is>
      </c>
      <c r="F98" s="1228" t="inlineStr">
        <is>
          <t>CO</t>
        </is>
      </c>
      <c r="G98" s="1228" t="inlineStr">
        <is>
          <t>Self-Storage</t>
        </is>
      </c>
      <c r="H98" s="1229" t="inlineStr">
        <is>
          <t>Drive-Up/Drop-Off</t>
        </is>
      </c>
      <c r="I98" s="1230" t="n"/>
      <c r="J98" s="1230" t="n">
        <v>71909</v>
      </c>
      <c r="K98" s="1230" t="n">
        <v>2022</v>
      </c>
      <c r="L98" s="1228" t="n"/>
      <c r="M98" s="1228" t="n"/>
      <c r="N98" s="1231" t="n">
        <v>13.1494</v>
      </c>
      <c r="O98" s="1228" t="n"/>
      <c r="P98" s="1228" t="n"/>
      <c r="Q98" s="1228" t="n"/>
      <c r="R98" s="1228" t="n"/>
      <c r="S98" s="1228" t="n"/>
      <c r="T98" s="1228" t="n"/>
      <c r="U98" s="1228" t="n"/>
      <c r="V98" s="1228" t="n"/>
      <c r="W98" s="1228" t="n"/>
      <c r="X98" s="1228" t="n"/>
      <c r="Y98" s="1228" t="n"/>
      <c r="Z98" s="1228" t="n"/>
      <c r="AA98" s="1228" t="n"/>
      <c r="AB98" s="1228" t="n"/>
      <c r="AC98" s="1228" t="n"/>
      <c r="AD98" s="1228" t="n"/>
      <c r="AE98" s="1228" t="n"/>
      <c r="AF98" s="1228" t="n"/>
      <c r="AG98" s="1228" t="n"/>
      <c r="AH98" s="1228" t="n"/>
      <c r="AI98" s="1228" t="n"/>
      <c r="AJ98" s="1231" t="n">
        <v>6.1981</v>
      </c>
      <c r="AK98" s="1231" t="n">
        <v>6.4846</v>
      </c>
      <c r="AL98" s="1228" t="n"/>
      <c r="AM98" s="1229" t="inlineStr">
        <is>
          <t>Actual SS P&amp;L; combined parcels R0027089+R0178319; mgmt=off-site+on-site</t>
        </is>
      </c>
    </row>
    <row r="99" ht="14.1" customHeight="1">
      <c r="A99" s="1228" t="inlineStr">
        <is>
          <t>P044</t>
        </is>
      </c>
      <c r="B99" s="695" t="n">
        <v>386</v>
      </c>
      <c r="C99" s="1228" t="inlineStr">
        <is>
          <t>R0027089/R0178319</t>
        </is>
      </c>
      <c r="D99" s="1229" t="inlineStr">
        <is>
          <t>2290 E 120th Ave</t>
        </is>
      </c>
      <c r="E99" s="1228" t="inlineStr">
        <is>
          <t>Thornton</t>
        </is>
      </c>
      <c r="F99" s="1228" t="inlineStr">
        <is>
          <t>CO</t>
        </is>
      </c>
      <c r="G99" s="1228" t="inlineStr">
        <is>
          <t>Self-Storage</t>
        </is>
      </c>
      <c r="H99" s="1229" t="inlineStr">
        <is>
          <t>Drive-Up/Drop-Off</t>
        </is>
      </c>
      <c r="I99" s="1230" t="n"/>
      <c r="J99" s="1230" t="n">
        <v>71909</v>
      </c>
      <c r="K99" s="1230" t="n">
        <v>2023</v>
      </c>
      <c r="L99" s="1228" t="n"/>
      <c r="M99" s="1228" t="n"/>
      <c r="N99" s="1231" t="n">
        <v>13.6392</v>
      </c>
      <c r="O99" s="1231" t="n">
        <v>0.6036</v>
      </c>
      <c r="P99" s="1231" t="n">
        <v>1.9706</v>
      </c>
      <c r="Q99" s="1228" t="n"/>
      <c r="R99" s="1228" t="n"/>
      <c r="S99" s="1228" t="n"/>
      <c r="T99" s="1228" t="n"/>
      <c r="U99" s="1228" t="n"/>
      <c r="V99" s="1228" t="n"/>
      <c r="W99" s="1228" t="n"/>
      <c r="X99" s="1228" t="n"/>
      <c r="Y99" s="1231" t="n">
        <v>0.248</v>
      </c>
      <c r="Z99" s="1228" t="n"/>
      <c r="AA99" s="1228" t="n"/>
      <c r="AB99" s="1228" t="n"/>
      <c r="AC99" s="1228" t="n"/>
      <c r="AD99" s="1228" t="n"/>
      <c r="AE99" s="1228" t="n"/>
      <c r="AF99" s="1231" t="n">
        <v>0.298</v>
      </c>
      <c r="AG99" s="1228" t="n"/>
      <c r="AH99" s="1231" t="n">
        <v>4.1574</v>
      </c>
      <c r="AI99" s="1231" t="n">
        <v>2.5917</v>
      </c>
      <c r="AJ99" s="1231" t="n">
        <v>6.7491</v>
      </c>
      <c r="AK99" s="1231" t="n">
        <v>6.8462</v>
      </c>
      <c r="AL99" s="1228" t="n"/>
      <c r="AM99" s="1229" t="inlineStr">
        <is>
          <t>Actual SS P&amp;L; combined parcels R0027089+R0178319; mgmt=off-site+on-site</t>
        </is>
      </c>
    </row>
    <row r="100" ht="14.1" customHeight="1">
      <c r="A100" s="1228" t="inlineStr">
        <is>
          <t>P045</t>
        </is>
      </c>
      <c r="B100" s="695" t="n">
        <v>386</v>
      </c>
      <c r="C100" s="1228" t="inlineStr">
        <is>
          <t>R0043569</t>
        </is>
      </c>
      <c r="D100" s="1229" t="inlineStr">
        <is>
          <t>40131 Quivas St</t>
        </is>
      </c>
      <c r="E100" s="1228" t="inlineStr">
        <is>
          <t>Thornton</t>
        </is>
      </c>
      <c r="F100" s="1228" t="inlineStr">
        <is>
          <t>CO</t>
        </is>
      </c>
      <c r="G100" s="1228" t="inlineStr">
        <is>
          <t>Self-Storage</t>
        </is>
      </c>
      <c r="H100" s="1229" t="inlineStr">
        <is>
          <t>Drive-Up/Drop-Off</t>
        </is>
      </c>
      <c r="I100" s="1230" t="n"/>
      <c r="J100" s="1230" t="n">
        <v>41900</v>
      </c>
      <c r="K100" s="1230" t="n">
        <v>2024</v>
      </c>
      <c r="L100" s="1228" t="n"/>
      <c r="M100" s="1228" t="n"/>
      <c r="N100" s="1231" t="n">
        <v>17.1375</v>
      </c>
      <c r="O100" s="1231" t="n">
        <v>0.4543</v>
      </c>
      <c r="P100" s="1231" t="n">
        <v>2.2428</v>
      </c>
      <c r="Q100" s="1228" t="n"/>
      <c r="R100" s="1228" t="n"/>
      <c r="S100" s="1228" t="n"/>
      <c r="T100" s="1228" t="n"/>
      <c r="U100" s="1228" t="n"/>
      <c r="V100" s="1228" t="n"/>
      <c r="W100" s="1228" t="n"/>
      <c r="X100" s="1228" t="n"/>
      <c r="Y100" s="1231" t="n">
        <v>0.2809</v>
      </c>
      <c r="Z100" s="1228" t="n"/>
      <c r="AA100" s="1228" t="n"/>
      <c r="AB100" s="1228" t="n"/>
      <c r="AC100" s="1228" t="n"/>
      <c r="AD100" s="1228" t="n"/>
      <c r="AE100" s="1228" t="n"/>
      <c r="AF100" s="1231" t="n">
        <v>0.1293</v>
      </c>
      <c r="AG100" s="1228" t="n"/>
      <c r="AH100" s="1231" t="n">
        <v>4.9831</v>
      </c>
      <c r="AI100" s="1231" t="n">
        <v>4.213</v>
      </c>
      <c r="AJ100" s="1231" t="n">
        <v>9.196</v>
      </c>
      <c r="AK100" s="1231" t="n">
        <v>7.9414</v>
      </c>
      <c r="AL100" s="1228" t="n"/>
      <c r="AM100" s="1229" t="inlineStr">
        <is>
          <t>Actual FY2024 P&amp;L; mgmt=off-site $42,964+on-site $51,011; RE Tax est from matrix</t>
        </is>
      </c>
    </row>
    <row r="101" ht="14.1" customHeight="1">
      <c r="A101" s="1228" t="inlineStr">
        <is>
          <t>P046</t>
        </is>
      </c>
      <c r="B101" s="695" t="n">
        <v>386</v>
      </c>
      <c r="C101" s="1228" t="inlineStr">
        <is>
          <t>R0193009</t>
        </is>
      </c>
      <c r="D101" s="1229" t="inlineStr">
        <is>
          <t>Address unknown – see R0193009</t>
        </is>
      </c>
      <c r="E101" s="1228" t="inlineStr">
        <is>
          <t>Adams County</t>
        </is>
      </c>
      <c r="F101" s="1228" t="inlineStr">
        <is>
          <t>CO</t>
        </is>
      </c>
      <c r="G101" s="1228" t="inlineStr">
        <is>
          <t>Self-Storage</t>
        </is>
      </c>
      <c r="H101" s="1229" t="inlineStr">
        <is>
          <t>Climate-Controlled</t>
        </is>
      </c>
      <c r="I101" s="1230" t="n"/>
      <c r="J101" s="1230" t="n">
        <v>94736</v>
      </c>
      <c r="K101" s="1230" t="n"/>
      <c r="L101" s="1228" t="n"/>
      <c r="M101" s="1228" t="n"/>
      <c r="N101" s="1231" t="n">
        <v>16.7</v>
      </c>
      <c r="O101" s="1231" t="n">
        <v>0.4183</v>
      </c>
      <c r="P101" s="1231" t="n">
        <v>1.7666</v>
      </c>
      <c r="Q101" s="1228" t="n"/>
      <c r="R101" s="1228" t="n"/>
      <c r="S101" s="1228" t="n"/>
      <c r="T101" s="1228" t="n"/>
      <c r="U101" s="1228" t="n"/>
      <c r="V101" s="1228" t="n"/>
      <c r="W101" s="1228" t="n"/>
      <c r="X101" s="1228" t="n"/>
      <c r="Y101" s="1231" t="n">
        <v>0.4073</v>
      </c>
      <c r="Z101" s="1228" t="n"/>
      <c r="AA101" s="1228" t="n"/>
      <c r="AB101" s="1228" t="n"/>
      <c r="AC101" s="1228" t="n"/>
      <c r="AD101" s="1228" t="n"/>
      <c r="AE101" s="1228" t="n"/>
      <c r="AF101" s="1231" t="n">
        <v>0.207</v>
      </c>
      <c r="AG101" s="1228" t="n"/>
      <c r="AH101" s="1231" t="n">
        <v>3.6866</v>
      </c>
      <c r="AI101" s="1231" t="n">
        <v>4.474</v>
      </c>
      <c r="AJ101" s="1231" t="n">
        <v>8.160600000000001</v>
      </c>
      <c r="AK101" s="1231" t="n">
        <v>8.539400000000001</v>
      </c>
      <c r="AL101" s="1228" t="n"/>
      <c r="AM101" s="1229" t="inlineStr">
        <is>
          <t>AXG SS Expense Matrix; year not specified (~2022/23); R0193009</t>
        </is>
      </c>
    </row>
    <row r="102" ht="14.1" customHeight="1">
      <c r="A102" s="1228" t="inlineStr">
        <is>
          <t>P047</t>
        </is>
      </c>
      <c r="B102" s="695" t="n">
        <v>386</v>
      </c>
      <c r="C102" s="1228" t="inlineStr">
        <is>
          <t>R0099616</t>
        </is>
      </c>
      <c r="D102" s="1229" t="inlineStr">
        <is>
          <t>Address unknown – see R0099616</t>
        </is>
      </c>
      <c r="E102" s="1228" t="inlineStr">
        <is>
          <t>Adams County</t>
        </is>
      </c>
      <c r="F102" s="1228" t="inlineStr">
        <is>
          <t>CO</t>
        </is>
      </c>
      <c r="G102" s="1228" t="inlineStr">
        <is>
          <t>Self-Storage</t>
        </is>
      </c>
      <c r="H102" s="1229" t="inlineStr">
        <is>
          <t>Drive-Up/Drop-Off</t>
        </is>
      </c>
      <c r="I102" s="1230" t="n"/>
      <c r="J102" s="1230" t="n">
        <v>73500</v>
      </c>
      <c r="K102" s="1230" t="n"/>
      <c r="L102" s="1228" t="n"/>
      <c r="M102" s="1228" t="n"/>
      <c r="N102" s="1231" t="n">
        <v>11.3518</v>
      </c>
      <c r="O102" s="1231" t="n">
        <v>0.2504</v>
      </c>
      <c r="P102" s="1231" t="n">
        <v>0.8845</v>
      </c>
      <c r="Q102" s="1228" t="n"/>
      <c r="R102" s="1228" t="n"/>
      <c r="S102" s="1228" t="n"/>
      <c r="T102" s="1228" t="n"/>
      <c r="U102" s="1228" t="n"/>
      <c r="V102" s="1228" t="n"/>
      <c r="W102" s="1228" t="n"/>
      <c r="X102" s="1228" t="n"/>
      <c r="Y102" s="1231" t="n">
        <v>0.3368</v>
      </c>
      <c r="Z102" s="1228" t="n"/>
      <c r="AA102" s="1228" t="n"/>
      <c r="AB102" s="1228" t="n"/>
      <c r="AC102" s="1228" t="n"/>
      <c r="AD102" s="1228" t="n"/>
      <c r="AE102" s="1228" t="n"/>
      <c r="AF102" s="1231" t="n">
        <v>0.2348</v>
      </c>
      <c r="AG102" s="1228" t="n"/>
      <c r="AH102" s="1231" t="n">
        <v>2.7024</v>
      </c>
      <c r="AI102" s="1231" t="n">
        <v>2.144</v>
      </c>
      <c r="AJ102" s="1231" t="n">
        <v>4.8463</v>
      </c>
      <c r="AK102" s="1231" t="n">
        <v>6.5055</v>
      </c>
      <c r="AL102" s="1228" t="n"/>
      <c r="AM102" s="1229" t="inlineStr">
        <is>
          <t>AXG SS Expense Matrix; year not specified (~2022/23); R0099616</t>
        </is>
      </c>
    </row>
    <row r="103" ht="14.1" customHeight="1">
      <c r="A103" s="1228" t="inlineStr">
        <is>
          <t>P048</t>
        </is>
      </c>
      <c r="B103" s="695" t="n">
        <v>386</v>
      </c>
      <c r="C103" s="1228" t="inlineStr">
        <is>
          <t>R0098019</t>
        </is>
      </c>
      <c r="D103" s="1229" t="inlineStr">
        <is>
          <t>Address unknown – see R0098019</t>
        </is>
      </c>
      <c r="E103" s="1228" t="inlineStr">
        <is>
          <t>Adams County</t>
        </is>
      </c>
      <c r="F103" s="1228" t="inlineStr">
        <is>
          <t>CO</t>
        </is>
      </c>
      <c r="G103" s="1228" t="inlineStr">
        <is>
          <t>Self-Storage</t>
        </is>
      </c>
      <c r="H103" s="1229" t="inlineStr">
        <is>
          <t>Drive-Up/Drop-Off</t>
        </is>
      </c>
      <c r="I103" s="1230" t="n"/>
      <c r="J103" s="1230" t="n">
        <v>44975</v>
      </c>
      <c r="K103" s="1230" t="n"/>
      <c r="L103" s="1228" t="n"/>
      <c r="M103" s="1228" t="n"/>
      <c r="N103" s="1231" t="n">
        <v>13.0923</v>
      </c>
      <c r="O103" s="1231" t="n">
        <v>0.4933</v>
      </c>
      <c r="P103" s="1231" t="n">
        <v>0.8561</v>
      </c>
      <c r="Q103" s="1228" t="n"/>
      <c r="R103" s="1228" t="n"/>
      <c r="S103" s="1228" t="n"/>
      <c r="T103" s="1228" t="n"/>
      <c r="U103" s="1228" t="n"/>
      <c r="V103" s="1228" t="n"/>
      <c r="W103" s="1228" t="n"/>
      <c r="X103" s="1228" t="n"/>
      <c r="Y103" s="1231" t="n">
        <v>0.8597</v>
      </c>
      <c r="Z103" s="1228" t="n"/>
      <c r="AA103" s="1228" t="n"/>
      <c r="AB103" s="1228" t="n"/>
      <c r="AC103" s="1228" t="n"/>
      <c r="AD103" s="1228" t="n"/>
      <c r="AE103" s="1228" t="n"/>
      <c r="AF103" s="1231" t="n">
        <v>0.6947</v>
      </c>
      <c r="AG103" s="1228" t="n"/>
      <c r="AH103" s="1231" t="n">
        <v>3.1997</v>
      </c>
      <c r="AI103" s="1231" t="n">
        <v>2.8576</v>
      </c>
      <c r="AJ103" s="1231" t="n">
        <v>6.0573</v>
      </c>
      <c r="AK103" s="1231" t="n">
        <v>7.035</v>
      </c>
      <c r="AL103" s="1228" t="n"/>
      <c r="AM103" s="1229" t="inlineStr">
        <is>
          <t>AXG SS Expense Matrix; year not specified (~2022/23); R0098019</t>
        </is>
      </c>
    </row>
    <row r="104" ht="14.1" customHeight="1">
      <c r="A104" s="1228" t="inlineStr">
        <is>
          <t>P049</t>
        </is>
      </c>
      <c r="B104" s="695" t="n">
        <v>386</v>
      </c>
      <c r="C104" s="1228" t="inlineStr">
        <is>
          <t>R0102989</t>
        </is>
      </c>
      <c r="D104" s="1229" t="inlineStr">
        <is>
          <t>Address unknown – see R0102989</t>
        </is>
      </c>
      <c r="E104" s="1228" t="inlineStr">
        <is>
          <t>Adams County</t>
        </is>
      </c>
      <c r="F104" s="1228" t="inlineStr">
        <is>
          <t>CO</t>
        </is>
      </c>
      <c r="G104" s="1228" t="inlineStr">
        <is>
          <t>Self-Storage</t>
        </is>
      </c>
      <c r="H104" s="1229" t="inlineStr">
        <is>
          <t>Climate-Controlled</t>
        </is>
      </c>
      <c r="I104" s="1230" t="n"/>
      <c r="J104" s="1230" t="n">
        <v>94797</v>
      </c>
      <c r="K104" s="1230" t="n"/>
      <c r="L104" s="1228" t="n"/>
      <c r="M104" s="1228" t="n"/>
      <c r="N104" s="1231" t="n">
        <v>12.4952</v>
      </c>
      <c r="O104" s="1231" t="n">
        <v>0.2668</v>
      </c>
      <c r="P104" s="1231" t="n">
        <v>2.1805</v>
      </c>
      <c r="Q104" s="1228" t="n"/>
      <c r="R104" s="1228" t="n"/>
      <c r="S104" s="1228" t="n"/>
      <c r="T104" s="1228" t="n"/>
      <c r="U104" s="1228" t="n"/>
      <c r="V104" s="1228" t="n"/>
      <c r="W104" s="1228" t="n"/>
      <c r="X104" s="1228" t="n"/>
      <c r="Y104" s="1231" t="n">
        <v>0.3013</v>
      </c>
      <c r="Z104" s="1228" t="n"/>
      <c r="AA104" s="1228" t="n"/>
      <c r="AB104" s="1228" t="n"/>
      <c r="AC104" s="1228" t="n"/>
      <c r="AD104" s="1228" t="n"/>
      <c r="AE104" s="1228" t="n"/>
      <c r="AF104" s="1231" t="n">
        <v>0.5221</v>
      </c>
      <c r="AG104" s="1228" t="n"/>
      <c r="AH104" s="1231" t="n">
        <v>4.5787</v>
      </c>
      <c r="AI104" s="1231" t="n">
        <v>2.7378</v>
      </c>
      <c r="AJ104" s="1231" t="n">
        <v>7.3165</v>
      </c>
      <c r="AK104" s="1231" t="n">
        <v>5.1786</v>
      </c>
      <c r="AL104" s="1228" t="n"/>
      <c r="AM104" s="1229" t="inlineStr">
        <is>
          <t>AXG SS Expense Matrix; year not specified (~2022/23); R0102989</t>
        </is>
      </c>
    </row>
    <row r="105" ht="14.1" customHeight="1">
      <c r="A105" s="1228" t="inlineStr">
        <is>
          <t>P050</t>
        </is>
      </c>
      <c r="B105" s="695" t="n">
        <v>386</v>
      </c>
      <c r="C105" s="1228" t="inlineStr">
        <is>
          <t>R0085523</t>
        </is>
      </c>
      <c r="D105" s="1229" t="inlineStr">
        <is>
          <t>Address unknown – see R0085523</t>
        </is>
      </c>
      <c r="E105" s="1228" t="inlineStr">
        <is>
          <t>Adams County</t>
        </is>
      </c>
      <c r="F105" s="1228" t="inlineStr">
        <is>
          <t>CO</t>
        </is>
      </c>
      <c r="G105" s="1228" t="inlineStr">
        <is>
          <t>Self-Storage</t>
        </is>
      </c>
      <c r="H105" s="1229" t="inlineStr">
        <is>
          <t>Drive-Up/Drop-Off</t>
        </is>
      </c>
      <c r="I105" s="1230" t="n"/>
      <c r="J105" s="1230" t="n">
        <v>39525</v>
      </c>
      <c r="K105" s="1230" t="n"/>
      <c r="L105" s="1228" t="n"/>
      <c r="M105" s="1228" t="n"/>
      <c r="N105" s="1231" t="n">
        <v>13.7122</v>
      </c>
      <c r="O105" s="1231" t="n">
        <v>0.2102</v>
      </c>
      <c r="P105" s="1231" t="n">
        <v>2.3853</v>
      </c>
      <c r="Q105" s="1228" t="n"/>
      <c r="R105" s="1228" t="n"/>
      <c r="S105" s="1228" t="n"/>
      <c r="T105" s="1228" t="n"/>
      <c r="U105" s="1228" t="n"/>
      <c r="V105" s="1228" t="n"/>
      <c r="W105" s="1228" t="n"/>
      <c r="X105" s="1228" t="n"/>
      <c r="Y105" s="1231" t="n">
        <v>0.5387</v>
      </c>
      <c r="Z105" s="1228" t="n"/>
      <c r="AA105" s="1228" t="n"/>
      <c r="AB105" s="1228" t="n"/>
      <c r="AC105" s="1228" t="n"/>
      <c r="AD105" s="1228" t="n"/>
      <c r="AE105" s="1228" t="n"/>
      <c r="AF105" s="1231" t="n">
        <v>0.4172</v>
      </c>
      <c r="AG105" s="1228" t="n"/>
      <c r="AH105" s="1231" t="n">
        <v>3.7856</v>
      </c>
      <c r="AI105" s="1231" t="n">
        <v>5.2913</v>
      </c>
      <c r="AJ105" s="1231" t="n">
        <v>9.0769</v>
      </c>
      <c r="AK105" s="1231" t="n">
        <v>4.6352</v>
      </c>
      <c r="AL105" s="1228" t="n"/>
      <c r="AM105" s="1229" t="inlineStr">
        <is>
          <t>AXG SS Expense Matrix; year not specified (~2022/23); R0085523</t>
        </is>
      </c>
    </row>
    <row r="106" ht="14.1" customHeight="1">
      <c r="A106" s="1228" t="inlineStr">
        <is>
          <t>P051</t>
        </is>
      </c>
      <c r="B106" s="695" t="n">
        <v>386</v>
      </c>
      <c r="C106" s="1228" t="inlineStr">
        <is>
          <t>R0174860</t>
        </is>
      </c>
      <c r="D106" s="1229" t="inlineStr">
        <is>
          <t>Address unknown – see R0174860</t>
        </is>
      </c>
      <c r="E106" s="1228" t="inlineStr">
        <is>
          <t>Adams County</t>
        </is>
      </c>
      <c r="F106" s="1228" t="inlineStr">
        <is>
          <t>CO</t>
        </is>
      </c>
      <c r="G106" s="1228" t="inlineStr">
        <is>
          <t>Self-Storage</t>
        </is>
      </c>
      <c r="H106" s="1229" t="inlineStr">
        <is>
          <t>Drive-Up/Drop-Off (containers)</t>
        </is>
      </c>
      <c r="I106" s="1230" t="n"/>
      <c r="J106" s="1230" t="n">
        <v>45980</v>
      </c>
      <c r="K106" s="1230" t="n"/>
      <c r="L106" s="1228" t="n"/>
      <c r="M106" s="1228" t="n"/>
      <c r="N106" s="1231" t="n">
        <v>14.0604</v>
      </c>
      <c r="O106" s="1231" t="n">
        <v>0.1085</v>
      </c>
      <c r="P106" s="1231" t="n">
        <v>1.5224</v>
      </c>
      <c r="Q106" s="1228" t="n"/>
      <c r="R106" s="1228" t="n"/>
      <c r="S106" s="1228" t="n"/>
      <c r="T106" s="1228" t="n"/>
      <c r="U106" s="1228" t="n"/>
      <c r="V106" s="1228" t="n"/>
      <c r="W106" s="1228" t="n"/>
      <c r="X106" s="1228" t="n"/>
      <c r="Y106" s="1231" t="n">
        <v>0.261</v>
      </c>
      <c r="Z106" s="1228" t="n"/>
      <c r="AA106" s="1228" t="n"/>
      <c r="AB106" s="1228" t="n"/>
      <c r="AC106" s="1228" t="n"/>
      <c r="AD106" s="1228" t="n"/>
      <c r="AE106" s="1228" t="n"/>
      <c r="AF106" s="1231" t="n">
        <v>0.2604</v>
      </c>
      <c r="AG106" s="1228" t="n"/>
      <c r="AH106" s="1231" t="n">
        <v>3.1926</v>
      </c>
      <c r="AI106" s="1231" t="n">
        <v>1.806</v>
      </c>
      <c r="AJ106" s="1231" t="n">
        <v>4.9986</v>
      </c>
      <c r="AK106" s="1231" t="n">
        <v>9.0617</v>
      </c>
      <c r="AL106" s="1228" t="n"/>
      <c r="AM106" s="1229" t="inlineStr">
        <is>
          <t>AXG SS Expense Matrix; year not specified (~2022/23); R0174860</t>
        </is>
      </c>
    </row>
    <row r="107" ht="14.1" customHeight="1">
      <c r="A107" s="1228" t="inlineStr">
        <is>
          <t>P052</t>
        </is>
      </c>
      <c r="B107" s="695" t="n">
        <v>386</v>
      </c>
      <c r="C107" s="1228" t="inlineStr">
        <is>
          <t>R0161412</t>
        </is>
      </c>
      <c r="D107" s="1229" t="inlineStr">
        <is>
          <t>Address unknown – see R0161412</t>
        </is>
      </c>
      <c r="E107" s="1228" t="inlineStr">
        <is>
          <t>Adams County</t>
        </is>
      </c>
      <c r="F107" s="1228" t="inlineStr">
        <is>
          <t>CO</t>
        </is>
      </c>
      <c r="G107" s="1228" t="inlineStr">
        <is>
          <t>Self-Storage</t>
        </is>
      </c>
      <c r="H107" s="1229" t="inlineStr">
        <is>
          <t>Drive-Up/Drop-Off</t>
        </is>
      </c>
      <c r="I107" s="1230" t="n"/>
      <c r="J107" s="1230" t="n">
        <v>88043</v>
      </c>
      <c r="K107" s="1230" t="n"/>
      <c r="L107" s="1228" t="n"/>
      <c r="M107" s="1228" t="n"/>
      <c r="N107" s="1231" t="n">
        <v>13.7047</v>
      </c>
      <c r="O107" s="1231" t="n">
        <v>0.1417</v>
      </c>
      <c r="P107" s="1231" t="n">
        <v>2.0341</v>
      </c>
      <c r="Q107" s="1228" t="n"/>
      <c r="R107" s="1228" t="n"/>
      <c r="S107" s="1228" t="n"/>
      <c r="T107" s="1228" t="n"/>
      <c r="U107" s="1228" t="n"/>
      <c r="V107" s="1228" t="n"/>
      <c r="W107" s="1228" t="n"/>
      <c r="X107" s="1228" t="n"/>
      <c r="Y107" s="1231" t="n">
        <v>0.2303</v>
      </c>
      <c r="Z107" s="1228" t="n"/>
      <c r="AA107" s="1228" t="n"/>
      <c r="AB107" s="1228" t="n"/>
      <c r="AC107" s="1228" t="n"/>
      <c r="AD107" s="1228" t="n"/>
      <c r="AE107" s="1228" t="n"/>
      <c r="AF107" s="1231" t="n">
        <v>0.1926</v>
      </c>
      <c r="AG107" s="1228" t="n"/>
      <c r="AH107" s="1231" t="n">
        <v>3.2267</v>
      </c>
      <c r="AI107" s="1231" t="n">
        <v>4.424</v>
      </c>
      <c r="AJ107" s="1231" t="n">
        <v>7.6507</v>
      </c>
      <c r="AK107" s="1231" t="n">
        <v>6.054</v>
      </c>
      <c r="AL107" s="1228" t="n"/>
      <c r="AM107" s="1229" t="inlineStr">
        <is>
          <t>AXG SS Expense Matrix; year not specified (~2022/23); R0161412</t>
        </is>
      </c>
    </row>
    <row r="108" ht="14.1" customHeight="1">
      <c r="A108" s="1228" t="inlineStr">
        <is>
          <t>P053</t>
        </is>
      </c>
      <c r="B108" s="695" t="n">
        <v>386</v>
      </c>
      <c r="C108" s="1228" t="inlineStr">
        <is>
          <t>R0169115</t>
        </is>
      </c>
      <c r="D108" s="1229" t="inlineStr">
        <is>
          <t>Address unknown – see R0169115</t>
        </is>
      </c>
      <c r="E108" s="1228" t="inlineStr">
        <is>
          <t>Adams County</t>
        </is>
      </c>
      <c r="F108" s="1228" t="inlineStr">
        <is>
          <t>CO</t>
        </is>
      </c>
      <c r="G108" s="1228" t="inlineStr">
        <is>
          <t>Self-Storage</t>
        </is>
      </c>
      <c r="H108" s="1229" t="inlineStr">
        <is>
          <t>Drive-Up/Drop-Off</t>
        </is>
      </c>
      <c r="I108" s="1230" t="n"/>
      <c r="J108" s="1230" t="n">
        <v>41764</v>
      </c>
      <c r="K108" s="1230" t="n"/>
      <c r="L108" s="1228" t="n"/>
      <c r="M108" s="1228" t="n"/>
      <c r="N108" s="1231" t="n">
        <v>18.8527</v>
      </c>
      <c r="O108" s="1231" t="n">
        <v>0.2311</v>
      </c>
      <c r="P108" s="1231" t="n">
        <v>1.995</v>
      </c>
      <c r="Q108" s="1228" t="n"/>
      <c r="R108" s="1228" t="n"/>
      <c r="S108" s="1228" t="n"/>
      <c r="T108" s="1228" t="n"/>
      <c r="U108" s="1228" t="n"/>
      <c r="V108" s="1228" t="n"/>
      <c r="W108" s="1228" t="n"/>
      <c r="X108" s="1228" t="n"/>
      <c r="Y108" s="1231" t="n">
        <v>0.6139</v>
      </c>
      <c r="Z108" s="1228" t="n"/>
      <c r="AA108" s="1228" t="n"/>
      <c r="AB108" s="1228" t="n"/>
      <c r="AC108" s="1228" t="n"/>
      <c r="AD108" s="1228" t="n"/>
      <c r="AE108" s="1228" t="n"/>
      <c r="AF108" s="1231" t="n">
        <v>0.3821</v>
      </c>
      <c r="AG108" s="1228" t="n"/>
      <c r="AH108" s="1231" t="n">
        <v>4.6124</v>
      </c>
      <c r="AI108" s="1231" t="n">
        <v>4.8634</v>
      </c>
      <c r="AJ108" s="1231" t="n">
        <v>9.4758</v>
      </c>
      <c r="AK108" s="1231" t="n">
        <v>9.376899999999999</v>
      </c>
      <c r="AL108" s="1228" t="n"/>
      <c r="AM108" s="1229" t="inlineStr">
        <is>
          <t>AXG SS Expense Matrix; year not specified (~2022/23); R0169115</t>
        </is>
      </c>
    </row>
    <row r="109" ht="14.1" customHeight="1">
      <c r="A109" s="696" t="inlineStr">
        <is>
          <t>P016</t>
        </is>
      </c>
      <c r="B109" s="695" t="n">
        <v>584</v>
      </c>
      <c r="C109" s="696" t="inlineStr">
        <is>
          <t>R0212546/R0212547</t>
        </is>
      </c>
      <c r="D109" s="1195" t="inlineStr">
        <is>
          <t>2780 N Tower Rd</t>
        </is>
      </c>
      <c r="E109" s="696" t="inlineStr">
        <is>
          <t>Aurora</t>
        </is>
      </c>
      <c r="F109" s="696" t="inlineStr">
        <is>
          <t>CO</t>
        </is>
      </c>
      <c r="G109" s="696" t="inlineStr">
        <is>
          <t>Industrial</t>
        </is>
      </c>
      <c r="H109" s="1195"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1195" t="inlineStr">
        <is>
          <t>Absolute NNN; tenant pays ALL RE tax, ins, CAM; owner opex = admin only (excl D&amp;A $456k); supersedes proforma row</t>
        </is>
      </c>
    </row>
    <row r="110" ht="14.1" customHeight="1">
      <c r="A110" s="1228" t="inlineStr">
        <is>
          <t>P016</t>
        </is>
      </c>
      <c r="B110" s="695" t="n">
        <v>584</v>
      </c>
      <c r="C110" s="1228" t="inlineStr">
        <is>
          <t>R0212546/R0212547</t>
        </is>
      </c>
      <c r="D110" s="1229" t="inlineStr">
        <is>
          <t>2780 N Tower Rd</t>
        </is>
      </c>
      <c r="E110" s="1228" t="inlineStr">
        <is>
          <t>Aurora</t>
        </is>
      </c>
      <c r="F110" s="1228" t="inlineStr">
        <is>
          <t>CO</t>
        </is>
      </c>
      <c r="G110" s="1228" t="inlineStr">
        <is>
          <t>Industrial</t>
        </is>
      </c>
      <c r="H110" s="1229" t="inlineStr">
        <is>
          <t>Mega Warehouse NNN</t>
        </is>
      </c>
      <c r="I110" s="1230" t="n">
        <v>1983</v>
      </c>
      <c r="J110" s="1230" t="n">
        <v>377729</v>
      </c>
      <c r="K110" s="1230" t="n">
        <v>2024</v>
      </c>
      <c r="L110" s="1231" t="n">
        <v>8.067600000000001</v>
      </c>
      <c r="M110" s="1228" t="n"/>
      <c r="N110" s="1231" t="n">
        <v>8.067600000000001</v>
      </c>
      <c r="O110" s="1228" t="n"/>
      <c r="P110" s="1231" t="n">
        <v>0.0106</v>
      </c>
      <c r="Q110" s="1228" t="n"/>
      <c r="R110" s="1228" t="n"/>
      <c r="S110" s="1228" t="n"/>
      <c r="T110" s="1228" t="n"/>
      <c r="U110" s="1228" t="n"/>
      <c r="V110" s="1228" t="n"/>
      <c r="W110" s="1228" t="n"/>
      <c r="X110" s="1228" t="n"/>
      <c r="Y110" s="1228" t="n"/>
      <c r="Z110" s="1228" t="n"/>
      <c r="AA110" s="1228" t="n"/>
      <c r="AB110" s="1228" t="n"/>
      <c r="AC110" s="1228" t="n"/>
      <c r="AD110" s="1228" t="n"/>
      <c r="AE110" s="1228" t="n"/>
      <c r="AF110" s="1228" t="n"/>
      <c r="AG110" s="1231" t="n">
        <v>0.06850000000000001</v>
      </c>
      <c r="AH110" s="1231" t="n">
        <v>0.1558</v>
      </c>
      <c r="AI110" s="1231" t="n">
        <v>0</v>
      </c>
      <c r="AJ110" s="1231" t="n">
        <v>0.1558</v>
      </c>
      <c r="AK110" s="1231" t="n">
        <v>7.9118</v>
      </c>
      <c r="AL110" s="1228" t="n"/>
      <c r="AM110" s="1229" t="inlineStr">
        <is>
          <t>Absolute NNN; tenant pays ALL RE tax, ins, CAM; owner opex = admin only (excl D&amp;A $456k); supersedes proforma row</t>
        </is>
      </c>
    </row>
    <row r="111" ht="14.1" customHeight="1">
      <c r="A111" s="696" t="inlineStr">
        <is>
          <t>P034</t>
        </is>
      </c>
      <c r="B111" s="695" t="n">
        <v>407</v>
      </c>
      <c r="C111" s="696" t="inlineStr">
        <is>
          <t>R0172865</t>
        </is>
      </c>
      <c r="D111" s="1195" t="inlineStr">
        <is>
          <t>Majestic Commercenter (R0172865)</t>
        </is>
      </c>
      <c r="E111" s="696" t="inlineStr">
        <is>
          <t>Commerce City</t>
        </is>
      </c>
      <c r="F111" s="696" t="inlineStr">
        <is>
          <t>CO</t>
        </is>
      </c>
      <c r="G111" s="696" t="inlineStr">
        <is>
          <t>Industrial</t>
        </is>
      </c>
      <c r="H111" s="1195"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1195" t="inlineStr">
        <is>
          <t>2024 actual 12-month P&amp;L; NOI est. per expense ratio; from 08_2025 Review</t>
        </is>
      </c>
    </row>
    <row r="112" ht="14.1" customHeight="1">
      <c r="A112" s="1228" t="inlineStr">
        <is>
          <t>P036</t>
        </is>
      </c>
      <c r="B112" s="695" t="n">
        <v>407</v>
      </c>
      <c r="C112" s="1228" t="inlineStr">
        <is>
          <t>R0172868</t>
        </is>
      </c>
      <c r="D112" s="1229" t="inlineStr">
        <is>
          <t>Majestic Commercenter (R0172868)</t>
        </is>
      </c>
      <c r="E112" s="1228" t="inlineStr">
        <is>
          <t>Commerce City</t>
        </is>
      </c>
      <c r="F112" s="1228" t="inlineStr">
        <is>
          <t>CO</t>
        </is>
      </c>
      <c r="G112" s="1228" t="inlineStr">
        <is>
          <t>Industrial</t>
        </is>
      </c>
      <c r="H112" s="1229" t="inlineStr">
        <is>
          <t>Warehouse NNN</t>
        </is>
      </c>
      <c r="I112" s="1230" t="n">
        <v>2007</v>
      </c>
      <c r="J112" s="1230" t="n">
        <v>202091</v>
      </c>
      <c r="K112" s="1230" t="n">
        <v>2024</v>
      </c>
      <c r="L112" s="1228" t="n"/>
      <c r="M112" s="1228" t="n"/>
      <c r="N112" s="1231" t="n">
        <v>5.233</v>
      </c>
      <c r="O112" s="1228" t="n"/>
      <c r="P112" s="1228" t="n"/>
      <c r="Q112" s="1228" t="n"/>
      <c r="R112" s="1228" t="n"/>
      <c r="S112" s="1228" t="n"/>
      <c r="T112" s="1228" t="n"/>
      <c r="U112" s="1228" t="n"/>
      <c r="V112" s="1228" t="n"/>
      <c r="W112" s="1228" t="n"/>
      <c r="X112" s="1228" t="n"/>
      <c r="Y112" s="1228" t="n"/>
      <c r="Z112" s="1228" t="n"/>
      <c r="AA112" s="1228" t="n"/>
      <c r="AB112" s="1228" t="n"/>
      <c r="AC112" s="1228" t="n"/>
      <c r="AD112" s="1228" t="n"/>
      <c r="AE112" s="1228" t="n"/>
      <c r="AF112" s="1228" t="n"/>
      <c r="AG112" s="1228" t="n"/>
      <c r="AH112" s="1231" t="n">
        <v>3.5731</v>
      </c>
      <c r="AI112" s="1228" t="n"/>
      <c r="AJ112" s="1231" t="n">
        <v>3.5731</v>
      </c>
      <c r="AK112" s="1231" t="n">
        <v>1.6599</v>
      </c>
      <c r="AL112" s="1228" t="n"/>
      <c r="AM112" s="1229" t="inlineStr">
        <is>
          <t>2024 actual 12-month P&amp;L; from 08_2025 Review</t>
        </is>
      </c>
    </row>
    <row r="113" ht="14.1" customHeight="1">
      <c r="A113" s="696" t="inlineStr">
        <is>
          <t>P054</t>
        </is>
      </c>
      <c r="B113" s="695" t="n">
        <v>210</v>
      </c>
      <c r="C113" s="696" t="inlineStr">
        <is>
          <t>R0180551</t>
        </is>
      </c>
      <c r="D113" s="1195" t="inlineStr">
        <is>
          <t>1953 N Gun Club Rd</t>
        </is>
      </c>
      <c r="E113" s="696" t="inlineStr">
        <is>
          <t>Aurora</t>
        </is>
      </c>
      <c r="F113" s="696" t="inlineStr">
        <is>
          <t>CO</t>
        </is>
      </c>
      <c r="G113" s="696" t="inlineStr">
        <is>
          <t>Industrial</t>
        </is>
      </c>
      <c r="H113" s="1195"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1195" t="inlineStr">
        <is>
          <t>[NO SF] Actual accrual; base rent $880k; recovery $1.59M; prior-yr adj included</t>
        </is>
      </c>
    </row>
    <row r="114" ht="14.1" customHeight="1">
      <c r="A114" s="1228" t="inlineStr">
        <is>
          <t>P054</t>
        </is>
      </c>
      <c r="B114" s="695" t="n">
        <v>210</v>
      </c>
      <c r="C114" s="1228" t="inlineStr">
        <is>
          <t>R0180551</t>
        </is>
      </c>
      <c r="D114" s="1229" t="inlineStr">
        <is>
          <t>1953 N Gun Club Rd</t>
        </is>
      </c>
      <c r="E114" s="1228" t="inlineStr">
        <is>
          <t>Aurora</t>
        </is>
      </c>
      <c r="F114" s="1228" t="inlineStr">
        <is>
          <t>CO</t>
        </is>
      </c>
      <c r="G114" s="1228" t="inlineStr">
        <is>
          <t>Industrial</t>
        </is>
      </c>
      <c r="H114" s="1229" t="inlineStr">
        <is>
          <t>Multi-Tenant Industrial/Office NNN</t>
        </is>
      </c>
      <c r="I114" s="1230" t="n"/>
      <c r="J114" s="1230" t="n"/>
      <c r="K114" s="1230" t="n">
        <v>2024</v>
      </c>
      <c r="L114" s="1228" t="n"/>
      <c r="M114" s="1228" t="n"/>
      <c r="N114" s="1233" t="n">
        <v>2720117</v>
      </c>
      <c r="O114" s="1233" t="n">
        <v>53324</v>
      </c>
      <c r="P114" s="1233" t="n">
        <v>85426</v>
      </c>
      <c r="Q114" s="1228" t="n"/>
      <c r="R114" s="1228" t="n"/>
      <c r="S114" s="1233" t="n">
        <v>10052</v>
      </c>
      <c r="T114" s="1233" t="n">
        <v>12752</v>
      </c>
      <c r="U114" s="1228" t="n"/>
      <c r="V114" s="1228" t="n"/>
      <c r="W114" s="1228" t="n"/>
      <c r="X114" s="1233" t="n">
        <v>789</v>
      </c>
      <c r="Y114" s="1233" t="n">
        <v>23593</v>
      </c>
      <c r="Z114" s="1228" t="n"/>
      <c r="AA114" s="1233" t="n">
        <v>16126</v>
      </c>
      <c r="AB114" s="1233" t="n">
        <v>57314</v>
      </c>
      <c r="AC114" s="1233" t="n">
        <v>73440</v>
      </c>
      <c r="AD114" s="1233" t="n">
        <v>21725</v>
      </c>
      <c r="AE114" s="1228" t="n"/>
      <c r="AF114" s="1233" t="n">
        <v>21725</v>
      </c>
      <c r="AG114" s="1233" t="n">
        <v>2601</v>
      </c>
      <c r="AH114" s="1233" t="n">
        <v>265585</v>
      </c>
      <c r="AI114" s="1233" t="n">
        <v>1331347</v>
      </c>
      <c r="AJ114" s="1233" t="n">
        <v>1596932</v>
      </c>
      <c r="AK114" s="1233" t="n">
        <v>1123184</v>
      </c>
      <c r="AL114" s="1228" t="n"/>
      <c r="AM114" s="1229" t="inlineStr">
        <is>
          <t>[NO SF] Actual accrual; base rent $1.09M stepped; recovery $1.62M</t>
        </is>
      </c>
    </row>
    <row r="115" ht="14.1" customHeight="1">
      <c r="A115" s="696" t="inlineStr">
        <is>
          <t>P055</t>
        </is>
      </c>
      <c r="B115" s="695" t="n">
        <v>407</v>
      </c>
      <c r="C115" s="696" t="inlineStr">
        <is>
          <t>R0211072/R0211073/R0211074</t>
        </is>
      </c>
      <c r="D115" s="1195" t="inlineStr">
        <is>
          <t>Park 76 Distribution Center</t>
        </is>
      </c>
      <c r="E115" s="696" t="inlineStr">
        <is>
          <t>Aurora</t>
        </is>
      </c>
      <c r="F115" s="696" t="inlineStr">
        <is>
          <t>CO</t>
        </is>
      </c>
      <c r="G115" s="696" t="inlineStr">
        <is>
          <t>Industrial</t>
        </is>
      </c>
      <c r="H115" s="1195"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1195" t="inlineStr">
        <is>
          <t>[NO SF] 3-bldg campus; actual accrual; base rent $1.87M; recovery $992k; prior-yr tax credit ($186k) netted</t>
        </is>
      </c>
    </row>
    <row r="116" ht="14.1" customHeight="1">
      <c r="A116" s="1228" t="inlineStr">
        <is>
          <t>P055</t>
        </is>
      </c>
      <c r="B116" s="695" t="n">
        <v>407</v>
      </c>
      <c r="C116" s="1228" t="inlineStr">
        <is>
          <t>R0211072/R0211073/R0211074</t>
        </is>
      </c>
      <c r="D116" s="1229" t="inlineStr">
        <is>
          <t>Park 76 Distribution Center</t>
        </is>
      </c>
      <c r="E116" s="1228" t="inlineStr">
        <is>
          <t>Aurora</t>
        </is>
      </c>
      <c r="F116" s="1228" t="inlineStr">
        <is>
          <t>CO</t>
        </is>
      </c>
      <c r="G116" s="1228" t="inlineStr">
        <is>
          <t>Industrial</t>
        </is>
      </c>
      <c r="H116" s="1229" t="inlineStr">
        <is>
          <t>Industrial Warehouse NNN</t>
        </is>
      </c>
      <c r="I116" s="1230" t="n"/>
      <c r="J116" s="1230" t="n"/>
      <c r="K116" s="1230" t="n">
        <v>2024</v>
      </c>
      <c r="L116" s="1233" t="n">
        <v>2075908</v>
      </c>
      <c r="M116" s="1228" t="n"/>
      <c r="N116" s="1233" t="n">
        <v>3348615</v>
      </c>
      <c r="O116" s="1233" t="n">
        <v>35750</v>
      </c>
      <c r="P116" s="1233" t="n">
        <v>200286</v>
      </c>
      <c r="Q116" s="1228" t="n"/>
      <c r="R116" s="1228" t="n"/>
      <c r="S116" s="1233" t="n">
        <v>22119</v>
      </c>
      <c r="T116" s="1233" t="n">
        <v>33962</v>
      </c>
      <c r="U116" s="1228" t="n"/>
      <c r="V116" s="1228" t="n"/>
      <c r="W116" s="1228" t="n"/>
      <c r="X116" s="1233" t="n">
        <v>3333</v>
      </c>
      <c r="Y116" s="1233" t="n">
        <v>59414</v>
      </c>
      <c r="Z116" s="1228" t="n"/>
      <c r="AA116" s="1233" t="n">
        <v>26689</v>
      </c>
      <c r="AB116" s="1233" t="n">
        <v>56296</v>
      </c>
      <c r="AC116" s="1233" t="n">
        <v>82985</v>
      </c>
      <c r="AD116" s="1228" t="n"/>
      <c r="AE116" s="1228" t="n"/>
      <c r="AF116" s="1233" t="n">
        <v>34195</v>
      </c>
      <c r="AG116" s="1233" t="n">
        <v>4284</v>
      </c>
      <c r="AH116" s="1233" t="n">
        <v>341787</v>
      </c>
      <c r="AI116" s="1233" t="n">
        <v>989805</v>
      </c>
      <c r="AJ116" s="1233" t="n">
        <v>1331592</v>
      </c>
      <c r="AK116" s="1233" t="n">
        <v>2017023</v>
      </c>
      <c r="AL116" s="1228" t="n"/>
      <c r="AM116" s="1229" t="inlineStr">
        <is>
          <t>[NO SF] 3-bldg campus; actual accrual; near-stabilized; base rent $2.08M; recovery $1.23M</t>
        </is>
      </c>
    </row>
    <row r="117" ht="14.1" customHeight="1">
      <c r="A117" s="696" t="inlineStr">
        <is>
          <t>P056</t>
        </is>
      </c>
      <c r="B117" s="695" t="n">
        <v>407</v>
      </c>
      <c r="C117" s="696" t="inlineStr">
        <is>
          <t>R0210485</t>
        </is>
      </c>
      <c r="D117" s="1195" t="inlineStr">
        <is>
          <t>1101 E 126th Ave (Bldg A)</t>
        </is>
      </c>
      <c r="E117" s="696" t="inlineStr">
        <is>
          <t>Thornton</t>
        </is>
      </c>
      <c r="F117" s="696" t="inlineStr">
        <is>
          <t>CO</t>
        </is>
      </c>
      <c r="G117" s="696" t="inlineStr">
        <is>
          <t>Industrial</t>
        </is>
      </c>
      <c r="H117" s="1195"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1195" t="inlineStr">
        <is>
          <t>[NO SF] New (YOC ~2022); 2024 near-stabilized; 2023 excluded (lease-up, negative NOI)</t>
        </is>
      </c>
    </row>
    <row r="118" ht="14.1" customHeight="1">
      <c r="A118" s="1228" t="inlineStr">
        <is>
          <t>P057</t>
        </is>
      </c>
      <c r="B118" s="695" t="n">
        <v>407</v>
      </c>
      <c r="C118" s="1228" t="inlineStr">
        <is>
          <t>R0210486</t>
        </is>
      </c>
      <c r="D118" s="1229" t="inlineStr">
        <is>
          <t>12625 Lafayette St (Bldg B)</t>
        </is>
      </c>
      <c r="E118" s="1228" t="inlineStr">
        <is>
          <t>Thornton</t>
        </is>
      </c>
      <c r="F118" s="1228" t="inlineStr">
        <is>
          <t>CO</t>
        </is>
      </c>
      <c r="G118" s="1228" t="inlineStr">
        <is>
          <t>Industrial</t>
        </is>
      </c>
      <c r="H118" s="1229" t="inlineStr">
        <is>
          <t>Industrial Warehouse NNN</t>
        </is>
      </c>
      <c r="I118" s="1230" t="n">
        <v>2022</v>
      </c>
      <c r="J118" s="1230" t="n"/>
      <c r="K118" s="1230" t="n">
        <v>2024</v>
      </c>
      <c r="L118" s="1233" t="n">
        <v>898845</v>
      </c>
      <c r="M118" s="1228" t="n"/>
      <c r="N118" s="1233" t="n">
        <v>1373599</v>
      </c>
      <c r="O118" s="1233" t="n">
        <v>21888</v>
      </c>
      <c r="P118" s="1233" t="n">
        <v>72220</v>
      </c>
      <c r="Q118" s="1228" t="n"/>
      <c r="R118" s="1228" t="n"/>
      <c r="S118" s="1228" t="n"/>
      <c r="T118" s="1233" t="n">
        <v>8438</v>
      </c>
      <c r="U118" s="1228" t="n"/>
      <c r="V118" s="1228" t="n"/>
      <c r="W118" s="1228" t="n"/>
      <c r="X118" s="1233" t="n">
        <v>5773</v>
      </c>
      <c r="Y118" s="1233" t="n">
        <v>14211</v>
      </c>
      <c r="Z118" s="1228" t="n"/>
      <c r="AA118" s="1233" t="n">
        <v>21287</v>
      </c>
      <c r="AB118" s="1233" t="n">
        <v>29625</v>
      </c>
      <c r="AC118" s="1233" t="n">
        <v>50912</v>
      </c>
      <c r="AD118" s="1228" t="n"/>
      <c r="AE118" s="1228" t="n"/>
      <c r="AF118" s="1233" t="n">
        <v>51235</v>
      </c>
      <c r="AG118" s="1228" t="n"/>
      <c r="AH118" s="1233" t="n">
        <v>209004</v>
      </c>
      <c r="AI118" s="1233" t="n">
        <v>762465</v>
      </c>
      <c r="AJ118" s="1233" t="n">
        <v>971469</v>
      </c>
      <c r="AK118" s="1233" t="n">
        <v>402131</v>
      </c>
      <c r="AL118" s="1228" t="n"/>
      <c r="AM118" s="1229" t="inlineStr">
        <is>
          <t>[NO SF] New (YOC ~2022); 2024 near-stabilized; 2023 excluded (lease-up, negative NOI)</t>
        </is>
      </c>
    </row>
    <row r="119" ht="14.1" customHeight="1">
      <c r="A119" s="696" t="inlineStr">
        <is>
          <t>P058</t>
        </is>
      </c>
      <c r="B119" s="695" t="n">
        <v>407</v>
      </c>
      <c r="C119" s="696" t="inlineStr">
        <is>
          <t>R0091934</t>
        </is>
      </c>
      <c r="D119" s="1195" t="inlineStr">
        <is>
          <t>350 Park Industrial (5759)</t>
        </is>
      </c>
      <c r="E119" s="696" t="inlineStr">
        <is>
          <t>Aurora</t>
        </is>
      </c>
      <c r="F119" s="696" t="inlineStr">
        <is>
          <t>CO</t>
        </is>
      </c>
      <c r="G119" s="696" t="inlineStr">
        <is>
          <t>Industrial</t>
        </is>
      </c>
      <c r="H119" s="1195"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1195" t="inlineStr">
        <is>
          <t>Actual accrual; 3 tenants; multi-tenant industrial</t>
        </is>
      </c>
    </row>
    <row r="120" ht="14.1" customHeight="1">
      <c r="A120" s="1228" t="inlineStr">
        <is>
          <t>P058</t>
        </is>
      </c>
      <c r="B120" s="695" t="n">
        <v>407</v>
      </c>
      <c r="C120" s="1228" t="inlineStr">
        <is>
          <t>R0091934</t>
        </is>
      </c>
      <c r="D120" s="1229" t="inlineStr">
        <is>
          <t>350 Park Industrial (5759)</t>
        </is>
      </c>
      <c r="E120" s="1228" t="inlineStr">
        <is>
          <t>Aurora</t>
        </is>
      </c>
      <c r="F120" s="1228" t="inlineStr">
        <is>
          <t>CO</t>
        </is>
      </c>
      <c r="G120" s="1228" t="inlineStr">
        <is>
          <t>Industrial</t>
        </is>
      </c>
      <c r="H120" s="1229" t="inlineStr">
        <is>
          <t>Multi-Tenant Industrial 407</t>
        </is>
      </c>
      <c r="I120" s="1230" t="n">
        <v>1995</v>
      </c>
      <c r="J120" s="1230" t="n">
        <v>32600</v>
      </c>
      <c r="K120" s="1230" t="n">
        <v>2024</v>
      </c>
      <c r="L120" s="1231" t="n">
        <v>9.582700000000001</v>
      </c>
      <c r="M120" s="1228" t="n"/>
      <c r="N120" s="1231" t="n">
        <v>15.2757</v>
      </c>
      <c r="O120" s="1231" t="n">
        <v>0.1809</v>
      </c>
      <c r="P120" s="1231" t="n">
        <v>0.5698</v>
      </c>
      <c r="Q120" s="1231" t="n">
        <v>0.0384</v>
      </c>
      <c r="R120" s="1228" t="n"/>
      <c r="S120" s="1231" t="n">
        <v>0.2311</v>
      </c>
      <c r="T120" s="1231" t="n">
        <v>0.0375</v>
      </c>
      <c r="U120" s="1228" t="n"/>
      <c r="V120" s="1228" t="n"/>
      <c r="W120" s="1228" t="n"/>
      <c r="X120" s="1231" t="n">
        <v>0.223</v>
      </c>
      <c r="Y120" s="1231" t="n">
        <v>0.53</v>
      </c>
      <c r="Z120" s="1231" t="n">
        <v>0.0422</v>
      </c>
      <c r="AA120" s="1228" t="n"/>
      <c r="AB120" s="1228" t="n"/>
      <c r="AC120" s="1231" t="n">
        <v>0.0422</v>
      </c>
      <c r="AD120" s="1231" t="n">
        <v>0.2095</v>
      </c>
      <c r="AE120" s="1228" t="n"/>
      <c r="AF120" s="1231" t="n">
        <v>0.2095</v>
      </c>
      <c r="AG120" s="1231" t="n">
        <v>0.7716</v>
      </c>
      <c r="AH120" s="1231" t="n">
        <v>2.124</v>
      </c>
      <c r="AI120" s="1231" t="n">
        <v>3.247</v>
      </c>
      <c r="AJ120" s="1231" t="n">
        <v>5.279</v>
      </c>
      <c r="AK120" s="1231" t="n">
        <v>9.996700000000001</v>
      </c>
      <c r="AL120" s="1228" t="n"/>
      <c r="AM120" s="1229" t="inlineStr">
        <is>
          <t>Actual accrual; 3 tenants</t>
        </is>
      </c>
    </row>
    <row r="121" ht="14.1" customHeight="1">
      <c r="A121" s="696" t="inlineStr">
        <is>
          <t>P059</t>
        </is>
      </c>
      <c r="B121" s="695" t="n">
        <v>407</v>
      </c>
      <c r="C121" s="696" t="inlineStr">
        <is>
          <t>R0093111</t>
        </is>
      </c>
      <c r="D121" s="1195" t="inlineStr">
        <is>
          <t>Industrial Property (R0093111)</t>
        </is>
      </c>
      <c r="E121" s="696" t="inlineStr">
        <is>
          <t>Aurora</t>
        </is>
      </c>
      <c r="F121" s="696" t="inlineStr">
        <is>
          <t>CO</t>
        </is>
      </c>
      <c r="G121" s="696" t="inlineStr">
        <is>
          <t>Industrial</t>
        </is>
      </c>
      <c r="H121" s="1195"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1195" t="inlineStr">
        <is>
          <t>[NO SF] Actual; RE tax heavy due to NNN recovery; SF not confirmed</t>
        </is>
      </c>
    </row>
    <row r="122" ht="14.1" customHeight="1">
      <c r="A122" s="1228" t="inlineStr">
        <is>
          <t>P059</t>
        </is>
      </c>
      <c r="B122" s="695" t="n">
        <v>407</v>
      </c>
      <c r="C122" s="1228" t="inlineStr">
        <is>
          <t>R0093111</t>
        </is>
      </c>
      <c r="D122" s="1229" t="inlineStr">
        <is>
          <t>Industrial Property (R0093111)</t>
        </is>
      </c>
      <c r="E122" s="1228" t="inlineStr">
        <is>
          <t>Aurora</t>
        </is>
      </c>
      <c r="F122" s="1228" t="inlineStr">
        <is>
          <t>CO</t>
        </is>
      </c>
      <c r="G122" s="1228" t="inlineStr">
        <is>
          <t>Industrial</t>
        </is>
      </c>
      <c r="H122" s="1229" t="inlineStr">
        <is>
          <t>Multi-Tenant Industrial 407</t>
        </is>
      </c>
      <c r="I122" s="1230" t="n"/>
      <c r="J122" s="1230" t="n"/>
      <c r="K122" s="1230" t="n">
        <v>2024</v>
      </c>
      <c r="L122" s="1233" t="n">
        <v>343350</v>
      </c>
      <c r="M122" s="1228" t="n"/>
      <c r="N122" s="1233" t="n">
        <v>632272</v>
      </c>
      <c r="O122" s="1233" t="n">
        <v>9737</v>
      </c>
      <c r="P122" s="1228" t="n"/>
      <c r="Q122" s="1228" t="n"/>
      <c r="R122" s="1228" t="n"/>
      <c r="S122" s="1228" t="n"/>
      <c r="T122" s="1228" t="n"/>
      <c r="U122" s="1228" t="n"/>
      <c r="V122" s="1228" t="n"/>
      <c r="W122" s="1228" t="n"/>
      <c r="X122" s="1228" t="n"/>
      <c r="Y122" s="1228" t="n"/>
      <c r="Z122" s="1228" t="n"/>
      <c r="AA122" s="1228" t="n"/>
      <c r="AB122" s="1228" t="n"/>
      <c r="AC122" s="1228" t="n"/>
      <c r="AD122" s="1228" t="n"/>
      <c r="AE122" s="1228" t="n"/>
      <c r="AF122" s="1228" t="n"/>
      <c r="AG122" s="1228" t="n"/>
      <c r="AH122" s="1233" t="n">
        <v>119649</v>
      </c>
      <c r="AI122" s="1233" t="n">
        <v>159461</v>
      </c>
      <c r="AJ122" s="1233" t="n">
        <v>279110</v>
      </c>
      <c r="AK122" s="1233" t="n">
        <v>353163</v>
      </c>
      <c r="AL122" s="1228" t="n"/>
      <c r="AM122" s="1229" t="inlineStr">
        <is>
          <t>[NO SF] 2024 summary data; limited line-item detail; SF not confirmed</t>
        </is>
      </c>
    </row>
    <row r="123" ht="14.1" customHeight="1">
      <c r="A123" s="696" t="inlineStr">
        <is>
          <t>P060</t>
        </is>
      </c>
      <c r="B123" s="695" t="n">
        <v>407</v>
      </c>
      <c r="C123" s="696" t="inlineStr">
        <is>
          <t>R0100104</t>
        </is>
      </c>
      <c r="D123" s="1195" t="inlineStr">
        <is>
          <t>312 Kew West</t>
        </is>
      </c>
      <c r="E123" s="696" t="inlineStr">
        <is>
          <t>Aurora</t>
        </is>
      </c>
      <c r="F123" s="696" t="inlineStr">
        <is>
          <t>CO</t>
        </is>
      </c>
      <c r="G123" s="696" t="inlineStr">
        <is>
          <t>Industrial</t>
        </is>
      </c>
      <c r="H123" s="1195"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1195" t="inlineStr">
        <is>
          <t>[NO SF] Actual accrual; SF not confirmed</t>
        </is>
      </c>
    </row>
    <row r="124" ht="14.1" customHeight="1">
      <c r="A124" s="1228" t="inlineStr">
        <is>
          <t>P060</t>
        </is>
      </c>
      <c r="B124" s="695" t="n">
        <v>407</v>
      </c>
      <c r="C124" s="1228" t="inlineStr">
        <is>
          <t>R0100104</t>
        </is>
      </c>
      <c r="D124" s="1229" t="inlineStr">
        <is>
          <t>312 Kew West</t>
        </is>
      </c>
      <c r="E124" s="1228" t="inlineStr">
        <is>
          <t>Aurora</t>
        </is>
      </c>
      <c r="F124" s="1228" t="inlineStr">
        <is>
          <t>CO</t>
        </is>
      </c>
      <c r="G124" s="1228" t="inlineStr">
        <is>
          <t>Industrial</t>
        </is>
      </c>
      <c r="H124" s="1229" t="inlineStr">
        <is>
          <t>Multi-Tenant Industrial 407</t>
        </is>
      </c>
      <c r="I124" s="1230" t="n"/>
      <c r="J124" s="1230" t="n"/>
      <c r="K124" s="1230" t="n">
        <v>2024</v>
      </c>
      <c r="L124" s="1233" t="n">
        <v>239823</v>
      </c>
      <c r="M124" s="1228" t="n"/>
      <c r="N124" s="1233" t="n">
        <v>375845</v>
      </c>
      <c r="O124" s="1233" t="n">
        <v>7287</v>
      </c>
      <c r="P124" s="1233" t="n">
        <v>18575</v>
      </c>
      <c r="Q124" s="1233" t="n">
        <v>816</v>
      </c>
      <c r="R124" s="1228" t="n"/>
      <c r="S124" s="1233" t="n">
        <v>25607</v>
      </c>
      <c r="T124" s="1233" t="n">
        <v>7834</v>
      </c>
      <c r="U124" s="1228" t="n"/>
      <c r="V124" s="1228" t="n"/>
      <c r="W124" s="1228" t="n"/>
      <c r="X124" s="1233" t="n">
        <v>8752</v>
      </c>
      <c r="Y124" s="1233" t="n">
        <v>42009</v>
      </c>
      <c r="Z124" s="1233" t="n">
        <v>2982</v>
      </c>
      <c r="AA124" s="1233" t="n">
        <v>2720</v>
      </c>
      <c r="AB124" s="1233" t="n">
        <v>10994</v>
      </c>
      <c r="AC124" s="1233" t="n">
        <v>16696</v>
      </c>
      <c r="AD124" s="1233" t="n">
        <v>4502</v>
      </c>
      <c r="AE124" s="1228" t="n"/>
      <c r="AF124" s="1233" t="n">
        <v>4502</v>
      </c>
      <c r="AG124" s="1228" t="n"/>
      <c r="AH124" s="1233" t="n">
        <v>69570</v>
      </c>
      <c r="AI124" s="1233" t="n">
        <v>102524</v>
      </c>
      <c r="AJ124" s="1233" t="n">
        <v>172094</v>
      </c>
      <c r="AK124" s="1233" t="n">
        <v>203752</v>
      </c>
      <c r="AL124" s="1228" t="n"/>
      <c r="AM124" s="1229" t="inlineStr">
        <is>
          <t>[NO SF] Actual accrual; SF not confirmed</t>
        </is>
      </c>
    </row>
    <row r="125" ht="14.1" customHeight="1">
      <c r="A125" s="696" t="inlineStr">
        <is>
          <t>P061</t>
        </is>
      </c>
      <c r="B125" s="695" t="n">
        <v>584</v>
      </c>
      <c r="C125" s="696" t="inlineStr">
        <is>
          <t>R0083935</t>
        </is>
      </c>
      <c r="D125" s="1195" t="inlineStr">
        <is>
          <t>20101 E 36th Ave</t>
        </is>
      </c>
      <c r="E125" s="696" t="inlineStr">
        <is>
          <t>Aurora</t>
        </is>
      </c>
      <c r="F125" s="696" t="inlineStr">
        <is>
          <t>CO</t>
        </is>
      </c>
      <c r="G125" s="696" t="inlineStr">
        <is>
          <t>Industrial</t>
        </is>
      </c>
      <c r="H125" s="1195"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1195" t="inlineStr">
        <is>
          <t>NNN; partial data; CBRE income statement; tenant RK Industries; rent $4.47/SF NNN; RE tax recovery ~$860k</t>
        </is>
      </c>
    </row>
    <row r="126" ht="14.1" customHeight="1">
      <c r="A126" s="1228" t="inlineStr">
        <is>
          <t>P062</t>
        </is>
      </c>
      <c r="B126" s="695" t="n">
        <v>407</v>
      </c>
      <c r="C126" s="1228" t="inlineStr">
        <is>
          <t>R0200721</t>
        </is>
      </c>
      <c r="D126" s="1229" t="inlineStr">
        <is>
          <t>3420 N Lisbon St</t>
        </is>
      </c>
      <c r="E126" s="1228" t="inlineStr">
        <is>
          <t>Aurora</t>
        </is>
      </c>
      <c r="F126" s="1228" t="inlineStr">
        <is>
          <t>CO</t>
        </is>
      </c>
      <c r="G126" s="1228" t="inlineStr">
        <is>
          <t>Industrial</t>
        </is>
      </c>
      <c r="H126" s="1229" t="inlineStr">
        <is>
          <t>Single-Tenant Industrial NNN</t>
        </is>
      </c>
      <c r="I126" s="1230" t="n">
        <v>2019</v>
      </c>
      <c r="J126" s="1230" t="n">
        <v>36212</v>
      </c>
      <c r="K126" s="1230" t="n">
        <v>2023</v>
      </c>
      <c r="L126" s="1231" t="n">
        <v>7.519</v>
      </c>
      <c r="M126" s="1228" t="n"/>
      <c r="N126" s="1231" t="n">
        <v>7.519</v>
      </c>
      <c r="O126" s="1228" t="n"/>
      <c r="P126" s="1228" t="n"/>
      <c r="Q126" s="1228" t="n"/>
      <c r="R126" s="1228" t="n"/>
      <c r="S126" s="1228" t="n"/>
      <c r="T126" s="1228" t="n"/>
      <c r="U126" s="1228" t="n"/>
      <c r="V126" s="1228" t="n"/>
      <c r="W126" s="1228" t="n"/>
      <c r="X126" s="1228" t="n"/>
      <c r="Y126" s="1228" t="n"/>
      <c r="Z126" s="1228" t="n"/>
      <c r="AA126" s="1228" t="n"/>
      <c r="AB126" s="1228" t="n"/>
      <c r="AC126" s="1228" t="n"/>
      <c r="AD126" s="1228" t="n"/>
      <c r="AE126" s="1228" t="n"/>
      <c r="AF126" s="1228" t="n"/>
      <c r="AG126" s="1228" t="n"/>
      <c r="AH126" s="1228" t="n"/>
      <c r="AI126" s="1228" t="n"/>
      <c r="AJ126" s="1228" t="n"/>
      <c r="AK126" s="1228" t="n"/>
      <c r="AL126" s="1228" t="n"/>
      <c r="AM126" s="1229" t="inlineStr">
        <is>
          <t>NNN absolute; tenant pays all opex; owner income = rent only; $7.52/SF</t>
        </is>
      </c>
    </row>
    <row r="127" ht="14.1" customHeight="1">
      <c r="A127" s="696" t="inlineStr">
        <is>
          <t>P062</t>
        </is>
      </c>
      <c r="B127" s="695" t="n">
        <v>407</v>
      </c>
      <c r="C127" s="696" t="inlineStr">
        <is>
          <t>R0200721</t>
        </is>
      </c>
      <c r="D127" s="1195" t="inlineStr">
        <is>
          <t>3420 N Lisbon St</t>
        </is>
      </c>
      <c r="E127" s="696" t="inlineStr">
        <is>
          <t>Aurora</t>
        </is>
      </c>
      <c r="F127" s="696" t="inlineStr">
        <is>
          <t>CO</t>
        </is>
      </c>
      <c r="G127" s="696" t="inlineStr">
        <is>
          <t>Industrial</t>
        </is>
      </c>
      <c r="H127" s="1195"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1195" t="inlineStr">
        <is>
          <t>NNN absolute; tenant pays all opex; owner income = rent only; $7.75/SF</t>
        </is>
      </c>
    </row>
    <row r="128" ht="14.1" customHeight="1">
      <c r="A128" s="1142" t="inlineStr">
        <is>
          <t>P063</t>
        </is>
      </c>
      <c r="B128" s="695" t="n">
        <v>344</v>
      </c>
      <c r="C128" s="1142" t="inlineStr">
        <is>
          <t>R0040581</t>
        </is>
      </c>
      <c r="D128" s="1198" t="inlineStr">
        <is>
          <t>2090 E 104th Ave</t>
        </is>
      </c>
      <c r="E128" s="1142" t="inlineStr">
        <is>
          <t>Thornton</t>
        </is>
      </c>
      <c r="F128" s="1142" t="inlineStr">
        <is>
          <t>CO</t>
        </is>
      </c>
      <c r="G128" s="1142" t="inlineStr">
        <is>
          <t>Office</t>
        </is>
      </c>
      <c r="H128" s="1198" t="inlineStr">
        <is>
          <t>Multi-Tenant Office</t>
        </is>
      </c>
      <c r="I128" s="1143" t="n"/>
      <c r="J128" s="1143" t="n">
        <v>19764</v>
      </c>
      <c r="K128" s="1143" t="n">
        <v>2023</v>
      </c>
      <c r="L128" s="1142" t="n"/>
      <c r="M128" s="1142" t="n"/>
      <c r="N128" s="1142" t="n"/>
      <c r="O128" s="1146" t="n">
        <v>0.1585</v>
      </c>
      <c r="P128" s="1146" t="n">
        <v>0.4648</v>
      </c>
      <c r="Q128" s="1142" t="n"/>
      <c r="R128" s="1142" t="n"/>
      <c r="S128" s="1142" t="n"/>
      <c r="T128" s="1142" t="n"/>
      <c r="U128" s="1142" t="n"/>
      <c r="V128" s="1142" t="n"/>
      <c r="W128" s="1142" t="n"/>
      <c r="X128" s="1146" t="n">
        <v>2.4351</v>
      </c>
      <c r="Y128" s="1146" t="n">
        <v>2.4351</v>
      </c>
      <c r="Z128" s="1142" t="n"/>
      <c r="AA128" s="1146" t="n">
        <v>0.4976</v>
      </c>
      <c r="AB128" s="1142" t="n"/>
      <c r="AC128" s="1146" t="n">
        <v>0.4976</v>
      </c>
      <c r="AD128" s="1142" t="n"/>
      <c r="AE128" s="1142" t="n"/>
      <c r="AF128" s="1146" t="n">
        <v>1.8998</v>
      </c>
      <c r="AG128" s="1146" t="n">
        <v>0.4171</v>
      </c>
      <c r="AH128" s="1146" t="n">
        <v>6.7472</v>
      </c>
      <c r="AI128" s="1146" t="n">
        <v>2.0601</v>
      </c>
      <c r="AJ128" s="1146" t="n">
        <v>8.8073</v>
      </c>
      <c r="AK128" s="1146" t="n">
        <v>2.7531</v>
      </c>
      <c r="AL128" s="1142" t="n"/>
      <c r="AM128" s="1198" t="inlineStr">
        <is>
          <t>Office; expenses only; GRI est. ~$228k at $11.56/SF 100% occ</t>
        </is>
      </c>
    </row>
    <row r="129" ht="14.1" customHeight="1">
      <c r="A129" s="1142" t="inlineStr">
        <is>
          <t>P063</t>
        </is>
      </c>
      <c r="B129" s="695" t="n">
        <v>344</v>
      </c>
      <c r="C129" s="1142" t="inlineStr">
        <is>
          <t>R0040581</t>
        </is>
      </c>
      <c r="D129" s="1198" t="inlineStr">
        <is>
          <t>2090 E 104th Ave</t>
        </is>
      </c>
      <c r="E129" s="1142" t="inlineStr">
        <is>
          <t>Thornton</t>
        </is>
      </c>
      <c r="F129" s="1142" t="inlineStr">
        <is>
          <t>CO</t>
        </is>
      </c>
      <c r="G129" s="1142" t="inlineStr">
        <is>
          <t>Office</t>
        </is>
      </c>
      <c r="H129" s="1198" t="inlineStr">
        <is>
          <t>Multi-Tenant Office</t>
        </is>
      </c>
      <c r="I129" s="1143" t="n"/>
      <c r="J129" s="1143" t="n">
        <v>19764</v>
      </c>
      <c r="K129" s="1143" t="n">
        <v>2024</v>
      </c>
      <c r="L129" s="1142" t="n"/>
      <c r="M129" s="1142" t="n"/>
      <c r="N129" s="1142" t="n"/>
      <c r="O129" s="1146" t="n">
        <v>0.5652</v>
      </c>
      <c r="P129" s="1146" t="n">
        <v>0.4554</v>
      </c>
      <c r="Q129" s="1142" t="n"/>
      <c r="R129" s="1142" t="n"/>
      <c r="S129" s="1142" t="n"/>
      <c r="T129" s="1142" t="n"/>
      <c r="U129" s="1142" t="n"/>
      <c r="V129" s="1142" t="n"/>
      <c r="W129" s="1142" t="n"/>
      <c r="X129" s="1146" t="n">
        <v>2.4623</v>
      </c>
      <c r="Y129" s="1146" t="n">
        <v>2.4623</v>
      </c>
      <c r="Z129" s="1142" t="n"/>
      <c r="AA129" s="1146" t="n">
        <v>0.5888</v>
      </c>
      <c r="AB129" s="1142" t="n"/>
      <c r="AC129" s="1146" t="n">
        <v>0.5888</v>
      </c>
      <c r="AD129" s="1142" t="n"/>
      <c r="AE129" s="1142" t="n"/>
      <c r="AF129" s="1146" t="n">
        <v>2.4159</v>
      </c>
      <c r="AG129" s="1146" t="n">
        <v>0.3126</v>
      </c>
      <c r="AH129" s="1146" t="n">
        <v>6.8005</v>
      </c>
      <c r="AI129" s="1146" t="n">
        <v>2.0271</v>
      </c>
      <c r="AJ129" s="1146" t="n">
        <v>8.8276</v>
      </c>
      <c r="AK129" s="1146" t="n">
        <v>2.7328</v>
      </c>
      <c r="AL129" s="1142" t="n"/>
      <c r="AM129" s="1198" t="inlineStr">
        <is>
          <t>Office; expenses only; GRI est. ~$228k</t>
        </is>
      </c>
    </row>
    <row r="130" ht="14.1" customHeight="1">
      <c r="A130" s="1142" t="inlineStr">
        <is>
          <t>P064</t>
        </is>
      </c>
      <c r="B130" s="695" t="n">
        <v>344</v>
      </c>
      <c r="C130" s="1142" t="inlineStr">
        <is>
          <t>R0050977</t>
        </is>
      </c>
      <c r="D130" s="1198" t="inlineStr">
        <is>
          <t>9351 Grant St</t>
        </is>
      </c>
      <c r="E130" s="1142" t="inlineStr">
        <is>
          <t>Thornton</t>
        </is>
      </c>
      <c r="F130" s="1142" t="inlineStr">
        <is>
          <t>CO</t>
        </is>
      </c>
      <c r="G130" s="1142" t="inlineStr">
        <is>
          <t>Office</t>
        </is>
      </c>
      <c r="H130" s="1198" t="inlineStr">
        <is>
          <t>Multi-Tenant Office</t>
        </is>
      </c>
      <c r="I130" s="1143" t="n"/>
      <c r="J130" s="1143" t="n"/>
      <c r="K130" s="1143" t="n">
        <v>2023</v>
      </c>
      <c r="L130" s="1144" t="n">
        <v>2011958</v>
      </c>
      <c r="M130" s="1142" t="n"/>
      <c r="N130" s="1144" t="n">
        <v>2239234</v>
      </c>
      <c r="O130" s="1142" t="n"/>
      <c r="P130" s="1142" t="n"/>
      <c r="Q130" s="1142" t="n"/>
      <c r="R130" s="1142" t="n"/>
      <c r="S130" s="1142" t="n"/>
      <c r="T130" s="1142" t="n"/>
      <c r="U130" s="1142" t="n"/>
      <c r="V130" s="1142" t="n"/>
      <c r="W130" s="1142" t="n"/>
      <c r="X130" s="1144" t="n">
        <v>144543</v>
      </c>
      <c r="Y130" s="1144" t="n">
        <v>144543</v>
      </c>
      <c r="Z130" s="1142" t="n"/>
      <c r="AA130" s="1142" t="n"/>
      <c r="AB130" s="1142" t="n"/>
      <c r="AC130" s="1142" t="n"/>
      <c r="AD130" s="1142" t="n"/>
      <c r="AE130" s="1142" t="n"/>
      <c r="AF130" s="1144" t="n">
        <v>240350</v>
      </c>
      <c r="AG130" s="1144" t="n">
        <v>279549</v>
      </c>
      <c r="AH130" s="1144" t="n">
        <v>719555</v>
      </c>
      <c r="AI130" s="1144" t="n">
        <v>497852</v>
      </c>
      <c r="AJ130" s="1144" t="n">
        <v>1217407</v>
      </c>
      <c r="AK130" s="1144" t="n">
        <v>1021827</v>
      </c>
      <c r="AL130" s="1142" t="n"/>
      <c r="AM130" s="1198" t="inlineStr">
        <is>
          <t>[NO SF] Actual P&amp;L; Crown RE Group; RE Tax + Ins combined in $497,852 line; large office property</t>
        </is>
      </c>
    </row>
    <row r="131" ht="14.1" customHeight="1">
      <c r="A131" s="1142" t="inlineStr">
        <is>
          <t>P065</t>
        </is>
      </c>
      <c r="B131" s="695" t="n">
        <v>344</v>
      </c>
      <c r="C131" s="1142" t="inlineStr">
        <is>
          <t>R0069041</t>
        </is>
      </c>
      <c r="D131" s="1198" t="inlineStr">
        <is>
          <t>7475 Dakin St (Turnpike Tower)</t>
        </is>
      </c>
      <c r="E131" s="1142" t="inlineStr">
        <is>
          <t>Denver</t>
        </is>
      </c>
      <c r="F131" s="1142" t="inlineStr">
        <is>
          <t>CO</t>
        </is>
      </c>
      <c r="G131" s="1142" t="inlineStr">
        <is>
          <t>Office</t>
        </is>
      </c>
      <c r="H131" s="1198" t="inlineStr">
        <is>
          <t>Multi-Tenant Office</t>
        </is>
      </c>
      <c r="I131" s="1143" t="n"/>
      <c r="J131" s="1143" t="n">
        <v>114843</v>
      </c>
      <c r="K131" s="1143" t="n">
        <v>2023</v>
      </c>
      <c r="L131" s="1142" t="n"/>
      <c r="M131" s="1142" t="n"/>
      <c r="N131" s="1146" t="n">
        <v>5.3899</v>
      </c>
      <c r="O131" s="1142" t="n"/>
      <c r="P131" s="1142" t="n"/>
      <c r="Q131" s="1142" t="n"/>
      <c r="R131" s="1142" t="n"/>
      <c r="S131" s="1142" t="n"/>
      <c r="T131" s="1142" t="n"/>
      <c r="U131" s="1142" t="n"/>
      <c r="V131" s="1142" t="n"/>
      <c r="W131" s="1142" t="n"/>
      <c r="X131" s="1142" t="n"/>
      <c r="Y131" s="1142" t="n"/>
      <c r="Z131" s="1142" t="n"/>
      <c r="AA131" s="1146" t="n">
        <v>0.0873</v>
      </c>
      <c r="AB131" s="1142" t="n"/>
      <c r="AC131" s="1142" t="n"/>
      <c r="AD131" s="1142" t="n"/>
      <c r="AE131" s="1142" t="n"/>
      <c r="AF131" s="1142" t="n"/>
      <c r="AG131" s="1142" t="n"/>
      <c r="AH131" s="1146" t="n">
        <v>2.6434</v>
      </c>
      <c r="AI131" s="1146" t="n">
        <v>2.2851</v>
      </c>
      <c r="AJ131" s="1146" t="n">
        <v>4.9285</v>
      </c>
      <c r="AK131" s="1146" t="n">
        <v>0.4627</v>
      </c>
      <c r="AL131" s="1142" t="n"/>
      <c r="AM131" s="1198" t="inlineStr">
        <is>
          <t>Actual; 87.7% occ; NNN/Modified leases; RE Tax heavy; approx figures</t>
        </is>
      </c>
    </row>
    <row r="132" ht="14.1" customHeight="1">
      <c r="A132" s="1142" t="inlineStr">
        <is>
          <t>P065</t>
        </is>
      </c>
      <c r="B132" s="695" t="n">
        <v>344</v>
      </c>
      <c r="C132" s="1142" t="inlineStr">
        <is>
          <t>R0069041</t>
        </is>
      </c>
      <c r="D132" s="1198" t="inlineStr">
        <is>
          <t>7475 Dakin St (Turnpike Tower)</t>
        </is>
      </c>
      <c r="E132" s="1142" t="inlineStr">
        <is>
          <t>Denver</t>
        </is>
      </c>
      <c r="F132" s="1142" t="inlineStr">
        <is>
          <t>CO</t>
        </is>
      </c>
      <c r="G132" s="1142" t="inlineStr">
        <is>
          <t>Office</t>
        </is>
      </c>
      <c r="H132" s="1198" t="inlineStr">
        <is>
          <t>Multi-Tenant Office</t>
        </is>
      </c>
      <c r="I132" s="1143" t="n"/>
      <c r="J132" s="1143" t="n">
        <v>114843</v>
      </c>
      <c r="K132" s="1143" t="n">
        <v>2024</v>
      </c>
      <c r="L132" s="1142" t="n"/>
      <c r="M132" s="1142" t="n"/>
      <c r="N132" s="1146" t="n">
        <v>11.7878</v>
      </c>
      <c r="O132" s="1142" t="n"/>
      <c r="P132" s="1142" t="n"/>
      <c r="Q132" s="1142" t="n"/>
      <c r="R132" s="1142" t="n"/>
      <c r="S132" s="1142" t="n"/>
      <c r="T132" s="1142" t="n"/>
      <c r="U132" s="1142" t="n"/>
      <c r="V132" s="1142" t="n"/>
      <c r="W132" s="1142" t="n"/>
      <c r="X132" s="1142" t="n"/>
      <c r="Y132" s="1142" t="n"/>
      <c r="Z132" s="1142" t="n"/>
      <c r="AA132" s="1142" t="n"/>
      <c r="AB132" s="1142" t="n"/>
      <c r="AC132" s="1142" t="n"/>
      <c r="AD132" s="1142" t="n"/>
      <c r="AE132" s="1142" t="n"/>
      <c r="AF132" s="1142" t="n"/>
      <c r="AG132" s="1142" t="n"/>
      <c r="AH132" s="1146" t="n">
        <v>8.9252</v>
      </c>
      <c r="AI132" s="1142" t="n"/>
      <c r="AJ132" s="1146" t="n">
        <v>11.2066</v>
      </c>
      <c r="AK132" s="1146" t="n">
        <v>0.5806</v>
      </c>
      <c r="AL132" s="1142" t="n"/>
      <c r="AM132" s="1198" t="inlineStr">
        <is>
          <t>Actual 2024; approx figures; RE Tax est. ~$262k</t>
        </is>
      </c>
    </row>
    <row r="133" ht="14.1" customHeight="1">
      <c r="A133" s="1142" t="inlineStr">
        <is>
          <t>P066</t>
        </is>
      </c>
      <c r="B133" s="695" t="n">
        <v>344</v>
      </c>
      <c r="C133" s="1142" t="inlineStr">
        <is>
          <t>R0079409</t>
        </is>
      </c>
      <c r="D133" s="1198" t="inlineStr">
        <is>
          <t>6401 E 72nd Ave</t>
        </is>
      </c>
      <c r="E133" s="1142" t="inlineStr">
        <is>
          <t>Commerce City</t>
        </is>
      </c>
      <c r="F133" s="1142" t="inlineStr">
        <is>
          <t>CO</t>
        </is>
      </c>
      <c r="G133" s="1142" t="inlineStr">
        <is>
          <t>Office</t>
        </is>
      </c>
      <c r="H133" s="1198" t="inlineStr">
        <is>
          <t>Multi-Tenant Office</t>
        </is>
      </c>
      <c r="I133" s="1143" t="n"/>
      <c r="J133" s="1143" t="n">
        <v>8218</v>
      </c>
      <c r="K133" s="1143" t="n">
        <v>2023</v>
      </c>
      <c r="L133" s="1146" t="n">
        <v>11.7637</v>
      </c>
      <c r="M133" s="1142" t="n"/>
      <c r="N133" s="1146" t="n">
        <v>13.2835</v>
      </c>
      <c r="O133" s="1146" t="n">
        <v>0.2901</v>
      </c>
      <c r="P133" s="1146" t="n">
        <v>0.6571</v>
      </c>
      <c r="Q133" s="1142" t="n"/>
      <c r="R133" s="1142" t="n"/>
      <c r="S133" s="1142" t="n"/>
      <c r="T133" s="1142" t="n"/>
      <c r="U133" s="1142" t="n"/>
      <c r="V133" s="1142" t="n"/>
      <c r="W133" s="1142" t="n"/>
      <c r="X133" s="1146" t="n">
        <v>2.2109</v>
      </c>
      <c r="Y133" s="1146" t="n">
        <v>2.2109</v>
      </c>
      <c r="Z133" s="1142" t="n"/>
      <c r="AA133" s="1142" t="n"/>
      <c r="AB133" s="1142" t="n"/>
      <c r="AC133" s="1142" t="n"/>
      <c r="AD133" s="1142" t="n"/>
      <c r="AE133" s="1142" t="n"/>
      <c r="AF133" s="1146" t="n">
        <v>1.5784</v>
      </c>
      <c r="AG133" s="1146" t="n">
        <v>0.4882</v>
      </c>
      <c r="AH133" s="1146" t="n">
        <v>4.8338</v>
      </c>
      <c r="AI133" s="1146" t="n">
        <v>1.9805</v>
      </c>
      <c r="AJ133" s="1146" t="n">
        <v>6.8143</v>
      </c>
      <c r="AK133" s="1146" t="n">
        <v>6.4493</v>
      </c>
      <c r="AL133" s="1142" t="n"/>
      <c r="AM133" s="1198" t="inlineStr">
        <is>
          <t>Actual 2023; 9 tenants small multi-tenant office; approx total OPX/NOI</t>
        </is>
      </c>
    </row>
    <row r="134" ht="14.1" customHeight="1">
      <c r="A134" s="1142" t="inlineStr">
        <is>
          <t>P067</t>
        </is>
      </c>
      <c r="B134" s="695" t="n">
        <v>344</v>
      </c>
      <c r="C134" s="1142" t="inlineStr">
        <is>
          <t>R0189338</t>
        </is>
      </c>
      <c r="D134" s="1198" t="inlineStr">
        <is>
          <t>203 Telluride St</t>
        </is>
      </c>
      <c r="E134" s="1142" t="inlineStr">
        <is>
          <t>Aurora</t>
        </is>
      </c>
      <c r="F134" s="1142" t="inlineStr">
        <is>
          <t>CO</t>
        </is>
      </c>
      <c r="G134" s="1142" t="inlineStr">
        <is>
          <t>Office</t>
        </is>
      </c>
      <c r="H134" s="1198" t="inlineStr">
        <is>
          <t>Multi-Tenant Office</t>
        </is>
      </c>
      <c r="I134" s="1143" t="n"/>
      <c r="J134" s="1143" t="n"/>
      <c r="K134" s="1143" t="n">
        <v>2023</v>
      </c>
      <c r="L134" s="1144" t="n">
        <v>326779</v>
      </c>
      <c r="M134" s="1142" t="n"/>
      <c r="N134" s="1144" t="n">
        <v>315661</v>
      </c>
      <c r="O134" s="1142" t="n"/>
      <c r="P134" s="1142" t="n"/>
      <c r="Q134" s="1142" t="n"/>
      <c r="R134" s="1142" t="n"/>
      <c r="S134" s="1142" t="n"/>
      <c r="T134" s="1142" t="n"/>
      <c r="U134" s="1142" t="n"/>
      <c r="V134" s="1142" t="n"/>
      <c r="W134" s="1142" t="n"/>
      <c r="X134" s="1142" t="n"/>
      <c r="Y134" s="1142" t="n"/>
      <c r="Z134" s="1142" t="n"/>
      <c r="AA134" s="1144" t="n">
        <v>16009</v>
      </c>
      <c r="AB134" s="1142" t="n"/>
      <c r="AC134" s="1142" t="n"/>
      <c r="AD134" s="1142" t="n"/>
      <c r="AE134" s="1142" t="n"/>
      <c r="AF134" s="1142" t="n"/>
      <c r="AG134" s="1142" t="n"/>
      <c r="AH134" s="1144" t="n">
        <v>78034</v>
      </c>
      <c r="AI134" s="1144" t="n">
        <v>66966</v>
      </c>
      <c r="AJ134" s="1144" t="n">
        <v>145000</v>
      </c>
      <c r="AK134" s="1144" t="n">
        <v>170661</v>
      </c>
      <c r="AL134" s="1142" t="n"/>
      <c r="AM134" s="1198" t="inlineStr">
        <is>
          <t>[NO SF] Actual 2023; SF not stated; approx total OPX</t>
        </is>
      </c>
    </row>
    <row r="135" ht="14.1" customHeight="1">
      <c r="A135" s="1142" t="inlineStr">
        <is>
          <t>P067</t>
        </is>
      </c>
      <c r="B135" s="695" t="n">
        <v>344</v>
      </c>
      <c r="C135" s="1142" t="inlineStr">
        <is>
          <t>R0189338</t>
        </is>
      </c>
      <c r="D135" s="1198" t="inlineStr">
        <is>
          <t>203 Telluride St</t>
        </is>
      </c>
      <c r="E135" s="1142" t="inlineStr">
        <is>
          <t>Aurora</t>
        </is>
      </c>
      <c r="F135" s="1142" t="inlineStr">
        <is>
          <t>CO</t>
        </is>
      </c>
      <c r="G135" s="1142" t="inlineStr">
        <is>
          <t>Office</t>
        </is>
      </c>
      <c r="H135" s="1198" t="inlineStr">
        <is>
          <t>Multi-Tenant Office</t>
        </is>
      </c>
      <c r="I135" s="1143" t="n"/>
      <c r="J135" s="1143" t="n"/>
      <c r="K135" s="1143" t="n">
        <v>2024</v>
      </c>
      <c r="L135" s="1144" t="n">
        <v>357674</v>
      </c>
      <c r="M135" s="1142" t="n"/>
      <c r="N135" s="1144" t="n">
        <v>335977</v>
      </c>
      <c r="O135" s="1144" t="n">
        <v>9791</v>
      </c>
      <c r="P135" s="1144" t="n">
        <v>7884</v>
      </c>
      <c r="Q135" s="1142" t="n"/>
      <c r="R135" s="1142" t="n"/>
      <c r="S135" s="1142" t="n"/>
      <c r="T135" s="1142" t="n"/>
      <c r="U135" s="1142" t="n"/>
      <c r="V135" s="1142" t="n"/>
      <c r="W135" s="1142" t="n"/>
      <c r="X135" s="1144" t="n">
        <v>41510</v>
      </c>
      <c r="Y135" s="1144" t="n">
        <v>41510</v>
      </c>
      <c r="Z135" s="1142" t="n"/>
      <c r="AA135" s="1144" t="n">
        <v>12092</v>
      </c>
      <c r="AB135" s="1142" t="n"/>
      <c r="AC135" s="1142" t="n"/>
      <c r="AD135" s="1142" t="n"/>
      <c r="AE135" s="1142" t="n"/>
      <c r="AF135" s="1144" t="n">
        <v>9302</v>
      </c>
      <c r="AG135" s="1144" t="n">
        <v>10772</v>
      </c>
      <c r="AH135" s="1144" t="n">
        <v>109544</v>
      </c>
      <c r="AI135" s="1144" t="n">
        <v>68307</v>
      </c>
      <c r="AJ135" s="1144" t="n">
        <v>177851</v>
      </c>
      <c r="AK135" s="1144" t="n">
        <v>158126</v>
      </c>
      <c r="AL135" s="1142" t="n"/>
      <c r="AM135" s="1198" t="inlineStr">
        <is>
          <t>[NO SF] Actual 2024; SF not stated</t>
        </is>
      </c>
    </row>
    <row r="136" ht="14.1" customHeight="1">
      <c r="A136" s="1142" t="inlineStr">
        <is>
          <t>P068</t>
        </is>
      </c>
      <c r="B136" s="695" t="n">
        <v>344</v>
      </c>
      <c r="C136" s="1142" t="inlineStr">
        <is>
          <t>R0193830</t>
        </is>
      </c>
      <c r="D136" s="1198" t="inlineStr">
        <is>
          <t>Justice Center Office Plaza</t>
        </is>
      </c>
      <c r="E136" s="1142" t="inlineStr">
        <is>
          <t>Denver</t>
        </is>
      </c>
      <c r="F136" s="1142" t="inlineStr">
        <is>
          <t>CO</t>
        </is>
      </c>
      <c r="G136" s="1142" t="inlineStr">
        <is>
          <t>Office</t>
        </is>
      </c>
      <c r="H136" s="1198" t="inlineStr">
        <is>
          <t>Multi-Tenant Office NNN</t>
        </is>
      </c>
      <c r="I136" s="1143" t="n"/>
      <c r="J136" s="1143" t="n">
        <v>41979</v>
      </c>
      <c r="K136" s="1143" t="n">
        <v>2023</v>
      </c>
      <c r="L136" s="1146" t="n">
        <v>23.2395</v>
      </c>
      <c r="M136" s="1142" t="n"/>
      <c r="N136" s="1146" t="n">
        <v>32.1906</v>
      </c>
      <c r="O136" s="1146" t="n">
        <v>0.7301</v>
      </c>
      <c r="P136" s="1146" t="n">
        <v>2.0601</v>
      </c>
      <c r="Q136" s="1142" t="n"/>
      <c r="R136" s="1142" t="n"/>
      <c r="S136" s="1142" t="n"/>
      <c r="T136" s="1142" t="n"/>
      <c r="U136" s="1142" t="n"/>
      <c r="V136" s="1142" t="n"/>
      <c r="W136" s="1142" t="n"/>
      <c r="X136" s="1146" t="n">
        <v>3.2415</v>
      </c>
      <c r="Y136" s="1146" t="n">
        <v>3.2415</v>
      </c>
      <c r="Z136" s="1142" t="n"/>
      <c r="AA136" s="1142" t="n"/>
      <c r="AB136" s="1142" t="n"/>
      <c r="AC136" s="1142" t="n"/>
      <c r="AD136" s="1142" t="n"/>
      <c r="AE136" s="1142" t="n"/>
      <c r="AF136" s="1146" t="n">
        <v>3.4458</v>
      </c>
      <c r="AG136" s="1146" t="n">
        <v>0.5937</v>
      </c>
      <c r="AH136" s="1146" t="n">
        <v>10.0688</v>
      </c>
      <c r="AI136" s="1146" t="n">
        <v>2.0543</v>
      </c>
      <c r="AJ136" s="1146" t="n">
        <v>12.123</v>
      </c>
      <c r="AK136" s="1146" t="n">
        <v>20.0676</v>
      </c>
      <c r="AL136" s="1142" t="n"/>
      <c r="AM136" s="1198" t="inlineStr">
        <is>
          <t>Actual accrual; govt tenants; 100% occ NNN; special assessments in Other</t>
        </is>
      </c>
    </row>
    <row r="137" ht="14.1" customHeight="1">
      <c r="A137" s="1142" t="inlineStr">
        <is>
          <t>P068</t>
        </is>
      </c>
      <c r="B137" s="695" t="n">
        <v>344</v>
      </c>
      <c r="C137" s="1142" t="inlineStr">
        <is>
          <t>R0193830</t>
        </is>
      </c>
      <c r="D137" s="1198" t="inlineStr">
        <is>
          <t>Justice Center Office Plaza</t>
        </is>
      </c>
      <c r="E137" s="1142" t="inlineStr">
        <is>
          <t>Denver</t>
        </is>
      </c>
      <c r="F137" s="1142" t="inlineStr">
        <is>
          <t>CO</t>
        </is>
      </c>
      <c r="G137" s="1142" t="inlineStr">
        <is>
          <t>Office</t>
        </is>
      </c>
      <c r="H137" s="1198" t="inlineStr">
        <is>
          <t>Multi-Tenant Office NNN</t>
        </is>
      </c>
      <c r="I137" s="1143" t="n"/>
      <c r="J137" s="1143" t="n">
        <v>41979</v>
      </c>
      <c r="K137" s="1143" t="n">
        <v>2024</v>
      </c>
      <c r="L137" s="1146" t="n">
        <v>20.4556</v>
      </c>
      <c r="M137" s="1142" t="n"/>
      <c r="N137" s="1146" t="n">
        <v>33.188</v>
      </c>
      <c r="O137" s="1146" t="n">
        <v>0.8289</v>
      </c>
      <c r="P137" s="1146" t="n">
        <v>2.1306</v>
      </c>
      <c r="Q137" s="1142" t="n"/>
      <c r="R137" s="1142" t="n"/>
      <c r="S137" s="1142" t="n"/>
      <c r="T137" s="1142" t="n"/>
      <c r="U137" s="1142" t="n"/>
      <c r="V137" s="1142" t="n"/>
      <c r="W137" s="1142" t="n"/>
      <c r="X137" s="1146" t="n">
        <v>2.7757</v>
      </c>
      <c r="Y137" s="1146" t="n">
        <v>2.7757</v>
      </c>
      <c r="Z137" s="1142" t="n"/>
      <c r="AA137" s="1142" t="n"/>
      <c r="AB137" s="1142" t="n"/>
      <c r="AC137" s="1142" t="n"/>
      <c r="AD137" s="1142" t="n"/>
      <c r="AE137" s="1142" t="n"/>
      <c r="AF137" s="1146" t="n">
        <v>3.5734</v>
      </c>
      <c r="AG137" s="1146" t="n">
        <v>0.7077</v>
      </c>
      <c r="AH137" s="1146" t="n">
        <v>10.1354</v>
      </c>
      <c r="AI137" s="1146" t="n">
        <v>2.0662</v>
      </c>
      <c r="AJ137" s="1146" t="n">
        <v>12.2016</v>
      </c>
      <c r="AK137" s="1146" t="n">
        <v>20.9864</v>
      </c>
      <c r="AL137" s="1142" t="n"/>
      <c r="AM137" s="1198" t="inlineStr">
        <is>
          <t>Actual accrual; govt tenants; 100% occ NNN; special assessments in Other</t>
        </is>
      </c>
    </row>
    <row r="138" ht="14.1" customHeight="1">
      <c r="A138" s="1142" t="inlineStr">
        <is>
          <t>P069</t>
        </is>
      </c>
      <c r="B138" s="695" t="n">
        <v>210</v>
      </c>
      <c r="C138" s="1142" t="inlineStr">
        <is>
          <t>R0098223</t>
        </is>
      </c>
      <c r="D138" s="1198" t="inlineStr">
        <is>
          <t>Washington Commerce Center</t>
        </is>
      </c>
      <c r="E138" s="1142" t="inlineStr">
        <is>
          <t>Commerce City</t>
        </is>
      </c>
      <c r="F138" s="1142" t="inlineStr">
        <is>
          <t>CO</t>
        </is>
      </c>
      <c r="G138" s="1142" t="inlineStr">
        <is>
          <t>Office/Industrial</t>
        </is>
      </c>
      <c r="H138" s="1198" t="inlineStr">
        <is>
          <t>Multi-Tenant Office/Industrial</t>
        </is>
      </c>
      <c r="I138" s="1143" t="n"/>
      <c r="J138" s="1143" t="n">
        <v>278538</v>
      </c>
      <c r="K138" s="1143" t="n">
        <v>2023</v>
      </c>
      <c r="L138" s="1146" t="n">
        <v>5.8736</v>
      </c>
      <c r="M138" s="1142" t="n"/>
      <c r="N138" s="1146" t="n">
        <v>5.7822</v>
      </c>
      <c r="O138" s="1146" t="n">
        <v>0.0183</v>
      </c>
      <c r="P138" s="1146" t="n">
        <v>0.0788</v>
      </c>
      <c r="Q138" s="1142" t="n"/>
      <c r="R138" s="1142" t="n"/>
      <c r="S138" s="1142" t="n"/>
      <c r="T138" s="1142" t="n"/>
      <c r="U138" s="1142" t="n"/>
      <c r="V138" s="1142" t="n"/>
      <c r="W138" s="1142" t="n"/>
      <c r="X138" s="1146" t="n">
        <v>0.9203</v>
      </c>
      <c r="Y138" s="1146" t="n">
        <v>0.9203</v>
      </c>
      <c r="Z138" s="1142" t="n"/>
      <c r="AA138" s="1146" t="n">
        <v>0.2083</v>
      </c>
      <c r="AB138" s="1146" t="n">
        <v>0.0116</v>
      </c>
      <c r="AC138" s="1146" t="n">
        <v>0.2199</v>
      </c>
      <c r="AD138" s="1142" t="n"/>
      <c r="AE138" s="1142" t="n"/>
      <c r="AF138" s="1146" t="n">
        <v>0.1146</v>
      </c>
      <c r="AG138" s="1142" t="n"/>
      <c r="AH138" s="1146" t="n">
        <v>1.3485</v>
      </c>
      <c r="AI138" s="1146" t="n">
        <v>0</v>
      </c>
      <c r="AJ138" s="1146" t="n">
        <v>1.3485</v>
      </c>
      <c r="AK138" s="1146" t="n">
        <v>0.2751</v>
      </c>
      <c r="AL138" s="1142" t="n"/>
      <c r="AM138" s="1198" t="inlineStr">
        <is>
          <t>Actual; tenants pay RE tax; high R&amp;M 2023 ($127k major maint); SF est.</t>
        </is>
      </c>
    </row>
    <row r="139" ht="14.1" customHeight="1">
      <c r="A139" s="1142" t="inlineStr">
        <is>
          <t>P069</t>
        </is>
      </c>
      <c r="B139" s="695" t="n">
        <v>210</v>
      </c>
      <c r="C139" s="1142" t="inlineStr">
        <is>
          <t>R0098223</t>
        </is>
      </c>
      <c r="D139" s="1198" t="inlineStr">
        <is>
          <t>Washington Commerce Center</t>
        </is>
      </c>
      <c r="E139" s="1142" t="inlineStr">
        <is>
          <t>Commerce City</t>
        </is>
      </c>
      <c r="F139" s="1142" t="inlineStr">
        <is>
          <t>CO</t>
        </is>
      </c>
      <c r="G139" s="1142" t="inlineStr">
        <is>
          <t>Office/Industrial</t>
        </is>
      </c>
      <c r="H139" s="1198" t="inlineStr">
        <is>
          <t>Multi-Tenant Office/Industrial</t>
        </is>
      </c>
      <c r="I139" s="1143" t="n"/>
      <c r="J139" s="1143" t="n">
        <v>278538</v>
      </c>
      <c r="K139" s="1143" t="n">
        <v>2024</v>
      </c>
      <c r="L139" s="1146" t="n">
        <v>5.4604</v>
      </c>
      <c r="M139" s="1142" t="n"/>
      <c r="N139" s="1146" t="n">
        <v>5.4604</v>
      </c>
      <c r="O139" s="1146" t="n">
        <v>0.032</v>
      </c>
      <c r="P139" s="1146" t="n">
        <v>0.09180000000000001</v>
      </c>
      <c r="Q139" s="1142" t="n"/>
      <c r="R139" s="1142" t="n"/>
      <c r="S139" s="1142" t="n"/>
      <c r="T139" s="1142" t="n"/>
      <c r="U139" s="1142" t="n"/>
      <c r="V139" s="1142" t="n"/>
      <c r="W139" s="1142" t="n"/>
      <c r="X139" s="1146" t="n">
        <v>0.4497</v>
      </c>
      <c r="Y139" s="1146" t="n">
        <v>0.4497</v>
      </c>
      <c r="Z139" s="1142" t="n"/>
      <c r="AA139" s="1146" t="n">
        <v>0.2083</v>
      </c>
      <c r="AB139" s="1146" t="n">
        <v>0.0357</v>
      </c>
      <c r="AC139" s="1146" t="n">
        <v>0.2441</v>
      </c>
      <c r="AD139" s="1142" t="n"/>
      <c r="AE139" s="1142" t="n"/>
      <c r="AF139" s="1146" t="n">
        <v>0.1146</v>
      </c>
      <c r="AG139" s="1142" t="n"/>
      <c r="AH139" s="1146" t="n">
        <v>0.9322</v>
      </c>
      <c r="AI139" s="1146" t="n">
        <v>0</v>
      </c>
      <c r="AJ139" s="1146" t="n">
        <v>0.9322</v>
      </c>
      <c r="AK139" s="1146" t="n">
        <v>0.3374</v>
      </c>
      <c r="AL139" s="1142" t="n"/>
      <c r="AM139" s="1198" t="inlineStr">
        <is>
          <t>Actual; tenants pay RE tax; lower R&amp;M 2024; SF est.</t>
        </is>
      </c>
    </row>
    <row r="140" ht="14.1" customHeight="1">
      <c r="A140" s="1228" t="inlineStr">
        <is>
          <t>P070</t>
        </is>
      </c>
      <c r="B140" s="695" t="n">
        <v>210</v>
      </c>
      <c r="C140" s="1228" t="inlineStr">
        <is>
          <t>R0084242</t>
        </is>
      </c>
      <c r="D140" s="1229" t="inlineStr">
        <is>
          <t>Upland Dist Ctr I (Bldg 1)</t>
        </is>
      </c>
      <c r="E140" s="1228" t="inlineStr">
        <is>
          <t>Aurora</t>
        </is>
      </c>
      <c r="F140" s="1228" t="inlineStr">
        <is>
          <t>CO</t>
        </is>
      </c>
      <c r="G140" s="1228" t="inlineStr">
        <is>
          <t>Industrial</t>
        </is>
      </c>
      <c r="H140" s="1229" t="inlineStr">
        <is>
          <t>Multi-Tenant Industrial NNN</t>
        </is>
      </c>
      <c r="I140" s="1230" t="n"/>
      <c r="J140" s="1230" t="n"/>
      <c r="K140" s="1230" t="n">
        <v>2024</v>
      </c>
      <c r="L140" s="1233" t="n">
        <v>693913</v>
      </c>
      <c r="M140" s="1228" t="n"/>
      <c r="N140" s="1233" t="n">
        <v>1038740</v>
      </c>
      <c r="O140" s="1233" t="n">
        <v>10142</v>
      </c>
      <c r="P140" s="1233" t="n">
        <v>11589</v>
      </c>
      <c r="Q140" s="1228" t="n"/>
      <c r="R140" s="1228" t="n"/>
      <c r="S140" s="1233" t="n">
        <v>10801</v>
      </c>
      <c r="T140" s="1233" t="n">
        <v>2121</v>
      </c>
      <c r="U140" s="1228" t="n"/>
      <c r="V140" s="1228" t="n"/>
      <c r="W140" s="1228" t="n"/>
      <c r="X140" s="1233" t="n">
        <v>1602</v>
      </c>
      <c r="Y140" s="1233" t="n">
        <v>14524</v>
      </c>
      <c r="Z140" s="1228" t="n"/>
      <c r="AA140" s="1233" t="n">
        <v>10822</v>
      </c>
      <c r="AB140" s="1233" t="n">
        <v>32162</v>
      </c>
      <c r="AC140" s="1233" t="n">
        <v>3096</v>
      </c>
      <c r="AD140" s="1233" t="n">
        <v>10863</v>
      </c>
      <c r="AE140" s="1228" t="n"/>
      <c r="AF140" s="1233" t="n">
        <v>10863</v>
      </c>
      <c r="AG140" s="1228" t="n"/>
      <c r="AH140" s="1233" t="n">
        <v>103843</v>
      </c>
      <c r="AI140" s="1233" t="n">
        <v>285245</v>
      </c>
      <c r="AJ140" s="1233" t="n">
        <v>389088</v>
      </c>
      <c r="AK140" s="1233" t="n">
        <v>649652</v>
      </c>
      <c r="AL140" s="1228" t="n"/>
      <c r="AM140" s="1229" t="inlineStr">
        <is>
          <t>[NO SF] Link Logistics actual accrual; security $3,096 in contract; mgmt non-billable</t>
        </is>
      </c>
    </row>
    <row r="141" ht="14.1" customHeight="1">
      <c r="A141" s="696" t="inlineStr">
        <is>
          <t>P070</t>
        </is>
      </c>
      <c r="B141" s="695" t="n">
        <v>210</v>
      </c>
      <c r="C141" s="696" t="inlineStr">
        <is>
          <t>R0084242</t>
        </is>
      </c>
      <c r="D141" s="1195" t="inlineStr">
        <is>
          <t>Upland Dist Ctr I (Bldg 1)</t>
        </is>
      </c>
      <c r="E141" s="696" t="inlineStr">
        <is>
          <t>Aurora</t>
        </is>
      </c>
      <c r="F141" s="696" t="inlineStr">
        <is>
          <t>CO</t>
        </is>
      </c>
      <c r="G141" s="696" t="inlineStr">
        <is>
          <t>Industrial</t>
        </is>
      </c>
      <c r="H141" s="1195"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1195" t="inlineStr">
        <is>
          <t>[NO SF] Link Logistics actual accrual; security $3,871 in contract; mgmt non-billable</t>
        </is>
      </c>
    </row>
    <row r="142" ht="14.1" customHeight="1">
      <c r="A142" s="1228" t="inlineStr">
        <is>
          <t>P071</t>
        </is>
      </c>
      <c r="B142" s="695" t="n">
        <v>210</v>
      </c>
      <c r="C142" s="1228" t="inlineStr">
        <is>
          <t>R0084243</t>
        </is>
      </c>
      <c r="D142" s="1229" t="inlineStr">
        <is>
          <t>Upland Dist Ctr I (Bldg 2)</t>
        </is>
      </c>
      <c r="E142" s="1228" t="inlineStr">
        <is>
          <t>Aurora</t>
        </is>
      </c>
      <c r="F142" s="1228" t="inlineStr">
        <is>
          <t>CO</t>
        </is>
      </c>
      <c r="G142" s="1228" t="inlineStr">
        <is>
          <t>Industrial</t>
        </is>
      </c>
      <c r="H142" s="1229" t="inlineStr">
        <is>
          <t>Multi-Tenant Industrial NNN</t>
        </is>
      </c>
      <c r="I142" s="1230" t="n"/>
      <c r="J142" s="1230" t="n"/>
      <c r="K142" s="1230" t="n">
        <v>2024</v>
      </c>
      <c r="L142" s="1233" t="n">
        <v>559154</v>
      </c>
      <c r="M142" s="1228" t="n"/>
      <c r="N142" s="1233" t="n">
        <v>904777</v>
      </c>
      <c r="O142" s="1233" t="n">
        <v>9318</v>
      </c>
      <c r="P142" s="1233" t="n">
        <v>8966</v>
      </c>
      <c r="Q142" s="1228" t="n"/>
      <c r="R142" s="1228" t="n"/>
      <c r="S142" s="1233" t="n">
        <v>5962</v>
      </c>
      <c r="T142" s="1233" t="n">
        <v>2221</v>
      </c>
      <c r="U142" s="1233" t="n">
        <v>2465</v>
      </c>
      <c r="V142" s="1228" t="n"/>
      <c r="W142" s="1228" t="n"/>
      <c r="X142" s="1233" t="n">
        <v>1589</v>
      </c>
      <c r="Y142" s="1233" t="n">
        <v>12237</v>
      </c>
      <c r="Z142" s="1228" t="n"/>
      <c r="AA142" s="1233" t="n">
        <v>11302</v>
      </c>
      <c r="AB142" s="1233" t="n">
        <v>32413</v>
      </c>
      <c r="AC142" s="1233" t="n">
        <v>3096</v>
      </c>
      <c r="AD142" s="1233" t="n">
        <v>23773</v>
      </c>
      <c r="AE142" s="1228" t="n"/>
      <c r="AF142" s="1233" t="n">
        <v>23773</v>
      </c>
      <c r="AG142" s="1228" t="n"/>
      <c r="AH142" s="1233" t="n">
        <v>130296</v>
      </c>
      <c r="AI142" s="1233" t="n">
        <v>265848</v>
      </c>
      <c r="AJ142" s="1233" t="n">
        <v>396144</v>
      </c>
      <c r="AK142" s="1233" t="n">
        <v>508633</v>
      </c>
      <c r="AL142" s="1228" t="n"/>
      <c r="AM142" s="1229" t="inlineStr">
        <is>
          <t>[NO SF] Link Logistics actual accrual</t>
        </is>
      </c>
    </row>
    <row r="143" ht="14.1" customHeight="1">
      <c r="A143" s="696" t="inlineStr">
        <is>
          <t>P071</t>
        </is>
      </c>
      <c r="B143" s="695" t="n">
        <v>210</v>
      </c>
      <c r="C143" s="696" t="inlineStr">
        <is>
          <t>R0084243</t>
        </is>
      </c>
      <c r="D143" s="1195" t="inlineStr">
        <is>
          <t>Upland Dist Ctr I (Bldg 2)</t>
        </is>
      </c>
      <c r="E143" s="696" t="inlineStr">
        <is>
          <t>Aurora</t>
        </is>
      </c>
      <c r="F143" s="696" t="inlineStr">
        <is>
          <t>CO</t>
        </is>
      </c>
      <c r="G143" s="696" t="inlineStr">
        <is>
          <t>Industrial</t>
        </is>
      </c>
      <c r="H143" s="1195"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1195" t="inlineStr">
        <is>
          <t>[NO SF] Link Logistics actual accrual</t>
        </is>
      </c>
    </row>
    <row r="144" ht="14.1" customHeight="1">
      <c r="A144" s="1228" t="inlineStr">
        <is>
          <t>P072</t>
        </is>
      </c>
      <c r="B144" s="695" t="n">
        <v>210</v>
      </c>
      <c r="C144" s="1228" t="inlineStr">
        <is>
          <t>R0084244</t>
        </is>
      </c>
      <c r="D144" s="1229" t="inlineStr">
        <is>
          <t>Upland Dist Ctr I (Bldg 3)</t>
        </is>
      </c>
      <c r="E144" s="1228" t="inlineStr">
        <is>
          <t>Aurora</t>
        </is>
      </c>
      <c r="F144" s="1228" t="inlineStr">
        <is>
          <t>CO</t>
        </is>
      </c>
      <c r="G144" s="1228" t="inlineStr">
        <is>
          <t>Industrial</t>
        </is>
      </c>
      <c r="H144" s="1229" t="inlineStr">
        <is>
          <t>Multi-Tenant Industrial NNN</t>
        </is>
      </c>
      <c r="I144" s="1230" t="n"/>
      <c r="J144" s="1230" t="n"/>
      <c r="K144" s="1230" t="n">
        <v>2023</v>
      </c>
      <c r="L144" s="1233" t="n">
        <v>633240</v>
      </c>
      <c r="M144" s="1228" t="n"/>
      <c r="N144" s="1233" t="n">
        <v>1026818</v>
      </c>
      <c r="O144" s="1233" t="n">
        <v>6101</v>
      </c>
      <c r="P144" s="1233" t="n">
        <v>8518</v>
      </c>
      <c r="Q144" s="1228" t="n"/>
      <c r="R144" s="1228" t="n"/>
      <c r="S144" s="1233" t="n">
        <v>32990</v>
      </c>
      <c r="T144" s="1233" t="n">
        <v>1965</v>
      </c>
      <c r="U144" s="1228" t="n"/>
      <c r="V144" s="1228" t="n"/>
      <c r="W144" s="1228" t="n"/>
      <c r="X144" s="1233" t="n">
        <v>1498</v>
      </c>
      <c r="Y144" s="1233" t="n">
        <v>34453</v>
      </c>
      <c r="Z144" s="1228" t="n"/>
      <c r="AA144" s="1233" t="n">
        <v>11861</v>
      </c>
      <c r="AB144" s="1233" t="n">
        <v>15620</v>
      </c>
      <c r="AC144" s="1233" t="n">
        <v>3871</v>
      </c>
      <c r="AD144" s="1233" t="n">
        <v>5672</v>
      </c>
      <c r="AE144" s="1233" t="n">
        <v>3430</v>
      </c>
      <c r="AF144" s="1233" t="n">
        <v>9102</v>
      </c>
      <c r="AG144" s="1228" t="n"/>
      <c r="AH144" s="1233" t="n">
        <v>107544</v>
      </c>
      <c r="AI144" s="1233" t="n">
        <v>284308</v>
      </c>
      <c r="AJ144" s="1233" t="n">
        <v>391852</v>
      </c>
      <c r="AK144" s="1233" t="n">
        <v>634966</v>
      </c>
      <c r="AL144" s="1228" t="n"/>
      <c r="AM144" s="1229" t="inlineStr">
        <is>
          <t>[NO SF] Link Logistics 2023 only; large warehouse; notable free rent ($111k) and lease-up period</t>
        </is>
      </c>
    </row>
    <row r="145" ht="14.1" customHeight="1">
      <c r="A145" s="696" t="inlineStr">
        <is>
          <t>P073</t>
        </is>
      </c>
      <c r="B145" s="695" t="n">
        <v>210</v>
      </c>
      <c r="C145" s="696" t="inlineStr">
        <is>
          <t>R0084247</t>
        </is>
      </c>
      <c r="D145" s="1195" t="inlineStr">
        <is>
          <t>13802 E 33rd Place</t>
        </is>
      </c>
      <c r="E145" s="696" t="inlineStr">
        <is>
          <t>Aurora</t>
        </is>
      </c>
      <c r="F145" s="696" t="inlineStr">
        <is>
          <t>CO</t>
        </is>
      </c>
      <c r="G145" s="696" t="inlineStr">
        <is>
          <t>Industrial</t>
        </is>
      </c>
      <c r="H145" s="1195"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1195" t="inlineStr">
        <is>
          <t>[NO SF] Link Logistics actual accrual</t>
        </is>
      </c>
    </row>
    <row r="146" ht="14.1" customHeight="1">
      <c r="A146" s="1228" t="inlineStr">
        <is>
          <t>P073</t>
        </is>
      </c>
      <c r="B146" s="695" t="n">
        <v>210</v>
      </c>
      <c r="C146" s="1228" t="inlineStr">
        <is>
          <t>R0084247</t>
        </is>
      </c>
      <c r="D146" s="1229" t="inlineStr">
        <is>
          <t>13802 E 33rd Place</t>
        </is>
      </c>
      <c r="E146" s="1228" t="inlineStr">
        <is>
          <t>Aurora</t>
        </is>
      </c>
      <c r="F146" s="1228" t="inlineStr">
        <is>
          <t>CO</t>
        </is>
      </c>
      <c r="G146" s="1228" t="inlineStr">
        <is>
          <t>Industrial</t>
        </is>
      </c>
      <c r="H146" s="1229" t="inlineStr">
        <is>
          <t>Multi-Tenant Industrial NNN</t>
        </is>
      </c>
      <c r="I146" s="1230" t="n"/>
      <c r="J146" s="1230" t="n"/>
      <c r="K146" s="1230" t="n">
        <v>2023</v>
      </c>
      <c r="L146" s="1233" t="n">
        <v>394581</v>
      </c>
      <c r="M146" s="1228" t="n"/>
      <c r="N146" s="1233" t="n">
        <v>671481</v>
      </c>
      <c r="O146" s="1233" t="n">
        <v>6075</v>
      </c>
      <c r="P146" s="1233" t="n">
        <v>5987</v>
      </c>
      <c r="Q146" s="1228" t="n"/>
      <c r="R146" s="1228" t="n"/>
      <c r="S146" s="1233" t="n">
        <v>7762</v>
      </c>
      <c r="T146" s="1233" t="n">
        <v>1575</v>
      </c>
      <c r="U146" s="1228" t="n"/>
      <c r="V146" s="1228" t="n"/>
      <c r="W146" s="1228" t="n"/>
      <c r="X146" s="1233" t="n">
        <v>1452</v>
      </c>
      <c r="Y146" s="1233" t="n">
        <v>10789</v>
      </c>
      <c r="Z146" s="1228" t="n"/>
      <c r="AA146" s="1233" t="n">
        <v>11249</v>
      </c>
      <c r="AB146" s="1233" t="n">
        <v>12318</v>
      </c>
      <c r="AC146" s="1233" t="n">
        <v>6967</v>
      </c>
      <c r="AD146" s="1233" t="n">
        <v>11424</v>
      </c>
      <c r="AE146" s="1233" t="n">
        <v>1898</v>
      </c>
      <c r="AF146" s="1233" t="n">
        <v>13322</v>
      </c>
      <c r="AG146" s="1228" t="n"/>
      <c r="AH146" s="1233" t="n">
        <v>37127</v>
      </c>
      <c r="AI146" s="1233" t="n">
        <v>204497</v>
      </c>
      <c r="AJ146" s="1233" t="n">
        <v>241624</v>
      </c>
      <c r="AK146" s="1233" t="n">
        <v>429857</v>
      </c>
      <c r="AL146" s="1228" t="n"/>
      <c r="AM146" s="1229" t="inlineStr">
        <is>
          <t>[NO SF] Link Logistics actual accrual</t>
        </is>
      </c>
    </row>
    <row r="147" ht="14.1" customHeight="1">
      <c r="A147" s="696" t="inlineStr">
        <is>
          <t>P074</t>
        </is>
      </c>
      <c r="B147" s="695" t="n">
        <v>210</v>
      </c>
      <c r="C147" s="696" t="inlineStr">
        <is>
          <t>R0084248</t>
        </is>
      </c>
      <c r="D147" s="1195" t="inlineStr">
        <is>
          <t>14002 E 33rd Place</t>
        </is>
      </c>
      <c r="E147" s="696" t="inlineStr">
        <is>
          <t>Aurora</t>
        </is>
      </c>
      <c r="F147" s="696" t="inlineStr">
        <is>
          <t>CO</t>
        </is>
      </c>
      <c r="G147" s="696" t="inlineStr">
        <is>
          <t>Industrial</t>
        </is>
      </c>
      <c r="H147" s="1195"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1195" t="inlineStr">
        <is>
          <t>[NO SF] Link Logistics actual; 2023 RE tax net $53k refund; 2024 normal rate</t>
        </is>
      </c>
    </row>
    <row r="148" ht="14.1" customHeight="1">
      <c r="A148" s="1228" t="inlineStr">
        <is>
          <t>P074</t>
        </is>
      </c>
      <c r="B148" s="695" t="n">
        <v>210</v>
      </c>
      <c r="C148" s="1228" t="inlineStr">
        <is>
          <t>R0084248</t>
        </is>
      </c>
      <c r="D148" s="1229" t="inlineStr">
        <is>
          <t>14002 E 33rd Place</t>
        </is>
      </c>
      <c r="E148" s="1228" t="inlineStr">
        <is>
          <t>Aurora</t>
        </is>
      </c>
      <c r="F148" s="1228" t="inlineStr">
        <is>
          <t>CO</t>
        </is>
      </c>
      <c r="G148" s="1228" t="inlineStr">
        <is>
          <t>Industrial</t>
        </is>
      </c>
      <c r="H148" s="1229" t="inlineStr">
        <is>
          <t>Multi-Tenant Industrial NNN</t>
        </is>
      </c>
      <c r="I148" s="1230" t="n"/>
      <c r="J148" s="1230" t="n"/>
      <c r="K148" s="1230" t="n">
        <v>2023</v>
      </c>
      <c r="L148" s="1233" t="n">
        <v>345583</v>
      </c>
      <c r="M148" s="1228" t="n"/>
      <c r="N148" s="1233" t="n">
        <v>582999</v>
      </c>
      <c r="O148" s="1233" t="n">
        <v>6051</v>
      </c>
      <c r="P148" s="1233" t="n">
        <v>6115</v>
      </c>
      <c r="Q148" s="1228" t="n"/>
      <c r="R148" s="1228" t="n"/>
      <c r="S148" s="1233" t="n">
        <v>4932</v>
      </c>
      <c r="T148" s="1233" t="n">
        <v>1822</v>
      </c>
      <c r="U148" s="1228" t="n"/>
      <c r="V148" s="1228" t="n"/>
      <c r="W148" s="1228" t="n"/>
      <c r="X148" s="1233" t="n">
        <v>1452</v>
      </c>
      <c r="Y148" s="1233" t="n">
        <v>8206</v>
      </c>
      <c r="Z148" s="1228" t="n"/>
      <c r="AA148" s="1233" t="n">
        <v>6275</v>
      </c>
      <c r="AB148" s="1233" t="n">
        <v>13573</v>
      </c>
      <c r="AC148" s="1233" t="n">
        <v>6967</v>
      </c>
      <c r="AD148" s="1233" t="n">
        <v>11933</v>
      </c>
      <c r="AE148" s="1228" t="n"/>
      <c r="AF148" s="1233" t="n">
        <v>11933</v>
      </c>
      <c r="AG148" s="1228" t="n"/>
      <c r="AH148" s="1233" t="n">
        <v>71541</v>
      </c>
      <c r="AI148" s="1233" t="n">
        <v>162088</v>
      </c>
      <c r="AJ148" s="1233" t="n">
        <v>233629</v>
      </c>
      <c r="AK148" s="1233" t="n">
        <v>349370</v>
      </c>
      <c r="AL148" s="1228" t="n"/>
      <c r="AM148" s="1229" t="inlineStr">
        <is>
          <t>[NO SF] Link Logistics actual; 2023 RE tax net $53k refund; 2024 normal rate</t>
        </is>
      </c>
    </row>
    <row r="149" ht="14.1" customHeight="1">
      <c r="A149" s="696" t="inlineStr">
        <is>
          <t>P075</t>
        </is>
      </c>
      <c r="B149" s="695" t="n">
        <v>210</v>
      </c>
      <c r="C149" s="696" t="inlineStr">
        <is>
          <t>R0084250</t>
        </is>
      </c>
      <c r="D149" s="1195" t="inlineStr">
        <is>
          <t>3250 Abilene Street</t>
        </is>
      </c>
      <c r="E149" s="696" t="inlineStr">
        <is>
          <t>Aurora</t>
        </is>
      </c>
      <c r="F149" s="696" t="inlineStr">
        <is>
          <t>CO</t>
        </is>
      </c>
      <c r="G149" s="696" t="inlineStr">
        <is>
          <t>Industrial</t>
        </is>
      </c>
      <c r="H149" s="1195"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1195" t="inlineStr">
        <is>
          <t>[NO SF] Link Logistics actual; 2024 tenant turnover – NOI depressed; base rent $787k→$407k; 2024 ins inflated by $25k deductible</t>
        </is>
      </c>
    </row>
    <row r="150" ht="14.1" customHeight="1">
      <c r="A150" s="1228" t="inlineStr">
        <is>
          <t>P075</t>
        </is>
      </c>
      <c r="B150" s="695" t="n">
        <v>210</v>
      </c>
      <c r="C150" s="1228" t="inlineStr">
        <is>
          <t>R0084250</t>
        </is>
      </c>
      <c r="D150" s="1229" t="inlineStr">
        <is>
          <t>3250 Abilene Street</t>
        </is>
      </c>
      <c r="E150" s="1228" t="inlineStr">
        <is>
          <t>Aurora</t>
        </is>
      </c>
      <c r="F150" s="1228" t="inlineStr">
        <is>
          <t>CO</t>
        </is>
      </c>
      <c r="G150" s="1228" t="inlineStr">
        <is>
          <t>Industrial</t>
        </is>
      </c>
      <c r="H150" s="1229" t="inlineStr">
        <is>
          <t>Multi-Tenant Industrial NNN</t>
        </is>
      </c>
      <c r="I150" s="1230" t="n"/>
      <c r="J150" s="1230" t="n"/>
      <c r="K150" s="1230" t="n">
        <v>2023</v>
      </c>
      <c r="L150" s="1233" t="n">
        <v>787792</v>
      </c>
      <c r="M150" s="1228" t="n"/>
      <c r="N150" s="1233" t="n">
        <v>1333856</v>
      </c>
      <c r="O150" s="1233" t="n">
        <v>12351</v>
      </c>
      <c r="P150" s="1233" t="n">
        <v>13140</v>
      </c>
      <c r="Q150" s="1228" t="n"/>
      <c r="R150" s="1228" t="n"/>
      <c r="S150" s="1233" t="n">
        <v>10370</v>
      </c>
      <c r="T150" s="1233" t="n">
        <v>3061</v>
      </c>
      <c r="U150" s="1233" t="n">
        <v>0</v>
      </c>
      <c r="V150" s="1228" t="n"/>
      <c r="W150" s="1228" t="n"/>
      <c r="X150" s="1233" t="n">
        <v>1572</v>
      </c>
      <c r="Y150" s="1233" t="n">
        <v>15003</v>
      </c>
      <c r="Z150" s="1228" t="n"/>
      <c r="AA150" s="1233" t="n">
        <v>24879</v>
      </c>
      <c r="AB150" s="1233" t="n">
        <v>16871</v>
      </c>
      <c r="AC150" s="1233" t="n">
        <v>7678</v>
      </c>
      <c r="AD150" s="1233" t="n">
        <v>12785</v>
      </c>
      <c r="AE150" s="1228" t="n"/>
      <c r="AF150" s="1233" t="n">
        <v>12785</v>
      </c>
      <c r="AG150" s="1228" t="n"/>
      <c r="AH150" s="1233" t="n">
        <v>123031</v>
      </c>
      <c r="AI150" s="1233" t="n">
        <v>409295</v>
      </c>
      <c r="AJ150" s="1233" t="n">
        <v>532326</v>
      </c>
      <c r="AK150" s="1233" t="n">
        <v>801530</v>
      </c>
      <c r="AL150" s="1228" t="n"/>
      <c r="AM150" s="1229" t="inlineStr">
        <is>
          <t>[NO SF] Link Logistics actual; 2023 stable; 2024 ins inflated by $25k deductible</t>
        </is>
      </c>
    </row>
    <row r="151" ht="14.1" customHeight="1">
      <c r="A151" s="696" t="inlineStr">
        <is>
          <t>P076</t>
        </is>
      </c>
      <c r="B151" s="695" t="n">
        <v>210</v>
      </c>
      <c r="C151" s="696" t="inlineStr">
        <is>
          <t>R0084253</t>
        </is>
      </c>
      <c r="D151" s="1195" t="inlineStr">
        <is>
          <t>14509 E 33rd Place</t>
        </is>
      </c>
      <c r="E151" s="696" t="inlineStr">
        <is>
          <t>Aurora</t>
        </is>
      </c>
      <c r="F151" s="696" t="inlineStr">
        <is>
          <t>CO</t>
        </is>
      </c>
      <c r="G151" s="696" t="inlineStr">
        <is>
          <t>Industrial</t>
        </is>
      </c>
      <c r="H151" s="1195"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1195" t="inlineStr">
        <is>
          <t>[NO SF] Link Logistics actual; 2023 security includes one-time $54k</t>
        </is>
      </c>
    </row>
    <row r="152" ht="14.1" customHeight="1">
      <c r="A152" s="1228" t="inlineStr">
        <is>
          <t>P076</t>
        </is>
      </c>
      <c r="B152" s="695" t="n">
        <v>210</v>
      </c>
      <c r="C152" s="1228" t="inlineStr">
        <is>
          <t>R0084253</t>
        </is>
      </c>
      <c r="D152" s="1229" t="inlineStr">
        <is>
          <t>14509 E 33rd Place</t>
        </is>
      </c>
      <c r="E152" s="1228" t="inlineStr">
        <is>
          <t>Aurora</t>
        </is>
      </c>
      <c r="F152" s="1228" t="inlineStr">
        <is>
          <t>CO</t>
        </is>
      </c>
      <c r="G152" s="1228" t="inlineStr">
        <is>
          <t>Industrial</t>
        </is>
      </c>
      <c r="H152" s="1229" t="inlineStr">
        <is>
          <t>Multi-Tenant Industrial NNN</t>
        </is>
      </c>
      <c r="I152" s="1230" t="n"/>
      <c r="J152" s="1230" t="n"/>
      <c r="K152" s="1230" t="n">
        <v>2023</v>
      </c>
      <c r="L152" s="1233" t="n">
        <v>932587</v>
      </c>
      <c r="M152" s="1228" t="n"/>
      <c r="N152" s="1233" t="n">
        <v>1610926</v>
      </c>
      <c r="O152" s="1233" t="n">
        <v>12903</v>
      </c>
      <c r="P152" s="1233" t="n">
        <v>15271</v>
      </c>
      <c r="Q152" s="1228" t="n"/>
      <c r="R152" s="1228" t="n"/>
      <c r="S152" s="1233" t="n">
        <v>16438</v>
      </c>
      <c r="T152" s="1233" t="n">
        <v>17000</v>
      </c>
      <c r="U152" s="1228" t="n"/>
      <c r="V152" s="1228" t="n"/>
      <c r="W152" s="1228" t="n"/>
      <c r="X152" s="1233" t="n">
        <v>1572</v>
      </c>
      <c r="Y152" s="1233" t="n">
        <v>35010</v>
      </c>
      <c r="Z152" s="1228" t="n"/>
      <c r="AA152" s="1233" t="n">
        <v>11941</v>
      </c>
      <c r="AB152" s="1233" t="n">
        <v>21409</v>
      </c>
      <c r="AC152" s="1233" t="n">
        <v>54490</v>
      </c>
      <c r="AD152" s="1233" t="n">
        <v>34733</v>
      </c>
      <c r="AE152" s="1233" t="n">
        <v>1638</v>
      </c>
      <c r="AF152" s="1233" t="n">
        <v>36371</v>
      </c>
      <c r="AG152" s="1228" t="n"/>
      <c r="AH152" s="1233" t="n">
        <v>211012</v>
      </c>
      <c r="AI152" s="1233" t="n">
        <v>441491</v>
      </c>
      <c r="AJ152" s="1233" t="n">
        <v>652503</v>
      </c>
      <c r="AK152" s="1233" t="n">
        <v>958423</v>
      </c>
      <c r="AL152" s="1228" t="n"/>
      <c r="AM152" s="1229" t="inlineStr">
        <is>
          <t>[NO SF] Link Logistics actual; 2023 security includes one-time $54k</t>
        </is>
      </c>
    </row>
    <row r="153" ht="14.1" customHeight="1">
      <c r="A153" s="696" t="inlineStr">
        <is>
          <t>P077</t>
        </is>
      </c>
      <c r="B153" s="695" t="n">
        <v>210</v>
      </c>
      <c r="C153" s="696" t="inlineStr">
        <is>
          <t>R0084253</t>
        </is>
      </c>
      <c r="D153" s="1195" t="inlineStr">
        <is>
          <t>14704 E 33rd Place</t>
        </is>
      </c>
      <c r="E153" s="696" t="inlineStr">
        <is>
          <t>Aurora</t>
        </is>
      </c>
      <c r="F153" s="696" t="inlineStr">
        <is>
          <t>CO</t>
        </is>
      </c>
      <c r="G153" s="696" t="inlineStr">
        <is>
          <t>Industrial</t>
        </is>
      </c>
      <c r="H153" s="1195"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1195" t="inlineStr">
        <is>
          <t>[NO SF] Link Logistics 2024; partial vacancy (elec/gas $124k); NOI understated excl vacancy costs</t>
        </is>
      </c>
    </row>
    <row r="154" ht="14.1" customHeight="1">
      <c r="A154" s="1228" t="inlineStr">
        <is>
          <t>P078</t>
        </is>
      </c>
      <c r="B154" s="695" t="n">
        <v>210</v>
      </c>
      <c r="C154" s="1228" t="inlineStr">
        <is>
          <t>R0084253</t>
        </is>
      </c>
      <c r="D154" s="1229" t="inlineStr">
        <is>
          <t>14705 E 33rd Place</t>
        </is>
      </c>
      <c r="E154" s="1228" t="inlineStr">
        <is>
          <t>Aurora</t>
        </is>
      </c>
      <c r="F154" s="1228" t="inlineStr">
        <is>
          <t>CO</t>
        </is>
      </c>
      <c r="G154" s="1228" t="inlineStr">
        <is>
          <t>Industrial</t>
        </is>
      </c>
      <c r="H154" s="1229" t="inlineStr">
        <is>
          <t>Multi-Tenant Industrial NNN</t>
        </is>
      </c>
      <c r="I154" s="1230" t="n"/>
      <c r="J154" s="1230" t="n"/>
      <c r="K154" s="1230" t="n">
        <v>2024</v>
      </c>
      <c r="L154" s="1233" t="n">
        <v>436928</v>
      </c>
      <c r="M154" s="1228" t="n"/>
      <c r="N154" s="1233" t="n">
        <v>714461</v>
      </c>
      <c r="O154" s="1233" t="n">
        <v>6456</v>
      </c>
      <c r="P154" s="1233" t="n">
        <v>6962</v>
      </c>
      <c r="Q154" s="1228" t="n"/>
      <c r="R154" s="1228" t="n"/>
      <c r="S154" s="1233" t="n">
        <v>6889</v>
      </c>
      <c r="T154" s="1233" t="n">
        <v>1125</v>
      </c>
      <c r="U154" s="1233" t="n">
        <v>285</v>
      </c>
      <c r="V154" s="1228" t="n"/>
      <c r="W154" s="1228" t="n"/>
      <c r="X154" s="1233" t="n">
        <v>1546</v>
      </c>
      <c r="Y154" s="1233" t="n">
        <v>9845</v>
      </c>
      <c r="Z154" s="1228" t="n"/>
      <c r="AA154" s="1233" t="n">
        <v>6931</v>
      </c>
      <c r="AB154" s="1233" t="n">
        <v>27052</v>
      </c>
      <c r="AC154" s="1233" t="n">
        <v>5705</v>
      </c>
      <c r="AD154" s="1228" t="n"/>
      <c r="AE154" s="1233" t="n">
        <v>929</v>
      </c>
      <c r="AF154" s="1233" t="n">
        <v>929</v>
      </c>
      <c r="AG154" s="1228" t="n"/>
      <c r="AH154" s="1233" t="n">
        <v>77944</v>
      </c>
      <c r="AI154" s="1233" t="n">
        <v>188633</v>
      </c>
      <c r="AJ154" s="1233" t="n">
        <v>266577</v>
      </c>
      <c r="AK154" s="1233" t="n">
        <v>447884</v>
      </c>
      <c r="AL154" s="1228" t="n"/>
      <c r="AM154" s="1229" t="inlineStr">
        <is>
          <t>[NO SF] Link Logistics 2024; partial free rent ($38k); lease-up period</t>
        </is>
      </c>
    </row>
    <row r="155" ht="14.1" customHeight="1">
      <c r="A155" s="696" t="inlineStr">
        <is>
          <t>P079</t>
        </is>
      </c>
      <c r="B155" s="695" t="n">
        <v>584</v>
      </c>
      <c r="C155" s="696" t="inlineStr">
        <is>
          <t>R0086214</t>
        </is>
      </c>
      <c r="D155" s="1195" t="inlineStr">
        <is>
          <t>Aurora Warehouse (Polar)</t>
        </is>
      </c>
      <c r="E155" s="696" t="inlineStr">
        <is>
          <t>Aurora</t>
        </is>
      </c>
      <c r="F155" s="696" t="inlineStr">
        <is>
          <t>CO</t>
        </is>
      </c>
      <c r="G155" s="696" t="inlineStr">
        <is>
          <t>Industrial</t>
        </is>
      </c>
      <c r="H155" s="1195"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1195" t="inlineStr">
        <is>
          <t>[NO SF] Link Logistics; very large – RE tax $2.2-2.4M; minimal CAM (near-absolute NNN); SF not confirmed</t>
        </is>
      </c>
    </row>
    <row r="156" ht="14.1" customHeight="1">
      <c r="A156" s="1228" t="inlineStr">
        <is>
          <t>P079</t>
        </is>
      </c>
      <c r="B156" s="695" t="n">
        <v>584</v>
      </c>
      <c r="C156" s="1228" t="inlineStr">
        <is>
          <t>R0086214</t>
        </is>
      </c>
      <c r="D156" s="1229" t="inlineStr">
        <is>
          <t>Aurora Warehouse (Polar)</t>
        </is>
      </c>
      <c r="E156" s="1228" t="inlineStr">
        <is>
          <t>Aurora</t>
        </is>
      </c>
      <c r="F156" s="1228" t="inlineStr">
        <is>
          <t>CO</t>
        </is>
      </c>
      <c r="G156" s="1228" t="inlineStr">
        <is>
          <t>Industrial</t>
        </is>
      </c>
      <c r="H156" s="1229" t="inlineStr">
        <is>
          <t>Mega Warehouse NNN</t>
        </is>
      </c>
      <c r="I156" s="1230" t="n"/>
      <c r="J156" s="1230" t="n"/>
      <c r="K156" s="1230" t="n">
        <v>2023</v>
      </c>
      <c r="L156" s="1233" t="n">
        <v>3679986</v>
      </c>
      <c r="M156" s="1228" t="n"/>
      <c r="N156" s="1233" t="n">
        <v>6546351</v>
      </c>
      <c r="O156" s="1233" t="n">
        <v>60105</v>
      </c>
      <c r="P156" s="1233" t="n">
        <v>54144</v>
      </c>
      <c r="Q156" s="1228" t="n"/>
      <c r="R156" s="1228" t="n"/>
      <c r="S156" s="1228" t="n"/>
      <c r="T156" s="1228" t="n"/>
      <c r="U156" s="1228" t="n"/>
      <c r="V156" s="1228" t="n"/>
      <c r="W156" s="1228" t="n"/>
      <c r="X156" s="1233" t="n">
        <v>4184</v>
      </c>
      <c r="Y156" s="1233" t="n">
        <v>4184</v>
      </c>
      <c r="Z156" s="1228" t="n"/>
      <c r="AA156" s="1228" t="n"/>
      <c r="AB156" s="1228" t="n"/>
      <c r="AC156" s="1228" t="n"/>
      <c r="AD156" s="1228" t="n"/>
      <c r="AE156" s="1228" t="n"/>
      <c r="AF156" s="1228" t="n"/>
      <c r="AG156" s="1228" t="n"/>
      <c r="AH156" s="1233" t="n">
        <v>101213</v>
      </c>
      <c r="AI156" s="1233" t="n">
        <v>2175995</v>
      </c>
      <c r="AJ156" s="1233" t="n">
        <v>2277208</v>
      </c>
      <c r="AK156" s="1233" t="n">
        <v>4269143</v>
      </c>
      <c r="AL156" s="1228" t="n"/>
      <c r="AM156" s="1229" t="inlineStr">
        <is>
          <t>[NO SF] Link Logistics; very large – RE tax $2.2-2.4M; minimal CAM (near-absolute NNN); SF not confirmed</t>
        </is>
      </c>
    </row>
    <row r="157" ht="14.1" customHeight="1">
      <c r="A157" s="696" t="inlineStr">
        <is>
          <t>P080</t>
        </is>
      </c>
      <c r="B157" s="695" t="n">
        <v>407</v>
      </c>
      <c r="C157" s="696" t="inlineStr">
        <is>
          <t>R0194277</t>
        </is>
      </c>
      <c r="D157" s="1195" t="inlineStr">
        <is>
          <t>8251 Quintero St</t>
        </is>
      </c>
      <c r="E157" s="696" t="inlineStr">
        <is>
          <t>Commerce City</t>
        </is>
      </c>
      <c r="F157" s="696" t="inlineStr">
        <is>
          <t>CO</t>
        </is>
      </c>
      <c r="G157" s="696" t="inlineStr">
        <is>
          <t>Industrial</t>
        </is>
      </c>
      <c r="H157" s="1195"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1195" t="inlineStr">
        <is>
          <t>[NO SF] Becknell Industrial; 2024 EGI/OPX inflated by $967k PY RE tax true-up; normalized NOI ~$2.86M</t>
        </is>
      </c>
    </row>
    <row r="158" ht="14.1" customHeight="1">
      <c r="A158" s="1228" t="inlineStr">
        <is>
          <t>P080</t>
        </is>
      </c>
      <c r="B158" s="695" t="n">
        <v>407</v>
      </c>
      <c r="C158" s="1228" t="inlineStr">
        <is>
          <t>R0194277</t>
        </is>
      </c>
      <c r="D158" s="1229" t="inlineStr">
        <is>
          <t>8251 Quintero St</t>
        </is>
      </c>
      <c r="E158" s="1228" t="inlineStr">
        <is>
          <t>Commerce City</t>
        </is>
      </c>
      <c r="F158" s="1228" t="inlineStr">
        <is>
          <t>CO</t>
        </is>
      </c>
      <c r="G158" s="1228" t="inlineStr">
        <is>
          <t>Industrial</t>
        </is>
      </c>
      <c r="H158" s="1229" t="inlineStr">
        <is>
          <t>Industrial Warehouse NNN</t>
        </is>
      </c>
      <c r="I158" s="1230" t="n"/>
      <c r="J158" s="1230" t="n"/>
      <c r="K158" s="1230" t="n">
        <v>2023</v>
      </c>
      <c r="L158" s="1233" t="n">
        <v>2897673</v>
      </c>
      <c r="M158" s="1228" t="n"/>
      <c r="N158" s="1233" t="n">
        <v>5335437</v>
      </c>
      <c r="O158" s="1233" t="n">
        <v>29390</v>
      </c>
      <c r="P158" s="1233" t="n">
        <v>83488</v>
      </c>
      <c r="Q158" s="1228" t="n"/>
      <c r="R158" s="1228" t="n"/>
      <c r="S158" s="1233" t="n">
        <v>35137</v>
      </c>
      <c r="T158" s="1228" t="n"/>
      <c r="U158" s="1228" t="n"/>
      <c r="V158" s="1228" t="n"/>
      <c r="W158" s="1228" t="n"/>
      <c r="X158" s="1228" t="n"/>
      <c r="Y158" s="1233" t="n">
        <v>35137</v>
      </c>
      <c r="Z158" s="1228" t="n"/>
      <c r="AA158" s="1233" t="n">
        <v>33419</v>
      </c>
      <c r="AB158" s="1233" t="n">
        <v>151223</v>
      </c>
      <c r="AC158" s="1228" t="n"/>
      <c r="AD158" s="1233" t="n">
        <v>24034</v>
      </c>
      <c r="AE158" s="1228" t="n"/>
      <c r="AF158" s="1233" t="n">
        <v>24034</v>
      </c>
      <c r="AG158" s="1228" t="n"/>
      <c r="AH158" s="1233" t="n">
        <v>541522</v>
      </c>
      <c r="AI158" s="1233" t="n">
        <v>2045093</v>
      </c>
      <c r="AJ158" s="1233" t="n">
        <v>2586615</v>
      </c>
      <c r="AK158" s="1233" t="n">
        <v>2748822</v>
      </c>
      <c r="AL158" s="1228" t="n"/>
      <c r="AM158" s="1229" t="inlineStr">
        <is>
          <t>[NO SF] Becknell Industrial; actual accrual</t>
        </is>
      </c>
    </row>
    <row r="159" ht="14.1" customHeight="1">
      <c r="A159" s="696" t="inlineStr">
        <is>
          <t>P081</t>
        </is>
      </c>
      <c r="B159" s="695" t="n">
        <v>407</v>
      </c>
      <c r="C159" s="696" t="inlineStr">
        <is>
          <t>R0198176</t>
        </is>
      </c>
      <c r="D159" s="1195" t="inlineStr">
        <is>
          <t>21800 E 19th Ave</t>
        </is>
      </c>
      <c r="E159" s="696" t="inlineStr">
        <is>
          <t>Aurora</t>
        </is>
      </c>
      <c r="F159" s="696" t="inlineStr">
        <is>
          <t>CO</t>
        </is>
      </c>
      <c r="G159" s="696" t="inlineStr">
        <is>
          <t>Industrial</t>
        </is>
      </c>
      <c r="H159" s="1195"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1195" t="inlineStr">
        <is>
          <t>[NO SF] Becknell; absolute NNN – tenant pays RE taxes directly; opex = CAM only</t>
        </is>
      </c>
    </row>
    <row r="160" ht="14.1" customHeight="1">
      <c r="A160" s="1228" t="inlineStr">
        <is>
          <t>P081</t>
        </is>
      </c>
      <c r="B160" s="695" t="n">
        <v>407</v>
      </c>
      <c r="C160" s="1228" t="inlineStr">
        <is>
          <t>R0198176</t>
        </is>
      </c>
      <c r="D160" s="1229" t="inlineStr">
        <is>
          <t>21800 E 19th Ave</t>
        </is>
      </c>
      <c r="E160" s="1228" t="inlineStr">
        <is>
          <t>Aurora</t>
        </is>
      </c>
      <c r="F160" s="1228" t="inlineStr">
        <is>
          <t>CO</t>
        </is>
      </c>
      <c r="G160" s="1228" t="inlineStr">
        <is>
          <t>Industrial</t>
        </is>
      </c>
      <c r="H160" s="1229" t="inlineStr">
        <is>
          <t>Industrial Warehouse NNN</t>
        </is>
      </c>
      <c r="I160" s="1230" t="n"/>
      <c r="J160" s="1230" t="n"/>
      <c r="K160" s="1230" t="n">
        <v>2023</v>
      </c>
      <c r="L160" s="1233" t="n">
        <v>1458685</v>
      </c>
      <c r="M160" s="1228" t="n"/>
      <c r="N160" s="1233" t="n">
        <v>1647477</v>
      </c>
      <c r="O160" s="1233" t="n">
        <v>15865</v>
      </c>
      <c r="P160" s="1233" t="n">
        <v>43761</v>
      </c>
      <c r="Q160" s="1228" t="n"/>
      <c r="R160" s="1228" t="n"/>
      <c r="S160" s="1233" t="n">
        <v>12850</v>
      </c>
      <c r="T160" s="1228" t="n"/>
      <c r="U160" s="1228" t="n"/>
      <c r="V160" s="1228" t="n"/>
      <c r="W160" s="1228" t="n"/>
      <c r="X160" s="1228" t="n"/>
      <c r="Y160" s="1233" t="n">
        <v>12850</v>
      </c>
      <c r="Z160" s="1228" t="n"/>
      <c r="AA160" s="1233" t="n">
        <v>31555</v>
      </c>
      <c r="AB160" s="1233" t="n">
        <v>112261</v>
      </c>
      <c r="AC160" s="1228" t="n"/>
      <c r="AD160" s="1228" t="n"/>
      <c r="AE160" s="1228" t="n"/>
      <c r="AF160" s="1228" t="n"/>
      <c r="AG160" s="1228" t="n"/>
      <c r="AH160" s="1233" t="n">
        <v>238940</v>
      </c>
      <c r="AI160" s="1233" t="n">
        <v>0</v>
      </c>
      <c r="AJ160" s="1233" t="n">
        <v>238940</v>
      </c>
      <c r="AK160" s="1233" t="n">
        <v>1408537</v>
      </c>
      <c r="AL160" s="1228" t="n"/>
      <c r="AM160" s="1229" t="inlineStr">
        <is>
          <t>[NO SF] Becknell; absolute NNN – tenant pays RE taxes directly; opex = CAM only</t>
        </is>
      </c>
    </row>
    <row r="161" ht="14.1" customHeight="1">
      <c r="A161" s="696" t="inlineStr">
        <is>
          <t>P082</t>
        </is>
      </c>
      <c r="B161" s="695" t="n">
        <v>407</v>
      </c>
      <c r="C161" s="696" t="inlineStr">
        <is>
          <t>R0201311</t>
        </is>
      </c>
      <c r="D161" s="1195" t="inlineStr">
        <is>
          <t>Ascent Commerce Center Bldg I</t>
        </is>
      </c>
      <c r="E161" s="696" t="inlineStr">
        <is>
          <t>Aurora</t>
        </is>
      </c>
      <c r="F161" s="696" t="inlineStr">
        <is>
          <t>CO</t>
        </is>
      </c>
      <c r="G161" s="696" t="inlineStr">
        <is>
          <t>Industrial</t>
        </is>
      </c>
      <c r="H161" s="1195"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1195" t="inlineStr">
        <is>
          <t>[NO SF] Ambrose; Q4 2024 ONLY (Oct–Dec, 3 months); lease-up/stabilizing; DO NOT use for annual PSF</t>
        </is>
      </c>
    </row>
    <row r="162" ht="14.1" customHeight="1">
      <c r="A162" s="1228" t="inlineStr">
        <is>
          <t>P083</t>
        </is>
      </c>
      <c r="B162" s="695" t="n">
        <v>407</v>
      </c>
      <c r="C162" s="1228" t="inlineStr">
        <is>
          <t>R0201311</t>
        </is>
      </c>
      <c r="D162" s="1229" t="inlineStr">
        <is>
          <t>Ascent Commerce Center Bldg II</t>
        </is>
      </c>
      <c r="E162" s="1228" t="inlineStr">
        <is>
          <t>Aurora</t>
        </is>
      </c>
      <c r="F162" s="1228" t="inlineStr">
        <is>
          <t>CO</t>
        </is>
      </c>
      <c r="G162" s="1228" t="inlineStr">
        <is>
          <t>Industrial</t>
        </is>
      </c>
      <c r="H162" s="1229" t="inlineStr">
        <is>
          <t>Industrial Warehouse NNN</t>
        </is>
      </c>
      <c r="I162" s="1230" t="n"/>
      <c r="J162" s="1230" t="n"/>
      <c r="K162" s="1230" t="n">
        <v>2024</v>
      </c>
      <c r="L162" s="1233" t="n">
        <v>143974</v>
      </c>
      <c r="M162" s="1228" t="n"/>
      <c r="N162" s="1233" t="n">
        <v>314952</v>
      </c>
      <c r="O162" s="1233" t="n">
        <v>375</v>
      </c>
      <c r="P162" s="1233" t="n">
        <v>6224</v>
      </c>
      <c r="Q162" s="1228" t="n"/>
      <c r="R162" s="1228" t="n"/>
      <c r="S162" s="1233" t="n">
        <v>13434</v>
      </c>
      <c r="T162" s="1228" t="n"/>
      <c r="U162" s="1228" t="n"/>
      <c r="V162" s="1228" t="n"/>
      <c r="W162" s="1228" t="n"/>
      <c r="X162" s="1228" t="n"/>
      <c r="Y162" s="1233" t="n">
        <v>13434</v>
      </c>
      <c r="Z162" s="1228" t="n"/>
      <c r="AA162" s="1233" t="n">
        <v>1877</v>
      </c>
      <c r="AB162" s="1233" t="n">
        <v>25288</v>
      </c>
      <c r="AC162" s="1228" t="n"/>
      <c r="AD162" s="1233" t="n">
        <v>104</v>
      </c>
      <c r="AE162" s="1233" t="n">
        <v>11552</v>
      </c>
      <c r="AF162" s="1233" t="n">
        <v>11656</v>
      </c>
      <c r="AG162" s="1228" t="n"/>
      <c r="AH162" s="1233" t="n">
        <v>70908</v>
      </c>
      <c r="AI162" s="1233" t="n">
        <v>203797</v>
      </c>
      <c r="AJ162" s="1233" t="n">
        <v>274705</v>
      </c>
      <c r="AK162" s="1233" t="n">
        <v>22624</v>
      </c>
      <c r="AL162" s="1228" t="n"/>
      <c r="AM162" s="1229" t="inlineStr">
        <is>
          <t>[NO SF] Ambrose; Q4 2024 ONLY (Oct–Dec, 3 months); lease-up/stabilizing; DO NOT use for annual PSF</t>
        </is>
      </c>
    </row>
    <row r="163" ht="14.1" customHeight="1">
      <c r="A163" s="696" t="inlineStr">
        <is>
          <t>P084</t>
        </is>
      </c>
      <c r="B163" s="695" t="n">
        <v>407</v>
      </c>
      <c r="C163" s="696" t="inlineStr">
        <is>
          <t>R0201311</t>
        </is>
      </c>
      <c r="D163" s="1195" t="inlineStr">
        <is>
          <t>Ascent Commerce Center Bldg III</t>
        </is>
      </c>
      <c r="E163" s="696" t="inlineStr">
        <is>
          <t>Aurora</t>
        </is>
      </c>
      <c r="F163" s="696" t="inlineStr">
        <is>
          <t>CO</t>
        </is>
      </c>
      <c r="G163" s="696" t="inlineStr">
        <is>
          <t>Industrial</t>
        </is>
      </c>
      <c r="H163" s="1195"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1195" t="inlineStr">
        <is>
          <t>[NO SF] Ambrose; Q4 2024 ONLY (Oct–Dec, 3 months); lease-up/stabilizing; DO NOT use for annual PSF</t>
        </is>
      </c>
    </row>
    <row r="164" ht="14.1" customHeight="1">
      <c r="A164" s="1228" t="inlineStr">
        <is>
          <t>P085</t>
        </is>
      </c>
      <c r="B164" s="695" t="n">
        <v>210</v>
      </c>
      <c r="C164" s="1228" t="inlineStr">
        <is>
          <t>R0093018</t>
        </is>
      </c>
      <c r="D164" s="1229" t="inlineStr">
        <is>
          <t>3350 Peoria St</t>
        </is>
      </c>
      <c r="E164" s="1228" t="inlineStr">
        <is>
          <t>Denver</t>
        </is>
      </c>
      <c r="F164" s="1228" t="inlineStr">
        <is>
          <t>CO</t>
        </is>
      </c>
      <c r="G164" s="1228" t="inlineStr">
        <is>
          <t>Industrial</t>
        </is>
      </c>
      <c r="H164" s="1229" t="inlineStr">
        <is>
          <t>Office/Industrial Flex</t>
        </is>
      </c>
      <c r="I164" s="1230" t="n"/>
      <c r="J164" s="1230" t="n">
        <v>33057</v>
      </c>
      <c r="K164" s="1230" t="n">
        <v>2024</v>
      </c>
      <c r="L164" s="1228" t="n"/>
      <c r="M164" s="1228" t="n"/>
      <c r="N164" s="1231" t="n">
        <v>11.7474</v>
      </c>
      <c r="O164" s="1231" t="n">
        <v>0.8464</v>
      </c>
      <c r="P164" s="1231" t="n">
        <v>0.4718</v>
      </c>
      <c r="Q164" s="1228" t="n"/>
      <c r="R164" s="1228" t="n"/>
      <c r="S164" s="1228" t="n"/>
      <c r="T164" s="1228" t="n"/>
      <c r="U164" s="1231" t="n">
        <v>0.2489</v>
      </c>
      <c r="V164" s="1228" t="n"/>
      <c r="W164" s="1228" t="n"/>
      <c r="X164" s="1231" t="n">
        <v>2.7614</v>
      </c>
      <c r="Y164" s="1228" t="n"/>
      <c r="Z164" s="1228" t="n"/>
      <c r="AA164" s="1231" t="n">
        <v>0.1383</v>
      </c>
      <c r="AB164" s="1231" t="n">
        <v>0.07580000000000001</v>
      </c>
      <c r="AC164" s="1231" t="n">
        <v>1.6023</v>
      </c>
      <c r="AD164" s="1228" t="n"/>
      <c r="AE164" s="1228" t="n"/>
      <c r="AF164" s="1231" t="n">
        <v>1.6128</v>
      </c>
      <c r="AG164" s="1228" t="n"/>
      <c r="AH164" s="1231" t="n">
        <v>7.4837</v>
      </c>
      <c r="AI164" s="1228" t="n"/>
      <c r="AJ164" s="1231" t="n">
        <v>7.4837</v>
      </c>
      <c r="AK164" s="1231" t="n">
        <v>4.2637</v>
      </c>
      <c r="AL164" s="1228" t="n"/>
      <c r="AM164" s="1229"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1195" t="inlineStr">
        <is>
          <t>14200 E Moncrieff Place</t>
        </is>
      </c>
      <c r="E165" s="696" t="inlineStr">
        <is>
          <t>Aurora</t>
        </is>
      </c>
      <c r="F165" s="696" t="inlineStr">
        <is>
          <t>CO</t>
        </is>
      </c>
      <c r="G165" s="696" t="inlineStr">
        <is>
          <t>Industrial</t>
        </is>
      </c>
      <c r="H165" s="1195"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1195" t="inlineStr">
        <is>
          <t>Owner P&amp;L 2023; large industrial 233,808 SF; 1980 YOC; landscape $12,324/snow $32,256 in CAM</t>
        </is>
      </c>
    </row>
    <row r="166" ht="14.1" customHeight="1">
      <c r="A166" s="1228" t="inlineStr">
        <is>
          <t>P086</t>
        </is>
      </c>
      <c r="B166" s="695" t="n">
        <v>406</v>
      </c>
      <c r="C166" s="1228" t="inlineStr">
        <is>
          <t>R0210684</t>
        </is>
      </c>
      <c r="D166" s="1229" t="inlineStr">
        <is>
          <t>14200 E Moncrieff Place</t>
        </is>
      </c>
      <c r="E166" s="1228" t="inlineStr">
        <is>
          <t>Aurora</t>
        </is>
      </c>
      <c r="F166" s="1228" t="inlineStr">
        <is>
          <t>CO</t>
        </is>
      </c>
      <c r="G166" s="1228" t="inlineStr">
        <is>
          <t>Industrial</t>
        </is>
      </c>
      <c r="H166" s="1229" t="inlineStr">
        <is>
          <t>Industrial Warehouse</t>
        </is>
      </c>
      <c r="I166" s="1230" t="n">
        <v>1980</v>
      </c>
      <c r="J166" s="1230" t="n">
        <v>233808</v>
      </c>
      <c r="K166" s="1230" t="n">
        <v>2024</v>
      </c>
      <c r="L166" s="1228" t="n"/>
      <c r="M166" s="1228" t="n"/>
      <c r="N166" s="1231" t="n">
        <v>8.7334</v>
      </c>
      <c r="O166" s="1228" t="n"/>
      <c r="P166" s="1228" t="n"/>
      <c r="Q166" s="1228" t="n"/>
      <c r="R166" s="1228" t="n"/>
      <c r="S166" s="1228" t="n"/>
      <c r="T166" s="1228" t="n"/>
      <c r="U166" s="1228" t="n"/>
      <c r="V166" s="1228" t="n"/>
      <c r="W166" s="1228" t="n"/>
      <c r="X166" s="1228" t="n"/>
      <c r="Y166" s="1228" t="n"/>
      <c r="Z166" s="1228" t="n"/>
      <c r="AA166" s="1228" t="n"/>
      <c r="AB166" s="1228" t="n"/>
      <c r="AC166" s="1228" t="n"/>
      <c r="AD166" s="1228" t="n"/>
      <c r="AE166" s="1228" t="n"/>
      <c r="AF166" s="1228" t="n"/>
      <c r="AG166" s="1228" t="n"/>
      <c r="AH166" s="1228" t="n"/>
      <c r="AI166" s="1228" t="n"/>
      <c r="AJ166" s="1231" t="n">
        <v>3.5718</v>
      </c>
      <c r="AK166" s="1231" t="n">
        <v>5.1616</v>
      </c>
      <c r="AL166" s="1228" t="n"/>
      <c r="AM166" s="1229" t="inlineStr">
        <is>
          <t>Owner P&amp;L 2024; total OPX only – line items not fully detailed for 2024</t>
        </is>
      </c>
    </row>
    <row r="167" ht="14.1" customHeight="1">
      <c r="A167" s="696" t="inlineStr">
        <is>
          <t>P087</t>
        </is>
      </c>
      <c r="B167" s="695" t="n">
        <v>407</v>
      </c>
      <c r="C167" s="696" t="inlineStr">
        <is>
          <t>R0102985</t>
        </is>
      </c>
      <c r="D167" s="1195" t="inlineStr">
        <is>
          <t>5861 Tennyson St</t>
        </is>
      </c>
      <c r="E167" s="696" t="inlineStr">
        <is>
          <t>Arvada</t>
        </is>
      </c>
      <c r="F167" s="696" t="inlineStr">
        <is>
          <t>CO</t>
        </is>
      </c>
      <c r="G167" s="696" t="inlineStr">
        <is>
          <t>Industrial</t>
        </is>
      </c>
      <c r="H167" s="1195"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1195" t="inlineStr">
        <is>
          <t>NNN; landlord expenses only; tenant pays RE taxes; 2023</t>
        </is>
      </c>
    </row>
    <row r="168" ht="14.1" customHeight="1">
      <c r="A168" s="1228" t="inlineStr">
        <is>
          <t>P087</t>
        </is>
      </c>
      <c r="B168" s="695" t="n">
        <v>407</v>
      </c>
      <c r="C168" s="1228" t="inlineStr">
        <is>
          <t>R0102985</t>
        </is>
      </c>
      <c r="D168" s="1229" t="inlineStr">
        <is>
          <t>5861 Tennyson St</t>
        </is>
      </c>
      <c r="E168" s="1228" t="inlineStr">
        <is>
          <t>Arvada</t>
        </is>
      </c>
      <c r="F168" s="1228" t="inlineStr">
        <is>
          <t>CO</t>
        </is>
      </c>
      <c r="G168" s="1228" t="inlineStr">
        <is>
          <t>Industrial</t>
        </is>
      </c>
      <c r="H168" s="1229" t="inlineStr">
        <is>
          <t>Industrial NNN</t>
        </is>
      </c>
      <c r="I168" s="1230" t="n">
        <v>2000</v>
      </c>
      <c r="J168" s="1230" t="n">
        <v>80640</v>
      </c>
      <c r="K168" s="1230" t="n">
        <v>2024</v>
      </c>
      <c r="L168" s="1231" t="n">
        <v>6.3625</v>
      </c>
      <c r="M168" s="1228" t="n"/>
      <c r="N168" s="1228" t="n"/>
      <c r="O168" s="1228" t="n"/>
      <c r="P168" s="1228" t="n"/>
      <c r="Q168" s="1228" t="n"/>
      <c r="R168" s="1228" t="n"/>
      <c r="S168" s="1228" t="n"/>
      <c r="T168" s="1228" t="n"/>
      <c r="U168" s="1228" t="n"/>
      <c r="V168" s="1228" t="n"/>
      <c r="W168" s="1228" t="n"/>
      <c r="X168" s="1228" t="n"/>
      <c r="Y168" s="1228" t="n"/>
      <c r="Z168" s="1228" t="n"/>
      <c r="AA168" s="1228" t="n"/>
      <c r="AB168" s="1228" t="n"/>
      <c r="AC168" s="1228" t="n"/>
      <c r="AD168" s="1228" t="n"/>
      <c r="AE168" s="1228" t="n"/>
      <c r="AF168" s="1228" t="n"/>
      <c r="AG168" s="1228" t="n"/>
      <c r="AH168" s="1231" t="n">
        <v>0.1921</v>
      </c>
      <c r="AI168" s="1228" t="n"/>
      <c r="AJ168" s="1231" t="n">
        <v>0.1921</v>
      </c>
      <c r="AK168" s="1231" t="n">
        <v>6.1704</v>
      </c>
      <c r="AL168" s="1228" t="n"/>
      <c r="AM168" s="1229" t="inlineStr">
        <is>
          <t>NNN; landlord expenses only; tenant pays RE taxes; 2024</t>
        </is>
      </c>
    </row>
    <row r="169" ht="14.1" customHeight="1">
      <c r="A169" s="696" t="inlineStr">
        <is>
          <t>P088</t>
        </is>
      </c>
      <c r="B169" s="695" t="n">
        <v>210</v>
      </c>
      <c r="C169" s="696" t="inlineStr">
        <is>
          <t>R0090973</t>
        </is>
      </c>
      <c r="D169" s="1195" t="inlineStr">
        <is>
          <t>3975 E 56th Ave</t>
        </is>
      </c>
      <c r="E169" s="696" t="inlineStr">
        <is>
          <t>Commerce City</t>
        </is>
      </c>
      <c r="F169" s="696" t="inlineStr">
        <is>
          <t>CO</t>
        </is>
      </c>
      <c r="G169" s="696" t="inlineStr">
        <is>
          <t>Industrial</t>
        </is>
      </c>
      <c r="H169" s="1195"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1195" t="inlineStr">
        <is>
          <t>Sand Creek Business Park; owner P&amp;L 2024; limited line-item detail</t>
        </is>
      </c>
    </row>
    <row r="170" ht="14.1" customHeight="1">
      <c r="A170" s="1228" t="inlineStr">
        <is>
          <t>P089</t>
        </is>
      </c>
      <c r="B170" s="695" t="n">
        <v>407</v>
      </c>
      <c r="C170" s="1228" t="inlineStr">
        <is>
          <t>R0180951</t>
        </is>
      </c>
      <c r="D170" s="1229" t="inlineStr">
        <is>
          <t>(Address TBD – R0180951)</t>
        </is>
      </c>
      <c r="E170" s="1228" t="inlineStr">
        <is>
          <t>Adams County</t>
        </is>
      </c>
      <c r="F170" s="1228" t="inlineStr">
        <is>
          <t>CO</t>
        </is>
      </c>
      <c r="G170" s="1228" t="inlineStr">
        <is>
          <t>Industrial</t>
        </is>
      </c>
      <c r="H170" s="1229" t="inlineStr">
        <is>
          <t>Industrial NNN</t>
        </is>
      </c>
      <c r="I170" s="1230" t="n">
        <v>2016</v>
      </c>
      <c r="J170" s="1230" t="n">
        <v>122106</v>
      </c>
      <c r="K170" s="1230" t="n">
        <v>2023</v>
      </c>
      <c r="L170" s="1228" t="n"/>
      <c r="M170" s="1228" t="n"/>
      <c r="N170" s="1228" t="n"/>
      <c r="O170" s="1231" t="n">
        <v>0.0609</v>
      </c>
      <c r="P170" s="1228" t="n"/>
      <c r="Q170" s="1228" t="n"/>
      <c r="R170" s="1228" t="n"/>
      <c r="S170" s="1228" t="n"/>
      <c r="T170" s="1228" t="n"/>
      <c r="U170" s="1228" t="n"/>
      <c r="V170" s="1228" t="n"/>
      <c r="W170" s="1228" t="n"/>
      <c r="X170" s="1228" t="n"/>
      <c r="Y170" s="1228" t="n"/>
      <c r="Z170" s="1228" t="n"/>
      <c r="AA170" s="1228" t="n"/>
      <c r="AB170" s="1228" t="n"/>
      <c r="AC170" s="1231" t="n">
        <v>0.415</v>
      </c>
      <c r="AD170" s="1231" t="n">
        <v>0.4794</v>
      </c>
      <c r="AE170" s="1228" t="n"/>
      <c r="AF170" s="1231" t="n">
        <v>0.4794</v>
      </c>
      <c r="AG170" s="1228" t="n"/>
      <c r="AH170" s="1228" t="n"/>
      <c r="AI170" s="1231" t="n">
        <v>3.233</v>
      </c>
      <c r="AJ170" s="1231" t="n">
        <v>4.1884</v>
      </c>
      <c r="AK170" s="1228" t="n"/>
      <c r="AL170" s="1228" t="n"/>
      <c r="AM170" s="1229" t="inlineStr">
        <is>
          <t>NNN; landlord expenses only from WH Expenses 2026; 2016 YOC; 2023: RE Tax $394,774/Ins $7,435/Utils $58,541/CAM $50,680</t>
        </is>
      </c>
    </row>
    <row r="171" ht="14.1" customHeight="1">
      <c r="A171" s="696" t="inlineStr">
        <is>
          <t>P089</t>
        </is>
      </c>
      <c r="B171" s="695" t="n">
        <v>407</v>
      </c>
      <c r="C171" s="696" t="inlineStr">
        <is>
          <t>R0180951</t>
        </is>
      </c>
      <c r="D171" s="1195" t="inlineStr">
        <is>
          <t>(Address TBD – R0180951)</t>
        </is>
      </c>
      <c r="E171" s="696" t="inlineStr">
        <is>
          <t>Adams County</t>
        </is>
      </c>
      <c r="F171" s="696" t="inlineStr">
        <is>
          <t>CO</t>
        </is>
      </c>
      <c r="G171" s="696" t="inlineStr">
        <is>
          <t>Industrial</t>
        </is>
      </c>
      <c r="H171" s="1195"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1195" t="inlineStr">
        <is>
          <t>NNN; landlord expenses only from WH Expenses 2026; 2024: RE Tax $532,140/Ins $7,635/Utils $58,541/CAM $64,465</t>
        </is>
      </c>
    </row>
    <row r="172" ht="14.1" customHeight="1">
      <c r="A172" s="1228" t="inlineStr">
        <is>
          <t>P090</t>
        </is>
      </c>
      <c r="B172" s="695" t="n">
        <v>407</v>
      </c>
      <c r="C172" s="1228" t="inlineStr">
        <is>
          <t>R0110351</t>
        </is>
      </c>
      <c r="D172" s="1229" t="inlineStr">
        <is>
          <t>(Address TBD – R0110351)</t>
        </is>
      </c>
      <c r="E172" s="1228" t="inlineStr">
        <is>
          <t>Adams County</t>
        </is>
      </c>
      <c r="F172" s="1228" t="inlineStr">
        <is>
          <t>CO</t>
        </is>
      </c>
      <c r="G172" s="1228" t="inlineStr">
        <is>
          <t>Industrial</t>
        </is>
      </c>
      <c r="H172" s="1229" t="inlineStr">
        <is>
          <t>Industrial NNN</t>
        </is>
      </c>
      <c r="I172" s="1230" t="n">
        <v>2000</v>
      </c>
      <c r="J172" s="1230" t="n">
        <v>85200</v>
      </c>
      <c r="K172" s="1230" t="n">
        <v>2023</v>
      </c>
      <c r="L172" s="1228" t="n"/>
      <c r="M172" s="1228" t="n"/>
      <c r="N172" s="1228" t="n"/>
      <c r="O172" s="1231" t="n">
        <v>0.2413</v>
      </c>
      <c r="P172" s="1228" t="n"/>
      <c r="Q172" s="1228" t="n"/>
      <c r="R172" s="1228" t="n"/>
      <c r="S172" s="1228" t="n"/>
      <c r="T172" s="1228" t="n"/>
      <c r="U172" s="1228" t="n"/>
      <c r="V172" s="1228" t="n"/>
      <c r="W172" s="1228" t="n"/>
      <c r="X172" s="1228" t="n"/>
      <c r="Y172" s="1228" t="n"/>
      <c r="Z172" s="1228" t="n"/>
      <c r="AA172" s="1228" t="n"/>
      <c r="AB172" s="1228" t="n"/>
      <c r="AC172" s="1231" t="n">
        <v>0.2176</v>
      </c>
      <c r="AD172" s="1228" t="n"/>
      <c r="AE172" s="1228" t="n"/>
      <c r="AF172" s="1228" t="n"/>
      <c r="AG172" s="1228" t="n"/>
      <c r="AH172" s="1228" t="n"/>
      <c r="AI172" s="1231" t="n">
        <v>3.5826</v>
      </c>
      <c r="AJ172" s="1231" t="n">
        <v>4.0415</v>
      </c>
      <c r="AK172" s="1228" t="n"/>
      <c r="AL172" s="1228" t="n"/>
      <c r="AM172" s="1229" t="inlineStr">
        <is>
          <t>NNN; landlord expenses only from WH Expenses 2026; 2000 YOC; 2023: RE Tax $305,241/Ins $20,559/CAM $18,539</t>
        </is>
      </c>
    </row>
    <row r="173" ht="14.1" customHeight="1">
      <c r="A173" s="696" t="inlineStr">
        <is>
          <t>P090</t>
        </is>
      </c>
      <c r="B173" s="695" t="n">
        <v>407</v>
      </c>
      <c r="C173" s="696" t="inlineStr">
        <is>
          <t>R0110351</t>
        </is>
      </c>
      <c r="D173" s="1195" t="inlineStr">
        <is>
          <t>(Address TBD – R0110351)</t>
        </is>
      </c>
      <c r="E173" s="696" t="inlineStr">
        <is>
          <t>Adams County</t>
        </is>
      </c>
      <c r="F173" s="696" t="inlineStr">
        <is>
          <t>CO</t>
        </is>
      </c>
      <c r="G173" s="696" t="inlineStr">
        <is>
          <t>Industrial</t>
        </is>
      </c>
      <c r="H173" s="1195"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1195" t="inlineStr">
        <is>
          <t>NNN; landlord expenses only from WH Expenses 2026; 2024: RE Tax $331,811/Ins $25,578/CAM $21,372</t>
        </is>
      </c>
    </row>
    <row r="174" ht="14.1" customHeight="1">
      <c r="A174" s="1228" t="inlineStr">
        <is>
          <t>P091</t>
        </is>
      </c>
      <c r="B174" s="695" t="n">
        <v>584</v>
      </c>
      <c r="C174" s="1228" t="inlineStr">
        <is>
          <t>R0198530</t>
        </is>
      </c>
      <c r="D174" s="1229" t="inlineStr">
        <is>
          <t>(Address TBD – R0198530)</t>
        </is>
      </c>
      <c r="E174" s="1228" t="inlineStr">
        <is>
          <t>Adams County</t>
        </is>
      </c>
      <c r="F174" s="1228" t="inlineStr">
        <is>
          <t>CO</t>
        </is>
      </c>
      <c r="G174" s="1228" t="inlineStr">
        <is>
          <t>Industrial</t>
        </is>
      </c>
      <c r="H174" s="1229" t="inlineStr">
        <is>
          <t>Industrial Mega-Warehouse NNN</t>
        </is>
      </c>
      <c r="I174" s="1230" t="n">
        <v>2019</v>
      </c>
      <c r="J174" s="1230" t="n">
        <v>555867</v>
      </c>
      <c r="K174" s="1230" t="n">
        <v>2024</v>
      </c>
      <c r="L174" s="1228" t="n"/>
      <c r="M174" s="1228" t="n"/>
      <c r="N174" s="1228" t="n"/>
      <c r="O174" s="1231" t="n">
        <v>0.1549</v>
      </c>
      <c r="P174" s="1231" t="n">
        <v>0.1152</v>
      </c>
      <c r="Q174" s="1228" t="n"/>
      <c r="R174" s="1228" t="n"/>
      <c r="S174" s="1228" t="n"/>
      <c r="T174" s="1228" t="n"/>
      <c r="U174" s="1228" t="n"/>
      <c r="V174" s="1228" t="n"/>
      <c r="W174" s="1228" t="n"/>
      <c r="X174" s="1228" t="n"/>
      <c r="Y174" s="1228" t="n"/>
      <c r="Z174" s="1228" t="n"/>
      <c r="AA174" s="1228" t="n"/>
      <c r="AB174" s="1228" t="n"/>
      <c r="AC174" s="1228" t="n"/>
      <c r="AD174" s="1228" t="n"/>
      <c r="AE174" s="1228" t="n"/>
      <c r="AF174" s="1228" t="n"/>
      <c r="AG174" s="1228" t="n"/>
      <c r="AH174" s="1228" t="n"/>
      <c r="AI174" s="1231" t="n">
        <v>3.8872</v>
      </c>
      <c r="AJ174" s="1231" t="n">
        <v>4.1573</v>
      </c>
      <c r="AK174" s="1228" t="n"/>
      <c r="AL174" s="1228" t="n"/>
      <c r="AM174" s="1229" t="inlineStr">
        <is>
          <t>Mega-warehouse 555,867 SF; NNN; landlord only: RE Tax $2,160,792/Ins $86,084/Mgmt $64,029; 2019 YOC</t>
        </is>
      </c>
    </row>
    <row r="175" ht="14.1" customHeight="1">
      <c r="A175" s="696" t="inlineStr">
        <is>
          <t>P092</t>
        </is>
      </c>
      <c r="B175" s="695" t="n">
        <v>447</v>
      </c>
      <c r="C175" s="696" t="inlineStr">
        <is>
          <t>R0180834</t>
        </is>
      </c>
      <c r="D175" s="1195" t="inlineStr">
        <is>
          <t>(Address TBD – R0180834)</t>
        </is>
      </c>
      <c r="E175" s="696" t="inlineStr">
        <is>
          <t>Adams County</t>
        </is>
      </c>
      <c r="F175" s="696" t="inlineStr">
        <is>
          <t>CO</t>
        </is>
      </c>
      <c r="G175" s="696" t="inlineStr">
        <is>
          <t>Industrial</t>
        </is>
      </c>
      <c r="H175" s="1195"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1195" t="inlineStr">
        <is>
          <t>Cold storage/mega-WH 550,031 SF; NNN; landlord only: RE Tax $2,118,655/Ins $77,117/Mgmt $138,053; 2012 YOC</t>
        </is>
      </c>
    </row>
    <row r="176" ht="14.1" customHeight="1">
      <c r="A176" s="1228" t="inlineStr">
        <is>
          <t>P093</t>
        </is>
      </c>
      <c r="B176" s="695" t="n">
        <v>407</v>
      </c>
      <c r="C176" s="1228" t="inlineStr">
        <is>
          <t>R0114792</t>
        </is>
      </c>
      <c r="D176" s="1229" t="inlineStr">
        <is>
          <t>(Address TBD – R0114792)</t>
        </is>
      </c>
      <c r="E176" s="1228" t="inlineStr">
        <is>
          <t>Adams County</t>
        </is>
      </c>
      <c r="F176" s="1228" t="inlineStr">
        <is>
          <t>CO</t>
        </is>
      </c>
      <c r="G176" s="1228" t="inlineStr">
        <is>
          <t>Industrial</t>
        </is>
      </c>
      <c r="H176" s="1229" t="inlineStr">
        <is>
          <t>Industrial NNN</t>
        </is>
      </c>
      <c r="I176" s="1230" t="n">
        <v>1998</v>
      </c>
      <c r="J176" s="1230" t="n">
        <v>64501</v>
      </c>
      <c r="K176" s="1230" t="n">
        <v>2023</v>
      </c>
      <c r="L176" s="1228" t="n"/>
      <c r="M176" s="1228" t="n"/>
      <c r="N176" s="1228" t="n"/>
      <c r="O176" s="1231" t="n">
        <v>0.1487</v>
      </c>
      <c r="P176" s="1231" t="n">
        <v>0.365</v>
      </c>
      <c r="Q176" s="1228" t="n"/>
      <c r="R176" s="1228" t="n"/>
      <c r="S176" s="1228" t="n"/>
      <c r="T176" s="1228" t="n"/>
      <c r="U176" s="1228" t="n"/>
      <c r="V176" s="1228" t="n"/>
      <c r="W176" s="1228" t="n"/>
      <c r="X176" s="1228" t="n"/>
      <c r="Y176" s="1228" t="n"/>
      <c r="Z176" s="1228" t="n"/>
      <c r="AA176" s="1228" t="n"/>
      <c r="AB176" s="1228" t="n"/>
      <c r="AC176" s="1228" t="n"/>
      <c r="AD176" s="1228" t="n"/>
      <c r="AE176" s="1228" t="n"/>
      <c r="AF176" s="1228" t="n"/>
      <c r="AG176" s="1228" t="n"/>
      <c r="AH176" s="1228" t="n"/>
      <c r="AI176" s="1231" t="n">
        <v>3.1201</v>
      </c>
      <c r="AJ176" s="1231" t="n">
        <v>3.6337</v>
      </c>
      <c r="AK176" s="1228" t="n"/>
      <c r="AL176" s="1228" t="n"/>
      <c r="AM176" s="1229" t="inlineStr">
        <is>
          <t>NNN; landlord only: RE Tax $201,248/Ins $9,589/Mgmt $23,542; 1998 YOC</t>
        </is>
      </c>
    </row>
    <row r="177" ht="14.1" customHeight="1">
      <c r="A177" s="696" t="inlineStr">
        <is>
          <t>P093</t>
        </is>
      </c>
      <c r="B177" s="695" t="n">
        <v>407</v>
      </c>
      <c r="C177" s="696" t="inlineStr">
        <is>
          <t>R0114792</t>
        </is>
      </c>
      <c r="D177" s="1195" t="inlineStr">
        <is>
          <t>(Address TBD – R0114792)</t>
        </is>
      </c>
      <c r="E177" s="696" t="inlineStr">
        <is>
          <t>Adams County</t>
        </is>
      </c>
      <c r="F177" s="696" t="inlineStr">
        <is>
          <t>CO</t>
        </is>
      </c>
      <c r="G177" s="696" t="inlineStr">
        <is>
          <t>Industrial</t>
        </is>
      </c>
      <c r="H177" s="1195"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1195" t="inlineStr">
        <is>
          <t>NNN; landlord only: RE Tax $244,551/Ins $7,536/Mgmt $23,889</t>
        </is>
      </c>
    </row>
    <row r="178" ht="14.1" customHeight="1">
      <c r="A178" s="1228" t="inlineStr">
        <is>
          <t>P027</t>
        </is>
      </c>
      <c r="B178" s="695" t="n">
        <v>407</v>
      </c>
      <c r="C178" s="1228" t="inlineStr">
        <is>
          <t>R0132030</t>
        </is>
      </c>
      <c r="D178" s="1229" t="inlineStr">
        <is>
          <t>(R0132030)</t>
        </is>
      </c>
      <c r="E178" s="1228" t="inlineStr">
        <is>
          <t>Adams County</t>
        </is>
      </c>
      <c r="F178" s="1228" t="inlineStr">
        <is>
          <t>CO</t>
        </is>
      </c>
      <c r="G178" s="1228" t="inlineStr">
        <is>
          <t>Industrial</t>
        </is>
      </c>
      <c r="H178" s="1229" t="inlineStr">
        <is>
          <t>Industrial NNN</t>
        </is>
      </c>
      <c r="I178" s="1230" t="n"/>
      <c r="J178" s="1230" t="n">
        <v>200094</v>
      </c>
      <c r="K178" s="1230" t="n">
        <v>2024</v>
      </c>
      <c r="L178" s="1228" t="n"/>
      <c r="M178" s="1228" t="n"/>
      <c r="N178" s="1228" t="n"/>
      <c r="O178" s="1231" t="n">
        <v>0.1315</v>
      </c>
      <c r="P178" s="1231" t="n">
        <v>0.2443</v>
      </c>
      <c r="Q178" s="1228" t="n"/>
      <c r="R178" s="1228" t="n"/>
      <c r="S178" s="1228" t="n"/>
      <c r="T178" s="1228" t="n"/>
      <c r="U178" s="1228" t="n"/>
      <c r="V178" s="1228" t="n"/>
      <c r="W178" s="1228" t="n"/>
      <c r="X178" s="1228" t="n"/>
      <c r="Y178" s="1228" t="n"/>
      <c r="Z178" s="1228" t="n"/>
      <c r="AA178" s="1228" t="n"/>
      <c r="AB178" s="1228" t="n"/>
      <c r="AC178" s="1231" t="n">
        <v>0.4013</v>
      </c>
      <c r="AD178" s="1231" t="n">
        <v>0.321</v>
      </c>
      <c r="AE178" s="1228" t="n"/>
      <c r="AF178" s="1231" t="n">
        <v>0.321</v>
      </c>
      <c r="AG178" s="1228" t="n"/>
      <c r="AH178" s="1228" t="n"/>
      <c r="AI178" s="1231" t="n">
        <v>2.2004</v>
      </c>
      <c r="AJ178" s="1231" t="n">
        <v>3.297</v>
      </c>
      <c r="AK178" s="1228" t="n"/>
      <c r="AL178" s="1228" t="n"/>
      <c r="AM178" s="1229" t="inlineStr">
        <is>
          <t>NNN; WH Expenses 2026 landlord data: RE Tax $440,287/Ins $26,308/Utils $64,237/Mgmt $48,882/CAM $80,298</t>
        </is>
      </c>
    </row>
    <row r="179" ht="14.1" customHeight="1">
      <c r="A179" s="696" t="inlineStr">
        <is>
          <t>P028</t>
        </is>
      </c>
      <c r="B179" s="695" t="n">
        <v>407</v>
      </c>
      <c r="C179" s="696" t="inlineStr">
        <is>
          <t>R0084040</t>
        </is>
      </c>
      <c r="D179" s="1195" t="inlineStr">
        <is>
          <t>(R0084040)</t>
        </is>
      </c>
      <c r="E179" s="696" t="inlineStr">
        <is>
          <t>Adams County</t>
        </is>
      </c>
      <c r="F179" s="696" t="inlineStr">
        <is>
          <t>CO</t>
        </is>
      </c>
      <c r="G179" s="696" t="inlineStr">
        <is>
          <t>Industrial</t>
        </is>
      </c>
      <c r="H179" s="1195"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1195" t="inlineStr">
        <is>
          <t>[NO SF] NNN; WH Expenses 2026 landlord data: RE Tax $598,274/Ins $24,025/Utils $69,481/Mgmt $65,817/CAM $128,840</t>
        </is>
      </c>
    </row>
    <row r="180" ht="14.1" customHeight="1">
      <c r="A180" s="1228" t="inlineStr">
        <is>
          <t>P034</t>
        </is>
      </c>
      <c r="B180" s="695" t="n">
        <v>407</v>
      </c>
      <c r="C180" s="1228" t="inlineStr">
        <is>
          <t>R0172865</t>
        </is>
      </c>
      <c r="D180" s="1229" t="inlineStr">
        <is>
          <t>(R0172865)</t>
        </is>
      </c>
      <c r="E180" s="1228" t="inlineStr">
        <is>
          <t>Adams County</t>
        </is>
      </c>
      <c r="F180" s="1228" t="inlineStr">
        <is>
          <t>CO</t>
        </is>
      </c>
      <c r="G180" s="1228" t="inlineStr">
        <is>
          <t>Industrial</t>
        </is>
      </c>
      <c r="H180" s="1229" t="inlineStr">
        <is>
          <t>Industrial NNN</t>
        </is>
      </c>
      <c r="I180" s="1230" t="n"/>
      <c r="J180" s="1230" t="n">
        <v>215461</v>
      </c>
      <c r="K180" s="1230" t="n">
        <v>2024</v>
      </c>
      <c r="L180" s="1228" t="n"/>
      <c r="M180" s="1228" t="n"/>
      <c r="N180" s="1228" t="n"/>
      <c r="O180" s="1231" t="n">
        <v>0.1431</v>
      </c>
      <c r="P180" s="1231" t="n">
        <v>0.331</v>
      </c>
      <c r="Q180" s="1228" t="n"/>
      <c r="R180" s="1228" t="n"/>
      <c r="S180" s="1228" t="n"/>
      <c r="T180" s="1228" t="n"/>
      <c r="U180" s="1228" t="n"/>
      <c r="V180" s="1228" t="n"/>
      <c r="W180" s="1228" t="n"/>
      <c r="X180" s="1228" t="n"/>
      <c r="Y180" s="1228" t="n"/>
      <c r="Z180" s="1228" t="n"/>
      <c r="AA180" s="1228" t="n"/>
      <c r="AB180" s="1228" t="n"/>
      <c r="AC180" s="1231" t="n">
        <v>0.5903</v>
      </c>
      <c r="AD180" s="1231" t="n">
        <v>0.4731</v>
      </c>
      <c r="AE180" s="1228" t="n"/>
      <c r="AF180" s="1231" t="n">
        <v>0.4731</v>
      </c>
      <c r="AG180" s="1228" t="n"/>
      <c r="AH180" s="1228" t="n"/>
      <c r="AI180" s="1231" t="n">
        <v>2.6197</v>
      </c>
      <c r="AJ180" s="1231" t="n">
        <v>4.1572</v>
      </c>
      <c r="AK180" s="1228" t="n"/>
      <c r="AL180" s="1228" t="n"/>
      <c r="AM180" s="1229" t="inlineStr">
        <is>
          <t>NNN; WH Expenses 2026 landlord data: RE Tax $564,450/Ins $30,832/Utils $101,924/Mgmt $71,321/CAM $127,177</t>
        </is>
      </c>
    </row>
    <row r="181" ht="14.1" customHeight="1">
      <c r="A181" s="696" t="inlineStr">
        <is>
          <t>P036</t>
        </is>
      </c>
      <c r="B181" s="695" t="n">
        <v>407</v>
      </c>
      <c r="C181" s="696" t="inlineStr">
        <is>
          <t>R0172868</t>
        </is>
      </c>
      <c r="D181" s="1195" t="inlineStr">
        <is>
          <t>(R0172868)</t>
        </is>
      </c>
      <c r="E181" s="696" t="inlineStr">
        <is>
          <t>Adams County</t>
        </is>
      </c>
      <c r="F181" s="696" t="inlineStr">
        <is>
          <t>CO</t>
        </is>
      </c>
      <c r="G181" s="696" t="inlineStr">
        <is>
          <t>Industrial</t>
        </is>
      </c>
      <c r="H181" s="1195"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1195" t="inlineStr">
        <is>
          <t>NNN; WH Expenses 2026 landlord data: RE Tax $608,209/Ins $30,594/Mgmt $36,085/CAM $95,792</t>
        </is>
      </c>
    </row>
    <row r="182" ht="14.1" customHeight="1">
      <c r="A182" s="1228" t="inlineStr">
        <is>
          <t>P061</t>
        </is>
      </c>
      <c r="B182" s="695" t="n">
        <v>584</v>
      </c>
      <c r="C182" s="1228" t="inlineStr">
        <is>
          <t>R0083935</t>
        </is>
      </c>
      <c r="D182" s="1229" t="inlineStr">
        <is>
          <t>(R0083935)</t>
        </is>
      </c>
      <c r="E182" s="1228" t="inlineStr">
        <is>
          <t>Adams County</t>
        </is>
      </c>
      <c r="F182" s="1228" t="inlineStr">
        <is>
          <t>CO</t>
        </is>
      </c>
      <c r="G182" s="1228" t="inlineStr">
        <is>
          <t>Industrial</t>
        </is>
      </c>
      <c r="H182" s="1229" t="inlineStr">
        <is>
          <t>Industrial NNN</t>
        </is>
      </c>
      <c r="I182" s="1230" t="n"/>
      <c r="J182" s="1230" t="n">
        <v>277690</v>
      </c>
      <c r="K182" s="1230" t="n">
        <v>2024</v>
      </c>
      <c r="L182" s="1228" t="n"/>
      <c r="M182" s="1228" t="n"/>
      <c r="N182" s="1228" t="n"/>
      <c r="O182" s="1231" t="n">
        <v>0.2911</v>
      </c>
      <c r="P182" s="1231" t="n">
        <v>0.6228</v>
      </c>
      <c r="Q182" s="1228" t="n"/>
      <c r="R182" s="1228" t="n"/>
      <c r="S182" s="1228" t="n"/>
      <c r="T182" s="1228" t="n"/>
      <c r="U182" s="1228" t="n"/>
      <c r="V182" s="1228" t="n"/>
      <c r="W182" s="1228" t="n"/>
      <c r="X182" s="1228" t="n"/>
      <c r="Y182" s="1228" t="n"/>
      <c r="Z182" s="1228" t="n"/>
      <c r="AA182" s="1228" t="n"/>
      <c r="AB182" s="1228" t="n"/>
      <c r="AC182" s="1231" t="n">
        <v>1.0179</v>
      </c>
      <c r="AD182" s="1231" t="n">
        <v>0.7056</v>
      </c>
      <c r="AE182" s="1228" t="n"/>
      <c r="AF182" s="1231" t="n">
        <v>0.7056</v>
      </c>
      <c r="AG182" s="1228" t="n"/>
      <c r="AH182" s="1228" t="n"/>
      <c r="AI182" s="1231" t="n">
        <v>2.8384</v>
      </c>
      <c r="AJ182" s="1231" t="n">
        <v>5.4758</v>
      </c>
      <c r="AK182" s="1228" t="n"/>
      <c r="AL182" s="1228" t="n"/>
      <c r="AM182" s="1229"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1195" t="inlineStr">
        <is>
          <t>(R0098223)</t>
        </is>
      </c>
      <c r="E183" s="696" t="inlineStr">
        <is>
          <t>Adams County</t>
        </is>
      </c>
      <c r="F183" s="696" t="inlineStr">
        <is>
          <t>CO</t>
        </is>
      </c>
      <c r="G183" s="696" t="inlineStr">
        <is>
          <t>Industrial</t>
        </is>
      </c>
      <c r="H183" s="1195"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1195" t="inlineStr">
        <is>
          <t>[NO SF] CORRECTED: previous entry had wrong NOI ($76,629). Correct 2023 NOI = $951,113 per WH Expenses 2026</t>
        </is>
      </c>
    </row>
    <row r="184" ht="14.1" customHeight="1">
      <c r="A184" s="1228" t="inlineStr">
        <is>
          <t>P069</t>
        </is>
      </c>
      <c r="B184" s="695" t="n">
        <v>210</v>
      </c>
      <c r="C184" s="1228" t="inlineStr">
        <is>
          <t>R0098223</t>
        </is>
      </c>
      <c r="D184" s="1229" t="inlineStr">
        <is>
          <t>(R0098223)</t>
        </is>
      </c>
      <c r="E184" s="1228" t="inlineStr">
        <is>
          <t>Adams County</t>
        </is>
      </c>
      <c r="F184" s="1228" t="inlineStr">
        <is>
          <t>CO</t>
        </is>
      </c>
      <c r="G184" s="1228" t="inlineStr">
        <is>
          <t>Industrial</t>
        </is>
      </c>
      <c r="H184" s="1229" t="inlineStr">
        <is>
          <t>Industrial</t>
        </is>
      </c>
      <c r="I184" s="1230" t="n"/>
      <c r="J184" s="1230" t="n"/>
      <c r="K184" s="1230" t="n">
        <v>2024</v>
      </c>
      <c r="L184" s="1228" t="n"/>
      <c r="M184" s="1228" t="n"/>
      <c r="N184" s="1228" t="n"/>
      <c r="O184" s="1228" t="n"/>
      <c r="P184" s="1228" t="n"/>
      <c r="Q184" s="1228" t="n"/>
      <c r="R184" s="1228" t="n"/>
      <c r="S184" s="1228" t="n"/>
      <c r="T184" s="1228" t="n"/>
      <c r="U184" s="1228" t="n"/>
      <c r="V184" s="1228" t="n"/>
      <c r="W184" s="1228" t="n"/>
      <c r="X184" s="1228" t="n"/>
      <c r="Y184" s="1228" t="n"/>
      <c r="Z184" s="1228" t="n"/>
      <c r="AA184" s="1228" t="n"/>
      <c r="AB184" s="1228" t="n"/>
      <c r="AC184" s="1228" t="n"/>
      <c r="AD184" s="1228" t="n"/>
      <c r="AE184" s="1228" t="n"/>
      <c r="AF184" s="1228" t="n"/>
      <c r="AG184" s="1228" t="n"/>
      <c r="AH184" s="1228" t="n"/>
      <c r="AI184" s="1228" t="n"/>
      <c r="AJ184" s="1228" t="n"/>
      <c r="AK184" s="1233" t="n">
        <v>1005999</v>
      </c>
      <c r="AL184" s="1228" t="n"/>
      <c r="AM184" s="1229" t="inlineStr">
        <is>
          <t>[NO SF] New 2024 row from WH Expenses 2026; NOI $1,005,999</t>
        </is>
      </c>
    </row>
    <row r="185" ht="14.1" customHeight="1">
      <c r="A185" s="696" t="inlineStr">
        <is>
          <t>P094</t>
        </is>
      </c>
      <c r="B185" s="695" t="n">
        <v>407</v>
      </c>
      <c r="C185" s="696" t="inlineStr">
        <is>
          <t>R0104122</t>
        </is>
      </c>
      <c r="D185" s="1195" t="inlineStr">
        <is>
          <t>550 W 53rd Pl</t>
        </is>
      </c>
      <c r="E185" s="696" t="inlineStr">
        <is>
          <t>Denver</t>
        </is>
      </c>
      <c r="F185" s="696" t="inlineStr">
        <is>
          <t>CO</t>
        </is>
      </c>
      <c r="G185" s="696" t="inlineStr">
        <is>
          <t>Industrial</t>
        </is>
      </c>
      <c r="H185" s="1195"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1195" t="inlineStr">
        <is>
          <t>Appraiser income approach (CBOE 2024 abatement); market rent $6.50/SF; vac 6%; OPX 5% + reserves 3%; 6.00% OAR; value $11,985,000</t>
        </is>
      </c>
    </row>
    <row r="186" ht="14.1" customHeight="1">
      <c r="A186" s="1228" t="inlineStr">
        <is>
          <t>P095</t>
        </is>
      </c>
      <c r="B186" s="695" t="n">
        <v>386</v>
      </c>
      <c r="C186" s="1228" t="inlineStr">
        <is>
          <t>R0086010</t>
        </is>
      </c>
      <c r="D186" s="1229" t="inlineStr">
        <is>
          <t>15413 E 18th Ave</t>
        </is>
      </c>
      <c r="E186" s="1228" t="inlineStr">
        <is>
          <t>Aurora</t>
        </is>
      </c>
      <c r="F186" s="1228" t="inlineStr">
        <is>
          <t>CO</t>
        </is>
      </c>
      <c r="G186" s="1228" t="inlineStr">
        <is>
          <t>Self-Storage</t>
        </is>
      </c>
      <c r="H186" s="1229" t="inlineStr">
        <is>
          <t>Self-Storage</t>
        </is>
      </c>
      <c r="I186" s="1230" t="n">
        <v>1984</v>
      </c>
      <c r="J186" s="1230" t="n">
        <v>63989</v>
      </c>
      <c r="K186" s="1230" t="n">
        <v>2024</v>
      </c>
      <c r="L186" s="1231" t="n">
        <v>15.0547</v>
      </c>
      <c r="M186" s="1231" t="n">
        <v>0.1953</v>
      </c>
      <c r="N186" s="1231" t="n">
        <v>12.9919</v>
      </c>
      <c r="O186" s="1228" t="n"/>
      <c r="P186" s="1228" t="n"/>
      <c r="Q186" s="1228" t="n"/>
      <c r="R186" s="1228" t="n"/>
      <c r="S186" s="1228" t="n"/>
      <c r="T186" s="1228" t="n"/>
      <c r="U186" s="1228" t="n"/>
      <c r="V186" s="1228" t="n"/>
      <c r="W186" s="1228" t="n"/>
      <c r="X186" s="1228" t="n"/>
      <c r="Y186" s="1228" t="n"/>
      <c r="Z186" s="1228" t="n"/>
      <c r="AA186" s="1228" t="n"/>
      <c r="AB186" s="1228" t="n"/>
      <c r="AC186" s="1228" t="n"/>
      <c r="AD186" s="1228" t="n"/>
      <c r="AE186" s="1228" t="n"/>
      <c r="AF186" s="1228" t="n"/>
      <c r="AG186" s="1228" t="n"/>
      <c r="AH186" s="1231" t="n">
        <v>2.5984</v>
      </c>
      <c r="AI186" s="1228" t="n"/>
      <c r="AJ186" s="1231" t="n">
        <v>3.118</v>
      </c>
      <c r="AK186" s="1231" t="n">
        <v>9.873799999999999</v>
      </c>
      <c r="AL186" s="1231" t="n">
        <v>0.5197000000000001</v>
      </c>
      <c r="AM186" s="1229"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1195" t="inlineStr">
        <is>
          <t>14701 E 38th Ave</t>
        </is>
      </c>
      <c r="E187" s="696" t="inlineStr">
        <is>
          <t>Aurora</t>
        </is>
      </c>
      <c r="F187" s="696" t="inlineStr">
        <is>
          <t>CO</t>
        </is>
      </c>
      <c r="G187" s="696" t="inlineStr">
        <is>
          <t>Industrial</t>
        </is>
      </c>
      <c r="H187" s="1195"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1195" t="inlineStr">
        <is>
          <t>I&amp;E Survey 2024; owner-user; CAUTION: expenses likely include non-RE business costs (mgmt $452k + utils $372k very high); 117,280 SF</t>
        </is>
      </c>
    </row>
    <row r="188" ht="14.1" customHeight="1">
      <c r="A188" s="1228" t="inlineStr">
        <is>
          <t>P097</t>
        </is>
      </c>
      <c r="B188" s="695" t="n">
        <v>210</v>
      </c>
      <c r="C188" s="1228" t="inlineStr">
        <is>
          <t>R0137586</t>
        </is>
      </c>
      <c r="D188" s="1229" t="inlineStr">
        <is>
          <t>7273-7285 E 96th Ave</t>
        </is>
      </c>
      <c r="E188" s="1228" t="inlineStr">
        <is>
          <t>Commerce City</t>
        </is>
      </c>
      <c r="F188" s="1228" t="inlineStr">
        <is>
          <t>CO</t>
        </is>
      </c>
      <c r="G188" s="1228" t="inlineStr">
        <is>
          <t>Industrial</t>
        </is>
      </c>
      <c r="H188" s="1229" t="inlineStr">
        <is>
          <t>Multi-Tenant Industrial</t>
        </is>
      </c>
      <c r="I188" s="1230" t="n"/>
      <c r="J188" s="1230" t="n">
        <v>57200</v>
      </c>
      <c r="K188" s="1230" t="n">
        <v>2023</v>
      </c>
      <c r="L188" s="1231" t="n">
        <v>14.0542</v>
      </c>
      <c r="M188" s="1228" t="n"/>
      <c r="N188" s="1228" t="n"/>
      <c r="O188" s="1231" t="n">
        <v>0.2194</v>
      </c>
      <c r="P188" s="1231" t="n">
        <v>0.9815</v>
      </c>
      <c r="Q188" s="1228" t="n"/>
      <c r="R188" s="1228" t="n"/>
      <c r="S188" s="1228" t="n"/>
      <c r="T188" s="1228" t="n"/>
      <c r="U188" s="1228" t="n"/>
      <c r="V188" s="1228" t="n"/>
      <c r="W188" s="1228" t="n"/>
      <c r="X188" s="1231" t="n">
        <v>0.6945</v>
      </c>
      <c r="Y188" s="1231" t="n">
        <v>0.6945</v>
      </c>
      <c r="Z188" s="1231" t="n">
        <v>0.3918</v>
      </c>
      <c r="AA188" s="1231" t="n">
        <v>0.0257</v>
      </c>
      <c r="AB188" s="1228" t="n"/>
      <c r="AC188" s="1231" t="n">
        <v>0.4175</v>
      </c>
      <c r="AD188" s="1228" t="n"/>
      <c r="AE188" s="1231" t="n">
        <v>0.1169</v>
      </c>
      <c r="AF188" s="1231" t="n">
        <v>0.1169</v>
      </c>
      <c r="AG188" s="1228" t="n"/>
      <c r="AH188" s="1231" t="n">
        <v>2.4266</v>
      </c>
      <c r="AI188" s="1228" t="n"/>
      <c r="AJ188" s="1231" t="n">
        <v>2.4266</v>
      </c>
      <c r="AK188" s="1228" t="n"/>
      <c r="AL188" s="1228" t="n"/>
      <c r="AM188" s="1229" t="inlineStr">
        <is>
          <t>I&amp;E Survey 2023; modified lease; 57,200 SF; total expenses approx (excludes RE taxes not reported)</t>
        </is>
      </c>
    </row>
    <row r="189" ht="14.1" customHeight="1">
      <c r="A189" s="696" t="inlineStr">
        <is>
          <t>P098</t>
        </is>
      </c>
      <c r="B189" s="695" t="n">
        <v>210</v>
      </c>
      <c r="C189" s="696" t="inlineStr">
        <is>
          <t>R0187010</t>
        </is>
      </c>
      <c r="D189" s="1195" t="inlineStr">
        <is>
          <t>8020 Steele St</t>
        </is>
      </c>
      <c r="E189" s="696" t="inlineStr">
        <is>
          <t>Denver</t>
        </is>
      </c>
      <c r="F189" s="696" t="inlineStr">
        <is>
          <t>CO</t>
        </is>
      </c>
      <c r="G189" s="696" t="inlineStr">
        <is>
          <t>Industrial</t>
        </is>
      </c>
      <c r="H189" s="1195"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1195" t="inlineStr">
        <is>
          <t>I&amp;E Survey 2024; modified gross; owner pays ins/R&amp;M/mgmt only; tenant pays utils/trash; 70,000 SF; partial expense data</t>
        </is>
      </c>
    </row>
    <row r="190" ht="14.1" customHeight="1">
      <c r="A190" s="1228" t="inlineStr">
        <is>
          <t>P099</t>
        </is>
      </c>
      <c r="B190" s="695" t="n">
        <v>210</v>
      </c>
      <c r="C190" s="1228" t="inlineStr">
        <is>
          <t>R0111914</t>
        </is>
      </c>
      <c r="D190" s="1229" t="inlineStr">
        <is>
          <t>1963 Jasper St</t>
        </is>
      </c>
      <c r="E190" s="1228" t="inlineStr">
        <is>
          <t>Aurora</t>
        </is>
      </c>
      <c r="F190" s="1228" t="inlineStr">
        <is>
          <t>CO</t>
        </is>
      </c>
      <c r="G190" s="1228" t="inlineStr">
        <is>
          <t>Industrial</t>
        </is>
      </c>
      <c r="H190" s="1229" t="inlineStr">
        <is>
          <t>Multi-Tenant Industrial Gross</t>
        </is>
      </c>
      <c r="I190" s="1230" t="n"/>
      <c r="J190" s="1230" t="n">
        <v>33574</v>
      </c>
      <c r="K190" s="1230" t="n">
        <v>2024</v>
      </c>
      <c r="L190" s="1231" t="n">
        <v>9.829000000000001</v>
      </c>
      <c r="M190" s="1228" t="n"/>
      <c r="N190" s="1231" t="n">
        <v>9.829000000000001</v>
      </c>
      <c r="O190" s="1231" t="n">
        <v>0.2475</v>
      </c>
      <c r="P190" s="1231" t="n">
        <v>0.4915</v>
      </c>
      <c r="Q190" s="1228" t="n"/>
      <c r="R190" s="1228" t="n"/>
      <c r="S190" s="1228" t="n"/>
      <c r="T190" s="1228" t="n"/>
      <c r="U190" s="1228" t="n"/>
      <c r="V190" s="1228" t="n"/>
      <c r="W190" s="1228" t="n"/>
      <c r="X190" s="1231" t="n">
        <v>0.5624</v>
      </c>
      <c r="Y190" s="1231" t="n">
        <v>0.5624</v>
      </c>
      <c r="Z190" s="1231" t="n">
        <v>0.2949</v>
      </c>
      <c r="AA190" s="1231" t="n">
        <v>0.3366</v>
      </c>
      <c r="AB190" s="1228" t="n"/>
      <c r="AC190" s="1231" t="n">
        <v>0.6314</v>
      </c>
      <c r="AD190" s="1228" t="n"/>
      <c r="AE190" s="1231" t="n">
        <v>0.3437</v>
      </c>
      <c r="AF190" s="1231" t="n">
        <v>0.3437</v>
      </c>
      <c r="AG190" s="1228" t="n"/>
      <c r="AH190" s="1231" t="n">
        <v>2.2765</v>
      </c>
      <c r="AI190" s="1228" t="n"/>
      <c r="AJ190" s="1231" t="n">
        <v>2.2765</v>
      </c>
      <c r="AK190" s="1231" t="n">
        <v>7.5525</v>
      </c>
      <c r="AL190" s="1228" t="n"/>
      <c r="AM190" s="1229" t="inlineStr">
        <is>
          <t>I&amp;E Survey 2024; gross lease (tenant pays gas/elec); approx NOI = GRI minus owner expenses; 33,574 SF</t>
        </is>
      </c>
    </row>
    <row r="191" ht="14.1" customHeight="1">
      <c r="A191" s="1234" t="inlineStr">
        <is>
          <t>P100</t>
        </is>
      </c>
      <c r="B191" s="695" t="n">
        <v>1332</v>
      </c>
      <c r="C191" s="1234" t="inlineStr">
        <is>
          <t>R0111965</t>
        </is>
      </c>
      <c r="D191" s="1235" t="inlineStr">
        <is>
          <t>12101 Grant St</t>
        </is>
      </c>
      <c r="E191" s="1234" t="inlineStr">
        <is>
          <t>Thornton</t>
        </is>
      </c>
      <c r="F191" s="1234" t="inlineStr">
        <is>
          <t>CO</t>
        </is>
      </c>
      <c r="G191" s="1234" t="inlineStr">
        <is>
          <t>Hospitality</t>
        </is>
      </c>
      <c r="H191" s="1235" t="inlineStr">
        <is>
          <t>Hotel Limited Service</t>
        </is>
      </c>
      <c r="I191" s="1236" t="n">
        <v>1998</v>
      </c>
      <c r="J191" s="1236" t="n"/>
      <c r="K191" s="1236" t="n">
        <v>2024</v>
      </c>
      <c r="L191" s="1237" t="n">
        <v>3007421</v>
      </c>
      <c r="M191" s="1234" t="n"/>
      <c r="N191" s="1237" t="n">
        <v>3007421</v>
      </c>
      <c r="O191" s="1237" t="n">
        <v>45111</v>
      </c>
      <c r="P191" s="1234" t="n"/>
      <c r="Q191" s="1234" t="n"/>
      <c r="R191" s="1234" t="n"/>
      <c r="S191" s="1234" t="n"/>
      <c r="T191" s="1234" t="n"/>
      <c r="U191" s="1234" t="n"/>
      <c r="V191" s="1234" t="n"/>
      <c r="W191" s="1234" t="n"/>
      <c r="X191" s="1234" t="n"/>
      <c r="Y191" s="1234" t="n"/>
      <c r="Z191" s="1234" t="n"/>
      <c r="AA191" s="1234" t="n"/>
      <c r="AB191" s="1234" t="n"/>
      <c r="AC191" s="1234" t="n"/>
      <c r="AD191" s="1234" t="n"/>
      <c r="AE191" s="1234" t="n"/>
      <c r="AF191" s="1234" t="n"/>
      <c r="AG191" s="1237" t="n">
        <v>1975907</v>
      </c>
      <c r="AH191" s="1237" t="n">
        <v>2143856</v>
      </c>
      <c r="AI191" s="1234" t="n"/>
      <c r="AJ191" s="1237" t="n">
        <v>2143856</v>
      </c>
      <c r="AK191" s="1237" t="n">
        <v>863565</v>
      </c>
      <c r="AL191" s="1234" t="n"/>
      <c r="AM191" s="1235" t="inlineStr">
        <is>
          <t>[NO SF] Appraiser Rushmore income approach (AXG CBOE 2024); 100 rooms; ADR $115; occ 70%; RevPAR $80.50; loaded cap 11.30%; RE prop value ~$7.49M. Total Revenue breakout: Rooms+F&amp;B+Other</t>
        </is>
      </c>
    </row>
    <row r="192" ht="14.1" customHeight="1">
      <c r="A192" s="1234" t="inlineStr">
        <is>
          <t>P101</t>
        </is>
      </c>
      <c r="B192" s="695" t="n">
        <v>332</v>
      </c>
      <c r="C192" s="1234" t="inlineStr">
        <is>
          <t>R0202410</t>
        </is>
      </c>
      <c r="D192" s="1235" t="inlineStr">
        <is>
          <t>2556 Oswego St</t>
        </is>
      </c>
      <c r="E192" s="1234" t="inlineStr">
        <is>
          <t>Aurora</t>
        </is>
      </c>
      <c r="F192" s="1234" t="inlineStr">
        <is>
          <t>CO</t>
        </is>
      </c>
      <c r="G192" s="1234" t="inlineStr">
        <is>
          <t>Hospitality</t>
        </is>
      </c>
      <c r="H192" s="1235" t="inlineStr">
        <is>
          <t>Hotel Full Service</t>
        </is>
      </c>
      <c r="I192" s="1236" t="n">
        <v>2023</v>
      </c>
      <c r="J192" s="1236" t="n"/>
      <c r="K192" s="1236" t="n">
        <v>2024</v>
      </c>
      <c r="L192" s="1237" t="n">
        <v>11899487</v>
      </c>
      <c r="M192" s="1234" t="n"/>
      <c r="N192" s="1237" t="n">
        <v>11899487</v>
      </c>
      <c r="O192" s="1237" t="n">
        <v>154693</v>
      </c>
      <c r="P192" s="1234" t="n"/>
      <c r="Q192" s="1234" t="n"/>
      <c r="R192" s="1234" t="n"/>
      <c r="S192" s="1234" t="n"/>
      <c r="T192" s="1234" t="n"/>
      <c r="U192" s="1234" t="n"/>
      <c r="V192" s="1234" t="n"/>
      <c r="W192" s="1234" t="n"/>
      <c r="X192" s="1234" t="n"/>
      <c r="Y192" s="1234" t="n"/>
      <c r="Z192" s="1234" t="n"/>
      <c r="AA192" s="1234" t="n"/>
      <c r="AB192" s="1234" t="n"/>
      <c r="AC192" s="1234" t="n"/>
      <c r="AD192" s="1234" t="n"/>
      <c r="AE192" s="1234" t="n"/>
      <c r="AF192" s="1234" t="n"/>
      <c r="AG192" s="1237" t="n">
        <v>8760469</v>
      </c>
      <c r="AH192" s="1237" t="n">
        <v>8915468</v>
      </c>
      <c r="AI192" s="1234" t="n"/>
      <c r="AJ192" s="1237" t="n">
        <v>9391447</v>
      </c>
      <c r="AK192" s="1237" t="n">
        <v>2984019</v>
      </c>
      <c r="AL192" s="1237" t="n">
        <v>475979</v>
      </c>
      <c r="AM192" s="1235" t="inlineStr">
        <is>
          <t>[NO SF] Appraiser Rushmore income approach (AXG CBOE 2024); 227 rooms; built 2023; ADR $140; occ 70%; RevPAR $98; loaded cap 12.45%; RE value ~$23.47M (less FF&amp;E)</t>
        </is>
      </c>
    </row>
    <row r="193" ht="14.1" customHeight="1">
      <c r="A193" s="1234" t="inlineStr">
        <is>
          <t>P102</t>
        </is>
      </c>
      <c r="B193" s="695" t="n">
        <v>332</v>
      </c>
      <c r="C193" s="1234" t="inlineStr">
        <is>
          <t>R0024498</t>
        </is>
      </c>
      <c r="D193" s="1235" t="inlineStr">
        <is>
          <t>83 E 120th Ave</t>
        </is>
      </c>
      <c r="E193" s="1234" t="inlineStr">
        <is>
          <t>Thornton</t>
        </is>
      </c>
      <c r="F193" s="1234" t="inlineStr">
        <is>
          <t>CO</t>
        </is>
      </c>
      <c r="G193" s="1234" t="inlineStr">
        <is>
          <t>Hospitality</t>
        </is>
      </c>
      <c r="H193" s="1235" t="inlineStr">
        <is>
          <t>Hotel Full Service</t>
        </is>
      </c>
      <c r="I193" s="1236" t="n">
        <v>1984</v>
      </c>
      <c r="J193" s="1236" t="n">
        <v>114796</v>
      </c>
      <c r="K193" s="1236" t="n">
        <v>2024</v>
      </c>
      <c r="L193" s="1238" t="n">
        <v>66.4378</v>
      </c>
      <c r="M193" s="1234" t="n"/>
      <c r="N193" s="1238" t="n">
        <v>66.4378</v>
      </c>
      <c r="O193" s="1238" t="n">
        <v>0.8637</v>
      </c>
      <c r="P193" s="1234" t="n"/>
      <c r="Q193" s="1234" t="n"/>
      <c r="R193" s="1234" t="n"/>
      <c r="S193" s="1234" t="n"/>
      <c r="T193" s="1234" t="n"/>
      <c r="U193" s="1234" t="n"/>
      <c r="V193" s="1234" t="n"/>
      <c r="W193" s="1234" t="n"/>
      <c r="X193" s="1234" t="n"/>
      <c r="Y193" s="1234" t="n"/>
      <c r="Z193" s="1234" t="n"/>
      <c r="AA193" s="1234" t="n"/>
      <c r="AB193" s="1234" t="n"/>
      <c r="AC193" s="1234" t="n"/>
      <c r="AD193" s="1234" t="n"/>
      <c r="AE193" s="1234" t="n"/>
      <c r="AF193" s="1234" t="n"/>
      <c r="AG193" s="1238" t="n">
        <v>48.7513</v>
      </c>
      <c r="AH193" s="1238" t="n">
        <v>51.4075</v>
      </c>
      <c r="AI193" s="1234" t="n"/>
      <c r="AJ193" s="1238" t="n">
        <v>54.0651</v>
      </c>
      <c r="AK193" s="1238" t="n">
        <v>15.0303</v>
      </c>
      <c r="AL193" s="1238" t="n">
        <v>2.6575</v>
      </c>
      <c r="AM193" s="1235" t="inlineStr">
        <is>
          <t>Appraiser Rushmore income approach (AXG CBOE 2024); 137 rooms; 114,796 SF; 2 bldgs; 1984 YOC; ADR $142; occ 70%; loaded cap 10.56%; RE value $15.78M (less FF&amp;E); STR data: occ ~73%, ADR ~$147-161</t>
        </is>
      </c>
    </row>
    <row r="194" ht="14.1" customHeight="1">
      <c r="A194" s="1228" t="inlineStr">
        <is>
          <t>P103</t>
        </is>
      </c>
      <c r="B194" s="695" t="n">
        <v>407</v>
      </c>
      <c r="C194" s="1228" t="inlineStr">
        <is>
          <t>R0075212</t>
        </is>
      </c>
      <c r="D194" s="1229" t="inlineStr">
        <is>
          <t>10500 Havana Ct</t>
        </is>
      </c>
      <c r="E194" s="1228" t="inlineStr">
        <is>
          <t>Commerce City</t>
        </is>
      </c>
      <c r="F194" s="1228" t="inlineStr">
        <is>
          <t>CO</t>
        </is>
      </c>
      <c r="G194" s="1228" t="inlineStr">
        <is>
          <t>Industrial</t>
        </is>
      </c>
      <c r="H194" s="1229" t="inlineStr">
        <is>
          <t>Industrial NNN</t>
        </is>
      </c>
      <c r="I194" s="1230" t="n"/>
      <c r="J194" s="1230" t="n">
        <v>30000</v>
      </c>
      <c r="K194" s="1230" t="n">
        <v>2024</v>
      </c>
      <c r="L194" s="1231" t="n">
        <v>8.4</v>
      </c>
      <c r="M194" s="1228" t="n"/>
      <c r="N194" s="1228" t="n"/>
      <c r="O194" s="1231" t="n">
        <v>0.7568</v>
      </c>
      <c r="P194" s="1231" t="n">
        <v>0.3167</v>
      </c>
      <c r="Q194" s="1228" t="n"/>
      <c r="R194" s="1228" t="n"/>
      <c r="S194" s="1228" t="n"/>
      <c r="T194" s="1228" t="n"/>
      <c r="U194" s="1228" t="n"/>
      <c r="V194" s="1228" t="n"/>
      <c r="W194" s="1228" t="n"/>
      <c r="X194" s="1231" t="n">
        <v>0.3647</v>
      </c>
      <c r="Y194" s="1231" t="n">
        <v>0.3647</v>
      </c>
      <c r="Z194" s="1231" t="n">
        <v>0.1164</v>
      </c>
      <c r="AA194" s="1231" t="n">
        <v>0.2303</v>
      </c>
      <c r="AB194" s="1228" t="n"/>
      <c r="AC194" s="1231" t="n">
        <v>0.3468</v>
      </c>
      <c r="AD194" s="1228" t="n"/>
      <c r="AE194" s="1231" t="n">
        <v>0.06519999999999999</v>
      </c>
      <c r="AF194" s="1231" t="n">
        <v>0.06519999999999999</v>
      </c>
      <c r="AG194" s="1228" t="n"/>
      <c r="AH194" s="1231" t="n">
        <v>1.8501</v>
      </c>
      <c r="AI194" s="1228" t="n"/>
      <c r="AJ194" s="1231" t="n">
        <v>1.8501</v>
      </c>
      <c r="AK194" s="1228" t="n"/>
      <c r="AL194" s="1228" t="n"/>
      <c r="AM194" s="1229" t="inlineStr">
        <is>
          <t>I&amp;E Survey 2024; NNN lease; owner-reported; 30,000 SF; no NOI computed (no EGI reported)</t>
        </is>
      </c>
    </row>
    <row r="195" ht="14.1" customHeight="1">
      <c r="A195" s="696" t="inlineStr">
        <is>
          <t>P089</t>
        </is>
      </c>
      <c r="B195" s="695" t="n">
        <v>407</v>
      </c>
      <c r="C195" s="696" t="inlineStr">
        <is>
          <t>R0180951</t>
        </is>
      </c>
      <c r="D195" s="1195" t="inlineStr">
        <is>
          <t>21200 E 36th Dr</t>
        </is>
      </c>
      <c r="E195" s="696" t="inlineStr">
        <is>
          <t>Aurora</t>
        </is>
      </c>
      <c r="F195" s="696" t="inlineStr">
        <is>
          <t>CO</t>
        </is>
      </c>
      <c r="G195" s="696" t="inlineStr">
        <is>
          <t>Industrial</t>
        </is>
      </c>
      <c r="H195" s="1195"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1195" t="inlineStr">
        <is>
          <t>MT.xlsx 2024 survey — DETAIL UPDATE for R0180951; R&amp;M $38,871/Grd Maint $11,809/Snow-Trash $13,785 additional breakdown (matches WH Expenses totals)</t>
        </is>
      </c>
    </row>
    <row r="196" ht="14.1" customHeight="1">
      <c r="A196" s="1228" t="inlineStr">
        <is>
          <t>P104</t>
        </is>
      </c>
      <c r="B196" s="695" t="n">
        <v>210</v>
      </c>
      <c r="C196" s="1228" t="inlineStr">
        <is>
          <t>R0226379</t>
        </is>
      </c>
      <c r="D196" s="1229" t="inlineStr">
        <is>
          <t>26100 E 68th Ave</t>
        </is>
      </c>
      <c r="E196" s="1228" t="inlineStr">
        <is>
          <t>Aurora</t>
        </is>
      </c>
      <c r="F196" s="1228" t="inlineStr">
        <is>
          <t>CO</t>
        </is>
      </c>
      <c r="G196" s="1228" t="inlineStr">
        <is>
          <t>Industrial</t>
        </is>
      </c>
      <c r="H196" s="1229" t="inlineStr">
        <is>
          <t>Industrial Multi-Tenant</t>
        </is>
      </c>
      <c r="I196" s="1230" t="n"/>
      <c r="J196" s="1230" t="n">
        <v>187720</v>
      </c>
      <c r="K196" s="1230" t="n">
        <v>2024</v>
      </c>
      <c r="L196" s="1231" t="n">
        <v>7.35</v>
      </c>
      <c r="M196" s="1231" t="n">
        <v>6.1013</v>
      </c>
      <c r="N196" s="1231" t="n">
        <v>13.4512</v>
      </c>
      <c r="O196" s="1231" t="n">
        <v>0.9408</v>
      </c>
      <c r="P196" s="1231" t="n">
        <v>0.6045</v>
      </c>
      <c r="Q196" s="1228" t="n"/>
      <c r="R196" s="1228" t="n"/>
      <c r="S196" s="1231" t="n">
        <v>0.091</v>
      </c>
      <c r="T196" s="1231" t="n">
        <v>0.0133</v>
      </c>
      <c r="U196" s="1228" t="n"/>
      <c r="V196" s="1231" t="n">
        <v>0.0316</v>
      </c>
      <c r="W196" s="1231" t="n">
        <v>0.073</v>
      </c>
      <c r="X196" s="1231" t="n">
        <v>0.08649999999999999</v>
      </c>
      <c r="Y196" s="1231" t="n">
        <v>0.2954</v>
      </c>
      <c r="Z196" s="1228" t="n"/>
      <c r="AA196" s="1231" t="n">
        <v>0.0495</v>
      </c>
      <c r="AB196" s="1231" t="n">
        <v>0.1714</v>
      </c>
      <c r="AC196" s="1231" t="n">
        <v>0.3656</v>
      </c>
      <c r="AD196" s="1231" t="n">
        <v>0.1559</v>
      </c>
      <c r="AE196" s="1231" t="n">
        <v>0.0609</v>
      </c>
      <c r="AF196" s="1231" t="n">
        <v>0.2168</v>
      </c>
      <c r="AG196" s="1231" t="n">
        <v>0.0238</v>
      </c>
      <c r="AH196" s="1231" t="n">
        <v>3.1568</v>
      </c>
      <c r="AI196" s="1231" t="n">
        <v>3.6317</v>
      </c>
      <c r="AJ196" s="1231" t="n">
        <v>6.7886</v>
      </c>
      <c r="AK196" s="1231" t="n">
        <v>6.6627</v>
      </c>
      <c r="AL196" s="1228" t="n"/>
      <c r="AM196" s="1229"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1195" t="inlineStr">
        <is>
          <t>26100 E 68th Ave</t>
        </is>
      </c>
      <c r="E197" s="696" t="inlineStr">
        <is>
          <t>Aurora</t>
        </is>
      </c>
      <c r="F197" s="696" t="inlineStr">
        <is>
          <t>CO</t>
        </is>
      </c>
      <c r="G197" s="696" t="inlineStr">
        <is>
          <t>Industrial</t>
        </is>
      </c>
      <c r="H197" s="1195"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1195"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2026-07-13T23:21:42Z</dcterms:modified>
  <cp:lastModifiedBy>Armon Goldanloo</cp:lastModifiedBy>
  <cp:lastPrinted>2021-04-29T19:41:45Z</cp:lastPrinted>
</cp:coreProperties>
</file>