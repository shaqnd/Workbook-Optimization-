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Quick Matrix" sheetId="17" state="visible" r:id="rId17"/>
    <sheet name="Countywide Core" sheetId="18" state="visible" r:id="rId18"/>
    <sheet name="Municipal Directory" sheetId="19" state="visible" r:id="rId19"/>
    <sheet name="Meetings &amp; News" sheetId="20" state="visible" r:id="rId20"/>
    <sheet name="State &amp; Regional" sheetId="21" state="visible" r:id="rId21"/>
    <sheet name="Due Diligence" sheetId="22" state="visible" r:id="rId22"/>
    <sheet name="Property Registry" sheetId="23" state="visible" r:id="rId23"/>
    <sheet name="Expense Database" sheetId="24" state="visible" r:id="rId24"/>
    <sheet name="PSF Summary" sheetId="25" state="visible" r:id="rId25"/>
  </sheets>
  <externalReferences>
    <externalReference r:id="rId26"/>
    <externalReference r:id="rId27"/>
    <externalReference r:id="rId28"/>
    <externalReference r:id="rId29"/>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33">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s>
  <fills count="45">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250">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externalLink" Target="/xl/externalLinks/externalLink1.xml" Id="rId26" /><Relationship Type="http://schemas.openxmlformats.org/officeDocument/2006/relationships/externalLink" Target="/xl/externalLinks/externalLink2.xml" Id="rId27" /><Relationship Type="http://schemas.openxmlformats.org/officeDocument/2006/relationships/externalLink" Target="/xl/externalLinks/externalLink3.xml" Id="rId28" /><Relationship Type="http://schemas.openxmlformats.org/officeDocument/2006/relationships/externalLink" Target="/xl/externalLinks/externalLink4.xml" Id="rId29" /><Relationship Type="http://schemas.openxmlformats.org/officeDocument/2006/relationships/styles" Target="styles.xml" Id="rId30" /><Relationship Type="http://schemas.openxmlformats.org/officeDocument/2006/relationships/theme" Target="theme/theme1.xml" Id="rId31" /><Relationship Type="http://schemas.microsoft.com/office/2006/relationships/vbaProject" Target="vbaProject.bin" Id="rId32"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7.xml.rels><Relationships xmlns="http://schemas.openxmlformats.org/package/2006/relationships"><Relationship Type="http://schemas.openxmlformats.org/officeDocument/2006/relationships/hyperlink" Target="https://adamscountyco.gov/" TargetMode="External" Id="rId1" /><Relationship Type="http://schemas.openxmlformats.org/officeDocument/2006/relationships/hyperlink" Target="https://adamscountyco.gov/service/gis-interactive-maps/" TargetMode="External" Id="rId2" /><Relationship Type="http://schemas.openxmlformats.org/officeDocument/2006/relationships/hyperlink" Target="https://adamscountyco.gov/our-county/community-economic-development/planning-development/development-standards-regulations/" TargetMode="External" Id="rId3" /><Relationship Type="http://schemas.openxmlformats.org/officeDocument/2006/relationships/hyperlink" Target="https://adamscountyco.gov/our-county/community-economic-development/planning-development/" TargetMode="External" Id="rId4" /><Relationship Type="http://schemas.openxmlformats.org/officeDocument/2006/relationships/hyperlink" Target="https://adamscountyco.gov/our-county/community-economic-development/planning-development/current-land-use-cases/" TargetMode="External" Id="rId5" /><Relationship Type="http://schemas.openxmlformats.org/officeDocument/2006/relationships/hyperlink" Target="https://adamscountyco.gov/our-county/community-economic-development/building-safety/building-permit/" TargetMode="External" Id="rId6" /><Relationship Type="http://schemas.openxmlformats.org/officeDocument/2006/relationships/hyperlink" Target="https://adamscountyco.gov/our-county/community-economic-development/advancing-adams/comprehensive-plan/" TargetMode="External" Id="rId7" /><Relationship Type="http://schemas.openxmlformats.org/officeDocument/2006/relationships/hyperlink" Target="https://adamscountyco.gov/about-adams-county/public-meetings/" TargetMode="External" Id="rId8" /><Relationship Type="http://schemas.openxmlformats.org/officeDocument/2006/relationships/hyperlink" Target="https://www.arvadaco.gov/" TargetMode="External" Id="rId9" /><Relationship Type="http://schemas.openxmlformats.org/officeDocument/2006/relationships/hyperlink" Target="https://www.arvadaco.gov/702/Maps-and-Property-Search" TargetMode="External" Id="rId10" /><Relationship Type="http://schemas.openxmlformats.org/officeDocument/2006/relationships/hyperlink" Target="https://www.arvadaco.gov/168/Zoning" TargetMode="External" Id="rId11" /><Relationship Type="http://schemas.openxmlformats.org/officeDocument/2006/relationships/hyperlink" Target="https://www.arvadaco.gov/1369/Planning-and-Development" TargetMode="External" Id="rId12" /><Relationship Type="http://schemas.openxmlformats.org/officeDocument/2006/relationships/hyperlink" Target="https://www.arvadaco.gov/1394/Active-Development-Projects" TargetMode="External" Id="rId13" /><Relationship Type="http://schemas.openxmlformats.org/officeDocument/2006/relationships/hyperlink" Target="https://www.arvadaco.gov/330/Permits" TargetMode="External" Id="rId14" /><Relationship Type="http://schemas.openxmlformats.org/officeDocument/2006/relationships/hyperlink" Target="https://www.arvadaco.gov/1374/2026-27-Comprehensive-Pla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uroragov.org/" TargetMode="External" Id="rId17" /><Relationship Type="http://schemas.openxmlformats.org/officeDocument/2006/relationships/hyperlink" Target="https://www.auroragov.org/city_hall/maps/planning_and_zoning_maps" TargetMode="External" Id="rId18" /><Relationship Type="http://schemas.openxmlformats.org/officeDocument/2006/relationships/hyperlink" Target="https://zoning.auroragov.org/" TargetMode="External" Id="rId19" /><Relationship Type="http://schemas.openxmlformats.org/officeDocument/2006/relationships/hyperlink" Target="https://www.auroragov.org/business_services/planning" TargetMode="External" Id="rId20" /><Relationship Type="http://schemas.openxmlformats.org/officeDocument/2006/relationships/hyperlink" Target="https://coaapps.auroragov.org/ProjectStatus/search.aspx" TargetMode="External" Id="rId21" /><Relationship Type="http://schemas.openxmlformats.org/officeDocument/2006/relationships/hyperlink" Target="https://www.auroragov.org/business_services/building_division/permits" TargetMode="External" Id="rId22" /><Relationship Type="http://schemas.openxmlformats.org/officeDocument/2006/relationships/hyperlink" Target="https://www.auroragov.org/business_services/planning/projects__plans___studies/comprehensive_plan" TargetMode="External" Id="rId23" /><Relationship Type="http://schemas.openxmlformats.org/officeDocument/2006/relationships/hyperlink" Target="https://www.auroragov.org/city_hall/mayor___city_council/council_meetings" TargetMode="External" Id="rId24" /><Relationship Type="http://schemas.openxmlformats.org/officeDocument/2006/relationships/hyperlink" Target="https://www.bennettco.gov/" TargetMode="External" Id="rId25" /><Relationship Type="http://schemas.openxmlformats.org/officeDocument/2006/relationships/hyperlink" Target="https://www.bennettco.gov/business/page/bennett-zoning-map" TargetMode="External" Id="rId26" /><Relationship Type="http://schemas.openxmlformats.org/officeDocument/2006/relationships/hyperlink" Target="https://www.bennettco.gov/planning-economic-development/page/zoning-and-subdivision-regulations" TargetMode="External" Id="rId27" /><Relationship Type="http://schemas.openxmlformats.org/officeDocument/2006/relationships/hyperlink" Target="https://www.bennettco.gov/planning-economic-development/page/planning-and-zoning" TargetMode="External" Id="rId28" /><Relationship Type="http://schemas.openxmlformats.org/officeDocument/2006/relationships/hyperlink" Target="https://www.bennettco.gov/projects" TargetMode="External" Id="rId29" /><Relationship Type="http://schemas.openxmlformats.org/officeDocument/2006/relationships/hyperlink" Target="https://www.bennettco.gov/community-development/page/building-department" TargetMode="External" Id="rId30" /><Relationship Type="http://schemas.openxmlformats.org/officeDocument/2006/relationships/hyperlink" Target="https://www.bennettco.gov/planning-economic-development/page/master-plans-and-guiding-documents" TargetMode="External" Id="rId31" /><Relationship Type="http://schemas.openxmlformats.org/officeDocument/2006/relationships/hyperlink" Target="https://www.bennettco.gov/meetings/recent" TargetMode="External" Id="rId32" /><Relationship Type="http://schemas.openxmlformats.org/officeDocument/2006/relationships/hyperlink" Target="https://www.brightonco.gov/" TargetMode="External" Id="rId33" /><Relationship Type="http://schemas.openxmlformats.org/officeDocument/2006/relationships/hyperlink" Target="https://www.brightonco.gov/248/Geographic-Information-Systems" TargetMode="External" Id="rId34" /><Relationship Type="http://schemas.openxmlformats.org/officeDocument/2006/relationships/hyperlink" Target="https://www.brightonco.gov/363/Land-Use-Development-Code" TargetMode="External" Id="rId35" /><Relationship Type="http://schemas.openxmlformats.org/officeDocument/2006/relationships/hyperlink" Target="https://www.brightonco.gov/224/Planning-Zoning" TargetMode="External" Id="rId36" /><Relationship Type="http://schemas.openxmlformats.org/officeDocument/2006/relationships/hyperlink" Target="https://www.brightonco.gov/1596/Interactive-Development-Map" TargetMode="External" Id="rId37" /><Relationship Type="http://schemas.openxmlformats.org/officeDocument/2006/relationships/hyperlink" Target="https://www.brightonco.gov/222/Permitting" TargetMode="External" Id="rId38" /><Relationship Type="http://schemas.openxmlformats.org/officeDocument/2006/relationships/hyperlink" Target="https://www.brightonco.gov/553/Long-Range-Planning" TargetMode="External" Id="rId39" /><Relationship Type="http://schemas.openxmlformats.org/officeDocument/2006/relationships/hyperlink" Target="https://www.brightonco.gov/agendacenter" TargetMode="External" Id="rId40" /><Relationship Type="http://schemas.openxmlformats.org/officeDocument/2006/relationships/hyperlink" Target="https://www.c3gov.com/Home" TargetMode="External" Id="rId41" /><Relationship Type="http://schemas.openxmlformats.org/officeDocument/2006/relationships/hyperlink" Target="https://www.c3gov.com/Residents/Maps-Data-GIS" TargetMode="External" Id="rId42" /><Relationship Type="http://schemas.openxmlformats.org/officeDocument/2006/relationships/hyperlink" Target="https://www.c3gov.com/Government/City-Codes/Land-Development-Code" TargetMode="External" Id="rId43" /><Relationship Type="http://schemas.openxmlformats.org/officeDocument/2006/relationships/hyperlink" Target="https://www.c3gov.com/Government/Departments-Divisions/Community-Development" TargetMode="External" Id="rId44" /><Relationship Type="http://schemas.openxmlformats.org/officeDocument/2006/relationships/hyperlink" Target="https://www.c3gov.com/Business-Development/Development-Projects-Map" TargetMode="External" Id="rId45" /><Relationship Type="http://schemas.openxmlformats.org/officeDocument/2006/relationships/hyperlink" Target="https://www.c3gov.com/Business-Development/Building-Permits-Inspections" TargetMode="External" Id="rId46" /><Relationship Type="http://schemas.openxmlformats.org/officeDocument/2006/relationships/hyperlink" Target="https://www.c3gov.com/Government/City-Charter-Master-Plans/Comprehensive-Plan" TargetMode="External" Id="rId47" /><Relationship Type="http://schemas.openxmlformats.org/officeDocument/2006/relationships/hyperlink" Target="https://www.c3gov.com/Site-Footer/Footer-Widgets/Quick-Links/Meeting-Agendas-and-Schedules" TargetMode="External" Id="rId48" /><Relationship Type="http://schemas.openxmlformats.org/officeDocument/2006/relationships/hyperlink" Target="https://www.fedheights.org/" TargetMode="External" Id="rId49" /><Relationship Type="http://schemas.openxmlformats.org/officeDocument/2006/relationships/hyperlink" Target="https://www.fedheights.org/index.asp?SEC=D1A883BE-0C29-4602-8CC9-5D6A08DA5503" TargetMode="External" Id="rId50" /><Relationship Type="http://schemas.openxmlformats.org/officeDocument/2006/relationships/hyperlink" Target="https://www.fedheights.org/index.asp?SEC=D7AA9940-8607-468A-8215-7308DD3BF799" TargetMode="External" Id="rId51" /><Relationship Type="http://schemas.openxmlformats.org/officeDocument/2006/relationships/hyperlink" Target="https://www.fedheights.org/planning" TargetMode="External" Id="rId52" /><Relationship Type="http://schemas.openxmlformats.org/officeDocument/2006/relationships/hyperlink" Target="https://www.fedheights.org/index.asp?SEC=%7B76F23E1D-0819-4BAB-BD73-23D6092E8A3B%7D&amp;persistdesign=none" TargetMode="External" Id="rId53" /><Relationship Type="http://schemas.openxmlformats.org/officeDocument/2006/relationships/hyperlink" Target="https://www.fedheights.org/index.asp?SEC=D1CB6EB6-9C4B-4FA8-B119-EF1785E54CB6" TargetMode="External" Id="rId54" /><Relationship Type="http://schemas.openxmlformats.org/officeDocument/2006/relationships/hyperlink" Target="https://www.fedheights.org/index.asp?SEC=%7B5CF1D2C4-3E29-4A1A-BBFA-2BE19B3ABFD0%7D" TargetMode="External" Id="rId55" /><Relationship Type="http://schemas.openxmlformats.org/officeDocument/2006/relationships/hyperlink" Target="https://www.fedheights.org/index.asp?SEC=%7BE66D34DF-8290-4807-83DA-3AF56D110C00%7D" TargetMode="External" Id="rId56" /><Relationship Type="http://schemas.openxmlformats.org/officeDocument/2006/relationships/hyperlink" Target="https://www.lochbuie.org/" TargetMode="External" Id="rId57" /><Relationship Type="http://schemas.openxmlformats.org/officeDocument/2006/relationships/hyperlink" Target="https://www.lochbuie.org/community-dev/page/interactive-land-use-map" TargetMode="External" Id="rId58" /><Relationship Type="http://schemas.openxmlformats.org/officeDocument/2006/relationships/hyperlink" Target="https://www.lochbuie.org/administration/page/zoning-map" TargetMode="External" Id="rId59" /><Relationship Type="http://schemas.openxmlformats.org/officeDocument/2006/relationships/hyperlink" Target="https://www.lochbuie.org/community-dev/page/current-planning" TargetMode="External" Id="rId60" /><Relationship Type="http://schemas.openxmlformats.org/officeDocument/2006/relationships/hyperlink" Target="https://www.lochbuie.org/projects" TargetMode="External" Id="rId61" /><Relationship Type="http://schemas.openxmlformats.org/officeDocument/2006/relationships/hyperlink" Target="https://www.lochbuie.org/community-dev/page/building-permits-and-inspections" TargetMode="External" Id="rId62" /><Relationship Type="http://schemas.openxmlformats.org/officeDocument/2006/relationships/hyperlink" Target="https://www.lochbuie.org/community-dev/page/documents" TargetMode="External" Id="rId63" /><Relationship Type="http://schemas.openxmlformats.org/officeDocument/2006/relationships/hyperlink" Target="https://www.lochbuie.org/meetings" TargetMode="External" Id="rId64" /><Relationship Type="http://schemas.openxmlformats.org/officeDocument/2006/relationships/hyperlink" Target="https://www.northglenn.org/" TargetMode="External" Id="rId65" /><Relationship Type="http://schemas.openxmlformats.org/officeDocument/2006/relationships/hyperlink" Target="https://biz.northglenn.org/quickzone" TargetMode="External" Id="rId66" /><Relationship Type="http://schemas.openxmlformats.org/officeDocument/2006/relationships/hyperlink" Target="https://www.northglenn.org/government/land_use_zoning/new_code_northglenn.php" TargetMode="External" Id="rId67" /><Relationship Type="http://schemas.openxmlformats.org/officeDocument/2006/relationships/hyperlink" Target="https://www.northglenn.org/government/departments/planning_development/index.php" TargetMode="External" Id="rId68" /><Relationship Type="http://schemas.openxmlformats.org/officeDocument/2006/relationships/hyperlink" Target="https://www.northglenn.org/government/project_updates/" TargetMode="External" Id="rId69" /><Relationship Type="http://schemas.openxmlformats.org/officeDocument/2006/relationships/hyperlink" Target="https://www.northglenn.org/government/departments/building/pull_a_permit.php" TargetMode="External" Id="rId70" /><Relationship Type="http://schemas.openxmlformats.org/officeDocument/2006/relationships/hyperlink" Target="https://www.northglenn.org/government/land_use_zoning/comprehensive_plan.php" TargetMode="External" Id="rId71" /><Relationship Type="http://schemas.openxmlformats.org/officeDocument/2006/relationships/hyperlink" Target="https://webdocs.northglenn.org/" TargetMode="External" Id="rId72" /><Relationship Type="http://schemas.openxmlformats.org/officeDocument/2006/relationships/hyperlink" Target="https://www.thorntonco.gov/" TargetMode="External" Id="rId73" /><Relationship Type="http://schemas.openxmlformats.org/officeDocument/2006/relationships/hyperlink" Target="https://cityofthornton.maps.arcgis.com/apps/webappviewer/index.html?id=643abe02e8b8446586b6eb6d8ed43f84" TargetMode="External" Id="rId74" /><Relationship Type="http://schemas.openxmlformats.org/officeDocument/2006/relationships/hyperlink" Target="https://www.thorntonco.gov/business-development/city-development/current-planning-zoning/zoning-districts-uses-and-regulations" TargetMode="External" Id="rId75" /><Relationship Type="http://schemas.openxmlformats.org/officeDocument/2006/relationships/hyperlink" Target="https://www.thorntonco.gov/business-development/city-development" TargetMode="External" Id="rId76" /><Relationship Type="http://schemas.openxmlformats.org/officeDocument/2006/relationships/hyperlink" Target="https://www.thorntonco.gov/business-development/active-development" TargetMode="External" Id="rId77" /><Relationship Type="http://schemas.openxmlformats.org/officeDocument/2006/relationships/hyperlink" Target="https://www.thorntonco.gov/business-development/city-development/building-permits-inspections" TargetMode="External" Id="rId78" /><Relationship Type="http://schemas.openxmlformats.org/officeDocument/2006/relationships/hyperlink" Target="https://www.thorntonco.gov/business-development/city-development/long-range-planning/plans/thornton-comprehensive-plan" TargetMode="External" Id="rId79" /><Relationship Type="http://schemas.openxmlformats.org/officeDocument/2006/relationships/hyperlink" Target="https://www.thorntonco.gov/government/mayor-council/upcoming-meetings" TargetMode="External" Id="rId80" /><Relationship Type="http://schemas.openxmlformats.org/officeDocument/2006/relationships/hyperlink" Target="https://www.westminsterco.gov/" TargetMode="External" Id="rId81" /><Relationship Type="http://schemas.openxmlformats.org/officeDocument/2006/relationships/hyperlink" Target="https://www.westminsterco.gov/471/Maps" TargetMode="External" Id="rId82" /><Relationship Type="http://schemas.openxmlformats.org/officeDocument/2006/relationships/hyperlink" Target="https://www.westminsterco.gov/727/Zoning" TargetMode="External" Id="rId83" /><Relationship Type="http://schemas.openxmlformats.org/officeDocument/2006/relationships/hyperlink" Target="https://www.westminsterco.gov/707/Planning" TargetMode="External" Id="rId84" /><Relationship Type="http://schemas.openxmlformats.org/officeDocument/2006/relationships/hyperlink" Target="https://www.westminsterco.gov/855/Current-Development-Project-Map" TargetMode="External" Id="rId85" /><Relationship Type="http://schemas.openxmlformats.org/officeDocument/2006/relationships/hyperlink" Target="https://www.westminsterco.gov/617/Apply-for-a-Permit-Project" TargetMode="External" Id="rId86" /><Relationship Type="http://schemas.openxmlformats.org/officeDocument/2006/relationships/hyperlink" Target="https://www.westminsterco.gov/DocumentCenter/View/5605/Comprehensive-Plan_November2025-LR" TargetMode="External" Id="rId87" /><Relationship Type="http://schemas.openxmlformats.org/officeDocument/2006/relationships/hyperlink" Target="https://www.westminsterco.gov/AgendaCenter" TargetMode="External" Id="rId88" /></Relationships>
</file>

<file path=xl/worksheets/_rels/sheet18.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s>
</file>

<file path=xl/worksheets/_rels/sheet19.xml.rels><Relationships xmlns="http://schemas.openxmlformats.org/package/2006/relationships"><Relationship Type="http://schemas.openxmlformats.org/officeDocument/2006/relationships/hyperlink" Target="https://www.arvadaco.gov/" TargetMode="External" Id="rId1" /><Relationship Type="http://schemas.openxmlformats.org/officeDocument/2006/relationships/hyperlink" Target="https://www.arvadaco.gov/702/Maps-and-Property-Search" TargetMode="External" Id="rId2" /><Relationship Type="http://schemas.openxmlformats.org/officeDocument/2006/relationships/hyperlink" Target="https://www.arvadaco.gov/168/Zoning" TargetMode="External" Id="rId3" /><Relationship Type="http://schemas.openxmlformats.org/officeDocument/2006/relationships/hyperlink" Target="https://www.arvadaco.gov/1369/Planning-and-Development" TargetMode="External" Id="rId4" /><Relationship Type="http://schemas.openxmlformats.org/officeDocument/2006/relationships/hyperlink" Target="https://www.arvadaco.gov/1397/Land-Development-Code" TargetMode="External" Id="rId5" /><Relationship Type="http://schemas.openxmlformats.org/officeDocument/2006/relationships/hyperlink" Target="https://www.arvadaco.gov/1394/Active-Development-Projects" TargetMode="External" Id="rId6" /><Relationship Type="http://schemas.openxmlformats.org/officeDocument/2006/relationships/hyperlink" Target="https://www.arvadaco.gov/1393/Development-Review-Process" TargetMode="External" Id="rId7" /><Relationship Type="http://schemas.openxmlformats.org/officeDocument/2006/relationships/hyperlink" Target="https://www.arvadaco.gov/363/Documents-and-Downloads" TargetMode="External" Id="rId8" /><Relationship Type="http://schemas.openxmlformats.org/officeDocument/2006/relationships/hyperlink" Target="https://www.arvadaco.gov/330/Permits" TargetMode="External" Id="rId9" /><Relationship Type="http://schemas.openxmlformats.org/officeDocument/2006/relationships/hyperlink" Target="https://www.arvadaco.gov/332/Building-Permits" TargetMode="External" Id="rId10" /><Relationship Type="http://schemas.openxmlformats.org/officeDocument/2006/relationships/hyperlink" Target="https://www.arvadaco.gov/593/eTRAKiT-Help/permithelp" TargetMode="External" Id="rId11" /><Relationship Type="http://schemas.openxmlformats.org/officeDocument/2006/relationships/hyperlink" Target="https://www.arvadaco.gov/627/Researching-Permits" TargetMode="External" Id="rId12" /><Relationship Type="http://schemas.openxmlformats.org/officeDocument/2006/relationships/hyperlink" Target="https://www.arvadaco.gov/1374/2026-27-Comprehensive-Plan" TargetMode="External" Id="rId13" /><Relationship Type="http://schemas.openxmlformats.org/officeDocument/2006/relationships/hyperlink" Target="https://www.arvadaco.gov/304/City-Plans" TargetMode="External" Id="rId14" /><Relationship Type="http://schemas.openxmlformats.org/officeDocument/2006/relationships/hyperlink" Target="https://www.arvadaco.gov/276/Planning-Commission" TargetMode="External" Id="rId15" /><Relationship Type="http://schemas.openxmlformats.org/officeDocument/2006/relationships/hyperlink" Target="https://www.arvadaco.gov/AgendaCenter" TargetMode="External" Id="rId16" /><Relationship Type="http://schemas.openxmlformats.org/officeDocument/2006/relationships/hyperlink" Target="https://www.arvadaco.gov/245/Meetings-and-Other-Legal-Notices" TargetMode="External" Id="rId17" /><Relationship Type="http://schemas.openxmlformats.org/officeDocument/2006/relationships/hyperlink" Target="https://www.arvadaco.gov/908/News-Releases" TargetMode="External" Id="rId18" /><Relationship Type="http://schemas.openxmlformats.org/officeDocument/2006/relationships/hyperlink" Target="https://www.arvadaco.gov/247/Records-and-Requests" TargetMode="External" Id="rId19" /><Relationship Type="http://schemas.openxmlformats.org/officeDocument/2006/relationships/hyperlink" Target="https://www.auroragov.org/" TargetMode="External" Id="rId20" /><Relationship Type="http://schemas.openxmlformats.org/officeDocument/2006/relationships/hyperlink" Target="https://www.auroragov.org/city_hall/maps/planning_and_zoning_maps" TargetMode="External" Id="rId21" /><Relationship Type="http://schemas.openxmlformats.org/officeDocument/2006/relationships/hyperlink" Target="https://ags.auroragov.org/aurora/rest/services/OpenData/MapServer" TargetMode="External" Id="rId22" /><Relationship Type="http://schemas.openxmlformats.org/officeDocument/2006/relationships/hyperlink" Target="https://zoning.auroragov.org/" TargetMode="External" Id="rId23" /><Relationship Type="http://schemas.openxmlformats.org/officeDocument/2006/relationships/hyperlink" Target="https://www.auroragov.org/business_services/planning" TargetMode="External" Id="rId24" /><Relationship Type="http://schemas.openxmlformats.org/officeDocument/2006/relationships/hyperlink" Target="https://www.auroragov.org/city_hall/departments/planning___development_services" TargetMode="External" Id="rId25" /><Relationship Type="http://schemas.openxmlformats.org/officeDocument/2006/relationships/hyperlink" Target="https://www.auroragov.org/business_services/development_center/codes_rules/building___zoning_code/unified_development_ordinance" TargetMode="External" Id="rId26" /><Relationship Type="http://schemas.openxmlformats.org/officeDocument/2006/relationships/hyperlink" Target="https://www.auroragov.org/business_services/development_center/codes_rules/building___zoning_code" TargetMode="External" Id="rId27" /><Relationship Type="http://schemas.openxmlformats.org/officeDocument/2006/relationships/hyperlink" Target="https://coaapps.auroragov.org/ProjectStatus/search.aspx" TargetMode="External" Id="rId28" /><Relationship Type="http://schemas.openxmlformats.org/officeDocument/2006/relationships/hyperlink" Target="https://www.auroragov.org/business_services/development_center/development_process/forms_and_applications" TargetMode="External" Id="rId29" /><Relationship Type="http://schemas.openxmlformats.org/officeDocument/2006/relationships/hyperlink" Target="https://www.auroragov.org/business_services/planning/projects__plans___studies" TargetMode="External" Id="rId30" /><Relationship Type="http://schemas.openxmlformats.org/officeDocument/2006/relationships/hyperlink" Target="https://www.auroragov.org/business_services/planning/projects__plans___studies/comprehensive_plan" TargetMode="External" Id="rId31" /><Relationship Type="http://schemas.openxmlformats.org/officeDocument/2006/relationships/hyperlink" Target="https://www.auroragov.org/residents/neighborhood_planning" TargetMode="External" Id="rId32" /><Relationship Type="http://schemas.openxmlformats.org/officeDocument/2006/relationships/hyperlink" Target="https://www.auroragov.org/business_services/building_division/permits" TargetMode="External" Id="rId33" /><Relationship Type="http://schemas.openxmlformats.org/officeDocument/2006/relationships/hyperlink" Target="https://www.auroragov.org/business_services/development_center/permitting" TargetMode="External" Id="rId34" /><Relationship Type="http://schemas.openxmlformats.org/officeDocument/2006/relationships/hyperlink" Target="https://www.auroragov.org/business_services/aurora4biz" TargetMode="External" Id="rId35" /><Relationship Type="http://schemas.openxmlformats.org/officeDocument/2006/relationships/hyperlink" Target="https://www.auroragov.org/city_hall/boards___commissions/planning___zoning_commission" TargetMode="External" Id="rId36" /><Relationship Type="http://schemas.openxmlformats.org/officeDocument/2006/relationships/hyperlink" Target="https://www.auroragov.org/city_hall/mayor___city_council/council_meetings" TargetMode="External" Id="rId37" /><Relationship Type="http://schemas.openxmlformats.org/officeDocument/2006/relationships/hyperlink" Target="https://www.auroragov.org/city_hall/public_records/legal_notices/public_hearings" TargetMode="External" Id="rId38" /><Relationship Type="http://schemas.openxmlformats.org/officeDocument/2006/relationships/hyperlink" Target="https://www.auroragov.org/city_hall/public_records" TargetMode="External" Id="rId39" /><Relationship Type="http://schemas.openxmlformats.org/officeDocument/2006/relationships/hyperlink" Target="https://www.auroragov.org/news/whats_new" TargetMode="External" Id="rId40" /><Relationship Type="http://schemas.openxmlformats.org/officeDocument/2006/relationships/hyperlink" Target="https://www.bennettco.gov/" TargetMode="External" Id="rId41" /><Relationship Type="http://schemas.openxmlformats.org/officeDocument/2006/relationships/hyperlink" Target="https://www.bennettco.gov/business/page/bennett-zoning-map" TargetMode="External" Id="rId42" /><Relationship Type="http://schemas.openxmlformats.org/officeDocument/2006/relationships/hyperlink" Target="https://www.bennettco.gov/planning-economic-development/page/planning-and-zoning" TargetMode="External" Id="rId43" /><Relationship Type="http://schemas.openxmlformats.org/officeDocument/2006/relationships/hyperlink" Target="https://www.bennettco.gov/planning-economic-development" TargetMode="External" Id="rId44" /><Relationship Type="http://schemas.openxmlformats.org/officeDocument/2006/relationships/hyperlink" Target="https://www.bennettco.gov/planning-economic-development/page/zoning-and-subdivision-regulations" TargetMode="External" Id="rId45" /><Relationship Type="http://schemas.openxmlformats.org/officeDocument/2006/relationships/hyperlink" Target="https://www.bennettco.gov/development" TargetMode="External" Id="rId46" /><Relationship Type="http://schemas.openxmlformats.org/officeDocument/2006/relationships/hyperlink" Target="https://www.bennettco.gov/projects" TargetMode="External" Id="rId47" /><Relationship Type="http://schemas.openxmlformats.org/officeDocument/2006/relationships/hyperlink" Target="https://www.bennettco.gov/planning-economic-development/page/applicant-guides" TargetMode="External" Id="rId48" /><Relationship Type="http://schemas.openxmlformats.org/officeDocument/2006/relationships/hyperlink" Target="https://www.bennettco.gov/community-development/page/self-service-guide-permits-and-zoning" TargetMode="External" Id="rId49" /><Relationship Type="http://schemas.openxmlformats.org/officeDocument/2006/relationships/hyperlink" Target="https://www.bennettco.gov/community-development/page/building-department" TargetMode="External" Id="rId50" /><Relationship Type="http://schemas.openxmlformats.org/officeDocument/2006/relationships/hyperlink" Target="https://www.bennettco.gov/community-development/page/how-obtain-permit" TargetMode="External" Id="rId51" /><Relationship Type="http://schemas.openxmlformats.org/officeDocument/2006/relationships/hyperlink" Target="https://www.bennettco.gov/planning-economic-development/page/master-plans-and-guiding-documents" TargetMode="External" Id="rId52" /><Relationship Type="http://schemas.openxmlformats.org/officeDocument/2006/relationships/hyperlink" Target="https://www.bennettco.gov/planning-and-zoning-commission" TargetMode="External" Id="rId53" /><Relationship Type="http://schemas.openxmlformats.org/officeDocument/2006/relationships/hyperlink" Target="https://www.bennettco.gov/meetings/recent" TargetMode="External" Id="rId54" /><Relationship Type="http://schemas.openxmlformats.org/officeDocument/2006/relationships/hyperlink" Target="https://www.bennettco.gov/town-clerk/page/public-records" TargetMode="External" Id="rId55" /><Relationship Type="http://schemas.openxmlformats.org/officeDocument/2006/relationships/hyperlink" Target="https://www.bennettco.gov/news" TargetMode="External" Id="rId56" /><Relationship Type="http://schemas.openxmlformats.org/officeDocument/2006/relationships/hyperlink" Target="https://www.brightonco.gov/" TargetMode="External" Id="rId57" /><Relationship Type="http://schemas.openxmlformats.org/officeDocument/2006/relationships/hyperlink" Target="https://www.brightonco.gov/248/Geographic-Information-Systems" TargetMode="External" Id="rId58" /><Relationship Type="http://schemas.openxmlformats.org/officeDocument/2006/relationships/hyperlink" Target="https://www.brightonco.gov/224/Planning-Zoning" TargetMode="External" Id="rId59" /><Relationship Type="http://schemas.openxmlformats.org/officeDocument/2006/relationships/hyperlink" Target="https://www.brightonco.gov/363/Land-Use-Development-Code" TargetMode="External" Id="rId60" /><Relationship Type="http://schemas.openxmlformats.org/officeDocument/2006/relationships/hyperlink" Target="https://www.brightonco.gov/1142/Land-Use-Development-Applications" TargetMode="External" Id="rId61" /><Relationship Type="http://schemas.openxmlformats.org/officeDocument/2006/relationships/hyperlink" Target="https://www.brightonco.gov/1596/Interactive-Development-Map" TargetMode="External" Id="rId62" /><Relationship Type="http://schemas.openxmlformats.org/officeDocument/2006/relationships/hyperlink" Target="https://www.brightonco.gov/1146/Development-Resources" TargetMode="External" Id="rId63" /><Relationship Type="http://schemas.openxmlformats.org/officeDocument/2006/relationships/hyperlink" Target="https://www.brightonco.gov/222/Permitting" TargetMode="External" Id="rId64" /><Relationship Type="http://schemas.openxmlformats.org/officeDocument/2006/relationships/hyperlink" Target="https://www.brightonco.gov/1194/Codes"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197/Planning-Commission" TargetMode="External" Id="rId67" /><Relationship Type="http://schemas.openxmlformats.org/officeDocument/2006/relationships/hyperlink" Target="https://www.brightonco.gov/agendacenter" TargetMode="External" Id="rId68" /><Relationship Type="http://schemas.openxmlformats.org/officeDocument/2006/relationships/hyperlink" Target="https://www.brightonco.gov/453/Legal-Notices" TargetMode="External" Id="rId69" /><Relationship Type="http://schemas.openxmlformats.org/officeDocument/2006/relationships/hyperlink" Target="https://www.brightonco.gov/175/News" TargetMode="External" Id="rId70" /><Relationship Type="http://schemas.openxmlformats.org/officeDocument/2006/relationships/hyperlink" Target="https://www.brightonco.gov/notifyme" TargetMode="External" Id="rId71" /><Relationship Type="http://schemas.openxmlformats.org/officeDocument/2006/relationships/hyperlink" Target="https://www.c3gov.com/Home" TargetMode="External" Id="rId72" /><Relationship Type="http://schemas.openxmlformats.org/officeDocument/2006/relationships/hyperlink" Target="https://www.c3gov.com/Residents/Maps-Data-GIS" TargetMode="External" Id="rId73" /><Relationship Type="http://schemas.openxmlformats.org/officeDocument/2006/relationships/hyperlink" Target="https://www.c3gov.com/Government/City-Codes/Land-Development-Code" TargetMode="External" Id="rId74" /><Relationship Type="http://schemas.openxmlformats.org/officeDocument/2006/relationships/hyperlink" Target="https://www.c3gov.com/Government/City-Codes/Land-Development-Code/Land-Development-Code-Transition" TargetMode="External" Id="rId75" /><Relationship Type="http://schemas.openxmlformats.org/officeDocument/2006/relationships/hyperlink" Target="https://www.c3gov.com/Business-Development/Developing-in-Commerce-City/Land-Use-Standards" TargetMode="External" Id="rId76" /><Relationship Type="http://schemas.openxmlformats.org/officeDocument/2006/relationships/hyperlink" Target="https://www.c3gov.com/Government/Departments-Divisions/Community-Development" TargetMode="External" Id="rId77" /><Relationship Type="http://schemas.openxmlformats.org/officeDocument/2006/relationships/hyperlink" Target="https://www.c3gov.com/Business-Development/Developing-in-Commerce-City" TargetMode="External" Id="rId78" /><Relationship Type="http://schemas.openxmlformats.org/officeDocument/2006/relationships/hyperlink" Target="https://www.c3gov.com/Business-Development/Developing-in-Commerce-City/Land-Use-Approvals" TargetMode="External" Id="rId79" /><Relationship Type="http://schemas.openxmlformats.org/officeDocument/2006/relationships/hyperlink" Target="https://www.c3gov.com/Business-Development/Development-Projects-Map" TargetMode="External" Id="rId80" /><Relationship Type="http://schemas.openxmlformats.org/officeDocument/2006/relationships/hyperlink" Target="https://www.c3gov.com/Business-Development/Building-Permits-Inspections" TargetMode="External" Id="rId81" /><Relationship Type="http://schemas.openxmlformats.org/officeDocument/2006/relationships/hyperlink" Target="https://www.c3gov.com/Business-Development/eTRAKiT-Portal" TargetMode="External" Id="rId82" /><Relationship Type="http://schemas.openxmlformats.org/officeDocument/2006/relationships/hyperlink" Target="https://www.c3gov.com/Government/City-Charter-Master-Plans/Comprehensive-Plan" TargetMode="External" Id="rId83" /><Relationship Type="http://schemas.openxmlformats.org/officeDocument/2006/relationships/hyperlink" Target="https://www.c3gov.com/Government/Boards-Commissions/Planning-Commission" TargetMode="External" Id="rId84" /><Relationship Type="http://schemas.openxmlformats.org/officeDocument/2006/relationships/hyperlink" Target="https://www.c3gov.com/Site-Footer/Footer-Widgets/Quick-Links/Meeting-Agendas-and-Schedules" TargetMode="External" Id="rId85" /><Relationship Type="http://schemas.openxmlformats.org/officeDocument/2006/relationships/hyperlink" Target="https://www.c3gov.com/Government/Departments-Divisions/City-Clerks-Office/Legal-Notices-Ordinances" TargetMode="External" Id="rId86" /><Relationship Type="http://schemas.openxmlformats.org/officeDocument/2006/relationships/hyperlink" Target="https://www.c3gov.com/Government/Media-News/News-Announcements" TargetMode="External" Id="rId87" /><Relationship Type="http://schemas.openxmlformats.org/officeDocument/2006/relationships/hyperlink" Target="https://www.fedheights.org/" TargetMode="External" Id="rId88" /><Relationship Type="http://schemas.openxmlformats.org/officeDocument/2006/relationships/hyperlink" Target="https://www.fedheights.org/index.asp?SEC=D1A883BE-0C29-4602-8CC9-5D6A08DA5503" TargetMode="External" Id="rId89" /><Relationship Type="http://schemas.openxmlformats.org/officeDocument/2006/relationships/hyperlink" Target="https://www.fedheights.org/index.asp?SEC=D7AA9940-8607-468A-8215-7308DD3BF799" TargetMode="External" Id="rId90" /><Relationship Type="http://schemas.openxmlformats.org/officeDocument/2006/relationships/hyperlink" Target="https://www.fedheights.org/planning" TargetMode="External" Id="rId91" /><Relationship Type="http://schemas.openxmlformats.org/officeDocument/2006/relationships/hyperlink" Target="https://www.fedheights.org/index.asp?SEC=E0D5E6BC-02A8-4AEF-88A1-9093297C3662" TargetMode="External" Id="rId92" /><Relationship Type="http://schemas.openxmlformats.org/officeDocument/2006/relationships/hyperlink" Target="https://www.fedheights.org/index.asp?SEC=D1CB6EB6-9C4B-4FA8-B119-EF1785E54CB6" TargetMode="External" Id="rId93" /><Relationship Type="http://schemas.openxmlformats.org/officeDocument/2006/relationships/hyperlink" Target="https://www.fedheights.org/index.asp?SEC=%7BCB7135BC-846F-468B-B85D-0ECE8B03FFCD%7D&amp;persistdesign=none" TargetMode="External" Id="rId94" /><Relationship Type="http://schemas.openxmlformats.org/officeDocument/2006/relationships/hyperlink" Target="https://www.fedheights.org/index.asp?SEC=%7B76F23E1D-0819-4BAB-BD73-23D6092E8A3B%7D&amp;persistdesign=none" TargetMode="External" Id="rId95" /><Relationship Type="http://schemas.openxmlformats.org/officeDocument/2006/relationships/hyperlink" Target="https://www.fedheights.org/index.asp?SEC=%7B5CF1D2C4-3E29-4A1A-BBFA-2BE19B3ABFD0%7D" TargetMode="External" Id="rId96" /><Relationship Type="http://schemas.openxmlformats.org/officeDocument/2006/relationships/hyperlink" Target="https://www.fedheights.org/index.asp?SEC=%7BE66D34DF-8290-4807-83DA-3AF56D110C00%7D" TargetMode="External" Id="rId97" /><Relationship Type="http://schemas.openxmlformats.org/officeDocument/2006/relationships/hyperlink" Target="https://www.fedheights.org/index.asp?SEC=%7B13723B89-BA4A-47C1-9634-50363F8CD1D2%7D&amp;persistdesign=none" TargetMode="External" Id="rId98" /><Relationship Type="http://schemas.openxmlformats.org/officeDocument/2006/relationships/hyperlink" Target="https://www.fedheights.org/index.asp?SEC=407F7286-34E9-495F-B5F7-88E905D7C9A5" TargetMode="External" Id="rId99" /><Relationship Type="http://schemas.openxmlformats.org/officeDocument/2006/relationships/hyperlink" Target="https://www.fedheights.org/index.asp?SEC=%7B2E7DCCA1-1FEF-4EA7-8AE7-6C3F92D19EF3%7D&amp;persistdesign=none" TargetMode="External" Id="rId100" /><Relationship Type="http://schemas.openxmlformats.org/officeDocument/2006/relationships/hyperlink" Target="https://www.lochbuie.org/" TargetMode="External" Id="rId101" /><Relationship Type="http://schemas.openxmlformats.org/officeDocument/2006/relationships/hyperlink" Target="https://www.lochbuie.org/community-dev/page/interactive-land-use-map" TargetMode="External" Id="rId102" /><Relationship Type="http://schemas.openxmlformats.org/officeDocument/2006/relationships/hyperlink" Target="https://www.lochbuie.org/community-dev/page/maps" TargetMode="External" Id="rId103" /><Relationship Type="http://schemas.openxmlformats.org/officeDocument/2006/relationships/hyperlink" Target="https://www.lochbuie.org/administration/page/zoning-map" TargetMode="External" Id="rId104" /><Relationship Type="http://schemas.openxmlformats.org/officeDocument/2006/relationships/hyperlink" Target="https://www.lochbuie.org/community-dev/page/current-planning" TargetMode="External" Id="rId105" /><Relationship Type="http://schemas.openxmlformats.org/officeDocument/2006/relationships/hyperlink" Target="https://www.lochbuie.org/community-dev" TargetMode="External" Id="rId106" /><Relationship Type="http://schemas.openxmlformats.org/officeDocument/2006/relationships/hyperlink" Target="https://www.lochbuie.org/community-dev/page/land-use-applications" TargetMode="External" Id="rId107" /><Relationship Type="http://schemas.openxmlformats.org/officeDocument/2006/relationships/hyperlink" Target="https://www.lochbuie.org/community-dev/page/development-resources" TargetMode="External" Id="rId108" /><Relationship Type="http://schemas.openxmlformats.org/officeDocument/2006/relationships/hyperlink" Target="https://www.lochbuie.org/projects" TargetMode="External" Id="rId109" /><Relationship Type="http://schemas.openxmlformats.org/officeDocument/2006/relationships/hyperlink" Target="https://www.lochbuie.org/community-dev/page/building-permits-and-inspections" TargetMode="External" Id="rId110" /><Relationship Type="http://schemas.openxmlformats.org/officeDocument/2006/relationships/hyperlink" Target="https://www.lochbuie.org/community-dev/page/documents" TargetMode="External" Id="rId111" /><Relationship Type="http://schemas.openxmlformats.org/officeDocument/2006/relationships/hyperlink" Target="https://www.lochbuie.org/community-dev/page/long-range-planning" TargetMode="External" Id="rId112" /><Relationship Type="http://schemas.openxmlformats.org/officeDocument/2006/relationships/hyperlink" Target="https://www.lochbuie.org/publicnotice/page/ordinances" TargetMode="External" Id="rId113" /><Relationship Type="http://schemas.openxmlformats.org/officeDocument/2006/relationships/hyperlink" Target="https://www.lochbuie.org/meetings" TargetMode="External" Id="rId114" /><Relationship Type="http://schemas.openxmlformats.org/officeDocument/2006/relationships/hyperlink" Target="https://www.lochbuie.org/publicnotice" TargetMode="External" Id="rId115" /><Relationship Type="http://schemas.openxmlformats.org/officeDocument/2006/relationships/hyperlink" Target="https://www.lochbuie.org/news" TargetMode="External" Id="rId116" /><Relationship Type="http://schemas.openxmlformats.org/officeDocument/2006/relationships/hyperlink" Target="https://www.lochbuie.org/portal" TargetMode="External" Id="rId117" /><Relationship Type="http://schemas.openxmlformats.org/officeDocument/2006/relationships/hyperlink" Target="https://www.northglenn.org/" TargetMode="External" Id="rId118" /><Relationship Type="http://schemas.openxmlformats.org/officeDocument/2006/relationships/hyperlink" Target="https://www.northglenn.org/government/departments/planning_development/index.php" TargetMode="External" Id="rId119" /><Relationship Type="http://schemas.openxmlformats.org/officeDocument/2006/relationships/hyperlink" Target="https://www.northglenn.org/government/land_use_zoning/index.php" TargetMode="External" Id="rId120" /><Relationship Type="http://schemas.openxmlformats.org/officeDocument/2006/relationships/hyperlink" Target="https://www.northglenn.org/government/land_use_zoning/zoning_map.php" TargetMode="External" Id="rId121" /><Relationship Type="http://schemas.openxmlformats.org/officeDocument/2006/relationships/hyperlink" Target="https://biz.northglenn.org/quickzone" TargetMode="External" Id="rId122" /><Relationship Type="http://schemas.openxmlformats.org/officeDocument/2006/relationships/hyperlink" Target="https://www.northglenn.org/government/land_use_zoning/new_code_northglenn.php" TargetMode="External" Id="rId123" /><Relationship Type="http://schemas.openxmlformats.org/officeDocument/2006/relationships/hyperlink" Target="https://www.northglenn.org/government/land_use_zoning/land_use_applications.php" TargetMode="External" Id="rId124" /><Relationship Type="http://schemas.openxmlformats.org/officeDocument/2006/relationships/hyperlink" Target="https://www.northglenn.org/government/departments/planning_development/development_review_process.php" TargetMode="External" Id="rId125" /><Relationship Type="http://schemas.openxmlformats.org/officeDocument/2006/relationships/hyperlink" Target="https://www.northglenn.org/government/project_updates/" TargetMode="External" Id="rId126" /><Relationship Type="http://schemas.openxmlformats.org/officeDocument/2006/relationships/hyperlink" Target="https://www.northglenn.org/services/licenses_and_permits/index.php" TargetMode="External" Id="rId127" /><Relationship Type="http://schemas.openxmlformats.org/officeDocument/2006/relationships/hyperlink" Target="https://www.northglenn.org/government/departments/building/pull_a_permit.php" TargetMode="External" Id="rId128" /><Relationship Type="http://schemas.openxmlformats.org/officeDocument/2006/relationships/hyperlink" Target="https://www.northglenn.org/government/land_use_zoning/comprehensive_plan.php" TargetMode="External" Id="rId129" /><Relationship Type="http://schemas.openxmlformats.org/officeDocument/2006/relationships/hyperlink" Target="https://www.northglenn.org/government/land_use_zoning/area_plans/index.php" TargetMode="External" Id="rId130" /><Relationship Type="http://schemas.openxmlformats.org/officeDocument/2006/relationships/hyperlink" Target="https://www.northglenn.org/government/boards_commissions/planning_commission.php" TargetMode="External" Id="rId131" /><Relationship Type="http://schemas.openxmlformats.org/officeDocument/2006/relationships/hyperlink" Target="https://webdocs.northglenn.org/" TargetMode="External" Id="rId132" /><Relationship Type="http://schemas.openxmlformats.org/officeDocument/2006/relationships/hyperlink" Target="https://www.northglenn.org/newslist.php" TargetMode="External" Id="rId133" /><Relationship Type="http://schemas.openxmlformats.org/officeDocument/2006/relationships/hyperlink" Target="https://www.northglenn.org/community/communications/textmygov.php" TargetMode="External" Id="rId134" /><Relationship Type="http://schemas.openxmlformats.org/officeDocument/2006/relationships/hyperlink" Target="https://www.thorntonco.gov/" TargetMode="External" Id="rId135" /><Relationship Type="http://schemas.openxmlformats.org/officeDocument/2006/relationships/hyperlink" Target="https://www.thorntonco.gov/business-development/city-development" TargetMode="External" Id="rId136" /><Relationship Type="http://schemas.openxmlformats.org/officeDocument/2006/relationships/hyperlink" Target="https://www.thorntonco.gov/business-development/city-development/current-planning-zoning" TargetMode="External" Id="rId137" /><Relationship Type="http://schemas.openxmlformats.org/officeDocument/2006/relationships/hyperlink" Target="https://www.thorntonco.gov/business-development/city-development/current-planning-zoning/zoning-districts-uses-and-regulations" TargetMode="External" Id="rId138" /><Relationship Type="http://schemas.openxmlformats.org/officeDocument/2006/relationships/hyperlink" Target="https://cityofthornton.maps.arcgis.com/apps/webappviewer/index.html?id=643abe02e8b8446586b6eb6d8ed43f84" TargetMode="External" Id="rId139" /><Relationship Type="http://schemas.openxmlformats.org/officeDocument/2006/relationships/hyperlink" Target="https://data-cityofthornton.opendata.arcgis.com/" TargetMode="External" Id="rId140" /><Relationship Type="http://schemas.openxmlformats.org/officeDocument/2006/relationships/hyperlink" Target="https://cityviewportal.thorntonco.gov/Planning/Locator" TargetMode="External" Id="rId141" /><Relationship Type="http://schemas.openxmlformats.org/officeDocument/2006/relationships/hyperlink" Target="https://www.thorntonco.gov/business-development/active-development" TargetMode="External" Id="rId142" /><Relationship Type="http://schemas.openxmlformats.org/officeDocument/2006/relationships/hyperlink" Target="https://www.thorntonco.gov/business-development/city-development/current-planning-zoning/development-applications" TargetMode="External" Id="rId143" /><Relationship Type="http://schemas.openxmlformats.org/officeDocument/2006/relationships/hyperlink" Target="https://www.thorntonco.gov/business-development/city-development/development-engineering-construction" TargetMode="External" Id="rId144" /><Relationship Type="http://schemas.openxmlformats.org/officeDocument/2006/relationships/hyperlink" Target="https://www.thorntonco.gov/business-development/city-development/building-permits-inspections" TargetMode="External" Id="rId145" /><Relationship Type="http://schemas.openxmlformats.org/officeDocument/2006/relationships/hyperlink" Target="https://cityviewportal.thorntonco.gov/Permit/LocatorSubmittals" TargetMode="External" Id="rId146" /><Relationship Type="http://schemas.openxmlformats.org/officeDocument/2006/relationships/hyperlink" Target="https://permits.thorntonco.gov/" TargetMode="External" Id="rId147" /><Relationship Type="http://schemas.openxmlformats.org/officeDocument/2006/relationships/hyperlink" Target="https://www.thorntonco.gov/business-development/city-development/long-range-planning" TargetMode="External" Id="rId148" /><Relationship Type="http://schemas.openxmlformats.org/officeDocument/2006/relationships/hyperlink" Target="https://www.thorntonco.gov/business-development/city-development/long-range-planning/plans/thornton-comprehensive-plan" TargetMode="External" Id="rId149" /><Relationship Type="http://schemas.openxmlformats.org/officeDocument/2006/relationships/hyperlink" Target="https://www.thorntonco.gov/business-development/city-development/long-range-planning/current-projects" TargetMode="External" Id="rId150" /><Relationship Type="http://schemas.openxmlformats.org/officeDocument/2006/relationships/hyperlink" Target="https://www.thorntonco.gov/government/boards-commissions/planning-commission-board-adjustment" TargetMode="External" Id="rId151" /><Relationship Type="http://schemas.openxmlformats.org/officeDocument/2006/relationships/hyperlink" Target="https://www.thorntonco.gov/government/mayor-council/upcoming-meetings" TargetMode="External" Id="rId152" /><Relationship Type="http://schemas.openxmlformats.org/officeDocument/2006/relationships/hyperlink" Target="https://www.thorntonco.gov/government/public-notices" TargetMode="External" Id="rId153" /><Relationship Type="http://schemas.openxmlformats.org/officeDocument/2006/relationships/hyperlink" Target="https://www.thorntonco.gov/news" TargetMode="External" Id="rId154" /><Relationship Type="http://schemas.openxmlformats.org/officeDocument/2006/relationships/hyperlink" Target="https://talerts.thorntonco.gov/" TargetMode="External" Id="rId155" /><Relationship Type="http://schemas.openxmlformats.org/officeDocument/2006/relationships/hyperlink" Target="https://www.westminsterco.gov/" TargetMode="External" Id="rId156" /><Relationship Type="http://schemas.openxmlformats.org/officeDocument/2006/relationships/hyperlink" Target="https://www.westminsterco.gov/471/Maps" TargetMode="External" Id="rId157" /><Relationship Type="http://schemas.openxmlformats.org/officeDocument/2006/relationships/hyperlink" Target="https://www.westminsterco.gov/727/Zoning" TargetMode="External" Id="rId158" /><Relationship Type="http://schemas.openxmlformats.org/officeDocument/2006/relationships/hyperlink" Target="https://www.westminsterco.gov/707/Planning" TargetMode="External" Id="rId159" /><Relationship Type="http://schemas.openxmlformats.org/officeDocument/2006/relationships/hyperlink" Target="https://www.westminsterco.gov/703/Develop-in-Westminster" TargetMode="External" Id="rId160" /><Relationship Type="http://schemas.openxmlformats.org/officeDocument/2006/relationships/hyperlink" Target="https://www.westminsterco.gov/855/Current-Development-Project-Map" TargetMode="External" Id="rId161" /><Relationship Type="http://schemas.openxmlformats.org/officeDocument/2006/relationships/hyperlink" Target="https://www.westminsterco.gov/1060/Redevelopment" TargetMode="External" Id="rId162" /><Relationship Type="http://schemas.openxmlformats.org/officeDocument/2006/relationships/hyperlink" Target="https://www.westminsterco.gov/833/Permits-Licenses" TargetMode="External" Id="rId163" /><Relationship Type="http://schemas.openxmlformats.org/officeDocument/2006/relationships/hyperlink" Target="https://www.westminsterco.gov/617/Apply-for-a-Permit-Project" TargetMode="External" Id="rId164" /><Relationship Type="http://schemas.openxmlformats.org/officeDocument/2006/relationships/hyperlink" Target="https://www.westminsterco.gov/DocumentCenter/View/5605/Comprehensive-Plan_November2025-LR" TargetMode="External" Id="rId165" /><Relationship Type="http://schemas.openxmlformats.org/officeDocument/2006/relationships/hyperlink" Target="https://www.westminsterco.gov/747/City-Standards-Specifications" TargetMode="External" Id="rId166" /><Relationship Type="http://schemas.openxmlformats.org/officeDocument/2006/relationships/hyperlink" Target="https://www.westminsterco.gov/639/Code-Enforcement" TargetMode="External" Id="rId167" /><Relationship Type="http://schemas.openxmlformats.org/officeDocument/2006/relationships/hyperlink" Target="https://www.westminsterco.gov/614/Planning-Commission" TargetMode="External" Id="rId168" /><Relationship Type="http://schemas.openxmlformats.org/officeDocument/2006/relationships/hyperlink" Target="https://www.westminsterco.gov/AgendaCenter" TargetMode="External" Id="rId169" /><Relationship Type="http://schemas.openxmlformats.org/officeDocument/2006/relationships/hyperlink" Target="https://www.westminsterco.gov/1098/Public-Notices" TargetMode="External" Id="rId170" /><Relationship Type="http://schemas.openxmlformats.org/officeDocument/2006/relationships/hyperlink" Target="https://www.westminsterco.gov/m/NewsFlash" TargetMode="External" Id="rId171" /><Relationship Type="http://schemas.openxmlformats.org/officeDocument/2006/relationships/hyperlink" Target="https://www.westminsterco.gov/565/Public-Records-Request" TargetMode="External" Id="rId172" /></Relationships>
</file>

<file path=xl/worksheets/_rels/sheet20.xml.rels><Relationships xmlns="http://schemas.openxmlformats.org/package/2006/relationships"><Relationship Type="http://schemas.openxmlformats.org/officeDocument/2006/relationships/hyperlink" Target="https://adamscountyco.gov/about-adams-county/public-meetings/" TargetMode="External" Id="rId1" /><Relationship Type="http://schemas.openxmlformats.org/officeDocument/2006/relationships/hyperlink" Target="https://adamscountyco.gov/our-county/community-economic-development/planning-development/current-land-use-cases/" TargetMode="External" Id="rId2" /><Relationship Type="http://schemas.openxmlformats.org/officeDocument/2006/relationships/hyperlink" Target="https://adamscountyco.gov/our-county/elected-officials/board-of-county-commissioners/current-meeting-agendas-archives/" TargetMode="External" Id="rId3" /><Relationship Type="http://schemas.openxmlformats.org/officeDocument/2006/relationships/hyperlink" Target="https://adamscountyco.gov/about-adams-county/public-meetings/archived-hearing-agendas-audio/" TargetMode="External" Id="rId4" /><Relationship Type="http://schemas.openxmlformats.org/officeDocument/2006/relationships/hyperlink" Target="https://adamscountyco.gov/about-adams-county/news/" TargetMode="External" Id="rId5" /><Relationship Type="http://schemas.openxmlformats.org/officeDocument/2006/relationships/hyperlink" Target="https://adamscountyco.gov/our-county/community-economic-development/planning-development/news-updates/" TargetMode="External" Id="rId6" /><Relationship Type="http://schemas.openxmlformats.org/officeDocument/2006/relationships/hyperlink" Target="https://adamscountyco.gov/our-county/elected-officials/clerk-recorder/recording/public-document-postings/" TargetMode="External" Id="rId7" /><Relationship Type="http://schemas.openxmlformats.org/officeDocument/2006/relationships/hyperlink" Target="https://www.arvadaco.gov/AgendaCenter" TargetMode="External" Id="rId8" /><Relationship Type="http://schemas.openxmlformats.org/officeDocument/2006/relationships/hyperlink" Target="https://www.arvadaco.gov/245/Meetings-and-Other-Legal-Notices" TargetMode="External" Id="rId9" /><Relationship Type="http://schemas.openxmlformats.org/officeDocument/2006/relationships/hyperlink" Target="https://www.arvadaco.gov/908/News-Releases" TargetMode="External" Id="rId10" /><Relationship Type="http://schemas.openxmlformats.org/officeDocument/2006/relationships/hyperlink" Target="https://www.auroragov.org/city_hall/boards___commissions/planning___zoning_commission" TargetMode="External" Id="rId11" /><Relationship Type="http://schemas.openxmlformats.org/officeDocument/2006/relationships/hyperlink" Target="https://www.auroragov.org/city_hall/mayor___city_council/council_meetings" TargetMode="External" Id="rId12" /><Relationship Type="http://schemas.openxmlformats.org/officeDocument/2006/relationships/hyperlink" Target="https://www.auroragov.org/city_hall/public_records/legal_notices/public_hearings" TargetMode="External" Id="rId13" /><Relationship Type="http://schemas.openxmlformats.org/officeDocument/2006/relationships/hyperlink" Target="https://www.auroragov.org/news/whats_new" TargetMode="External" Id="rId14" /><Relationship Type="http://schemas.openxmlformats.org/officeDocument/2006/relationships/hyperlink" Target="https://www.bennettco.gov/meetings/recent" TargetMode="External" Id="rId15" /><Relationship Type="http://schemas.openxmlformats.org/officeDocument/2006/relationships/hyperlink" Target="https://www.bennettco.gov/planning-and-zoning-commission" TargetMode="External" Id="rId16" /><Relationship Type="http://schemas.openxmlformats.org/officeDocument/2006/relationships/hyperlink" Target="https://www.bennettco.gov/news" TargetMode="External" Id="rId17" /><Relationship Type="http://schemas.openxmlformats.org/officeDocument/2006/relationships/hyperlink" Target="https://www.brightonco.gov/agendacenter" TargetMode="External" Id="rId18" /><Relationship Type="http://schemas.openxmlformats.org/officeDocument/2006/relationships/hyperlink" Target="https://www.brightonco.gov/453/Legal-Notices" TargetMode="External" Id="rId19" /><Relationship Type="http://schemas.openxmlformats.org/officeDocument/2006/relationships/hyperlink" Target="https://www.brightonco.gov/175/News" TargetMode="External" Id="rId20" /><Relationship Type="http://schemas.openxmlformats.org/officeDocument/2006/relationships/hyperlink" Target="https://www.brightonco.gov/notifyme" TargetMode="External" Id="rId21" /><Relationship Type="http://schemas.openxmlformats.org/officeDocument/2006/relationships/hyperlink" Target="https://www.c3gov.com/Site-Footer/Footer-Widgets/Quick-Links/Meeting-Agendas-and-Schedules" TargetMode="External" Id="rId22" /><Relationship Type="http://schemas.openxmlformats.org/officeDocument/2006/relationships/hyperlink" Target="https://www.c3gov.com/Government/Departments-Divisions/City-Clerks-Office/Legal-Notices-Ordinances" TargetMode="External" Id="rId23" /><Relationship Type="http://schemas.openxmlformats.org/officeDocument/2006/relationships/hyperlink" Target="https://www.c3gov.com/Government/Media-News/News-Announcements" TargetMode="External" Id="rId24" /><Relationship Type="http://schemas.openxmlformats.org/officeDocument/2006/relationships/hyperlink" Target="https://www.fedheights.org/index.asp?SEC=%7BE66D34DF-8290-4807-83DA-3AF56D110C00%7D" TargetMode="External" Id="rId25" /><Relationship Type="http://schemas.openxmlformats.org/officeDocument/2006/relationships/hyperlink" Target="https://www.fedheights.org/index.asp?SEC=407F7286-34E9-495F-B5F7-88E905D7C9A5" TargetMode="External" Id="rId26" /><Relationship Type="http://schemas.openxmlformats.org/officeDocument/2006/relationships/hyperlink" Target="https://www.fedheights.org/index.asp?SEC=%7B2E7DCCA1-1FEF-4EA7-8AE7-6C3F92D19EF3%7D&amp;persistdesign=none" TargetMode="External" Id="rId27" /><Relationship Type="http://schemas.openxmlformats.org/officeDocument/2006/relationships/hyperlink" Target="https://www.lochbuie.org/meetings" TargetMode="External" Id="rId28" /><Relationship Type="http://schemas.openxmlformats.org/officeDocument/2006/relationships/hyperlink" Target="https://www.lochbuie.org/publicnotice" TargetMode="External" Id="rId29" /><Relationship Type="http://schemas.openxmlformats.org/officeDocument/2006/relationships/hyperlink" Target="https://www.lochbuie.org/news" TargetMode="External" Id="rId30" /><Relationship Type="http://schemas.openxmlformats.org/officeDocument/2006/relationships/hyperlink" Target="https://webdocs.northglenn.org/" TargetMode="External" Id="rId31" /><Relationship Type="http://schemas.openxmlformats.org/officeDocument/2006/relationships/hyperlink" Target="https://www.northglenn.org/newslist.php" TargetMode="External" Id="rId32" /><Relationship Type="http://schemas.openxmlformats.org/officeDocument/2006/relationships/hyperlink" Target="https://www.northglenn.org/community/communications/textmygov.php" TargetMode="External" Id="rId33" /><Relationship Type="http://schemas.openxmlformats.org/officeDocument/2006/relationships/hyperlink" Target="https://www.thorntonco.gov/government/mayor-council/upcoming-meetings" TargetMode="External" Id="rId34" /><Relationship Type="http://schemas.openxmlformats.org/officeDocument/2006/relationships/hyperlink" Target="https://www.thorntonco.gov/government/public-notices" TargetMode="External" Id="rId35" /><Relationship Type="http://schemas.openxmlformats.org/officeDocument/2006/relationships/hyperlink" Target="https://www.thorntonco.gov/news" TargetMode="External" Id="rId36" /><Relationship Type="http://schemas.openxmlformats.org/officeDocument/2006/relationships/hyperlink" Target="https://talerts.thorntonco.gov/" TargetMode="External" Id="rId37" /><Relationship Type="http://schemas.openxmlformats.org/officeDocument/2006/relationships/hyperlink" Target="https://www.westminsterco.gov/AgendaCenter" TargetMode="External" Id="rId38" /><Relationship Type="http://schemas.openxmlformats.org/officeDocument/2006/relationships/hyperlink" Target="https://www.westminsterco.gov/1098/Public-Notices" TargetMode="External" Id="rId39" /><Relationship Type="http://schemas.openxmlformats.org/officeDocument/2006/relationships/hyperlink" Target="https://www.westminsterco.gov/m/NewsFlash" TargetMode="External" Id="rId40" /><Relationship Type="http://schemas.openxmlformats.org/officeDocument/2006/relationships/hyperlink" Target="https://sentinelcolorado.com/" TargetMode="External" Id="rId41" /><Relationship Type="http://schemas.openxmlformats.org/officeDocument/2006/relationships/hyperlink" Target="https://i-70scout.com/blog/" TargetMode="External" Id="rId42" /><Relationship Type="http://schemas.openxmlformats.org/officeDocument/2006/relationships/hyperlink" Target="https://arvadapress.presspatron.com/" TargetMode="External" Id="rId43" /><Relationship Type="http://schemas.openxmlformats.org/officeDocument/2006/relationships/hyperlink" Target="https://local.coloradocommunitymedia.com/" TargetMode="External" Id="rId44" /><Relationship Type="http://schemas.openxmlformats.org/officeDocument/2006/relationships/hyperlink" Target="https://westminster-window-colorado-trust.beehiiv.com/" TargetMode="External" Id="rId45" /></Relationships>
</file>

<file path=xl/worksheets/_rels/sheet21.xml.rels><Relationships xmlns="http://schemas.openxmlformats.org/package/2006/relationships"><Relationship Type="http://schemas.openxmlformats.org/officeDocument/2006/relationships/hyperlink" Target="https://co.colorado.gov/search-business-records" TargetMode="External" Id="rId1" /><Relationship Type="http://schemas.openxmlformats.org/officeDocument/2006/relationships/hyperlink" Target="https://www.sos.state.co.us/ucc/pages/home.xhtml" TargetMode="External" Id="rId2" /><Relationship Type="http://schemas.openxmlformats.org/officeDocument/2006/relationships/hyperlink" Target="https://gis.dola.colorado.gov/CO_SpecialDistrict/" TargetMode="External" Id="rId3" /><Relationship Type="http://schemas.openxmlformats.org/officeDocument/2006/relationships/hyperlink" Target="https://dola.colorado.gov/dlg_lgis_ui_pu/" TargetMode="External" Id="rId4" /><Relationship Type="http://schemas.openxmlformats.org/officeDocument/2006/relationships/hyperlink" Target="https://dola.colorado.gov/dlg_lgis_ui_pu/publicLGTaxEntities.jsf" TargetMode="External" Id="rId5" /><Relationship Type="http://schemas.openxmlformats.org/officeDocument/2006/relationships/hyperlink" Target="https://gis.dola.colorado.gov/CO_Muni/" TargetMode="External" Id="rId6" /><Relationship Type="http://schemas.openxmlformats.org/officeDocument/2006/relationships/hyperlink" Target="https://demography.dola.colorado.gov/assets/html/gis_data.html" TargetMode="External" Id="rId7" /><Relationship Type="http://schemas.openxmlformats.org/officeDocument/2006/relationships/hyperlink" Target="https://demography.dola.colorado.gov/assets/lookups/dashboard_lookup.html" TargetMode="External" Id="rId8" /><Relationship Type="http://schemas.openxmlformats.org/officeDocument/2006/relationships/hyperlink" Target="https://geodata.colorado.gov/" TargetMode="External" Id="rId9" /><Relationship Type="http://schemas.openxmlformats.org/officeDocument/2006/relationships/hyperlink" Target="https://gis.colorado.gov/viewer/?page=Home" TargetMode="External" Id="rId10" /><Relationship Type="http://schemas.openxmlformats.org/officeDocument/2006/relationships/hyperlink" Target="https://drcog.org/data-maps-modeling" TargetMode="External" Id="rId11" /><Relationship Type="http://schemas.openxmlformats.org/officeDocument/2006/relationships/hyperlink" Target="https://dwr.state.co.us/Tools" TargetMode="External" Id="rId12" /><Relationship Type="http://schemas.openxmlformats.org/officeDocument/2006/relationships/hyperlink" Target="https://dwr.state.co.us/Tools/WellPermits" TargetMode="External" Id="rId13" /><Relationship Type="http://schemas.openxmlformats.org/officeDocument/2006/relationships/hyperlink" Target="https://ecmc.state.co.us/maps.html" TargetMode="External" Id="rId14" /><Relationship Type="http://schemas.openxmlformats.org/officeDocument/2006/relationships/hyperlink" Target="https://ecmc.state.co.us/data.html" TargetMode="External" Id="rId15" /><Relationship Type="http://schemas.openxmlformats.org/officeDocument/2006/relationships/hyperlink" Target="https://cdphe.colorado.gov/maps-and-gis-for-health-and-environment" TargetMode="External" Id="rId16" /><Relationship Type="http://schemas.openxmlformats.org/officeDocument/2006/relationships/hyperlink" Target="https://cdphe.colorado.gov/hm/gis-data" TargetMode="External" Id="rId17" /><Relationship Type="http://schemas.openxmlformats.org/officeDocument/2006/relationships/hyperlink" Target="https://cdphe.colorado.gov/hm/if-site-contaminated" TargetMode="External" Id="rId18" /><Relationship Type="http://schemas.openxmlformats.org/officeDocument/2006/relationships/hyperlink" Target="https://cdphe.colorado.gov/clean-water-gis-maps" TargetMode="External" Id="rId19" /><Relationship Type="http://schemas.openxmlformats.org/officeDocument/2006/relationships/hyperlink" Target="https://cdphe.colorado.gov/pfas/mapping" TargetMode="External" Id="rId20" /><Relationship Type="http://schemas.openxmlformats.org/officeDocument/2006/relationships/hyperlink" Target="https://www.fema.gov/flood-maps" TargetMode="External" Id="rId21" /><Relationship Type="http://schemas.openxmlformats.org/officeDocument/2006/relationships/hyperlink" Target="https://msc.fema.gov/portal/search" TargetMode="External" Id="rId22" /><Relationship Type="http://schemas.openxmlformats.org/officeDocument/2006/relationships/hyperlink" Target="https://www.fema.gov/flood-maps/national-flood-hazard-layer" TargetMode="External" Id="rId23" /><Relationship Type="http://schemas.openxmlformats.org/officeDocument/2006/relationships/hyperlink" Target="https://www.epa.gov/cleanups/cleanups-my-community" TargetMode="External" Id="rId24" /><Relationship Type="http://schemas.openxmlformats.org/officeDocument/2006/relationships/hyperlink" Target="https://map22.epa.gov/cimc/" TargetMode="External" Id="rId25" /><Relationship Type="http://schemas.openxmlformats.org/officeDocument/2006/relationships/hyperlink" Target="https://www.epa.gov/superfund/search-superfund-sites-where-you-live" TargetMode="External" Id="rId26" /><Relationship Type="http://schemas.openxmlformats.org/officeDocument/2006/relationships/hyperlink" Target="https://websoilsurvey.nrcs.usda.gov/" TargetMode="External" Id="rId27" /><Relationship Type="http://schemas.openxmlformats.org/officeDocument/2006/relationships/hyperlink" Target="https://www.fws.gov/program/national-wetlands-inventory/wetlands-mapper" TargetMode="External" Id="rId28" /><Relationship Type="http://schemas.openxmlformats.org/officeDocument/2006/relationships/hyperlink" Target="https://dtdapps.codot.gov/otis" TargetMode="External" Id="rId29" /><Relationship Type="http://schemas.openxmlformats.org/officeDocument/2006/relationships/hyperlink" Target="https://dtdapps.codot.gov/otis/HighwayData" TargetMode="External" Id="rId30" /><Relationship Type="http://schemas.openxmlformats.org/officeDocument/2006/relationships/hyperlink" Target="https://dtdapps.codot.gov/otis/TrafficData" TargetMode="External" Id="rId31" /><Relationship Type="http://schemas.openxmlformats.org/officeDocument/2006/relationships/hyperlink" Target="https://www.historycolorado.org/compass-information" TargetMode="External" Id="rId32" /><Relationship Type="http://schemas.openxmlformats.org/officeDocument/2006/relationships/hyperlink" Target="https://www.historycolorado.org/national-state-register-listed-properties" TargetMode="External" Id="rId33" /><Relationship Type="http://schemas.openxmlformats.org/officeDocument/2006/relationships/hyperlink" Target="https://dre.colorado.gov/hoa-center" TargetMode="External" Id="rId34" /><Relationship Type="http://schemas.openxmlformats.org/officeDocument/2006/relationships/hyperlink" Target="https://dre.colorado.gov/hoa-registration-services" TargetMode="External" Id="rId35" /><Relationship Type="http://schemas.openxmlformats.org/officeDocument/2006/relationships/hyperlink" Target="https://co.colorado.gov/verify-status-professionals-license" TargetMode="External" Id="rId36" /><Relationship Type="http://schemas.openxmlformats.org/officeDocument/2006/relationships/hyperlink" Target="https://secure.slb.colorado.gov/" TargetMode="External" Id="rId37" /><Relationship Type="http://schemas.openxmlformats.org/officeDocument/2006/relationships/hyperlink" Target="https://www.blm.gov/maps/frequently-requested/colorado/gis-datasets" TargetMode="External" Id="rId38" /></Relationships>
</file>

<file path=xl/worksheets/_rels/sheet22.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dola.colorado.gov/CO_Muni/" TargetMode="External" Id="rId2" /><Relationship Type="http://schemas.openxmlformats.org/officeDocument/2006/relationships/hyperlink" Target="https://gisapp.adcogov.org/quicksearch/"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recording.adamscountyco.gov/landmarkweb/" TargetMode="External" Id="rId5" /><Relationship Type="http://schemas.openxmlformats.org/officeDocument/2006/relationships/hyperlink" Target="https://adamscountyco.gov/service/find-public-records-recorded-documents/" TargetMode="External" Id="rId6" /><Relationship Type="http://schemas.openxmlformats.org/officeDocument/2006/relationships/hyperlink" Target="https://adcotax.com/" TargetMode="External" Id="rId7" /><Relationship Type="http://schemas.openxmlformats.org/officeDocument/2006/relationships/hyperlink" Target="https://adamscountyco.gov/our-county/elected-officials/treasurer-public-trustee/treasurer-division/tax-lien-sale/" TargetMode="External" Id="rId8" /><Relationship Type="http://schemas.openxmlformats.org/officeDocument/2006/relationships/hyperlink" Target="https://apps.adcogov.org/PTForeclosureSearch/?ds=1" TargetMode="External" Id="rId9" /><Relationship Type="http://schemas.openxmlformats.org/officeDocument/2006/relationships/hyperlink" Target="https://adamscountyco.gov/our-county/elected-officials/clerk-recorder/recording/land-survey-plats/" TargetMode="External" Id="rId10" /><Relationship Type="http://schemas.openxmlformats.org/officeDocument/2006/relationships/hyperlink" Target="https://gis.dola.colorado.gov/CO_SpecialDistrict/" TargetMode="External" Id="rId11" /><Relationship Type="http://schemas.openxmlformats.org/officeDocument/2006/relationships/hyperlink" Target="https://dwr.state.co.us/Tools" TargetMode="External" Id="rId12" /><Relationship Type="http://schemas.openxmlformats.org/officeDocument/2006/relationships/hyperlink" Target="https://msc.fema.gov/portal/search" TargetMode="External" Id="rId13" /><Relationship Type="http://schemas.openxmlformats.org/officeDocument/2006/relationships/hyperlink" Target="https://websoilsurvey.nrcs.usda.gov/" TargetMode="External" Id="rId14" /><Relationship Type="http://schemas.openxmlformats.org/officeDocument/2006/relationships/hyperlink" Target="https://www.fws.gov/program/national-wetlands-inventory/wetlands-mapper" TargetMode="External" Id="rId15" /><Relationship Type="http://schemas.openxmlformats.org/officeDocument/2006/relationships/hyperlink" Target="https://cdphe.colorado.gov/hm/gis-data" TargetMode="External" Id="rId16" /><Relationship Type="http://schemas.openxmlformats.org/officeDocument/2006/relationships/hyperlink" Target="https://ecmc.state.co.us/maps.html" TargetMode="External" Id="rId17" /><Relationship Type="http://schemas.openxmlformats.org/officeDocument/2006/relationships/hyperlink" Target="https://dtdapps.codot.gov/otis" TargetMode="External" Id="rId18" /><Relationship Type="http://schemas.openxmlformats.org/officeDocument/2006/relationships/hyperlink" Target="https://www.historycolorado.org/national-state-register-listed-properties" TargetMode="External" Id="rId19" /><Relationship Type="http://schemas.openxmlformats.org/officeDocument/2006/relationships/hyperlink" Target="https://dre.colorado.gov/hoa-center" TargetMode="External" Id="rId20" /><Relationship Type="http://schemas.openxmlformats.org/officeDocument/2006/relationships/hyperlink" Target="https://co.colorado.gov/search-business-records" TargetMode="External" Id="rId21"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A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3"/>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1"/>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0"/>
    <row r="31"/>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49"/>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0E7490"/>
    <outlinePr summaryBelow="1" summaryRight="1"/>
    <pageSetUpPr/>
  </sheetPr>
  <dimension ref="A1:O8"/>
  <sheetViews>
    <sheetView showGridLines="0" workbookViewId="0">
      <selection activeCell="C21" sqref="C21"/>
    </sheetView>
  </sheetViews>
  <sheetFormatPr baseColWidth="8" defaultColWidth="9.1640625" defaultRowHeight="14.25"/>
  <cols>
    <col width="52" customWidth="1" style="229" min="1" max="1"/>
    <col width="7" customWidth="1" style="229" min="2" max="2"/>
    <col width="30" customWidth="1" style="229" min="3" max="3"/>
    <col width="9.1640625" customWidth="1" style="229" min="4" max="16384"/>
  </cols>
  <sheetData>
    <row r="1">
      <c r="A1" s="1147" t="inlineStr">
        <is>
          <t>Click on the tab at the bottom to switch between worksheets</t>
        </is>
      </c>
      <c r="B1" s="977" t="n"/>
      <c r="C1" s="977" t="n"/>
      <c r="D1" s="977" t="n"/>
      <c r="E1" s="977" t="n"/>
      <c r="F1" s="977" t="n"/>
      <c r="G1" s="977" t="n"/>
      <c r="H1" s="977" t="n"/>
    </row>
    <row r="2" ht="9" customHeight="1"/>
    <row r="3">
      <c r="A3" s="1148" t="inlineStr">
        <is>
          <t>To print all sheets, click printer icon on toolbar.</t>
        </is>
      </c>
    </row>
    <row r="4" ht="9.6" customHeight="1"/>
    <row r="5" ht="40.9" customHeight="1">
      <c r="A5" s="1148"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1149" t="inlineStr">
        <is>
          <t>Appeal Year</t>
        </is>
      </c>
      <c r="B8" s="979"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0E7490"/>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25" customWidth="1" min="1" max="1"/>
    <col width="24" customWidth="1" min="2" max="2"/>
    <col width="6" customWidth="1" min="3" max="3"/>
    <col width="16" customWidth="1" min="4" max="4"/>
    <col width="20" customWidth="1" min="5" max="5"/>
    <col width="22" customWidth="1" min="6" max="6"/>
    <col width="27" customWidth="1" min="7" max="7"/>
    <col width="28" customWidth="1" min="8" max="8"/>
    <col width="6" customWidth="1" min="25" max="25"/>
    <col hidden="1" width="13" customWidth="1" min="26" max="26"/>
  </cols>
  <sheetData>
    <row r="1" ht="23.45" customHeight="1">
      <c r="A1" s="5" t="n"/>
      <c r="B1" t="n"/>
      <c r="E1" s="1" t="inlineStr">
        <is>
          <t>y</t>
        </is>
      </c>
    </row>
    <row r="2" ht="25.5" customHeight="1">
      <c r="A2" s="980" t="inlineStr">
        <is>
          <t>MARKET SALES &amp; RENT COMPARABLES</t>
        </is>
      </c>
      <c r="B2" s="980" t="n"/>
      <c r="C2" s="980" t="n"/>
      <c r="D2" s="980" t="n"/>
      <c r="E2" s="980" t="n"/>
      <c r="F2" s="980" t="n"/>
      <c r="G2" s="980" t="n"/>
      <c r="H2" s="980"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981" t="inlineStr">
        <is>
          <t>SUBJECT  PROPERTY  INFORMATION</t>
        </is>
      </c>
      <c r="B7" s="982" t="n"/>
      <c r="C7" s="982" t="n"/>
      <c r="D7" s="982" t="n"/>
      <c r="E7" s="982" t="n"/>
      <c r="F7" s="982" t="n"/>
      <c r="G7" s="982" t="n"/>
      <c r="H7" s="983" t="n"/>
    </row>
    <row r="8" ht="12" customHeight="1">
      <c r="A8" s="984" t="n"/>
      <c r="B8" s="985" t="inlineStr">
        <is>
          <t>Account Number</t>
        </is>
      </c>
      <c r="C8" s="986" t="inlineStr">
        <is>
          <t>Ngbh</t>
        </is>
      </c>
      <c r="D8" s="986" t="inlineStr">
        <is>
          <t xml:space="preserve">Land Area </t>
        </is>
      </c>
      <c r="E8" s="987" t="inlineStr">
        <is>
          <t>Quality</t>
        </is>
      </c>
      <c r="F8" s="986" t="inlineStr">
        <is>
          <t>Rent / Sq Ft</t>
        </is>
      </c>
      <c r="G8" s="986" t="inlineStr">
        <is>
          <t>Subject Sale Information</t>
        </is>
      </c>
      <c r="H8" s="988" t="inlineStr">
        <is>
          <t>Parcel Number</t>
        </is>
      </c>
    </row>
    <row r="9" ht="12" customHeight="1">
      <c r="A9" s="12" t="n"/>
      <c r="B9" s="985" t="inlineStr">
        <is>
          <t>Property Address</t>
        </is>
      </c>
      <c r="C9" s="986" t="inlineStr">
        <is>
          <t>Zone</t>
        </is>
      </c>
      <c r="D9" s="986" t="inlineStr">
        <is>
          <t xml:space="preserve">L : B  Ratio </t>
        </is>
      </c>
      <c r="E9" s="987" t="inlineStr">
        <is>
          <t>Physical Condition</t>
        </is>
      </c>
      <c r="F9" s="986" t="inlineStr">
        <is>
          <t>Vacancy</t>
        </is>
      </c>
      <c r="G9" s="986" t="inlineStr">
        <is>
          <t>Last Sale Date</t>
        </is>
      </c>
      <c r="H9" s="989" t="inlineStr">
        <is>
          <t>Assigned Value / Sq Ft</t>
        </is>
      </c>
    </row>
    <row r="10" ht="12" customHeight="1">
      <c r="A10" s="18" t="n"/>
      <c r="B10" s="990" t="inlineStr">
        <is>
          <t>Property Type</t>
        </is>
      </c>
      <c r="C10" s="991" t="inlineStr">
        <is>
          <t>YOC</t>
        </is>
      </c>
      <c r="D10" s="991" t="inlineStr">
        <is>
          <t xml:space="preserve">Building Area </t>
        </is>
      </c>
      <c r="E10" s="992" t="inlineStr">
        <is>
          <t>Functional Utility</t>
        </is>
      </c>
      <c r="F10" s="991" t="inlineStr">
        <is>
          <t>Expense Ratio</t>
        </is>
      </c>
      <c r="G10" s="991" t="inlineStr">
        <is>
          <t>Last Sale Price</t>
        </is>
      </c>
      <c r="H10" s="993" t="inlineStr">
        <is>
          <t>Assigned Value</t>
        </is>
      </c>
    </row>
    <row r="11" ht="12" customHeight="1">
      <c r="A11" s="12" t="n"/>
      <c r="B11" s="994" t="n"/>
      <c r="C11" s="995" t="n"/>
      <c r="D11" s="996">
        <f>Subj_SiteSF</f>
        <v/>
      </c>
      <c r="E11" s="997">
        <f>Subj_Quality</f>
        <v/>
      </c>
      <c r="F11" s="998" t="n"/>
      <c r="G11" s="999" t="n"/>
      <c r="H11" s="1000" t="n"/>
    </row>
    <row r="12" ht="12" customHeight="1">
      <c r="A12" s="12" t="n"/>
      <c r="B12" s="1001">
        <f>Subj_Address</f>
        <v/>
      </c>
      <c r="C12" s="1002">
        <f>Subj_Zoning</f>
        <v/>
      </c>
      <c r="D12" s="1003">
        <f>IF(OR(D13="",D13=0),"",ROUND(D11/D13,1)&amp;":1")</f>
        <v/>
      </c>
      <c r="E12" s="997">
        <f>Subj_Condition</f>
        <v/>
      </c>
      <c r="F12" s="1004" t="n"/>
      <c r="G12" s="1005" t="n"/>
      <c r="H12" s="518">
        <f>IF(D13=0,0,ROUND(H13/D13,2))</f>
        <v/>
      </c>
    </row>
    <row r="13" ht="12" customHeight="1" thickBot="1">
      <c r="A13" s="23" t="n"/>
      <c r="B13" s="1006">
        <f>IFERROR(INDEX(OCC_TABLE_DESC,MATCH(Subj_OccCode,OCC_TABLE_CODE,0)),"")</f>
        <v/>
      </c>
      <c r="C13" s="1007">
        <f>Subj_YOC</f>
        <v/>
      </c>
      <c r="D13" s="1008">
        <f>Subj_BldgSF</f>
        <v/>
      </c>
      <c r="E13" s="1009" t="n"/>
      <c r="F13" s="1010" t="n"/>
      <c r="G13" s="1011" t="n"/>
      <c r="H13" s="1012"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981" t="inlineStr">
        <is>
          <t>MARKET  SALE  COMPARABLES</t>
        </is>
      </c>
      <c r="B16" s="982" t="n"/>
      <c r="C16" s="1013" t="n"/>
      <c r="D16" s="1013" t="n"/>
      <c r="E16" s="982" t="n"/>
      <c r="F16" s="1013" t="n"/>
      <c r="G16" s="1013" t="n"/>
      <c r="H16" s="1014" t="n"/>
    </row>
    <row r="17" ht="12" customHeight="1">
      <c r="A17" s="1015" t="n"/>
      <c r="B17" s="1016" t="inlineStr">
        <is>
          <t>Account Number</t>
        </is>
      </c>
      <c r="C17" s="1017" t="inlineStr">
        <is>
          <t>Ngbh</t>
        </is>
      </c>
      <c r="D17" s="1018" t="inlineStr">
        <is>
          <t xml:space="preserve">Land Area </t>
        </is>
      </c>
      <c r="E17" s="1019" t="inlineStr">
        <is>
          <t>Quality</t>
        </is>
      </c>
      <c r="F17" s="1018" t="inlineStr">
        <is>
          <t xml:space="preserve">Sale Date </t>
        </is>
      </c>
      <c r="G17" s="1020" t="inlineStr">
        <is>
          <t>Adj Sale Price / Sq Ft</t>
        </is>
      </c>
      <c r="H17" s="988" t="inlineStr">
        <is>
          <t>Parcel Number</t>
        </is>
      </c>
    </row>
    <row r="18" ht="12" customHeight="1">
      <c r="A18" s="1021" t="n"/>
      <c r="B18" s="1022" t="inlineStr">
        <is>
          <t>Property Address</t>
        </is>
      </c>
      <c r="C18" s="1023" t="inlineStr">
        <is>
          <t>Zone</t>
        </is>
      </c>
      <c r="D18" s="1024" t="inlineStr">
        <is>
          <t xml:space="preserve">L : B  Ratio </t>
        </is>
      </c>
      <c r="E18" s="1025" t="inlineStr">
        <is>
          <t>Physical Condition</t>
        </is>
      </c>
      <c r="F18" s="1024" t="inlineStr">
        <is>
          <t xml:space="preserve">Sale Price </t>
        </is>
      </c>
      <c r="G18" s="986" t="inlineStr">
        <is>
          <t>Net Adjustments</t>
        </is>
      </c>
      <c r="H18" s="989" t="inlineStr">
        <is>
          <t>Sale Remarks</t>
        </is>
      </c>
    </row>
    <row r="19" ht="12" customHeight="1">
      <c r="A19" s="1026" t="inlineStr">
        <is>
          <t>#</t>
        </is>
      </c>
      <c r="B19" s="1027" t="inlineStr">
        <is>
          <t>Property Type</t>
        </is>
      </c>
      <c r="C19" s="1028" t="inlineStr">
        <is>
          <t>YOC</t>
        </is>
      </c>
      <c r="D19" s="1029" t="inlineStr">
        <is>
          <t xml:space="preserve">Building Area </t>
        </is>
      </c>
      <c r="E19" s="1030" t="inlineStr">
        <is>
          <t>Functional Utility</t>
        </is>
      </c>
      <c r="F19" s="1029" t="inlineStr">
        <is>
          <t xml:space="preserve">Adjusted Sale Price </t>
        </is>
      </c>
      <c r="G19" s="991" t="inlineStr">
        <is>
          <t>Adj Value of Comp / Sq Ft</t>
        </is>
      </c>
      <c r="H19" s="993"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1031"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1031"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1031"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981" t="inlineStr">
        <is>
          <t>RENT  COMPARABLE  INFORMATION</t>
        </is>
      </c>
      <c r="B36" s="982" t="n"/>
      <c r="C36" s="982" t="n"/>
      <c r="D36" s="982" t="n"/>
      <c r="E36" s="982" t="n"/>
      <c r="F36" s="982" t="n"/>
      <c r="G36" s="1032" t="n"/>
      <c r="H36" s="977" t="n"/>
    </row>
    <row r="37" ht="12" customHeight="1">
      <c r="A37" s="1033" t="n"/>
      <c r="B37" s="1034" t="inlineStr">
        <is>
          <t xml:space="preserve"> Source of Information</t>
        </is>
      </c>
      <c r="C37" s="1020" t="inlineStr">
        <is>
          <t>Ngbh</t>
        </is>
      </c>
      <c r="D37" s="1020" t="inlineStr">
        <is>
          <t xml:space="preserve">Land Area </t>
        </is>
      </c>
      <c r="E37" s="1035" t="inlineStr">
        <is>
          <t>Quality</t>
        </is>
      </c>
      <c r="F37" s="1020" t="inlineStr">
        <is>
          <t>Rent / Sq Ft</t>
        </is>
      </c>
      <c r="G37" s="1036" t="n"/>
      <c r="H37" s="1037" t="n"/>
    </row>
    <row r="38" ht="12" customHeight="1">
      <c r="A38" s="1038" t="n"/>
      <c r="B38" s="985" t="inlineStr">
        <is>
          <t xml:space="preserve">  Location</t>
        </is>
      </c>
      <c r="C38" s="986" t="inlineStr">
        <is>
          <t>Zone</t>
        </is>
      </c>
      <c r="D38" s="986" t="inlineStr">
        <is>
          <t xml:space="preserve">L : B  Ratio </t>
        </is>
      </c>
      <c r="E38" s="987" t="n"/>
      <c r="F38" s="986" t="inlineStr">
        <is>
          <t>Vacancy</t>
        </is>
      </c>
      <c r="G38" s="1039" t="inlineStr">
        <is>
          <t xml:space="preserve">Net Adjustments </t>
        </is>
      </c>
      <c r="H38" s="1037" t="n"/>
    </row>
    <row r="39" ht="12" customHeight="1">
      <c r="A39" s="1040" t="inlineStr">
        <is>
          <t>#</t>
        </is>
      </c>
      <c r="B39" s="990" t="inlineStr">
        <is>
          <t xml:space="preserve"> Property Type</t>
        </is>
      </c>
      <c r="C39" s="991" t="inlineStr">
        <is>
          <t>YOC</t>
        </is>
      </c>
      <c r="D39" s="991" t="inlineStr">
        <is>
          <t xml:space="preserve">Building Area </t>
        </is>
      </c>
      <c r="E39" s="992" t="n"/>
      <c r="F39" s="991" t="inlineStr">
        <is>
          <t>Expense Ratio</t>
        </is>
      </c>
      <c r="G39" s="1041" t="inlineStr">
        <is>
          <t xml:space="preserve">Adjusted Rent </t>
        </is>
      </c>
      <c r="H39" s="1037"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0E7490"/>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9" customWidth="1" style="413" min="1" max="1"/>
    <col width="18" customWidth="1" style="413" min="2" max="2"/>
    <col width="18" customWidth="1" style="413" min="3" max="3"/>
    <col width="22" customWidth="1" style="413" min="4" max="4"/>
    <col width="20" customWidth="1" style="413" min="5" max="5"/>
    <col width="19" customWidth="1" style="413" min="6" max="6"/>
    <col width="10" customWidth="1" style="413" min="7" max="7"/>
    <col width="10" bestFit="1" customWidth="1" style="413" min="8" max="8"/>
    <col width="19" customWidth="1" style="413" min="9" max="9"/>
    <col width="18.1640625" customWidth="1" style="413" min="10" max="10"/>
    <col width="13.6640625" customWidth="1" style="413" min="11" max="16384"/>
    <col width="6" customWidth="1" min="25" max="25"/>
    <col hidden="1" width="13" customWidth="1" min="26" max="26"/>
  </cols>
  <sheetData>
    <row r="1" ht="26.25" customHeight="1">
      <c r="A1" s="1042" t="inlineStr">
        <is>
          <t>IMPROVED MARKET APPROACH</t>
        </is>
      </c>
      <c r="B1" s="1042" t="n"/>
      <c r="C1" s="1042" t="n"/>
      <c r="D1" s="1042" t="n"/>
      <c r="E1" s="1042" t="n"/>
      <c r="F1" s="1042" t="n"/>
      <c r="G1" s="1042" t="n"/>
      <c r="H1" s="1042" t="n"/>
      <c r="I1" s="1042" t="n"/>
      <c r="J1" s="977" t="n"/>
      <c r="K1" s="977" t="n"/>
    </row>
    <row r="3" ht="21" customHeight="1" thickBot="1">
      <c r="A3" s="131" t="inlineStr">
        <is>
          <t>SUBJECT</t>
        </is>
      </c>
      <c r="B3" s="131" t="n"/>
      <c r="C3" s="131" t="n"/>
      <c r="D3" s="131" t="n"/>
      <c r="E3" s="131" t="n"/>
      <c r="F3" s="131" t="n"/>
      <c r="G3" s="131" t="n"/>
      <c r="H3" s="131" t="n"/>
      <c r="I3" s="131" t="n"/>
    </row>
    <row r="4" ht="13.5" customHeight="1" thickTop="1">
      <c r="B4" s="1043" t="inlineStr">
        <is>
          <t>Account Number</t>
        </is>
      </c>
      <c r="C4" s="1043" t="inlineStr">
        <is>
          <t>Grantor</t>
        </is>
      </c>
      <c r="D4" s="1044" t="inlineStr">
        <is>
          <t xml:space="preserve">Sale Price </t>
        </is>
      </c>
      <c r="E4" s="1044" t="inlineStr">
        <is>
          <t>Location</t>
        </is>
      </c>
      <c r="F4" s="1044" t="inlineStr">
        <is>
          <t>Age</t>
        </is>
      </c>
      <c r="G4" s="1045" t="n"/>
      <c r="H4" s="1046" t="n"/>
      <c r="I4" s="1047" t="inlineStr">
        <is>
          <t>Value of the</t>
        </is>
      </c>
    </row>
    <row r="5">
      <c r="B5" s="1048" t="inlineStr">
        <is>
          <t>Property Address</t>
        </is>
      </c>
      <c r="C5" s="1048" t="inlineStr">
        <is>
          <t>Grantee</t>
        </is>
      </c>
      <c r="D5" s="1049" t="inlineStr">
        <is>
          <t>Sale Price  / SF</t>
        </is>
      </c>
      <c r="E5" s="1049" t="inlineStr">
        <is>
          <t>Land Size</t>
        </is>
      </c>
      <c r="F5" s="1049" t="inlineStr">
        <is>
          <t>Quality</t>
        </is>
      </c>
      <c r="G5" s="1050" t="n"/>
      <c r="H5" s="1051" t="n"/>
      <c r="I5" s="1052" t="inlineStr">
        <is>
          <t xml:space="preserve"> Subject/SF</t>
        </is>
      </c>
    </row>
    <row r="6">
      <c r="B6" s="1048" t="inlineStr">
        <is>
          <t>Parcel Number</t>
        </is>
      </c>
      <c r="C6" s="1048" t="inlineStr">
        <is>
          <t>Reception Number</t>
        </is>
      </c>
      <c r="D6" s="1053" t="inlineStr">
        <is>
          <t>PP/Time/Mkt Cond</t>
        </is>
      </c>
      <c r="E6" s="1049" t="inlineStr">
        <is>
          <t>L : B  Ratio</t>
        </is>
      </c>
      <c r="F6" s="1053" t="inlineStr">
        <is>
          <t>Phy./Funct Rating</t>
        </is>
      </c>
      <c r="G6" s="1054" t="n"/>
      <c r="H6" s="1051" t="n"/>
      <c r="I6" s="1053" t="inlineStr">
        <is>
          <t>Value</t>
        </is>
      </c>
    </row>
    <row r="7" ht="13.5" customHeight="1" thickBot="1">
      <c r="B7" s="1055" t="inlineStr">
        <is>
          <t>Property Type</t>
        </is>
      </c>
      <c r="C7" s="1056" t="inlineStr">
        <is>
          <t>Sale Date</t>
        </is>
      </c>
      <c r="D7" s="1057" t="inlineStr">
        <is>
          <t>Adj S P  / SF</t>
        </is>
      </c>
      <c r="E7" s="1058" t="inlineStr">
        <is>
          <t>Building Size</t>
        </is>
      </c>
      <c r="F7" s="1058" t="inlineStr">
        <is>
          <t>Zoning</t>
        </is>
      </c>
      <c r="G7" s="1059" t="inlineStr">
        <is>
          <t>Comments</t>
        </is>
      </c>
      <c r="H7" s="1060" t="n"/>
      <c r="I7" s="1057"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042" t="inlineStr">
        <is>
          <t>COMPARABLE SALE PROPERTIES</t>
        </is>
      </c>
      <c r="B15" s="1042" t="n"/>
      <c r="C15" s="1042" t="n"/>
      <c r="D15" s="1042" t="n"/>
      <c r="E15" s="1042" t="n"/>
      <c r="F15" s="1042" t="n"/>
      <c r="G15" s="1042" t="n"/>
      <c r="H15" s="1042" t="n"/>
      <c r="I15" s="1042" t="n"/>
      <c r="J15" s="977" t="n"/>
      <c r="K15" s="977" t="n"/>
    </row>
    <row r="16" ht="13.5" customHeight="1" thickTop="1">
      <c r="A16" s="1037" t="n"/>
      <c r="B16" s="1043" t="inlineStr">
        <is>
          <t>Account Number</t>
        </is>
      </c>
      <c r="C16" s="1043" t="inlineStr">
        <is>
          <t>Grantor</t>
        </is>
      </c>
      <c r="D16" s="1044" t="inlineStr">
        <is>
          <t xml:space="preserve">Sale Price </t>
        </is>
      </c>
      <c r="E16" s="1044" t="inlineStr">
        <is>
          <t>Location</t>
        </is>
      </c>
      <c r="F16" s="1044" t="inlineStr">
        <is>
          <t>Age</t>
        </is>
      </c>
      <c r="G16" s="1044" t="n"/>
      <c r="H16" s="1044" t="n"/>
      <c r="I16" s="1044" t="inlineStr">
        <is>
          <t>Indicated Value</t>
        </is>
      </c>
    </row>
    <row r="17">
      <c r="A17" s="1037" t="n"/>
      <c r="B17" s="1048" t="inlineStr">
        <is>
          <t>Property Address</t>
        </is>
      </c>
      <c r="C17" s="1048" t="inlineStr">
        <is>
          <t>Grantee</t>
        </is>
      </c>
      <c r="D17" s="1049" t="inlineStr">
        <is>
          <t>Sale Price  / SF</t>
        </is>
      </c>
      <c r="E17" s="1049" t="inlineStr">
        <is>
          <t>Land Size</t>
        </is>
      </c>
      <c r="F17" s="1049" t="inlineStr">
        <is>
          <t>Quality</t>
        </is>
      </c>
      <c r="G17" s="1049" t="n"/>
      <c r="H17" s="1049" t="inlineStr">
        <is>
          <t>Adjusted</t>
        </is>
      </c>
      <c r="I17" s="1052" t="inlineStr">
        <is>
          <t>of the Subject/SF</t>
        </is>
      </c>
    </row>
    <row r="18">
      <c r="A18" s="1037" t="n"/>
      <c r="B18" s="1048" t="inlineStr">
        <is>
          <t>Parcel Number</t>
        </is>
      </c>
      <c r="C18" s="1048" t="inlineStr">
        <is>
          <t>Reception Number</t>
        </is>
      </c>
      <c r="D18" s="1053" t="inlineStr">
        <is>
          <t>PP/Time/Mkt Cond Adj</t>
        </is>
      </c>
      <c r="E18" s="1049" t="inlineStr">
        <is>
          <t>L : B  Ratio</t>
        </is>
      </c>
      <c r="F18" s="1053" t="inlineStr">
        <is>
          <t>Phy/Funct Rating</t>
        </is>
      </c>
      <c r="G18" s="1053" t="inlineStr">
        <is>
          <t>Net</t>
        </is>
      </c>
      <c r="H18" s="1049" t="inlineStr">
        <is>
          <t>Sale</t>
        </is>
      </c>
      <c r="I18" s="1053" t="inlineStr">
        <is>
          <t>Indicated Value</t>
        </is>
      </c>
    </row>
    <row r="19" ht="13.5" customHeight="1" thickBot="1">
      <c r="A19" s="1037" t="n"/>
      <c r="B19" s="1055" t="inlineStr">
        <is>
          <t>Property Type</t>
        </is>
      </c>
      <c r="C19" s="1056" t="inlineStr">
        <is>
          <t>Sale Date</t>
        </is>
      </c>
      <c r="D19" s="1057" t="inlineStr">
        <is>
          <t>Adj S P  / SF</t>
        </is>
      </c>
      <c r="E19" s="1058" t="inlineStr">
        <is>
          <t>Building Size/Keys</t>
        </is>
      </c>
      <c r="F19" s="1058" t="inlineStr">
        <is>
          <t>Zoning</t>
        </is>
      </c>
      <c r="G19" s="1057" t="inlineStr">
        <is>
          <t>Adj.</t>
        </is>
      </c>
      <c r="H19" s="1058" t="inlineStr">
        <is>
          <t>Price/SF</t>
        </is>
      </c>
      <c r="I19" s="1057"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1031"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1031"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1031"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1031"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0E7490"/>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18" customWidth="1" style="132" min="2" max="2"/>
    <col width="19" customWidth="1" style="133" min="3" max="6"/>
    <col width="15" customWidth="1" min="4" max="4"/>
    <col width="18" customWidth="1" min="5" max="5"/>
    <col width="7" customWidth="1" min="6" max="6"/>
    <col width="13" customWidth="1" style="133" min="7" max="7"/>
    <col width="13" customWidth="1" style="132" min="8" max="8"/>
    <col width="12.5" customWidth="1" style="132" min="9" max="16384"/>
  </cols>
  <sheetData>
    <row r="1" ht="32.25" customHeight="1">
      <c r="B1" t="n"/>
    </row>
    <row r="2" ht="26.25" customHeight="1">
      <c r="A2" s="977" t="n"/>
      <c r="B2" s="1061" t="inlineStr">
        <is>
          <t>RENT COMPARABLES</t>
        </is>
      </c>
      <c r="C2" s="1061" t="n"/>
      <c r="D2" s="1061" t="n"/>
      <c r="E2" s="1061" t="n"/>
      <c r="F2" s="1061" t="n"/>
      <c r="G2" s="1061" t="n"/>
      <c r="H2" s="1061" t="n"/>
    </row>
    <row r="4" ht="25.15" customHeight="1" thickBot="1">
      <c r="B4" s="1062" t="inlineStr">
        <is>
          <t>SUBJECT</t>
        </is>
      </c>
      <c r="C4" s="1063" t="n"/>
      <c r="D4" s="1063" t="n"/>
      <c r="E4" s="1063" t="n"/>
      <c r="F4" s="1063" t="n"/>
      <c r="G4" s="1063" t="n"/>
      <c r="H4" s="1063" t="n"/>
    </row>
    <row r="5" ht="13.5" customHeight="1" thickTop="1">
      <c r="B5" s="1064" t="inlineStr">
        <is>
          <t>Schedule Number</t>
        </is>
      </c>
      <c r="C5" s="1065" t="inlineStr">
        <is>
          <t>Rent/Sq.Ft.</t>
        </is>
      </c>
      <c r="D5" s="1066" t="inlineStr">
        <is>
          <t>Location</t>
        </is>
      </c>
      <c r="E5" s="1066" t="inlineStr">
        <is>
          <t>Age</t>
        </is>
      </c>
      <c r="F5" s="1066" t="n"/>
      <c r="G5" s="1067" t="n"/>
      <c r="H5" s="1068" t="n"/>
    </row>
    <row r="6">
      <c r="B6" s="1069" t="inlineStr">
        <is>
          <t>Property Address</t>
        </is>
      </c>
      <c r="C6" s="1070" t="inlineStr">
        <is>
          <t>Vacancy</t>
        </is>
      </c>
      <c r="D6" s="1071" t="inlineStr">
        <is>
          <t>Land Size</t>
        </is>
      </c>
      <c r="E6" s="1071" t="inlineStr">
        <is>
          <t>Quality</t>
        </is>
      </c>
      <c r="F6" s="1071" t="n"/>
      <c r="G6" s="1072" t="n"/>
      <c r="H6" s="1073" t="n"/>
    </row>
    <row r="7">
      <c r="B7" s="1069" t="inlineStr">
        <is>
          <t>Property Name</t>
        </is>
      </c>
      <c r="C7" s="1071" t="inlineStr">
        <is>
          <t>Expense / Sq. Ft.</t>
        </is>
      </c>
      <c r="D7" s="1071" t="inlineStr">
        <is>
          <t>L:B Ratio</t>
        </is>
      </c>
      <c r="E7" s="1071" t="inlineStr">
        <is>
          <t>Phy/Funct Rating</t>
        </is>
      </c>
      <c r="F7" s="1071" t="n"/>
      <c r="G7" s="1072" t="n"/>
      <c r="H7" s="1073" t="n"/>
    </row>
    <row r="8" ht="13.5" customHeight="1" thickBot="1">
      <c r="B8" s="1074" t="inlineStr">
        <is>
          <t>Property Type</t>
        </is>
      </c>
      <c r="C8" s="1075" t="inlineStr">
        <is>
          <t>Expense Ratio</t>
        </is>
      </c>
      <c r="D8" s="1076" t="inlineStr">
        <is>
          <t>Building Size</t>
        </is>
      </c>
      <c r="E8" s="1076" t="inlineStr">
        <is>
          <t>Zoning</t>
        </is>
      </c>
      <c r="F8" s="1076" t="inlineStr">
        <is>
          <t>Other</t>
        </is>
      </c>
      <c r="G8" s="1077" t="inlineStr">
        <is>
          <t>Comments</t>
        </is>
      </c>
      <c r="H8" s="1078"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977" t="n"/>
      <c r="B17" s="1079" t="inlineStr">
        <is>
          <t>COMPARABLE RENTAL PROPERTIES</t>
        </is>
      </c>
      <c r="C17" s="1079" t="n"/>
      <c r="D17" s="1079" t="n"/>
      <c r="E17" s="1079" t="n"/>
      <c r="F17" s="1079" t="n"/>
      <c r="G17" s="1079" t="n"/>
      <c r="H17" s="1079" t="n"/>
    </row>
    <row r="18" ht="13.5" customHeight="1" thickTop="1">
      <c r="A18" s="1037" t="n"/>
      <c r="B18" s="1064" t="n"/>
      <c r="C18" s="1065" t="inlineStr">
        <is>
          <t>Rent/Sq.Ft.</t>
        </is>
      </c>
      <c r="D18" s="1066" t="inlineStr">
        <is>
          <t>Location</t>
        </is>
      </c>
      <c r="E18" s="1066" t="inlineStr">
        <is>
          <t>Age</t>
        </is>
      </c>
      <c r="F18" s="1066" t="n"/>
      <c r="G18" s="1066" t="n"/>
      <c r="H18" s="1064" t="n"/>
    </row>
    <row r="19">
      <c r="A19" s="1037" t="n"/>
      <c r="B19" s="1069" t="inlineStr">
        <is>
          <t>OFFICE</t>
        </is>
      </c>
      <c r="C19" s="1070" t="inlineStr">
        <is>
          <t>Vacancy</t>
        </is>
      </c>
      <c r="D19" s="1071" t="inlineStr">
        <is>
          <t>Land Size</t>
        </is>
      </c>
      <c r="E19" s="1071" t="inlineStr">
        <is>
          <t>Quality</t>
        </is>
      </c>
      <c r="F19" s="1071" t="n"/>
      <c r="G19" s="1071" t="n"/>
      <c r="H19" s="1070" t="n"/>
    </row>
    <row r="20">
      <c r="A20" s="1037" t="n"/>
      <c r="B20" s="1069" t="inlineStr">
        <is>
          <t>Source</t>
        </is>
      </c>
      <c r="C20" s="1071" t="inlineStr">
        <is>
          <t>Expense / Sq. Ft.</t>
        </is>
      </c>
      <c r="D20" s="1071" t="inlineStr">
        <is>
          <t>L:B Ratio</t>
        </is>
      </c>
      <c r="E20" s="1071" t="inlineStr">
        <is>
          <t>Phy/Funct Rating</t>
        </is>
      </c>
      <c r="F20" s="1071" t="n"/>
      <c r="G20" s="1070" t="inlineStr">
        <is>
          <t>Net</t>
        </is>
      </c>
      <c r="H20" s="1070" t="inlineStr">
        <is>
          <t>Adjusted</t>
        </is>
      </c>
    </row>
    <row r="21" ht="13.5" customHeight="1" thickBot="1">
      <c r="A21" s="1037" t="n"/>
      <c r="B21" s="1074" t="inlineStr">
        <is>
          <t>Property Type</t>
        </is>
      </c>
      <c r="C21" s="1075" t="inlineStr">
        <is>
          <t>Expense Ratio</t>
        </is>
      </c>
      <c r="D21" s="1076" t="inlineStr">
        <is>
          <t>Building Size</t>
        </is>
      </c>
      <c r="E21" s="1076" t="inlineStr">
        <is>
          <t>Zoning</t>
        </is>
      </c>
      <c r="F21" s="1076" t="inlineStr">
        <is>
          <t>Other</t>
        </is>
      </c>
      <c r="G21" s="1075" t="inlineStr">
        <is>
          <t>Adjustments</t>
        </is>
      </c>
      <c r="H21" s="1075"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0E7490"/>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1640625" customWidth="1" style="162" min="5" max="5"/>
    <col width="6" customWidth="1" style="162" min="6" max="6"/>
    <col width="6.6640625" customWidth="1" style="162" min="7" max="7"/>
    <col width="10" customWidth="1" style="162" min="8" max="8"/>
    <col width="2.1640625" customWidth="1" style="162" min="9" max="9"/>
    <col width="6" customWidth="1" style="162" min="10" max="10"/>
    <col width="9" customWidth="1" style="162" min="11" max="11"/>
    <col width="7" customWidth="1" style="162" min="12" max="12"/>
    <col width="12.5" customWidth="1" style="162" min="13" max="16384"/>
    <col width="6" customWidth="1" min="25" max="25"/>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1031"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1031"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1031"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0E7490"/>
    <outlinePr summaryBelow="1" summaryRight="1"/>
    <pageSetUpPr fitToPage="1"/>
  </sheetPr>
  <dimension ref="A1:Z48"/>
  <sheetViews>
    <sheetView workbookViewId="0">
      <selection activeCell="P15" sqref="P15"/>
    </sheetView>
  </sheetViews>
  <sheetFormatPr baseColWidth="8" defaultColWidth="11.5" defaultRowHeight="12.75"/>
  <cols>
    <col width="32" customWidth="1" style="203" min="1" max="1"/>
    <col width="18" customWidth="1" style="203" min="2" max="2"/>
    <col width="10" customWidth="1" style="203" min="3" max="3"/>
    <col width="16" customWidth="1" style="203" min="4" max="4"/>
    <col width="6.83203125" customWidth="1" style="203" min="5" max="5"/>
    <col width="6" customWidth="1" style="203" min="6" max="6"/>
    <col width="11" customWidth="1" style="203" min="7" max="7"/>
    <col width="7" customWidth="1" style="203" min="8" max="8"/>
    <col width="10.6640625" customWidth="1" style="203" min="9" max="9"/>
    <col width="9" customWidth="1" style="203" min="10" max="10"/>
    <col width="7" customWidth="1" style="203" min="11" max="11"/>
    <col width="11.5" customWidth="1" style="203" min="12" max="16384"/>
    <col width="6" customWidth="1" min="25" max="25"/>
    <col hidden="1" width="13" customWidth="1" min="26" max="26"/>
  </cols>
  <sheetData>
    <row r="1" ht="34.9" customHeight="1">
      <c r="A1" s="1080" t="inlineStr">
        <is>
          <t>2025 APPEAL WORKSHEET</t>
        </is>
      </c>
      <c r="B1" s="1081" t="n"/>
      <c r="C1" s="1081" t="n"/>
      <c r="D1" s="1081" t="n"/>
      <c r="E1" s="1081" t="n"/>
      <c r="F1" s="1081" t="n"/>
      <c r="G1" s="1081" t="n"/>
      <c r="H1" s="1081" t="n"/>
      <c r="I1" s="1081" t="n"/>
      <c r="J1" s="1081" t="n"/>
      <c r="K1" s="1081" t="n"/>
    </row>
    <row r="2" ht="16.15" customHeight="1">
      <c r="A2" s="845" t="inlineStr">
        <is>
          <t>ACCOUNT NUMBER</t>
        </is>
      </c>
      <c r="D2" s="1082" t="inlineStr">
        <is>
          <t> </t>
        </is>
      </c>
      <c r="E2" s="204" t="n"/>
      <c r="F2" s="204" t="n"/>
      <c r="G2" s="204" t="n"/>
      <c r="H2" s="204" t="n"/>
    </row>
    <row r="3" ht="16.15" customHeight="1">
      <c r="A3" s="845" t="inlineStr">
        <is>
          <t>PROPERTY ADDRESS</t>
        </is>
      </c>
      <c r="D3" s="1083" t="inlineStr">
        <is>
          <t> </t>
        </is>
      </c>
      <c r="E3" s="205" t="n"/>
      <c r="F3" s="205" t="n"/>
      <c r="G3" s="205" t="n"/>
      <c r="H3" s="205" t="n"/>
    </row>
    <row r="4" ht="16.15" customHeight="1">
      <c r="A4" s="845" t="inlineStr">
        <is>
          <t>PROTEST NUMBER</t>
        </is>
      </c>
      <c r="D4" s="1083" t="inlineStr">
        <is>
          <t> </t>
        </is>
      </c>
      <c r="E4" s="205" t="n"/>
      <c r="F4" s="205" t="n"/>
      <c r="G4" s="205" t="n"/>
      <c r="H4" s="205" t="n"/>
    </row>
    <row r="5" ht="16.15" customHeight="1">
      <c r="A5" s="845" t="inlineStr">
        <is>
          <t>PETITIONER'S NAME</t>
        </is>
      </c>
      <c r="D5" s="1083"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1084" t="inlineStr">
        <is>
          <t>MARKET RENT COMPARABLES</t>
        </is>
      </c>
      <c r="B18" s="1085" t="n"/>
      <c r="C18" s="1085" t="n"/>
      <c r="D18" s="1085" t="n"/>
      <c r="E18" s="1085" t="n"/>
      <c r="F18" s="1085" t="n"/>
      <c r="G18" s="1085" t="n"/>
      <c r="H18" s="1086" t="inlineStr">
        <is>
          <t>BUILDING</t>
        </is>
      </c>
      <c r="I18" s="1086" t="n"/>
      <c r="J18" s="1086" t="n"/>
      <c r="K18" s="1087" t="inlineStr">
        <is>
          <t>EXP</t>
        </is>
      </c>
    </row>
    <row r="19" ht="15" customHeight="1">
      <c r="A19" s="324" t="n"/>
      <c r="B19" s="1088" t="inlineStr">
        <is>
          <t>OFFICE</t>
        </is>
      </c>
      <c r="C19" s="1089" t="inlineStr">
        <is>
          <t>USE TYPE</t>
        </is>
      </c>
      <c r="D19" s="1089" t="n"/>
      <c r="E19" s="1089" t="n"/>
      <c r="F19" s="1090" t="inlineStr">
        <is>
          <t>ZONE</t>
        </is>
      </c>
      <c r="G19" s="1088" t="inlineStr">
        <is>
          <t>YOC</t>
        </is>
      </c>
      <c r="H19" s="1091" t="inlineStr">
        <is>
          <t>SQ FT</t>
        </is>
      </c>
      <c r="I19" s="1092" t="inlineStr">
        <is>
          <t>RENT</t>
        </is>
      </c>
      <c r="J19" s="1092" t="inlineStr">
        <is>
          <t>VACANCY</t>
        </is>
      </c>
      <c r="K19" s="1093"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1084" t="inlineStr">
        <is>
          <t>MARKET SALE COMPARABLES</t>
        </is>
      </c>
      <c r="B26" s="1085" t="n"/>
      <c r="C26" s="1085" t="n"/>
      <c r="D26" s="1085" t="n"/>
      <c r="E26" s="1085" t="n"/>
      <c r="F26" s="1085" t="n"/>
      <c r="G26" s="1085" t="n"/>
      <c r="H26" s="1094" t="inlineStr">
        <is>
          <t>BUILDING</t>
        </is>
      </c>
      <c r="I26" s="1094" t="inlineStr">
        <is>
          <t>SALE</t>
        </is>
      </c>
      <c r="J26" s="1094" t="inlineStr">
        <is>
          <t>SALE</t>
        </is>
      </c>
      <c r="K26" s="1095" t="inlineStr">
        <is>
          <t>S.P./</t>
        </is>
      </c>
    </row>
    <row r="27" ht="15" customHeight="1">
      <c r="A27" s="333" t="n"/>
      <c r="B27" s="1089" t="inlineStr">
        <is>
          <t>PROPERTY ADDRESS</t>
        </is>
      </c>
      <c r="C27" s="1089" t="n"/>
      <c r="D27" s="1089" t="inlineStr">
        <is>
          <t>ACCOUNT NUMBER</t>
        </is>
      </c>
      <c r="E27" s="1089" t="n"/>
      <c r="F27" s="1089" t="n"/>
      <c r="G27" s="1090" t="inlineStr">
        <is>
          <t>YOC</t>
        </is>
      </c>
      <c r="H27" s="1092" t="inlineStr">
        <is>
          <t>SQ FT</t>
        </is>
      </c>
      <c r="I27" s="1092" t="inlineStr">
        <is>
          <t>DATE</t>
        </is>
      </c>
      <c r="J27" s="1092" t="inlineStr">
        <is>
          <t>PRICE</t>
        </is>
      </c>
      <c r="K27" s="109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1031"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1031"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1031" t="n">
        <v>3</v>
      </c>
      <c r="Z32">
        <f>IFERROR(MATCH(_xlfn.AGGREGATE(15,6,Sales!$AJ$2:$AJ$941,$Y$32),Sales!$AJ$2:$AJ$941,0)+1,"")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tabColor rgb="000E7490"/>
    <outlinePr summaryBelow="1" summaryRight="1"/>
    <pageSetUpPr/>
  </sheetPr>
  <dimension ref="B1:M681"/>
  <sheetViews>
    <sheetView showGridLines="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12" customWidth="1" min="7" max="7"/>
    <col width="10" customWidth="1" min="8" max="8"/>
    <col width="13" customWidth="1" min="9" max="9"/>
    <col width="11" customWidth="1" min="10" max="10"/>
    <col width="15" customWidth="1" min="11" max="11"/>
    <col width="13" customWidth="1" min="12" max="12"/>
    <col width="17" customWidth="1" min="13" max="13"/>
  </cols>
  <sheetData>
    <row r="1">
      <c r="B1" s="1150" t="inlineStr">
        <is>
          <t>MARSHALL AND SWIFT (MVS) REFERENCE ENGINE -- June 2024 Ed. (Section 99/98 multiplier inserts dated Jan 2025)</t>
        </is>
      </c>
    </row>
    <row r="2" ht="28" customHeight="1">
      <c r="B2" s="1201" t="inlineStr">
        <is>
          <t>ALL WORKING INPUTS LIVE ON THE 'COST APPROACH' TAB -- this sheet is locked MVS reference/lookup data only. Go to Cost Approach to value a property.</t>
        </is>
      </c>
    </row>
    <row r="4">
      <c r="B4" s="1202" t="inlineStr">
        <is>
          <t>CURRENT RESULT  (mirrors the 'Cost Approach' tab)</t>
        </is>
      </c>
      <c r="C4" s="964" t="n"/>
      <c r="D4" s="964" t="n"/>
      <c r="E4" s="964" t="n"/>
      <c r="F4" s="964" t="n"/>
    </row>
    <row r="5">
      <c r="B5" s="1203" t="inlineStr">
        <is>
          <t>Total Replacement Cost New (RCN)</t>
        </is>
      </c>
      <c r="C5" s="1204">
        <f>'Cost Approach'!G51</f>
        <v/>
      </c>
    </row>
    <row r="6">
      <c r="B6" s="1203" t="inlineStr">
        <is>
          <t>Depreciated Value of Improvements</t>
        </is>
      </c>
      <c r="C6" s="1204">
        <f>'Cost Approach'!G64</f>
        <v/>
      </c>
    </row>
    <row r="7">
      <c r="B7" s="1203" t="inlineStr">
        <is>
          <t>Plus: Land Value</t>
        </is>
      </c>
      <c r="C7" s="1204">
        <f>'Cost Approach'!G67</f>
        <v/>
      </c>
    </row>
    <row r="8">
      <c r="B8" s="1203" t="inlineStr">
        <is>
          <t>INDICATED VALUE BY COST APPROACH</t>
        </is>
      </c>
      <c r="C8" s="1204">
        <f>'Cost Approach'!G70</f>
        <v/>
      </c>
    </row>
    <row r="11">
      <c r="B11" s="1205" t="inlineStr">
        <is>
          <t>MVS QUICK-REFERENCE TABLES -- DO NOT EDIT  (sourced &amp;amp; verified from the licensed MVS June 2024 edition; Sec.99/98 multiplier inserts dated Jan 2025)</t>
        </is>
      </c>
      <c r="C11" s="1206" t="n"/>
      <c r="D11" s="1206" t="n"/>
      <c r="E11" s="1206" t="n"/>
      <c r="F11" s="1206" t="n"/>
      <c r="G11" s="1206" t="n"/>
      <c r="H11" s="1206" t="n"/>
    </row>
    <row r="13">
      <c r="B13" s="1207" t="inlineStr">
        <is>
          <t>REFERENCE 1 -- Class of Construction Indicators (MVS Section 1, pp.4-9)</t>
        </is>
      </c>
      <c r="C13" s="1208" t="n"/>
      <c r="D13" s="1208" t="n"/>
      <c r="E13" s="1208" t="n"/>
      <c r="F13" s="1208" t="n"/>
      <c r="G13" s="1208" t="n"/>
      <c r="H13" s="1208" t="n"/>
    </row>
    <row r="14">
      <c r="B14" s="1209" t="inlineStr">
        <is>
          <t>Class</t>
        </is>
      </c>
      <c r="C14" s="1209" t="inlineStr">
        <is>
          <t>Frame</t>
        </is>
      </c>
      <c r="D14" s="1209" t="inlineStr">
        <is>
          <t>Floor</t>
        </is>
      </c>
      <c r="E14" s="1209" t="inlineStr">
        <is>
          <t>Roof</t>
        </is>
      </c>
      <c r="F14" s="1209"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1207" t="inlineStr">
        <is>
          <t>REFERENCE 2 -- Quality Tier Definitions (MVS Section 1, pp.10-12)</t>
        </is>
      </c>
      <c r="C21" s="1208" t="n"/>
      <c r="D21" s="1208" t="n"/>
      <c r="E21" s="1208" t="n"/>
      <c r="F21" s="1208" t="n"/>
      <c r="G21" s="1208" t="n"/>
      <c r="H21" s="1208" t="n"/>
    </row>
    <row r="22">
      <c r="B22" s="1209" t="inlineStr">
        <is>
          <t>Quality</t>
        </is>
      </c>
      <c r="C22" s="1209" t="inlineStr">
        <is>
          <t>Description</t>
        </is>
      </c>
    </row>
    <row r="23" ht="45" customHeight="1">
      <c r="B23" s="1158" t="inlineStr">
        <is>
          <t>Low Cost</t>
        </is>
      </c>
      <c r="C23" s="605" t="inlineStr">
        <is>
          <t>Constructed to minimum code requirements, little regard for architectural appearance, minimum investment, little ornamentation, minimal/low-quality interior finish.</t>
        </is>
      </c>
    </row>
    <row r="24" ht="45" customHeight="1">
      <c r="B24" s="1158"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s="1158"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s="1158" t="inlineStr">
        <is>
          <t>Excellent</t>
        </is>
      </c>
      <c r="C26" s="605" t="inlineStr">
        <is>
          <t>Prestige buildings. Part of cost is attributable to pride of ownership. Expensive finishes and fixtures; built for established professionals/institutions or high-profile tenants.</t>
        </is>
      </c>
    </row>
    <row r="28">
      <c r="B28" s="1207" t="inlineStr">
        <is>
          <t>REFERENCE 3 -- Occupancy Base Cost Tables (Calculator Method, $/SF)</t>
        </is>
      </c>
      <c r="C28" s="1208" t="n"/>
      <c r="D28" s="1208" t="n"/>
      <c r="E28" s="1208" t="n"/>
      <c r="F28" s="1208" t="n"/>
      <c r="G28" s="1208" t="n"/>
      <c r="H28" s="1208" t="n"/>
    </row>
    <row r="29">
      <c r="B29" s="1209" t="inlineStr">
        <is>
          <t>Occupancy Name</t>
        </is>
      </c>
      <c r="C29" s="1209" t="inlineStr">
        <is>
          <t>Occ. Code</t>
        </is>
      </c>
      <c r="D29" s="1209" t="inlineStr">
        <is>
          <t>Section</t>
        </is>
      </c>
      <c r="E29" s="1209" t="inlineStr">
        <is>
          <t>Page</t>
        </is>
      </c>
      <c r="F29" s="1209" t="inlineStr">
        <is>
          <t>Class</t>
        </is>
      </c>
      <c r="G29" s="1210" t="inlineStr">
        <is>
          <t>Quality</t>
        </is>
      </c>
      <c r="H29" s="1210" t="inlineStr">
        <is>
          <t>$/SF</t>
        </is>
      </c>
      <c r="I29" s="1210" t="inlineStr">
        <is>
          <t>Lookup Key</t>
        </is>
      </c>
      <c r="J29" s="1210" t="inlineStr">
        <is>
          <t>Story Tbl</t>
        </is>
      </c>
      <c r="K29" s="1210" t="inlineStr">
        <is>
          <t>Sprinkler Tbl</t>
        </is>
      </c>
      <c r="L29" s="1210" t="inlineStr">
        <is>
          <t>Elevator Tbl</t>
        </is>
      </c>
      <c r="M29" s="1210" t="inlineStr">
        <is>
          <t>Citation</t>
        </is>
      </c>
    </row>
    <row r="30">
      <c r="B30" s="1158" t="inlineStr">
        <is>
          <t>Storage Warehouses</t>
        </is>
      </c>
      <c r="C30" s="1158" t="inlineStr">
        <is>
          <t>406</t>
        </is>
      </c>
      <c r="D30" s="1158" t="inlineStr">
        <is>
          <t>14</t>
        </is>
      </c>
      <c r="E30" s="1158" t="inlineStr">
        <is>
          <t>26</t>
        </is>
      </c>
      <c r="F30" s="1158" t="inlineStr">
        <is>
          <t>A</t>
        </is>
      </c>
      <c r="G30" t="inlineStr">
        <is>
          <t>Good</t>
        </is>
      </c>
      <c r="H30" s="606" t="n">
        <v>137</v>
      </c>
      <c r="I30">
        <f>B30&amp;"|"&amp;F30&amp;"|"&amp;G30</f>
        <v/>
      </c>
      <c r="J30" t="inlineStr">
        <is>
          <t>14</t>
        </is>
      </c>
      <c r="K30" t="inlineStr">
        <is>
          <t>14</t>
        </is>
      </c>
      <c r="L30" t="inlineStr">
        <is>
          <t>14</t>
        </is>
      </c>
      <c r="M30" t="inlineStr">
        <is>
          <t>MVS Sec.14 p.26</t>
        </is>
      </c>
    </row>
    <row r="31">
      <c r="B31" s="1158" t="inlineStr">
        <is>
          <t>Storage Warehouses</t>
        </is>
      </c>
      <c r="C31" s="1158" t="inlineStr">
        <is>
          <t>406</t>
        </is>
      </c>
      <c r="D31" s="1158" t="inlineStr">
        <is>
          <t>14</t>
        </is>
      </c>
      <c r="E31" s="1158" t="inlineStr">
        <is>
          <t>26</t>
        </is>
      </c>
      <c r="F31" s="1158" t="inlineStr">
        <is>
          <t>A</t>
        </is>
      </c>
      <c r="G31" t="inlineStr">
        <is>
          <t>Average</t>
        </is>
      </c>
      <c r="H31" s="606" t="n">
        <v>101</v>
      </c>
      <c r="I31">
        <f>B31&amp;"|"&amp;F31&amp;"|"&amp;G31</f>
        <v/>
      </c>
      <c r="J31" t="inlineStr">
        <is>
          <t>14</t>
        </is>
      </c>
      <c r="K31" t="inlineStr">
        <is>
          <t>14</t>
        </is>
      </c>
      <c r="L31" t="inlineStr">
        <is>
          <t>14</t>
        </is>
      </c>
      <c r="M31" t="inlineStr">
        <is>
          <t>MVS Sec.14 p.26</t>
        </is>
      </c>
    </row>
    <row r="32">
      <c r="B32" s="1158" t="inlineStr">
        <is>
          <t>Storage Warehouses</t>
        </is>
      </c>
      <c r="C32" s="1158" t="inlineStr">
        <is>
          <t>406</t>
        </is>
      </c>
      <c r="D32" s="1158" t="inlineStr">
        <is>
          <t>14</t>
        </is>
      </c>
      <c r="E32" s="1158" t="inlineStr">
        <is>
          <t>26</t>
        </is>
      </c>
      <c r="F32" s="1158" t="inlineStr">
        <is>
          <t>A</t>
        </is>
      </c>
      <c r="G32" t="inlineStr">
        <is>
          <t>Low Cost</t>
        </is>
      </c>
      <c r="H32" s="606" t="n">
        <v>79.5</v>
      </c>
      <c r="I32">
        <f>B32&amp;"|"&amp;F32&amp;"|"&amp;G32</f>
        <v/>
      </c>
      <c r="J32" t="inlineStr">
        <is>
          <t>14</t>
        </is>
      </c>
      <c r="K32" t="inlineStr">
        <is>
          <t>14</t>
        </is>
      </c>
      <c r="L32" t="inlineStr">
        <is>
          <t>14</t>
        </is>
      </c>
      <c r="M32" t="inlineStr">
        <is>
          <t>MVS Sec.14 p.26</t>
        </is>
      </c>
    </row>
    <row r="33">
      <c r="B33" s="1158" t="inlineStr">
        <is>
          <t>Storage Warehouses</t>
        </is>
      </c>
      <c r="C33" s="1158" t="inlineStr">
        <is>
          <t>406</t>
        </is>
      </c>
      <c r="D33" s="1158" t="inlineStr">
        <is>
          <t>14</t>
        </is>
      </c>
      <c r="E33" s="1158" t="inlineStr">
        <is>
          <t>26</t>
        </is>
      </c>
      <c r="F33" s="1158" t="inlineStr">
        <is>
          <t>B</t>
        </is>
      </c>
      <c r="G33" t="inlineStr">
        <is>
          <t>Good</t>
        </is>
      </c>
      <c r="H33" s="606" t="n">
        <v>121</v>
      </c>
      <c r="I33">
        <f>B33&amp;"|"&amp;F33&amp;"|"&amp;G33</f>
        <v/>
      </c>
      <c r="J33" t="inlineStr">
        <is>
          <t>14</t>
        </is>
      </c>
      <c r="K33" t="inlineStr">
        <is>
          <t>14</t>
        </is>
      </c>
      <c r="L33" t="inlineStr">
        <is>
          <t>14</t>
        </is>
      </c>
      <c r="M33" t="inlineStr">
        <is>
          <t>MVS Sec.14 p.26</t>
        </is>
      </c>
    </row>
    <row r="34">
      <c r="B34" s="1158" t="inlineStr">
        <is>
          <t>Storage Warehouses</t>
        </is>
      </c>
      <c r="C34" s="1158" t="inlineStr">
        <is>
          <t>406</t>
        </is>
      </c>
      <c r="D34" s="1158" t="inlineStr">
        <is>
          <t>14</t>
        </is>
      </c>
      <c r="E34" s="1158" t="inlineStr">
        <is>
          <t>26</t>
        </is>
      </c>
      <c r="F34" s="1158" t="inlineStr">
        <is>
          <t>B</t>
        </is>
      </c>
      <c r="G34" t="inlineStr">
        <is>
          <t>Average</t>
        </is>
      </c>
      <c r="H34" s="606" t="n">
        <v>88</v>
      </c>
      <c r="I34">
        <f>B34&amp;"|"&amp;F34&amp;"|"&amp;G34</f>
        <v/>
      </c>
      <c r="J34" t="inlineStr">
        <is>
          <t>14</t>
        </is>
      </c>
      <c r="K34" t="inlineStr">
        <is>
          <t>14</t>
        </is>
      </c>
      <c r="L34" t="inlineStr">
        <is>
          <t>14</t>
        </is>
      </c>
      <c r="M34" t="inlineStr">
        <is>
          <t>MVS Sec.14 p.26</t>
        </is>
      </c>
    </row>
    <row r="35">
      <c r="B35" s="1158" t="inlineStr">
        <is>
          <t>Storage Warehouses</t>
        </is>
      </c>
      <c r="C35" s="1158" t="inlineStr">
        <is>
          <t>406</t>
        </is>
      </c>
      <c r="D35" s="1158" t="inlineStr">
        <is>
          <t>14</t>
        </is>
      </c>
      <c r="E35" s="1158" t="inlineStr">
        <is>
          <t>26</t>
        </is>
      </c>
      <c r="F35" s="1158" t="inlineStr">
        <is>
          <t>B</t>
        </is>
      </c>
      <c r="G35" t="inlineStr">
        <is>
          <t>Low Cost</t>
        </is>
      </c>
      <c r="H35" s="606" t="n">
        <v>69</v>
      </c>
      <c r="I35">
        <f>B35&amp;"|"&amp;F35&amp;"|"&amp;G35</f>
        <v/>
      </c>
      <c r="J35" t="inlineStr">
        <is>
          <t>14</t>
        </is>
      </c>
      <c r="K35" t="inlineStr">
        <is>
          <t>14</t>
        </is>
      </c>
      <c r="L35" t="inlineStr">
        <is>
          <t>14</t>
        </is>
      </c>
      <c r="M35" t="inlineStr">
        <is>
          <t>MVS Sec.14 p.26</t>
        </is>
      </c>
    </row>
    <row r="36">
      <c r="B36" s="1158" t="inlineStr">
        <is>
          <t>Storage Warehouses</t>
        </is>
      </c>
      <c r="C36" s="1158" t="inlineStr">
        <is>
          <t>406</t>
        </is>
      </c>
      <c r="D36" s="1158" t="inlineStr">
        <is>
          <t>14</t>
        </is>
      </c>
      <c r="E36" s="1158" t="inlineStr">
        <is>
          <t>26</t>
        </is>
      </c>
      <c r="F36" s="1158" t="inlineStr">
        <is>
          <t>C</t>
        </is>
      </c>
      <c r="G36" t="inlineStr">
        <is>
          <t>Excellent</t>
        </is>
      </c>
      <c r="H36" s="606" t="n">
        <v>134</v>
      </c>
      <c r="I36">
        <f>B36&amp;"|"&amp;F36&amp;"|"&amp;G36</f>
        <v/>
      </c>
      <c r="J36" t="inlineStr">
        <is>
          <t>14</t>
        </is>
      </c>
      <c r="K36" t="inlineStr">
        <is>
          <t>14</t>
        </is>
      </c>
      <c r="L36" t="inlineStr">
        <is>
          <t>14</t>
        </is>
      </c>
      <c r="M36" t="inlineStr">
        <is>
          <t>MVS Sec.14 p.26</t>
        </is>
      </c>
    </row>
    <row r="37">
      <c r="B37" s="1158" t="inlineStr">
        <is>
          <t>Storage Warehouses</t>
        </is>
      </c>
      <c r="C37" s="1158" t="inlineStr">
        <is>
          <t>406</t>
        </is>
      </c>
      <c r="D37" s="1158" t="inlineStr">
        <is>
          <t>14</t>
        </is>
      </c>
      <c r="E37" s="1158" t="inlineStr">
        <is>
          <t>26</t>
        </is>
      </c>
      <c r="F37" s="1158" t="inlineStr">
        <is>
          <t>C</t>
        </is>
      </c>
      <c r="G37" t="inlineStr">
        <is>
          <t>Good</t>
        </is>
      </c>
      <c r="H37" s="606" t="n">
        <v>86.5</v>
      </c>
      <c r="I37">
        <f>B37&amp;"|"&amp;F37&amp;"|"&amp;G37</f>
        <v/>
      </c>
      <c r="J37" t="inlineStr">
        <is>
          <t>14</t>
        </is>
      </c>
      <c r="K37" t="inlineStr">
        <is>
          <t>14</t>
        </is>
      </c>
      <c r="L37" t="inlineStr">
        <is>
          <t>14</t>
        </is>
      </c>
      <c r="M37" t="inlineStr">
        <is>
          <t>MVS Sec.14 p.26</t>
        </is>
      </c>
    </row>
    <row r="38">
      <c r="B38" s="1158" t="inlineStr">
        <is>
          <t>Storage Warehouses</t>
        </is>
      </c>
      <c r="C38" s="1158" t="inlineStr">
        <is>
          <t>406</t>
        </is>
      </c>
      <c r="D38" s="1158" t="inlineStr">
        <is>
          <t>14</t>
        </is>
      </c>
      <c r="E38" s="1158" t="inlineStr">
        <is>
          <t>26</t>
        </is>
      </c>
      <c r="F38" s="1158" t="inlineStr">
        <is>
          <t>C</t>
        </is>
      </c>
      <c r="G38" t="inlineStr">
        <is>
          <t>Average</t>
        </is>
      </c>
      <c r="H38" s="606" t="n">
        <v>61</v>
      </c>
      <c r="I38">
        <f>B38&amp;"|"&amp;F38&amp;"|"&amp;G38</f>
        <v/>
      </c>
      <c r="J38" t="inlineStr">
        <is>
          <t>14</t>
        </is>
      </c>
      <c r="K38" t="inlineStr">
        <is>
          <t>14</t>
        </is>
      </c>
      <c r="L38" t="inlineStr">
        <is>
          <t>14</t>
        </is>
      </c>
      <c r="M38" t="inlineStr">
        <is>
          <t>MVS Sec.14 p.26</t>
        </is>
      </c>
    </row>
    <row r="39">
      <c r="B39" s="1158" t="inlineStr">
        <is>
          <t>Storage Warehouses</t>
        </is>
      </c>
      <c r="C39" s="1158" t="inlineStr">
        <is>
          <t>406</t>
        </is>
      </c>
      <c r="D39" s="1158" t="inlineStr">
        <is>
          <t>14</t>
        </is>
      </c>
      <c r="E39" s="1158" t="inlineStr">
        <is>
          <t>26</t>
        </is>
      </c>
      <c r="F39" s="1158" t="inlineStr">
        <is>
          <t>C</t>
        </is>
      </c>
      <c r="G39" t="inlineStr">
        <is>
          <t>Low Cost</t>
        </is>
      </c>
      <c r="H39" s="606" t="n">
        <v>43</v>
      </c>
      <c r="I39">
        <f>B39&amp;"|"&amp;F39&amp;"|"&amp;G39</f>
        <v/>
      </c>
      <c r="J39" t="inlineStr">
        <is>
          <t>14</t>
        </is>
      </c>
      <c r="K39" t="inlineStr">
        <is>
          <t>14</t>
        </is>
      </c>
      <c r="L39" t="inlineStr">
        <is>
          <t>14</t>
        </is>
      </c>
      <c r="M39" t="inlineStr">
        <is>
          <t>MVS Sec.14 p.26</t>
        </is>
      </c>
    </row>
    <row r="40">
      <c r="B40" s="1158" t="inlineStr">
        <is>
          <t>Storage Warehouses</t>
        </is>
      </c>
      <c r="C40" s="1158" t="inlineStr">
        <is>
          <t>406</t>
        </is>
      </c>
      <c r="D40" s="1158" t="inlineStr">
        <is>
          <t>14</t>
        </is>
      </c>
      <c r="E40" s="1158" t="inlineStr">
        <is>
          <t>26</t>
        </is>
      </c>
      <c r="F40" s="1158" t="inlineStr">
        <is>
          <t>CMILL</t>
        </is>
      </c>
      <c r="G40" t="inlineStr">
        <is>
          <t>Good</t>
        </is>
      </c>
      <c r="H40" s="606" t="n">
        <v>119</v>
      </c>
      <c r="I40">
        <f>B40&amp;"|"&amp;F40&amp;"|"&amp;G40</f>
        <v/>
      </c>
      <c r="J40" t="inlineStr">
        <is>
          <t>14</t>
        </is>
      </c>
      <c r="K40" t="inlineStr">
        <is>
          <t>14</t>
        </is>
      </c>
      <c r="L40" t="inlineStr">
        <is>
          <t>14</t>
        </is>
      </c>
      <c r="M40" t="inlineStr">
        <is>
          <t>MVS Sec.14 p.26</t>
        </is>
      </c>
    </row>
    <row r="41">
      <c r="B41" s="1158" t="inlineStr">
        <is>
          <t>Storage Warehouses</t>
        </is>
      </c>
      <c r="C41" s="1158" t="inlineStr">
        <is>
          <t>406</t>
        </is>
      </c>
      <c r="D41" s="1158" t="inlineStr">
        <is>
          <t>14</t>
        </is>
      </c>
      <c r="E41" s="1158" t="inlineStr">
        <is>
          <t>26</t>
        </is>
      </c>
      <c r="F41" s="1158" t="inlineStr">
        <is>
          <t>CMILL</t>
        </is>
      </c>
      <c r="G41" t="inlineStr">
        <is>
          <t>Average</t>
        </is>
      </c>
      <c r="H41" s="606" t="n">
        <v>82</v>
      </c>
      <c r="I41">
        <f>B41&amp;"|"&amp;F41&amp;"|"&amp;G41</f>
        <v/>
      </c>
      <c r="J41" t="inlineStr">
        <is>
          <t>14</t>
        </is>
      </c>
      <c r="K41" t="inlineStr">
        <is>
          <t>14</t>
        </is>
      </c>
      <c r="L41" t="inlineStr">
        <is>
          <t>14</t>
        </is>
      </c>
      <c r="M41" t="inlineStr">
        <is>
          <t>MVS Sec.14 p.26</t>
        </is>
      </c>
    </row>
    <row r="42">
      <c r="B42" s="1158" t="inlineStr">
        <is>
          <t>Storage Warehouses</t>
        </is>
      </c>
      <c r="C42" s="1158" t="inlineStr">
        <is>
          <t>406</t>
        </is>
      </c>
      <c r="D42" s="1158" t="inlineStr">
        <is>
          <t>14</t>
        </is>
      </c>
      <c r="E42" s="1158" t="inlineStr">
        <is>
          <t>26</t>
        </is>
      </c>
      <c r="F42" s="1158" t="inlineStr">
        <is>
          <t>D</t>
        </is>
      </c>
      <c r="G42" t="inlineStr">
        <is>
          <t>Good</t>
        </is>
      </c>
      <c r="H42" s="606" t="n">
        <v>78</v>
      </c>
      <c r="I42">
        <f>B42&amp;"|"&amp;F42&amp;"|"&amp;G42</f>
        <v/>
      </c>
      <c r="J42" t="inlineStr">
        <is>
          <t>14</t>
        </is>
      </c>
      <c r="K42" t="inlineStr">
        <is>
          <t>14</t>
        </is>
      </c>
      <c r="L42" t="inlineStr">
        <is>
          <t>14</t>
        </is>
      </c>
      <c r="M42" t="inlineStr">
        <is>
          <t>MVS Sec.14 p.26</t>
        </is>
      </c>
    </row>
    <row r="43">
      <c r="B43" s="1158" t="inlineStr">
        <is>
          <t>Storage Warehouses</t>
        </is>
      </c>
      <c r="C43" s="1158" t="inlineStr">
        <is>
          <t>406</t>
        </is>
      </c>
      <c r="D43" s="1158" t="inlineStr">
        <is>
          <t>14</t>
        </is>
      </c>
      <c r="E43" s="1158" t="inlineStr">
        <is>
          <t>26</t>
        </is>
      </c>
      <c r="F43" s="1158" t="inlineStr">
        <is>
          <t>D</t>
        </is>
      </c>
      <c r="G43" t="inlineStr">
        <is>
          <t>Average</t>
        </is>
      </c>
      <c r="H43" s="606" t="n">
        <v>54.5</v>
      </c>
      <c r="I43">
        <f>B43&amp;"|"&amp;F43&amp;"|"&amp;G43</f>
        <v/>
      </c>
      <c r="J43" t="inlineStr">
        <is>
          <t>14</t>
        </is>
      </c>
      <c r="K43" t="inlineStr">
        <is>
          <t>14</t>
        </is>
      </c>
      <c r="L43" t="inlineStr">
        <is>
          <t>14</t>
        </is>
      </c>
      <c r="M43" t="inlineStr">
        <is>
          <t>MVS Sec.14 p.26</t>
        </is>
      </c>
    </row>
    <row r="44">
      <c r="B44" s="1158" t="inlineStr">
        <is>
          <t>Storage Warehouses</t>
        </is>
      </c>
      <c r="C44" s="1158" t="inlineStr">
        <is>
          <t>406</t>
        </is>
      </c>
      <c r="D44" s="1158" t="inlineStr">
        <is>
          <t>14</t>
        </is>
      </c>
      <c r="E44" s="1158" t="inlineStr">
        <is>
          <t>26</t>
        </is>
      </c>
      <c r="F44" s="1158" t="inlineStr">
        <is>
          <t>D</t>
        </is>
      </c>
      <c r="G44" t="inlineStr">
        <is>
          <t>Low Cost</t>
        </is>
      </c>
      <c r="H44" s="606" t="n">
        <v>38.75</v>
      </c>
      <c r="I44">
        <f>B44&amp;"|"&amp;F44&amp;"|"&amp;G44</f>
        <v/>
      </c>
      <c r="J44" t="inlineStr">
        <is>
          <t>14</t>
        </is>
      </c>
      <c r="K44" t="inlineStr">
        <is>
          <t>14</t>
        </is>
      </c>
      <c r="L44" t="inlineStr">
        <is>
          <t>14</t>
        </is>
      </c>
      <c r="M44" t="inlineStr">
        <is>
          <t>MVS Sec.14 p.26</t>
        </is>
      </c>
    </row>
    <row r="45">
      <c r="B45" s="1158" t="inlineStr">
        <is>
          <t>Storage Warehouses</t>
        </is>
      </c>
      <c r="C45" s="1158" t="inlineStr">
        <is>
          <t>406</t>
        </is>
      </c>
      <c r="D45" s="1158" t="inlineStr">
        <is>
          <t>14</t>
        </is>
      </c>
      <c r="E45" s="1158" t="inlineStr">
        <is>
          <t>26</t>
        </is>
      </c>
      <c r="F45" s="1158" t="inlineStr">
        <is>
          <t>DPOLE</t>
        </is>
      </c>
      <c r="G45" t="inlineStr">
        <is>
          <t>Average</t>
        </is>
      </c>
      <c r="H45" s="606" t="n">
        <v>48</v>
      </c>
      <c r="I45">
        <f>B45&amp;"|"&amp;F45&amp;"|"&amp;G45</f>
        <v/>
      </c>
      <c r="J45" t="inlineStr">
        <is>
          <t>14</t>
        </is>
      </c>
      <c r="K45" t="inlineStr">
        <is>
          <t>14</t>
        </is>
      </c>
      <c r="L45" t="inlineStr">
        <is>
          <t>14</t>
        </is>
      </c>
      <c r="M45" t="inlineStr">
        <is>
          <t>MVS Sec.14 p.26</t>
        </is>
      </c>
    </row>
    <row r="46">
      <c r="B46" s="1158" t="inlineStr">
        <is>
          <t>Storage Warehouses</t>
        </is>
      </c>
      <c r="C46" s="1158" t="inlineStr">
        <is>
          <t>406</t>
        </is>
      </c>
      <c r="D46" s="1158" t="inlineStr">
        <is>
          <t>14</t>
        </is>
      </c>
      <c r="E46" s="1158" t="inlineStr">
        <is>
          <t>26</t>
        </is>
      </c>
      <c r="F46" s="1158" t="inlineStr">
        <is>
          <t>DPOLE</t>
        </is>
      </c>
      <c r="G46" t="inlineStr">
        <is>
          <t>Low Cost</t>
        </is>
      </c>
      <c r="H46" s="606" t="n">
        <v>34</v>
      </c>
      <c r="I46">
        <f>B46&amp;"|"&amp;F46&amp;"|"&amp;G46</f>
        <v/>
      </c>
      <c r="J46" t="inlineStr">
        <is>
          <t>14</t>
        </is>
      </c>
      <c r="K46" t="inlineStr">
        <is>
          <t>14</t>
        </is>
      </c>
      <c r="L46" t="inlineStr">
        <is>
          <t>14</t>
        </is>
      </c>
      <c r="M46" t="inlineStr">
        <is>
          <t>MVS Sec.14 p.26</t>
        </is>
      </c>
    </row>
    <row r="47">
      <c r="B47" s="1158" t="inlineStr">
        <is>
          <t>Storage Warehouses</t>
        </is>
      </c>
      <c r="C47" s="1158" t="inlineStr">
        <is>
          <t>406</t>
        </is>
      </c>
      <c r="D47" s="1158" t="inlineStr">
        <is>
          <t>14</t>
        </is>
      </c>
      <c r="E47" s="1158" t="inlineStr">
        <is>
          <t>26</t>
        </is>
      </c>
      <c r="F47" s="1158" t="inlineStr">
        <is>
          <t>S</t>
        </is>
      </c>
      <c r="G47" t="inlineStr">
        <is>
          <t>Excellent</t>
        </is>
      </c>
      <c r="H47" s="606" t="n">
        <v>125</v>
      </c>
      <c r="I47">
        <f>B47&amp;"|"&amp;F47&amp;"|"&amp;G47</f>
        <v/>
      </c>
      <c r="J47" t="inlineStr">
        <is>
          <t>14</t>
        </is>
      </c>
      <c r="K47" t="inlineStr">
        <is>
          <t>14</t>
        </is>
      </c>
      <c r="L47" t="inlineStr">
        <is>
          <t>14</t>
        </is>
      </c>
      <c r="M47" t="inlineStr">
        <is>
          <t>MVS Sec.14 p.26</t>
        </is>
      </c>
    </row>
    <row r="48">
      <c r="B48" s="1158" t="inlineStr">
        <is>
          <t>Storage Warehouses</t>
        </is>
      </c>
      <c r="C48" s="1158" t="inlineStr">
        <is>
          <t>406</t>
        </is>
      </c>
      <c r="D48" s="1158" t="inlineStr">
        <is>
          <t>14</t>
        </is>
      </c>
      <c r="E48" s="1158" t="inlineStr">
        <is>
          <t>26</t>
        </is>
      </c>
      <c r="F48" s="1158" t="inlineStr">
        <is>
          <t>S</t>
        </is>
      </c>
      <c r="G48" t="inlineStr">
        <is>
          <t>Good</t>
        </is>
      </c>
      <c r="H48" s="606" t="n">
        <v>79.5</v>
      </c>
      <c r="I48">
        <f>B48&amp;"|"&amp;F48&amp;"|"&amp;G48</f>
        <v/>
      </c>
      <c r="J48" t="inlineStr">
        <is>
          <t>14</t>
        </is>
      </c>
      <c r="K48" t="inlineStr">
        <is>
          <t>14</t>
        </is>
      </c>
      <c r="L48" t="inlineStr">
        <is>
          <t>14</t>
        </is>
      </c>
      <c r="M48" t="inlineStr">
        <is>
          <t>MVS Sec.14 p.26</t>
        </is>
      </c>
    </row>
    <row r="49">
      <c r="B49" s="1158" t="inlineStr">
        <is>
          <t>Storage Warehouses</t>
        </is>
      </c>
      <c r="C49" s="1158" t="inlineStr">
        <is>
          <t>406</t>
        </is>
      </c>
      <c r="D49" s="1158" t="inlineStr">
        <is>
          <t>14</t>
        </is>
      </c>
      <c r="E49" s="1158" t="inlineStr">
        <is>
          <t>26</t>
        </is>
      </c>
      <c r="F49" s="1158" t="inlineStr">
        <is>
          <t>S</t>
        </is>
      </c>
      <c r="G49" t="inlineStr">
        <is>
          <t>Average</t>
        </is>
      </c>
      <c r="H49" s="606" t="n">
        <v>55.5</v>
      </c>
      <c r="I49">
        <f>B49&amp;"|"&amp;F49&amp;"|"&amp;G49</f>
        <v/>
      </c>
      <c r="J49" t="inlineStr">
        <is>
          <t>14</t>
        </is>
      </c>
      <c r="K49" t="inlineStr">
        <is>
          <t>14</t>
        </is>
      </c>
      <c r="L49" t="inlineStr">
        <is>
          <t>14</t>
        </is>
      </c>
      <c r="M49" t="inlineStr">
        <is>
          <t>MVS Sec.14 p.26</t>
        </is>
      </c>
    </row>
    <row r="50">
      <c r="B50" s="1158" t="inlineStr">
        <is>
          <t>Storage Warehouses</t>
        </is>
      </c>
      <c r="C50" s="1158" t="inlineStr">
        <is>
          <t>406</t>
        </is>
      </c>
      <c r="D50" s="1158" t="inlineStr">
        <is>
          <t>14</t>
        </is>
      </c>
      <c r="E50" s="1158" t="inlineStr">
        <is>
          <t>26</t>
        </is>
      </c>
      <c r="F50" s="1158" t="inlineStr">
        <is>
          <t>S</t>
        </is>
      </c>
      <c r="G50" t="inlineStr">
        <is>
          <t>Low Cost</t>
        </is>
      </c>
      <c r="H50" s="606" t="n">
        <v>38.75</v>
      </c>
      <c r="I50">
        <f>B50&amp;"|"&amp;F50&amp;"|"&amp;G50</f>
        <v/>
      </c>
      <c r="J50" t="inlineStr">
        <is>
          <t>14</t>
        </is>
      </c>
      <c r="K50" t="inlineStr">
        <is>
          <t>14</t>
        </is>
      </c>
      <c r="L50" t="inlineStr">
        <is>
          <t>14</t>
        </is>
      </c>
      <c r="M50" t="inlineStr">
        <is>
          <t>MVS Sec.14 p.26</t>
        </is>
      </c>
    </row>
    <row r="51">
      <c r="B51" s="1158" t="inlineStr">
        <is>
          <t>Distribution Warehouses</t>
        </is>
      </c>
      <c r="C51" s="1158" t="inlineStr">
        <is>
          <t>407</t>
        </is>
      </c>
      <c r="D51" s="1158" t="inlineStr">
        <is>
          <t>14</t>
        </is>
      </c>
      <c r="E51" s="1158" t="inlineStr">
        <is>
          <t>23</t>
        </is>
      </c>
      <c r="F51" s="1158" t="inlineStr">
        <is>
          <t>A</t>
        </is>
      </c>
      <c r="G51" t="inlineStr">
        <is>
          <t>Good</t>
        </is>
      </c>
      <c r="H51" s="606" t="n">
        <v>161</v>
      </c>
      <c r="I51">
        <f>B51&amp;"|"&amp;F51&amp;"|"&amp;G51</f>
        <v/>
      </c>
      <c r="J51" t="inlineStr">
        <is>
          <t>14</t>
        </is>
      </c>
      <c r="K51" t="inlineStr">
        <is>
          <t>14</t>
        </is>
      </c>
      <c r="L51" t="inlineStr">
        <is>
          <t>14</t>
        </is>
      </c>
      <c r="M51" t="inlineStr">
        <is>
          <t>MVS Sec.14 p.23</t>
        </is>
      </c>
    </row>
    <row r="52">
      <c r="B52" s="1158" t="inlineStr">
        <is>
          <t>Distribution Warehouses</t>
        </is>
      </c>
      <c r="C52" s="1158" t="inlineStr">
        <is>
          <t>407</t>
        </is>
      </c>
      <c r="D52" s="1158" t="inlineStr">
        <is>
          <t>14</t>
        </is>
      </c>
      <c r="E52" s="1158" t="inlineStr">
        <is>
          <t>23</t>
        </is>
      </c>
      <c r="F52" s="1158" t="inlineStr">
        <is>
          <t>A</t>
        </is>
      </c>
      <c r="G52" t="inlineStr">
        <is>
          <t>Average</t>
        </is>
      </c>
      <c r="H52" s="606" t="n">
        <v>123</v>
      </c>
      <c r="I52">
        <f>B52&amp;"|"&amp;F52&amp;"|"&amp;G52</f>
        <v/>
      </c>
      <c r="J52" t="inlineStr">
        <is>
          <t>14</t>
        </is>
      </c>
      <c r="K52" t="inlineStr">
        <is>
          <t>14</t>
        </is>
      </c>
      <c r="L52" t="inlineStr">
        <is>
          <t>14</t>
        </is>
      </c>
      <c r="M52" t="inlineStr">
        <is>
          <t>MVS Sec.14 p.23</t>
        </is>
      </c>
    </row>
    <row r="53">
      <c r="B53" s="1158" t="inlineStr">
        <is>
          <t>Distribution Warehouses</t>
        </is>
      </c>
      <c r="C53" s="1158" t="inlineStr">
        <is>
          <t>407</t>
        </is>
      </c>
      <c r="D53" s="1158" t="inlineStr">
        <is>
          <t>14</t>
        </is>
      </c>
      <c r="E53" s="1158" t="inlineStr">
        <is>
          <t>23</t>
        </is>
      </c>
      <c r="F53" s="1158" t="inlineStr">
        <is>
          <t>B</t>
        </is>
      </c>
      <c r="G53" t="inlineStr">
        <is>
          <t>Good</t>
        </is>
      </c>
      <c r="H53" s="606" t="n">
        <v>144</v>
      </c>
      <c r="I53">
        <f>B53&amp;"|"&amp;F53&amp;"|"&amp;G53</f>
        <v/>
      </c>
      <c r="J53" t="inlineStr">
        <is>
          <t>14</t>
        </is>
      </c>
      <c r="K53" t="inlineStr">
        <is>
          <t>14</t>
        </is>
      </c>
      <c r="L53" t="inlineStr">
        <is>
          <t>14</t>
        </is>
      </c>
      <c r="M53" t="inlineStr">
        <is>
          <t>MVS Sec.14 p.23</t>
        </is>
      </c>
    </row>
    <row r="54">
      <c r="B54" s="1158" t="inlineStr">
        <is>
          <t>Distribution Warehouses</t>
        </is>
      </c>
      <c r="C54" s="1158" t="inlineStr">
        <is>
          <t>407</t>
        </is>
      </c>
      <c r="D54" s="1158" t="inlineStr">
        <is>
          <t>14</t>
        </is>
      </c>
      <c r="E54" s="1158" t="inlineStr">
        <is>
          <t>23</t>
        </is>
      </c>
      <c r="F54" s="1158" t="inlineStr">
        <is>
          <t>B</t>
        </is>
      </c>
      <c r="G54" t="inlineStr">
        <is>
          <t>Average</t>
        </is>
      </c>
      <c r="H54" s="606" t="n">
        <v>108</v>
      </c>
      <c r="I54">
        <f>B54&amp;"|"&amp;F54&amp;"|"&amp;G54</f>
        <v/>
      </c>
      <c r="J54" t="inlineStr">
        <is>
          <t>14</t>
        </is>
      </c>
      <c r="K54" t="inlineStr">
        <is>
          <t>14</t>
        </is>
      </c>
      <c r="L54" t="inlineStr">
        <is>
          <t>14</t>
        </is>
      </c>
      <c r="M54" t="inlineStr">
        <is>
          <t>MVS Sec.14 p.23</t>
        </is>
      </c>
    </row>
    <row r="55">
      <c r="B55" s="1158" t="inlineStr">
        <is>
          <t>Distribution Warehouses</t>
        </is>
      </c>
      <c r="C55" s="1158" t="inlineStr">
        <is>
          <t>407</t>
        </is>
      </c>
      <c r="D55" s="1158" t="inlineStr">
        <is>
          <t>14</t>
        </is>
      </c>
      <c r="E55" s="1158" t="inlineStr">
        <is>
          <t>23</t>
        </is>
      </c>
      <c r="F55" s="1158" t="inlineStr">
        <is>
          <t>C</t>
        </is>
      </c>
      <c r="G55" t="inlineStr">
        <is>
          <t>Excellent</t>
        </is>
      </c>
      <c r="H55" s="606" t="n">
        <v>150</v>
      </c>
      <c r="I55">
        <f>B55&amp;"|"&amp;F55&amp;"|"&amp;G55</f>
        <v/>
      </c>
      <c r="J55" t="inlineStr">
        <is>
          <t>14</t>
        </is>
      </c>
      <c r="K55" t="inlineStr">
        <is>
          <t>14</t>
        </is>
      </c>
      <c r="L55" t="inlineStr">
        <is>
          <t>14</t>
        </is>
      </c>
      <c r="M55" t="inlineStr">
        <is>
          <t>MVS Sec.14 p.23</t>
        </is>
      </c>
    </row>
    <row r="56">
      <c r="B56" s="1158" t="inlineStr">
        <is>
          <t>Distribution Warehouses</t>
        </is>
      </c>
      <c r="C56" s="1158" t="inlineStr">
        <is>
          <t>407</t>
        </is>
      </c>
      <c r="D56" s="1158" t="inlineStr">
        <is>
          <t>14</t>
        </is>
      </c>
      <c r="E56" s="1158" t="inlineStr">
        <is>
          <t>23</t>
        </is>
      </c>
      <c r="F56" s="1158" t="inlineStr">
        <is>
          <t>C</t>
        </is>
      </c>
      <c r="G56" t="inlineStr">
        <is>
          <t>Good</t>
        </is>
      </c>
      <c r="H56" s="606" t="n">
        <v>103</v>
      </c>
      <c r="I56">
        <f>B56&amp;"|"&amp;F56&amp;"|"&amp;G56</f>
        <v/>
      </c>
      <c r="J56" t="inlineStr">
        <is>
          <t>14</t>
        </is>
      </c>
      <c r="K56" t="inlineStr">
        <is>
          <t>14</t>
        </is>
      </c>
      <c r="L56" t="inlineStr">
        <is>
          <t>14</t>
        </is>
      </c>
      <c r="M56" t="inlineStr">
        <is>
          <t>MVS Sec.14 p.23</t>
        </is>
      </c>
    </row>
    <row r="57">
      <c r="B57" s="1158" t="inlineStr">
        <is>
          <t>Distribution Warehouses</t>
        </is>
      </c>
      <c r="C57" s="1158" t="inlineStr">
        <is>
          <t>407</t>
        </is>
      </c>
      <c r="D57" s="1158" t="inlineStr">
        <is>
          <t>14</t>
        </is>
      </c>
      <c r="E57" s="1158" t="inlineStr">
        <is>
          <t>23</t>
        </is>
      </c>
      <c r="F57" s="1158" t="inlineStr">
        <is>
          <t>C</t>
        </is>
      </c>
      <c r="G57" t="inlineStr">
        <is>
          <t>Average</t>
        </is>
      </c>
      <c r="H57" s="606" t="n">
        <v>70.5</v>
      </c>
      <c r="I57">
        <f>B57&amp;"|"&amp;F57&amp;"|"&amp;G57</f>
        <v/>
      </c>
      <c r="J57" t="inlineStr">
        <is>
          <t>14</t>
        </is>
      </c>
      <c r="K57" t="inlineStr">
        <is>
          <t>14</t>
        </is>
      </c>
      <c r="L57" t="inlineStr">
        <is>
          <t>14</t>
        </is>
      </c>
      <c r="M57" t="inlineStr">
        <is>
          <t>MVS Sec.14 p.23</t>
        </is>
      </c>
    </row>
    <row r="58">
      <c r="B58" s="1158" t="inlineStr">
        <is>
          <t>Distribution Warehouses</t>
        </is>
      </c>
      <c r="C58" s="1158" t="inlineStr">
        <is>
          <t>407</t>
        </is>
      </c>
      <c r="D58" s="1158" t="inlineStr">
        <is>
          <t>14</t>
        </is>
      </c>
      <c r="E58" s="1158" t="inlineStr">
        <is>
          <t>23</t>
        </is>
      </c>
      <c r="F58" s="1158" t="inlineStr">
        <is>
          <t>C</t>
        </is>
      </c>
      <c r="G58" t="inlineStr">
        <is>
          <t>Low Cost</t>
        </is>
      </c>
      <c r="H58" s="606" t="n">
        <v>50.5</v>
      </c>
      <c r="I58">
        <f>B58&amp;"|"&amp;F58&amp;"|"&amp;G58</f>
        <v/>
      </c>
      <c r="J58" t="inlineStr">
        <is>
          <t>14</t>
        </is>
      </c>
      <c r="K58" t="inlineStr">
        <is>
          <t>14</t>
        </is>
      </c>
      <c r="L58" t="inlineStr">
        <is>
          <t>14</t>
        </is>
      </c>
      <c r="M58" t="inlineStr">
        <is>
          <t>MVS Sec.14 p.23</t>
        </is>
      </c>
    </row>
    <row r="59">
      <c r="B59" s="1158" t="inlineStr">
        <is>
          <t>Distribution Warehouses</t>
        </is>
      </c>
      <c r="C59" s="1158" t="inlineStr">
        <is>
          <t>407</t>
        </is>
      </c>
      <c r="D59" s="1158" t="inlineStr">
        <is>
          <t>14</t>
        </is>
      </c>
      <c r="E59" s="1158" t="inlineStr">
        <is>
          <t>23</t>
        </is>
      </c>
      <c r="F59" s="1158" t="inlineStr">
        <is>
          <t>D</t>
        </is>
      </c>
      <c r="G59" t="inlineStr">
        <is>
          <t>Good</t>
        </is>
      </c>
      <c r="H59" s="606" t="n">
        <v>92.5</v>
      </c>
      <c r="I59">
        <f>B59&amp;"|"&amp;F59&amp;"|"&amp;G59</f>
        <v/>
      </c>
      <c r="J59" t="inlineStr">
        <is>
          <t>14</t>
        </is>
      </c>
      <c r="K59" t="inlineStr">
        <is>
          <t>14</t>
        </is>
      </c>
      <c r="L59" t="inlineStr">
        <is>
          <t>14</t>
        </is>
      </c>
      <c r="M59" t="inlineStr">
        <is>
          <t>MVS Sec.14 p.23</t>
        </is>
      </c>
    </row>
    <row r="60">
      <c r="B60" s="1158" t="inlineStr">
        <is>
          <t>Distribution Warehouses</t>
        </is>
      </c>
      <c r="C60" s="1158" t="inlineStr">
        <is>
          <t>407</t>
        </is>
      </c>
      <c r="D60" s="1158" t="inlineStr">
        <is>
          <t>14</t>
        </is>
      </c>
      <c r="E60" s="1158" t="inlineStr">
        <is>
          <t>23</t>
        </is>
      </c>
      <c r="F60" s="1158" t="inlineStr">
        <is>
          <t>D</t>
        </is>
      </c>
      <c r="G60" t="inlineStr">
        <is>
          <t>Average</t>
        </is>
      </c>
      <c r="H60" s="606" t="n">
        <v>63</v>
      </c>
      <c r="I60">
        <f>B60&amp;"|"&amp;F60&amp;"|"&amp;G60</f>
        <v/>
      </c>
      <c r="J60" t="inlineStr">
        <is>
          <t>14</t>
        </is>
      </c>
      <c r="K60" t="inlineStr">
        <is>
          <t>14</t>
        </is>
      </c>
      <c r="L60" t="inlineStr">
        <is>
          <t>14</t>
        </is>
      </c>
      <c r="M60" t="inlineStr">
        <is>
          <t>MVS Sec.14 p.23</t>
        </is>
      </c>
    </row>
    <row r="61">
      <c r="B61" s="1158" t="inlineStr">
        <is>
          <t>Distribution Warehouses</t>
        </is>
      </c>
      <c r="C61" s="1158" t="inlineStr">
        <is>
          <t>407</t>
        </is>
      </c>
      <c r="D61" s="1158" t="inlineStr">
        <is>
          <t>14</t>
        </is>
      </c>
      <c r="E61" s="1158" t="inlineStr">
        <is>
          <t>23</t>
        </is>
      </c>
      <c r="F61" s="1158" t="inlineStr">
        <is>
          <t>DPOLE</t>
        </is>
      </c>
      <c r="G61" t="inlineStr">
        <is>
          <t>Average</t>
        </is>
      </c>
      <c r="H61" s="606" t="n">
        <v>57</v>
      </c>
      <c r="I61">
        <f>B61&amp;"|"&amp;F61&amp;"|"&amp;G61</f>
        <v/>
      </c>
      <c r="J61" t="inlineStr">
        <is>
          <t>14</t>
        </is>
      </c>
      <c r="K61" t="inlineStr">
        <is>
          <t>14</t>
        </is>
      </c>
      <c r="L61" t="inlineStr">
        <is>
          <t>14</t>
        </is>
      </c>
      <c r="M61" t="inlineStr">
        <is>
          <t>MVS Sec.14 p.23</t>
        </is>
      </c>
    </row>
    <row r="62">
      <c r="B62" s="1158" t="inlineStr">
        <is>
          <t>Distribution Warehouses</t>
        </is>
      </c>
      <c r="C62" s="1158" t="inlineStr">
        <is>
          <t>407</t>
        </is>
      </c>
      <c r="D62" s="1158" t="inlineStr">
        <is>
          <t>14</t>
        </is>
      </c>
      <c r="E62" s="1158" t="inlineStr">
        <is>
          <t>23</t>
        </is>
      </c>
      <c r="F62" s="1158" t="inlineStr">
        <is>
          <t>DPOLE</t>
        </is>
      </c>
      <c r="G62" t="inlineStr">
        <is>
          <t>Low Cost</t>
        </is>
      </c>
      <c r="H62" s="606" t="n">
        <v>41.25</v>
      </c>
      <c r="I62">
        <f>B62&amp;"|"&amp;F62&amp;"|"&amp;G62</f>
        <v/>
      </c>
      <c r="J62" t="inlineStr">
        <is>
          <t>14</t>
        </is>
      </c>
      <c r="K62" t="inlineStr">
        <is>
          <t>14</t>
        </is>
      </c>
      <c r="L62" t="inlineStr">
        <is>
          <t>14</t>
        </is>
      </c>
      <c r="M62" t="inlineStr">
        <is>
          <t>MVS Sec.14 p.23</t>
        </is>
      </c>
    </row>
    <row r="63">
      <c r="B63" s="1158" t="inlineStr">
        <is>
          <t>Distribution Warehouses</t>
        </is>
      </c>
      <c r="C63" s="1158" t="inlineStr">
        <is>
          <t>407</t>
        </is>
      </c>
      <c r="D63" s="1158" t="inlineStr">
        <is>
          <t>14</t>
        </is>
      </c>
      <c r="E63" s="1158" t="inlineStr">
        <is>
          <t>23</t>
        </is>
      </c>
      <c r="F63" s="1158" t="inlineStr">
        <is>
          <t>S</t>
        </is>
      </c>
      <c r="G63" t="inlineStr">
        <is>
          <t>Excellent</t>
        </is>
      </c>
      <c r="H63" s="606" t="n">
        <v>139</v>
      </c>
      <c r="I63">
        <f>B63&amp;"|"&amp;F63&amp;"|"&amp;G63</f>
        <v/>
      </c>
      <c r="J63" t="inlineStr">
        <is>
          <t>14</t>
        </is>
      </c>
      <c r="K63" t="inlineStr">
        <is>
          <t>14</t>
        </is>
      </c>
      <c r="L63" t="inlineStr">
        <is>
          <t>14</t>
        </is>
      </c>
      <c r="M63" t="inlineStr">
        <is>
          <t>MVS Sec.14 p.23</t>
        </is>
      </c>
    </row>
    <row r="64">
      <c r="B64" s="1158" t="inlineStr">
        <is>
          <t>Distribution Warehouses</t>
        </is>
      </c>
      <c r="C64" s="1158" t="inlineStr">
        <is>
          <t>407</t>
        </is>
      </c>
      <c r="D64" s="1158" t="inlineStr">
        <is>
          <t>14</t>
        </is>
      </c>
      <c r="E64" s="1158" t="inlineStr">
        <is>
          <t>23</t>
        </is>
      </c>
      <c r="F64" s="1158" t="inlineStr">
        <is>
          <t>S</t>
        </is>
      </c>
      <c r="G64" t="inlineStr">
        <is>
          <t>Good</t>
        </is>
      </c>
      <c r="H64" s="606" t="n">
        <v>94.5</v>
      </c>
      <c r="I64">
        <f>B64&amp;"|"&amp;F64&amp;"|"&amp;G64</f>
        <v/>
      </c>
      <c r="J64" t="inlineStr">
        <is>
          <t>14</t>
        </is>
      </c>
      <c r="K64" t="inlineStr">
        <is>
          <t>14</t>
        </is>
      </c>
      <c r="L64" t="inlineStr">
        <is>
          <t>14</t>
        </is>
      </c>
      <c r="M64" t="inlineStr">
        <is>
          <t>MVS Sec.14 p.23</t>
        </is>
      </c>
    </row>
    <row r="65">
      <c r="B65" s="1158" t="inlineStr">
        <is>
          <t>Distribution Warehouses</t>
        </is>
      </c>
      <c r="C65" s="1158" t="inlineStr">
        <is>
          <t>407</t>
        </is>
      </c>
      <c r="D65" s="1158" t="inlineStr">
        <is>
          <t>14</t>
        </is>
      </c>
      <c r="E65" s="1158" t="inlineStr">
        <is>
          <t>23</t>
        </is>
      </c>
      <c r="F65" s="1158" t="inlineStr">
        <is>
          <t>S</t>
        </is>
      </c>
      <c r="G65" t="inlineStr">
        <is>
          <t>Average</t>
        </is>
      </c>
      <c r="H65" s="606" t="n">
        <v>64</v>
      </c>
      <c r="I65">
        <f>B65&amp;"|"&amp;F65&amp;"|"&amp;G65</f>
        <v/>
      </c>
      <c r="J65" t="inlineStr">
        <is>
          <t>14</t>
        </is>
      </c>
      <c r="K65" t="inlineStr">
        <is>
          <t>14</t>
        </is>
      </c>
      <c r="L65" t="inlineStr">
        <is>
          <t>14</t>
        </is>
      </c>
      <c r="M65" t="inlineStr">
        <is>
          <t>MVS Sec.14 p.23</t>
        </is>
      </c>
    </row>
    <row r="66">
      <c r="B66" s="1158" t="inlineStr">
        <is>
          <t>Distribution Warehouses</t>
        </is>
      </c>
      <c r="C66" s="1158" t="inlineStr">
        <is>
          <t>407</t>
        </is>
      </c>
      <c r="D66" s="1158" t="inlineStr">
        <is>
          <t>14</t>
        </is>
      </c>
      <c r="E66" s="1158" t="inlineStr">
        <is>
          <t>23</t>
        </is>
      </c>
      <c r="F66" s="1158" t="inlineStr">
        <is>
          <t>S</t>
        </is>
      </c>
      <c r="G66" t="inlineStr">
        <is>
          <t>Low Cost</t>
        </is>
      </c>
      <c r="H66" s="606" t="n">
        <v>45.5</v>
      </c>
      <c r="I66">
        <f>B66&amp;"|"&amp;F66&amp;"|"&amp;G66</f>
        <v/>
      </c>
      <c r="J66" t="inlineStr">
        <is>
          <t>14</t>
        </is>
      </c>
      <c r="K66" t="inlineStr">
        <is>
          <t>14</t>
        </is>
      </c>
      <c r="L66" t="inlineStr">
        <is>
          <t>14</t>
        </is>
      </c>
      <c r="M66" t="inlineStr">
        <is>
          <t>MVS Sec.14 p.23</t>
        </is>
      </c>
    </row>
    <row r="67">
      <c r="B67" s="1158" t="inlineStr">
        <is>
          <t>Mini-Warehouses / Self-Storage</t>
        </is>
      </c>
      <c r="C67" s="1158" t="inlineStr">
        <is>
          <t>386</t>
        </is>
      </c>
      <c r="D67" s="1158" t="inlineStr">
        <is>
          <t>14</t>
        </is>
      </c>
      <c r="E67" s="1158" t="inlineStr">
        <is>
          <t>28</t>
        </is>
      </c>
      <c r="F67" s="1158" t="inlineStr">
        <is>
          <t>C</t>
        </is>
      </c>
      <c r="G67" t="inlineStr">
        <is>
          <t>Good</t>
        </is>
      </c>
      <c r="H67" s="606" t="n">
        <v>68.5</v>
      </c>
      <c r="I67">
        <f>B67&amp;"|"&amp;F67&amp;"|"&amp;G67</f>
        <v/>
      </c>
      <c r="J67" t="inlineStr">
        <is>
          <t>14</t>
        </is>
      </c>
      <c r="K67" t="inlineStr">
        <is>
          <t>14</t>
        </is>
      </c>
      <c r="L67" t="inlineStr">
        <is>
          <t>14</t>
        </is>
      </c>
      <c r="M67" t="inlineStr">
        <is>
          <t>MVS Sec.14 p.28</t>
        </is>
      </c>
    </row>
    <row r="68">
      <c r="B68" s="1158" t="inlineStr">
        <is>
          <t>Mini-Warehouses / Self-Storage</t>
        </is>
      </c>
      <c r="C68" s="1158" t="inlineStr">
        <is>
          <t>386</t>
        </is>
      </c>
      <c r="D68" s="1158" t="inlineStr">
        <is>
          <t>14</t>
        </is>
      </c>
      <c r="E68" s="1158" t="inlineStr">
        <is>
          <t>28</t>
        </is>
      </c>
      <c r="F68" s="1158" t="inlineStr">
        <is>
          <t>C</t>
        </is>
      </c>
      <c r="G68" t="inlineStr">
        <is>
          <t>Average</t>
        </is>
      </c>
      <c r="H68" s="606" t="n">
        <v>51</v>
      </c>
      <c r="I68">
        <f>B68&amp;"|"&amp;F68&amp;"|"&amp;G68</f>
        <v/>
      </c>
      <c r="J68" t="inlineStr">
        <is>
          <t>14</t>
        </is>
      </c>
      <c r="K68" t="inlineStr">
        <is>
          <t>14</t>
        </is>
      </c>
      <c r="L68" t="inlineStr">
        <is>
          <t>14</t>
        </is>
      </c>
      <c r="M68" t="inlineStr">
        <is>
          <t>MVS Sec.14 p.28</t>
        </is>
      </c>
    </row>
    <row r="69">
      <c r="B69" s="1158" t="inlineStr">
        <is>
          <t>Mini-Warehouses / Self-Storage</t>
        </is>
      </c>
      <c r="C69" s="1158" t="inlineStr">
        <is>
          <t>386</t>
        </is>
      </c>
      <c r="D69" s="1158" t="inlineStr">
        <is>
          <t>14</t>
        </is>
      </c>
      <c r="E69" s="1158" t="inlineStr">
        <is>
          <t>28</t>
        </is>
      </c>
      <c r="F69" s="1158" t="inlineStr">
        <is>
          <t>C</t>
        </is>
      </c>
      <c r="G69" t="inlineStr">
        <is>
          <t>Low Cost</t>
        </is>
      </c>
      <c r="H69" s="606" t="n">
        <v>38.25</v>
      </c>
      <c r="I69">
        <f>B69&amp;"|"&amp;F69&amp;"|"&amp;G69</f>
        <v/>
      </c>
      <c r="J69" t="inlineStr">
        <is>
          <t>14</t>
        </is>
      </c>
      <c r="K69" t="inlineStr">
        <is>
          <t>14</t>
        </is>
      </c>
      <c r="L69" t="inlineStr">
        <is>
          <t>14</t>
        </is>
      </c>
      <c r="M69" t="inlineStr">
        <is>
          <t>MVS Sec.14 p.28</t>
        </is>
      </c>
    </row>
    <row r="70">
      <c r="B70" s="1158" t="inlineStr">
        <is>
          <t>Mini-Warehouses / Self-Storage</t>
        </is>
      </c>
      <c r="C70" s="1158" t="inlineStr">
        <is>
          <t>386</t>
        </is>
      </c>
      <c r="D70" s="1158" t="inlineStr">
        <is>
          <t>14</t>
        </is>
      </c>
      <c r="E70" s="1158" t="inlineStr">
        <is>
          <t>28</t>
        </is>
      </c>
      <c r="F70" s="1158" t="inlineStr">
        <is>
          <t>D</t>
        </is>
      </c>
      <c r="G70" t="inlineStr">
        <is>
          <t>Good</t>
        </is>
      </c>
      <c r="H70" s="606" t="n">
        <v>63.5</v>
      </c>
      <c r="I70">
        <f>B70&amp;"|"&amp;F70&amp;"|"&amp;G70</f>
        <v/>
      </c>
      <c r="J70" t="inlineStr">
        <is>
          <t>14</t>
        </is>
      </c>
      <c r="K70" t="inlineStr">
        <is>
          <t>14</t>
        </is>
      </c>
      <c r="L70" t="inlineStr">
        <is>
          <t>14</t>
        </is>
      </c>
      <c r="M70" t="inlineStr">
        <is>
          <t>MVS Sec.14 p.28</t>
        </is>
      </c>
    </row>
    <row r="71">
      <c r="B71" s="1158" t="inlineStr">
        <is>
          <t>Mini-Warehouses / Self-Storage</t>
        </is>
      </c>
      <c r="C71" s="1158" t="inlineStr">
        <is>
          <t>386</t>
        </is>
      </c>
      <c r="D71" s="1158" t="inlineStr">
        <is>
          <t>14</t>
        </is>
      </c>
      <c r="E71" s="1158" t="inlineStr">
        <is>
          <t>28</t>
        </is>
      </c>
      <c r="F71" s="1158" t="inlineStr">
        <is>
          <t>D</t>
        </is>
      </c>
      <c r="G71" t="inlineStr">
        <is>
          <t>Average</t>
        </is>
      </c>
      <c r="H71" s="606" t="n">
        <v>47.5</v>
      </c>
      <c r="I71">
        <f>B71&amp;"|"&amp;F71&amp;"|"&amp;G71</f>
        <v/>
      </c>
      <c r="J71" t="inlineStr">
        <is>
          <t>14</t>
        </is>
      </c>
      <c r="K71" t="inlineStr">
        <is>
          <t>14</t>
        </is>
      </c>
      <c r="L71" t="inlineStr">
        <is>
          <t>14</t>
        </is>
      </c>
      <c r="M71" t="inlineStr">
        <is>
          <t>MVS Sec.14 p.28</t>
        </is>
      </c>
    </row>
    <row r="72">
      <c r="B72" s="1158" t="inlineStr">
        <is>
          <t>Mini-Warehouses / Self-Storage</t>
        </is>
      </c>
      <c r="C72" s="1158" t="inlineStr">
        <is>
          <t>386</t>
        </is>
      </c>
      <c r="D72" s="1158" t="inlineStr">
        <is>
          <t>14</t>
        </is>
      </c>
      <c r="E72" s="1158" t="inlineStr">
        <is>
          <t>28</t>
        </is>
      </c>
      <c r="F72" s="1158" t="inlineStr">
        <is>
          <t>D</t>
        </is>
      </c>
      <c r="G72" t="inlineStr">
        <is>
          <t>Low Cost</t>
        </is>
      </c>
      <c r="H72" s="606" t="n">
        <v>35.5</v>
      </c>
      <c r="I72">
        <f>B72&amp;"|"&amp;F72&amp;"|"&amp;G72</f>
        <v/>
      </c>
      <c r="J72" t="inlineStr">
        <is>
          <t>14</t>
        </is>
      </c>
      <c r="K72" t="inlineStr">
        <is>
          <t>14</t>
        </is>
      </c>
      <c r="L72" t="inlineStr">
        <is>
          <t>14</t>
        </is>
      </c>
      <c r="M72" t="inlineStr">
        <is>
          <t>MVS Sec.14 p.28</t>
        </is>
      </c>
    </row>
    <row r="73">
      <c r="B73" s="1158" t="inlineStr">
        <is>
          <t>Mini-Warehouses / Self-Storage</t>
        </is>
      </c>
      <c r="C73" s="1158" t="inlineStr">
        <is>
          <t>386</t>
        </is>
      </c>
      <c r="D73" s="1158" t="inlineStr">
        <is>
          <t>14</t>
        </is>
      </c>
      <c r="E73" s="1158" t="inlineStr">
        <is>
          <t>28</t>
        </is>
      </c>
      <c r="F73" s="1158" t="inlineStr">
        <is>
          <t>DPOLE</t>
        </is>
      </c>
      <c r="G73" t="inlineStr">
        <is>
          <t>Good</t>
        </is>
      </c>
      <c r="H73" s="606" t="n">
        <v>58.5</v>
      </c>
      <c r="I73">
        <f>B73&amp;"|"&amp;F73&amp;"|"&amp;G73</f>
        <v/>
      </c>
      <c r="J73" t="inlineStr">
        <is>
          <t>14</t>
        </is>
      </c>
      <c r="K73" t="inlineStr">
        <is>
          <t>14</t>
        </is>
      </c>
      <c r="L73" t="inlineStr">
        <is>
          <t>14</t>
        </is>
      </c>
      <c r="M73" t="inlineStr">
        <is>
          <t>MVS Sec.14 p.28</t>
        </is>
      </c>
    </row>
    <row r="74">
      <c r="B74" s="1158" t="inlineStr">
        <is>
          <t>Mini-Warehouses / Self-Storage</t>
        </is>
      </c>
      <c r="C74" s="1158" t="inlineStr">
        <is>
          <t>386</t>
        </is>
      </c>
      <c r="D74" s="1158" t="inlineStr">
        <is>
          <t>14</t>
        </is>
      </c>
      <c r="E74" s="1158" t="inlineStr">
        <is>
          <t>28</t>
        </is>
      </c>
      <c r="F74" s="1158" t="inlineStr">
        <is>
          <t>DPOLE</t>
        </is>
      </c>
      <c r="G74" t="inlineStr">
        <is>
          <t>Average</t>
        </is>
      </c>
      <c r="H74" s="606" t="n">
        <v>43.5</v>
      </c>
      <c r="I74">
        <f>B74&amp;"|"&amp;F74&amp;"|"&amp;G74</f>
        <v/>
      </c>
      <c r="J74" t="inlineStr">
        <is>
          <t>14</t>
        </is>
      </c>
      <c r="K74" t="inlineStr">
        <is>
          <t>14</t>
        </is>
      </c>
      <c r="L74" t="inlineStr">
        <is>
          <t>14</t>
        </is>
      </c>
      <c r="M74" t="inlineStr">
        <is>
          <t>MVS Sec.14 p.28</t>
        </is>
      </c>
    </row>
    <row r="75">
      <c r="B75" s="1158" t="inlineStr">
        <is>
          <t>Mini-Warehouses / Self-Storage</t>
        </is>
      </c>
      <c r="C75" s="1158" t="inlineStr">
        <is>
          <t>386</t>
        </is>
      </c>
      <c r="D75" s="1158" t="inlineStr">
        <is>
          <t>14</t>
        </is>
      </c>
      <c r="E75" s="1158" t="inlineStr">
        <is>
          <t>28</t>
        </is>
      </c>
      <c r="F75" s="1158" t="inlineStr">
        <is>
          <t>DPOLE</t>
        </is>
      </c>
      <c r="G75" t="inlineStr">
        <is>
          <t>Low Cost</t>
        </is>
      </c>
      <c r="H75" s="606" t="n">
        <v>32.5</v>
      </c>
      <c r="I75">
        <f>B75&amp;"|"&amp;F75&amp;"|"&amp;G75</f>
        <v/>
      </c>
      <c r="J75" t="inlineStr">
        <is>
          <t>14</t>
        </is>
      </c>
      <c r="K75" t="inlineStr">
        <is>
          <t>14</t>
        </is>
      </c>
      <c r="L75" t="inlineStr">
        <is>
          <t>14</t>
        </is>
      </c>
      <c r="M75" t="inlineStr">
        <is>
          <t>MVS Sec.14 p.28</t>
        </is>
      </c>
    </row>
    <row r="76">
      <c r="B76" s="1158" t="inlineStr">
        <is>
          <t>Mini-Warehouses / Self-Storage</t>
        </is>
      </c>
      <c r="C76" s="1158" t="inlineStr">
        <is>
          <t>386</t>
        </is>
      </c>
      <c r="D76" s="1158" t="inlineStr">
        <is>
          <t>14</t>
        </is>
      </c>
      <c r="E76" s="1158" t="inlineStr">
        <is>
          <t>28</t>
        </is>
      </c>
      <c r="F76" s="1158" t="inlineStr">
        <is>
          <t>S</t>
        </is>
      </c>
      <c r="G76" t="inlineStr">
        <is>
          <t>Good</t>
        </is>
      </c>
      <c r="H76" s="606" t="n">
        <v>63.5</v>
      </c>
      <c r="I76">
        <f>B76&amp;"|"&amp;F76&amp;"|"&amp;G76</f>
        <v/>
      </c>
      <c r="J76" t="inlineStr">
        <is>
          <t>14</t>
        </is>
      </c>
      <c r="K76" t="inlineStr">
        <is>
          <t>14</t>
        </is>
      </c>
      <c r="L76" t="inlineStr">
        <is>
          <t>14</t>
        </is>
      </c>
      <c r="M76" t="inlineStr">
        <is>
          <t>MVS Sec.14 p.28</t>
        </is>
      </c>
    </row>
    <row r="77">
      <c r="B77" s="1158" t="inlineStr">
        <is>
          <t>Mini-Warehouses / Self-Storage</t>
        </is>
      </c>
      <c r="C77" s="1158" t="inlineStr">
        <is>
          <t>386</t>
        </is>
      </c>
      <c r="D77" s="1158" t="inlineStr">
        <is>
          <t>14</t>
        </is>
      </c>
      <c r="E77" s="1158" t="inlineStr">
        <is>
          <t>28</t>
        </is>
      </c>
      <c r="F77" s="1158" t="inlineStr">
        <is>
          <t>S</t>
        </is>
      </c>
      <c r="G77" t="inlineStr">
        <is>
          <t>Average</t>
        </is>
      </c>
      <c r="H77" s="606" t="n">
        <v>47.5</v>
      </c>
      <c r="I77">
        <f>B77&amp;"|"&amp;F77&amp;"|"&amp;G77</f>
        <v/>
      </c>
      <c r="J77" t="inlineStr">
        <is>
          <t>14</t>
        </is>
      </c>
      <c r="K77" t="inlineStr">
        <is>
          <t>14</t>
        </is>
      </c>
      <c r="L77" t="inlineStr">
        <is>
          <t>14</t>
        </is>
      </c>
      <c r="M77" t="inlineStr">
        <is>
          <t>MVS Sec.14 p.28</t>
        </is>
      </c>
    </row>
    <row r="78">
      <c r="B78" s="1158" t="inlineStr">
        <is>
          <t>Mini-Warehouses / Self-Storage</t>
        </is>
      </c>
      <c r="C78" s="1158" t="inlineStr">
        <is>
          <t>386</t>
        </is>
      </c>
      <c r="D78" s="1158" t="inlineStr">
        <is>
          <t>14</t>
        </is>
      </c>
      <c r="E78" s="1158" t="inlineStr">
        <is>
          <t>28</t>
        </is>
      </c>
      <c r="F78" s="1158" t="inlineStr">
        <is>
          <t>S</t>
        </is>
      </c>
      <c r="G78" t="inlineStr">
        <is>
          <t>Low Cost</t>
        </is>
      </c>
      <c r="H78" s="606" t="n">
        <v>35.5</v>
      </c>
      <c r="I78">
        <f>B78&amp;"|"&amp;F78&amp;"|"&amp;G78</f>
        <v/>
      </c>
      <c r="J78" t="inlineStr">
        <is>
          <t>14</t>
        </is>
      </c>
      <c r="K78" t="inlineStr">
        <is>
          <t>14</t>
        </is>
      </c>
      <c r="L78" t="inlineStr">
        <is>
          <t>14</t>
        </is>
      </c>
      <c r="M78" t="inlineStr">
        <is>
          <t>MVS Sec.14 p.28</t>
        </is>
      </c>
    </row>
    <row r="79">
      <c r="B79" s="1158" t="inlineStr">
        <is>
          <t>Mini-Warehouses / Self-Storage</t>
        </is>
      </c>
      <c r="C79" s="1158" t="inlineStr">
        <is>
          <t>386</t>
        </is>
      </c>
      <c r="D79" s="1158" t="inlineStr">
        <is>
          <t>14</t>
        </is>
      </c>
      <c r="E79" s="1158" t="inlineStr">
        <is>
          <t>28</t>
        </is>
      </c>
      <c r="F79" s="1158" t="inlineStr">
        <is>
          <t>S</t>
        </is>
      </c>
      <c r="G79" t="inlineStr">
        <is>
          <t>Cheap</t>
        </is>
      </c>
      <c r="H79" s="606" t="n">
        <v>26.25</v>
      </c>
      <c r="I79">
        <f>B79&amp;"|"&amp;F79&amp;"|"&amp;G79</f>
        <v/>
      </c>
      <c r="J79" t="inlineStr">
        <is>
          <t>14</t>
        </is>
      </c>
      <c r="K79" t="inlineStr">
        <is>
          <t>14</t>
        </is>
      </c>
      <c r="L79" t="inlineStr">
        <is>
          <t>14</t>
        </is>
      </c>
      <c r="M79" t="inlineStr">
        <is>
          <t>MVS Sec.14 p.28</t>
        </is>
      </c>
    </row>
    <row r="80">
      <c r="B80" s="1158" t="inlineStr">
        <is>
          <t>Mini-Warehouses, High-Rise</t>
        </is>
      </c>
      <c r="C80" s="1158" t="inlineStr">
        <is>
          <t>525</t>
        </is>
      </c>
      <c r="D80" s="1158" t="inlineStr">
        <is>
          <t>14</t>
        </is>
      </c>
      <c r="E80" s="1158" t="inlineStr">
        <is>
          <t>28</t>
        </is>
      </c>
      <c r="F80" s="1158" t="inlineStr">
        <is>
          <t>A-B</t>
        </is>
      </c>
      <c r="G80" t="inlineStr">
        <is>
          <t>Average</t>
        </is>
      </c>
      <c r="H80" s="606" t="n">
        <v>94</v>
      </c>
      <c r="I80">
        <f>B80&amp;"|"&amp;F80&amp;"|"&amp;G80</f>
        <v/>
      </c>
      <c r="J80" t="inlineStr">
        <is>
          <t>14</t>
        </is>
      </c>
      <c r="K80" t="inlineStr">
        <is>
          <t>14</t>
        </is>
      </c>
      <c r="L80" t="inlineStr">
        <is>
          <t>14</t>
        </is>
      </c>
      <c r="M80" t="inlineStr">
        <is>
          <t>MVS Sec.14 p.28</t>
        </is>
      </c>
    </row>
    <row r="81">
      <c r="B81" s="1158" t="inlineStr">
        <is>
          <t>Mini-Warehouses, High-Rise</t>
        </is>
      </c>
      <c r="C81" s="1158" t="inlineStr">
        <is>
          <t>525</t>
        </is>
      </c>
      <c r="D81" s="1158" t="inlineStr">
        <is>
          <t>14</t>
        </is>
      </c>
      <c r="E81" s="1158" t="inlineStr">
        <is>
          <t>28</t>
        </is>
      </c>
      <c r="F81" s="1158" t="inlineStr">
        <is>
          <t>C</t>
        </is>
      </c>
      <c r="G81" t="inlineStr">
        <is>
          <t>Good</t>
        </is>
      </c>
      <c r="H81" s="606" t="n">
        <v>86.5</v>
      </c>
      <c r="I81">
        <f>B81&amp;"|"&amp;F81&amp;"|"&amp;G81</f>
        <v/>
      </c>
      <c r="J81" t="inlineStr">
        <is>
          <t>14</t>
        </is>
      </c>
      <c r="K81" t="inlineStr">
        <is>
          <t>14</t>
        </is>
      </c>
      <c r="L81" t="inlineStr">
        <is>
          <t>14</t>
        </is>
      </c>
      <c r="M81" t="inlineStr">
        <is>
          <t>MVS Sec.14 p.28</t>
        </is>
      </c>
    </row>
    <row r="82">
      <c r="B82" s="1158" t="inlineStr">
        <is>
          <t>Mini-Warehouses, High-Rise</t>
        </is>
      </c>
      <c r="C82" s="1158" t="inlineStr">
        <is>
          <t>525</t>
        </is>
      </c>
      <c r="D82" s="1158" t="inlineStr">
        <is>
          <t>14</t>
        </is>
      </c>
      <c r="E82" s="1158" t="inlineStr">
        <is>
          <t>28</t>
        </is>
      </c>
      <c r="F82" s="1158" t="inlineStr">
        <is>
          <t>C</t>
        </is>
      </c>
      <c r="G82" t="inlineStr">
        <is>
          <t>Average</t>
        </is>
      </c>
      <c r="H82" s="606" t="n">
        <v>66</v>
      </c>
      <c r="I82">
        <f>B82&amp;"|"&amp;F82&amp;"|"&amp;G82</f>
        <v/>
      </c>
      <c r="J82" t="inlineStr">
        <is>
          <t>14</t>
        </is>
      </c>
      <c r="K82" t="inlineStr">
        <is>
          <t>14</t>
        </is>
      </c>
      <c r="L82" t="inlineStr">
        <is>
          <t>14</t>
        </is>
      </c>
      <c r="M82" t="inlineStr">
        <is>
          <t>MVS Sec.14 p.28</t>
        </is>
      </c>
    </row>
    <row r="83">
      <c r="B83" s="1158" t="inlineStr">
        <is>
          <t>Mini-Warehouses, High-Rise</t>
        </is>
      </c>
      <c r="C83" s="1158" t="inlineStr">
        <is>
          <t>525</t>
        </is>
      </c>
      <c r="D83" s="1158" t="inlineStr">
        <is>
          <t>14</t>
        </is>
      </c>
      <c r="E83" s="1158" t="inlineStr">
        <is>
          <t>28</t>
        </is>
      </c>
      <c r="F83" s="1158" t="inlineStr">
        <is>
          <t>D</t>
        </is>
      </c>
      <c r="G83" t="inlineStr">
        <is>
          <t>Good</t>
        </is>
      </c>
      <c r="H83" s="606" t="n">
        <v>79.5</v>
      </c>
      <c r="I83">
        <f>B83&amp;"|"&amp;F83&amp;"|"&amp;G83</f>
        <v/>
      </c>
      <c r="J83" t="inlineStr">
        <is>
          <t>14</t>
        </is>
      </c>
      <c r="K83" t="inlineStr">
        <is>
          <t>14</t>
        </is>
      </c>
      <c r="L83" t="inlineStr">
        <is>
          <t>14</t>
        </is>
      </c>
      <c r="M83" t="inlineStr">
        <is>
          <t>MVS Sec.14 p.28</t>
        </is>
      </c>
    </row>
    <row r="84">
      <c r="B84" s="1158" t="inlineStr">
        <is>
          <t>Mini-Warehouses, High-Rise</t>
        </is>
      </c>
      <c r="C84" s="1158" t="inlineStr">
        <is>
          <t>525</t>
        </is>
      </c>
      <c r="D84" s="1158" t="inlineStr">
        <is>
          <t>14</t>
        </is>
      </c>
      <c r="E84" s="1158" t="inlineStr">
        <is>
          <t>28</t>
        </is>
      </c>
      <c r="F84" s="1158" t="inlineStr">
        <is>
          <t>S</t>
        </is>
      </c>
      <c r="G84" t="inlineStr">
        <is>
          <t>Good</t>
        </is>
      </c>
      <c r="H84" s="606" t="n">
        <v>81</v>
      </c>
      <c r="I84">
        <f>B84&amp;"|"&amp;F84&amp;"|"&amp;G84</f>
        <v/>
      </c>
      <c r="J84" t="inlineStr">
        <is>
          <t>14</t>
        </is>
      </c>
      <c r="K84" t="inlineStr">
        <is>
          <t>14</t>
        </is>
      </c>
      <c r="L84" t="inlineStr">
        <is>
          <t>14</t>
        </is>
      </c>
      <c r="M84" t="inlineStr">
        <is>
          <t>MVS Sec.14 p.28</t>
        </is>
      </c>
    </row>
    <row r="85">
      <c r="B85" s="1158" t="inlineStr">
        <is>
          <t>Industrials, Light Manufacturing</t>
        </is>
      </c>
      <c r="C85" s="1158" t="inlineStr">
        <is>
          <t>494</t>
        </is>
      </c>
      <c r="D85" s="1158" t="inlineStr">
        <is>
          <t>14</t>
        </is>
      </c>
      <c r="E85" s="1158" t="inlineStr">
        <is>
          <t>14</t>
        </is>
      </c>
      <c r="F85" s="1158" t="inlineStr">
        <is>
          <t>A</t>
        </is>
      </c>
      <c r="G85" t="inlineStr">
        <is>
          <t>Average</t>
        </is>
      </c>
      <c r="H85" s="606" t="n">
        <v>122</v>
      </c>
      <c r="I85">
        <f>B85&amp;"|"&amp;F85&amp;"|"&amp;G85</f>
        <v/>
      </c>
      <c r="J85" t="inlineStr">
        <is>
          <t>14</t>
        </is>
      </c>
      <c r="K85" t="inlineStr">
        <is>
          <t>14</t>
        </is>
      </c>
      <c r="L85" t="inlineStr">
        <is>
          <t>14</t>
        </is>
      </c>
      <c r="M85" t="inlineStr">
        <is>
          <t>MVS Sec.14 p.14</t>
        </is>
      </c>
    </row>
    <row r="86">
      <c r="B86" s="1158" t="inlineStr">
        <is>
          <t>Industrials, Light Manufacturing</t>
        </is>
      </c>
      <c r="C86" s="1158" t="inlineStr">
        <is>
          <t>494</t>
        </is>
      </c>
      <c r="D86" s="1158" t="inlineStr">
        <is>
          <t>14</t>
        </is>
      </c>
      <c r="E86" s="1158" t="inlineStr">
        <is>
          <t>14</t>
        </is>
      </c>
      <c r="F86" s="1158" t="inlineStr">
        <is>
          <t>A</t>
        </is>
      </c>
      <c r="G86" t="inlineStr">
        <is>
          <t>Low Cost</t>
        </is>
      </c>
      <c r="H86" s="606" t="n">
        <v>84.5</v>
      </c>
      <c r="I86">
        <f>B86&amp;"|"&amp;F86&amp;"|"&amp;G86</f>
        <v/>
      </c>
      <c r="J86" t="inlineStr">
        <is>
          <t>14</t>
        </is>
      </c>
      <c r="K86" t="inlineStr">
        <is>
          <t>14</t>
        </is>
      </c>
      <c r="L86" t="inlineStr">
        <is>
          <t>14</t>
        </is>
      </c>
      <c r="M86" t="inlineStr">
        <is>
          <t>MVS Sec.14 p.14</t>
        </is>
      </c>
    </row>
    <row r="87">
      <c r="B87" s="1158" t="inlineStr">
        <is>
          <t>Industrials, Light Manufacturing</t>
        </is>
      </c>
      <c r="C87" s="1158" t="inlineStr">
        <is>
          <t>494</t>
        </is>
      </c>
      <c r="D87" s="1158" t="inlineStr">
        <is>
          <t>14</t>
        </is>
      </c>
      <c r="E87" s="1158" t="inlineStr">
        <is>
          <t>14</t>
        </is>
      </c>
      <c r="F87" s="1158" t="inlineStr">
        <is>
          <t>B</t>
        </is>
      </c>
      <c r="G87" t="inlineStr">
        <is>
          <t>Average</t>
        </is>
      </c>
      <c r="H87" s="606" t="n">
        <v>107</v>
      </c>
      <c r="I87">
        <f>B87&amp;"|"&amp;F87&amp;"|"&amp;G87</f>
        <v/>
      </c>
      <c r="J87" t="inlineStr">
        <is>
          <t>14</t>
        </is>
      </c>
      <c r="K87" t="inlineStr">
        <is>
          <t>14</t>
        </is>
      </c>
      <c r="L87" t="inlineStr">
        <is>
          <t>14</t>
        </is>
      </c>
      <c r="M87" t="inlineStr">
        <is>
          <t>MVS Sec.14 p.14</t>
        </is>
      </c>
    </row>
    <row r="88">
      <c r="B88" s="1158" t="inlineStr">
        <is>
          <t>Industrials, Light Manufacturing</t>
        </is>
      </c>
      <c r="C88" s="1158" t="inlineStr">
        <is>
          <t>494</t>
        </is>
      </c>
      <c r="D88" s="1158" t="inlineStr">
        <is>
          <t>14</t>
        </is>
      </c>
      <c r="E88" s="1158" t="inlineStr">
        <is>
          <t>14</t>
        </is>
      </c>
      <c r="F88" s="1158" t="inlineStr">
        <is>
          <t>B</t>
        </is>
      </c>
      <c r="G88" t="inlineStr">
        <is>
          <t>Low Cost</t>
        </is>
      </c>
      <c r="H88" s="606" t="n">
        <v>74</v>
      </c>
      <c r="I88">
        <f>B88&amp;"|"&amp;F88&amp;"|"&amp;G88</f>
        <v/>
      </c>
      <c r="J88" t="inlineStr">
        <is>
          <t>14</t>
        </is>
      </c>
      <c r="K88" t="inlineStr">
        <is>
          <t>14</t>
        </is>
      </c>
      <c r="L88" t="inlineStr">
        <is>
          <t>14</t>
        </is>
      </c>
      <c r="M88" t="inlineStr">
        <is>
          <t>MVS Sec.14 p.14</t>
        </is>
      </c>
    </row>
    <row r="89">
      <c r="B89" s="1158" t="inlineStr">
        <is>
          <t>Industrials, Light Manufacturing</t>
        </is>
      </c>
      <c r="C89" s="1158" t="inlineStr">
        <is>
          <t>494</t>
        </is>
      </c>
      <c r="D89" s="1158" t="inlineStr">
        <is>
          <t>14</t>
        </is>
      </c>
      <c r="E89" s="1158" t="inlineStr">
        <is>
          <t>14</t>
        </is>
      </c>
      <c r="F89" s="1158" t="inlineStr">
        <is>
          <t>C</t>
        </is>
      </c>
      <c r="G89" t="inlineStr">
        <is>
          <t>Good</t>
        </is>
      </c>
      <c r="H89" s="606" t="n">
        <v>100</v>
      </c>
      <c r="I89">
        <f>B89&amp;"|"&amp;F89&amp;"|"&amp;G89</f>
        <v/>
      </c>
      <c r="J89" t="inlineStr">
        <is>
          <t>14</t>
        </is>
      </c>
      <c r="K89" t="inlineStr">
        <is>
          <t>14</t>
        </is>
      </c>
      <c r="L89" t="inlineStr">
        <is>
          <t>14</t>
        </is>
      </c>
      <c r="M89" t="inlineStr">
        <is>
          <t>MVS Sec.14 p.14</t>
        </is>
      </c>
    </row>
    <row r="90">
      <c r="B90" s="1158" t="inlineStr">
        <is>
          <t>Industrials, Light Manufacturing</t>
        </is>
      </c>
      <c r="C90" s="1158" t="inlineStr">
        <is>
          <t>494</t>
        </is>
      </c>
      <c r="D90" s="1158" t="inlineStr">
        <is>
          <t>14</t>
        </is>
      </c>
      <c r="E90" s="1158" t="inlineStr">
        <is>
          <t>14</t>
        </is>
      </c>
      <c r="F90" s="1158" t="inlineStr">
        <is>
          <t>C</t>
        </is>
      </c>
      <c r="G90" t="inlineStr">
        <is>
          <t>Average</t>
        </is>
      </c>
      <c r="H90" s="606" t="n">
        <v>72</v>
      </c>
      <c r="I90">
        <f>B90&amp;"|"&amp;F90&amp;"|"&amp;G90</f>
        <v/>
      </c>
      <c r="J90" t="inlineStr">
        <is>
          <t>14</t>
        </is>
      </c>
      <c r="K90" t="inlineStr">
        <is>
          <t>14</t>
        </is>
      </c>
      <c r="L90" t="inlineStr">
        <is>
          <t>14</t>
        </is>
      </c>
      <c r="M90" t="inlineStr">
        <is>
          <t>MVS Sec.14 p.14</t>
        </is>
      </c>
    </row>
    <row r="91">
      <c r="B91" s="1158" t="inlineStr">
        <is>
          <t>Industrials, Light Manufacturing</t>
        </is>
      </c>
      <c r="C91" s="1158" t="inlineStr">
        <is>
          <t>494</t>
        </is>
      </c>
      <c r="D91" s="1158" t="inlineStr">
        <is>
          <t>14</t>
        </is>
      </c>
      <c r="E91" s="1158" t="inlineStr">
        <is>
          <t>14</t>
        </is>
      </c>
      <c r="F91" s="1158" t="inlineStr">
        <is>
          <t>C</t>
        </is>
      </c>
      <c r="G91" t="inlineStr">
        <is>
          <t>Low Cost</t>
        </is>
      </c>
      <c r="H91" s="606" t="n">
        <v>52.5</v>
      </c>
      <c r="I91">
        <f>B91&amp;"|"&amp;F91&amp;"|"&amp;G91</f>
        <v/>
      </c>
      <c r="J91" t="inlineStr">
        <is>
          <t>14</t>
        </is>
      </c>
      <c r="K91" t="inlineStr">
        <is>
          <t>14</t>
        </is>
      </c>
      <c r="L91" t="inlineStr">
        <is>
          <t>14</t>
        </is>
      </c>
      <c r="M91" t="inlineStr">
        <is>
          <t>MVS Sec.14 p.14</t>
        </is>
      </c>
    </row>
    <row r="92">
      <c r="B92" s="1158" t="inlineStr">
        <is>
          <t>Industrials, Light Manufacturing</t>
        </is>
      </c>
      <c r="C92" s="1158" t="inlineStr">
        <is>
          <t>494</t>
        </is>
      </c>
      <c r="D92" s="1158" t="inlineStr">
        <is>
          <t>14</t>
        </is>
      </c>
      <c r="E92" s="1158" t="inlineStr">
        <is>
          <t>14</t>
        </is>
      </c>
      <c r="F92" s="1158" t="inlineStr">
        <is>
          <t>D</t>
        </is>
      </c>
      <c r="G92" t="inlineStr">
        <is>
          <t>Good</t>
        </is>
      </c>
      <c r="H92" s="606" t="n">
        <v>92</v>
      </c>
      <c r="I92">
        <f>B92&amp;"|"&amp;F92&amp;"|"&amp;G92</f>
        <v/>
      </c>
      <c r="J92" t="inlineStr">
        <is>
          <t>14</t>
        </is>
      </c>
      <c r="K92" t="inlineStr">
        <is>
          <t>14</t>
        </is>
      </c>
      <c r="L92" t="inlineStr">
        <is>
          <t>14</t>
        </is>
      </c>
      <c r="M92" t="inlineStr">
        <is>
          <t>MVS Sec.14 p.14</t>
        </is>
      </c>
    </row>
    <row r="93">
      <c r="B93" s="1158" t="inlineStr">
        <is>
          <t>Industrials, Light Manufacturing</t>
        </is>
      </c>
      <c r="C93" s="1158" t="inlineStr">
        <is>
          <t>494</t>
        </is>
      </c>
      <c r="D93" s="1158" t="inlineStr">
        <is>
          <t>14</t>
        </is>
      </c>
      <c r="E93" s="1158" t="inlineStr">
        <is>
          <t>14</t>
        </is>
      </c>
      <c r="F93" s="1158" t="inlineStr">
        <is>
          <t>D</t>
        </is>
      </c>
      <c r="G93" t="inlineStr">
        <is>
          <t>Average</t>
        </is>
      </c>
      <c r="H93" s="606" t="n">
        <v>65.5</v>
      </c>
      <c r="I93">
        <f>B93&amp;"|"&amp;F93&amp;"|"&amp;G93</f>
        <v/>
      </c>
      <c r="J93" t="inlineStr">
        <is>
          <t>14</t>
        </is>
      </c>
      <c r="K93" t="inlineStr">
        <is>
          <t>14</t>
        </is>
      </c>
      <c r="L93" t="inlineStr">
        <is>
          <t>14</t>
        </is>
      </c>
      <c r="M93" t="inlineStr">
        <is>
          <t>MVS Sec.14 p.14</t>
        </is>
      </c>
    </row>
    <row r="94">
      <c r="B94" s="1158" t="inlineStr">
        <is>
          <t>Industrials, Light Manufacturing</t>
        </is>
      </c>
      <c r="C94" s="1158" t="inlineStr">
        <is>
          <t>494</t>
        </is>
      </c>
      <c r="D94" s="1158" t="inlineStr">
        <is>
          <t>14</t>
        </is>
      </c>
      <c r="E94" s="1158" t="inlineStr">
        <is>
          <t>14</t>
        </is>
      </c>
      <c r="F94" s="1158" t="inlineStr">
        <is>
          <t>D</t>
        </is>
      </c>
      <c r="G94" t="inlineStr">
        <is>
          <t>Low Cost</t>
        </is>
      </c>
      <c r="H94" s="606" t="n">
        <v>47</v>
      </c>
      <c r="I94">
        <f>B94&amp;"|"&amp;F94&amp;"|"&amp;G94</f>
        <v/>
      </c>
      <c r="J94" t="inlineStr">
        <is>
          <t>14</t>
        </is>
      </c>
      <c r="K94" t="inlineStr">
        <is>
          <t>14</t>
        </is>
      </c>
      <c r="L94" t="inlineStr">
        <is>
          <t>14</t>
        </is>
      </c>
      <c r="M94" t="inlineStr">
        <is>
          <t>MVS Sec.14 p.14</t>
        </is>
      </c>
    </row>
    <row r="95">
      <c r="B95" s="1158" t="inlineStr">
        <is>
          <t>Industrials, Light Manufacturing</t>
        </is>
      </c>
      <c r="C95" s="1158" t="inlineStr">
        <is>
          <t>494</t>
        </is>
      </c>
      <c r="D95" s="1158" t="inlineStr">
        <is>
          <t>14</t>
        </is>
      </c>
      <c r="E95" s="1158" t="inlineStr">
        <is>
          <t>14</t>
        </is>
      </c>
      <c r="F95" s="1158" t="inlineStr">
        <is>
          <t>DPOLE</t>
        </is>
      </c>
      <c r="G95" t="inlineStr">
        <is>
          <t>Good</t>
        </is>
      </c>
      <c r="H95" s="606" t="n">
        <v>84</v>
      </c>
      <c r="I95">
        <f>B95&amp;"|"&amp;F95&amp;"|"&amp;G95</f>
        <v/>
      </c>
      <c r="J95" t="inlineStr">
        <is>
          <t>14</t>
        </is>
      </c>
      <c r="K95" t="inlineStr">
        <is>
          <t>14</t>
        </is>
      </c>
      <c r="L95" t="inlineStr">
        <is>
          <t>14</t>
        </is>
      </c>
      <c r="M95" t="inlineStr">
        <is>
          <t>MVS Sec.14 p.14</t>
        </is>
      </c>
    </row>
    <row r="96">
      <c r="B96" s="1158" t="inlineStr">
        <is>
          <t>Industrials, Light Manufacturing</t>
        </is>
      </c>
      <c r="C96" s="1158" t="inlineStr">
        <is>
          <t>494</t>
        </is>
      </c>
      <c r="D96" s="1158" t="inlineStr">
        <is>
          <t>14</t>
        </is>
      </c>
      <c r="E96" s="1158" t="inlineStr">
        <is>
          <t>14</t>
        </is>
      </c>
      <c r="F96" s="1158" t="inlineStr">
        <is>
          <t>DPOLE</t>
        </is>
      </c>
      <c r="G96" t="inlineStr">
        <is>
          <t>Average</t>
        </is>
      </c>
      <c r="H96" s="606" t="n">
        <v>60.5</v>
      </c>
      <c r="I96">
        <f>B96&amp;"|"&amp;F96&amp;"|"&amp;G96</f>
        <v/>
      </c>
      <c r="J96" t="inlineStr">
        <is>
          <t>14</t>
        </is>
      </c>
      <c r="K96" t="inlineStr">
        <is>
          <t>14</t>
        </is>
      </c>
      <c r="L96" t="inlineStr">
        <is>
          <t>14</t>
        </is>
      </c>
      <c r="M96" t="inlineStr">
        <is>
          <t>MVS Sec.14 p.14</t>
        </is>
      </c>
    </row>
    <row r="97">
      <c r="B97" s="1158" t="inlineStr">
        <is>
          <t>Industrials, Light Manufacturing</t>
        </is>
      </c>
      <c r="C97" s="1158" t="inlineStr">
        <is>
          <t>494</t>
        </is>
      </c>
      <c r="D97" s="1158" t="inlineStr">
        <is>
          <t>14</t>
        </is>
      </c>
      <c r="E97" s="1158" t="inlineStr">
        <is>
          <t>14</t>
        </is>
      </c>
      <c r="F97" s="1158" t="inlineStr">
        <is>
          <t>DPOLE</t>
        </is>
      </c>
      <c r="G97" t="inlineStr">
        <is>
          <t>Low Cost</t>
        </is>
      </c>
      <c r="H97" s="606" t="n">
        <v>43.5</v>
      </c>
      <c r="I97">
        <f>B97&amp;"|"&amp;F97&amp;"|"&amp;G97</f>
        <v/>
      </c>
      <c r="J97" t="inlineStr">
        <is>
          <t>14</t>
        </is>
      </c>
      <c r="K97" t="inlineStr">
        <is>
          <t>14</t>
        </is>
      </c>
      <c r="L97" t="inlineStr">
        <is>
          <t>14</t>
        </is>
      </c>
      <c r="M97" t="inlineStr">
        <is>
          <t>MVS Sec.14 p.14</t>
        </is>
      </c>
    </row>
    <row r="98">
      <c r="B98" s="1158" t="inlineStr">
        <is>
          <t>Industrials, Light Manufacturing</t>
        </is>
      </c>
      <c r="C98" s="1158" t="inlineStr">
        <is>
          <t>494</t>
        </is>
      </c>
      <c r="D98" s="1158" t="inlineStr">
        <is>
          <t>14</t>
        </is>
      </c>
      <c r="E98" s="1158" t="inlineStr">
        <is>
          <t>14</t>
        </is>
      </c>
      <c r="F98" s="1158" t="inlineStr">
        <is>
          <t>S</t>
        </is>
      </c>
      <c r="G98" t="inlineStr">
        <is>
          <t>Good</t>
        </is>
      </c>
      <c r="H98" s="606" t="n">
        <v>93</v>
      </c>
      <c r="I98">
        <f>B98&amp;"|"&amp;F98&amp;"|"&amp;G98</f>
        <v/>
      </c>
      <c r="J98" t="inlineStr">
        <is>
          <t>14</t>
        </is>
      </c>
      <c r="K98" t="inlineStr">
        <is>
          <t>14</t>
        </is>
      </c>
      <c r="L98" t="inlineStr">
        <is>
          <t>14</t>
        </is>
      </c>
      <c r="M98" t="inlineStr">
        <is>
          <t>MVS Sec.14 p.14</t>
        </is>
      </c>
    </row>
    <row r="99">
      <c r="B99" s="1158" t="inlineStr">
        <is>
          <t>Industrials, Light Manufacturing</t>
        </is>
      </c>
      <c r="C99" s="1158" t="inlineStr">
        <is>
          <t>494</t>
        </is>
      </c>
      <c r="D99" s="1158" t="inlineStr">
        <is>
          <t>14</t>
        </is>
      </c>
      <c r="E99" s="1158" t="inlineStr">
        <is>
          <t>14</t>
        </is>
      </c>
      <c r="F99" s="1158" t="inlineStr">
        <is>
          <t>S</t>
        </is>
      </c>
      <c r="G99" t="inlineStr">
        <is>
          <t>Average</t>
        </is>
      </c>
      <c r="H99" s="606" t="n">
        <v>66</v>
      </c>
      <c r="I99">
        <f>B99&amp;"|"&amp;F99&amp;"|"&amp;G99</f>
        <v/>
      </c>
      <c r="J99" t="inlineStr">
        <is>
          <t>14</t>
        </is>
      </c>
      <c r="K99" t="inlineStr">
        <is>
          <t>14</t>
        </is>
      </c>
      <c r="L99" t="inlineStr">
        <is>
          <t>14</t>
        </is>
      </c>
      <c r="M99" t="inlineStr">
        <is>
          <t>MVS Sec.14 p.14</t>
        </is>
      </c>
    </row>
    <row r="100">
      <c r="B100" s="1158" t="inlineStr">
        <is>
          <t>Industrials, Light Manufacturing</t>
        </is>
      </c>
      <c r="C100" s="1158" t="inlineStr">
        <is>
          <t>494</t>
        </is>
      </c>
      <c r="D100" s="1158" t="inlineStr">
        <is>
          <t>14</t>
        </is>
      </c>
      <c r="E100" s="1158" t="inlineStr">
        <is>
          <t>14</t>
        </is>
      </c>
      <c r="F100" s="1158"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s="1158" t="inlineStr">
        <is>
          <t>Industrials, Heavy (Process) Manufacturing</t>
        </is>
      </c>
      <c r="C101" s="1158" t="inlineStr">
        <is>
          <t>495</t>
        </is>
      </c>
      <c r="D101" s="1158" t="inlineStr">
        <is>
          <t>14</t>
        </is>
      </c>
      <c r="E101" s="1158" t="inlineStr">
        <is>
          <t>15</t>
        </is>
      </c>
      <c r="F101" s="1158"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s="1158" t="inlineStr">
        <is>
          <t>Industrials, Heavy (Process) Manufacturing</t>
        </is>
      </c>
      <c r="C102" s="1158" t="inlineStr">
        <is>
          <t>495</t>
        </is>
      </c>
      <c r="D102" s="1158" t="inlineStr">
        <is>
          <t>14</t>
        </is>
      </c>
      <c r="E102" s="1158" t="inlineStr">
        <is>
          <t>15</t>
        </is>
      </c>
      <c r="F102" s="1158"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s="1158" t="inlineStr">
        <is>
          <t>Industrials, Heavy (Process) Manufacturing</t>
        </is>
      </c>
      <c r="C103" s="1158" t="inlineStr">
        <is>
          <t>495</t>
        </is>
      </c>
      <c r="D103" s="1158" t="inlineStr">
        <is>
          <t>14</t>
        </is>
      </c>
      <c r="E103" s="1158" t="inlineStr">
        <is>
          <t>15</t>
        </is>
      </c>
      <c r="F103" s="1158"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s="1158" t="inlineStr">
        <is>
          <t>Industrials, Heavy (Process) Manufacturing</t>
        </is>
      </c>
      <c r="C104" s="1158" t="inlineStr">
        <is>
          <t>495</t>
        </is>
      </c>
      <c r="D104" s="1158" t="inlineStr">
        <is>
          <t>14</t>
        </is>
      </c>
      <c r="E104" s="1158" t="inlineStr">
        <is>
          <t>15</t>
        </is>
      </c>
      <c r="F104" s="1158"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s="1158" t="inlineStr">
        <is>
          <t>Industrials, Heavy (Process) Manufacturing</t>
        </is>
      </c>
      <c r="C105" s="1158" t="inlineStr">
        <is>
          <t>495</t>
        </is>
      </c>
      <c r="D105" s="1158" t="inlineStr">
        <is>
          <t>14</t>
        </is>
      </c>
      <c r="E105" s="1158" t="inlineStr">
        <is>
          <t>15</t>
        </is>
      </c>
      <c r="F105" s="1158"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s="1158" t="inlineStr">
        <is>
          <t>Industrials, Heavy (Process) Manufacturing</t>
        </is>
      </c>
      <c r="C106" s="1158" t="inlineStr">
        <is>
          <t>495</t>
        </is>
      </c>
      <c r="D106" s="1158" t="inlineStr">
        <is>
          <t>14</t>
        </is>
      </c>
      <c r="E106" s="1158" t="inlineStr">
        <is>
          <t>15</t>
        </is>
      </c>
      <c r="F106" s="1158"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s="1158" t="inlineStr">
        <is>
          <t>Industrials, Heavy (Process) Manufacturing</t>
        </is>
      </c>
      <c r="C107" s="1158" t="inlineStr">
        <is>
          <t>495</t>
        </is>
      </c>
      <c r="D107" s="1158" t="inlineStr">
        <is>
          <t>14</t>
        </is>
      </c>
      <c r="E107" s="1158" t="inlineStr">
        <is>
          <t>15</t>
        </is>
      </c>
      <c r="F107" s="1158"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s="1158" t="inlineStr">
        <is>
          <t>Industrials, Heavy (Process) Manufacturing</t>
        </is>
      </c>
      <c r="C108" s="1158" t="inlineStr">
        <is>
          <t>495</t>
        </is>
      </c>
      <c r="D108" s="1158" t="inlineStr">
        <is>
          <t>14</t>
        </is>
      </c>
      <c r="E108" s="1158" t="inlineStr">
        <is>
          <t>15</t>
        </is>
      </c>
      <c r="F108" s="115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s="1158" t="inlineStr">
        <is>
          <t>Industrials, Heavy (Process) Manufacturing</t>
        </is>
      </c>
      <c r="C109" s="1158" t="inlineStr">
        <is>
          <t>495</t>
        </is>
      </c>
      <c r="D109" s="1158" t="inlineStr">
        <is>
          <t>14</t>
        </is>
      </c>
      <c r="E109" s="1158" t="inlineStr">
        <is>
          <t>15</t>
        </is>
      </c>
      <c r="F109" s="1158"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s="1158" t="inlineStr">
        <is>
          <t>Industrials, Heavy (Process) Manufacturing</t>
        </is>
      </c>
      <c r="C110" s="1158" t="inlineStr">
        <is>
          <t>495</t>
        </is>
      </c>
      <c r="D110" s="1158" t="inlineStr">
        <is>
          <t>14</t>
        </is>
      </c>
      <c r="E110" s="1158" t="inlineStr">
        <is>
          <t>15</t>
        </is>
      </c>
      <c r="F110" s="1158"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s="1158" t="inlineStr">
        <is>
          <t>Industrials, Heavy (Process) Manufacturing</t>
        </is>
      </c>
      <c r="C111" s="1158" t="inlineStr">
        <is>
          <t>495</t>
        </is>
      </c>
      <c r="D111" s="1158" t="inlineStr">
        <is>
          <t>14</t>
        </is>
      </c>
      <c r="E111" s="1158" t="inlineStr">
        <is>
          <t>15</t>
        </is>
      </c>
      <c r="F111" s="1158"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s="1158" t="inlineStr">
        <is>
          <t>Industrials, Heavy (Process) Manufacturing</t>
        </is>
      </c>
      <c r="C112" s="1158" t="inlineStr">
        <is>
          <t>495</t>
        </is>
      </c>
      <c r="D112" s="1158" t="inlineStr">
        <is>
          <t>14</t>
        </is>
      </c>
      <c r="E112" s="1158" t="inlineStr">
        <is>
          <t>15</t>
        </is>
      </c>
      <c r="F112" s="1158"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s="1158" t="inlineStr">
        <is>
          <t>Industrials, Heavy (Process) Manufacturing</t>
        </is>
      </c>
      <c r="C113" s="1158" t="inlineStr">
        <is>
          <t>495</t>
        </is>
      </c>
      <c r="D113" s="1158" t="inlineStr">
        <is>
          <t>14</t>
        </is>
      </c>
      <c r="E113" s="1158" t="inlineStr">
        <is>
          <t>15</t>
        </is>
      </c>
      <c r="F113" s="1158"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s="1158" t="inlineStr">
        <is>
          <t>Industrials, Heavy (Process) Manufacturing</t>
        </is>
      </c>
      <c r="C114" s="1158" t="inlineStr">
        <is>
          <t>495</t>
        </is>
      </c>
      <c r="D114" s="1158" t="inlineStr">
        <is>
          <t>14</t>
        </is>
      </c>
      <c r="E114" s="1158" t="inlineStr">
        <is>
          <t>15</t>
        </is>
      </c>
      <c r="F114" s="1158"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s="1158" t="inlineStr">
        <is>
          <t>Industrials, Heavy (Process) Manufacturing</t>
        </is>
      </c>
      <c r="C115" s="1158" t="inlineStr">
        <is>
          <t>495</t>
        </is>
      </c>
      <c r="D115" s="1158" t="inlineStr">
        <is>
          <t>14</t>
        </is>
      </c>
      <c r="E115" s="1158" t="inlineStr">
        <is>
          <t>15</t>
        </is>
      </c>
      <c r="F115" s="1158"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s="1158" t="inlineStr">
        <is>
          <t>Industrials, Heavy (Process) Manufacturing</t>
        </is>
      </c>
      <c r="C116" s="1158" t="inlineStr">
        <is>
          <t>495</t>
        </is>
      </c>
      <c r="D116" s="1158" t="inlineStr">
        <is>
          <t>14</t>
        </is>
      </c>
      <c r="E116" s="1158" t="inlineStr">
        <is>
          <t>15</t>
        </is>
      </c>
      <c r="F116" s="1158"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s="1158" t="inlineStr">
        <is>
          <t>Industrials, Heavy (Process) Manufacturing</t>
        </is>
      </c>
      <c r="C117" s="1158" t="inlineStr">
        <is>
          <t>495</t>
        </is>
      </c>
      <c r="D117" s="1158" t="inlineStr">
        <is>
          <t>14</t>
        </is>
      </c>
      <c r="E117" s="1158" t="inlineStr">
        <is>
          <t>15</t>
        </is>
      </c>
      <c r="F117" s="1158"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s="1158" t="inlineStr">
        <is>
          <t>Industrials, Heavy (Process) Manufacturing</t>
        </is>
      </c>
      <c r="C118" s="1158" t="inlineStr">
        <is>
          <t>495</t>
        </is>
      </c>
      <c r="D118" s="1158" t="inlineStr">
        <is>
          <t>14</t>
        </is>
      </c>
      <c r="E118" s="1158" t="inlineStr">
        <is>
          <t>15</t>
        </is>
      </c>
      <c r="F118" s="115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s="1158" t="inlineStr">
        <is>
          <t>Service Garages (Commercial/Repair)</t>
        </is>
      </c>
      <c r="C119" s="1158" t="inlineStr">
        <is>
          <t>528</t>
        </is>
      </c>
      <c r="D119" s="1158" t="inlineStr">
        <is>
          <t>14</t>
        </is>
      </c>
      <c r="E119" s="1158" t="inlineStr">
        <is>
          <t>32</t>
        </is>
      </c>
      <c r="F119" s="1158"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s="1158" t="inlineStr">
        <is>
          <t>Service Garages (Commercial/Repair)</t>
        </is>
      </c>
      <c r="C120" s="1158" t="inlineStr">
        <is>
          <t>528</t>
        </is>
      </c>
      <c r="D120" s="1158" t="inlineStr">
        <is>
          <t>14</t>
        </is>
      </c>
      <c r="E120" s="1158" t="inlineStr">
        <is>
          <t>32</t>
        </is>
      </c>
      <c r="F120" s="1158"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s="1158" t="inlineStr">
        <is>
          <t>Service Garages (Commercial/Repair)</t>
        </is>
      </c>
      <c r="C121" s="1158" t="inlineStr">
        <is>
          <t>528</t>
        </is>
      </c>
      <c r="D121" s="1158" t="inlineStr">
        <is>
          <t>14</t>
        </is>
      </c>
      <c r="E121" s="1158" t="inlineStr">
        <is>
          <t>32</t>
        </is>
      </c>
      <c r="F121" s="1158"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s="1158" t="inlineStr">
        <is>
          <t>Service Garages (Commercial/Repair)</t>
        </is>
      </c>
      <c r="C122" s="1158" t="inlineStr">
        <is>
          <t>528</t>
        </is>
      </c>
      <c r="D122" s="1158" t="inlineStr">
        <is>
          <t>14</t>
        </is>
      </c>
      <c r="E122" s="1158" t="inlineStr">
        <is>
          <t>32</t>
        </is>
      </c>
      <c r="F122" s="1158"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s="1158" t="inlineStr">
        <is>
          <t>Service Garages (Commercial/Repair)</t>
        </is>
      </c>
      <c r="C123" s="1158" t="inlineStr">
        <is>
          <t>528</t>
        </is>
      </c>
      <c r="D123" s="1158" t="inlineStr">
        <is>
          <t>14</t>
        </is>
      </c>
      <c r="E123" s="1158" t="inlineStr">
        <is>
          <t>32</t>
        </is>
      </c>
      <c r="F123" s="1158"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s="1158" t="inlineStr">
        <is>
          <t>Service Garages (Commercial/Repair)</t>
        </is>
      </c>
      <c r="C124" s="1158" t="inlineStr">
        <is>
          <t>528</t>
        </is>
      </c>
      <c r="D124" s="1158" t="inlineStr">
        <is>
          <t>14</t>
        </is>
      </c>
      <c r="E124" s="1158" t="inlineStr">
        <is>
          <t>32</t>
        </is>
      </c>
      <c r="F124" s="1158"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s="1158" t="inlineStr">
        <is>
          <t>Service Garages (Commercial/Repair)</t>
        </is>
      </c>
      <c r="C125" s="1158" t="inlineStr">
        <is>
          <t>528</t>
        </is>
      </c>
      <c r="D125" s="1158" t="inlineStr">
        <is>
          <t>14</t>
        </is>
      </c>
      <c r="E125" s="1158" t="inlineStr">
        <is>
          <t>32</t>
        </is>
      </c>
      <c r="F125" s="1158"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s="1158" t="inlineStr">
        <is>
          <t>Service Garages (Commercial/Repair)</t>
        </is>
      </c>
      <c r="C126" s="1158" t="inlineStr">
        <is>
          <t>528</t>
        </is>
      </c>
      <c r="D126" s="1158" t="inlineStr">
        <is>
          <t>14</t>
        </is>
      </c>
      <c r="E126" s="1158" t="inlineStr">
        <is>
          <t>32</t>
        </is>
      </c>
      <c r="F126" s="1158"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s="1158" t="inlineStr">
        <is>
          <t>Service Garages (Commercial/Repair)</t>
        </is>
      </c>
      <c r="C127" s="1158" t="inlineStr">
        <is>
          <t>528</t>
        </is>
      </c>
      <c r="D127" s="1158" t="inlineStr">
        <is>
          <t>14</t>
        </is>
      </c>
      <c r="E127" s="1158" t="inlineStr">
        <is>
          <t>32</t>
        </is>
      </c>
      <c r="F127" s="1158"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s="1158" t="inlineStr">
        <is>
          <t>Service Garages (Commercial/Repair)</t>
        </is>
      </c>
      <c r="C128" s="1158" t="inlineStr">
        <is>
          <t>528</t>
        </is>
      </c>
      <c r="D128" s="1158" t="inlineStr">
        <is>
          <t>14</t>
        </is>
      </c>
      <c r="E128" s="1158" t="inlineStr">
        <is>
          <t>32</t>
        </is>
      </c>
      <c r="F128" s="115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s="1158" t="inlineStr">
        <is>
          <t>Service Garages (Commercial/Repair)</t>
        </is>
      </c>
      <c r="C129" s="1158" t="inlineStr">
        <is>
          <t>528</t>
        </is>
      </c>
      <c r="D129" s="1158" t="inlineStr">
        <is>
          <t>14</t>
        </is>
      </c>
      <c r="E129" s="1158" t="inlineStr">
        <is>
          <t>32</t>
        </is>
      </c>
      <c r="F129" s="1158"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s="1158" t="inlineStr">
        <is>
          <t>Service Garages (Commercial/Repair)</t>
        </is>
      </c>
      <c r="C130" s="1158" t="inlineStr">
        <is>
          <t>528</t>
        </is>
      </c>
      <c r="D130" s="1158" t="inlineStr">
        <is>
          <t>14</t>
        </is>
      </c>
      <c r="E130" s="1158" t="inlineStr">
        <is>
          <t>32</t>
        </is>
      </c>
      <c r="F130" s="1158"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s="1158" t="inlineStr">
        <is>
          <t>Service Garages (Commercial/Repair)</t>
        </is>
      </c>
      <c r="C131" s="1158" t="inlineStr">
        <is>
          <t>528</t>
        </is>
      </c>
      <c r="D131" s="1158" t="inlineStr">
        <is>
          <t>14</t>
        </is>
      </c>
      <c r="E131" s="1158" t="inlineStr">
        <is>
          <t>32</t>
        </is>
      </c>
      <c r="F131" s="1158"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s="1158" t="inlineStr">
        <is>
          <t>Retail Stores</t>
        </is>
      </c>
      <c r="C132" s="1158" t="inlineStr">
        <is>
          <t>353</t>
        </is>
      </c>
      <c r="D132" s="1158" t="inlineStr">
        <is>
          <t>13</t>
        </is>
      </c>
      <c r="E132" s="1158" t="inlineStr">
        <is>
          <t>26</t>
        </is>
      </c>
      <c r="F132" s="1158"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s="1158" t="inlineStr">
        <is>
          <t>Retail Stores</t>
        </is>
      </c>
      <c r="C133" s="1158" t="inlineStr">
        <is>
          <t>353</t>
        </is>
      </c>
      <c r="D133" s="1158" t="inlineStr">
        <is>
          <t>13</t>
        </is>
      </c>
      <c r="E133" s="1158" t="inlineStr">
        <is>
          <t>26</t>
        </is>
      </c>
      <c r="F133" s="1158"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s="1158" t="inlineStr">
        <is>
          <t>Retail Stores</t>
        </is>
      </c>
      <c r="C134" s="1158" t="inlineStr">
        <is>
          <t>353</t>
        </is>
      </c>
      <c r="D134" s="1158" t="inlineStr">
        <is>
          <t>13</t>
        </is>
      </c>
      <c r="E134" s="1158" t="inlineStr">
        <is>
          <t>26</t>
        </is>
      </c>
      <c r="F134" s="1158"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s="1158" t="inlineStr">
        <is>
          <t>Retail Stores</t>
        </is>
      </c>
      <c r="C135" s="1158" t="inlineStr">
        <is>
          <t>353</t>
        </is>
      </c>
      <c r="D135" s="1158" t="inlineStr">
        <is>
          <t>13</t>
        </is>
      </c>
      <c r="E135" s="1158" t="inlineStr">
        <is>
          <t>26</t>
        </is>
      </c>
      <c r="F135" s="1158"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s="1158" t="inlineStr">
        <is>
          <t>Retail Stores</t>
        </is>
      </c>
      <c r="C136" s="1158" t="inlineStr">
        <is>
          <t>353</t>
        </is>
      </c>
      <c r="D136" s="1158" t="inlineStr">
        <is>
          <t>13</t>
        </is>
      </c>
      <c r="E136" s="1158" t="inlineStr">
        <is>
          <t>26</t>
        </is>
      </c>
      <c r="F136" s="1158"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s="1158" t="inlineStr">
        <is>
          <t>Retail Stores</t>
        </is>
      </c>
      <c r="C137" s="1158" t="inlineStr">
        <is>
          <t>353</t>
        </is>
      </c>
      <c r="D137" s="1158" t="inlineStr">
        <is>
          <t>13</t>
        </is>
      </c>
      <c r="E137" s="1158" t="inlineStr">
        <is>
          <t>26</t>
        </is>
      </c>
      <c r="F137" s="1158"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s="1158" t="inlineStr">
        <is>
          <t>Retail Stores</t>
        </is>
      </c>
      <c r="C138" s="1158" t="inlineStr">
        <is>
          <t>353</t>
        </is>
      </c>
      <c r="D138" s="1158" t="inlineStr">
        <is>
          <t>13</t>
        </is>
      </c>
      <c r="E138" s="1158" t="inlineStr">
        <is>
          <t>26</t>
        </is>
      </c>
      <c r="F138" s="115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s="1158" t="inlineStr">
        <is>
          <t>Retail Stores</t>
        </is>
      </c>
      <c r="C139" s="1158" t="inlineStr">
        <is>
          <t>353</t>
        </is>
      </c>
      <c r="D139" s="1158" t="inlineStr">
        <is>
          <t>13</t>
        </is>
      </c>
      <c r="E139" s="1158" t="inlineStr">
        <is>
          <t>26</t>
        </is>
      </c>
      <c r="F139" s="1158"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s="1158" t="inlineStr">
        <is>
          <t>Retail Stores</t>
        </is>
      </c>
      <c r="C140" s="1158" t="inlineStr">
        <is>
          <t>353</t>
        </is>
      </c>
      <c r="D140" s="1158" t="inlineStr">
        <is>
          <t>13</t>
        </is>
      </c>
      <c r="E140" s="1158" t="inlineStr">
        <is>
          <t>26</t>
        </is>
      </c>
      <c r="F140" s="1158"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s="1158" t="inlineStr">
        <is>
          <t>Retail Stores</t>
        </is>
      </c>
      <c r="C141" s="1158" t="inlineStr">
        <is>
          <t>353</t>
        </is>
      </c>
      <c r="D141" s="1158" t="inlineStr">
        <is>
          <t>13</t>
        </is>
      </c>
      <c r="E141" s="1158" t="inlineStr">
        <is>
          <t>26</t>
        </is>
      </c>
      <c r="F141" s="1158"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s="1158" t="inlineStr">
        <is>
          <t>Retail Stores</t>
        </is>
      </c>
      <c r="C142" s="1158" t="inlineStr">
        <is>
          <t>353</t>
        </is>
      </c>
      <c r="D142" s="1158" t="inlineStr">
        <is>
          <t>13</t>
        </is>
      </c>
      <c r="E142" s="1158" t="inlineStr">
        <is>
          <t>26</t>
        </is>
      </c>
      <c r="F142" s="1158"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s="1158" t="inlineStr">
        <is>
          <t>Retail Stores</t>
        </is>
      </c>
      <c r="C143" s="1158" t="inlineStr">
        <is>
          <t>353</t>
        </is>
      </c>
      <c r="D143" s="1158" t="inlineStr">
        <is>
          <t>13</t>
        </is>
      </c>
      <c r="E143" s="1158" t="inlineStr">
        <is>
          <t>26</t>
        </is>
      </c>
      <c r="F143" s="1158"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s="1158" t="inlineStr">
        <is>
          <t>Retail Stores</t>
        </is>
      </c>
      <c r="C144" s="1158" t="inlineStr">
        <is>
          <t>353</t>
        </is>
      </c>
      <c r="D144" s="1158" t="inlineStr">
        <is>
          <t>13</t>
        </is>
      </c>
      <c r="E144" s="1158" t="inlineStr">
        <is>
          <t>26</t>
        </is>
      </c>
      <c r="F144" s="1158"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s="1158" t="inlineStr">
        <is>
          <t>Retail Stores</t>
        </is>
      </c>
      <c r="C145" s="1158" t="inlineStr">
        <is>
          <t>353</t>
        </is>
      </c>
      <c r="D145" s="1158" t="inlineStr">
        <is>
          <t>13</t>
        </is>
      </c>
      <c r="E145" s="1158" t="inlineStr">
        <is>
          <t>26</t>
        </is>
      </c>
      <c r="F145" s="1158"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s="1158" t="inlineStr">
        <is>
          <t>Retail Stores</t>
        </is>
      </c>
      <c r="C146" s="1158" t="inlineStr">
        <is>
          <t>353</t>
        </is>
      </c>
      <c r="D146" s="1158" t="inlineStr">
        <is>
          <t>13</t>
        </is>
      </c>
      <c r="E146" s="1158" t="inlineStr">
        <is>
          <t>26</t>
        </is>
      </c>
      <c r="F146" s="1158"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s="1158" t="inlineStr">
        <is>
          <t>Retail Stores</t>
        </is>
      </c>
      <c r="C147" s="1158" t="inlineStr">
        <is>
          <t>353</t>
        </is>
      </c>
      <c r="D147" s="1158" t="inlineStr">
        <is>
          <t>13</t>
        </is>
      </c>
      <c r="E147" s="1158" t="inlineStr">
        <is>
          <t>26</t>
        </is>
      </c>
      <c r="F147" s="1158"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s="1158" t="inlineStr">
        <is>
          <t>Retail Stores</t>
        </is>
      </c>
      <c r="C148" s="1158" t="inlineStr">
        <is>
          <t>353</t>
        </is>
      </c>
      <c r="D148" s="1158" t="inlineStr">
        <is>
          <t>13</t>
        </is>
      </c>
      <c r="E148" s="1158" t="inlineStr">
        <is>
          <t>26</t>
        </is>
      </c>
      <c r="F148" s="115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s="1158" t="inlineStr">
        <is>
          <t>Retail Stores</t>
        </is>
      </c>
      <c r="C149" s="1158" t="inlineStr">
        <is>
          <t>353</t>
        </is>
      </c>
      <c r="D149" s="1158" t="inlineStr">
        <is>
          <t>13</t>
        </is>
      </c>
      <c r="E149" s="1158" t="inlineStr">
        <is>
          <t>26</t>
        </is>
      </c>
      <c r="F149" s="1158"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s="1158" t="inlineStr">
        <is>
          <t>Retail Stores</t>
        </is>
      </c>
      <c r="C150" s="1158" t="inlineStr">
        <is>
          <t>353</t>
        </is>
      </c>
      <c r="D150" s="1158" t="inlineStr">
        <is>
          <t>13</t>
        </is>
      </c>
      <c r="E150" s="1158" t="inlineStr">
        <is>
          <t>26</t>
        </is>
      </c>
      <c r="F150" s="1158"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s="1158" t="inlineStr">
        <is>
          <t>Retail Stores</t>
        </is>
      </c>
      <c r="C151" s="1158" t="inlineStr">
        <is>
          <t>353</t>
        </is>
      </c>
      <c r="D151" s="1158" t="inlineStr">
        <is>
          <t>13</t>
        </is>
      </c>
      <c r="E151" s="1158" t="inlineStr">
        <is>
          <t>26</t>
        </is>
      </c>
      <c r="F151" s="1158"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s="1158" t="inlineStr">
        <is>
          <t>Neighborhood Shopping Centers</t>
        </is>
      </c>
      <c r="C152" s="1158" t="inlineStr">
        <is>
          <t>412</t>
        </is>
      </c>
      <c r="D152" s="1158" t="inlineStr">
        <is>
          <t>13</t>
        </is>
      </c>
      <c r="E152" s="1158" t="inlineStr">
        <is>
          <t>33</t>
        </is>
      </c>
      <c r="F152" s="1158"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s="1158" t="inlineStr">
        <is>
          <t>Neighborhood Shopping Centers</t>
        </is>
      </c>
      <c r="C153" s="1158" t="inlineStr">
        <is>
          <t>412</t>
        </is>
      </c>
      <c r="D153" s="1158" t="inlineStr">
        <is>
          <t>13</t>
        </is>
      </c>
      <c r="E153" s="1158" t="inlineStr">
        <is>
          <t>33</t>
        </is>
      </c>
      <c r="F153" s="1158"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s="1158" t="inlineStr">
        <is>
          <t>Neighborhood Shopping Centers</t>
        </is>
      </c>
      <c r="C154" s="1158" t="inlineStr">
        <is>
          <t>412</t>
        </is>
      </c>
      <c r="D154" s="1158" t="inlineStr">
        <is>
          <t>13</t>
        </is>
      </c>
      <c r="E154" s="1158" t="inlineStr">
        <is>
          <t>33</t>
        </is>
      </c>
      <c r="F154" s="1158"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s="1158" t="inlineStr">
        <is>
          <t>Neighborhood Shopping Centers</t>
        </is>
      </c>
      <c r="C155" s="1158" t="inlineStr">
        <is>
          <t>412</t>
        </is>
      </c>
      <c r="D155" s="1158" t="inlineStr">
        <is>
          <t>13</t>
        </is>
      </c>
      <c r="E155" s="1158" t="inlineStr">
        <is>
          <t>33</t>
        </is>
      </c>
      <c r="F155" s="1158"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s="1158" t="inlineStr">
        <is>
          <t>Neighborhood Shopping Centers</t>
        </is>
      </c>
      <c r="C156" s="1158" t="inlineStr">
        <is>
          <t>412</t>
        </is>
      </c>
      <c r="D156" s="1158" t="inlineStr">
        <is>
          <t>13</t>
        </is>
      </c>
      <c r="E156" s="1158" t="inlineStr">
        <is>
          <t>33</t>
        </is>
      </c>
      <c r="F156" s="1158"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s="1158" t="inlineStr">
        <is>
          <t>Neighborhood Shopping Centers</t>
        </is>
      </c>
      <c r="C157" s="1158" t="inlineStr">
        <is>
          <t>412</t>
        </is>
      </c>
      <c r="D157" s="1158" t="inlineStr">
        <is>
          <t>13</t>
        </is>
      </c>
      <c r="E157" s="1158" t="inlineStr">
        <is>
          <t>33</t>
        </is>
      </c>
      <c r="F157" s="1158"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s="1158" t="inlineStr">
        <is>
          <t>Neighborhood Shopping Centers</t>
        </is>
      </c>
      <c r="C158" s="1158" t="inlineStr">
        <is>
          <t>412</t>
        </is>
      </c>
      <c r="D158" s="1158" t="inlineStr">
        <is>
          <t>13</t>
        </is>
      </c>
      <c r="E158" s="1158" t="inlineStr">
        <is>
          <t>33</t>
        </is>
      </c>
      <c r="F158" s="1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s="1158" t="inlineStr">
        <is>
          <t>Neighborhood Shopping Centers</t>
        </is>
      </c>
      <c r="C159" s="1158" t="inlineStr">
        <is>
          <t>412</t>
        </is>
      </c>
      <c r="D159" s="1158" t="inlineStr">
        <is>
          <t>13</t>
        </is>
      </c>
      <c r="E159" s="1158" t="inlineStr">
        <is>
          <t>33</t>
        </is>
      </c>
      <c r="F159" s="1158"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s="1158" t="inlineStr">
        <is>
          <t>Neighborhood Shopping Centers</t>
        </is>
      </c>
      <c r="C160" s="1158" t="inlineStr">
        <is>
          <t>412</t>
        </is>
      </c>
      <c r="D160" s="1158" t="inlineStr">
        <is>
          <t>13</t>
        </is>
      </c>
      <c r="E160" s="1158" t="inlineStr">
        <is>
          <t>33</t>
        </is>
      </c>
      <c r="F160" s="1158"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s="1158" t="inlineStr">
        <is>
          <t>Neighborhood Shopping Centers</t>
        </is>
      </c>
      <c r="C161" s="1158" t="inlineStr">
        <is>
          <t>412</t>
        </is>
      </c>
      <c r="D161" s="1158" t="inlineStr">
        <is>
          <t>13</t>
        </is>
      </c>
      <c r="E161" s="1158" t="inlineStr">
        <is>
          <t>33</t>
        </is>
      </c>
      <c r="F161" s="1158"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s="1158" t="inlineStr">
        <is>
          <t>Community Shopping Centers</t>
        </is>
      </c>
      <c r="C162" s="1158" t="inlineStr">
        <is>
          <t>413</t>
        </is>
      </c>
      <c r="D162" s="1158" t="inlineStr">
        <is>
          <t>13</t>
        </is>
      </c>
      <c r="E162" s="1158" t="inlineStr">
        <is>
          <t>34</t>
        </is>
      </c>
      <c r="F162" s="1158"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s="1158" t="inlineStr">
        <is>
          <t>Community Shopping Centers</t>
        </is>
      </c>
      <c r="C163" s="1158" t="inlineStr">
        <is>
          <t>413</t>
        </is>
      </c>
      <c r="D163" s="1158" t="inlineStr">
        <is>
          <t>13</t>
        </is>
      </c>
      <c r="E163" s="1158" t="inlineStr">
        <is>
          <t>34</t>
        </is>
      </c>
      <c r="F163" s="1158"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s="1158" t="inlineStr">
        <is>
          <t>Community Shopping Centers</t>
        </is>
      </c>
      <c r="C164" s="1158" t="inlineStr">
        <is>
          <t>413</t>
        </is>
      </c>
      <c r="D164" s="1158" t="inlineStr">
        <is>
          <t>13</t>
        </is>
      </c>
      <c r="E164" s="1158" t="inlineStr">
        <is>
          <t>34</t>
        </is>
      </c>
      <c r="F164" s="1158"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s="1158" t="inlineStr">
        <is>
          <t>Community Shopping Centers</t>
        </is>
      </c>
      <c r="C165" s="1158" t="inlineStr">
        <is>
          <t>413</t>
        </is>
      </c>
      <c r="D165" s="1158" t="inlineStr">
        <is>
          <t>13</t>
        </is>
      </c>
      <c r="E165" s="1158" t="inlineStr">
        <is>
          <t>34</t>
        </is>
      </c>
      <c r="F165" s="1158"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s="1158" t="inlineStr">
        <is>
          <t>Community Shopping Centers</t>
        </is>
      </c>
      <c r="C166" s="1158" t="inlineStr">
        <is>
          <t>413</t>
        </is>
      </c>
      <c r="D166" s="1158" t="inlineStr">
        <is>
          <t>13</t>
        </is>
      </c>
      <c r="E166" s="1158" t="inlineStr">
        <is>
          <t>34</t>
        </is>
      </c>
      <c r="F166" s="1158"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s="1158" t="inlineStr">
        <is>
          <t>Community Shopping Centers</t>
        </is>
      </c>
      <c r="C167" s="1158" t="inlineStr">
        <is>
          <t>413</t>
        </is>
      </c>
      <c r="D167" s="1158" t="inlineStr">
        <is>
          <t>13</t>
        </is>
      </c>
      <c r="E167" s="1158" t="inlineStr">
        <is>
          <t>34</t>
        </is>
      </c>
      <c r="F167" s="1158"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s="1158" t="inlineStr">
        <is>
          <t>Community Shopping Centers</t>
        </is>
      </c>
      <c r="C168" s="1158" t="inlineStr">
        <is>
          <t>413</t>
        </is>
      </c>
      <c r="D168" s="1158" t="inlineStr">
        <is>
          <t>13</t>
        </is>
      </c>
      <c r="E168" s="1158" t="inlineStr">
        <is>
          <t>34</t>
        </is>
      </c>
      <c r="F168" s="115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s="1158" t="inlineStr">
        <is>
          <t>Community Shopping Centers</t>
        </is>
      </c>
      <c r="C169" s="1158" t="inlineStr">
        <is>
          <t>413</t>
        </is>
      </c>
      <c r="D169" s="1158" t="inlineStr">
        <is>
          <t>13</t>
        </is>
      </c>
      <c r="E169" s="1158" t="inlineStr">
        <is>
          <t>34</t>
        </is>
      </c>
      <c r="F169" s="1158"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s="1158" t="inlineStr">
        <is>
          <t>Regional Shopping Centers</t>
        </is>
      </c>
      <c r="C170" s="1158" t="inlineStr">
        <is>
          <t>414</t>
        </is>
      </c>
      <c r="D170" s="1158" t="inlineStr">
        <is>
          <t>13</t>
        </is>
      </c>
      <c r="E170" s="1158" t="inlineStr">
        <is>
          <t>35</t>
        </is>
      </c>
      <c r="F170" s="1158"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s="1158" t="inlineStr">
        <is>
          <t>Regional Shopping Centers</t>
        </is>
      </c>
      <c r="C171" s="1158" t="inlineStr">
        <is>
          <t>414</t>
        </is>
      </c>
      <c r="D171" s="1158" t="inlineStr">
        <is>
          <t>13</t>
        </is>
      </c>
      <c r="E171" s="1158" t="inlineStr">
        <is>
          <t>35</t>
        </is>
      </c>
      <c r="F171" s="1158"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s="1158" t="inlineStr">
        <is>
          <t>Regional Shopping Centers</t>
        </is>
      </c>
      <c r="C172" s="1158" t="inlineStr">
        <is>
          <t>414</t>
        </is>
      </c>
      <c r="D172" s="1158" t="inlineStr">
        <is>
          <t>13</t>
        </is>
      </c>
      <c r="E172" s="1158" t="inlineStr">
        <is>
          <t>35</t>
        </is>
      </c>
      <c r="F172" s="1158"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s="1158" t="inlineStr">
        <is>
          <t>Regional Shopping Centers</t>
        </is>
      </c>
      <c r="C173" s="1158" t="inlineStr">
        <is>
          <t>414</t>
        </is>
      </c>
      <c r="D173" s="1158" t="inlineStr">
        <is>
          <t>13</t>
        </is>
      </c>
      <c r="E173" s="1158" t="inlineStr">
        <is>
          <t>35</t>
        </is>
      </c>
      <c r="F173" s="1158"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s="1158" t="inlineStr">
        <is>
          <t>Regional Shopping Centers</t>
        </is>
      </c>
      <c r="C174" s="1158" t="inlineStr">
        <is>
          <t>414</t>
        </is>
      </c>
      <c r="D174" s="1158" t="inlineStr">
        <is>
          <t>13</t>
        </is>
      </c>
      <c r="E174" s="1158" t="inlineStr">
        <is>
          <t>35</t>
        </is>
      </c>
      <c r="F174" s="1158"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s="1158" t="inlineStr">
        <is>
          <t>Regional Shopping Centers</t>
        </is>
      </c>
      <c r="C175" s="1158" t="inlineStr">
        <is>
          <t>414</t>
        </is>
      </c>
      <c r="D175" s="1158" t="inlineStr">
        <is>
          <t>13</t>
        </is>
      </c>
      <c r="E175" s="1158" t="inlineStr">
        <is>
          <t>35</t>
        </is>
      </c>
      <c r="F175" s="1158"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s="1158" t="inlineStr">
        <is>
          <t>Regional Shopping Centers</t>
        </is>
      </c>
      <c r="C176" s="1158" t="inlineStr">
        <is>
          <t>414</t>
        </is>
      </c>
      <c r="D176" s="1158" t="inlineStr">
        <is>
          <t>13</t>
        </is>
      </c>
      <c r="E176" s="1158" t="inlineStr">
        <is>
          <t>35</t>
        </is>
      </c>
      <c r="F176" s="1158"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s="1158" t="inlineStr">
        <is>
          <t>Regional Shopping Centers</t>
        </is>
      </c>
      <c r="C177" s="1158" t="inlineStr">
        <is>
          <t>414</t>
        </is>
      </c>
      <c r="D177" s="1158" t="inlineStr">
        <is>
          <t>13</t>
        </is>
      </c>
      <c r="E177" s="1158" t="inlineStr">
        <is>
          <t>35</t>
        </is>
      </c>
      <c r="F177" s="1158"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s="1158" t="inlineStr">
        <is>
          <t>Regional Shopping Centers</t>
        </is>
      </c>
      <c r="C178" s="1158" t="inlineStr">
        <is>
          <t>414</t>
        </is>
      </c>
      <c r="D178" s="1158" t="inlineStr">
        <is>
          <t>13</t>
        </is>
      </c>
      <c r="E178" s="1158" t="inlineStr">
        <is>
          <t>35</t>
        </is>
      </c>
      <c r="F178" s="115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s="1158" t="inlineStr">
        <is>
          <t>Department Stores</t>
        </is>
      </c>
      <c r="C179" s="1158" t="inlineStr">
        <is>
          <t>318</t>
        </is>
      </c>
      <c r="D179" s="1158" t="inlineStr">
        <is>
          <t>13</t>
        </is>
      </c>
      <c r="E179" s="1158" t="inlineStr">
        <is>
          <t>27</t>
        </is>
      </c>
      <c r="F179" s="1158"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s="1158" t="inlineStr">
        <is>
          <t>Department Stores</t>
        </is>
      </c>
      <c r="C180" s="1158" t="inlineStr">
        <is>
          <t>318</t>
        </is>
      </c>
      <c r="D180" s="1158" t="inlineStr">
        <is>
          <t>13</t>
        </is>
      </c>
      <c r="E180" s="1158" t="inlineStr">
        <is>
          <t>27</t>
        </is>
      </c>
      <c r="F180" s="1158"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s="1158" t="inlineStr">
        <is>
          <t>Department Stores</t>
        </is>
      </c>
      <c r="C181" s="1158" t="inlineStr">
        <is>
          <t>318</t>
        </is>
      </c>
      <c r="D181" s="1158" t="inlineStr">
        <is>
          <t>13</t>
        </is>
      </c>
      <c r="E181" s="1158" t="inlineStr">
        <is>
          <t>27</t>
        </is>
      </c>
      <c r="F181" s="1158"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s="1158" t="inlineStr">
        <is>
          <t>Department Stores</t>
        </is>
      </c>
      <c r="C182" s="1158" t="inlineStr">
        <is>
          <t>318</t>
        </is>
      </c>
      <c r="D182" s="1158" t="inlineStr">
        <is>
          <t>13</t>
        </is>
      </c>
      <c r="E182" s="1158" t="inlineStr">
        <is>
          <t>27</t>
        </is>
      </c>
      <c r="F182" s="1158"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s="1158" t="inlineStr">
        <is>
          <t>Department Stores</t>
        </is>
      </c>
      <c r="C183" s="1158" t="inlineStr">
        <is>
          <t>318</t>
        </is>
      </c>
      <c r="D183" s="1158" t="inlineStr">
        <is>
          <t>13</t>
        </is>
      </c>
      <c r="E183" s="1158" t="inlineStr">
        <is>
          <t>27</t>
        </is>
      </c>
      <c r="F183" s="1158"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s="1158" t="inlineStr">
        <is>
          <t>Department Stores</t>
        </is>
      </c>
      <c r="C184" s="1158" t="inlineStr">
        <is>
          <t>318</t>
        </is>
      </c>
      <c r="D184" s="1158" t="inlineStr">
        <is>
          <t>13</t>
        </is>
      </c>
      <c r="E184" s="1158" t="inlineStr">
        <is>
          <t>27</t>
        </is>
      </c>
      <c r="F184" s="1158"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s="1158" t="inlineStr">
        <is>
          <t>Department Stores</t>
        </is>
      </c>
      <c r="C185" s="1158" t="inlineStr">
        <is>
          <t>318</t>
        </is>
      </c>
      <c r="D185" s="1158" t="inlineStr">
        <is>
          <t>13</t>
        </is>
      </c>
      <c r="E185" s="1158" t="inlineStr">
        <is>
          <t>27</t>
        </is>
      </c>
      <c r="F185" s="1158"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s="1158" t="inlineStr">
        <is>
          <t>Department Stores</t>
        </is>
      </c>
      <c r="C186" s="1158" t="inlineStr">
        <is>
          <t>318</t>
        </is>
      </c>
      <c r="D186" s="1158" t="inlineStr">
        <is>
          <t>13</t>
        </is>
      </c>
      <c r="E186" s="1158" t="inlineStr">
        <is>
          <t>27</t>
        </is>
      </c>
      <c r="F186" s="1158"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s="1158" t="inlineStr">
        <is>
          <t>Department Stores</t>
        </is>
      </c>
      <c r="C187" s="1158" t="inlineStr">
        <is>
          <t>318</t>
        </is>
      </c>
      <c r="D187" s="1158" t="inlineStr">
        <is>
          <t>13</t>
        </is>
      </c>
      <c r="E187" s="1158" t="inlineStr">
        <is>
          <t>27</t>
        </is>
      </c>
      <c r="F187" s="1158"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s="1158" t="inlineStr">
        <is>
          <t>Discount Stores</t>
        </is>
      </c>
      <c r="C188" s="1158" t="inlineStr">
        <is>
          <t>319</t>
        </is>
      </c>
      <c r="D188" s="1158" t="inlineStr">
        <is>
          <t>13</t>
        </is>
      </c>
      <c r="E188" s="1158" t="inlineStr">
        <is>
          <t>28</t>
        </is>
      </c>
      <c r="F188" s="115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s="1158" t="inlineStr">
        <is>
          <t>Discount Stores</t>
        </is>
      </c>
      <c r="C189" s="1158" t="inlineStr">
        <is>
          <t>319</t>
        </is>
      </c>
      <c r="D189" s="1158" t="inlineStr">
        <is>
          <t>13</t>
        </is>
      </c>
      <c r="E189" s="1158" t="inlineStr">
        <is>
          <t>28</t>
        </is>
      </c>
      <c r="F189" s="1158"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s="1158" t="inlineStr">
        <is>
          <t>Discount Stores</t>
        </is>
      </c>
      <c r="C190" s="1158" t="inlineStr">
        <is>
          <t>319</t>
        </is>
      </c>
      <c r="D190" s="1158" t="inlineStr">
        <is>
          <t>13</t>
        </is>
      </c>
      <c r="E190" s="1158" t="inlineStr">
        <is>
          <t>28</t>
        </is>
      </c>
      <c r="F190" s="1158"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s="1158" t="inlineStr">
        <is>
          <t>Discount Stores</t>
        </is>
      </c>
      <c r="C191" s="1158" t="inlineStr">
        <is>
          <t>319</t>
        </is>
      </c>
      <c r="D191" s="1158" t="inlineStr">
        <is>
          <t>13</t>
        </is>
      </c>
      <c r="E191" s="1158" t="inlineStr">
        <is>
          <t>28</t>
        </is>
      </c>
      <c r="F191" s="1158"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s="1158" t="inlineStr">
        <is>
          <t>Discount Stores</t>
        </is>
      </c>
      <c r="C192" s="1158" t="inlineStr">
        <is>
          <t>319</t>
        </is>
      </c>
      <c r="D192" s="1158" t="inlineStr">
        <is>
          <t>13</t>
        </is>
      </c>
      <c r="E192" s="1158" t="inlineStr">
        <is>
          <t>28</t>
        </is>
      </c>
      <c r="F192" s="1158"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s="1158" t="inlineStr">
        <is>
          <t>Discount Stores</t>
        </is>
      </c>
      <c r="C193" s="1158" t="inlineStr">
        <is>
          <t>319</t>
        </is>
      </c>
      <c r="D193" s="1158" t="inlineStr">
        <is>
          <t>13</t>
        </is>
      </c>
      <c r="E193" s="1158" t="inlineStr">
        <is>
          <t>28</t>
        </is>
      </c>
      <c r="F193" s="1158"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s="1158" t="inlineStr">
        <is>
          <t>Discount Stores</t>
        </is>
      </c>
      <c r="C194" s="1158" t="inlineStr">
        <is>
          <t>319</t>
        </is>
      </c>
      <c r="D194" s="1158" t="inlineStr">
        <is>
          <t>13</t>
        </is>
      </c>
      <c r="E194" s="1158" t="inlineStr">
        <is>
          <t>28</t>
        </is>
      </c>
      <c r="F194" s="1158"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s="1158" t="inlineStr">
        <is>
          <t>Discount Stores</t>
        </is>
      </c>
      <c r="C195" s="1158" t="inlineStr">
        <is>
          <t>319</t>
        </is>
      </c>
      <c r="D195" s="1158" t="inlineStr">
        <is>
          <t>13</t>
        </is>
      </c>
      <c r="E195" s="1158" t="inlineStr">
        <is>
          <t>28</t>
        </is>
      </c>
      <c r="F195" s="1158"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s="1158" t="inlineStr">
        <is>
          <t>Discount Stores</t>
        </is>
      </c>
      <c r="C196" s="1158" t="inlineStr">
        <is>
          <t>319</t>
        </is>
      </c>
      <c r="D196" s="1158" t="inlineStr">
        <is>
          <t>13</t>
        </is>
      </c>
      <c r="E196" s="1158" t="inlineStr">
        <is>
          <t>28</t>
        </is>
      </c>
      <c r="F196" s="1158"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s="1158" t="inlineStr">
        <is>
          <t>Discount Stores</t>
        </is>
      </c>
      <c r="C197" s="1158" t="inlineStr">
        <is>
          <t>319</t>
        </is>
      </c>
      <c r="D197" s="1158" t="inlineStr">
        <is>
          <t>13</t>
        </is>
      </c>
      <c r="E197" s="1158" t="inlineStr">
        <is>
          <t>28</t>
        </is>
      </c>
      <c r="F197" s="1158"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s="1158" t="inlineStr">
        <is>
          <t>Discount Stores</t>
        </is>
      </c>
      <c r="C198" s="1158" t="inlineStr">
        <is>
          <t>319</t>
        </is>
      </c>
      <c r="D198" s="1158" t="inlineStr">
        <is>
          <t>13</t>
        </is>
      </c>
      <c r="E198" s="1158" t="inlineStr">
        <is>
          <t>28</t>
        </is>
      </c>
      <c r="F198" s="115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s="1158" t="inlineStr">
        <is>
          <t>Office Buildings</t>
        </is>
      </c>
      <c r="C199" s="1158" t="inlineStr">
        <is>
          <t>344</t>
        </is>
      </c>
      <c r="D199" s="1158" t="inlineStr">
        <is>
          <t>15</t>
        </is>
      </c>
      <c r="E199" s="1158" t="inlineStr">
        <is>
          <t>17</t>
        </is>
      </c>
      <c r="F199" s="1158"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s="1158" t="inlineStr">
        <is>
          <t>Office Buildings</t>
        </is>
      </c>
      <c r="C200" s="1158" t="inlineStr">
        <is>
          <t>344</t>
        </is>
      </c>
      <c r="D200" s="1158" t="inlineStr">
        <is>
          <t>15</t>
        </is>
      </c>
      <c r="E200" s="1158" t="inlineStr">
        <is>
          <t>17</t>
        </is>
      </c>
      <c r="F200" s="1158"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s="1158" t="inlineStr">
        <is>
          <t>Office Buildings</t>
        </is>
      </c>
      <c r="C201" s="1158" t="inlineStr">
        <is>
          <t>344</t>
        </is>
      </c>
      <c r="D201" s="1158" t="inlineStr">
        <is>
          <t>15</t>
        </is>
      </c>
      <c r="E201" s="1158" t="inlineStr">
        <is>
          <t>17</t>
        </is>
      </c>
      <c r="F201" s="1158"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s="1158" t="inlineStr">
        <is>
          <t>Office Buildings</t>
        </is>
      </c>
      <c r="C202" s="1158" t="inlineStr">
        <is>
          <t>344</t>
        </is>
      </c>
      <c r="D202" s="1158" t="inlineStr">
        <is>
          <t>15</t>
        </is>
      </c>
      <c r="E202" s="1158" t="inlineStr">
        <is>
          <t>17</t>
        </is>
      </c>
      <c r="F202" s="1158"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s="1158" t="inlineStr">
        <is>
          <t>Office Buildings</t>
        </is>
      </c>
      <c r="C203" s="1158" t="inlineStr">
        <is>
          <t>344</t>
        </is>
      </c>
      <c r="D203" s="1158" t="inlineStr">
        <is>
          <t>15</t>
        </is>
      </c>
      <c r="E203" s="1158" t="inlineStr">
        <is>
          <t>17</t>
        </is>
      </c>
      <c r="F203" s="1158"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s="1158" t="inlineStr">
        <is>
          <t>Office Buildings</t>
        </is>
      </c>
      <c r="C204" s="1158" t="inlineStr">
        <is>
          <t>344</t>
        </is>
      </c>
      <c r="D204" s="1158" t="inlineStr">
        <is>
          <t>15</t>
        </is>
      </c>
      <c r="E204" s="1158" t="inlineStr">
        <is>
          <t>17</t>
        </is>
      </c>
      <c r="F204" s="1158"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s="1158" t="inlineStr">
        <is>
          <t>Office Buildings</t>
        </is>
      </c>
      <c r="C205" s="1158" t="inlineStr">
        <is>
          <t>344</t>
        </is>
      </c>
      <c r="D205" s="1158" t="inlineStr">
        <is>
          <t>15</t>
        </is>
      </c>
      <c r="E205" s="1158" t="inlineStr">
        <is>
          <t>17</t>
        </is>
      </c>
      <c r="F205" s="1158"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s="1158" t="inlineStr">
        <is>
          <t>Office Buildings</t>
        </is>
      </c>
      <c r="C206" s="1158" t="inlineStr">
        <is>
          <t>344</t>
        </is>
      </c>
      <c r="D206" s="1158" t="inlineStr">
        <is>
          <t>15</t>
        </is>
      </c>
      <c r="E206" s="1158" t="inlineStr">
        <is>
          <t>17</t>
        </is>
      </c>
      <c r="F206" s="1158"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s="1158" t="inlineStr">
        <is>
          <t>Office Buildings</t>
        </is>
      </c>
      <c r="C207" s="1158" t="inlineStr">
        <is>
          <t>344</t>
        </is>
      </c>
      <c r="D207" s="1158" t="inlineStr">
        <is>
          <t>15</t>
        </is>
      </c>
      <c r="E207" s="1158" t="inlineStr">
        <is>
          <t>17</t>
        </is>
      </c>
      <c r="F207" s="1158"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s="1158" t="inlineStr">
        <is>
          <t>Office Buildings</t>
        </is>
      </c>
      <c r="C208" s="1158" t="inlineStr">
        <is>
          <t>344</t>
        </is>
      </c>
      <c r="D208" s="1158" t="inlineStr">
        <is>
          <t>15</t>
        </is>
      </c>
      <c r="E208" s="1158" t="inlineStr">
        <is>
          <t>17</t>
        </is>
      </c>
      <c r="F208" s="115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s="1158" t="inlineStr">
        <is>
          <t>Office Buildings</t>
        </is>
      </c>
      <c r="C209" s="1158" t="inlineStr">
        <is>
          <t>344</t>
        </is>
      </c>
      <c r="D209" s="1158" t="inlineStr">
        <is>
          <t>15</t>
        </is>
      </c>
      <c r="E209" s="1158" t="inlineStr">
        <is>
          <t>17</t>
        </is>
      </c>
      <c r="F209" s="1158"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s="1158" t="inlineStr">
        <is>
          <t>Office Buildings</t>
        </is>
      </c>
      <c r="C210" s="1158" t="inlineStr">
        <is>
          <t>344</t>
        </is>
      </c>
      <c r="D210" s="1158" t="inlineStr">
        <is>
          <t>15</t>
        </is>
      </c>
      <c r="E210" s="1158" t="inlineStr">
        <is>
          <t>17</t>
        </is>
      </c>
      <c r="F210" s="1158"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s="1158" t="inlineStr">
        <is>
          <t>Office Buildings</t>
        </is>
      </c>
      <c r="C211" s="1158" t="inlineStr">
        <is>
          <t>344</t>
        </is>
      </c>
      <c r="D211" s="1158" t="inlineStr">
        <is>
          <t>15</t>
        </is>
      </c>
      <c r="E211" s="1158" t="inlineStr">
        <is>
          <t>17</t>
        </is>
      </c>
      <c r="F211" s="1158"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s="1158" t="inlineStr">
        <is>
          <t>Office Buildings</t>
        </is>
      </c>
      <c r="C212" s="1158" t="inlineStr">
        <is>
          <t>344</t>
        </is>
      </c>
      <c r="D212" s="1158" t="inlineStr">
        <is>
          <t>15</t>
        </is>
      </c>
      <c r="E212" s="1158" t="inlineStr">
        <is>
          <t>17</t>
        </is>
      </c>
      <c r="F212" s="1158"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s="1158" t="inlineStr">
        <is>
          <t>Office Buildings</t>
        </is>
      </c>
      <c r="C213" s="1158" t="inlineStr">
        <is>
          <t>344</t>
        </is>
      </c>
      <c r="D213" s="1158" t="inlineStr">
        <is>
          <t>15</t>
        </is>
      </c>
      <c r="E213" s="1158" t="inlineStr">
        <is>
          <t>17</t>
        </is>
      </c>
      <c r="F213" s="1158"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s="1158" t="inlineStr">
        <is>
          <t>Office Buildings</t>
        </is>
      </c>
      <c r="C214" s="1158" t="inlineStr">
        <is>
          <t>344</t>
        </is>
      </c>
      <c r="D214" s="1158" t="inlineStr">
        <is>
          <t>15</t>
        </is>
      </c>
      <c r="E214" s="1158" t="inlineStr">
        <is>
          <t>17</t>
        </is>
      </c>
      <c r="F214" s="1158"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s="1158" t="inlineStr">
        <is>
          <t>Office Buildings</t>
        </is>
      </c>
      <c r="C215" s="1158" t="inlineStr">
        <is>
          <t>344</t>
        </is>
      </c>
      <c r="D215" s="1158" t="inlineStr">
        <is>
          <t>15</t>
        </is>
      </c>
      <c r="E215" s="1158" t="inlineStr">
        <is>
          <t>17</t>
        </is>
      </c>
      <c r="F215" s="1158"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s="1158" t="inlineStr">
        <is>
          <t>Office Buildings</t>
        </is>
      </c>
      <c r="C216" s="1158" t="inlineStr">
        <is>
          <t>344</t>
        </is>
      </c>
      <c r="D216" s="1158" t="inlineStr">
        <is>
          <t>15</t>
        </is>
      </c>
      <c r="E216" s="1158" t="inlineStr">
        <is>
          <t>17</t>
        </is>
      </c>
      <c r="F216" s="1158"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s="1158" t="inlineStr">
        <is>
          <t>Office Buildings</t>
        </is>
      </c>
      <c r="C217" s="1158" t="inlineStr">
        <is>
          <t>344</t>
        </is>
      </c>
      <c r="D217" s="1158" t="inlineStr">
        <is>
          <t>15</t>
        </is>
      </c>
      <c r="E217" s="1158" t="inlineStr">
        <is>
          <t>17</t>
        </is>
      </c>
      <c r="F217" s="1158"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s="1158" t="inlineStr">
        <is>
          <t>Office Buildings</t>
        </is>
      </c>
      <c r="C218" s="1158" t="inlineStr">
        <is>
          <t>344</t>
        </is>
      </c>
      <c r="D218" s="1158" t="inlineStr">
        <is>
          <t>15</t>
        </is>
      </c>
      <c r="E218" s="1158" t="inlineStr">
        <is>
          <t>17</t>
        </is>
      </c>
      <c r="F218" s="115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s="1158" t="inlineStr">
        <is>
          <t>Office Buildings</t>
        </is>
      </c>
      <c r="C219" s="1158" t="inlineStr">
        <is>
          <t>344</t>
        </is>
      </c>
      <c r="D219" s="1158" t="inlineStr">
        <is>
          <t>15</t>
        </is>
      </c>
      <c r="E219" s="1158" t="inlineStr">
        <is>
          <t>17</t>
        </is>
      </c>
      <c r="F219" s="1158"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s="1158" t="inlineStr">
        <is>
          <t>Office Buildings</t>
        </is>
      </c>
      <c r="C220" s="1158" t="inlineStr">
        <is>
          <t>344</t>
        </is>
      </c>
      <c r="D220" s="1158" t="inlineStr">
        <is>
          <t>15</t>
        </is>
      </c>
      <c r="E220" s="1158" t="inlineStr">
        <is>
          <t>17</t>
        </is>
      </c>
      <c r="F220" s="1158"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s="1158" t="inlineStr">
        <is>
          <t>Medical Office Buildings</t>
        </is>
      </c>
      <c r="C221" s="1158" t="inlineStr">
        <is>
          <t>341</t>
        </is>
      </c>
      <c r="D221" s="1158" t="inlineStr">
        <is>
          <t>15</t>
        </is>
      </c>
      <c r="E221" s="1158" t="inlineStr">
        <is>
          <t>22</t>
        </is>
      </c>
      <c r="F221" s="1158"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s="1158" t="inlineStr">
        <is>
          <t>Medical Office Buildings</t>
        </is>
      </c>
      <c r="C222" s="1158" t="inlineStr">
        <is>
          <t>341</t>
        </is>
      </c>
      <c r="D222" s="1158" t="inlineStr">
        <is>
          <t>15</t>
        </is>
      </c>
      <c r="E222" s="1158" t="inlineStr">
        <is>
          <t>22</t>
        </is>
      </c>
      <c r="F222" s="1158"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s="1158" t="inlineStr">
        <is>
          <t>Medical Office Buildings</t>
        </is>
      </c>
      <c r="C223" s="1158" t="inlineStr">
        <is>
          <t>341</t>
        </is>
      </c>
      <c r="D223" s="1158" t="inlineStr">
        <is>
          <t>15</t>
        </is>
      </c>
      <c r="E223" s="1158" t="inlineStr">
        <is>
          <t>22</t>
        </is>
      </c>
      <c r="F223" s="1158"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s="1158" t="inlineStr">
        <is>
          <t>Medical Office Buildings</t>
        </is>
      </c>
      <c r="C224" s="1158" t="inlineStr">
        <is>
          <t>341</t>
        </is>
      </c>
      <c r="D224" s="1158" t="inlineStr">
        <is>
          <t>15</t>
        </is>
      </c>
      <c r="E224" s="1158" t="inlineStr">
        <is>
          <t>22</t>
        </is>
      </c>
      <c r="F224" s="1158"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s="1158" t="inlineStr">
        <is>
          <t>Medical Office Buildings</t>
        </is>
      </c>
      <c r="C225" s="1158" t="inlineStr">
        <is>
          <t>341</t>
        </is>
      </c>
      <c r="D225" s="1158" t="inlineStr">
        <is>
          <t>15</t>
        </is>
      </c>
      <c r="E225" s="1158" t="inlineStr">
        <is>
          <t>22</t>
        </is>
      </c>
      <c r="F225" s="1158"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s="1158" t="inlineStr">
        <is>
          <t>Medical Office Buildings</t>
        </is>
      </c>
      <c r="C226" s="1158" t="inlineStr">
        <is>
          <t>341</t>
        </is>
      </c>
      <c r="D226" s="1158" t="inlineStr">
        <is>
          <t>15</t>
        </is>
      </c>
      <c r="E226" s="1158" t="inlineStr">
        <is>
          <t>22</t>
        </is>
      </c>
      <c r="F226" s="1158"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s="1158" t="inlineStr">
        <is>
          <t>Medical Office Buildings</t>
        </is>
      </c>
      <c r="C227" s="1158" t="inlineStr">
        <is>
          <t>341</t>
        </is>
      </c>
      <c r="D227" s="1158" t="inlineStr">
        <is>
          <t>15</t>
        </is>
      </c>
      <c r="E227" s="1158" t="inlineStr">
        <is>
          <t>22</t>
        </is>
      </c>
      <c r="F227" s="1158"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s="1158" t="inlineStr">
        <is>
          <t>Medical Office Buildings</t>
        </is>
      </c>
      <c r="C228" s="1158" t="inlineStr">
        <is>
          <t>341</t>
        </is>
      </c>
      <c r="D228" s="1158" t="inlineStr">
        <is>
          <t>15</t>
        </is>
      </c>
      <c r="E228" s="1158" t="inlineStr">
        <is>
          <t>22</t>
        </is>
      </c>
      <c r="F228" s="115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s="1158" t="inlineStr">
        <is>
          <t>Medical Office Buildings</t>
        </is>
      </c>
      <c r="C229" s="1158" t="inlineStr">
        <is>
          <t>341</t>
        </is>
      </c>
      <c r="D229" s="1158" t="inlineStr">
        <is>
          <t>15</t>
        </is>
      </c>
      <c r="E229" s="1158" t="inlineStr">
        <is>
          <t>22</t>
        </is>
      </c>
      <c r="F229" s="1158"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s="1158" t="inlineStr">
        <is>
          <t>Medical Office Buildings</t>
        </is>
      </c>
      <c r="C230" s="1158" t="inlineStr">
        <is>
          <t>341</t>
        </is>
      </c>
      <c r="D230" s="1158" t="inlineStr">
        <is>
          <t>15</t>
        </is>
      </c>
      <c r="E230" s="1158" t="inlineStr">
        <is>
          <t>22</t>
        </is>
      </c>
      <c r="F230" s="1158"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s="1158" t="inlineStr">
        <is>
          <t>Medical Office Buildings</t>
        </is>
      </c>
      <c r="C231" s="1158" t="inlineStr">
        <is>
          <t>341</t>
        </is>
      </c>
      <c r="D231" s="1158" t="inlineStr">
        <is>
          <t>15</t>
        </is>
      </c>
      <c r="E231" s="1158" t="inlineStr">
        <is>
          <t>22</t>
        </is>
      </c>
      <c r="F231" s="1158"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s="1158" t="inlineStr">
        <is>
          <t>Medical Office Buildings</t>
        </is>
      </c>
      <c r="C232" s="1158" t="inlineStr">
        <is>
          <t>341</t>
        </is>
      </c>
      <c r="D232" s="1158" t="inlineStr">
        <is>
          <t>15</t>
        </is>
      </c>
      <c r="E232" s="1158" t="inlineStr">
        <is>
          <t>22</t>
        </is>
      </c>
      <c r="F232" s="1158"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s="1158" t="inlineStr">
        <is>
          <t>Medical Office Buildings</t>
        </is>
      </c>
      <c r="C233" s="1158" t="inlineStr">
        <is>
          <t>341</t>
        </is>
      </c>
      <c r="D233" s="1158" t="inlineStr">
        <is>
          <t>15</t>
        </is>
      </c>
      <c r="E233" s="1158" t="inlineStr">
        <is>
          <t>22</t>
        </is>
      </c>
      <c r="F233" s="1158"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s="1158" t="inlineStr">
        <is>
          <t>Medical Office Buildings</t>
        </is>
      </c>
      <c r="C234" s="1158" t="inlineStr">
        <is>
          <t>341</t>
        </is>
      </c>
      <c r="D234" s="1158" t="inlineStr">
        <is>
          <t>15</t>
        </is>
      </c>
      <c r="E234" s="1158" t="inlineStr">
        <is>
          <t>22</t>
        </is>
      </c>
      <c r="F234" s="1158"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s="1158" t="inlineStr">
        <is>
          <t>Medical Office Buildings</t>
        </is>
      </c>
      <c r="C235" s="1158" t="inlineStr">
        <is>
          <t>341</t>
        </is>
      </c>
      <c r="D235" s="1158" t="inlineStr">
        <is>
          <t>15</t>
        </is>
      </c>
      <c r="E235" s="1158" t="inlineStr">
        <is>
          <t>22</t>
        </is>
      </c>
      <c r="F235" s="1158"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s="1158" t="inlineStr">
        <is>
          <t>Medical Office Buildings</t>
        </is>
      </c>
      <c r="C236" s="1158" t="inlineStr">
        <is>
          <t>341</t>
        </is>
      </c>
      <c r="D236" s="1158" t="inlineStr">
        <is>
          <t>15</t>
        </is>
      </c>
      <c r="E236" s="1158" t="inlineStr">
        <is>
          <t>22</t>
        </is>
      </c>
      <c r="F236" s="1158"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s="1158" t="inlineStr">
        <is>
          <t>Medical Office Buildings</t>
        </is>
      </c>
      <c r="C237" s="1158" t="inlineStr">
        <is>
          <t>341</t>
        </is>
      </c>
      <c r="D237" s="1158" t="inlineStr">
        <is>
          <t>15</t>
        </is>
      </c>
      <c r="E237" s="1158" t="inlineStr">
        <is>
          <t>22</t>
        </is>
      </c>
      <c r="F237" s="1158"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s="1158" t="inlineStr">
        <is>
          <t>Medical Office Buildings</t>
        </is>
      </c>
      <c r="C238" s="1158" t="inlineStr">
        <is>
          <t>341</t>
        </is>
      </c>
      <c r="D238" s="1158" t="inlineStr">
        <is>
          <t>15</t>
        </is>
      </c>
      <c r="E238" s="1158" t="inlineStr">
        <is>
          <t>22</t>
        </is>
      </c>
      <c r="F238" s="115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s="1158" t="inlineStr">
        <is>
          <t>Medical Office Buildings</t>
        </is>
      </c>
      <c r="C239" s="1158" t="inlineStr">
        <is>
          <t>341</t>
        </is>
      </c>
      <c r="D239" s="1158" t="inlineStr">
        <is>
          <t>15</t>
        </is>
      </c>
      <c r="E239" s="1158" t="inlineStr">
        <is>
          <t>22</t>
        </is>
      </c>
      <c r="F239" s="1158"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s="1158" t="inlineStr">
        <is>
          <t>Medical Office Buildings</t>
        </is>
      </c>
      <c r="C240" s="1158" t="inlineStr">
        <is>
          <t>341</t>
        </is>
      </c>
      <c r="D240" s="1158" t="inlineStr">
        <is>
          <t>15</t>
        </is>
      </c>
      <c r="E240" s="1158" t="inlineStr">
        <is>
          <t>22</t>
        </is>
      </c>
      <c r="F240" s="1158"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s="1158" t="inlineStr">
        <is>
          <t>Banks, Branch</t>
        </is>
      </c>
      <c r="C241" s="1158" t="inlineStr">
        <is>
          <t>304</t>
        </is>
      </c>
      <c r="D241" s="1158" t="inlineStr">
        <is>
          <t>15</t>
        </is>
      </c>
      <c r="E241" s="1158" t="inlineStr">
        <is>
          <t>21</t>
        </is>
      </c>
      <c r="F241" s="1158"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s="1158" t="inlineStr">
        <is>
          <t>Banks, Branch</t>
        </is>
      </c>
      <c r="C242" s="1158" t="inlineStr">
        <is>
          <t>304</t>
        </is>
      </c>
      <c r="D242" s="1158" t="inlineStr">
        <is>
          <t>15</t>
        </is>
      </c>
      <c r="E242" s="1158" t="inlineStr">
        <is>
          <t>21</t>
        </is>
      </c>
      <c r="F242" s="1158"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s="1158" t="inlineStr">
        <is>
          <t>Banks, Branch</t>
        </is>
      </c>
      <c r="C243" s="1158" t="inlineStr">
        <is>
          <t>304</t>
        </is>
      </c>
      <c r="D243" s="1158" t="inlineStr">
        <is>
          <t>15</t>
        </is>
      </c>
      <c r="E243" s="1158" t="inlineStr">
        <is>
          <t>21</t>
        </is>
      </c>
      <c r="F243" s="1158"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s="1158" t="inlineStr">
        <is>
          <t>Banks, Branch</t>
        </is>
      </c>
      <c r="C244" s="1158" t="inlineStr">
        <is>
          <t>304</t>
        </is>
      </c>
      <c r="D244" s="1158" t="inlineStr">
        <is>
          <t>15</t>
        </is>
      </c>
      <c r="E244" s="1158" t="inlineStr">
        <is>
          <t>21</t>
        </is>
      </c>
      <c r="F244" s="1158"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s="1158" t="inlineStr">
        <is>
          <t>Banks, Branch</t>
        </is>
      </c>
      <c r="C245" s="1158" t="inlineStr">
        <is>
          <t>304</t>
        </is>
      </c>
      <c r="D245" s="1158" t="inlineStr">
        <is>
          <t>15</t>
        </is>
      </c>
      <c r="E245" s="1158" t="inlineStr">
        <is>
          <t>21</t>
        </is>
      </c>
      <c r="F245" s="1158"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s="1158" t="inlineStr">
        <is>
          <t>Banks, Branch</t>
        </is>
      </c>
      <c r="C246" s="1158" t="inlineStr">
        <is>
          <t>304</t>
        </is>
      </c>
      <c r="D246" s="1158" t="inlineStr">
        <is>
          <t>15</t>
        </is>
      </c>
      <c r="E246" s="1158" t="inlineStr">
        <is>
          <t>21</t>
        </is>
      </c>
      <c r="F246" s="1158"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s="1158" t="inlineStr">
        <is>
          <t>Banks, Branch</t>
        </is>
      </c>
      <c r="C247" s="1158" t="inlineStr">
        <is>
          <t>304</t>
        </is>
      </c>
      <c r="D247" s="1158" t="inlineStr">
        <is>
          <t>15</t>
        </is>
      </c>
      <c r="E247" s="1158" t="inlineStr">
        <is>
          <t>21</t>
        </is>
      </c>
      <c r="F247" s="1158"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s="1158" t="inlineStr">
        <is>
          <t>Banks, Branch</t>
        </is>
      </c>
      <c r="C248" s="1158" t="inlineStr">
        <is>
          <t>304</t>
        </is>
      </c>
      <c r="D248" s="1158" t="inlineStr">
        <is>
          <t>15</t>
        </is>
      </c>
      <c r="E248" s="1158" t="inlineStr">
        <is>
          <t>21</t>
        </is>
      </c>
      <c r="F248" s="115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s="1158" t="inlineStr">
        <is>
          <t>Banks, Branch</t>
        </is>
      </c>
      <c r="C249" s="1158" t="inlineStr">
        <is>
          <t>304</t>
        </is>
      </c>
      <c r="D249" s="1158" t="inlineStr">
        <is>
          <t>15</t>
        </is>
      </c>
      <c r="E249" s="1158" t="inlineStr">
        <is>
          <t>21</t>
        </is>
      </c>
      <c r="F249" s="1158"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s="1158" t="inlineStr">
        <is>
          <t>Banks, Branch</t>
        </is>
      </c>
      <c r="C250" s="1158" t="inlineStr">
        <is>
          <t>304</t>
        </is>
      </c>
      <c r="D250" s="1158" t="inlineStr">
        <is>
          <t>15</t>
        </is>
      </c>
      <c r="E250" s="1158" t="inlineStr">
        <is>
          <t>21</t>
        </is>
      </c>
      <c r="F250" s="1158"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s="1158" t="inlineStr">
        <is>
          <t>Banks, Branch</t>
        </is>
      </c>
      <c r="C251" s="1158" t="inlineStr">
        <is>
          <t>304</t>
        </is>
      </c>
      <c r="D251" s="1158" t="inlineStr">
        <is>
          <t>15</t>
        </is>
      </c>
      <c r="E251" s="1158" t="inlineStr">
        <is>
          <t>21</t>
        </is>
      </c>
      <c r="F251" s="1158"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s="1158" t="inlineStr">
        <is>
          <t>Banks, Branch</t>
        </is>
      </c>
      <c r="C252" s="1158" t="inlineStr">
        <is>
          <t>304</t>
        </is>
      </c>
      <c r="D252" s="1158" t="inlineStr">
        <is>
          <t>15</t>
        </is>
      </c>
      <c r="E252" s="1158" t="inlineStr">
        <is>
          <t>21</t>
        </is>
      </c>
      <c r="F252" s="1158"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s="1158" t="inlineStr">
        <is>
          <t>Banks, Branch</t>
        </is>
      </c>
      <c r="C253" s="1158" t="inlineStr">
        <is>
          <t>304</t>
        </is>
      </c>
      <c r="D253" s="1158" t="inlineStr">
        <is>
          <t>15</t>
        </is>
      </c>
      <c r="E253" s="1158" t="inlineStr">
        <is>
          <t>21</t>
        </is>
      </c>
      <c r="F253" s="1158"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s="1158" t="inlineStr">
        <is>
          <t>Banks, Branch</t>
        </is>
      </c>
      <c r="C254" s="1158" t="inlineStr">
        <is>
          <t>304</t>
        </is>
      </c>
      <c r="D254" s="1158" t="inlineStr">
        <is>
          <t>15</t>
        </is>
      </c>
      <c r="E254" s="1158" t="inlineStr">
        <is>
          <t>21</t>
        </is>
      </c>
      <c r="F254" s="1158"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s="1158" t="inlineStr">
        <is>
          <t>Banks, Branch</t>
        </is>
      </c>
      <c r="C255" s="1158" t="inlineStr">
        <is>
          <t>304</t>
        </is>
      </c>
      <c r="D255" s="1158" t="inlineStr">
        <is>
          <t>15</t>
        </is>
      </c>
      <c r="E255" s="1158" t="inlineStr">
        <is>
          <t>21</t>
        </is>
      </c>
      <c r="F255" s="1158"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s="1158" t="inlineStr">
        <is>
          <t>Banks, Branch</t>
        </is>
      </c>
      <c r="C256" s="1158" t="inlineStr">
        <is>
          <t>304</t>
        </is>
      </c>
      <c r="D256" s="1158" t="inlineStr">
        <is>
          <t>15</t>
        </is>
      </c>
      <c r="E256" s="1158" t="inlineStr">
        <is>
          <t>21</t>
        </is>
      </c>
      <c r="F256" s="1158"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s="1158" t="inlineStr">
        <is>
          <t>Banks, Branch</t>
        </is>
      </c>
      <c r="C257" s="1158" t="inlineStr">
        <is>
          <t>304</t>
        </is>
      </c>
      <c r="D257" s="1158" t="inlineStr">
        <is>
          <t>15</t>
        </is>
      </c>
      <c r="E257" s="1158" t="inlineStr">
        <is>
          <t>21</t>
        </is>
      </c>
      <c r="F257" s="1158"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s="1158" t="inlineStr">
        <is>
          <t>Hotels, Full Service</t>
        </is>
      </c>
      <c r="C258" s="1158" t="inlineStr">
        <is>
          <t>594</t>
        </is>
      </c>
      <c r="D258" s="1158" t="inlineStr">
        <is>
          <t>11</t>
        </is>
      </c>
      <c r="E258" s="1158" t="inlineStr">
        <is>
          <t>25</t>
        </is>
      </c>
      <c r="F258" s="11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s="1158" t="inlineStr">
        <is>
          <t>Hotels, Full Service</t>
        </is>
      </c>
      <c r="C259" s="1158" t="inlineStr">
        <is>
          <t>594</t>
        </is>
      </c>
      <c r="D259" s="1158" t="inlineStr">
        <is>
          <t>11</t>
        </is>
      </c>
      <c r="E259" s="1158" t="inlineStr">
        <is>
          <t>25</t>
        </is>
      </c>
      <c r="F259" s="1158"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s="1158" t="inlineStr">
        <is>
          <t>Hotels, Full Service</t>
        </is>
      </c>
      <c r="C260" s="1158" t="inlineStr">
        <is>
          <t>594</t>
        </is>
      </c>
      <c r="D260" s="1158" t="inlineStr">
        <is>
          <t>11</t>
        </is>
      </c>
      <c r="E260" s="1158" t="inlineStr">
        <is>
          <t>25</t>
        </is>
      </c>
      <c r="F260" s="1158"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s="1158" t="inlineStr">
        <is>
          <t>Hotels, Full Service</t>
        </is>
      </c>
      <c r="C261" s="1158" t="inlineStr">
        <is>
          <t>594</t>
        </is>
      </c>
      <c r="D261" s="1158" t="inlineStr">
        <is>
          <t>11</t>
        </is>
      </c>
      <c r="E261" s="1158" t="inlineStr">
        <is>
          <t>25</t>
        </is>
      </c>
      <c r="F261" s="1158"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s="1158" t="inlineStr">
        <is>
          <t>Hotels, Full Service</t>
        </is>
      </c>
      <c r="C262" s="1158" t="inlineStr">
        <is>
          <t>594</t>
        </is>
      </c>
      <c r="D262" s="1158" t="inlineStr">
        <is>
          <t>11</t>
        </is>
      </c>
      <c r="E262" s="1158" t="inlineStr">
        <is>
          <t>25</t>
        </is>
      </c>
      <c r="F262" s="1158"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s="1158" t="inlineStr">
        <is>
          <t>Hotels, Full Service</t>
        </is>
      </c>
      <c r="C263" s="1158" t="inlineStr">
        <is>
          <t>594</t>
        </is>
      </c>
      <c r="D263" s="1158" t="inlineStr">
        <is>
          <t>11</t>
        </is>
      </c>
      <c r="E263" s="1158" t="inlineStr">
        <is>
          <t>25</t>
        </is>
      </c>
      <c r="F263" s="1158"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s="1158" t="inlineStr">
        <is>
          <t>Hotels, Full Service</t>
        </is>
      </c>
      <c r="C264" s="1158" t="inlineStr">
        <is>
          <t>594</t>
        </is>
      </c>
      <c r="D264" s="1158" t="inlineStr">
        <is>
          <t>11</t>
        </is>
      </c>
      <c r="E264" s="1158" t="inlineStr">
        <is>
          <t>25</t>
        </is>
      </c>
      <c r="F264" s="1158"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s="1158" t="inlineStr">
        <is>
          <t>Hotels, Full Service</t>
        </is>
      </c>
      <c r="C265" s="1158" t="inlineStr">
        <is>
          <t>594</t>
        </is>
      </c>
      <c r="D265" s="1158" t="inlineStr">
        <is>
          <t>11</t>
        </is>
      </c>
      <c r="E265" s="1158" t="inlineStr">
        <is>
          <t>25</t>
        </is>
      </c>
      <c r="F265" s="1158"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s="1158" t="inlineStr">
        <is>
          <t>Hotels, Full Service</t>
        </is>
      </c>
      <c r="C266" s="1158" t="inlineStr">
        <is>
          <t>594</t>
        </is>
      </c>
      <c r="D266" s="1158" t="inlineStr">
        <is>
          <t>11</t>
        </is>
      </c>
      <c r="E266" s="1158" t="inlineStr">
        <is>
          <t>25</t>
        </is>
      </c>
      <c r="F266" s="1158"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s="1158" t="inlineStr">
        <is>
          <t>Hotels, Full Service</t>
        </is>
      </c>
      <c r="C267" s="1158" t="inlineStr">
        <is>
          <t>594</t>
        </is>
      </c>
      <c r="D267" s="1158" t="inlineStr">
        <is>
          <t>11</t>
        </is>
      </c>
      <c r="E267" s="1158" t="inlineStr">
        <is>
          <t>25</t>
        </is>
      </c>
      <c r="F267" s="1158"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s="1158" t="inlineStr">
        <is>
          <t>Hotels, Full Service</t>
        </is>
      </c>
      <c r="C268" s="1158" t="inlineStr">
        <is>
          <t>594</t>
        </is>
      </c>
      <c r="D268" s="1158" t="inlineStr">
        <is>
          <t>11</t>
        </is>
      </c>
      <c r="E268" s="1158" t="inlineStr">
        <is>
          <t>25</t>
        </is>
      </c>
      <c r="F268" s="115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s="1158" t="inlineStr">
        <is>
          <t>Hotels, Full Service</t>
        </is>
      </c>
      <c r="C269" s="1158" t="inlineStr">
        <is>
          <t>594</t>
        </is>
      </c>
      <c r="D269" s="1158" t="inlineStr">
        <is>
          <t>11</t>
        </is>
      </c>
      <c r="E269" s="1158" t="inlineStr">
        <is>
          <t>25</t>
        </is>
      </c>
      <c r="F269" s="1158"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s="1158" t="inlineStr">
        <is>
          <t>Hotels, Full Service</t>
        </is>
      </c>
      <c r="C270" s="1158" t="inlineStr">
        <is>
          <t>594</t>
        </is>
      </c>
      <c r="D270" s="1158" t="inlineStr">
        <is>
          <t>11</t>
        </is>
      </c>
      <c r="E270" s="1158" t="inlineStr">
        <is>
          <t>25</t>
        </is>
      </c>
      <c r="F270" s="1158"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s="1158" t="inlineStr">
        <is>
          <t>Hotels, Full Service</t>
        </is>
      </c>
      <c r="C271" s="1158" t="inlineStr">
        <is>
          <t>594</t>
        </is>
      </c>
      <c r="D271" s="1158" t="inlineStr">
        <is>
          <t>11</t>
        </is>
      </c>
      <c r="E271" s="1158" t="inlineStr">
        <is>
          <t>25</t>
        </is>
      </c>
      <c r="F271" s="1158"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s="1158" t="inlineStr">
        <is>
          <t>Hotels, Full Service</t>
        </is>
      </c>
      <c r="C272" s="1158" t="inlineStr">
        <is>
          <t>594</t>
        </is>
      </c>
      <c r="D272" s="1158" t="inlineStr">
        <is>
          <t>11</t>
        </is>
      </c>
      <c r="E272" s="1158" t="inlineStr">
        <is>
          <t>25</t>
        </is>
      </c>
      <c r="F272" s="1158"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s="1158" t="inlineStr">
        <is>
          <t>Hotels, Full Service</t>
        </is>
      </c>
      <c r="C273" s="1158" t="inlineStr">
        <is>
          <t>594</t>
        </is>
      </c>
      <c r="D273" s="1158" t="inlineStr">
        <is>
          <t>11</t>
        </is>
      </c>
      <c r="E273" s="1158" t="inlineStr">
        <is>
          <t>25</t>
        </is>
      </c>
      <c r="F273" s="1158"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s="1158" t="inlineStr">
        <is>
          <t>Hotels, Limited Service</t>
        </is>
      </c>
      <c r="C274" s="1158" t="inlineStr">
        <is>
          <t>595</t>
        </is>
      </c>
      <c r="D274" s="1158" t="inlineStr">
        <is>
          <t>11</t>
        </is>
      </c>
      <c r="E274" s="1158" t="inlineStr">
        <is>
          <t>22</t>
        </is>
      </c>
      <c r="F274" s="1158"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s="1158" t="inlineStr">
        <is>
          <t>Hotels, Limited Service</t>
        </is>
      </c>
      <c r="C275" s="1158" t="inlineStr">
        <is>
          <t>595</t>
        </is>
      </c>
      <c r="D275" s="1158" t="inlineStr">
        <is>
          <t>11</t>
        </is>
      </c>
      <c r="E275" s="1158" t="inlineStr">
        <is>
          <t>22</t>
        </is>
      </c>
      <c r="F275" s="1158"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s="1158" t="inlineStr">
        <is>
          <t>Hotels, Limited Service</t>
        </is>
      </c>
      <c r="C276" s="1158" t="inlineStr">
        <is>
          <t>595</t>
        </is>
      </c>
      <c r="D276" s="1158" t="inlineStr">
        <is>
          <t>11</t>
        </is>
      </c>
      <c r="E276" s="1158" t="inlineStr">
        <is>
          <t>22</t>
        </is>
      </c>
      <c r="F276" s="1158"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s="1158" t="inlineStr">
        <is>
          <t>Hotels, Limited Service</t>
        </is>
      </c>
      <c r="C277" s="1158" t="inlineStr">
        <is>
          <t>595</t>
        </is>
      </c>
      <c r="D277" s="1158" t="inlineStr">
        <is>
          <t>11</t>
        </is>
      </c>
      <c r="E277" s="1158" t="inlineStr">
        <is>
          <t>22</t>
        </is>
      </c>
      <c r="F277" s="1158"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s="1158" t="inlineStr">
        <is>
          <t>Hotels, Limited Service</t>
        </is>
      </c>
      <c r="C278" s="1158" t="inlineStr">
        <is>
          <t>595</t>
        </is>
      </c>
      <c r="D278" s="1158" t="inlineStr">
        <is>
          <t>11</t>
        </is>
      </c>
      <c r="E278" s="1158" t="inlineStr">
        <is>
          <t>22</t>
        </is>
      </c>
      <c r="F278" s="115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s="1158" t="inlineStr">
        <is>
          <t>Hotels, Limited Service</t>
        </is>
      </c>
      <c r="C279" s="1158" t="inlineStr">
        <is>
          <t>595</t>
        </is>
      </c>
      <c r="D279" s="1158" t="inlineStr">
        <is>
          <t>11</t>
        </is>
      </c>
      <c r="E279" s="1158" t="inlineStr">
        <is>
          <t>22</t>
        </is>
      </c>
      <c r="F279" s="1158"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s="1158" t="inlineStr">
        <is>
          <t>Hotels, Limited Service</t>
        </is>
      </c>
      <c r="C280" s="1158" t="inlineStr">
        <is>
          <t>595</t>
        </is>
      </c>
      <c r="D280" s="1158" t="inlineStr">
        <is>
          <t>11</t>
        </is>
      </c>
      <c r="E280" s="1158" t="inlineStr">
        <is>
          <t>22</t>
        </is>
      </c>
      <c r="F280" s="1158"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s="1158" t="inlineStr">
        <is>
          <t>Hotels, Limited Service</t>
        </is>
      </c>
      <c r="C281" s="1158" t="inlineStr">
        <is>
          <t>595</t>
        </is>
      </c>
      <c r="D281" s="1158" t="inlineStr">
        <is>
          <t>11</t>
        </is>
      </c>
      <c r="E281" s="1158" t="inlineStr">
        <is>
          <t>22</t>
        </is>
      </c>
      <c r="F281" s="1158"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s="1158" t="inlineStr">
        <is>
          <t>Hotels, Limited Service</t>
        </is>
      </c>
      <c r="C282" s="1158" t="inlineStr">
        <is>
          <t>595</t>
        </is>
      </c>
      <c r="D282" s="1158" t="inlineStr">
        <is>
          <t>11</t>
        </is>
      </c>
      <c r="E282" s="1158" t="inlineStr">
        <is>
          <t>22</t>
        </is>
      </c>
      <c r="F282" s="1158"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s="1158" t="inlineStr">
        <is>
          <t>Hotels, Limited Service</t>
        </is>
      </c>
      <c r="C283" s="1158" t="inlineStr">
        <is>
          <t>595</t>
        </is>
      </c>
      <c r="D283" s="1158" t="inlineStr">
        <is>
          <t>11</t>
        </is>
      </c>
      <c r="E283" s="1158" t="inlineStr">
        <is>
          <t>22</t>
        </is>
      </c>
      <c r="F283" s="1158"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s="1158" t="inlineStr">
        <is>
          <t>Hotels, Limited Service</t>
        </is>
      </c>
      <c r="C284" s="1158" t="inlineStr">
        <is>
          <t>595</t>
        </is>
      </c>
      <c r="D284" s="1158" t="inlineStr">
        <is>
          <t>11</t>
        </is>
      </c>
      <c r="E284" s="1158" t="inlineStr">
        <is>
          <t>22</t>
        </is>
      </c>
      <c r="F284" s="1158"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s="1158" t="inlineStr">
        <is>
          <t>Hotels, Limited Service</t>
        </is>
      </c>
      <c r="C285" s="1158" t="inlineStr">
        <is>
          <t>595</t>
        </is>
      </c>
      <c r="D285" s="1158" t="inlineStr">
        <is>
          <t>11</t>
        </is>
      </c>
      <c r="E285" s="1158" t="inlineStr">
        <is>
          <t>22</t>
        </is>
      </c>
      <c r="F285" s="1158"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s="1158" t="inlineStr">
        <is>
          <t>Hotels, Limited Service</t>
        </is>
      </c>
      <c r="C286" s="1158" t="inlineStr">
        <is>
          <t>595</t>
        </is>
      </c>
      <c r="D286" s="1158" t="inlineStr">
        <is>
          <t>11</t>
        </is>
      </c>
      <c r="E286" s="1158" t="inlineStr">
        <is>
          <t>22</t>
        </is>
      </c>
      <c r="F286" s="1158"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s="1158" t="inlineStr">
        <is>
          <t>Hotels, Limited Service</t>
        </is>
      </c>
      <c r="C287" s="1158" t="inlineStr">
        <is>
          <t>595</t>
        </is>
      </c>
      <c r="D287" s="1158" t="inlineStr">
        <is>
          <t>11</t>
        </is>
      </c>
      <c r="E287" s="1158" t="inlineStr">
        <is>
          <t>22</t>
        </is>
      </c>
      <c r="F287" s="1158"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s="1158" t="inlineStr">
        <is>
          <t>Hotels, Limited Service</t>
        </is>
      </c>
      <c r="C288" s="1158" t="inlineStr">
        <is>
          <t>595</t>
        </is>
      </c>
      <c r="D288" s="1158" t="inlineStr">
        <is>
          <t>11</t>
        </is>
      </c>
      <c r="E288" s="1158" t="inlineStr">
        <is>
          <t>22</t>
        </is>
      </c>
      <c r="F288" s="115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s="1158" t="inlineStr">
        <is>
          <t>Hotels, Limited Service</t>
        </is>
      </c>
      <c r="C289" s="1158" t="inlineStr">
        <is>
          <t>595</t>
        </is>
      </c>
      <c r="D289" s="1158" t="inlineStr">
        <is>
          <t>11</t>
        </is>
      </c>
      <c r="E289" s="1158" t="inlineStr">
        <is>
          <t>22</t>
        </is>
      </c>
      <c r="F289" s="1158"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1207" t="inlineStr">
        <is>
          <t>REFERENCE 4 -- Occupancy Master List (dropdown source)</t>
        </is>
      </c>
      <c r="C291" s="1208" t="n"/>
      <c r="D291" s="1208" t="n"/>
      <c r="E291" s="1208" t="n"/>
      <c r="F291" s="1208" t="n"/>
      <c r="G291" s="1208" t="n"/>
      <c r="H291" s="1208" t="n"/>
    </row>
    <row r="292">
      <c r="B292" s="1209" t="inlineStr">
        <is>
          <t>Occupancy Name</t>
        </is>
      </c>
      <c r="C292" s="1209" t="inlineStr">
        <is>
          <t>Occ. Code</t>
        </is>
      </c>
      <c r="D292" s="1209" t="inlineStr">
        <is>
          <t>Section</t>
        </is>
      </c>
      <c r="E292" s="1209" t="inlineStr">
        <is>
          <t>Page</t>
        </is>
      </c>
      <c r="F292" s="1209" t="inlineStr">
        <is>
          <t>Story Table Section</t>
        </is>
      </c>
    </row>
    <row r="293">
      <c r="B293" s="1158" t="inlineStr">
        <is>
          <t>Storage Warehouses</t>
        </is>
      </c>
      <c r="C293" s="1158" t="n">
        <v>406</v>
      </c>
      <c r="D293" s="1158" t="inlineStr">
        <is>
          <t>14</t>
        </is>
      </c>
      <c r="E293" s="1158" t="inlineStr">
        <is>
          <t>26</t>
        </is>
      </c>
      <c r="F293" s="1158" t="inlineStr">
        <is>
          <t>14</t>
        </is>
      </c>
    </row>
    <row r="294">
      <c r="B294" s="1158" t="inlineStr">
        <is>
          <t>Distribution Warehouses</t>
        </is>
      </c>
      <c r="C294" s="1158" t="n">
        <v>407</v>
      </c>
      <c r="D294" s="1158" t="inlineStr">
        <is>
          <t>14</t>
        </is>
      </c>
      <c r="E294" s="1158" t="inlineStr">
        <is>
          <t>23</t>
        </is>
      </c>
      <c r="F294" s="1158" t="inlineStr">
        <is>
          <t>14</t>
        </is>
      </c>
    </row>
    <row r="295">
      <c r="B295" s="1158" t="inlineStr">
        <is>
          <t>Mini-Warehouses / Self-Storage</t>
        </is>
      </c>
      <c r="C295" s="1158" t="n">
        <v>386</v>
      </c>
      <c r="D295" s="1158" t="inlineStr">
        <is>
          <t>14</t>
        </is>
      </c>
      <c r="E295" s="1158" t="inlineStr">
        <is>
          <t>28</t>
        </is>
      </c>
      <c r="F295" s="1158" t="inlineStr">
        <is>
          <t>14</t>
        </is>
      </c>
    </row>
    <row r="296">
      <c r="B296" s="1158" t="inlineStr">
        <is>
          <t>Mini-Warehouses, High-Rise</t>
        </is>
      </c>
      <c r="C296" s="1158" t="n">
        <v>525</v>
      </c>
      <c r="D296" s="1158" t="inlineStr">
        <is>
          <t>14</t>
        </is>
      </c>
      <c r="E296" s="1158" t="inlineStr">
        <is>
          <t>28</t>
        </is>
      </c>
      <c r="F296" s="1158" t="inlineStr">
        <is>
          <t>14</t>
        </is>
      </c>
    </row>
    <row r="297">
      <c r="B297" s="1158" t="inlineStr">
        <is>
          <t>Industrials, Light Manufacturing</t>
        </is>
      </c>
      <c r="C297" s="1158" t="n">
        <v>334</v>
      </c>
      <c r="D297" s="1158" t="inlineStr">
        <is>
          <t>14</t>
        </is>
      </c>
      <c r="E297" s="1158" t="inlineStr">
        <is>
          <t>14</t>
        </is>
      </c>
      <c r="F297" s="1158" t="inlineStr">
        <is>
          <t>14</t>
        </is>
      </c>
    </row>
    <row r="298">
      <c r="B298" s="1158" t="inlineStr">
        <is>
          <t>Industrials, Heavy (Process) Manufacturing</t>
        </is>
      </c>
      <c r="C298" s="1158" t="n">
        <v>333</v>
      </c>
      <c r="D298" s="1158" t="inlineStr">
        <is>
          <t>14</t>
        </is>
      </c>
      <c r="E298" s="1158" t="inlineStr">
        <is>
          <t>15</t>
        </is>
      </c>
      <c r="F298" s="1158" t="inlineStr">
        <is>
          <t>14</t>
        </is>
      </c>
    </row>
    <row r="299">
      <c r="B299" s="1158" t="inlineStr">
        <is>
          <t>Service Garages (Commercial/Repair)</t>
        </is>
      </c>
      <c r="C299" s="1158" t="n">
        <v>325</v>
      </c>
      <c r="D299" s="1158" t="inlineStr">
        <is>
          <t>14</t>
        </is>
      </c>
      <c r="E299" s="1158" t="inlineStr">
        <is>
          <t>32</t>
        </is>
      </c>
      <c r="F299" s="1158" t="inlineStr">
        <is>
          <t>14</t>
        </is>
      </c>
    </row>
    <row r="300">
      <c r="B300" s="1158" t="inlineStr">
        <is>
          <t>Retail Stores</t>
        </is>
      </c>
      <c r="C300" s="1158" t="n">
        <v>353</v>
      </c>
      <c r="D300" s="1158" t="inlineStr">
        <is>
          <t>13</t>
        </is>
      </c>
      <c r="E300" s="1158" t="inlineStr">
        <is>
          <t>26</t>
        </is>
      </c>
      <c r="F300" s="1158" t="inlineStr">
        <is>
          <t>13</t>
        </is>
      </c>
    </row>
    <row r="301">
      <c r="B301" s="1158" t="inlineStr">
        <is>
          <t>Neighborhood Shopping Centers</t>
        </is>
      </c>
      <c r="C301" s="1158" t="n">
        <v>412</v>
      </c>
      <c r="D301" s="1158" t="inlineStr">
        <is>
          <t>13</t>
        </is>
      </c>
      <c r="E301" s="1158" t="inlineStr">
        <is>
          <t>33</t>
        </is>
      </c>
      <c r="F301" s="1158" t="inlineStr">
        <is>
          <t>13</t>
        </is>
      </c>
    </row>
    <row r="302">
      <c r="B302" s="1158" t="inlineStr">
        <is>
          <t>Community Shopping Centers</t>
        </is>
      </c>
      <c r="C302" s="1158" t="n">
        <v>413</v>
      </c>
      <c r="D302" s="1158" t="inlineStr">
        <is>
          <t>13</t>
        </is>
      </c>
      <c r="E302" s="1158" t="inlineStr">
        <is>
          <t>34</t>
        </is>
      </c>
      <c r="F302" s="1158" t="inlineStr">
        <is>
          <t>13</t>
        </is>
      </c>
    </row>
    <row r="303">
      <c r="B303" s="1158" t="inlineStr">
        <is>
          <t>Regional Shopping Centers</t>
        </is>
      </c>
      <c r="C303" s="1158" t="n">
        <v>414</v>
      </c>
      <c r="D303" s="1158" t="inlineStr">
        <is>
          <t>13</t>
        </is>
      </c>
      <c r="E303" s="1158" t="inlineStr">
        <is>
          <t>35</t>
        </is>
      </c>
      <c r="F303" s="1158" t="inlineStr">
        <is>
          <t>13</t>
        </is>
      </c>
    </row>
    <row r="304">
      <c r="B304" s="1158" t="inlineStr">
        <is>
          <t>Department Stores</t>
        </is>
      </c>
      <c r="C304" s="1158" t="n">
        <v>318</v>
      </c>
      <c r="D304" s="1158" t="inlineStr">
        <is>
          <t>13</t>
        </is>
      </c>
      <c r="E304" s="1158" t="inlineStr">
        <is>
          <t>27</t>
        </is>
      </c>
      <c r="F304" s="1158" t="inlineStr">
        <is>
          <t>13</t>
        </is>
      </c>
    </row>
    <row r="305">
      <c r="B305" s="1158" t="inlineStr">
        <is>
          <t>Discount Stores</t>
        </is>
      </c>
      <c r="C305" s="1158" t="n">
        <v>319</v>
      </c>
      <c r="D305" s="1158" t="inlineStr">
        <is>
          <t>13</t>
        </is>
      </c>
      <c r="E305" s="1158" t="inlineStr">
        <is>
          <t>28</t>
        </is>
      </c>
      <c r="F305" s="1158" t="inlineStr">
        <is>
          <t>13</t>
        </is>
      </c>
    </row>
    <row r="306">
      <c r="B306" s="1158" t="inlineStr">
        <is>
          <t>Office Buildings</t>
        </is>
      </c>
      <c r="C306" s="1158" t="n">
        <v>344</v>
      </c>
      <c r="D306" s="1158" t="inlineStr">
        <is>
          <t>15</t>
        </is>
      </c>
      <c r="E306" s="1158" t="inlineStr">
        <is>
          <t>17</t>
        </is>
      </c>
      <c r="F306" s="1158" t="inlineStr">
        <is>
          <t>15</t>
        </is>
      </c>
    </row>
    <row r="307">
      <c r="B307" s="1158" t="inlineStr">
        <is>
          <t>Medical Office Buildings</t>
        </is>
      </c>
      <c r="C307" s="1158" t="n">
        <v>341</v>
      </c>
      <c r="D307" s="1158" t="inlineStr">
        <is>
          <t>15</t>
        </is>
      </c>
      <c r="E307" s="1158" t="inlineStr">
        <is>
          <t>22</t>
        </is>
      </c>
      <c r="F307" s="1158" t="inlineStr">
        <is>
          <t>15</t>
        </is>
      </c>
    </row>
    <row r="308">
      <c r="B308" s="1158" t="inlineStr">
        <is>
          <t>Banks, Branch</t>
        </is>
      </c>
      <c r="C308" s="1158" t="n">
        <v>304</v>
      </c>
      <c r="D308" s="1158" t="inlineStr">
        <is>
          <t>15</t>
        </is>
      </c>
      <c r="E308" s="1158" t="inlineStr">
        <is>
          <t>21</t>
        </is>
      </c>
      <c r="F308" s="1158" t="inlineStr">
        <is>
          <t>15</t>
        </is>
      </c>
    </row>
    <row r="309">
      <c r="B309" s="1158" t="inlineStr">
        <is>
          <t>Hotels, Full Service</t>
        </is>
      </c>
      <c r="C309" s="1158" t="n">
        <v>332</v>
      </c>
      <c r="D309" s="1158" t="inlineStr">
        <is>
          <t>11</t>
        </is>
      </c>
      <c r="E309" s="1158" t="inlineStr">
        <is>
          <t>25</t>
        </is>
      </c>
      <c r="F309" s="1158" t="inlineStr">
        <is>
          <t>11</t>
        </is>
      </c>
    </row>
    <row r="310">
      <c r="B310" s="1158" t="inlineStr">
        <is>
          <t>Hotels, Limited Service</t>
        </is>
      </c>
      <c r="C310" s="1158" t="n">
        <v>1332</v>
      </c>
      <c r="D310" s="1158" t="inlineStr">
        <is>
          <t>11</t>
        </is>
      </c>
      <c r="E310" s="1158" t="inlineStr">
        <is>
          <t>22</t>
        </is>
      </c>
      <c r="F310" s="1158" t="inlineStr">
        <is>
          <t>11</t>
        </is>
      </c>
    </row>
    <row r="312">
      <c r="B312" s="1207" t="inlineStr">
        <is>
          <t>REFERENCE 5 -- Story Height Multiplier Tables (per MVS section, single-column for lookup)</t>
        </is>
      </c>
      <c r="C312" s="1208" t="n"/>
      <c r="D312" s="1208" t="n"/>
      <c r="E312" s="1208" t="n"/>
      <c r="F312" s="1208" t="n"/>
      <c r="G312" s="1208" t="n"/>
      <c r="H312" s="1208" t="n"/>
    </row>
    <row r="313">
      <c r="B313" s="1209" t="inlineStr">
        <is>
          <t>Section 14 (base = 14 ft)</t>
        </is>
      </c>
      <c r="C313" s="1209" t="inlineStr">
        <is>
          <t>Height (ft)</t>
        </is>
      </c>
      <c r="D313" s="1209" t="inlineStr">
        <is>
          <t>Multiplier</t>
        </is>
      </c>
    </row>
    <row r="314">
      <c r="C314" s="1158" t="n">
        <v>8</v>
      </c>
      <c r="D314" s="1159" t="n">
        <v>0.885</v>
      </c>
    </row>
    <row r="315">
      <c r="C315" s="1158" t="n">
        <v>10</v>
      </c>
      <c r="D315" s="1159" t="n">
        <v>0.921</v>
      </c>
    </row>
    <row r="316">
      <c r="C316" s="1158" t="n">
        <v>12</v>
      </c>
      <c r="D316" s="1159" t="n">
        <v>0.96</v>
      </c>
    </row>
    <row r="317">
      <c r="C317" s="1158" t="n">
        <v>14</v>
      </c>
      <c r="D317" s="1159" t="n">
        <v>1</v>
      </c>
    </row>
    <row r="318">
      <c r="C318" s="1158" t="n">
        <v>16</v>
      </c>
      <c r="D318" s="1159" t="n">
        <v>1.041</v>
      </c>
    </row>
    <row r="319">
      <c r="C319" s="1158" t="n">
        <v>18</v>
      </c>
      <c r="D319" s="1159" t="n">
        <v>1.086</v>
      </c>
    </row>
    <row r="320">
      <c r="C320" s="1158" t="n">
        <v>20</v>
      </c>
      <c r="D320" s="1159" t="n">
        <v>1.133</v>
      </c>
    </row>
    <row r="321">
      <c r="C321" s="1158" t="n">
        <v>22</v>
      </c>
      <c r="D321" s="1159" t="n">
        <v>1.181</v>
      </c>
    </row>
    <row r="322">
      <c r="C322" s="1158" t="n">
        <v>24</v>
      </c>
      <c r="D322" s="1159" t="n">
        <v>1.231</v>
      </c>
    </row>
    <row r="323">
      <c r="C323" s="1158" t="n">
        <v>26</v>
      </c>
      <c r="D323" s="1159" t="n">
        <v>1.281</v>
      </c>
    </row>
    <row r="324">
      <c r="C324" s="1158" t="n">
        <v>28</v>
      </c>
      <c r="D324" s="1159" t="n">
        <v>1.331</v>
      </c>
    </row>
    <row r="325">
      <c r="C325" s="1158" t="n">
        <v>30</v>
      </c>
      <c r="D325" s="1159" t="n">
        <v>1.382</v>
      </c>
    </row>
    <row r="326">
      <c r="C326" s="1158" t="n">
        <v>35</v>
      </c>
      <c r="D326" s="1159" t="n">
        <v>1.515</v>
      </c>
    </row>
    <row r="327">
      <c r="C327" s="1158" t="n">
        <v>40</v>
      </c>
      <c r="D327" s="1159" t="n">
        <v>1.65</v>
      </c>
    </row>
    <row r="328">
      <c r="C328" s="1158" t="n">
        <v>45</v>
      </c>
      <c r="D328" s="1159" t="n">
        <v>1.788</v>
      </c>
    </row>
    <row r="329">
      <c r="C329" s="1158" t="n">
        <v>50</v>
      </c>
      <c r="D329" s="1159" t="n">
        <v>1.93</v>
      </c>
    </row>
    <row r="330">
      <c r="C330" s="1158" t="n">
        <v>55</v>
      </c>
      <c r="D330" s="1159" t="n">
        <v>2.075</v>
      </c>
    </row>
    <row r="331">
      <c r="C331" s="1158" t="n">
        <v>60</v>
      </c>
      <c r="D331" s="1159" t="n">
        <v>2.225</v>
      </c>
    </row>
    <row r="332">
      <c r="C332" s="1158" t="n">
        <v>70</v>
      </c>
      <c r="D332" s="1159" t="n">
        <v>2.53</v>
      </c>
    </row>
    <row r="333">
      <c r="C333" s="1158" t="n">
        <v>80</v>
      </c>
      <c r="D333" s="1159" t="n">
        <v>2.845</v>
      </c>
    </row>
    <row r="334">
      <c r="C334" s="1158" t="n">
        <v>90</v>
      </c>
      <c r="D334" s="1159" t="n">
        <v>3.161</v>
      </c>
    </row>
    <row r="335">
      <c r="C335" s="1158" t="n">
        <v>100</v>
      </c>
      <c r="D335" s="1159" t="n">
        <v>3.461</v>
      </c>
    </row>
    <row r="336">
      <c r="C336" s="1158" t="n">
        <v>110</v>
      </c>
      <c r="D336" s="1159" t="n">
        <v>3.738</v>
      </c>
    </row>
    <row r="337">
      <c r="C337" s="1158" t="n">
        <v>120</v>
      </c>
      <c r="D337" s="1159" t="n">
        <v>3.977</v>
      </c>
    </row>
    <row r="339">
      <c r="B339" s="1209" t="inlineStr">
        <is>
          <t>Section 13 (base = 12 ft)</t>
        </is>
      </c>
      <c r="C339" s="1209" t="inlineStr">
        <is>
          <t>Height (ft)</t>
        </is>
      </c>
      <c r="D339" s="1209" t="inlineStr">
        <is>
          <t>Multiplier</t>
        </is>
      </c>
    </row>
    <row r="340">
      <c r="C340" s="1158" t="n">
        <v>8</v>
      </c>
      <c r="D340" s="1159" t="n">
        <v>0.915</v>
      </c>
    </row>
    <row r="341">
      <c r="C341" s="1158" t="n">
        <v>9</v>
      </c>
      <c r="D341" s="1159" t="n">
        <v>0.9360000000000001</v>
      </c>
    </row>
    <row r="342">
      <c r="C342" s="1158" t="n">
        <v>10</v>
      </c>
      <c r="D342" s="1159" t="n">
        <v>0.957</v>
      </c>
    </row>
    <row r="343">
      <c r="C343" s="1158" t="n">
        <v>11</v>
      </c>
      <c r="D343" s="1159" t="n">
        <v>0.979</v>
      </c>
    </row>
    <row r="344">
      <c r="C344" s="1158" t="n">
        <v>12</v>
      </c>
      <c r="D344" s="1159" t="n">
        <v>1</v>
      </c>
    </row>
    <row r="345">
      <c r="C345" s="1158" t="n">
        <v>13</v>
      </c>
      <c r="D345" s="1159" t="n">
        <v>1.021</v>
      </c>
    </row>
    <row r="346">
      <c r="C346" s="1158" t="n">
        <v>14</v>
      </c>
      <c r="D346" s="1159" t="n">
        <v>1.042</v>
      </c>
    </row>
    <row r="347">
      <c r="C347" s="1158" t="n">
        <v>15</v>
      </c>
      <c r="D347" s="1159" t="n">
        <v>1.064</v>
      </c>
    </row>
    <row r="348">
      <c r="C348" s="1158" t="n">
        <v>16</v>
      </c>
      <c r="D348" s="1159" t="n">
        <v>1.085</v>
      </c>
    </row>
    <row r="349">
      <c r="C349" s="1158" t="n">
        <v>18</v>
      </c>
      <c r="D349" s="1159" t="n">
        <v>1.127</v>
      </c>
    </row>
    <row r="350">
      <c r="C350" s="1158" t="n">
        <v>20</v>
      </c>
      <c r="D350" s="1159" t="n">
        <v>1.17</v>
      </c>
    </row>
    <row r="351">
      <c r="C351" s="1158" t="n">
        <v>22</v>
      </c>
      <c r="D351" s="1159" t="n">
        <v>1.213</v>
      </c>
    </row>
    <row r="352">
      <c r="C352" s="1158" t="n">
        <v>24</v>
      </c>
      <c r="D352" s="1159" t="n">
        <v>1.255</v>
      </c>
    </row>
    <row r="353">
      <c r="C353" s="1158" t="n">
        <v>26</v>
      </c>
      <c r="D353" s="1159" t="n">
        <v>1.298</v>
      </c>
    </row>
    <row r="354">
      <c r="C354" s="1158" t="n">
        <v>28</v>
      </c>
      <c r="D354" s="1159" t="n">
        <v>1.34</v>
      </c>
    </row>
    <row r="355">
      <c r="C355" s="1158" t="n">
        <v>30</v>
      </c>
      <c r="D355" s="1159" t="n">
        <v>1.383</v>
      </c>
    </row>
    <row r="356">
      <c r="C356" s="1158" t="n">
        <v>32</v>
      </c>
      <c r="D356" s="1159" t="n">
        <v>1.425</v>
      </c>
    </row>
    <row r="357">
      <c r="C357" s="1158" t="n">
        <v>34</v>
      </c>
      <c r="D357" s="1159" t="n">
        <v>1.468</v>
      </c>
    </row>
    <row r="359">
      <c r="B359" s="1209" t="inlineStr">
        <is>
          <t>Section 15 (base = 12 ft)</t>
        </is>
      </c>
      <c r="C359" s="1209" t="inlineStr">
        <is>
          <t>Height (ft)</t>
        </is>
      </c>
      <c r="D359" s="1209" t="inlineStr">
        <is>
          <t>Multiplier</t>
        </is>
      </c>
    </row>
    <row r="360">
      <c r="C360" s="1158" t="n">
        <v>8</v>
      </c>
      <c r="D360" s="1159" t="n">
        <v>0.9</v>
      </c>
    </row>
    <row r="361">
      <c r="C361" s="1158" t="n">
        <v>9</v>
      </c>
      <c r="D361" s="1159" t="n">
        <v>0.928</v>
      </c>
    </row>
    <row r="362">
      <c r="C362" s="1158" t="n">
        <v>10</v>
      </c>
      <c r="D362" s="1159" t="n">
        <v>0.953</v>
      </c>
    </row>
    <row r="363">
      <c r="C363" s="1158" t="n">
        <v>11</v>
      </c>
      <c r="D363" s="1159" t="n">
        <v>0.977</v>
      </c>
    </row>
    <row r="364">
      <c r="C364" s="1158" t="n">
        <v>12</v>
      </c>
      <c r="D364" s="1159" t="n">
        <v>1</v>
      </c>
    </row>
    <row r="365">
      <c r="C365" s="1158" t="n">
        <v>13</v>
      </c>
      <c r="D365" s="1159" t="n">
        <v>1.023</v>
      </c>
    </row>
    <row r="366">
      <c r="C366" s="1158" t="n">
        <v>14</v>
      </c>
      <c r="D366" s="1159" t="n">
        <v>1.046</v>
      </c>
    </row>
    <row r="367">
      <c r="C367" s="1158" t="n">
        <v>15</v>
      </c>
      <c r="D367" s="1159" t="n">
        <v>1.069</v>
      </c>
    </row>
    <row r="368">
      <c r="C368" s="1158" t="n">
        <v>16</v>
      </c>
      <c r="D368" s="1159" t="n">
        <v>1.092</v>
      </c>
    </row>
    <row r="369">
      <c r="C369" s="1158" t="n">
        <v>18</v>
      </c>
      <c r="D369" s="1159" t="n">
        <v>1.138</v>
      </c>
    </row>
    <row r="370">
      <c r="C370" s="1158" t="n">
        <v>20</v>
      </c>
      <c r="D370" s="1159" t="n">
        <v>1.184</v>
      </c>
    </row>
    <row r="371">
      <c r="C371" s="1158" t="n">
        <v>24</v>
      </c>
      <c r="D371" s="1159" t="n">
        <v>1.276</v>
      </c>
    </row>
    <row r="372">
      <c r="C372" s="1158" t="n">
        <v>28</v>
      </c>
      <c r="D372" s="1159" t="n">
        <v>1.367</v>
      </c>
    </row>
    <row r="373">
      <c r="C373" s="1158" t="n">
        <v>32</v>
      </c>
      <c r="D373" s="1159" t="n">
        <v>1.459</v>
      </c>
    </row>
    <row r="374">
      <c r="C374" s="1158" t="n">
        <v>36</v>
      </c>
      <c r="D374" s="1159" t="n">
        <v>1.552</v>
      </c>
    </row>
    <row r="376">
      <c r="B376" s="1209" t="inlineStr">
        <is>
          <t>Section 11 (base = 10 ft)</t>
        </is>
      </c>
      <c r="C376" s="1209" t="inlineStr">
        <is>
          <t>Height (ft)</t>
        </is>
      </c>
      <c r="D376" s="1209" t="inlineStr">
        <is>
          <t>Multiplier</t>
        </is>
      </c>
    </row>
    <row r="377">
      <c r="C377" s="1158" t="n">
        <v>7</v>
      </c>
      <c r="D377" s="1159" t="n">
        <v>0.922</v>
      </c>
    </row>
    <row r="378">
      <c r="C378" s="1158" t="n">
        <v>8</v>
      </c>
      <c r="D378" s="1159" t="n">
        <v>0.947</v>
      </c>
    </row>
    <row r="379">
      <c r="C379" s="1158" t="n">
        <v>9</v>
      </c>
      <c r="D379" s="1159" t="n">
        <v>0.973</v>
      </c>
    </row>
    <row r="380">
      <c r="C380" s="1158" t="n">
        <v>10</v>
      </c>
      <c r="D380" s="1159" t="n">
        <v>1</v>
      </c>
    </row>
    <row r="381">
      <c r="C381" s="1158" t="n">
        <v>11</v>
      </c>
      <c r="D381" s="1159" t="n">
        <v>1.027</v>
      </c>
    </row>
    <row r="382">
      <c r="C382" s="1158" t="n">
        <v>12</v>
      </c>
      <c r="D382" s="1159" t="n">
        <v>1.055</v>
      </c>
    </row>
    <row r="383">
      <c r="C383" s="1158" t="n">
        <v>13</v>
      </c>
      <c r="D383" s="1159" t="n">
        <v>1.084</v>
      </c>
    </row>
    <row r="384">
      <c r="C384" s="1158" t="n">
        <v>14</v>
      </c>
      <c r="D384" s="1159" t="n">
        <v>1.114</v>
      </c>
    </row>
    <row r="385">
      <c r="C385" s="1158" t="n">
        <v>15</v>
      </c>
      <c r="D385" s="1159" t="n">
        <v>1.144</v>
      </c>
    </row>
    <row r="386">
      <c r="C386" s="1158" t="n">
        <v>16</v>
      </c>
      <c r="D386" s="1159" t="n">
        <v>1.175</v>
      </c>
    </row>
    <row r="387">
      <c r="C387" s="1158" t="n">
        <v>17</v>
      </c>
      <c r="D387" s="1159" t="n">
        <v>1.207</v>
      </c>
    </row>
    <row r="388">
      <c r="C388" s="1158" t="n">
        <v>18</v>
      </c>
      <c r="D388" s="1159" t="n">
        <v>1.24</v>
      </c>
    </row>
    <row r="389">
      <c r="C389" s="1158" t="n">
        <v>19</v>
      </c>
      <c r="D389" s="1159" t="n">
        <v>1.274</v>
      </c>
    </row>
    <row r="390">
      <c r="C390" s="1158" t="n">
        <v>20</v>
      </c>
      <c r="D390" s="1159" t="n">
        <v>1.309</v>
      </c>
    </row>
    <row r="391">
      <c r="C391" s="1158" t="n">
        <v>22</v>
      </c>
      <c r="D391" s="1159" t="n">
        <v>1.381</v>
      </c>
    </row>
    <row r="392">
      <c r="C392" s="1158" t="n">
        <v>24</v>
      </c>
      <c r="D392" s="1159" t="n">
        <v>1.458</v>
      </c>
    </row>
    <row r="395">
      <c r="B395" s="1207" t="inlineStr">
        <is>
          <t>REFERENCE 6 -- Sprinkler Add-On Cost Tables ($/SF, per MVS section)</t>
        </is>
      </c>
      <c r="C395" s="1208" t="n"/>
      <c r="D395" s="1208" t="n"/>
      <c r="E395" s="1208" t="n"/>
      <c r="F395" s="1208" t="n"/>
      <c r="G395" s="1208" t="n"/>
      <c r="H395" s="1208" t="n"/>
    </row>
    <row r="396">
      <c r="B396" s="1158" t="inlineStr">
        <is>
          <t>(quality header row, used by lookup formulas)</t>
        </is>
      </c>
      <c r="C396" s="1158" t="inlineStr">
        <is>
          <t>Low Cost</t>
        </is>
      </c>
      <c r="D396" s="1158" t="inlineStr">
        <is>
          <t>Average</t>
        </is>
      </c>
      <c r="E396" s="1158" t="inlineStr">
        <is>
          <t>Good</t>
        </is>
      </c>
      <c r="F396" s="1158" t="inlineStr">
        <is>
          <t>Excellent</t>
        </is>
      </c>
    </row>
    <row r="397">
      <c r="B397" s="1209" t="inlineStr">
        <is>
          <t>Section 14</t>
        </is>
      </c>
      <c r="C397" s="1209" t="inlineStr">
        <is>
          <t>Coverage (SF)</t>
        </is>
      </c>
      <c r="D397" s="1209" t="inlineStr">
        <is>
          <t>Wet-Low</t>
        </is>
      </c>
      <c r="E397" s="1209" t="inlineStr">
        <is>
          <t>Wet-Avg</t>
        </is>
      </c>
      <c r="F397" s="1209" t="inlineStr">
        <is>
          <t>Wet-Good</t>
        </is>
      </c>
      <c r="G397" s="1210" t="inlineStr">
        <is>
          <t>Wet-Excl</t>
        </is>
      </c>
      <c r="H397" s="1210" t="inlineStr">
        <is>
          <t>Dry-Low</t>
        </is>
      </c>
      <c r="I397" s="1210" t="inlineStr">
        <is>
          <t>Dry-Avg</t>
        </is>
      </c>
      <c r="J397" s="1210" t="inlineStr">
        <is>
          <t>Dry-Good</t>
        </is>
      </c>
      <c r="K397" s="1210" t="inlineStr">
        <is>
          <t>Dry-Excl</t>
        </is>
      </c>
    </row>
    <row r="398">
      <c r="C398" s="1158" t="n">
        <v>2500</v>
      </c>
      <c r="D398" s="1160" t="n">
        <v>4.64</v>
      </c>
      <c r="E398" s="1160" t="n">
        <v>5.62</v>
      </c>
      <c r="F398" s="1160" t="n">
        <v>6.8</v>
      </c>
      <c r="G398" s="606" t="n">
        <v>8.24</v>
      </c>
      <c r="H398" s="606" t="n">
        <v>6.17</v>
      </c>
      <c r="I398" s="606" t="n">
        <v>7.47</v>
      </c>
      <c r="J398" s="606" t="n">
        <v>9.039999999999999</v>
      </c>
      <c r="K398" s="606" t="n">
        <v>10.95</v>
      </c>
    </row>
    <row r="399">
      <c r="C399" s="1158" t="n">
        <v>5000</v>
      </c>
      <c r="D399" s="1160" t="n">
        <v>4.17</v>
      </c>
      <c r="E399" s="1160" t="n">
        <v>5.02</v>
      </c>
      <c r="F399" s="1160" t="n">
        <v>6.05</v>
      </c>
      <c r="G399" s="606" t="n">
        <v>7.28</v>
      </c>
      <c r="H399" s="606" t="n">
        <v>5.51</v>
      </c>
      <c r="I399" s="606" t="n">
        <v>6.64</v>
      </c>
      <c r="J399" s="606" t="n">
        <v>7.99</v>
      </c>
      <c r="K399" s="606" t="n">
        <v>9.630000000000001</v>
      </c>
    </row>
    <row r="400">
      <c r="C400" s="1158" t="n">
        <v>10000</v>
      </c>
      <c r="D400" s="1160" t="n">
        <v>3.77</v>
      </c>
      <c r="E400" s="1160" t="n">
        <v>4.52</v>
      </c>
      <c r="F400" s="1160" t="n">
        <v>5.41</v>
      </c>
      <c r="G400" s="606" t="n">
        <v>6.48</v>
      </c>
      <c r="H400" s="606" t="n">
        <v>4.95</v>
      </c>
      <c r="I400" s="606" t="n">
        <v>5.93</v>
      </c>
      <c r="J400" s="606" t="n">
        <v>7.09</v>
      </c>
      <c r="K400" s="606" t="n">
        <v>8.49</v>
      </c>
    </row>
    <row r="401">
      <c r="C401" s="1158" t="n">
        <v>15000</v>
      </c>
      <c r="D401" s="1160" t="n">
        <v>3.54</v>
      </c>
      <c r="E401" s="1160" t="n">
        <v>4.23</v>
      </c>
      <c r="F401" s="1160" t="n">
        <v>5.05</v>
      </c>
      <c r="G401" s="606" t="n">
        <v>6.03</v>
      </c>
      <c r="H401" s="606" t="n">
        <v>4.62</v>
      </c>
      <c r="I401" s="606" t="n">
        <v>5.52</v>
      </c>
      <c r="J401" s="606" t="n">
        <v>6.6</v>
      </c>
      <c r="K401" s="606" t="n">
        <v>7.88</v>
      </c>
    </row>
    <row r="402">
      <c r="C402" s="1158" t="n">
        <v>20000</v>
      </c>
      <c r="D402" s="1160" t="n">
        <v>3.37</v>
      </c>
      <c r="E402" s="1160" t="n">
        <v>4.02</v>
      </c>
      <c r="F402" s="1160" t="n">
        <v>4.78</v>
      </c>
      <c r="G402" s="606" t="n">
        <v>5.7</v>
      </c>
      <c r="H402" s="606" t="n">
        <v>4.37</v>
      </c>
      <c r="I402" s="606" t="n">
        <v>5.21</v>
      </c>
      <c r="J402" s="606" t="n">
        <v>6.22</v>
      </c>
      <c r="K402" s="606" t="n">
        <v>7.42</v>
      </c>
    </row>
    <row r="403">
      <c r="C403" s="1158" t="n">
        <v>30000</v>
      </c>
      <c r="D403" s="1160" t="n">
        <v>3.18</v>
      </c>
      <c r="E403" s="1160" t="n">
        <v>3.78</v>
      </c>
      <c r="F403" s="1160" t="n">
        <v>4.49</v>
      </c>
      <c r="G403" s="606" t="n">
        <v>5.34</v>
      </c>
      <c r="H403" s="606" t="n">
        <v>4.12</v>
      </c>
      <c r="I403" s="606" t="n">
        <v>4.89</v>
      </c>
      <c r="J403" s="606" t="n">
        <v>5.8</v>
      </c>
      <c r="K403" s="606" t="n">
        <v>6.89</v>
      </c>
    </row>
    <row r="404">
      <c r="C404" s="1158" t="n">
        <v>40000</v>
      </c>
      <c r="D404" s="1160" t="n">
        <v>3.04</v>
      </c>
      <c r="E404" s="1160" t="n">
        <v>3.6</v>
      </c>
      <c r="F404" s="1160" t="n">
        <v>4.27</v>
      </c>
      <c r="G404" s="606" t="n">
        <v>5.06</v>
      </c>
      <c r="H404" s="606" t="n">
        <v>3.93</v>
      </c>
      <c r="I404" s="606" t="n">
        <v>4.65</v>
      </c>
      <c r="J404" s="606" t="n">
        <v>5.51</v>
      </c>
      <c r="K404" s="606" t="n">
        <v>6.53</v>
      </c>
    </row>
    <row r="405">
      <c r="C405" s="1158" t="n">
        <v>50000</v>
      </c>
      <c r="D405" s="1160" t="n">
        <v>2.96</v>
      </c>
      <c r="E405" s="1160" t="n">
        <v>3.5</v>
      </c>
      <c r="F405" s="1160" t="n">
        <v>4.14</v>
      </c>
      <c r="G405" s="606" t="n">
        <v>4.89</v>
      </c>
      <c r="H405" s="606" t="n">
        <v>3.79</v>
      </c>
      <c r="I405" s="606" t="n">
        <v>4.48</v>
      </c>
      <c r="J405" s="606" t="n">
        <v>5.3</v>
      </c>
      <c r="K405" s="606" t="n">
        <v>6.27</v>
      </c>
    </row>
    <row r="406">
      <c r="C406" s="1158" t="n">
        <v>60000</v>
      </c>
      <c r="D406" s="1160" t="n">
        <v>2.87</v>
      </c>
      <c r="E406" s="1160" t="n">
        <v>3.39</v>
      </c>
      <c r="F406" s="1160" t="n">
        <v>3.99</v>
      </c>
      <c r="G406" s="606" t="n">
        <v>4.71</v>
      </c>
      <c r="H406" s="606" t="n">
        <v>3.67</v>
      </c>
      <c r="I406" s="606" t="n">
        <v>4.33</v>
      </c>
      <c r="J406" s="606" t="n">
        <v>5.11</v>
      </c>
      <c r="K406" s="606" t="n">
        <v>6.03</v>
      </c>
    </row>
    <row r="407">
      <c r="C407" s="1158" t="n">
        <v>80000</v>
      </c>
      <c r="D407" s="1160" t="n">
        <v>2.74</v>
      </c>
      <c r="E407" s="1160" t="n">
        <v>3.22</v>
      </c>
      <c r="F407" s="1160" t="n">
        <v>3.79</v>
      </c>
      <c r="G407" s="606" t="n">
        <v>4.46</v>
      </c>
      <c r="H407" s="606" t="n">
        <v>3.49</v>
      </c>
      <c r="I407" s="606" t="n">
        <v>4.11</v>
      </c>
      <c r="J407" s="606" t="n">
        <v>4.85</v>
      </c>
      <c r="K407" s="606" t="n">
        <v>5.72</v>
      </c>
    </row>
    <row r="408">
      <c r="C408" s="1158" t="n">
        <v>100000</v>
      </c>
      <c r="D408" s="1160" t="n">
        <v>2.66</v>
      </c>
      <c r="E408" s="1160" t="n">
        <v>3.13</v>
      </c>
      <c r="F408" s="1160" t="n">
        <v>3.68</v>
      </c>
      <c r="G408" s="606" t="n">
        <v>4.32</v>
      </c>
      <c r="H408" s="606" t="n">
        <v>3.4</v>
      </c>
      <c r="I408" s="606" t="n">
        <v>3.99</v>
      </c>
      <c r="J408" s="606" t="n">
        <v>4.69</v>
      </c>
      <c r="K408" s="606" t="n">
        <v>5.51</v>
      </c>
    </row>
    <row r="409">
      <c r="C409" s="1158" t="n">
        <v>125000</v>
      </c>
      <c r="D409" s="1160" t="n">
        <v>2.57</v>
      </c>
      <c r="E409" s="1160" t="n">
        <v>3.02</v>
      </c>
      <c r="F409" s="1160" t="n">
        <v>3.54</v>
      </c>
      <c r="G409" s="606" t="n">
        <v>4.15</v>
      </c>
      <c r="H409" s="606" t="n">
        <v>3.26</v>
      </c>
      <c r="I409" s="606" t="n">
        <v>3.83</v>
      </c>
      <c r="J409" s="606" t="n">
        <v>4.5</v>
      </c>
      <c r="K409" s="606" t="n">
        <v>5.28</v>
      </c>
    </row>
    <row r="410">
      <c r="C410" s="1158" t="n">
        <v>150000</v>
      </c>
      <c r="D410" s="1160" t="n">
        <v>2.49</v>
      </c>
      <c r="E410" s="1160" t="n">
        <v>2.92</v>
      </c>
      <c r="F410" s="1160" t="n">
        <v>3.43</v>
      </c>
      <c r="G410" s="606" t="n">
        <v>4.03</v>
      </c>
      <c r="H410" s="606" t="n">
        <v>3.16</v>
      </c>
      <c r="I410" s="606" t="n">
        <v>3.71</v>
      </c>
      <c r="J410" s="606" t="n">
        <v>4.35</v>
      </c>
      <c r="K410" s="606" t="n">
        <v>5.11</v>
      </c>
    </row>
    <row r="411">
      <c r="C411" s="1158" t="n">
        <v>200000</v>
      </c>
      <c r="D411" s="1160" t="n">
        <v>2.4</v>
      </c>
      <c r="E411" s="1160" t="n">
        <v>2.81</v>
      </c>
      <c r="F411" s="1160" t="n">
        <v>3.28</v>
      </c>
      <c r="G411" s="606" t="n">
        <v>3.84</v>
      </c>
      <c r="H411" s="606" t="n">
        <v>3.04</v>
      </c>
      <c r="I411" s="606" t="n">
        <v>3.55</v>
      </c>
      <c r="J411" s="606" t="n">
        <v>4.16</v>
      </c>
      <c r="K411" s="606" t="n">
        <v>4.86</v>
      </c>
    </row>
    <row r="412">
      <c r="C412" s="1158" t="n">
        <v>250000</v>
      </c>
      <c r="D412" s="1160" t="n">
        <v>2.32</v>
      </c>
      <c r="E412" s="1160" t="n">
        <v>2.71</v>
      </c>
      <c r="F412" s="1160" t="n">
        <v>3.16</v>
      </c>
      <c r="G412" s="606" t="n">
        <v>3.68</v>
      </c>
      <c r="H412" s="606" t="n">
        <v>2.91</v>
      </c>
      <c r="I412" s="606" t="n">
        <v>3.4</v>
      </c>
      <c r="J412" s="606" t="n">
        <v>3.97</v>
      </c>
      <c r="K412" s="606" t="n">
        <v>4.64</v>
      </c>
    </row>
    <row r="413">
      <c r="C413" s="1158" t="n">
        <v>300000</v>
      </c>
      <c r="D413" s="1160" t="n">
        <v>2.26</v>
      </c>
      <c r="E413" s="1160" t="n">
        <v>2.63</v>
      </c>
      <c r="F413" s="1160" t="n">
        <v>3.06</v>
      </c>
      <c r="G413" s="606" t="n">
        <v>3.56</v>
      </c>
      <c r="H413" s="606" t="n">
        <v>2.83</v>
      </c>
      <c r="I413" s="606" t="n">
        <v>3.29</v>
      </c>
      <c r="J413" s="606" t="n">
        <v>3.83</v>
      </c>
      <c r="K413" s="606" t="n">
        <v>4.45</v>
      </c>
    </row>
    <row r="414">
      <c r="C414" s="1158" t="n">
        <v>400000</v>
      </c>
      <c r="D414" s="1160" t="n">
        <v>2.18</v>
      </c>
      <c r="E414" s="1160" t="n">
        <v>2.53</v>
      </c>
      <c r="F414" s="1160" t="n">
        <v>2.93</v>
      </c>
      <c r="G414" s="606" t="n">
        <v>3.4</v>
      </c>
      <c r="H414" s="606" t="n">
        <v>2.73</v>
      </c>
      <c r="I414" s="606" t="n">
        <v>3.16</v>
      </c>
      <c r="J414" s="606" t="n">
        <v>3.66</v>
      </c>
      <c r="K414" s="606" t="n">
        <v>4.23</v>
      </c>
    </row>
    <row r="415">
      <c r="C415" s="1158" t="n">
        <v>600000</v>
      </c>
      <c r="D415" s="1160" t="n">
        <v>2.02</v>
      </c>
      <c r="E415" s="1160" t="n">
        <v>2.34</v>
      </c>
      <c r="F415" s="1160" t="n">
        <v>2.72</v>
      </c>
      <c r="G415" s="606" t="n">
        <v>3.15</v>
      </c>
      <c r="H415" s="606" t="n">
        <v>2.52</v>
      </c>
      <c r="I415" s="606" t="n">
        <v>2.93</v>
      </c>
      <c r="J415" s="606" t="n">
        <v>3.4</v>
      </c>
      <c r="K415" s="606" t="n">
        <v>3.95</v>
      </c>
    </row>
    <row r="416">
      <c r="C416" s="1158" t="n">
        <v>800000</v>
      </c>
      <c r="D416" s="1160" t="n">
        <v>1.94</v>
      </c>
      <c r="E416" s="1160" t="n">
        <v>2.25</v>
      </c>
      <c r="F416" s="1160" t="n">
        <v>2.61</v>
      </c>
      <c r="G416" s="606" t="n">
        <v>3.02</v>
      </c>
      <c r="H416" s="606" t="n">
        <v>2.43</v>
      </c>
      <c r="I416" s="606" t="n">
        <v>2.81</v>
      </c>
      <c r="J416" s="606" t="n">
        <v>3.25</v>
      </c>
      <c r="K416" s="606" t="n">
        <v>3.76</v>
      </c>
    </row>
    <row r="417">
      <c r="C417" s="1158" t="n">
        <v>1000000</v>
      </c>
      <c r="D417" s="1160" t="n">
        <v>1.86</v>
      </c>
      <c r="E417" s="1160" t="n">
        <v>2.15</v>
      </c>
      <c r="F417" s="1160" t="n">
        <v>2.49</v>
      </c>
      <c r="G417" s="606" t="n">
        <v>2.88</v>
      </c>
      <c r="H417" s="606" t="n">
        <v>2.32</v>
      </c>
      <c r="I417" s="606" t="n">
        <v>2.68</v>
      </c>
      <c r="J417" s="606" t="n">
        <v>3.1</v>
      </c>
      <c r="K417" s="606" t="n">
        <v>3.59</v>
      </c>
    </row>
    <row r="419">
      <c r="B419" s="1209" t="inlineStr">
        <is>
          <t>Section 13</t>
        </is>
      </c>
      <c r="C419" s="1209" t="inlineStr">
        <is>
          <t>Coverage (SF)</t>
        </is>
      </c>
      <c r="D419" s="1209" t="inlineStr">
        <is>
          <t>Wet-Low</t>
        </is>
      </c>
      <c r="E419" s="1209" t="inlineStr">
        <is>
          <t>Wet-Avg</t>
        </is>
      </c>
      <c r="F419" s="1209" t="inlineStr">
        <is>
          <t>Wet-Good</t>
        </is>
      </c>
      <c r="G419" s="1210" t="inlineStr">
        <is>
          <t>Wet-Excl</t>
        </is>
      </c>
      <c r="H419" s="1210" t="inlineStr">
        <is>
          <t>Dry-Low</t>
        </is>
      </c>
      <c r="I419" s="1210" t="inlineStr">
        <is>
          <t>Dry-Avg</t>
        </is>
      </c>
      <c r="J419" s="1210" t="inlineStr">
        <is>
          <t>Dry-Good</t>
        </is>
      </c>
      <c r="K419" s="1210" t="inlineStr">
        <is>
          <t>Dry-Excl</t>
        </is>
      </c>
    </row>
    <row r="420">
      <c r="C420" s="1158" t="n">
        <v>1000</v>
      </c>
      <c r="D420" s="1160" t="n">
        <v>6.05</v>
      </c>
      <c r="E420" s="1160" t="n">
        <v>7.18</v>
      </c>
      <c r="F420" s="1160" t="n">
        <v>8.51</v>
      </c>
      <c r="G420" s="606" t="n">
        <v>10.1</v>
      </c>
      <c r="H420" s="606" t="n">
        <v>7.83</v>
      </c>
      <c r="I420" s="606" t="n">
        <v>9.300000000000001</v>
      </c>
      <c r="J420" s="606" t="n">
        <v>11.05</v>
      </c>
      <c r="K420" s="606" t="n">
        <v>13.1</v>
      </c>
    </row>
    <row r="421">
      <c r="C421" s="1158" t="n">
        <v>2000</v>
      </c>
      <c r="D421" s="1160" t="n">
        <v>5.46</v>
      </c>
      <c r="E421" s="1160" t="n">
        <v>6.43</v>
      </c>
      <c r="F421" s="1160" t="n">
        <v>7.57</v>
      </c>
      <c r="G421" s="606" t="n">
        <v>8.92</v>
      </c>
      <c r="H421" s="606" t="n">
        <v>6.99</v>
      </c>
      <c r="I421" s="606" t="n">
        <v>8.24</v>
      </c>
      <c r="J421" s="606" t="n">
        <v>9.710000000000001</v>
      </c>
      <c r="K421" s="606" t="n">
        <v>11.45</v>
      </c>
    </row>
    <row r="422">
      <c r="C422" s="1158" t="n">
        <v>3000</v>
      </c>
      <c r="D422" s="1160" t="n">
        <v>5.13</v>
      </c>
      <c r="E422" s="1160" t="n">
        <v>6.03</v>
      </c>
      <c r="F422" s="1160" t="n">
        <v>7.08</v>
      </c>
      <c r="G422" s="606" t="n">
        <v>8.32</v>
      </c>
      <c r="H422" s="606" t="n">
        <v>6.53</v>
      </c>
      <c r="I422" s="606" t="n">
        <v>7.67</v>
      </c>
      <c r="J422" s="606" t="n">
        <v>9.02</v>
      </c>
      <c r="K422" s="606" t="n">
        <v>10.6</v>
      </c>
    </row>
    <row r="423">
      <c r="C423" s="1158" t="n">
        <v>5000</v>
      </c>
      <c r="D423" s="1160" t="n">
        <v>4.73</v>
      </c>
      <c r="E423" s="1160" t="n">
        <v>5.54</v>
      </c>
      <c r="F423" s="1160" t="n">
        <v>6.5</v>
      </c>
      <c r="G423" s="606" t="n">
        <v>7.62</v>
      </c>
      <c r="H423" s="606" t="n">
        <v>6.02</v>
      </c>
      <c r="I423" s="606" t="n">
        <v>7.05</v>
      </c>
      <c r="J423" s="606" t="n">
        <v>8.26</v>
      </c>
      <c r="K423" s="606" t="n">
        <v>9.67</v>
      </c>
    </row>
    <row r="424">
      <c r="C424" s="1158" t="n">
        <v>10000</v>
      </c>
      <c r="D424" s="1160" t="n">
        <v>4.26</v>
      </c>
      <c r="E424" s="1160" t="n">
        <v>4.96</v>
      </c>
      <c r="F424" s="1160" t="n">
        <v>5.77</v>
      </c>
      <c r="G424" s="606" t="n">
        <v>6.72</v>
      </c>
      <c r="H424" s="606" t="n">
        <v>5.35</v>
      </c>
      <c r="I424" s="606" t="n">
        <v>6.23</v>
      </c>
      <c r="J424" s="606" t="n">
        <v>7.26</v>
      </c>
      <c r="K424" s="606" t="n">
        <v>8.449999999999999</v>
      </c>
    </row>
    <row r="425">
      <c r="C425" s="1158" t="n">
        <v>15000</v>
      </c>
      <c r="D425" s="1160" t="n">
        <v>3.99</v>
      </c>
      <c r="E425" s="1160" t="n">
        <v>4.64</v>
      </c>
      <c r="F425" s="1160" t="n">
        <v>5.39</v>
      </c>
      <c r="G425" s="606" t="n">
        <v>6.26</v>
      </c>
      <c r="H425" s="606" t="n">
        <v>5</v>
      </c>
      <c r="I425" s="606" t="n">
        <v>5.81</v>
      </c>
      <c r="J425" s="606" t="n">
        <v>6.74</v>
      </c>
      <c r="K425" s="606" t="n">
        <v>7.83</v>
      </c>
    </row>
    <row r="426">
      <c r="C426" s="1158" t="n">
        <v>20000</v>
      </c>
      <c r="D426" s="1160" t="n">
        <v>3.83</v>
      </c>
      <c r="E426" s="1160" t="n">
        <v>4.44</v>
      </c>
      <c r="F426" s="1160" t="n">
        <v>5.15</v>
      </c>
      <c r="G426" s="606" t="n">
        <v>5.97</v>
      </c>
      <c r="H426" s="606" t="n">
        <v>4.78</v>
      </c>
      <c r="I426" s="606" t="n">
        <v>5.54</v>
      </c>
      <c r="J426" s="606" t="n">
        <v>6.41</v>
      </c>
      <c r="K426" s="606" t="n">
        <v>7.43</v>
      </c>
    </row>
    <row r="427">
      <c r="C427" s="1158" t="n">
        <v>30000</v>
      </c>
      <c r="D427" s="1160" t="n">
        <v>3.6</v>
      </c>
      <c r="E427" s="1160" t="n">
        <v>4.16</v>
      </c>
      <c r="F427" s="1160" t="n">
        <v>4.8</v>
      </c>
      <c r="G427" s="606" t="n">
        <v>5.54</v>
      </c>
      <c r="H427" s="606" t="n">
        <v>4.48</v>
      </c>
      <c r="I427" s="606" t="n">
        <v>5.17</v>
      </c>
      <c r="J427" s="606" t="n">
        <v>5.97</v>
      </c>
      <c r="K427" s="606" t="n">
        <v>6.89</v>
      </c>
    </row>
    <row r="428">
      <c r="C428" s="1158" t="n">
        <v>50000</v>
      </c>
      <c r="D428" s="1160" t="n">
        <v>3.35</v>
      </c>
      <c r="E428" s="1160" t="n">
        <v>3.85</v>
      </c>
      <c r="F428" s="1160" t="n">
        <v>4.42</v>
      </c>
      <c r="G428" s="606" t="n">
        <v>5.07</v>
      </c>
      <c r="H428" s="606" t="n">
        <v>4.13</v>
      </c>
      <c r="I428" s="606" t="n">
        <v>4.73</v>
      </c>
      <c r="J428" s="606" t="n">
        <v>5.43</v>
      </c>
      <c r="K428" s="606" t="n">
        <v>6.22</v>
      </c>
    </row>
    <row r="429">
      <c r="C429" s="1158" t="n">
        <v>75000</v>
      </c>
      <c r="D429" s="1160" t="n">
        <v>3.11</v>
      </c>
      <c r="E429" s="1160" t="n">
        <v>3.57</v>
      </c>
      <c r="F429" s="1160" t="n">
        <v>4.1</v>
      </c>
      <c r="G429" s="606" t="n">
        <v>4.7</v>
      </c>
      <c r="H429" s="606" t="n">
        <v>3.83</v>
      </c>
      <c r="I429" s="606" t="n">
        <v>4.39</v>
      </c>
      <c r="J429" s="606" t="n">
        <v>5.03</v>
      </c>
      <c r="K429" s="606" t="n">
        <v>5.76</v>
      </c>
    </row>
    <row r="430">
      <c r="C430" s="1158" t="n">
        <v>100000</v>
      </c>
      <c r="D430" s="1160" t="n">
        <v>2.97</v>
      </c>
      <c r="E430" s="1160" t="n">
        <v>3.41</v>
      </c>
      <c r="F430" s="1160" t="n">
        <v>3.91</v>
      </c>
      <c r="G430" s="606" t="n">
        <v>4.48</v>
      </c>
      <c r="H430" s="606" t="n">
        <v>3.65</v>
      </c>
      <c r="I430" s="606" t="n">
        <v>4.18</v>
      </c>
      <c r="J430" s="606" t="n">
        <v>4.79</v>
      </c>
      <c r="K430" s="606" t="n">
        <v>5.49</v>
      </c>
    </row>
    <row r="431">
      <c r="C431" s="1158" t="n">
        <v>150000</v>
      </c>
      <c r="D431" s="1160" t="n">
        <v>2.79</v>
      </c>
      <c r="E431" s="1160" t="n">
        <v>3.2</v>
      </c>
      <c r="F431" s="1160" t="n">
        <v>3.66</v>
      </c>
      <c r="G431" s="606" t="n">
        <v>4.19</v>
      </c>
      <c r="H431" s="606" t="n">
        <v>3.43</v>
      </c>
      <c r="I431" s="606" t="n">
        <v>3.92</v>
      </c>
      <c r="J431" s="606" t="n">
        <v>4.49</v>
      </c>
      <c r="K431" s="606" t="n">
        <v>5.13</v>
      </c>
    </row>
    <row r="432">
      <c r="C432" s="1158" t="n">
        <v>200000</v>
      </c>
      <c r="D432" s="1160" t="n">
        <v>2.7</v>
      </c>
      <c r="E432" s="1160" t="n">
        <v>3.07</v>
      </c>
      <c r="F432" s="1160" t="n">
        <v>3.49</v>
      </c>
      <c r="G432" s="606" t="n">
        <v>3.97</v>
      </c>
      <c r="H432" s="606" t="n">
        <v>3.29</v>
      </c>
      <c r="I432" s="606" t="n">
        <v>3.73</v>
      </c>
      <c r="J432" s="606" t="n">
        <v>4.24</v>
      </c>
      <c r="K432" s="606" t="n">
        <v>4.81</v>
      </c>
    </row>
    <row r="433">
      <c r="C433" s="1158" t="n">
        <v>300000</v>
      </c>
      <c r="D433" s="1160" t="n">
        <v>2.52</v>
      </c>
      <c r="E433" s="1160" t="n">
        <v>2.86</v>
      </c>
      <c r="F433" s="1160" t="n">
        <v>3.24</v>
      </c>
      <c r="G433" s="606" t="n">
        <v>3.68</v>
      </c>
      <c r="H433" s="606" t="n">
        <v>3.05</v>
      </c>
      <c r="I433" s="606" t="n">
        <v>3.46</v>
      </c>
      <c r="J433" s="606" t="n">
        <v>3.93</v>
      </c>
      <c r="K433" s="606" t="n">
        <v>4.46</v>
      </c>
    </row>
    <row r="434">
      <c r="C434" s="1158" t="n">
        <v>400000</v>
      </c>
      <c r="D434" s="1160" t="n">
        <v>2.43</v>
      </c>
      <c r="E434" s="1160" t="n">
        <v>2.74</v>
      </c>
      <c r="F434" s="1160" t="n">
        <v>3.09</v>
      </c>
      <c r="G434" s="606" t="n">
        <v>3.49</v>
      </c>
      <c r="H434" s="606" t="n">
        <v>2.91</v>
      </c>
      <c r="I434" s="606" t="n">
        <v>3.29</v>
      </c>
      <c r="J434" s="606" t="n">
        <v>3.71</v>
      </c>
      <c r="K434" s="606" t="n">
        <v>4.19</v>
      </c>
    </row>
    <row r="435">
      <c r="C435" s="1158" t="n">
        <v>600000</v>
      </c>
      <c r="D435" s="1160" t="n">
        <v>2.27</v>
      </c>
      <c r="E435" s="1160" t="n">
        <v>2.56</v>
      </c>
      <c r="F435" s="1160" t="n">
        <v>2.9</v>
      </c>
      <c r="G435" s="606" t="n">
        <v>3.27</v>
      </c>
      <c r="H435" s="606" t="n">
        <v>2.72</v>
      </c>
      <c r="I435" s="606" t="n">
        <v>3.07</v>
      </c>
      <c r="J435" s="606" t="n">
        <v>3.46</v>
      </c>
      <c r="K435" s="606" t="n">
        <v>3.91</v>
      </c>
    </row>
    <row r="436">
      <c r="C436" s="1158" t="n">
        <v>800000</v>
      </c>
      <c r="D436" s="1160" t="n">
        <v>2.19</v>
      </c>
      <c r="E436" s="1160" t="n">
        <v>2.46</v>
      </c>
      <c r="F436" s="1160" t="n">
        <v>2.77</v>
      </c>
      <c r="G436" s="606" t="n">
        <v>3.11</v>
      </c>
      <c r="H436" s="606" t="n">
        <v>2.62</v>
      </c>
      <c r="I436" s="606" t="n">
        <v>2.94</v>
      </c>
      <c r="J436" s="606" t="n">
        <v>3.31</v>
      </c>
      <c r="K436" s="606" t="n">
        <v>3.72</v>
      </c>
    </row>
    <row r="437">
      <c r="C437" s="1158" t="n">
        <v>1000000</v>
      </c>
      <c r="D437" s="1160" t="n">
        <v>2.11</v>
      </c>
      <c r="E437" s="1160" t="n">
        <v>2.37</v>
      </c>
      <c r="F437" s="1160" t="n">
        <v>2.66</v>
      </c>
      <c r="G437" s="606" t="n">
        <v>2.99</v>
      </c>
      <c r="H437" s="606" t="n">
        <v>2.52</v>
      </c>
      <c r="I437" s="606" t="n">
        <v>2.83</v>
      </c>
      <c r="J437" s="606" t="n">
        <v>3.17</v>
      </c>
      <c r="K437" s="606" t="n">
        <v>3.56</v>
      </c>
    </row>
    <row r="439">
      <c r="B439" s="1209" t="inlineStr">
        <is>
          <t>Section 15</t>
        </is>
      </c>
      <c r="C439" s="1209" t="inlineStr">
        <is>
          <t>Coverage (SF)</t>
        </is>
      </c>
      <c r="D439" s="1209" t="inlineStr">
        <is>
          <t>Wet-Low</t>
        </is>
      </c>
      <c r="E439" s="1209" t="inlineStr">
        <is>
          <t>Wet-Avg</t>
        </is>
      </c>
      <c r="F439" s="1209" t="inlineStr">
        <is>
          <t>Wet-Good</t>
        </is>
      </c>
      <c r="G439" s="1210" t="inlineStr">
        <is>
          <t>Wet-Excl</t>
        </is>
      </c>
      <c r="H439" s="1210" t="inlineStr">
        <is>
          <t>Dry-Low</t>
        </is>
      </c>
      <c r="I439" s="1210" t="inlineStr">
        <is>
          <t>Dry-Avg</t>
        </is>
      </c>
      <c r="J439" s="1210" t="inlineStr">
        <is>
          <t>Dry-Good</t>
        </is>
      </c>
      <c r="K439" s="1210" t="inlineStr">
        <is>
          <t>Dry-Excl</t>
        </is>
      </c>
    </row>
    <row r="440">
      <c r="C440" s="1158" t="n">
        <v>1500</v>
      </c>
      <c r="D440" s="1160" t="n">
        <v>6.24</v>
      </c>
      <c r="E440" s="1160" t="n">
        <v>7.41</v>
      </c>
      <c r="F440" s="1160" t="n">
        <v>8.800000000000001</v>
      </c>
      <c r="G440" s="606" t="n">
        <v>10.45</v>
      </c>
      <c r="H440" s="606" t="n">
        <v>8.08</v>
      </c>
      <c r="I440" s="606" t="n">
        <v>9.6</v>
      </c>
      <c r="J440" s="606" t="n">
        <v>11.4</v>
      </c>
      <c r="K440" s="606" t="n">
        <v>13.55</v>
      </c>
    </row>
    <row r="441">
      <c r="C441" s="1158" t="n">
        <v>5000</v>
      </c>
      <c r="D441" s="1160" t="n">
        <v>5.17</v>
      </c>
      <c r="E441" s="1160" t="n">
        <v>6.09</v>
      </c>
      <c r="F441" s="1160" t="n">
        <v>7.16</v>
      </c>
      <c r="G441" s="606" t="n">
        <v>8.43</v>
      </c>
      <c r="H441" s="606" t="n">
        <v>6.58</v>
      </c>
      <c r="I441" s="606" t="n">
        <v>7.75</v>
      </c>
      <c r="J441" s="606" t="n">
        <v>9.130000000000001</v>
      </c>
      <c r="K441" s="606" t="n">
        <v>10.75</v>
      </c>
    </row>
    <row r="442">
      <c r="C442" s="1158" t="n">
        <v>10000</v>
      </c>
      <c r="D442" s="1160" t="n">
        <v>4.65</v>
      </c>
      <c r="E442" s="1160" t="n">
        <v>5.45</v>
      </c>
      <c r="F442" s="1160" t="n">
        <v>6.38</v>
      </c>
      <c r="G442" s="606" t="n">
        <v>7.47</v>
      </c>
      <c r="H442" s="606" t="n">
        <v>5.89</v>
      </c>
      <c r="I442" s="606" t="n">
        <v>6.9</v>
      </c>
      <c r="J442" s="606" t="n">
        <v>8.07</v>
      </c>
      <c r="K442" s="606" t="n">
        <v>9.449999999999999</v>
      </c>
    </row>
    <row r="443">
      <c r="C443" s="1158" t="n">
        <v>20000</v>
      </c>
      <c r="D443" s="1160" t="n">
        <v>4.14</v>
      </c>
      <c r="E443" s="1160" t="n">
        <v>4.83</v>
      </c>
      <c r="F443" s="1160" t="n">
        <v>5.64</v>
      </c>
      <c r="G443" s="606" t="n">
        <v>6.58</v>
      </c>
      <c r="H443" s="606" t="n">
        <v>5.23</v>
      </c>
      <c r="I443" s="606" t="n">
        <v>6.1</v>
      </c>
      <c r="J443" s="606" t="n">
        <v>7.12</v>
      </c>
      <c r="K443" s="606" t="n">
        <v>8.300000000000001</v>
      </c>
    </row>
    <row r="444">
      <c r="C444" s="1158" t="n">
        <v>50000</v>
      </c>
      <c r="D444" s="1160" t="n">
        <v>3.61</v>
      </c>
      <c r="E444" s="1160" t="n">
        <v>4.17</v>
      </c>
      <c r="F444" s="1160" t="n">
        <v>4.83</v>
      </c>
      <c r="G444" s="606" t="n">
        <v>5.58</v>
      </c>
      <c r="H444" s="606" t="n">
        <v>4.47</v>
      </c>
      <c r="I444" s="606" t="n">
        <v>5.18</v>
      </c>
      <c r="J444" s="606" t="n">
        <v>6</v>
      </c>
      <c r="K444" s="606" t="n">
        <v>6.96</v>
      </c>
    </row>
    <row r="445">
      <c r="C445" s="1158" t="n">
        <v>100000</v>
      </c>
      <c r="D445" s="1160" t="n">
        <v>3.26</v>
      </c>
      <c r="E445" s="1160" t="n">
        <v>3.75</v>
      </c>
      <c r="F445" s="1160" t="n">
        <v>4.31</v>
      </c>
      <c r="G445" s="606" t="n">
        <v>4.95</v>
      </c>
      <c r="H445" s="606" t="n">
        <v>4</v>
      </c>
      <c r="I445" s="606" t="n">
        <v>4.61</v>
      </c>
      <c r="J445" s="606" t="n">
        <v>5.31</v>
      </c>
      <c r="K445" s="606" t="n">
        <v>6.11</v>
      </c>
    </row>
    <row r="446">
      <c r="C446" s="1158" t="n">
        <v>250000</v>
      </c>
      <c r="D446" s="1160" t="n">
        <v>2.8</v>
      </c>
      <c r="E446" s="1160" t="n">
        <v>3.21</v>
      </c>
      <c r="F446" s="1160" t="n">
        <v>3.67</v>
      </c>
      <c r="G446" s="606" t="n">
        <v>4.21</v>
      </c>
      <c r="H446" s="606" t="n">
        <v>3.43</v>
      </c>
      <c r="I446" s="606" t="n">
        <v>3.93</v>
      </c>
      <c r="J446" s="606" t="n">
        <v>4.5</v>
      </c>
      <c r="K446" s="606" t="n">
        <v>5.15</v>
      </c>
    </row>
    <row r="447">
      <c r="C447" s="1158" t="n">
        <v>500000</v>
      </c>
      <c r="D447" s="1160" t="n">
        <v>2.52</v>
      </c>
      <c r="E447" s="1160" t="n">
        <v>2.87</v>
      </c>
      <c r="F447" s="1160" t="n">
        <v>3.27</v>
      </c>
      <c r="G447" s="606" t="n">
        <v>3.72</v>
      </c>
      <c r="H447" s="606" t="n">
        <v>3.06</v>
      </c>
      <c r="I447" s="606" t="n">
        <v>3.48</v>
      </c>
      <c r="J447" s="606" t="n">
        <v>3.95</v>
      </c>
      <c r="K447" s="606" t="n">
        <v>4.49</v>
      </c>
    </row>
    <row r="450">
      <c r="B450" s="1207" t="inlineStr">
        <is>
          <t>REFERENCE 7 -- Elevator Lump-Sum + Per-Stop Cost Tables (per MVS section) -- for manual add/deduct</t>
        </is>
      </c>
      <c r="C450" s="1208" t="n"/>
      <c r="D450" s="1208" t="n"/>
      <c r="E450" s="1208" t="n"/>
      <c r="F450" s="1208" t="n"/>
      <c r="G450" s="1208" t="n"/>
      <c r="H450" s="1208" t="n"/>
    </row>
    <row r="451">
      <c r="B451" s="1209" t="inlineStr">
        <is>
          <t>Section 14</t>
        </is>
      </c>
      <c r="C451" s="1209" t="inlineStr">
        <is>
          <t>Type</t>
        </is>
      </c>
      <c r="D451" s="1209" t="inlineStr">
        <is>
          <t>Low</t>
        </is>
      </c>
      <c r="E451" s="1209" t="inlineStr">
        <is>
          <t>Average</t>
        </is>
      </c>
      <c r="F451" s="1209" t="inlineStr">
        <is>
          <t>Good</t>
        </is>
      </c>
      <c r="G451" s="1210" t="inlineStr">
        <is>
          <t>Excellent</t>
        </is>
      </c>
    </row>
    <row r="452">
      <c r="C452" s="1158" t="inlineStr">
        <is>
          <t>Passenger, 2-3 story (base)</t>
        </is>
      </c>
      <c r="D452" s="1158" t="n">
        <v>66250</v>
      </c>
      <c r="E452" s="1158" t="n">
        <v>78000</v>
      </c>
      <c r="F452" s="1158" t="n">
        <v>92000</v>
      </c>
      <c r="G452" t="n">
        <v>108000</v>
      </c>
    </row>
    <row r="453">
      <c r="C453" s="1158" t="inlineStr">
        <is>
          <t>Passenger, 4-story+ (base)</t>
        </is>
      </c>
      <c r="D453" s="1158" t="n">
        <v>116000</v>
      </c>
      <c r="E453" s="1158" t="n">
        <v>133000</v>
      </c>
      <c r="F453" s="1158" t="n">
        <v>152000</v>
      </c>
      <c r="G453" t="n">
        <v>175000</v>
      </c>
    </row>
    <row r="454">
      <c r="C454" s="1158" t="inlineStr">
        <is>
          <t>Passenger, per stop</t>
        </is>
      </c>
      <c r="D454" s="1158" t="n">
        <v>9650</v>
      </c>
      <c r="E454" s="1158" t="n">
        <v>11100</v>
      </c>
      <c r="F454" s="1158" t="n">
        <v>12700</v>
      </c>
      <c r="G454" t="n">
        <v>14600</v>
      </c>
    </row>
    <row r="455">
      <c r="C455" s="1158" t="inlineStr">
        <is>
          <t>Freight, 2-3 story (base)</t>
        </is>
      </c>
      <c r="D455" s="1158" t="n">
        <v>51250</v>
      </c>
      <c r="E455" s="1158" t="n">
        <v>67750</v>
      </c>
      <c r="F455" s="1158" t="n">
        <v>89500</v>
      </c>
      <c r="G455" t="n">
        <v>118000</v>
      </c>
    </row>
    <row r="456">
      <c r="C456" s="1158" t="inlineStr">
        <is>
          <t>Freight, 4-story+ (base)</t>
        </is>
      </c>
      <c r="D456" s="1158" t="n">
        <v>101000</v>
      </c>
      <c r="E456" s="1158" t="n">
        <v>127000</v>
      </c>
      <c r="F456" s="1158" t="n">
        <v>160000</v>
      </c>
      <c r="G456" t="n">
        <v>203000</v>
      </c>
    </row>
    <row r="457">
      <c r="C457" s="1158" t="inlineStr">
        <is>
          <t>Freight, per stop (manual doors)</t>
        </is>
      </c>
      <c r="D457" s="1158" t="n">
        <v>13000</v>
      </c>
      <c r="E457" s="1158" t="n">
        <v>14100</v>
      </c>
      <c r="F457" s="1158" t="n">
        <v>15400</v>
      </c>
      <c r="G457" t="n">
        <v>16700</v>
      </c>
    </row>
    <row r="458">
      <c r="C458" s="1158" t="inlineStr">
        <is>
          <t>Freight, per stop (power doors)</t>
        </is>
      </c>
      <c r="D458" s="1158" t="n">
        <v>22600</v>
      </c>
      <c r="E458" s="1158" t="n">
        <v>24600</v>
      </c>
      <c r="F458" s="1158" t="n">
        <v>26900</v>
      </c>
      <c r="G458" t="n">
        <v>29300</v>
      </c>
    </row>
    <row r="459">
      <c r="C459" s="1158" t="inlineStr">
        <is>
          <t>Escalator, per stairway</t>
        </is>
      </c>
      <c r="D459" s="1158" t="n">
        <v>270000</v>
      </c>
      <c r="E459" s="1158" t="n">
        <v>289000</v>
      </c>
      <c r="F459" s="1158" t="n">
        <v>309000</v>
      </c>
      <c r="G459" t="n">
        <v>330000</v>
      </c>
    </row>
    <row r="460">
      <c r="C460" s="1158" t="inlineStr">
        <is>
          <t>Vertical wheelchair lift, each</t>
        </is>
      </c>
      <c r="D460" s="1158" t="n">
        <v>17500</v>
      </c>
      <c r="E460" s="1158" t="n">
        <v>22200</v>
      </c>
      <c r="F460" s="1158" t="n">
        <v>28300</v>
      </c>
      <c r="G460" t="n">
        <v>36000</v>
      </c>
    </row>
    <row r="462">
      <c r="B462" s="1209" t="inlineStr">
        <is>
          <t>Section 15</t>
        </is>
      </c>
      <c r="C462" s="1209" t="inlineStr">
        <is>
          <t>Type</t>
        </is>
      </c>
      <c r="D462" s="1209" t="inlineStr">
        <is>
          <t>Low</t>
        </is>
      </c>
      <c r="E462" s="1209" t="inlineStr">
        <is>
          <t>Average</t>
        </is>
      </c>
      <c r="F462" s="1209" t="inlineStr">
        <is>
          <t>Good</t>
        </is>
      </c>
      <c r="G462" s="1210" t="inlineStr">
        <is>
          <t>Excellent</t>
        </is>
      </c>
    </row>
    <row r="463">
      <c r="C463" s="1158" t="inlineStr">
        <is>
          <t>Passenger, 2-3 story (base)</t>
        </is>
      </c>
      <c r="D463" s="1158" t="n">
        <v>67500</v>
      </c>
      <c r="E463" s="1158" t="n">
        <v>80000</v>
      </c>
      <c r="F463" s="1158" t="n">
        <v>94250</v>
      </c>
      <c r="G463" t="n">
        <v>111000</v>
      </c>
    </row>
    <row r="464">
      <c r="C464" s="1158" t="inlineStr">
        <is>
          <t>Passenger, 4-7 story (base)</t>
        </is>
      </c>
      <c r="D464" s="1158" t="n">
        <v>117000</v>
      </c>
      <c r="E464" s="1158" t="n">
        <v>134000</v>
      </c>
      <c r="F464" s="1158" t="n">
        <v>154000</v>
      </c>
      <c r="G464" t="n">
        <v>176000</v>
      </c>
    </row>
    <row r="465">
      <c r="C465" s="1158" t="inlineStr">
        <is>
          <t>Passenger, 8-story+ (base)</t>
        </is>
      </c>
      <c r="D465" s="1158" t="n">
        <v>179000</v>
      </c>
      <c r="E465" s="1158" t="n">
        <v>227000</v>
      </c>
      <c r="F465" s="1158" t="n">
        <v>285000</v>
      </c>
      <c r="G465" t="n">
        <v>362000</v>
      </c>
    </row>
    <row r="466">
      <c r="C466" s="1158" t="inlineStr">
        <is>
          <t>Passenger, per stop</t>
        </is>
      </c>
      <c r="D466" s="1158" t="n">
        <v>9350</v>
      </c>
      <c r="E466" s="1158" t="n">
        <v>10800</v>
      </c>
      <c r="F466" s="1158" t="n">
        <v>12500</v>
      </c>
      <c r="G466" t="n">
        <v>14300</v>
      </c>
    </row>
    <row r="467">
      <c r="C467" s="1158" t="inlineStr">
        <is>
          <t>Freight, 2-3 story (base)</t>
        </is>
      </c>
      <c r="D467" s="1158" t="n">
        <v>49800</v>
      </c>
      <c r="E467" s="1158" t="n">
        <v>66000</v>
      </c>
      <c r="F467" s="1158" t="n">
        <v>87500</v>
      </c>
      <c r="G467" t="n">
        <v>115000</v>
      </c>
    </row>
    <row r="468">
      <c r="C468" s="1158" t="inlineStr">
        <is>
          <t>Freight, 4-story+ (base)</t>
        </is>
      </c>
      <c r="D468" s="1158" t="n">
        <v>97500</v>
      </c>
      <c r="E468" s="1158" t="n">
        <v>123000</v>
      </c>
      <c r="F468" s="1158" t="n">
        <v>157000</v>
      </c>
      <c r="G468" t="n">
        <v>199000</v>
      </c>
    </row>
    <row r="469">
      <c r="C469" s="1158" t="inlineStr">
        <is>
          <t>Freight, per stop (manual doors)</t>
        </is>
      </c>
      <c r="D469" s="1158" t="n">
        <v>12600</v>
      </c>
      <c r="E469" s="1158" t="n">
        <v>13700</v>
      </c>
      <c r="F469" s="1158" t="n">
        <v>15100</v>
      </c>
      <c r="G469" t="n">
        <v>16400</v>
      </c>
    </row>
    <row r="470">
      <c r="C470" s="1158" t="inlineStr">
        <is>
          <t>Freight, per stop (power doors)</t>
        </is>
      </c>
      <c r="D470" s="1158" t="n">
        <v>22000</v>
      </c>
      <c r="E470" s="1158" t="n">
        <v>23900</v>
      </c>
      <c r="F470" s="1158" t="n">
        <v>26200</v>
      </c>
      <c r="G470" t="n">
        <v>28400</v>
      </c>
    </row>
    <row r="471">
      <c r="C471" s="1158" t="inlineStr">
        <is>
          <t>Escalator, per stairway</t>
        </is>
      </c>
      <c r="D471" s="1158" t="n">
        <v>262000</v>
      </c>
      <c r="E471" s="1158" t="n">
        <v>278000</v>
      </c>
      <c r="F471" s="1158" t="n">
        <v>296000</v>
      </c>
      <c r="G471" t="n">
        <v>315000</v>
      </c>
    </row>
    <row r="472">
      <c r="C472" s="1158" t="inlineStr">
        <is>
          <t>Vertical wheelchair lift, each</t>
        </is>
      </c>
      <c r="D472" s="1158" t="n">
        <v>18100</v>
      </c>
      <c r="E472" s="1158" t="n">
        <v>23300</v>
      </c>
      <c r="F472" s="1158" t="n">
        <v>30300</v>
      </c>
      <c r="G472" t="n">
        <v>39000</v>
      </c>
    </row>
    <row r="474">
      <c r="B474" s="1209" t="inlineStr">
        <is>
          <t>Section 11</t>
        </is>
      </c>
      <c r="C474" s="1209" t="inlineStr">
        <is>
          <t>Type</t>
        </is>
      </c>
      <c r="D474" s="1209" t="inlineStr">
        <is>
          <t>Low</t>
        </is>
      </c>
      <c r="E474" s="1209" t="inlineStr">
        <is>
          <t>Average</t>
        </is>
      </c>
      <c r="F474" s="1209" t="inlineStr">
        <is>
          <t>Good</t>
        </is>
      </c>
      <c r="G474" s="1210" t="inlineStr">
        <is>
          <t>Excellent</t>
        </is>
      </c>
    </row>
    <row r="475">
      <c r="C475" s="1158" t="inlineStr">
        <is>
          <t>Passenger, 2-3 story (base)</t>
        </is>
      </c>
      <c r="D475" s="1158" t="n">
        <v>67500</v>
      </c>
      <c r="E475" s="1158" t="n">
        <v>79500</v>
      </c>
      <c r="F475" s="1158" t="n">
        <v>93750</v>
      </c>
      <c r="G475" t="n">
        <v>110000</v>
      </c>
    </row>
    <row r="476">
      <c r="C476" s="1158" t="inlineStr">
        <is>
          <t>Passenger, 4-7 story (base)</t>
        </is>
      </c>
      <c r="D476" s="1158" t="n">
        <v>117000</v>
      </c>
      <c r="E476" s="1158" t="n">
        <v>135000</v>
      </c>
      <c r="F476" s="1158" t="n">
        <v>154000</v>
      </c>
      <c r="G476" t="n">
        <v>177000</v>
      </c>
    </row>
    <row r="477">
      <c r="C477" s="1158" t="inlineStr">
        <is>
          <t>Passenger, 8-story+ (base)</t>
        </is>
      </c>
      <c r="D477" s="1158" t="n">
        <v>180000</v>
      </c>
      <c r="E477" s="1158" t="n">
        <v>228000</v>
      </c>
      <c r="F477" s="1158" t="n">
        <v>287000</v>
      </c>
      <c r="G477" t="n">
        <v>363000</v>
      </c>
    </row>
    <row r="478">
      <c r="C478" s="1158" t="inlineStr">
        <is>
          <t>Passenger, per stop</t>
        </is>
      </c>
      <c r="D478" s="1158" t="n">
        <v>9700</v>
      </c>
      <c r="E478" s="1158" t="n">
        <v>11100</v>
      </c>
      <c r="F478" s="1158" t="n">
        <v>12800</v>
      </c>
      <c r="G478" t="n">
        <v>14700</v>
      </c>
    </row>
    <row r="479">
      <c r="C479" s="1158" t="inlineStr">
        <is>
          <t>Freight, 2-3 story (base)</t>
        </is>
      </c>
      <c r="D479" s="1158" t="n">
        <v>51000</v>
      </c>
      <c r="E479" s="1158" t="n">
        <v>67500</v>
      </c>
      <c r="F479" s="1158" t="n">
        <v>89000</v>
      </c>
      <c r="G479" t="n">
        <v>118000</v>
      </c>
    </row>
    <row r="480">
      <c r="C480" s="1158" t="inlineStr">
        <is>
          <t>Freight, 4-story+ (base)</t>
        </is>
      </c>
      <c r="D480" s="1158" t="n">
        <v>100000</v>
      </c>
      <c r="E480" s="1158" t="n">
        <v>126000</v>
      </c>
      <c r="F480" s="1158" t="n">
        <v>160000</v>
      </c>
      <c r="G480" t="n">
        <v>202000</v>
      </c>
    </row>
    <row r="481">
      <c r="C481" s="1158" t="inlineStr">
        <is>
          <t>Freight, per stop (manual doors)</t>
        </is>
      </c>
      <c r="D481" s="1158" t="n">
        <v>12900</v>
      </c>
      <c r="E481" s="1158" t="n">
        <v>14100</v>
      </c>
      <c r="F481" s="1158" t="n">
        <v>15300</v>
      </c>
      <c r="G481" t="n">
        <v>16700</v>
      </c>
    </row>
    <row r="482">
      <c r="C482" s="1158" t="inlineStr">
        <is>
          <t>Freight, per stop (power doors)</t>
        </is>
      </c>
      <c r="D482" s="1158" t="n">
        <v>22400</v>
      </c>
      <c r="E482" s="1158" t="n">
        <v>24400</v>
      </c>
      <c r="F482" s="1158" t="n">
        <v>26600</v>
      </c>
      <c r="G482" t="n">
        <v>29000</v>
      </c>
    </row>
    <row r="483">
      <c r="C483" s="1158" t="inlineStr">
        <is>
          <t>Escalator, per stairway</t>
        </is>
      </c>
      <c r="D483" s="1158" t="n">
        <v>260000</v>
      </c>
      <c r="E483" s="1158" t="n">
        <v>276000</v>
      </c>
      <c r="F483" s="1158" t="n">
        <v>294000</v>
      </c>
      <c r="G483" t="n">
        <v>312000</v>
      </c>
    </row>
    <row r="484">
      <c r="C484" s="1158" t="inlineStr">
        <is>
          <t>Vertical wheelchair lift, each</t>
        </is>
      </c>
      <c r="D484" s="1158" t="n">
        <v>17200</v>
      </c>
      <c r="E484" s="1158" t="n">
        <v>22300</v>
      </c>
      <c r="F484" s="1158" t="n">
        <v>29000</v>
      </c>
      <c r="G484" t="n">
        <v>37600</v>
      </c>
    </row>
    <row r="486">
      <c r="B486" s="1209" t="inlineStr">
        <is>
          <t>Section 13</t>
        </is>
      </c>
      <c r="C486" s="1209" t="inlineStr">
        <is>
          <t>Type</t>
        </is>
      </c>
      <c r="D486" s="1209" t="inlineStr">
        <is>
          <t>Low</t>
        </is>
      </c>
      <c r="E486" s="1209" t="inlineStr">
        <is>
          <t>Average</t>
        </is>
      </c>
      <c r="F486" s="1209" t="inlineStr">
        <is>
          <t>Good</t>
        </is>
      </c>
      <c r="G486" s="1210" t="inlineStr">
        <is>
          <t>Excellent</t>
        </is>
      </c>
    </row>
    <row r="487">
      <c r="C487" s="1158" t="inlineStr">
        <is>
          <t>Passenger, 2-3 story (base) [see Sec.14 sched.]</t>
        </is>
      </c>
      <c r="D487" s="1158" t="n">
        <v>66250</v>
      </c>
      <c r="E487" s="1158" t="n">
        <v>78000</v>
      </c>
      <c r="F487" s="1158" t="n">
        <v>92000</v>
      </c>
      <c r="G487" t="n">
        <v>108000</v>
      </c>
    </row>
    <row r="488">
      <c r="C488" s="1158" t="inlineStr">
        <is>
          <t>Passenger, per stop [see Sec.14 sched.]</t>
        </is>
      </c>
      <c r="D488" s="1158" t="n">
        <v>9650</v>
      </c>
      <c r="E488" s="1158" t="n">
        <v>11100</v>
      </c>
      <c r="F488" s="1158" t="n">
        <v>12700</v>
      </c>
      <c r="G488" t="n">
        <v>14600</v>
      </c>
    </row>
    <row r="491">
      <c r="B491" s="1207" t="inlineStr">
        <is>
          <t>REFERENCE 8 -- Current Cost Multipliers, by Region x Class x Calculator Section (MVS Sec.99 p.3, Jan 2025 insert). Colorado assumed WESTERN region.</t>
        </is>
      </c>
      <c r="C491" s="1208" t="n"/>
      <c r="D491" s="1208" t="n"/>
      <c r="E491" s="1208" t="n"/>
      <c r="F491" s="1208" t="n"/>
      <c r="G491" s="1208" t="n"/>
      <c r="H491" s="1208" t="n"/>
    </row>
    <row r="492">
      <c r="B492" s="1209" t="inlineStr">
        <is>
          <t>Region</t>
        </is>
      </c>
      <c r="C492" s="1209" t="inlineStr">
        <is>
          <t>Class</t>
        </is>
      </c>
      <c r="D492" s="1209" t="inlineStr">
        <is>
          <t>Sec.11</t>
        </is>
      </c>
      <c r="E492" s="1209" t="inlineStr">
        <is>
          <t>Sec.12</t>
        </is>
      </c>
      <c r="F492" s="1209" t="inlineStr">
        <is>
          <t>Sec.13</t>
        </is>
      </c>
      <c r="G492" s="1210" t="inlineStr">
        <is>
          <t>Sec.14</t>
        </is>
      </c>
      <c r="H492" s="1210" t="inlineStr">
        <is>
          <t>Sec.15</t>
        </is>
      </c>
      <c r="I492" s="1210" t="inlineStr">
        <is>
          <t>Sec.16</t>
        </is>
      </c>
      <c r="J492" s="1210" t="inlineStr">
        <is>
          <t>Sec.17</t>
        </is>
      </c>
      <c r="K492" s="1210" t="inlineStr">
        <is>
          <t>Sec.18</t>
        </is>
      </c>
    </row>
    <row r="493">
      <c r="B493" s="1158" t="inlineStr">
        <is>
          <t>EASTERN</t>
        </is>
      </c>
      <c r="C493" s="1158" t="inlineStr">
        <is>
          <t>A</t>
        </is>
      </c>
      <c r="D493" s="1160" t="n">
        <v>1.04</v>
      </c>
      <c r="E493" s="1160" t="n">
        <v>1.04</v>
      </c>
      <c r="F493" s="1160" t="n">
        <v>1.04</v>
      </c>
      <c r="G493" s="606" t="n">
        <v>1.02</v>
      </c>
      <c r="H493" s="606" t="n">
        <v>1.04</v>
      </c>
      <c r="I493" s="606" t="n">
        <v>1.06</v>
      </c>
      <c r="J493" s="606" t="n">
        <v>1.08</v>
      </c>
      <c r="K493" s="606" t="n">
        <v>1.1</v>
      </c>
    </row>
    <row r="494">
      <c r="B494" s="1158" t="inlineStr">
        <is>
          <t>EASTERN</t>
        </is>
      </c>
      <c r="C494" s="1158" t="inlineStr">
        <is>
          <t>B</t>
        </is>
      </c>
      <c r="D494" s="1160" t="n">
        <v>1.04</v>
      </c>
      <c r="E494" s="1160" t="n">
        <v>1.05</v>
      </c>
      <c r="F494" s="1160" t="n">
        <v>1.02</v>
      </c>
      <c r="G494" s="606" t="n">
        <v>1.04</v>
      </c>
      <c r="H494" s="606" t="n">
        <v>1.01</v>
      </c>
      <c r="I494" s="606" t="n">
        <v>1.02</v>
      </c>
      <c r="J494" s="606" t="n">
        <v>1.05</v>
      </c>
      <c r="K494" s="606" t="n">
        <v>1.07</v>
      </c>
    </row>
    <row r="495">
      <c r="B495" s="1158" t="inlineStr">
        <is>
          <t>EASTERN</t>
        </is>
      </c>
      <c r="C495" s="1158" t="inlineStr">
        <is>
          <t>C</t>
        </is>
      </c>
      <c r="D495" s="1160" t="n">
        <v>1.02</v>
      </c>
      <c r="E495" s="1160" t="n">
        <v>1.01</v>
      </c>
      <c r="F495" s="1160" t="n">
        <v>1.03</v>
      </c>
      <c r="G495" s="606" t="n">
        <v>1.03</v>
      </c>
      <c r="H495" s="606" t="n">
        <v>1.04</v>
      </c>
      <c r="I495" s="606" t="n">
        <v>1.05</v>
      </c>
      <c r="J495" s="606" t="n">
        <v>1.06</v>
      </c>
      <c r="K495" s="606" t="n">
        <v>1.01</v>
      </c>
    </row>
    <row r="496">
      <c r="B496" s="1158" t="inlineStr">
        <is>
          <t>EASTERN</t>
        </is>
      </c>
      <c r="C496" s="1158" t="inlineStr">
        <is>
          <t>D</t>
        </is>
      </c>
      <c r="D496" s="1160" t="n">
        <v>1.01</v>
      </c>
      <c r="E496" s="1160" t="n">
        <v>1.02</v>
      </c>
      <c r="F496" s="1160" t="n">
        <v>1.02</v>
      </c>
      <c r="G496" s="606" t="n">
        <v>1.01</v>
      </c>
      <c r="H496" s="606" t="n">
        <v>1.01</v>
      </c>
      <c r="I496" s="606" t="n">
        <v>1.02</v>
      </c>
      <c r="J496" s="606" t="n">
        <v>1</v>
      </c>
      <c r="K496" s="606" t="n">
        <v>0.99</v>
      </c>
    </row>
    <row r="497">
      <c r="B497" s="1158" t="inlineStr">
        <is>
          <t>EASTERN</t>
        </is>
      </c>
      <c r="C497" s="1158" t="inlineStr">
        <is>
          <t>S</t>
        </is>
      </c>
      <c r="D497" s="1160" t="n">
        <v>1.07</v>
      </c>
      <c r="E497" s="1160" t="n">
        <v>1.06</v>
      </c>
      <c r="F497" s="1160" t="n">
        <v>1.04</v>
      </c>
      <c r="G497" s="606" t="n">
        <v>1.03</v>
      </c>
      <c r="H497" s="606" t="n">
        <v>1.05</v>
      </c>
      <c r="I497" s="606" t="n">
        <v>1.02</v>
      </c>
      <c r="J497" s="606" t="n">
        <v>1.01</v>
      </c>
      <c r="K497" s="606" t="n">
        <v>1.05</v>
      </c>
    </row>
    <row r="498">
      <c r="B498" s="1158" t="inlineStr">
        <is>
          <t>CENTRAL</t>
        </is>
      </c>
      <c r="C498" s="1158" t="inlineStr">
        <is>
          <t>A</t>
        </is>
      </c>
      <c r="D498" s="1160" t="n">
        <v>0.99</v>
      </c>
      <c r="E498" s="1160" t="n">
        <v>0.98</v>
      </c>
      <c r="F498" s="1160" t="n">
        <v>0.98</v>
      </c>
      <c r="G498" s="606" t="n">
        <v>1</v>
      </c>
      <c r="H498" s="606" t="n">
        <v>1</v>
      </c>
      <c r="I498" s="606" t="n">
        <v>1.02</v>
      </c>
      <c r="J498" s="606" t="n">
        <v>1.02</v>
      </c>
      <c r="K498" s="606" t="n">
        <v>1.02</v>
      </c>
    </row>
    <row r="499">
      <c r="B499" s="1158" t="inlineStr">
        <is>
          <t>CENTRAL</t>
        </is>
      </c>
      <c r="C499" s="1158" t="inlineStr">
        <is>
          <t>B</t>
        </is>
      </c>
      <c r="D499" s="1160" t="n">
        <v>0.98</v>
      </c>
      <c r="E499" s="1160" t="n">
        <v>0.99</v>
      </c>
      <c r="F499" s="1160" t="n">
        <v>0.98</v>
      </c>
      <c r="G499" s="606" t="n">
        <v>0.99</v>
      </c>
      <c r="H499" s="606" t="n">
        <v>1.01</v>
      </c>
      <c r="I499" s="606" t="n">
        <v>0.99</v>
      </c>
      <c r="J499" s="606" t="n">
        <v>0.98</v>
      </c>
      <c r="K499" s="606" t="n">
        <v>0.99</v>
      </c>
    </row>
    <row r="500">
      <c r="B500" s="1158" t="inlineStr">
        <is>
          <t>CENTRAL</t>
        </is>
      </c>
      <c r="C500" s="1158" t="inlineStr">
        <is>
          <t>C</t>
        </is>
      </c>
      <c r="D500" s="1160" t="n">
        <v>0.99</v>
      </c>
      <c r="E500" s="1160" t="n">
        <v>0.99</v>
      </c>
      <c r="F500" s="1160"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1208" t="inlineStr">
        <is>
          <t>REFERENCE 9 -- Local Area Multipliers, Colorado (MVS Sec.99 p.7, Jan 2025 insert)</t>
        </is>
      </c>
      <c r="C509" s="1208" t="n"/>
      <c r="D509" s="1208" t="n"/>
      <c r="E509" s="1208" t="n"/>
      <c r="F509" s="1208" t="n"/>
      <c r="G509" s="1208" t="n"/>
      <c r="H509" s="1208" t="n"/>
    </row>
    <row r="510">
      <c r="B510" s="1210" t="inlineStr">
        <is>
          <t>City / Area</t>
        </is>
      </c>
      <c r="C510" s="1210" t="inlineStr">
        <is>
          <t>Class A</t>
        </is>
      </c>
      <c r="D510" s="1210" t="inlineStr">
        <is>
          <t>Class B</t>
        </is>
      </c>
      <c r="E510" s="1210" t="inlineStr">
        <is>
          <t>Class C</t>
        </is>
      </c>
      <c r="F510" s="1210" t="inlineStr">
        <is>
          <t>Class D</t>
        </is>
      </c>
      <c r="G510" s="1210"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1208" t="inlineStr">
        <is>
          <t>REFERENCE 10 -- Section 98 Denver-Specific Quarterly Cost Index (for De-Trend to Appraisal Date; Jan 2025 = 1.000)</t>
        </is>
      </c>
      <c r="C534" s="1208" t="n"/>
      <c r="D534" s="1208" t="n"/>
      <c r="E534" s="1208" t="n"/>
      <c r="F534" s="1208" t="n"/>
      <c r="G534" s="1208" t="n"/>
      <c r="H534" s="1208" t="n"/>
    </row>
    <row r="535">
      <c r="B535" s="1211" t="inlineStr">
        <is>
          <t>Do NOT combine with the Local Area Multiplier above -- Sec.98's district/city index is already geographically resolved to Denver (MVS explicit warning, Sec.98 p.1/p.5).</t>
        </is>
      </c>
    </row>
    <row r="536">
      <c r="B536" s="1210" t="inlineStr">
        <is>
          <t>Quarter</t>
        </is>
      </c>
      <c r="C536" s="1210" t="inlineStr">
        <is>
          <t>Class A</t>
        </is>
      </c>
      <c r="D536" s="1210" t="inlineStr">
        <is>
          <t>Class B</t>
        </is>
      </c>
      <c r="E536" s="1210" t="inlineStr">
        <is>
          <t>Class C</t>
        </is>
      </c>
      <c r="F536" s="1210" t="inlineStr">
        <is>
          <t>Class D</t>
        </is>
      </c>
      <c r="G536" s="1210"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1208" t="inlineStr">
        <is>
          <t>REFERENCE 11 -- Typical Building Life Expectancy, Years (MVS Sec.97 pp.10-13, verified exact transcription)</t>
        </is>
      </c>
      <c r="C551" s="1208" t="n"/>
      <c r="D551" s="1208" t="n"/>
      <c r="E551" s="1208" t="n"/>
      <c r="F551" s="1208" t="n"/>
      <c r="G551" s="1208" t="n"/>
      <c r="H551" s="1208" t="n"/>
    </row>
    <row r="552">
      <c r="B552" s="609" t="inlineStr">
        <is>
          <t>Some tiers are printed jointly in the manual (e.g. 'Good and Excellent') -- expanded below into one row per selectable Quality for lookup purposes; values are identical across the tiers the manual grouped together.</t>
        </is>
      </c>
    </row>
    <row r="553">
      <c r="B553" s="1210" t="inlineStr">
        <is>
          <t>Occupancy Name</t>
        </is>
      </c>
      <c r="C553" s="1210" t="inlineStr">
        <is>
          <t>Quality</t>
        </is>
      </c>
      <c r="D553" s="1210" t="inlineStr">
        <is>
          <t>Class A</t>
        </is>
      </c>
      <c r="E553" s="1210" t="inlineStr">
        <is>
          <t>Class B</t>
        </is>
      </c>
      <c r="F553" s="1210" t="inlineStr">
        <is>
          <t>Class C</t>
        </is>
      </c>
      <c r="G553" s="1210" t="inlineStr">
        <is>
          <t>Class D</t>
        </is>
      </c>
      <c r="H553" s="1210" t="inlineStr">
        <is>
          <t>Class S</t>
        </is>
      </c>
      <c r="I553" s="1210"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1208" t="inlineStr">
        <is>
          <t>REFERENCE 12 -- Depreciation Percent-Good Table, Commercial Properties (MVS Sec.97 p.24). Applies to Sections 11/13/14/15 per MVS's own 'Properties Included' key.</t>
        </is>
      </c>
      <c r="C625" s="1208" t="n"/>
      <c r="D625" s="1208" t="n"/>
      <c r="E625" s="1208" t="n"/>
      <c r="F625" s="1208" t="n"/>
      <c r="G625" s="1208" t="n"/>
      <c r="H625" s="1208" t="n"/>
    </row>
    <row r="626">
      <c r="B626" s="609" t="inlineStr">
        <is>
          <t>Blank cells = combination not tabulated in the manual (effective age exceeds what's charted for that life expectancy) -- treat as fully/near-fully depreciated; see Sec.97 salvage-value guidance.</t>
        </is>
      </c>
    </row>
    <row r="627">
      <c r="B627" s="1210" t="inlineStr">
        <is>
          <t>Effective Age (yrs) \ Typical Life (yrs) -&gt;</t>
        </is>
      </c>
      <c r="C627" s="1210" t="n">
        <v>70</v>
      </c>
      <c r="D627" s="1210" t="n">
        <v>60</v>
      </c>
      <c r="E627" s="1210" t="n">
        <v>55</v>
      </c>
      <c r="F627" s="1210" t="n">
        <v>50</v>
      </c>
      <c r="G627" s="1210" t="n">
        <v>45</v>
      </c>
      <c r="H627" s="1210" t="n">
        <v>40</v>
      </c>
      <c r="I627" s="1210" t="n">
        <v>35</v>
      </c>
      <c r="J627" s="1210" t="n">
        <v>30</v>
      </c>
      <c r="K627" s="1210" t="n">
        <v>25</v>
      </c>
      <c r="L627" s="1210"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1208" t="inlineStr">
        <is>
          <t>Notes</t>
        </is>
      </c>
      <c r="C675" s="1208" t="n"/>
      <c r="D675" s="1208" t="n"/>
      <c r="E675" s="1208" t="n"/>
      <c r="F675" s="1208" t="n"/>
      <c r="G675" s="1208" t="n"/>
      <c r="H675" s="1208"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Warehouses",IFERROR(INDEX(OCC_NAME,MATCH(Subj_OccCode,'M&amp;S Inputs'!$C$293:$C$310,0)),"No MVS cost data for OCC "&amp;Subj_OccCode&amp;" -- select manually"))</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IF($C$83&lt;&gt;"",$C$83,IFERROR(INDEX(OCC_STORY,MATCH($C$4,OCC_NAME,0)),""))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IFERROR(IF($C$9="14",INDEX(SPR14_VALS,MATCH($C$24,SPR14_SF,1),MATCH($C$14,SPR_HDR,0)),IF($C$9="13",INDEX(SPR13_VALS,MATCH($C$24,SPR13_SF,1),MATCH($C$14,SPR_HDR,0)),IF($C$9="15",INDEX(SPR15_VALS,MATCH($C$24,SPR15_SF,1),MATCH($C$14,SPR_HDR,0)),0))),0)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IFERROR(IF($C$9="14",INDEX(SH14_M,MATCH($C$11,SH14_H,1)),IF($C$9="13",INDEX(SH13_M,MATCH($C$11,SH13_H,1)),IF($C$9="15",INDEX(SH15_M,MATCH($C$11,SH15_H,1)),IF($C$9="11",INDEX(SH11_M,MATCH($C$11,SH11_H,1)),1)))),1)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"&amp;IF($C$6="CMILL","C",IF($C$6="DPOLE","D",IF($C$6="A-B","B",$C$6))),LIFE_CLASSHDR,0)),0))</f>
        <v/>
      </c>
      <c r="D59" s="612" t="n"/>
      <c r="E59" s="612" t="n"/>
      <c r="F59" s="612" t="n"/>
      <c r="G59" s="612" t="n"/>
      <c r="H59" s="612" t="n"/>
      <c r="I59" s="1165" t="inlineStr">
        <is>
          <t>MVS Sec.97 pp.10-13, by occupancy/quality/class.</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IF($C$59=0,0,IFERROR(INDEX(DEPR_VALUES,MATCH($C$58,DEPR_AGE,1),MATCH($C$59,DEPR_LIFEHDR,0))/100,"n/a -- age exceeds tabulated range; treat as fully depreciated per Sec.97 salvage guidance"))</f>
        <v/>
      </c>
      <c r="D60" s="612" t="n"/>
      <c r="E60" s="612" t="n"/>
      <c r="F60" s="918">
        <f>G51*C60</f>
        <v/>
      </c>
      <c r="G60" s="612" t="n"/>
      <c r="H60" s="612" t="n"/>
      <c r="I60" s="1165"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has verified cost data loaded for 18 occupancy types on the M&amp;S Inputs tab. For anything else (a church, school, restaurant, apartment building, etc.), the Base Cost and Life Expectancy are occupancy-specific numbers from the licensed MVS manual that aren't loaded here -- enter your own researched figures below and this calculator uses them automatically in place of the lookup. Everything else (multipliers, depreciation curve, site improvements, land, profit) already works for any building once these are filled in.</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IF($C$83="","",IF($C$83="11","Hotels/Motels",IF($C$83="13","Retail/Stores/Shopping Centers",IF($C$83="14","Industrial/Warehouse",IF($C$83="15","Office","")))))</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"70,60,55,50,45,40,35,30,25,20"</formula1>
    </dataValidation>
    <dataValidation sqref="C83" showDropDown="0" showInputMessage="0" showErrorMessage="1" allowBlank="1" type="list">
      <formula1>"11,13,14,15"</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D97706"/>
    <outlinePr summaryBelow="1" summaryRight="1"/>
    <pageSetUpPr/>
  </sheetPr>
  <dimension ref="A1:Q40"/>
  <sheetViews>
    <sheetView workbookViewId="0">
      <selection activeCell="A1" sqref="A1"/>
    </sheetView>
  </sheetViews>
  <sheetFormatPr baseColWidth="8" defaultRowHeight="15"/>
  <cols>
    <col width="29" customWidth="1" min="1" max="1"/>
    <col width="16" customWidth="1" min="2" max="2"/>
    <col width="16" customWidth="1" min="3" max="3"/>
    <col width="14" customWidth="1" min="4" max="4"/>
    <col width="16" customWidth="1" min="5" max="5"/>
    <col width="16" customWidth="1" min="6" max="6"/>
    <col width="16" customWidth="1" min="7" max="7"/>
    <col width="16" customWidth="1" min="8" max="8"/>
    <col width="3" customWidth="1" min="9" max="9"/>
    <col width="17" customWidth="1" min="10" max="10"/>
    <col width="32" customWidth="1" min="11" max="11"/>
    <col width="14" customWidth="1" min="12" max="12"/>
    <col width="14" customWidth="1" min="13" max="13"/>
    <col width="14" customWidth="1" min="14" max="14"/>
    <col width="14" customWidth="1" min="15" max="15"/>
    <col width="14" customWidth="1" min="16" max="16"/>
    <col width="14" customWidth="1" min="17" max="17"/>
  </cols>
  <sheetData>
    <row r="1" ht="34" customHeight="1">
      <c r="A1" s="935" t="inlineStr">
        <is>
          <t>Adams County, Colorado Property &amp; Development Resource Directory</t>
        </is>
      </c>
    </row>
    <row r="2" ht="34" customHeight="1"/>
    <row r="3" ht="28" customHeight="1">
      <c r="A3" s="936" t="inlineStr">
        <is>
          <t>County records, every municipality, unincorporated land-use resources, development monitoring, news, and a practical due-diligence workflow. Verified 2026-07-10.</t>
        </is>
      </c>
    </row>
    <row r="5">
      <c r="A5" s="937" t="inlineStr">
        <is>
          <t>Directory coverage</t>
        </is>
      </c>
      <c r="E5" s="937" t="inlineStr">
        <is>
          <t>How to use the directory</t>
        </is>
      </c>
      <c r="K5" s="937" t="inlineStr">
        <is>
          <t>Primary official starting points</t>
        </is>
      </c>
    </row>
    <row r="6" ht="30" customHeight="1">
      <c r="A6" s="938" t="inlineStr">
        <is>
          <t>Curated directory rows</t>
        </is>
      </c>
      <c r="B6" s="939">
        <f>COUNTA('Countywide Core'!$C$5:$C$500)+COUNTA('Municipal Directory'!$C$5:$C$500)+COUNTA('Meetings &amp; News'!$C$5:$C$500)+COUNTA('State &amp; Regional'!$C$5:$C$500)</f>
        <v/>
      </c>
      <c r="E6" s="940" t="inlineStr">
        <is>
          <t>1. Start with the county assessor search and capture the parcel/account number.</t>
        </is>
      </c>
      <c r="K6" s="938" t="inlineStr">
        <is>
          <t>Official municipality list</t>
        </is>
      </c>
      <c r="L6" s="941" t="inlineStr">
        <is>
          <t>https://adamscountyco.gov/about-adams-county/cities-towns/</t>
        </is>
      </c>
    </row>
    <row r="7" ht="30" customHeight="1">
      <c r="A7" s="938" t="inlineStr">
        <is>
          <t>Official-source rows</t>
        </is>
      </c>
      <c r="B7" s="939">
        <f>COUNTIF('Countywide Core'!$F$5:$F$500,"Yes")+COUNTIF('Municipal Directory'!$F$5:$F$500,"Yes")+COUNTIF('State &amp; Regional'!$F$5:$F$500,"Yes")+COUNTIF('Meetings &amp; News'!$E$5:$E$500,"Official")</f>
        <v/>
      </c>
      <c r="E7" s="942" t="inlineStr">
        <is>
          <t>2. Confirm the municipal boundary. A mailing city is not always the land-use jurisdiction.</t>
        </is>
      </c>
      <c r="K7" s="938" t="inlineStr">
        <is>
          <t>Adams County property search</t>
        </is>
      </c>
      <c r="L7" s="941" t="inlineStr">
        <is>
          <t>https://adamscountyco.gov/service/search-real-property/</t>
        </is>
      </c>
    </row>
    <row r="8" ht="30" customHeight="1">
      <c r="A8" s="938" t="inlineStr">
        <is>
          <t>Municipalities covered</t>
        </is>
      </c>
      <c r="B8" s="939" t="n">
        <v>10</v>
      </c>
      <c r="E8" s="940" t="inlineStr">
        <is>
          <t>3. Use county sources for assessor records, recorded deeds/documents, property taxes, tax liens and public-trustee foreclosure records for Adams County parcels.</t>
        </is>
      </c>
      <c r="K8" s="938" t="inlineStr">
        <is>
          <t>Recorded deed/document search</t>
        </is>
      </c>
      <c r="L8" s="941" t="inlineStr">
        <is>
          <t>https://recording.adamscountyco.gov/landmarkweb/</t>
        </is>
      </c>
    </row>
    <row r="9" ht="30" customHeight="1">
      <c r="A9" s="938" t="inlineStr">
        <is>
          <t>Unincorporated jurisdiction</t>
        </is>
      </c>
      <c r="B9" s="939" t="n">
        <v>1</v>
      </c>
      <c r="E9" s="942" t="inlineStr">
        <is>
          <t>4. Use the city or town for zoning, planning, development review, permits, local code, public hearings and municipal records; use Adams County for unincorporated land.</t>
        </is>
      </c>
      <c r="K9" s="938" t="inlineStr">
        <is>
          <t>Property tax portal</t>
        </is>
      </c>
      <c r="L9" s="941" t="inlineStr">
        <is>
          <t>https://adcotax.com/</t>
        </is>
      </c>
    </row>
    <row r="10" ht="30" customHeight="1">
      <c r="A10" s="938" t="inlineStr">
        <is>
          <t>Countywide core rows</t>
        </is>
      </c>
      <c r="B10" s="939">
        <f>COUNTA('Countywide Core'!$C$5:$C$500)</f>
        <v/>
      </c>
      <c r="E10" s="940" t="inlineStr">
        <is>
          <t>5. Save source documents and the date checked. Use public-notice and agenda pages to catch pending changes that may not yet appear on a project map.</t>
        </is>
      </c>
      <c r="K10" s="938" t="inlineStr">
        <is>
          <t>County GIS maps</t>
        </is>
      </c>
      <c r="L10" s="941" t="inlineStr">
        <is>
          <t>https://adamscountyco.gov/service/gis-interactive-maps/</t>
        </is>
      </c>
    </row>
    <row r="11">
      <c r="A11" s="938" t="inlineStr">
        <is>
          <t>Municipal detail rows</t>
        </is>
      </c>
      <c r="B11" s="939">
        <f>COUNTA('Municipal Directory'!$C$5:$C$500)</f>
        <v/>
      </c>
      <c r="K11" s="938" t="inlineStr">
        <is>
          <t>Unincorporated planning/zoning</t>
        </is>
      </c>
      <c r="L11" s="941" t="inlineStr">
        <is>
          <t>https://adamscountyco.gov/our-county/community-economic-development/planning-development/</t>
        </is>
      </c>
    </row>
    <row r="12">
      <c r="A12" s="938" t="inlineStr">
        <is>
          <t>Meeting / news rows</t>
        </is>
      </c>
      <c r="B12" s="939">
        <f>COUNTA('Meetings &amp; News'!$C$5:$C$500)</f>
        <v/>
      </c>
      <c r="E12" s="943" t="inlineStr">
        <is>
          <t>Scope and cautions</t>
        </is>
      </c>
      <c r="K12" s="938" t="inlineStr">
        <is>
          <t>Current county land-use cases</t>
        </is>
      </c>
      <c r="L12" s="941" t="inlineStr">
        <is>
          <t>https://adamscountyco.gov/our-county/community-economic-development/planning-development/current-land-use-cases/</t>
        </is>
      </c>
    </row>
    <row r="13" ht="30" customHeight="1">
      <c r="A13" s="938" t="inlineStr">
        <is>
          <t>State / regional rows</t>
        </is>
      </c>
      <c r="B13" s="939">
        <f>COUNTA('State &amp; Regional'!$C$5:$C$500)</f>
        <v/>
      </c>
      <c r="E13" s="944" t="inlineStr">
        <is>
          <t>GIS parcel lines and mapped layers are screening tools, not legal surveys or title evidence.</t>
        </is>
      </c>
      <c r="K13" s="938" t="inlineStr">
        <is>
          <t>Municipality quick matrix</t>
        </is>
      </c>
      <c r="L13" s="941" t="inlineStr">
        <is>
          <t>See the Quick Matrix worksheet</t>
        </is>
      </c>
    </row>
    <row r="14" ht="30" customHeight="1">
      <c r="A14" s="938" t="inlineStr">
        <is>
          <t>Due-diligence tasks</t>
        </is>
      </c>
      <c r="B14" s="939">
        <f>COUNTA('Due Diligence'!$A$5:$A$100)</f>
        <v/>
      </c>
      <c r="E14" s="945" t="inlineStr">
        <is>
          <t>Codes, maps, fees and project statuses change. Verify material conclusions with the responsible agency.</t>
        </is>
      </c>
    </row>
    <row r="15" ht="30" customHeight="1">
      <c r="A15" s="938" t="inlineStr">
        <is>
          <t>Tasks complete</t>
        </is>
      </c>
      <c r="B15" s="939">
        <f>COUNTIF('Due Diligence'!$H$5:$H$100,"Complete")</f>
        <v/>
      </c>
      <c r="E15" s="944" t="inlineStr">
        <is>
          <t>Online recorder searching is not a substitute for a title commitment, legal review or a complete chain-of-title examination.</t>
        </is>
      </c>
    </row>
    <row r="16" ht="30" customHeight="1">
      <c r="A16" s="938" t="inlineStr">
        <is>
          <t>Checklist completion</t>
        </is>
      </c>
      <c r="B16" s="946">
        <f>IF(B14=0,0,B15/B14)</f>
        <v/>
      </c>
      <c r="E16" s="945" t="inlineStr">
        <is>
          <t>Several listed cities/towns extend beyond Adams County. Confirm the parcel's county before using recorder, assessor or tax systems.</t>
        </is>
      </c>
    </row>
    <row r="19">
      <c r="A19" s="947" t="inlineStr">
        <is>
          <t>Recommended research workflow</t>
        </is>
      </c>
      <c r="J19" s="948" t="inlineStr">
        <is>
          <t>Detailed resources by jurisdiction</t>
        </is>
      </c>
    </row>
    <row r="20">
      <c r="A20" s="949" t="inlineStr">
        <is>
          <t>Step</t>
        </is>
      </c>
      <c r="B20" s="949" t="inlineStr">
        <is>
          <t>Question</t>
        </is>
      </c>
      <c r="E20" s="949" t="n"/>
      <c r="G20" s="949" t="n"/>
      <c r="J20" s="950" t="inlineStr">
        <is>
          <t>Municipality</t>
        </is>
      </c>
      <c r="K20" s="950" t="inlineStr">
        <is>
          <t>Resources</t>
        </is>
      </c>
    </row>
    <row r="21" ht="22" customHeight="1">
      <c r="A21" s="951" t="n">
        <v>1</v>
      </c>
      <c r="B21" s="952" t="inlineStr">
        <is>
          <t>What exact parcel is this?</t>
        </is>
      </c>
      <c r="E21" s="952" t="n"/>
      <c r="G21" s="952" t="n"/>
      <c r="J21" s="953" t="inlineStr">
        <is>
          <t>Arvada</t>
        </is>
      </c>
      <c r="K21" s="954">
        <f>COUNTIF('Municipal Directory'!$A$5:$A$500,J21)</f>
        <v/>
      </c>
    </row>
    <row r="22" ht="22" customHeight="1">
      <c r="A22" s="951" t="n">
        <v>2</v>
      </c>
      <c r="B22" s="952" t="inlineStr">
        <is>
          <t>Which county and land-use jurisdiction apply?</t>
        </is>
      </c>
      <c r="E22" s="952" t="n"/>
      <c r="G22" s="952" t="n"/>
      <c r="J22" s="953" t="inlineStr">
        <is>
          <t>Aurora</t>
        </is>
      </c>
      <c r="K22" s="954">
        <f>COUNTIF('Municipal Directory'!$A$5:$A$500,J22)</f>
        <v/>
      </c>
    </row>
    <row r="23" ht="22" customHeight="1">
      <c r="A23" s="951" t="n">
        <v>3</v>
      </c>
      <c r="B23" s="952" t="inlineStr">
        <is>
          <t>Who owns it and what is the legal description?</t>
        </is>
      </c>
      <c r="E23" s="952" t="n"/>
      <c r="G23" s="952" t="n"/>
      <c r="J23" s="953" t="inlineStr">
        <is>
          <t>Bennett</t>
        </is>
      </c>
      <c r="K23" s="954">
        <f>COUNTIF('Municipal Directory'!$A$5:$A$500,J23)</f>
        <v/>
      </c>
    </row>
    <row r="24" ht="22" customHeight="1">
      <c r="A24" s="951" t="n">
        <v>4</v>
      </c>
      <c r="B24" s="952" t="inlineStr">
        <is>
          <t>What recorded interests affect it?</t>
        </is>
      </c>
      <c r="E24" s="952" t="n"/>
      <c r="G24" s="952" t="n"/>
      <c r="J24" s="953" t="inlineStr">
        <is>
          <t>Brighton</t>
        </is>
      </c>
      <c r="K24" s="954">
        <f>COUNTIF('Municipal Directory'!$A$5:$A$500,J24)</f>
        <v/>
      </c>
    </row>
    <row r="25" ht="22" customHeight="1">
      <c r="A25" s="951" t="n">
        <v>5</v>
      </c>
      <c r="B25" s="952" t="inlineStr">
        <is>
          <t>Are taxes, tax liens or foreclosure issues present?</t>
        </is>
      </c>
      <c r="E25" s="952" t="n"/>
      <c r="G25" s="952" t="n"/>
      <c r="J25" s="953" t="inlineStr">
        <is>
          <t>Commerce City</t>
        </is>
      </c>
      <c r="K25" s="954">
        <f>COUNTIF('Municipal Directory'!$A$5:$A$500,J25)</f>
        <v/>
      </c>
    </row>
    <row r="26" ht="22" customHeight="1">
      <c r="A26" s="951" t="n">
        <v>6</v>
      </c>
      <c r="B26" s="952" t="inlineStr">
        <is>
          <t>What zoning, uses and overlays apply?</t>
        </is>
      </c>
      <c r="E26" s="952" t="n"/>
      <c r="G26" s="952" t="n"/>
      <c r="J26" s="953" t="inlineStr">
        <is>
          <t>Federal Heights</t>
        </is>
      </c>
      <c r="K26" s="954">
        <f>COUNTIF('Municipal Directory'!$A$5:$A$500,J26)</f>
        <v/>
      </c>
    </row>
    <row r="27" ht="22" customHeight="1">
      <c r="A27" s="951" t="n">
        <v>7</v>
      </c>
      <c r="B27" s="952" t="inlineStr">
        <is>
          <t>What projects or hearings may change the area?</t>
        </is>
      </c>
      <c r="E27" s="952" t="n"/>
      <c r="G27" s="952" t="n"/>
      <c r="J27" s="953" t="inlineStr">
        <is>
          <t>Lochbuie</t>
        </is>
      </c>
      <c r="K27" s="954">
        <f>COUNTIF('Municipal Directory'!$A$5:$A$500,J27)</f>
        <v/>
      </c>
    </row>
    <row r="28" ht="22" customHeight="1">
      <c r="A28" s="951" t="n">
        <v>8</v>
      </c>
      <c r="B28" s="952" t="inlineStr">
        <is>
          <t>What permits and violations exist?</t>
        </is>
      </c>
      <c r="E28" s="952" t="n"/>
      <c r="G28" s="952" t="n"/>
      <c r="J28" s="953" t="inlineStr">
        <is>
          <t>Northglenn</t>
        </is>
      </c>
      <c r="K28" s="954">
        <f>COUNTIF('Municipal Directory'!$A$5:$A$500,J28)</f>
        <v/>
      </c>
    </row>
    <row r="29" ht="22" customHeight="1">
      <c r="A29" s="951" t="n">
        <v>9</v>
      </c>
      <c r="B29" s="952" t="inlineStr">
        <is>
          <t>What physical and environmental constraints exist?</t>
        </is>
      </c>
      <c r="E29" s="952" t="n"/>
      <c r="G29" s="952" t="n"/>
      <c r="J29" s="953" t="inlineStr">
        <is>
          <t>Thornton</t>
        </is>
      </c>
      <c r="K29" s="954">
        <f>COUNTIF('Municipal Directory'!$A$5:$A$500,J29)</f>
        <v/>
      </c>
    </row>
    <row r="30" ht="22" customHeight="1">
      <c r="A30" s="951" t="n">
        <v>10</v>
      </c>
      <c r="B30" s="952" t="inlineStr">
        <is>
          <t>What service, access and district costs apply?</t>
        </is>
      </c>
      <c r="E30" s="952" t="n"/>
      <c r="G30" s="952" t="n"/>
      <c r="J30" s="953" t="inlineStr">
        <is>
          <t>Westminster</t>
        </is>
      </c>
      <c r="K30" s="954">
        <f>COUNTIF('Municipal Directory'!$A$5:$A$500,J30)</f>
        <v/>
      </c>
    </row>
    <row r="31" ht="36" customHeight="1">
      <c r="A31" s="951" t="n">
        <v>11</v>
      </c>
      <c r="B31" s="952" t="inlineStr">
        <is>
          <t>What final professional confirmations are needed?</t>
        </is>
      </c>
      <c r="E31" s="952" t="n"/>
      <c r="G31" s="952" t="n"/>
    </row>
    <row r="34">
      <c r="A34" s="947" t="inlineStr">
        <is>
          <t>What each worksheet contains</t>
        </is>
      </c>
    </row>
    <row r="35" ht="30" customHeight="1">
      <c r="A35" s="955" t="inlineStr">
        <is>
          <t>Quick Matrix</t>
        </is>
      </c>
      <c r="B35" s="956" t="inlineStr">
        <is>
          <t>One row for unincorporated Adams County plus every municipality, with direct links for GIS, zoning, planning, development, permits, plans, agendas, notices and news.</t>
        </is>
      </c>
    </row>
    <row r="36" ht="30" customHeight="1">
      <c r="A36" s="955" t="inlineStr">
        <is>
          <t>Countywide Core</t>
        </is>
      </c>
      <c r="B36" s="956" t="inlineStr">
        <is>
          <t>Assessor/property search, recorded deeds and documents, survey plats, taxes, tax liens, foreclosure, GIS, county planning, permits and public works.</t>
        </is>
      </c>
    </row>
    <row r="37" ht="30" customHeight="1">
      <c r="A37" s="955" t="inlineStr">
        <is>
          <t>Municipal Directory</t>
        </is>
      </c>
      <c r="B37" s="956" t="inlineStr">
        <is>
          <t>Detailed, filterable city/town resources for all 10 municipalities with territory in Adams County.</t>
        </is>
      </c>
    </row>
    <row r="38" ht="30" customHeight="1">
      <c r="A38" s="955" t="inlineStr">
        <is>
          <t>Meetings &amp; News</t>
        </is>
      </c>
      <c r="B38" s="956" t="inlineStr">
        <is>
          <t>Agendas, land-use cases, legal/public notices, alerts, official news and selected independent local media.</t>
        </is>
      </c>
    </row>
    <row r="39" ht="30" customHeight="1">
      <c r="A39" s="955" t="inlineStr">
        <is>
          <t>State &amp; Regional</t>
        </is>
      </c>
      <c r="B39" s="956" t="inlineStr">
        <is>
          <t>Special districts, business/UCC, water, oil and gas, flood, environmental, soils, wetlands, transportation, historic and HOA resources.</t>
        </is>
      </c>
    </row>
    <row r="40" ht="30" customHeight="1">
      <c r="A40" s="955" t="inlineStr">
        <is>
          <t>Due Diligence</t>
        </is>
      </c>
      <c r="B40" s="956" t="inlineStr">
        <is>
          <t>A 32-step editable checklist with status drop-downs, evidence to save and red flags.</t>
        </is>
      </c>
    </row>
  </sheetData>
  <mergeCells count="79">
    <mergeCell ref="G21:H21"/>
    <mergeCell ref="E12:I12"/>
    <mergeCell ref="A34:Q34"/>
    <mergeCell ref="B40:Q40"/>
    <mergeCell ref="E23:F23"/>
    <mergeCell ref="J19:K19"/>
    <mergeCell ref="E5:I5"/>
    <mergeCell ref="L8:Q8"/>
    <mergeCell ref="G23:H23"/>
    <mergeCell ref="E14:I14"/>
    <mergeCell ref="B12:C12"/>
    <mergeCell ref="B28:D28"/>
    <mergeCell ref="L10:Q10"/>
    <mergeCell ref="B35:Q35"/>
    <mergeCell ref="E13:I13"/>
    <mergeCell ref="B14:C14"/>
    <mergeCell ref="B30:D30"/>
    <mergeCell ref="B20:D20"/>
    <mergeCell ref="B13:C13"/>
    <mergeCell ref="E15:I15"/>
    <mergeCell ref="A3:Q3"/>
    <mergeCell ref="E27:F27"/>
    <mergeCell ref="G20:H20"/>
    <mergeCell ref="E7:I7"/>
    <mergeCell ref="E16:I16"/>
    <mergeCell ref="E22:F22"/>
    <mergeCell ref="G22:H22"/>
    <mergeCell ref="L12:Q12"/>
    <mergeCell ref="B37:Q37"/>
    <mergeCell ref="B16:C16"/>
    <mergeCell ref="A5:C5"/>
    <mergeCell ref="B11:C11"/>
    <mergeCell ref="K5:Q5"/>
    <mergeCell ref="E6:I6"/>
    <mergeCell ref="G24:H24"/>
    <mergeCell ref="E26:F26"/>
    <mergeCell ref="G26:H26"/>
    <mergeCell ref="B6:C6"/>
    <mergeCell ref="B15:C15"/>
    <mergeCell ref="B31:D31"/>
    <mergeCell ref="E25:F25"/>
    <mergeCell ref="G25:H25"/>
    <mergeCell ref="B21:D21"/>
    <mergeCell ref="B7:C7"/>
    <mergeCell ref="B23:D23"/>
    <mergeCell ref="E8:I8"/>
    <mergeCell ref="E20:F20"/>
    <mergeCell ref="E29:F29"/>
    <mergeCell ref="E10:I10"/>
    <mergeCell ref="E31:F31"/>
    <mergeCell ref="E9:I9"/>
    <mergeCell ref="L6:Q6"/>
    <mergeCell ref="B9:C9"/>
    <mergeCell ref="B25:D25"/>
    <mergeCell ref="L7:Q7"/>
    <mergeCell ref="B22:D22"/>
    <mergeCell ref="A19:H19"/>
    <mergeCell ref="E24:F24"/>
    <mergeCell ref="G27:H27"/>
    <mergeCell ref="B29:D29"/>
    <mergeCell ref="B36:Q36"/>
    <mergeCell ref="E28:F28"/>
    <mergeCell ref="L9:Q9"/>
    <mergeCell ref="G28:H28"/>
    <mergeCell ref="B8:C8"/>
    <mergeCell ref="B24:D24"/>
    <mergeCell ref="E30:F30"/>
    <mergeCell ref="L11:Q11"/>
    <mergeCell ref="G30:H30"/>
    <mergeCell ref="B10:C10"/>
    <mergeCell ref="B26:D26"/>
    <mergeCell ref="B39:Q39"/>
    <mergeCell ref="A1:Q2"/>
    <mergeCell ref="G29:H29"/>
    <mergeCell ref="B27:D27"/>
    <mergeCell ref="L13:Q13"/>
    <mergeCell ref="G31:H31"/>
    <mergeCell ref="B38:Q38"/>
    <mergeCell ref="E21:F21"/>
  </mergeCells>
  <pageMargins left="0.75" right="0.75" top="1" bottom="1" header="0.5" footer="0.5"/>
</worksheet>
</file>

<file path=xl/worksheets/sheet17.xml><?xml version="1.0" encoding="utf-8"?>
<worksheet xmlns="http://schemas.openxmlformats.org/spreadsheetml/2006/main">
  <sheetPr>
    <tabColor rgb="00D97706"/>
    <outlinePr summaryBelow="1" summaryRight="1"/>
    <pageSetUpPr/>
  </sheetPr>
  <dimension ref="A1:M15"/>
  <sheetViews>
    <sheetView workbookViewId="0">
      <selection activeCell="A1" sqref="A1"/>
    </sheetView>
  </sheetViews>
  <sheetFormatPr baseColWidth="8" defaultRowHeight="15"/>
  <cols>
    <col width="29" customWidth="1" min="1" max="1"/>
    <col width="21" customWidth="1" min="2" max="2"/>
    <col width="3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s>
  <sheetData>
    <row r="1" ht="32" customHeight="1">
      <c r="A1" s="957" t="inlineStr">
        <is>
          <t>Adams County Jurisdiction Quick Matrix</t>
        </is>
      </c>
    </row>
    <row r="2" ht="28" customHeight="1">
      <c r="A2" s="958" t="inlineStr">
        <is>
          <t>Direct official links by jurisdiction. Begin here after confirming the parcel's county and municipal boundary.</t>
        </is>
      </c>
    </row>
    <row r="4" ht="30" customHeight="1">
      <c r="A4" s="959" t="inlineStr">
        <is>
          <t>Jurisdiction</t>
        </is>
      </c>
      <c r="B4" s="959" t="inlineStr">
        <is>
          <t>Type</t>
        </is>
      </c>
      <c r="C4" s="959" t="inlineStr">
        <is>
          <t>Official Home</t>
        </is>
      </c>
      <c r="D4" s="1187" t="inlineStr">
        <is>
          <t>Property / GIS</t>
        </is>
      </c>
      <c r="E4" s="1187" t="inlineStr">
        <is>
          <t>Zoning / Code</t>
        </is>
      </c>
      <c r="F4" s="1187" t="inlineStr">
        <is>
          <t>Planning</t>
        </is>
      </c>
      <c r="G4" s="1187" t="inlineStr">
        <is>
          <t>Development / Projects</t>
        </is>
      </c>
      <c r="H4" s="1187" t="inlineStr">
        <is>
          <t>Permits</t>
        </is>
      </c>
      <c r="I4" s="1187" t="inlineStr">
        <is>
          <t>Long-Range Plan</t>
        </is>
      </c>
      <c r="J4" s="1187" t="inlineStr">
        <is>
          <t>Agendas / Meetings</t>
        </is>
      </c>
      <c r="K4" s="1187" t="inlineStr">
        <is>
          <t>Public Notices</t>
        </is>
      </c>
      <c r="L4" s="1187" t="inlineStr">
        <is>
          <t>News</t>
        </is>
      </c>
      <c r="M4" s="1187" t="inlineStr">
        <is>
          <t>Boundary / Use Note</t>
        </is>
      </c>
    </row>
    <row r="5" ht="54" customHeight="1">
      <c r="A5" s="952" t="inlineStr">
        <is>
          <t>Unincorporated Adams County</t>
        </is>
      </c>
      <c r="B5" s="952" t="inlineStr">
        <is>
          <t>County jurisdiction</t>
        </is>
      </c>
      <c r="C5" s="960" t="inlineStr">
        <is>
          <t>https://adamscountyco.gov/</t>
        </is>
      </c>
      <c r="D5" s="1188" t="inlineStr">
        <is>
          <t>https://adamscountyco.gov/service/gis-interactive-maps/</t>
        </is>
      </c>
      <c r="E5" s="1188" t="inlineStr">
        <is>
          <t>https://adamscountyco.gov/our-county/community-economic-development/planning-development/development-standards-regulations/</t>
        </is>
      </c>
      <c r="F5" s="1188" t="inlineStr">
        <is>
          <t>https://adamscountyco.gov/our-county/community-economic-development/planning-development/</t>
        </is>
      </c>
      <c r="G5" s="1188" t="inlineStr">
        <is>
          <t>https://adamscountyco.gov/our-county/community-economic-development/planning-development/current-land-use-cases/</t>
        </is>
      </c>
      <c r="H5" s="1188" t="inlineStr">
        <is>
          <t>https://adamscountyco.gov/our-county/community-economic-development/building-safety/building-permit/</t>
        </is>
      </c>
      <c r="I5" s="1188" t="inlineStr">
        <is>
          <t>https://adamscountyco.gov/our-county/community-economic-development/advancing-adams/comprehensive-plan/</t>
        </is>
      </c>
      <c r="J5" s="1188" t="inlineStr">
        <is>
          <t>https://adamscountyco.gov/about-adams-county/public-meetings/</t>
        </is>
      </c>
      <c r="K5" s="1189" t="inlineStr">
        <is>
          <t>https://adamscountyco.gov/our-county/community-economic-development/planning-development/current-land-use-cases/</t>
        </is>
      </c>
      <c r="L5" s="1189" t="inlineStr">
        <is>
          <t>https://adamscountyco.gov/about-adams-county/news/</t>
        </is>
      </c>
      <c r="M5" s="952" t="inlineStr">
        <is>
          <t>Use county land-use and permit resources only when the parcel is outside an incorporated city or town.</t>
        </is>
      </c>
    </row>
    <row r="6" ht="54" customHeight="1">
      <c r="A6" s="952" t="inlineStr">
        <is>
          <t>Arvada</t>
        </is>
      </c>
      <c r="B6" s="952" t="inlineStr">
        <is>
          <t>City</t>
        </is>
      </c>
      <c r="C6" s="960" t="inlineStr">
        <is>
          <t>https://www.arvadaco.gov/</t>
        </is>
      </c>
      <c r="D6" s="1188" t="inlineStr">
        <is>
          <t>https://www.arvadaco.gov/702/Maps-and-Property-Search</t>
        </is>
      </c>
      <c r="E6" s="1188" t="inlineStr">
        <is>
          <t>https://www.arvadaco.gov/168/Zoning</t>
        </is>
      </c>
      <c r="F6" s="1188" t="inlineStr">
        <is>
          <t>https://www.arvadaco.gov/1369/Planning-and-Development</t>
        </is>
      </c>
      <c r="G6" s="1188" t="inlineStr">
        <is>
          <t>https://www.arvadaco.gov/1394/Active-Development-Projects</t>
        </is>
      </c>
      <c r="H6" s="1188" t="inlineStr">
        <is>
          <t>https://www.arvadaco.gov/330/Permits</t>
        </is>
      </c>
      <c r="I6" s="1188" t="inlineStr">
        <is>
          <t>https://www.arvadaco.gov/1374/2026-27-Comprehensive-Plan</t>
        </is>
      </c>
      <c r="J6" s="1188" t="inlineStr">
        <is>
          <t>https://www.arvadaco.gov/AgendaCenter</t>
        </is>
      </c>
      <c r="K6" s="1189" t="inlineStr">
        <is>
          <t>https://www.arvadaco.gov/245/Meetings-and-Other-Legal-Notices</t>
        </is>
      </c>
      <c r="L6" s="1189" t="inlineStr">
        <is>
          <t>https://www.arvadaco.gov/908/News-Releases</t>
        </is>
      </c>
      <c r="M6" s="952" t="inlineStr">
        <is>
          <t>Use city land-use resources for the Arvada parcel; use the recorder/assessor for the parcel's actual county.</t>
        </is>
      </c>
    </row>
    <row r="7" ht="54" customHeight="1">
      <c r="A7" s="952" t="inlineStr">
        <is>
          <t>Aurora</t>
        </is>
      </c>
      <c r="B7" s="952" t="inlineStr">
        <is>
          <t>City</t>
        </is>
      </c>
      <c r="C7" s="960" t="inlineStr">
        <is>
          <t>https://www.auroragov.org/</t>
        </is>
      </c>
      <c r="D7" s="1188" t="inlineStr">
        <is>
          <t>https://www.auroragov.org/city_hall/maps/planning_and_zoning_maps</t>
        </is>
      </c>
      <c r="E7" s="1188" t="inlineStr">
        <is>
          <t>https://zoning.auroragov.org/</t>
        </is>
      </c>
      <c r="F7" s="1188" t="inlineStr">
        <is>
          <t>https://www.auroragov.org/business_services/planning</t>
        </is>
      </c>
      <c r="G7" s="1188" t="inlineStr">
        <is>
          <t>https://coaapps.auroragov.org/ProjectStatus/search.aspx</t>
        </is>
      </c>
      <c r="H7" s="1188" t="inlineStr">
        <is>
          <t>https://www.auroragov.org/business_services/building_division/permits</t>
        </is>
      </c>
      <c r="I7" s="1188" t="inlineStr">
        <is>
          <t>https://www.auroragov.org/business_services/planning/projects__plans___studies/comprehensive_plan</t>
        </is>
      </c>
      <c r="J7" s="1188" t="inlineStr">
        <is>
          <t>https://www.auroragov.org/city_hall/mayor___city_council/council_meetings</t>
        </is>
      </c>
      <c r="K7" s="1189" t="inlineStr">
        <is>
          <t>https://www.auroragov.org/city_hall/public_records/legal_notices/public_hearings</t>
        </is>
      </c>
      <c r="L7" s="1189" t="inlineStr">
        <is>
          <t>https://www.auroragov.org/news/whats_new</t>
        </is>
      </c>
      <c r="M7" s="952" t="inlineStr">
        <is>
          <t>Use these links for Aurora parcels in Adams County; verify county before deed, tax or assessor research.</t>
        </is>
      </c>
    </row>
    <row r="8" ht="54" customHeight="1">
      <c r="A8" s="952" t="inlineStr">
        <is>
          <t>Bennett</t>
        </is>
      </c>
      <c r="B8" s="952" t="inlineStr">
        <is>
          <t>Town</t>
        </is>
      </c>
      <c r="C8" s="960" t="inlineStr">
        <is>
          <t>https://www.bennettco.gov/</t>
        </is>
      </c>
      <c r="D8" s="1188" t="inlineStr">
        <is>
          <t>https://www.bennettco.gov/business/page/bennett-zoning-map</t>
        </is>
      </c>
      <c r="E8" s="1188" t="inlineStr">
        <is>
          <t>https://www.bennettco.gov/planning-economic-development/page/zoning-and-subdivision-regulations</t>
        </is>
      </c>
      <c r="F8" s="1188" t="inlineStr">
        <is>
          <t>https://www.bennettco.gov/planning-economic-development/page/planning-and-zoning</t>
        </is>
      </c>
      <c r="G8" s="1188" t="inlineStr">
        <is>
          <t>https://www.bennettco.gov/projects</t>
        </is>
      </c>
      <c r="H8" s="1188" t="inlineStr">
        <is>
          <t>https://www.bennettco.gov/community-development/page/building-department</t>
        </is>
      </c>
      <c r="I8" s="1188" t="inlineStr">
        <is>
          <t>https://www.bennettco.gov/planning-economic-development/page/master-plans-and-guiding-documents</t>
        </is>
      </c>
      <c r="J8" s="1188" t="inlineStr">
        <is>
          <t>https://www.bennettco.gov/meetings/recent</t>
        </is>
      </c>
      <c r="K8" s="1189" t="inlineStr">
        <is>
          <t>https://www.bennettco.gov/town-clerk/page/public-records</t>
        </is>
      </c>
      <c r="L8" s="1189" t="inlineStr">
        <is>
          <t>https://www.bennettco.gov/news</t>
        </is>
      </c>
      <c r="M8" s="952" t="inlineStr">
        <is>
          <t>Use town land-use resources; confirm parcel county for assessor, deed and tax records.</t>
        </is>
      </c>
    </row>
    <row r="9" ht="54" customHeight="1">
      <c r="A9" s="952" t="inlineStr">
        <is>
          <t>Brighton</t>
        </is>
      </c>
      <c r="B9" s="952" t="inlineStr">
        <is>
          <t>City</t>
        </is>
      </c>
      <c r="C9" s="960" t="inlineStr">
        <is>
          <t>https://www.brightonco.gov/</t>
        </is>
      </c>
      <c r="D9" s="1188" t="inlineStr">
        <is>
          <t>https://www.brightonco.gov/248/Geographic-Information-Systems</t>
        </is>
      </c>
      <c r="E9" s="1188" t="inlineStr">
        <is>
          <t>https://www.brightonco.gov/363/Land-Use-Development-Code</t>
        </is>
      </c>
      <c r="F9" s="1188" t="inlineStr">
        <is>
          <t>https://www.brightonco.gov/224/Planning-Zoning</t>
        </is>
      </c>
      <c r="G9" s="1188" t="inlineStr">
        <is>
          <t>https://www.brightonco.gov/1596/Interactive-Development-Map</t>
        </is>
      </c>
      <c r="H9" s="1188" t="inlineStr">
        <is>
          <t>https://www.brightonco.gov/222/Permitting</t>
        </is>
      </c>
      <c r="I9" s="1188" t="inlineStr">
        <is>
          <t>https://www.brightonco.gov/553/Long-Range-Planning</t>
        </is>
      </c>
      <c r="J9" s="1188" t="inlineStr">
        <is>
          <t>https://www.brightonco.gov/agendacenter</t>
        </is>
      </c>
      <c r="K9" s="1189" t="inlineStr">
        <is>
          <t>https://www.brightonco.gov/453/Legal-Notices</t>
        </is>
      </c>
      <c r="L9" s="1189" t="inlineStr">
        <is>
          <t>https://www.brightonco.gov/175/News</t>
        </is>
      </c>
      <c r="M9" s="952" t="inlineStr">
        <is>
          <t>Use city land-use resources; confirm parcel county before county-record research.</t>
        </is>
      </c>
    </row>
    <row r="10" ht="54" customHeight="1">
      <c r="A10" s="952" t="inlineStr">
        <is>
          <t>Commerce City</t>
        </is>
      </c>
      <c r="B10" s="952" t="inlineStr">
        <is>
          <t>City</t>
        </is>
      </c>
      <c r="C10" s="960" t="inlineStr">
        <is>
          <t>https://www.c3gov.com/Home</t>
        </is>
      </c>
      <c r="D10" s="1188" t="inlineStr">
        <is>
          <t>https://www.c3gov.com/Residents/Maps-Data-GIS</t>
        </is>
      </c>
      <c r="E10" s="1188" t="inlineStr">
        <is>
          <t>https://www.c3gov.com/Government/City-Codes/Land-Development-Code</t>
        </is>
      </c>
      <c r="F10" s="1188" t="inlineStr">
        <is>
          <t>https://www.c3gov.com/Government/Departments-Divisions/Community-Development</t>
        </is>
      </c>
      <c r="G10" s="1188" t="inlineStr">
        <is>
          <t>https://www.c3gov.com/Business-Development/Development-Projects-Map</t>
        </is>
      </c>
      <c r="H10" s="1188" t="inlineStr">
        <is>
          <t>https://www.c3gov.com/Business-Development/Building-Permits-Inspections</t>
        </is>
      </c>
      <c r="I10" s="1188" t="inlineStr">
        <is>
          <t>https://www.c3gov.com/Government/City-Charter-Master-Plans/Comprehensive-Plan</t>
        </is>
      </c>
      <c r="J10" s="1188" t="inlineStr">
        <is>
          <t>https://www.c3gov.com/Site-Footer/Footer-Widgets/Quick-Links/Meeting-Agendas-and-Schedules</t>
        </is>
      </c>
      <c r="K10" s="1189" t="inlineStr">
        <is>
          <t>https://www.c3gov.com/Government/Departments-Divisions/City-Clerks-Office/Legal-Notices-Ordinances</t>
        </is>
      </c>
      <c r="L10" s="1189" t="inlineStr">
        <is>
          <t>https://www.c3gov.com/Government/Media-News/News-Announcements</t>
        </is>
      </c>
      <c r="M10" s="952" t="inlineStr">
        <is>
          <t>Use city land-use resources and Adams County property/recording/tax sources for Adams County parcels.</t>
        </is>
      </c>
    </row>
    <row r="11" ht="54" customHeight="1">
      <c r="A11" s="952" t="inlineStr">
        <is>
          <t>Federal Heights</t>
        </is>
      </c>
      <c r="B11" s="952" t="inlineStr">
        <is>
          <t>City</t>
        </is>
      </c>
      <c r="C11" s="960" t="inlineStr">
        <is>
          <t>https://www.fedheights.org/</t>
        </is>
      </c>
      <c r="D11" s="1188" t="inlineStr">
        <is>
          <t>https://www.fedheights.org/index.asp?SEC=D1A883BE-0C29-4602-8CC9-5D6A08DA5503</t>
        </is>
      </c>
      <c r="E11" s="1188" t="inlineStr">
        <is>
          <t>https://www.fedheights.org/index.asp?SEC=D7AA9940-8607-468A-8215-7308DD3BF799</t>
        </is>
      </c>
      <c r="F11" s="1188" t="inlineStr">
        <is>
          <t>https://www.fedheights.org/planning</t>
        </is>
      </c>
      <c r="G11" s="1188" t="inlineStr">
        <is>
          <t>https://www.fedheights.org/index.asp?SEC=%7B76F23E1D-0819-4BAB-BD73-23D6092E8A3B%7D&amp;persistdesign=none</t>
        </is>
      </c>
      <c r="H11" s="1188" t="inlineStr">
        <is>
          <t>https://www.fedheights.org/index.asp?SEC=D1CB6EB6-9C4B-4FA8-B119-EF1785E54CB6</t>
        </is>
      </c>
      <c r="I11" s="1188" t="inlineStr">
        <is>
          <t>https://www.fedheights.org/index.asp?SEC=%7B5CF1D2C4-3E29-4A1A-BBFA-2BE19B3ABFD0%7D</t>
        </is>
      </c>
      <c r="J11" s="1188" t="inlineStr">
        <is>
          <t>https://www.fedheights.org/index.asp?SEC=%7BE66D34DF-8290-4807-83DA-3AF56D110C00%7D</t>
        </is>
      </c>
      <c r="K11" s="1189" t="inlineStr">
        <is>
          <t>https://www.fedheights.org/index.asp?SEC=%7B13723B89-BA4A-47C1-9634-50363F8CD1D2%7D&amp;persistdesign=none</t>
        </is>
      </c>
      <c r="L11" s="1189" t="inlineStr">
        <is>
          <t>https://www.fedheights.org/index.asp?SEC=407F7286-34E9-495F-B5F7-88E905D7C9A5</t>
        </is>
      </c>
      <c r="M11" s="952" t="inlineStr">
        <is>
          <t>Use city land-use resources and Adams County property/recording/tax sources.</t>
        </is>
      </c>
    </row>
    <row r="12" ht="54" customHeight="1">
      <c r="A12" s="952" t="inlineStr">
        <is>
          <t>Lochbuie</t>
        </is>
      </c>
      <c r="B12" s="952" t="inlineStr">
        <is>
          <t>Town</t>
        </is>
      </c>
      <c r="C12" s="960" t="inlineStr">
        <is>
          <t>https://www.lochbuie.org/</t>
        </is>
      </c>
      <c r="D12" s="1188" t="inlineStr">
        <is>
          <t>https://www.lochbuie.org/community-dev/page/interactive-land-use-map</t>
        </is>
      </c>
      <c r="E12" s="1188" t="inlineStr">
        <is>
          <t>https://www.lochbuie.org/administration/page/zoning-map</t>
        </is>
      </c>
      <c r="F12" s="1188" t="inlineStr">
        <is>
          <t>https://www.lochbuie.org/community-dev/page/current-planning</t>
        </is>
      </c>
      <c r="G12" s="1188" t="inlineStr">
        <is>
          <t>https://www.lochbuie.org/projects</t>
        </is>
      </c>
      <c r="H12" s="1188" t="inlineStr">
        <is>
          <t>https://www.lochbuie.org/community-dev/page/building-permits-and-inspections</t>
        </is>
      </c>
      <c r="I12" s="1188" t="inlineStr">
        <is>
          <t>https://www.lochbuie.org/community-dev/page/documents</t>
        </is>
      </c>
      <c r="J12" s="1188" t="inlineStr">
        <is>
          <t>https://www.lochbuie.org/meetings</t>
        </is>
      </c>
      <c r="K12" s="1189" t="inlineStr">
        <is>
          <t>https://www.lochbuie.org/publicnotice</t>
        </is>
      </c>
      <c r="L12" s="1189" t="inlineStr">
        <is>
          <t>https://www.lochbuie.org/news</t>
        </is>
      </c>
      <c r="M12" s="952" t="inlineStr">
        <is>
          <t>Use town land-use resources; confirm the parcel's county before deed, tax and assessor research.</t>
        </is>
      </c>
    </row>
    <row r="13" ht="54" customHeight="1">
      <c r="A13" s="952" t="inlineStr">
        <is>
          <t>Northglenn</t>
        </is>
      </c>
      <c r="B13" s="952" t="inlineStr">
        <is>
          <t>City</t>
        </is>
      </c>
      <c r="C13" s="960" t="inlineStr">
        <is>
          <t>https://www.northglenn.org/</t>
        </is>
      </c>
      <c r="D13" s="1188" t="inlineStr">
        <is>
          <t>https://biz.northglenn.org/quickzone</t>
        </is>
      </c>
      <c r="E13" s="1188" t="inlineStr">
        <is>
          <t>https://www.northglenn.org/government/land_use_zoning/new_code_northglenn.php</t>
        </is>
      </c>
      <c r="F13" s="1188" t="inlineStr">
        <is>
          <t>https://www.northglenn.org/government/departments/planning_development/index.php</t>
        </is>
      </c>
      <c r="G13" s="1188" t="inlineStr">
        <is>
          <t>https://www.northglenn.org/government/project_updates/</t>
        </is>
      </c>
      <c r="H13" s="1188" t="inlineStr">
        <is>
          <t>https://www.northglenn.org/government/departments/building/pull_a_permit.php</t>
        </is>
      </c>
      <c r="I13" s="1188" t="inlineStr">
        <is>
          <t>https://www.northglenn.org/government/land_use_zoning/comprehensive_plan.php</t>
        </is>
      </c>
      <c r="J13" s="1188" t="inlineStr">
        <is>
          <t>https://webdocs.northglenn.org/</t>
        </is>
      </c>
      <c r="K13" s="1189" t="inlineStr">
        <is>
          <t>https://webdocs.northglenn.org/</t>
        </is>
      </c>
      <c r="L13" s="1189" t="inlineStr">
        <is>
          <t>https://www.northglenn.org/newslist.php</t>
        </is>
      </c>
      <c r="M13" s="952" t="inlineStr">
        <is>
          <t>Use city land-use resources; confirm the parcel's county before recorder, assessor and tax research.</t>
        </is>
      </c>
    </row>
    <row r="14" ht="54" customHeight="1">
      <c r="A14" s="952" t="inlineStr">
        <is>
          <t>Thornton</t>
        </is>
      </c>
      <c r="B14" s="952" t="inlineStr">
        <is>
          <t>City</t>
        </is>
      </c>
      <c r="C14" s="960" t="inlineStr">
        <is>
          <t>https://www.thorntonco.gov/</t>
        </is>
      </c>
      <c r="D14" s="1188" t="inlineStr">
        <is>
          <t>https://cityofthornton.maps.arcgis.com/apps/webappviewer/index.html?id=643abe02e8b8446586b6eb6d8ed43f84</t>
        </is>
      </c>
      <c r="E14" s="1188" t="inlineStr">
        <is>
          <t>https://www.thorntonco.gov/business-development/city-development/current-planning-zoning/zoning-districts-uses-and-regulations</t>
        </is>
      </c>
      <c r="F14" s="1188" t="inlineStr">
        <is>
          <t>https://www.thorntonco.gov/business-development/city-development</t>
        </is>
      </c>
      <c r="G14" s="1188" t="inlineStr">
        <is>
          <t>https://www.thorntonco.gov/business-development/active-development</t>
        </is>
      </c>
      <c r="H14" s="1188" t="inlineStr">
        <is>
          <t>https://www.thorntonco.gov/business-development/city-development/building-permits-inspections</t>
        </is>
      </c>
      <c r="I14" s="1188" t="inlineStr">
        <is>
          <t>https://www.thorntonco.gov/business-development/city-development/long-range-planning/plans/thornton-comprehensive-plan</t>
        </is>
      </c>
      <c r="J14" s="1188" t="inlineStr">
        <is>
          <t>https://www.thorntonco.gov/government/mayor-council/upcoming-meetings</t>
        </is>
      </c>
      <c r="K14" s="1189" t="inlineStr">
        <is>
          <t>https://www.thorntonco.gov/government/public-notices</t>
        </is>
      </c>
      <c r="L14" s="1189" t="inlineStr">
        <is>
          <t>https://www.thorntonco.gov/news</t>
        </is>
      </c>
      <c r="M14" s="952" t="inlineStr">
        <is>
          <t>Use city land-use resources; confirm the parcel's county before county-record research.</t>
        </is>
      </c>
    </row>
    <row r="15" ht="54" customHeight="1">
      <c r="A15" s="952" t="inlineStr">
        <is>
          <t>Westminster</t>
        </is>
      </c>
      <c r="B15" s="952" t="inlineStr">
        <is>
          <t>City</t>
        </is>
      </c>
      <c r="C15" s="960" t="inlineStr">
        <is>
          <t>https://www.westminsterco.gov/</t>
        </is>
      </c>
      <c r="D15" s="1188" t="inlineStr">
        <is>
          <t>https://www.westminsterco.gov/471/Maps</t>
        </is>
      </c>
      <c r="E15" s="1188" t="inlineStr">
        <is>
          <t>https://www.westminsterco.gov/727/Zoning</t>
        </is>
      </c>
      <c r="F15" s="1188" t="inlineStr">
        <is>
          <t>https://www.westminsterco.gov/707/Planning</t>
        </is>
      </c>
      <c r="G15" s="1188" t="inlineStr">
        <is>
          <t>https://www.westminsterco.gov/855/Current-Development-Project-Map</t>
        </is>
      </c>
      <c r="H15" s="1188" t="inlineStr">
        <is>
          <t>https://www.westminsterco.gov/617/Apply-for-a-Permit-Project</t>
        </is>
      </c>
      <c r="I15" s="1188" t="inlineStr">
        <is>
          <t>https://www.westminsterco.gov/DocumentCenter/View/5605/Comprehensive-Plan_November2025-LR</t>
        </is>
      </c>
      <c r="J15" s="1188" t="inlineStr">
        <is>
          <t>https://www.westminsterco.gov/AgendaCenter</t>
        </is>
      </c>
      <c r="K15" s="1189" t="inlineStr">
        <is>
          <t>https://www.westminsterco.gov/1098/Public-Notices</t>
        </is>
      </c>
      <c r="L15" s="1189" t="inlineStr">
        <is>
          <t>https://www.westminsterco.gov/m/NewsFlash</t>
        </is>
      </c>
      <c r="M15" s="952" t="inlineStr">
        <is>
          <t>Use city land-use resources; confirm the parcel's county before recorder, assessor and tax research.</t>
        </is>
      </c>
    </row>
  </sheetData>
  <mergeCells count="2">
    <mergeCell ref="A2:M2"/>
    <mergeCell ref="A1:M1"/>
  </mergeCells>
  <hyperlinks>
    <hyperlink xmlns:r="http://schemas.openxmlformats.org/officeDocument/2006/relationships" ref="C5" r:id="rId1"/>
    <hyperlink xmlns:r="http://schemas.openxmlformats.org/officeDocument/2006/relationships" ref="D5" r:id="rId2"/>
    <hyperlink xmlns:r="http://schemas.openxmlformats.org/officeDocument/2006/relationships" ref="E5" r:id="rId3"/>
    <hyperlink xmlns:r="http://schemas.openxmlformats.org/officeDocument/2006/relationships" ref="F5" r:id="rId4"/>
    <hyperlink xmlns:r="http://schemas.openxmlformats.org/officeDocument/2006/relationships" ref="G5" r:id="rId5"/>
    <hyperlink xmlns:r="http://schemas.openxmlformats.org/officeDocument/2006/relationships" ref="H5" r:id="rId6"/>
    <hyperlink xmlns:r="http://schemas.openxmlformats.org/officeDocument/2006/relationships" ref="I5" r:id="rId7"/>
    <hyperlink xmlns:r="http://schemas.openxmlformats.org/officeDocument/2006/relationships" ref="J5" r:id="rId8"/>
    <hyperlink xmlns:r="http://schemas.openxmlformats.org/officeDocument/2006/relationships" ref="C6" r:id="rId9"/>
    <hyperlink xmlns:r="http://schemas.openxmlformats.org/officeDocument/2006/relationships" ref="D6" r:id="rId10"/>
    <hyperlink xmlns:r="http://schemas.openxmlformats.org/officeDocument/2006/relationships" ref="E6" r:id="rId11"/>
    <hyperlink xmlns:r="http://schemas.openxmlformats.org/officeDocument/2006/relationships" ref="F6" r:id="rId12"/>
    <hyperlink xmlns:r="http://schemas.openxmlformats.org/officeDocument/2006/relationships" ref="G6" r:id="rId13"/>
    <hyperlink xmlns:r="http://schemas.openxmlformats.org/officeDocument/2006/relationships" ref="H6" r:id="rId14"/>
    <hyperlink xmlns:r="http://schemas.openxmlformats.org/officeDocument/2006/relationships" ref="I6" r:id="rId15"/>
    <hyperlink xmlns:r="http://schemas.openxmlformats.org/officeDocument/2006/relationships" ref="J6" r:id="rId16"/>
    <hyperlink xmlns:r="http://schemas.openxmlformats.org/officeDocument/2006/relationships" ref="C7" r:id="rId17"/>
    <hyperlink xmlns:r="http://schemas.openxmlformats.org/officeDocument/2006/relationships" ref="D7" r:id="rId18"/>
    <hyperlink xmlns:r="http://schemas.openxmlformats.org/officeDocument/2006/relationships" ref="E7" r:id="rId19"/>
    <hyperlink xmlns:r="http://schemas.openxmlformats.org/officeDocument/2006/relationships" ref="F7" r:id="rId20"/>
    <hyperlink xmlns:r="http://schemas.openxmlformats.org/officeDocument/2006/relationships" ref="G7" r:id="rId21"/>
    <hyperlink xmlns:r="http://schemas.openxmlformats.org/officeDocument/2006/relationships" ref="H7" r:id="rId22"/>
    <hyperlink xmlns:r="http://schemas.openxmlformats.org/officeDocument/2006/relationships" ref="I7" r:id="rId23"/>
    <hyperlink xmlns:r="http://schemas.openxmlformats.org/officeDocument/2006/relationships" ref="J7" r:id="rId24"/>
    <hyperlink xmlns:r="http://schemas.openxmlformats.org/officeDocument/2006/relationships" ref="C8" r:id="rId25"/>
    <hyperlink xmlns:r="http://schemas.openxmlformats.org/officeDocument/2006/relationships" ref="D8" r:id="rId26"/>
    <hyperlink xmlns:r="http://schemas.openxmlformats.org/officeDocument/2006/relationships" ref="E8" r:id="rId27"/>
    <hyperlink xmlns:r="http://schemas.openxmlformats.org/officeDocument/2006/relationships" ref="F8" r:id="rId28"/>
    <hyperlink xmlns:r="http://schemas.openxmlformats.org/officeDocument/2006/relationships" ref="G8" r:id="rId29"/>
    <hyperlink xmlns:r="http://schemas.openxmlformats.org/officeDocument/2006/relationships" ref="H8" r:id="rId30"/>
    <hyperlink xmlns:r="http://schemas.openxmlformats.org/officeDocument/2006/relationships" ref="I8" r:id="rId31"/>
    <hyperlink xmlns:r="http://schemas.openxmlformats.org/officeDocument/2006/relationships" ref="J8" r:id="rId32"/>
    <hyperlink xmlns:r="http://schemas.openxmlformats.org/officeDocument/2006/relationships" ref="C9" r:id="rId33"/>
    <hyperlink xmlns:r="http://schemas.openxmlformats.org/officeDocument/2006/relationships" ref="D9" r:id="rId34"/>
    <hyperlink xmlns:r="http://schemas.openxmlformats.org/officeDocument/2006/relationships" ref="E9" r:id="rId35"/>
    <hyperlink xmlns:r="http://schemas.openxmlformats.org/officeDocument/2006/relationships" ref="F9" r:id="rId36"/>
    <hyperlink xmlns:r="http://schemas.openxmlformats.org/officeDocument/2006/relationships" ref="G9" r:id="rId37"/>
    <hyperlink xmlns:r="http://schemas.openxmlformats.org/officeDocument/2006/relationships" ref="H9" r:id="rId38"/>
    <hyperlink xmlns:r="http://schemas.openxmlformats.org/officeDocument/2006/relationships" ref="I9" r:id="rId39"/>
    <hyperlink xmlns:r="http://schemas.openxmlformats.org/officeDocument/2006/relationships" ref="J9" r:id="rId40"/>
    <hyperlink xmlns:r="http://schemas.openxmlformats.org/officeDocument/2006/relationships" ref="C10" r:id="rId41"/>
    <hyperlink xmlns:r="http://schemas.openxmlformats.org/officeDocument/2006/relationships" ref="D10" r:id="rId42"/>
    <hyperlink xmlns:r="http://schemas.openxmlformats.org/officeDocument/2006/relationships" ref="E10" r:id="rId43"/>
    <hyperlink xmlns:r="http://schemas.openxmlformats.org/officeDocument/2006/relationships" ref="F10" r:id="rId44"/>
    <hyperlink xmlns:r="http://schemas.openxmlformats.org/officeDocument/2006/relationships" ref="G10" r:id="rId45"/>
    <hyperlink xmlns:r="http://schemas.openxmlformats.org/officeDocument/2006/relationships" ref="H10" r:id="rId46"/>
    <hyperlink xmlns:r="http://schemas.openxmlformats.org/officeDocument/2006/relationships" ref="I10" r:id="rId47"/>
    <hyperlink xmlns:r="http://schemas.openxmlformats.org/officeDocument/2006/relationships" ref="J10" r:id="rId48"/>
    <hyperlink xmlns:r="http://schemas.openxmlformats.org/officeDocument/2006/relationships" ref="C11" r:id="rId49"/>
    <hyperlink xmlns:r="http://schemas.openxmlformats.org/officeDocument/2006/relationships" ref="D11" r:id="rId50"/>
    <hyperlink xmlns:r="http://schemas.openxmlformats.org/officeDocument/2006/relationships" ref="E11" r:id="rId51"/>
    <hyperlink xmlns:r="http://schemas.openxmlformats.org/officeDocument/2006/relationships" ref="F11" r:id="rId52"/>
    <hyperlink xmlns:r="http://schemas.openxmlformats.org/officeDocument/2006/relationships" ref="G11" r:id="rId53"/>
    <hyperlink xmlns:r="http://schemas.openxmlformats.org/officeDocument/2006/relationships" ref="H11" r:id="rId54"/>
    <hyperlink xmlns:r="http://schemas.openxmlformats.org/officeDocument/2006/relationships" ref="I11" r:id="rId55"/>
    <hyperlink xmlns:r="http://schemas.openxmlformats.org/officeDocument/2006/relationships" ref="J11" r:id="rId56"/>
    <hyperlink xmlns:r="http://schemas.openxmlformats.org/officeDocument/2006/relationships" ref="C12" r:id="rId57"/>
    <hyperlink xmlns:r="http://schemas.openxmlformats.org/officeDocument/2006/relationships" ref="D12" r:id="rId58"/>
    <hyperlink xmlns:r="http://schemas.openxmlformats.org/officeDocument/2006/relationships" ref="E12" r:id="rId59"/>
    <hyperlink xmlns:r="http://schemas.openxmlformats.org/officeDocument/2006/relationships" ref="F12" r:id="rId60"/>
    <hyperlink xmlns:r="http://schemas.openxmlformats.org/officeDocument/2006/relationships" ref="G12" r:id="rId61"/>
    <hyperlink xmlns:r="http://schemas.openxmlformats.org/officeDocument/2006/relationships" ref="H12" r:id="rId62"/>
    <hyperlink xmlns:r="http://schemas.openxmlformats.org/officeDocument/2006/relationships" ref="I12" r:id="rId63"/>
    <hyperlink xmlns:r="http://schemas.openxmlformats.org/officeDocument/2006/relationships" ref="J12" r:id="rId64"/>
    <hyperlink xmlns:r="http://schemas.openxmlformats.org/officeDocument/2006/relationships" ref="C13" r:id="rId65"/>
    <hyperlink xmlns:r="http://schemas.openxmlformats.org/officeDocument/2006/relationships" ref="D13" r:id="rId66"/>
    <hyperlink xmlns:r="http://schemas.openxmlformats.org/officeDocument/2006/relationships" ref="E13" r:id="rId67"/>
    <hyperlink xmlns:r="http://schemas.openxmlformats.org/officeDocument/2006/relationships" ref="F13" r:id="rId68"/>
    <hyperlink xmlns:r="http://schemas.openxmlformats.org/officeDocument/2006/relationships" ref="G13" r:id="rId69"/>
    <hyperlink xmlns:r="http://schemas.openxmlformats.org/officeDocument/2006/relationships" ref="H13" r:id="rId70"/>
    <hyperlink xmlns:r="http://schemas.openxmlformats.org/officeDocument/2006/relationships" ref="I13" r:id="rId71"/>
    <hyperlink xmlns:r="http://schemas.openxmlformats.org/officeDocument/2006/relationships" ref="J13" r:id="rId72"/>
    <hyperlink xmlns:r="http://schemas.openxmlformats.org/officeDocument/2006/relationships" ref="C14" r:id="rId73"/>
    <hyperlink xmlns:r="http://schemas.openxmlformats.org/officeDocument/2006/relationships" ref="D14" r:id="rId74"/>
    <hyperlink xmlns:r="http://schemas.openxmlformats.org/officeDocument/2006/relationships" ref="E14" r:id="rId75"/>
    <hyperlink xmlns:r="http://schemas.openxmlformats.org/officeDocument/2006/relationships" ref="F14" r:id="rId76"/>
    <hyperlink xmlns:r="http://schemas.openxmlformats.org/officeDocument/2006/relationships" ref="G14" r:id="rId77"/>
    <hyperlink xmlns:r="http://schemas.openxmlformats.org/officeDocument/2006/relationships" ref="H14" r:id="rId78"/>
    <hyperlink xmlns:r="http://schemas.openxmlformats.org/officeDocument/2006/relationships" ref="I14" r:id="rId79"/>
    <hyperlink xmlns:r="http://schemas.openxmlformats.org/officeDocument/2006/relationships" ref="J14" r:id="rId80"/>
    <hyperlink xmlns:r="http://schemas.openxmlformats.org/officeDocument/2006/relationships" ref="C15" r:id="rId81"/>
    <hyperlink xmlns:r="http://schemas.openxmlformats.org/officeDocument/2006/relationships" ref="D15" r:id="rId82"/>
    <hyperlink xmlns:r="http://schemas.openxmlformats.org/officeDocument/2006/relationships" ref="E15" r:id="rId83"/>
    <hyperlink xmlns:r="http://schemas.openxmlformats.org/officeDocument/2006/relationships" ref="F15" r:id="rId84"/>
    <hyperlink xmlns:r="http://schemas.openxmlformats.org/officeDocument/2006/relationships" ref="G15" r:id="rId85"/>
    <hyperlink xmlns:r="http://schemas.openxmlformats.org/officeDocument/2006/relationships" ref="H15" r:id="rId86"/>
    <hyperlink xmlns:r="http://schemas.openxmlformats.org/officeDocument/2006/relationships" ref="I15" r:id="rId87"/>
    <hyperlink xmlns:r="http://schemas.openxmlformats.org/officeDocument/2006/relationships" ref="J15" r:id="rId88"/>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I41"/>
  <sheetViews>
    <sheetView workbookViewId="0">
      <selection activeCell="A1" sqref="A1"/>
    </sheetView>
  </sheetViews>
  <sheetFormatPr baseColWidth="8" defaultRowHeight="15"/>
  <cols>
    <col width="14" customWidth="1" min="1" max="1"/>
    <col width="21" customWidth="1" min="2" max="2"/>
    <col width="52"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957" t="inlineStr">
        <is>
          <t>Adams County Core Property &amp; Land Records</t>
        </is>
      </c>
    </row>
    <row r="2" ht="28" customHeight="1">
      <c r="A2" s="958" t="inlineStr">
        <is>
          <t>County-level assessor, recording, tax, foreclosure, GIS, unincorporated planning, permits, public works and monitoring resources.</t>
        </is>
      </c>
    </row>
    <row r="4" ht="30" customHeight="1">
      <c r="A4" s="959" t="inlineStr">
        <is>
          <t>Jurisdiction</t>
        </is>
      </c>
      <c r="B4" s="959" t="inlineStr">
        <is>
          <t>Category</t>
        </is>
      </c>
      <c r="C4" s="1187"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Adams County</t>
        </is>
      </c>
      <c r="B5" s="952" t="inlineStr">
        <is>
          <t>Jurisdictions</t>
        </is>
      </c>
      <c r="C5" s="952" t="inlineStr">
        <is>
          <t>Cities &amp; Towns in Adams County</t>
        </is>
      </c>
      <c r="D5" s="952" t="inlineStr">
        <is>
          <t>Official county list of municipalities with territory in Adams County and named unincorporated communities.</t>
        </is>
      </c>
      <c r="E5" s="952" t="inlineStr">
        <is>
          <t>Confirm which municipal websites belong in the search set.</t>
        </is>
      </c>
      <c r="F5" s="952" t="inlineStr">
        <is>
          <t>Yes</t>
        </is>
      </c>
      <c r="G5" s="1188" t="inlineStr">
        <is>
          <t>https://adamscountyco.gov/about-adams-county/cities-towns/</t>
        </is>
      </c>
      <c r="H5" s="1129" t="n">
        <v>46213</v>
      </c>
      <c r="I5" s="951" t="inlineStr">
        <is>
          <t>Critical</t>
        </is>
      </c>
    </row>
    <row r="6" ht="42" customHeight="1">
      <c r="A6" s="952" t="inlineStr">
        <is>
          <t>Adams County</t>
        </is>
      </c>
      <c r="B6" s="952" t="inlineStr">
        <is>
          <t>Property Search</t>
        </is>
      </c>
      <c r="C6" s="952" t="inlineStr">
        <is>
          <t>Search Real Property</t>
        </is>
      </c>
      <c r="D6" s="952" t="inlineStr">
        <is>
          <t>County assessor entry page for parcel, owner, address, account and assessment research.</t>
        </is>
      </c>
      <c r="E6" s="952" t="inlineStr">
        <is>
          <t>Start every Adams County property investigation and obtain the parcel/account number.</t>
        </is>
      </c>
      <c r="F6" s="952" t="inlineStr">
        <is>
          <t>Yes</t>
        </is>
      </c>
      <c r="G6" s="1188" t="inlineStr">
        <is>
          <t>https://adamscountyco.gov/service/search-real-property/</t>
        </is>
      </c>
      <c r="H6" s="1129" t="n">
        <v>46213</v>
      </c>
      <c r="I6" s="951" t="inlineStr">
        <is>
          <t>Critical</t>
        </is>
      </c>
    </row>
    <row r="7" ht="42" customHeight="1">
      <c r="A7" s="952" t="inlineStr">
        <is>
          <t>Adams County</t>
        </is>
      </c>
      <c r="B7" s="952" t="inlineStr">
        <is>
          <t>Property Search</t>
        </is>
      </c>
      <c r="C7" s="952" t="inlineStr">
        <is>
          <t>Assessor Quick Search</t>
        </is>
      </c>
      <c r="D7" s="952" t="inlineStr">
        <is>
          <t>Direct assessor/GIS parcel lookup.</t>
        </is>
      </c>
      <c r="E7" s="952" t="inlineStr">
        <is>
          <t>Search by owner, address, parcel or account number and view assessment attributes.</t>
        </is>
      </c>
      <c r="F7" s="952" t="inlineStr">
        <is>
          <t>Yes</t>
        </is>
      </c>
      <c r="G7" s="1188" t="inlineStr">
        <is>
          <t>https://gisapp.adcogov.org/quicksearch/</t>
        </is>
      </c>
      <c r="H7" s="1129" t="n">
        <v>46213</v>
      </c>
      <c r="I7" s="951" t="inlineStr">
        <is>
          <t>Critical</t>
        </is>
      </c>
    </row>
    <row r="8" ht="42" customHeight="1">
      <c r="A8" s="952" t="inlineStr">
        <is>
          <t>Adams County</t>
        </is>
      </c>
      <c r="B8" s="952" t="inlineStr">
        <is>
          <t>Assessor</t>
        </is>
      </c>
      <c r="C8" s="952" t="inlineStr">
        <is>
          <t>Assessor Office</t>
        </is>
      </c>
      <c r="D8" s="952" t="inlineStr">
        <is>
          <t>Assessment, valuation, exemptions, appeals and ownership record guidance.</t>
        </is>
      </c>
      <c r="E8" s="952" t="inlineStr">
        <is>
          <t>Resolve valuation or ownership questions and locate appeal information.</t>
        </is>
      </c>
      <c r="F8" s="952" t="inlineStr">
        <is>
          <t>Yes</t>
        </is>
      </c>
      <c r="G8" s="1188" t="inlineStr">
        <is>
          <t>https://adamscountyco.gov/our-county/elected-officials/assessor/</t>
        </is>
      </c>
      <c r="H8" s="1129" t="n">
        <v>46213</v>
      </c>
      <c r="I8" s="951" t="inlineStr">
        <is>
          <t>High</t>
        </is>
      </c>
    </row>
    <row r="9" ht="42" customHeight="1">
      <c r="A9" s="952" t="inlineStr">
        <is>
          <t>Adams County</t>
        </is>
      </c>
      <c r="B9" s="952" t="inlineStr">
        <is>
          <t>GIS / Data</t>
        </is>
      </c>
      <c r="C9" s="952" t="inlineStr">
        <is>
          <t>Assessor Maps &amp; Data</t>
        </is>
      </c>
      <c r="D9" s="952" t="inlineStr">
        <is>
          <t>Assessor mapping and downloadable property-related data resources.</t>
        </is>
      </c>
      <c r="E9" s="952" t="inlineStr">
        <is>
          <t>Cross-check parcel geometry, neighborhood and assessment map data.</t>
        </is>
      </c>
      <c r="F9" s="952" t="inlineStr">
        <is>
          <t>Yes</t>
        </is>
      </c>
      <c r="G9" s="1188" t="inlineStr">
        <is>
          <t>https://adamscountyco.gov/our-county/elected-officials/assessor/maps-data/</t>
        </is>
      </c>
      <c r="H9" s="1129" t="n">
        <v>46213</v>
      </c>
      <c r="I9" s="951" t="inlineStr">
        <is>
          <t>High</t>
        </is>
      </c>
    </row>
    <row r="10" ht="42" customHeight="1">
      <c r="A10" s="952" t="inlineStr">
        <is>
          <t>Adams County</t>
        </is>
      </c>
      <c r="B10" s="952" t="inlineStr">
        <is>
          <t>GIS / Data</t>
        </is>
      </c>
      <c r="C10" s="952" t="inlineStr">
        <is>
          <t>GIS Interactive Maps</t>
        </is>
      </c>
      <c r="D10" s="952" t="inlineStr">
        <is>
          <t>County interactive mapping applications.</t>
        </is>
      </c>
      <c r="E10" s="952" t="inlineStr">
        <is>
          <t>Screen parcels, boundaries, services, hazards and other mapped county data.</t>
        </is>
      </c>
      <c r="F10" s="952" t="inlineStr">
        <is>
          <t>Yes</t>
        </is>
      </c>
      <c r="G10" s="1188" t="inlineStr">
        <is>
          <t>https://adamscountyco.gov/service/gis-interactive-maps/</t>
        </is>
      </c>
      <c r="H10" s="1129" t="n">
        <v>46213</v>
      </c>
      <c r="I10" s="951" t="inlineStr">
        <is>
          <t>Critical</t>
        </is>
      </c>
    </row>
    <row r="11" ht="42" customHeight="1">
      <c r="A11" s="952" t="inlineStr">
        <is>
          <t>Adams County</t>
        </is>
      </c>
      <c r="B11" s="952" t="inlineStr">
        <is>
          <t>GIS / Data</t>
        </is>
      </c>
      <c r="C11" s="952" t="inlineStr">
        <is>
          <t>Geographic Information Systems</t>
        </is>
      </c>
      <c r="D11" s="952" t="inlineStr">
        <is>
          <t>County GIS program overview and limitations.</t>
        </is>
      </c>
      <c r="E11" s="952" t="inlineStr">
        <is>
          <t>Understand map sources and remember that GIS parcel lines are not a legal survey.</t>
        </is>
      </c>
      <c r="F11" s="952" t="inlineStr">
        <is>
          <t>Yes</t>
        </is>
      </c>
      <c r="G11" s="1188" t="inlineStr">
        <is>
          <t>https://adamscountyco.gov/our-county/information-technology-innovation/geographic-information-systems/</t>
        </is>
      </c>
      <c r="H11" s="1129" t="n">
        <v>46213</v>
      </c>
      <c r="I11" s="951" t="inlineStr">
        <is>
          <t>High</t>
        </is>
      </c>
    </row>
    <row r="12" ht="42" customHeight="1">
      <c r="A12" s="952" t="inlineStr">
        <is>
          <t>Adams County</t>
        </is>
      </c>
      <c r="B12" s="952" t="inlineStr">
        <is>
          <t>Recorded Documents</t>
        </is>
      </c>
      <c r="C12" s="952" t="inlineStr">
        <is>
          <t>Find Public Records / Recorded Documents</t>
        </is>
      </c>
      <c r="D12" s="952" t="inlineStr">
        <is>
          <t>Guide to recorded real estate documents, search methods and copies.</t>
        </is>
      </c>
      <c r="E12" s="952" t="inlineStr">
        <is>
          <t>Learn how to search deeds, deeds of trust, releases, easements, liens, plats and related filings.</t>
        </is>
      </c>
      <c r="F12" s="952" t="inlineStr">
        <is>
          <t>Yes</t>
        </is>
      </c>
      <c r="G12" s="1188" t="inlineStr">
        <is>
          <t>https://adamscountyco.gov/service/find-public-records-recorded-documents/</t>
        </is>
      </c>
      <c r="H12" s="1129" t="n">
        <v>46213</v>
      </c>
      <c r="I12" s="951" t="inlineStr">
        <is>
          <t>Critical</t>
        </is>
      </c>
    </row>
    <row r="13" ht="42" customHeight="1">
      <c r="A13" s="952" t="inlineStr">
        <is>
          <t>Adams County</t>
        </is>
      </c>
      <c r="B13" s="952" t="inlineStr">
        <is>
          <t>Recorded Documents</t>
        </is>
      </c>
      <c r="C13" s="952" t="inlineStr">
        <is>
          <t>Landmark Web Recording Search</t>
        </is>
      </c>
      <c r="D13" s="952" t="inlineStr">
        <is>
          <t>Direct public index for recorded documents.</t>
        </is>
      </c>
      <c r="E13" s="952" t="inlineStr">
        <is>
          <t>Search the grantor/grantee index, legal description references and document numbers.</t>
        </is>
      </c>
      <c r="F13" s="952" t="inlineStr">
        <is>
          <t>Yes</t>
        </is>
      </c>
      <c r="G13" s="1188" t="inlineStr">
        <is>
          <t>https://recording.adamscountyco.gov/landmarkweb/</t>
        </is>
      </c>
      <c r="H13" s="1129" t="n">
        <v>46213</v>
      </c>
      <c r="I13" s="951" t="inlineStr">
        <is>
          <t>Critical</t>
        </is>
      </c>
    </row>
    <row r="14" ht="42" customHeight="1">
      <c r="A14" s="952" t="inlineStr">
        <is>
          <t>Adams County</t>
        </is>
      </c>
      <c r="B14" s="952" t="inlineStr">
        <is>
          <t>Recorded Documents</t>
        </is>
      </c>
      <c r="C14" s="952" t="inlineStr">
        <is>
          <t>Recording Division</t>
        </is>
      </c>
      <c r="D14" s="952" t="inlineStr">
        <is>
          <t>Recorder services, fees, document standards and contact information.</t>
        </is>
      </c>
      <c r="E14" s="952" t="inlineStr">
        <is>
          <t>Order copies or resolve questions about recorded instruments.</t>
        </is>
      </c>
      <c r="F14" s="952" t="inlineStr">
        <is>
          <t>Yes</t>
        </is>
      </c>
      <c r="G14" s="1188" t="inlineStr">
        <is>
          <t>https://adamscountyco.gov/our-county/elected-officials/clerk-recorder/recording/</t>
        </is>
      </c>
      <c r="H14" s="1129" t="n">
        <v>46213</v>
      </c>
      <c r="I14" s="951" t="inlineStr">
        <is>
          <t>High</t>
        </is>
      </c>
    </row>
    <row r="15" ht="42" customHeight="1">
      <c r="A15" s="952" t="inlineStr">
        <is>
          <t>Adams County</t>
        </is>
      </c>
      <c r="B15" s="952" t="inlineStr">
        <is>
          <t>Survey / Plat</t>
        </is>
      </c>
      <c r="C15" s="952" t="inlineStr">
        <is>
          <t>Land Survey Plats</t>
        </is>
      </c>
      <c r="D15" s="952" t="inlineStr">
        <is>
          <t>Recorded survey plat resources and filing information.</t>
        </is>
      </c>
      <c r="E15" s="952" t="inlineStr">
        <is>
          <t>Research recorded surveys and surveyor filings; still obtain a current survey when required.</t>
        </is>
      </c>
      <c r="F15" s="952" t="inlineStr">
        <is>
          <t>Yes</t>
        </is>
      </c>
      <c r="G15" s="1188" t="inlineStr">
        <is>
          <t>https://adamscountyco.gov/our-county/elected-officials/clerk-recorder/recording/land-survey-plats/</t>
        </is>
      </c>
      <c r="H15" s="1129" t="n">
        <v>46213</v>
      </c>
      <c r="I15" s="951" t="inlineStr">
        <is>
          <t>High</t>
        </is>
      </c>
    </row>
    <row r="16" ht="42" customHeight="1">
      <c r="A16" s="952" t="inlineStr">
        <is>
          <t>Adams County</t>
        </is>
      </c>
      <c r="B16" s="952" t="inlineStr">
        <is>
          <t>Public Postings</t>
        </is>
      </c>
      <c r="C16" s="952" t="inlineStr">
        <is>
          <t>Public Document Postings</t>
        </is>
      </c>
      <c r="D16" s="952" t="inlineStr">
        <is>
          <t>Publicly posted documents maintained through the recording division.</t>
        </is>
      </c>
      <c r="E16" s="952" t="inlineStr">
        <is>
          <t>Check statutory postings and other public documents relevant to a parcel or entity.</t>
        </is>
      </c>
      <c r="F16" s="952" t="inlineStr">
        <is>
          <t>Yes</t>
        </is>
      </c>
      <c r="G16" s="1188" t="inlineStr">
        <is>
          <t>https://adamscountyco.gov/our-county/elected-officials/clerk-recorder/recording/public-document-postings/</t>
        </is>
      </c>
      <c r="H16" s="1129" t="n">
        <v>46213</v>
      </c>
      <c r="I16" s="951" t="inlineStr">
        <is>
          <t>Useful</t>
        </is>
      </c>
    </row>
    <row r="17" ht="42" customHeight="1">
      <c r="A17" s="952" t="inlineStr">
        <is>
          <t>Adams County</t>
        </is>
      </c>
      <c r="B17" s="952" t="inlineStr">
        <is>
          <t>Property Tax</t>
        </is>
      </c>
      <c r="C17" s="952" t="inlineStr">
        <is>
          <t>Adams County Tax Portal</t>
        </is>
      </c>
      <c r="D17" s="952" t="inlineStr">
        <is>
          <t>Direct tax account search and payment portal.</t>
        </is>
      </c>
      <c r="E17" s="952" t="inlineStr">
        <is>
          <t>Verify current taxes, balances, tax history and payment status.</t>
        </is>
      </c>
      <c r="F17" s="952" t="inlineStr">
        <is>
          <t>Yes</t>
        </is>
      </c>
      <c r="G17" s="1188" t="inlineStr">
        <is>
          <t>https://adcotax.com/</t>
        </is>
      </c>
      <c r="H17" s="1129" t="n">
        <v>46213</v>
      </c>
      <c r="I17" s="951" t="inlineStr">
        <is>
          <t>Critical</t>
        </is>
      </c>
    </row>
    <row r="18" ht="42" customHeight="1">
      <c r="A18" s="952" t="inlineStr">
        <is>
          <t>Adams County</t>
        </is>
      </c>
      <c r="B18" s="952" t="inlineStr">
        <is>
          <t>Property Tax</t>
        </is>
      </c>
      <c r="C18" s="952" t="inlineStr">
        <is>
          <t>Treasurer Division</t>
        </is>
      </c>
      <c r="D18" s="952" t="inlineStr">
        <is>
          <t>Treasurer services and property-tax administration information.</t>
        </is>
      </c>
      <c r="E18" s="952" t="inlineStr">
        <is>
          <t>Resolve tax bills, payment questions and certificates.</t>
        </is>
      </c>
      <c r="F18" s="952" t="inlineStr">
        <is>
          <t>Yes</t>
        </is>
      </c>
      <c r="G18" s="1188" t="inlineStr">
        <is>
          <t>https://adamscountyco.gov/our-county/elected-officials/treasurer-public-trustee/treasurer-division/</t>
        </is>
      </c>
      <c r="H18" s="1129" t="n">
        <v>46213</v>
      </c>
      <c r="I18" s="951" t="inlineStr">
        <is>
          <t>High</t>
        </is>
      </c>
    </row>
    <row r="19" ht="42" customHeight="1">
      <c r="A19" s="952" t="inlineStr">
        <is>
          <t>Adams County</t>
        </is>
      </c>
      <c r="B19" s="952" t="inlineStr">
        <is>
          <t>Property Tax</t>
        </is>
      </c>
      <c r="C19" s="952" t="inlineStr">
        <is>
          <t>Property Tax Information</t>
        </is>
      </c>
      <c r="D19" s="952" t="inlineStr">
        <is>
          <t>Property tax timelines, payment methods and frequently used tax information.</t>
        </is>
      </c>
      <c r="E19" s="952" t="inlineStr">
        <is>
          <t>Understand due dates, delinquency and tax account procedures.</t>
        </is>
      </c>
      <c r="F19" s="952" t="inlineStr">
        <is>
          <t>Yes</t>
        </is>
      </c>
      <c r="G19" s="1188" t="inlineStr">
        <is>
          <t>https://adamscountyco.gov/our-county/elected-officials/treasurer-public-trustee/treasurer-division/property-tax-information/</t>
        </is>
      </c>
      <c r="H19" s="1129" t="n">
        <v>46213</v>
      </c>
      <c r="I19" s="951" t="inlineStr">
        <is>
          <t>High</t>
        </is>
      </c>
    </row>
    <row r="20" ht="42" customHeight="1">
      <c r="A20" s="952" t="inlineStr">
        <is>
          <t>Adams County</t>
        </is>
      </c>
      <c r="B20" s="952" t="inlineStr">
        <is>
          <t>Tax Lien</t>
        </is>
      </c>
      <c r="C20" s="952" t="inlineStr">
        <is>
          <t>Tax Lien Sale</t>
        </is>
      </c>
      <c r="D20" s="952" t="inlineStr">
        <is>
          <t>County tax lien sale process and related information.</t>
        </is>
      </c>
      <c r="E20" s="952" t="inlineStr">
        <is>
          <t>Research delinquent tax liens and sale procedures.</t>
        </is>
      </c>
      <c r="F20" s="952" t="inlineStr">
        <is>
          <t>Yes</t>
        </is>
      </c>
      <c r="G20" s="1188" t="inlineStr">
        <is>
          <t>https://adamscountyco.gov/our-county/elected-officials/treasurer-public-trustee/treasurer-division/tax-lien-sale/</t>
        </is>
      </c>
      <c r="H20" s="1129" t="n">
        <v>46213</v>
      </c>
      <c r="I20" s="951" t="inlineStr">
        <is>
          <t>High</t>
        </is>
      </c>
    </row>
    <row r="21" ht="42" customHeight="1">
      <c r="A21" s="952" t="inlineStr">
        <is>
          <t>Adams County</t>
        </is>
      </c>
      <c r="B21" s="952" t="inlineStr">
        <is>
          <t>Tax Lien</t>
        </is>
      </c>
      <c r="C21" s="952" t="inlineStr">
        <is>
          <t>Treasurer's Deed</t>
        </is>
      </c>
      <c r="D21" s="952" t="inlineStr">
        <is>
          <t>Information on the treasurer's deed process after a tax lien.</t>
        </is>
      </c>
      <c r="E21" s="952" t="inlineStr">
        <is>
          <t>Investigate tax-deed procedures and required notices.</t>
        </is>
      </c>
      <c r="F21" s="952" t="inlineStr">
        <is>
          <t>Yes</t>
        </is>
      </c>
      <c r="G21" s="1188" t="inlineStr">
        <is>
          <t>https://adamscountyco.gov/our-county/elected-officials/treasurer-public-trustee/treasurer-division/tax-lien-sale/treasurers-deed/</t>
        </is>
      </c>
      <c r="H21" s="1129" t="n">
        <v>46213</v>
      </c>
      <c r="I21" s="951" t="inlineStr">
        <is>
          <t>High</t>
        </is>
      </c>
    </row>
    <row r="22" ht="42" customHeight="1">
      <c r="A22" s="952" t="inlineStr">
        <is>
          <t>Adams County</t>
        </is>
      </c>
      <c r="B22" s="952" t="inlineStr">
        <is>
          <t>Foreclosure</t>
        </is>
      </c>
      <c r="C22" s="952" t="inlineStr">
        <is>
          <t>Public Trustee Division</t>
        </is>
      </c>
      <c r="D22" s="952" t="inlineStr">
        <is>
          <t>County public trustee functions for deeds of trust and foreclosure administration.</t>
        </is>
      </c>
      <c r="E22" s="952" t="inlineStr">
        <is>
          <t>Understand foreclosure, releases and public trustee procedures.</t>
        </is>
      </c>
      <c r="F22" s="952" t="inlineStr">
        <is>
          <t>Yes</t>
        </is>
      </c>
      <c r="G22" s="1188" t="inlineStr">
        <is>
          <t>https://adamscountyco.gov/our-county/elected-officials/treasurer-public-trustee/public-trustee-division/</t>
        </is>
      </c>
      <c r="H22" s="1129" t="n">
        <v>46213</v>
      </c>
      <c r="I22" s="951" t="inlineStr">
        <is>
          <t>High</t>
        </is>
      </c>
    </row>
    <row r="23" ht="42" customHeight="1">
      <c r="A23" s="952" t="inlineStr">
        <is>
          <t>Adams County</t>
        </is>
      </c>
      <c r="B23" s="952" t="inlineStr">
        <is>
          <t>Foreclosure</t>
        </is>
      </c>
      <c r="C23" s="952" t="inlineStr">
        <is>
          <t>Foreclosure Search</t>
        </is>
      </c>
      <c r="D23" s="952" t="inlineStr">
        <is>
          <t>Direct search of Adams County public trustee foreclosure records.</t>
        </is>
      </c>
      <c r="E23" s="952" t="inlineStr">
        <is>
          <t>Check pending and historical foreclosure activity associated with a borrower or property.</t>
        </is>
      </c>
      <c r="F23" s="952" t="inlineStr">
        <is>
          <t>Yes</t>
        </is>
      </c>
      <c r="G23" s="1188" t="inlineStr">
        <is>
          <t>https://apps.adcogov.org/PTForeclosureSearch/?ds=1</t>
        </is>
      </c>
      <c r="H23" s="1129" t="n">
        <v>46213</v>
      </c>
      <c r="I23" s="951" t="inlineStr">
        <is>
          <t>Critical</t>
        </is>
      </c>
    </row>
    <row r="24" ht="42" customHeight="1">
      <c r="A24" s="952" t="inlineStr">
        <is>
          <t>Adams County</t>
        </is>
      </c>
      <c r="B24" s="952" t="inlineStr">
        <is>
          <t>Foreclosure</t>
        </is>
      </c>
      <c r="C24" s="952" t="inlineStr">
        <is>
          <t>Foreclosure Reports</t>
        </is>
      </c>
      <c r="D24" s="952" t="inlineStr">
        <is>
          <t>Public trustee foreclosure reports.</t>
        </is>
      </c>
      <c r="E24" s="952" t="inlineStr">
        <is>
          <t>Monitor foreclosure filings and sale-related reports.</t>
        </is>
      </c>
      <c r="F24" s="952" t="inlineStr">
        <is>
          <t>Yes</t>
        </is>
      </c>
      <c r="G24" s="1188" t="inlineStr">
        <is>
          <t>https://apps.adcogov.org/PTForeclosureSearch/reports</t>
        </is>
      </c>
      <c r="H24" s="1129" t="n">
        <v>46213</v>
      </c>
      <c r="I24" s="951" t="inlineStr">
        <is>
          <t>High</t>
        </is>
      </c>
    </row>
    <row r="25" ht="42" customHeight="1">
      <c r="A25" s="952" t="inlineStr">
        <is>
          <t>Adams County</t>
        </is>
      </c>
      <c r="B25" s="952" t="inlineStr">
        <is>
          <t>Planning / Zoning</t>
        </is>
      </c>
      <c r="C25" s="952" t="inlineStr">
        <is>
          <t>Planning &amp; Development</t>
        </is>
      </c>
      <c r="D25" s="952" t="inlineStr">
        <is>
          <t>County planning, zoning and development review for unincorporated Adams County.</t>
        </is>
      </c>
      <c r="E25" s="952" t="inlineStr">
        <is>
          <t>Use only for unincorporated parcels; incorporated parcels are governed by their city or town.</t>
        </is>
      </c>
      <c r="F25" s="952" t="inlineStr">
        <is>
          <t>Yes</t>
        </is>
      </c>
      <c r="G25" s="1188" t="inlineStr">
        <is>
          <t>https://adamscountyco.gov/our-county/community-economic-development/planning-development/</t>
        </is>
      </c>
      <c r="H25" s="1129" t="n">
        <v>46213</v>
      </c>
      <c r="I25" s="951" t="inlineStr">
        <is>
          <t>Critical</t>
        </is>
      </c>
    </row>
    <row r="26" ht="42" customHeight="1">
      <c r="A26" s="952" t="inlineStr">
        <is>
          <t>Adams County</t>
        </is>
      </c>
      <c r="B26" s="952" t="inlineStr">
        <is>
          <t>Planning / Zoning</t>
        </is>
      </c>
      <c r="C26" s="952" t="inlineStr">
        <is>
          <t>Development Standards &amp; Regulations</t>
        </is>
      </c>
      <c r="D26" s="952" t="inlineStr">
        <is>
          <t>Current county land-use and development regulations.</t>
        </is>
      </c>
      <c r="E26" s="952" t="inlineStr">
        <is>
          <t>Research zone districts, allowed uses, overlays, subdivisions and application standards in unincorporated areas.</t>
        </is>
      </c>
      <c r="F26" s="952" t="inlineStr">
        <is>
          <t>Yes</t>
        </is>
      </c>
      <c r="G26" s="1188" t="inlineStr">
        <is>
          <t>https://adamscountyco.gov/our-county/community-economic-development/planning-development/development-standards-regulations/</t>
        </is>
      </c>
      <c r="H26" s="1129" t="n">
        <v>46213</v>
      </c>
      <c r="I26" s="951" t="inlineStr">
        <is>
          <t>Critical</t>
        </is>
      </c>
    </row>
    <row r="27" ht="42" customHeight="1">
      <c r="A27" s="952" t="inlineStr">
        <is>
          <t>Adams County</t>
        </is>
      </c>
      <c r="B27" s="952" t="inlineStr">
        <is>
          <t>Planning / Zoning</t>
        </is>
      </c>
      <c r="C27" s="952" t="inlineStr">
        <is>
          <t>Current Land Use Cases</t>
        </is>
      </c>
      <c r="D27" s="952" t="inlineStr">
        <is>
          <t>Scheduled land-use cases, public hearings and recent decisions.</t>
        </is>
      </c>
      <c r="E27" s="952" t="inlineStr">
        <is>
          <t>Identify rezonings, conditional uses, plats, variances and nearby proposals before final approval.</t>
        </is>
      </c>
      <c r="F27" s="952" t="inlineStr">
        <is>
          <t>Yes</t>
        </is>
      </c>
      <c r="G27" s="1188" t="inlineStr">
        <is>
          <t>https://adamscountyco.gov/our-county/community-economic-development/planning-development/current-land-use-cases/</t>
        </is>
      </c>
      <c r="H27" s="1129" t="n">
        <v>46213</v>
      </c>
      <c r="I27" s="951" t="inlineStr">
        <is>
          <t>Critical</t>
        </is>
      </c>
    </row>
    <row r="28" ht="42" customHeight="1">
      <c r="A28" s="952" t="inlineStr">
        <is>
          <t>Adams County</t>
        </is>
      </c>
      <c r="B28" s="952" t="inlineStr">
        <is>
          <t>Long-Range Planning</t>
        </is>
      </c>
      <c r="C28" s="952" t="inlineStr">
        <is>
          <t>Advancing Adams Comprehensive Plan</t>
        </is>
      </c>
      <c r="D28" s="952" t="inlineStr">
        <is>
          <t>Countywide policy plan and future land-use maps for unincorporated Adams County.</t>
        </is>
      </c>
      <c r="E28" s="952" t="inlineStr">
        <is>
          <t>Evaluate future land-use direction, policy context and long-range growth patterns.</t>
        </is>
      </c>
      <c r="F28" s="952" t="inlineStr">
        <is>
          <t>Yes</t>
        </is>
      </c>
      <c r="G28" s="1188" t="inlineStr">
        <is>
          <t>https://adamscountyco.gov/our-county/community-economic-development/advancing-adams/comprehensive-plan/</t>
        </is>
      </c>
      <c r="H28" s="1129" t="n">
        <v>46213</v>
      </c>
      <c r="I28" s="951" t="inlineStr">
        <is>
          <t>High</t>
        </is>
      </c>
    </row>
    <row r="29" ht="42" customHeight="1">
      <c r="A29" s="952" t="inlineStr">
        <is>
          <t>Adams County</t>
        </is>
      </c>
      <c r="B29" s="952" t="inlineStr">
        <is>
          <t>Long-Range Planning</t>
        </is>
      </c>
      <c r="C29" s="952" t="inlineStr">
        <is>
          <t>Long Range Planning</t>
        </is>
      </c>
      <c r="D29" s="952" t="inlineStr">
        <is>
          <t>Adopted plans and ongoing long-range planning work.</t>
        </is>
      </c>
      <c r="E29" s="952" t="inlineStr">
        <is>
          <t>Find subarea, transportation and other adopted planning documents.</t>
        </is>
      </c>
      <c r="F29" s="952" t="inlineStr">
        <is>
          <t>Yes</t>
        </is>
      </c>
      <c r="G29" s="1188" t="inlineStr">
        <is>
          <t>https://adamscountyco.gov/our-county/community-economic-development/planning-development/long-range-planning/</t>
        </is>
      </c>
      <c r="H29" s="1129" t="n">
        <v>46213</v>
      </c>
      <c r="I29" s="951" t="inlineStr">
        <is>
          <t>High</t>
        </is>
      </c>
    </row>
    <row r="30" ht="42" customHeight="1">
      <c r="A30" s="952" t="inlineStr">
        <is>
          <t>Adams County</t>
        </is>
      </c>
      <c r="B30" s="952" t="inlineStr">
        <is>
          <t>Permits</t>
        </is>
      </c>
      <c r="C30" s="952" t="inlineStr">
        <is>
          <t>Permits &amp; Licensing</t>
        </is>
      </c>
      <c r="D30" s="952" t="inlineStr">
        <is>
          <t>County permit, license and Eye on Adams resources for unincorporated property.</t>
        </is>
      </c>
      <c r="E30" s="952" t="inlineStr">
        <is>
          <t>Find permit tools, licensing information and code-related records.</t>
        </is>
      </c>
      <c r="F30" s="952" t="inlineStr">
        <is>
          <t>Yes</t>
        </is>
      </c>
      <c r="G30" s="1188" t="inlineStr">
        <is>
          <t>https://adamscountyco.gov/our-county/community-economic-development/permits-licensing/</t>
        </is>
      </c>
      <c r="H30" s="1129" t="n">
        <v>46213</v>
      </c>
      <c r="I30" s="951" t="inlineStr">
        <is>
          <t>Critical</t>
        </is>
      </c>
    </row>
    <row r="31" ht="42" customHeight="1">
      <c r="A31" s="952" t="inlineStr">
        <is>
          <t>Adams County</t>
        </is>
      </c>
      <c r="B31" s="952" t="inlineStr">
        <is>
          <t>Permits</t>
        </is>
      </c>
      <c r="C31" s="952" t="inlineStr">
        <is>
          <t>Building Permit</t>
        </is>
      </c>
      <c r="D31" s="952" t="inlineStr">
        <is>
          <t>Building-permit application, review, payment and permit-tracking guidance.</t>
        </is>
      </c>
      <c r="E31" s="952" t="inlineStr">
        <is>
          <t>Research or apply for building permits in unincorporated Adams County.</t>
        </is>
      </c>
      <c r="F31" s="952" t="inlineStr">
        <is>
          <t>Yes</t>
        </is>
      </c>
      <c r="G31" s="1188" t="inlineStr">
        <is>
          <t>https://adamscountyco.gov/our-county/community-economic-development/building-safety/building-permit/</t>
        </is>
      </c>
      <c r="H31" s="1129" t="n">
        <v>46213</v>
      </c>
      <c r="I31" s="951" t="inlineStr">
        <is>
          <t>Critical</t>
        </is>
      </c>
    </row>
    <row r="32" ht="42" customHeight="1">
      <c r="A32" s="952" t="inlineStr">
        <is>
          <t>Adams County</t>
        </is>
      </c>
      <c r="B32" s="952" t="inlineStr">
        <is>
          <t>Permits</t>
        </is>
      </c>
      <c r="C32" s="952" t="inlineStr">
        <is>
          <t>Apply for a Building Permit</t>
        </is>
      </c>
      <c r="D32" s="952" t="inlineStr">
        <is>
          <t>Service guide to the building-permit process and required resources.</t>
        </is>
      </c>
      <c r="E32" s="952" t="inlineStr">
        <is>
          <t>Use as a concise application starting point.</t>
        </is>
      </c>
      <c r="F32" s="952" t="inlineStr">
        <is>
          <t>Yes</t>
        </is>
      </c>
      <c r="G32" s="1188" t="inlineStr">
        <is>
          <t>https://adamscountyco.gov/service/apply-for-a-building-permit/</t>
        </is>
      </c>
      <c r="H32" s="1129" t="n">
        <v>46213</v>
      </c>
      <c r="I32" s="951" t="inlineStr">
        <is>
          <t>High</t>
        </is>
      </c>
    </row>
    <row r="33" ht="42" customHeight="1">
      <c r="A33" s="952" t="inlineStr">
        <is>
          <t>Adams County</t>
        </is>
      </c>
      <c r="B33" s="952" t="inlineStr">
        <is>
          <t>Permits</t>
        </is>
      </c>
      <c r="C33" s="952" t="inlineStr">
        <is>
          <t>Permit Fees &amp; Contractor Registration</t>
        </is>
      </c>
      <c r="D33" s="952" t="inlineStr">
        <is>
          <t>Permit fee and contractor licensing information.</t>
        </is>
      </c>
      <c r="E33" s="952" t="inlineStr">
        <is>
          <t>Estimate administrative requirements and verify contractor registration procedures.</t>
        </is>
      </c>
      <c r="F33" s="952" t="inlineStr">
        <is>
          <t>Yes</t>
        </is>
      </c>
      <c r="G33" s="1188" t="inlineStr">
        <is>
          <t>https://adamscountyco.gov/our-county/community-economic-development/building-safety/permit-fees-contractor-registration/</t>
        </is>
      </c>
      <c r="H33" s="1129" t="n">
        <v>46213</v>
      </c>
      <c r="I33" s="951" t="inlineStr">
        <is>
          <t>Useful</t>
        </is>
      </c>
    </row>
    <row r="34" ht="42" customHeight="1">
      <c r="A34" s="952" t="inlineStr">
        <is>
          <t>Adams County</t>
        </is>
      </c>
      <c r="B34" s="952" t="inlineStr">
        <is>
          <t>Permits</t>
        </is>
      </c>
      <c r="C34" s="952" t="inlineStr">
        <is>
          <t>Submittal Checklists</t>
        </is>
      </c>
      <c r="D34" s="952" t="inlineStr">
        <is>
          <t>Checklists for development and building submittals.</t>
        </is>
      </c>
      <c r="E34" s="952" t="inlineStr">
        <is>
          <t>Confirm required documents before filing an application.</t>
        </is>
      </c>
      <c r="F34" s="952" t="inlineStr">
        <is>
          <t>Yes</t>
        </is>
      </c>
      <c r="G34" s="1188" t="inlineStr">
        <is>
          <t>https://adamscountyco.gov/our-county/community-economic-development/submittal-checklists/</t>
        </is>
      </c>
      <c r="H34" s="1129" t="n">
        <v>46213</v>
      </c>
      <c r="I34" s="951" t="inlineStr">
        <is>
          <t>High</t>
        </is>
      </c>
    </row>
    <row r="35" ht="42" customHeight="1">
      <c r="A35" s="952" t="inlineStr">
        <is>
          <t>Adams County</t>
        </is>
      </c>
      <c r="B35" s="952" t="inlineStr">
        <is>
          <t>Codes</t>
        </is>
      </c>
      <c r="C35" s="952" t="inlineStr">
        <is>
          <t>Codes &amp; Information</t>
        </is>
      </c>
      <c r="D35" s="952" t="inlineStr">
        <is>
          <t>Building codes, development regulations and related compliance resources.</t>
        </is>
      </c>
      <c r="E35" s="952" t="inlineStr">
        <is>
          <t>Verify current construction and land-use standards before design or acquisition.</t>
        </is>
      </c>
      <c r="F35" s="952" t="inlineStr">
        <is>
          <t>Yes</t>
        </is>
      </c>
      <c r="G35" s="1188" t="inlineStr">
        <is>
          <t>https://adamscountyco.gov/our-county/community-economic-development/permits-licensing/codes-information/</t>
        </is>
      </c>
      <c r="H35" s="1129" t="n">
        <v>46213</v>
      </c>
      <c r="I35" s="951" t="inlineStr">
        <is>
          <t>High</t>
        </is>
      </c>
    </row>
    <row r="36" ht="42" customHeight="1">
      <c r="A36" s="952" t="inlineStr">
        <is>
          <t>Adams County</t>
        </is>
      </c>
      <c r="B36" s="952" t="inlineStr">
        <is>
          <t>Online Tools</t>
        </is>
      </c>
      <c r="C36" s="952" t="inlineStr">
        <is>
          <t>Community &amp; Economic Development Online Resources</t>
        </is>
      </c>
      <c r="D36" s="952" t="inlineStr">
        <is>
          <t>Online research and application resources for planning, building and permits.</t>
        </is>
      </c>
      <c r="E36" s="952" t="inlineStr">
        <is>
          <t>Use as a consolidated starting point for development services.</t>
        </is>
      </c>
      <c r="F36" s="952" t="inlineStr">
        <is>
          <t>Yes</t>
        </is>
      </c>
      <c r="G36" s="1188" t="inlineStr">
        <is>
          <t>https://adamscountyco.gov/our-county/community-economic-development/online-resources/</t>
        </is>
      </c>
      <c r="H36" s="1129" t="n">
        <v>46213</v>
      </c>
      <c r="I36" s="951" t="inlineStr">
        <is>
          <t>Useful</t>
        </is>
      </c>
    </row>
    <row r="37" ht="42" customHeight="1">
      <c r="A37" s="952" t="inlineStr">
        <is>
          <t>Adams County</t>
        </is>
      </c>
      <c r="B37" s="952" t="inlineStr">
        <is>
          <t>Road / Access</t>
        </is>
      </c>
      <c r="C37" s="952" t="inlineStr">
        <is>
          <t>Public Works</t>
        </is>
      </c>
      <c r="D37" s="952" t="inlineStr">
        <is>
          <t>County roads, right-of-way, access, stormwater and infrastructure permit information.</t>
        </is>
      </c>
      <c r="E37" s="952" t="inlineStr">
        <is>
          <t>Check county road jurisdiction, access permits and public works projects.</t>
        </is>
      </c>
      <c r="F37" s="952" t="inlineStr">
        <is>
          <t>Yes</t>
        </is>
      </c>
      <c r="G37" s="1188" t="inlineStr">
        <is>
          <t>https://adamscountyco.gov/our-county/public-works/</t>
        </is>
      </c>
      <c r="H37" s="1129" t="n">
        <v>46213</v>
      </c>
      <c r="I37" s="951" t="inlineStr">
        <is>
          <t>High</t>
        </is>
      </c>
    </row>
    <row r="38" ht="42" customHeight="1">
      <c r="A38" s="952" t="inlineStr">
        <is>
          <t>Adams County</t>
        </is>
      </c>
      <c r="B38" s="952" t="inlineStr">
        <is>
          <t>Meetings</t>
        </is>
      </c>
      <c r="C38" s="952" t="inlineStr">
        <is>
          <t>Public Meetings</t>
        </is>
      </c>
      <c r="D38" s="952" t="inlineStr">
        <is>
          <t>County boards, commissions, hearings and public participation links.</t>
        </is>
      </c>
      <c r="E38" s="952" t="inlineStr">
        <is>
          <t>Monitor decisions and public-comment opportunities.</t>
        </is>
      </c>
      <c r="F38" s="952" t="inlineStr">
        <is>
          <t>Yes</t>
        </is>
      </c>
      <c r="G38" s="1188" t="inlineStr">
        <is>
          <t>https://adamscountyco.gov/about-adams-county/public-meetings/</t>
        </is>
      </c>
      <c r="H38" s="1129" t="n">
        <v>46213</v>
      </c>
      <c r="I38" s="951" t="inlineStr">
        <is>
          <t>High</t>
        </is>
      </c>
    </row>
    <row r="39" ht="42" customHeight="1">
      <c r="A39" s="952" t="inlineStr">
        <is>
          <t>Adams County</t>
        </is>
      </c>
      <c r="B39" s="952" t="inlineStr">
        <is>
          <t>Meetings</t>
        </is>
      </c>
      <c r="C39" s="952" t="inlineStr">
        <is>
          <t>Current Meeting Agendas &amp; Archives</t>
        </is>
      </c>
      <c r="D39" s="952" t="inlineStr">
        <is>
          <t>Board of County Commissioners agendas, minutes, audio and public hearing information.</t>
        </is>
      </c>
      <c r="E39" s="952" t="inlineStr">
        <is>
          <t>Track pending and completed county actions.</t>
        </is>
      </c>
      <c r="F39" s="952" t="inlineStr">
        <is>
          <t>Yes</t>
        </is>
      </c>
      <c r="G39" s="1188" t="inlineStr">
        <is>
          <t>https://adamscountyco.gov/our-county/elected-officials/board-of-county-commissioners/current-meeting-agendas-archives/</t>
        </is>
      </c>
      <c r="H39" s="1129" t="n">
        <v>46213</v>
      </c>
      <c r="I39" s="951" t="inlineStr">
        <is>
          <t>High</t>
        </is>
      </c>
    </row>
    <row r="40" ht="42" customHeight="1">
      <c r="A40" s="952" t="inlineStr">
        <is>
          <t>Adams County</t>
        </is>
      </c>
      <c r="B40" s="952" t="inlineStr">
        <is>
          <t>News</t>
        </is>
      </c>
      <c r="C40" s="952" t="inlineStr">
        <is>
          <t>Adams County News</t>
        </is>
      </c>
      <c r="D40" s="952" t="inlineStr">
        <is>
          <t>Official county news and announcements.</t>
        </is>
      </c>
      <c r="E40" s="952" t="inlineStr">
        <is>
          <t>Monitor code updates, projects, hearings, public programs and policy changes.</t>
        </is>
      </c>
      <c r="F40" s="952" t="inlineStr">
        <is>
          <t>Yes</t>
        </is>
      </c>
      <c r="G40" s="1188" t="inlineStr">
        <is>
          <t>https://adamscountyco.gov/about-adams-county/news/</t>
        </is>
      </c>
      <c r="H40" s="1129" t="n">
        <v>46213</v>
      </c>
      <c r="I40" s="951" t="inlineStr">
        <is>
          <t>High</t>
        </is>
      </c>
    </row>
    <row r="41" ht="42" customHeight="1">
      <c r="A41" s="952" t="inlineStr">
        <is>
          <t>Adams County</t>
        </is>
      </c>
      <c r="B41" s="952" t="inlineStr">
        <is>
          <t>News</t>
        </is>
      </c>
      <c r="C41" s="952" t="inlineStr">
        <is>
          <t>Planning &amp; Development News &amp; Updates</t>
        </is>
      </c>
      <c r="D41" s="952" t="inlineStr">
        <is>
          <t>Updates from the county planning and development division.</t>
        </is>
      </c>
      <c r="E41" s="952" t="inlineStr">
        <is>
          <t>Watch for development-regulation changes and planning initiatives.</t>
        </is>
      </c>
      <c r="F41" s="952" t="inlineStr">
        <is>
          <t>Yes</t>
        </is>
      </c>
      <c r="G41" s="1188" t="inlineStr">
        <is>
          <t>https://adamscountyco.gov/our-county/community-economic-development/planning-development/news-updates/</t>
        </is>
      </c>
      <c r="H41" s="1129" t="n">
        <v>46213</v>
      </c>
      <c r="I41" s="951" t="inlineStr">
        <is>
          <t>High</t>
        </is>
      </c>
    </row>
  </sheetData>
  <mergeCells count="2">
    <mergeCell ref="A1:I1"/>
    <mergeCell ref="A2:I2"/>
  </mergeCells>
  <dataValidations count="1">
    <dataValidation sqref="I5:I41"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J176"/>
  <sheetViews>
    <sheetView workbookViewId="0">
      <selection activeCell="A1" sqref="A1"/>
    </sheetView>
  </sheetViews>
  <sheetFormatPr baseColWidth="8" defaultRowHeight="15"/>
  <cols>
    <col width="18" customWidth="1" min="1" max="1"/>
    <col width="23" customWidth="1" min="2" max="2"/>
    <col width="32" customWidth="1" min="3" max="3"/>
    <col width="52" customWidth="1" min="4" max="4"/>
    <col width="52" customWidth="1" min="5" max="5"/>
    <col width="6" customWidth="1" min="6" max="6"/>
    <col width="52" customWidth="1" min="7" max="7"/>
    <col width="52" customWidth="1" min="8" max="8"/>
    <col width="21" customWidth="1" min="9" max="9"/>
    <col width="12" customWidth="1" min="10" max="10"/>
  </cols>
  <sheetData>
    <row r="1" ht="32" customHeight="1">
      <c r="A1" s="957" t="inlineStr">
        <is>
          <t>Municipal Property, Zoning, Planning, Development &amp; Permit Directory</t>
        </is>
      </c>
    </row>
    <row r="2" ht="28" customHeight="1">
      <c r="A2" s="958" t="inlineStr">
        <is>
          <t>Detailed official resources for Arvada, Aurora, Bennett, Brighton, Commerce City, Federal Heights, Lochbuie, Northglenn, Thornton and Westminster.</t>
        </is>
      </c>
    </row>
    <row r="4" ht="30" customHeight="1">
      <c r="A4" s="959" t="inlineStr">
        <is>
          <t>Municipality</t>
        </is>
      </c>
      <c r="B4" s="959" t="inlineStr">
        <is>
          <t>Category</t>
        </is>
      </c>
      <c r="C4" s="959" t="inlineStr">
        <is>
          <t>Resource</t>
        </is>
      </c>
      <c r="D4" s="1187" t="inlineStr">
        <is>
          <t>What It Provides</t>
        </is>
      </c>
      <c r="E4" s="1187" t="inlineStr">
        <is>
          <t>Best Use</t>
        </is>
      </c>
      <c r="F4" s="959" t="inlineStr">
        <is>
          <t>Official</t>
        </is>
      </c>
      <c r="G4" s="1187" t="inlineStr">
        <is>
          <t>URL</t>
        </is>
      </c>
      <c r="H4" s="1187" t="inlineStr">
        <is>
          <t>Coverage Note</t>
        </is>
      </c>
      <c r="I4" s="959" t="inlineStr">
        <is>
          <t>Verified</t>
        </is>
      </c>
      <c r="J4" s="959" t="inlineStr">
        <is>
          <t>Priority</t>
        </is>
      </c>
    </row>
    <row r="5" ht="42" customHeight="1">
      <c r="A5" s="952" t="inlineStr">
        <is>
          <t>Arvada</t>
        </is>
      </c>
      <c r="B5" s="952" t="inlineStr">
        <is>
          <t>Official Website</t>
        </is>
      </c>
      <c r="C5" s="952" t="inlineStr">
        <is>
          <t>City of Arvada</t>
        </is>
      </c>
      <c r="D5" s="952" t="inlineStr">
        <is>
          <t>Main city website and departmental navigation.</t>
        </is>
      </c>
      <c r="E5" s="952" t="inlineStr">
        <is>
          <t>Verify current city contacts and services.</t>
        </is>
      </c>
      <c r="F5" s="952" t="inlineStr">
        <is>
          <t>Yes</t>
        </is>
      </c>
      <c r="G5" s="1188" t="inlineStr">
        <is>
          <t>https://www.arvadaco.gov/</t>
        </is>
      </c>
      <c r="H5" s="952" t="inlineStr">
        <is>
          <t>Use for parcels inside this jurisdiction; confirm the parcel's actual county before relying on county recorder or assessor records.</t>
        </is>
      </c>
      <c r="I5" s="1129" t="n">
        <v>46213</v>
      </c>
      <c r="J5" s="951" t="inlineStr">
        <is>
          <t>Reference</t>
        </is>
      </c>
    </row>
    <row r="6" ht="42" customHeight="1">
      <c r="A6" s="952" t="inlineStr">
        <is>
          <t>Arvada</t>
        </is>
      </c>
      <c r="B6" s="952" t="inlineStr">
        <is>
          <t>GIS / Property</t>
        </is>
      </c>
      <c r="C6" s="952" t="inlineStr">
        <is>
          <t>Maps and Property Search</t>
        </is>
      </c>
      <c r="D6" s="952" t="inlineStr">
        <is>
          <t>City maps and parcel/property research links.</t>
        </is>
      </c>
      <c r="E6" s="952" t="inlineStr">
        <is>
          <t>Locate parcels, zoning and mapped city information.</t>
        </is>
      </c>
      <c r="F6" s="952" t="inlineStr">
        <is>
          <t>Yes</t>
        </is>
      </c>
      <c r="G6" s="1188" t="inlineStr">
        <is>
          <t>https://www.arvadaco.gov/702/Maps-and-Property-Search</t>
        </is>
      </c>
      <c r="H6" s="952" t="inlineStr">
        <is>
          <t>Use for parcels inside this jurisdiction; confirm the parcel's actual county before relying on county recorder or assessor records.</t>
        </is>
      </c>
      <c r="I6" s="1129" t="n">
        <v>46213</v>
      </c>
      <c r="J6" s="951" t="inlineStr">
        <is>
          <t>Critical</t>
        </is>
      </c>
    </row>
    <row r="7" ht="42" customHeight="1">
      <c r="A7" s="952" t="inlineStr">
        <is>
          <t>Arvada</t>
        </is>
      </c>
      <c r="B7" s="952" t="inlineStr">
        <is>
          <t>Zoning</t>
        </is>
      </c>
      <c r="C7" s="952" t="inlineStr">
        <is>
          <t>Zoning</t>
        </is>
      </c>
      <c r="D7" s="952" t="inlineStr">
        <is>
          <t>Zoning districts, regulations and zoning information.</t>
        </is>
      </c>
      <c r="E7" s="952" t="inlineStr">
        <is>
          <t>Confirm district and permitted-use rules.</t>
        </is>
      </c>
      <c r="F7" s="952" t="inlineStr">
        <is>
          <t>Yes</t>
        </is>
      </c>
      <c r="G7" s="1188" t="inlineStr">
        <is>
          <t>https://www.arvadaco.gov/168/Zoning</t>
        </is>
      </c>
      <c r="H7" s="952" t="inlineStr">
        <is>
          <t>Use for parcels inside this jurisdiction; confirm the parcel's actual county before relying on county recorder or assessor records.</t>
        </is>
      </c>
      <c r="I7" s="1129" t="n">
        <v>46213</v>
      </c>
      <c r="J7" s="951" t="inlineStr">
        <is>
          <t>Critical</t>
        </is>
      </c>
    </row>
    <row r="8" ht="42" customHeight="1">
      <c r="A8" s="952" t="inlineStr">
        <is>
          <t>Arvada</t>
        </is>
      </c>
      <c r="B8" s="952" t="inlineStr">
        <is>
          <t>Planning</t>
        </is>
      </c>
      <c r="C8" s="952" t="inlineStr">
        <is>
          <t>Planning and Development</t>
        </is>
      </c>
      <c r="D8" s="952" t="inlineStr">
        <is>
          <t>Planning, land use, development review and long-range resources.</t>
        </is>
      </c>
      <c r="E8" s="952" t="inlineStr">
        <is>
          <t>Start development or entitlement research.</t>
        </is>
      </c>
      <c r="F8" s="952" t="inlineStr">
        <is>
          <t>Yes</t>
        </is>
      </c>
      <c r="G8" s="1188" t="inlineStr">
        <is>
          <t>https://www.arvadaco.gov/1369/Planning-and-Development</t>
        </is>
      </c>
      <c r="H8" s="952" t="inlineStr">
        <is>
          <t>Use for parcels inside this jurisdiction; confirm the parcel's actual county before relying on county recorder or assessor records.</t>
        </is>
      </c>
      <c r="I8" s="1129" t="n">
        <v>46213</v>
      </c>
      <c r="J8" s="951" t="inlineStr">
        <is>
          <t>Critical</t>
        </is>
      </c>
    </row>
    <row r="9" ht="42" customHeight="1">
      <c r="A9" s="952" t="inlineStr">
        <is>
          <t>Arvada</t>
        </is>
      </c>
      <c r="B9" s="952" t="inlineStr">
        <is>
          <t>Code</t>
        </is>
      </c>
      <c r="C9" s="952" t="inlineStr">
        <is>
          <t>Land Development Code</t>
        </is>
      </c>
      <c r="D9" s="952" t="inlineStr">
        <is>
          <t>Current land-development regulations.</t>
        </is>
      </c>
      <c r="E9" s="952" t="inlineStr">
        <is>
          <t>Review use, dimensional, design and review standards.</t>
        </is>
      </c>
      <c r="F9" s="952" t="inlineStr">
        <is>
          <t>Yes</t>
        </is>
      </c>
      <c r="G9" s="1188" t="inlineStr">
        <is>
          <t>https://www.arvadaco.gov/1397/Land-Development-Code</t>
        </is>
      </c>
      <c r="H9" s="952" t="inlineStr">
        <is>
          <t>Use for parcels inside this jurisdiction; confirm the parcel's actual county before relying on county recorder or assessor records.</t>
        </is>
      </c>
      <c r="I9" s="1129" t="n">
        <v>46213</v>
      </c>
      <c r="J9" s="951" t="inlineStr">
        <is>
          <t>Critical</t>
        </is>
      </c>
    </row>
    <row r="10" ht="42" customHeight="1">
      <c r="A10" s="952" t="inlineStr">
        <is>
          <t>Arvada</t>
        </is>
      </c>
      <c r="B10" s="952" t="inlineStr">
        <is>
          <t>Development</t>
        </is>
      </c>
      <c r="C10" s="952" t="inlineStr">
        <is>
          <t>Active Development Projects</t>
        </is>
      </c>
      <c r="D10" s="952" t="inlineStr">
        <is>
          <t>Map/list of current development projects.</t>
        </is>
      </c>
      <c r="E10" s="952" t="inlineStr">
        <is>
          <t>Identify pending or active projects near a target property.</t>
        </is>
      </c>
      <c r="F10" s="952" t="inlineStr">
        <is>
          <t>Yes</t>
        </is>
      </c>
      <c r="G10" s="1188" t="inlineStr">
        <is>
          <t>https://www.arvadaco.gov/1394/Active-Development-Projects</t>
        </is>
      </c>
      <c r="H10" s="952" t="inlineStr">
        <is>
          <t>Use for parcels inside this jurisdiction; confirm the parcel's actual county before relying on county recorder or assessor records.</t>
        </is>
      </c>
      <c r="I10" s="1129" t="n">
        <v>46213</v>
      </c>
      <c r="J10" s="951" t="inlineStr">
        <is>
          <t>High</t>
        </is>
      </c>
    </row>
    <row r="11" ht="42" customHeight="1">
      <c r="A11" s="952" t="inlineStr">
        <is>
          <t>Arvada</t>
        </is>
      </c>
      <c r="B11" s="952" t="inlineStr">
        <is>
          <t>Development</t>
        </is>
      </c>
      <c r="C11" s="952" t="inlineStr">
        <is>
          <t>Development Review Process</t>
        </is>
      </c>
      <c r="D11" s="952" t="inlineStr">
        <is>
          <t>Explanation of land-use and development review steps.</t>
        </is>
      </c>
      <c r="E11" s="952" t="inlineStr">
        <is>
          <t>Estimate entitlement path and required approvals.</t>
        </is>
      </c>
      <c r="F11" s="952" t="inlineStr">
        <is>
          <t>Yes</t>
        </is>
      </c>
      <c r="G11" s="1188" t="inlineStr">
        <is>
          <t>https://www.arvadaco.gov/1393/Development-Review-Process</t>
        </is>
      </c>
      <c r="H11" s="952" t="inlineStr">
        <is>
          <t>Use for parcels inside this jurisdiction; confirm the parcel's actual county before relying on county recorder or assessor records.</t>
        </is>
      </c>
      <c r="I11" s="1129" t="n">
        <v>46213</v>
      </c>
      <c r="J11" s="951" t="inlineStr">
        <is>
          <t>High</t>
        </is>
      </c>
    </row>
    <row r="12" ht="42" customHeight="1">
      <c r="A12" s="952" t="inlineStr">
        <is>
          <t>Arvada</t>
        </is>
      </c>
      <c r="B12" s="952" t="inlineStr">
        <is>
          <t>Planning Documents</t>
        </is>
      </c>
      <c r="C12" s="952" t="inlineStr">
        <is>
          <t>Documents and Downloads</t>
        </is>
      </c>
      <c r="D12" s="952" t="inlineStr">
        <is>
          <t>Applications, checklists, plans and planning documents.</t>
        </is>
      </c>
      <c r="E12" s="952" t="inlineStr">
        <is>
          <t>Collect forms and supporting standards.</t>
        </is>
      </c>
      <c r="F12" s="952" t="inlineStr">
        <is>
          <t>Yes</t>
        </is>
      </c>
      <c r="G12" s="1188" t="inlineStr">
        <is>
          <t>https://www.arvadaco.gov/363/Documents-and-Downloads</t>
        </is>
      </c>
      <c r="H12" s="952" t="inlineStr">
        <is>
          <t>Use for parcels inside this jurisdiction; confirm the parcel's actual county before relying on county recorder or assessor records.</t>
        </is>
      </c>
      <c r="I12" s="1129" t="n">
        <v>46213</v>
      </c>
      <c r="J12" s="951" t="inlineStr">
        <is>
          <t>Useful</t>
        </is>
      </c>
    </row>
    <row r="13" ht="42" customHeight="1">
      <c r="A13" s="952" t="inlineStr">
        <is>
          <t>Arvada</t>
        </is>
      </c>
      <c r="B13" s="952" t="inlineStr">
        <is>
          <t>Permits</t>
        </is>
      </c>
      <c r="C13" s="952" t="inlineStr">
        <is>
          <t>Permits</t>
        </is>
      </c>
      <c r="D13" s="952" t="inlineStr">
        <is>
          <t>City permit portal and permit categories.</t>
        </is>
      </c>
      <c r="E13" s="952" t="inlineStr">
        <is>
          <t>Find applicable city permits.</t>
        </is>
      </c>
      <c r="F13" s="952" t="inlineStr">
        <is>
          <t>Yes</t>
        </is>
      </c>
      <c r="G13" s="1188" t="inlineStr">
        <is>
          <t>https://www.arvadaco.gov/330/Permits</t>
        </is>
      </c>
      <c r="H13" s="952" t="inlineStr">
        <is>
          <t>Use for parcels inside this jurisdiction; confirm the parcel's actual county before relying on county recorder or assessor records.</t>
        </is>
      </c>
      <c r="I13" s="1129" t="n">
        <v>46213</v>
      </c>
      <c r="J13" s="951" t="inlineStr">
        <is>
          <t>High</t>
        </is>
      </c>
    </row>
    <row r="14" ht="42" customHeight="1">
      <c r="A14" s="952" t="inlineStr">
        <is>
          <t>Arvada</t>
        </is>
      </c>
      <c r="B14" s="952" t="inlineStr">
        <is>
          <t>Permits</t>
        </is>
      </c>
      <c r="C14" s="952" t="inlineStr">
        <is>
          <t>Building Permits</t>
        </is>
      </c>
      <c r="D14" s="952" t="inlineStr">
        <is>
          <t>Building-permit requirements and guidance.</t>
        </is>
      </c>
      <c r="E14" s="952" t="inlineStr">
        <is>
          <t>Research construction permit needs.</t>
        </is>
      </c>
      <c r="F14" s="952" t="inlineStr">
        <is>
          <t>Yes</t>
        </is>
      </c>
      <c r="G14" s="1188" t="inlineStr">
        <is>
          <t>https://www.arvadaco.gov/332/Building-Permits</t>
        </is>
      </c>
      <c r="H14" s="952" t="inlineStr">
        <is>
          <t>Use for parcels inside this jurisdiction; confirm the parcel's actual county before relying on county recorder or assessor records.</t>
        </is>
      </c>
      <c r="I14" s="1129" t="n">
        <v>46213</v>
      </c>
      <c r="J14" s="951" t="inlineStr">
        <is>
          <t>Critical</t>
        </is>
      </c>
    </row>
    <row r="15" ht="42" customHeight="1">
      <c r="A15" s="952" t="inlineStr">
        <is>
          <t>Arvada</t>
        </is>
      </c>
      <c r="B15" s="952" t="inlineStr">
        <is>
          <t>Permits</t>
        </is>
      </c>
      <c r="C15" s="952" t="inlineStr">
        <is>
          <t>eTRAKiT Help</t>
        </is>
      </c>
      <c r="D15" s="952" t="inlineStr">
        <is>
          <t>Online permit and project portal help.</t>
        </is>
      </c>
      <c r="E15" s="952" t="inlineStr">
        <is>
          <t>Search or manage permits and development cases.</t>
        </is>
      </c>
      <c r="F15" s="952" t="inlineStr">
        <is>
          <t>Yes</t>
        </is>
      </c>
      <c r="G15" s="1188" t="inlineStr">
        <is>
          <t>https://www.arvadaco.gov/593/eTRAKiT-Help/permithelp</t>
        </is>
      </c>
      <c r="H15" s="952" t="inlineStr">
        <is>
          <t>Use for parcels inside this jurisdiction; confirm the parcel's actual county before relying on county recorder or assessor records.</t>
        </is>
      </c>
      <c r="I15" s="1129" t="n">
        <v>46213</v>
      </c>
      <c r="J15" s="951" t="inlineStr">
        <is>
          <t>High</t>
        </is>
      </c>
    </row>
    <row r="16" ht="42" customHeight="1">
      <c r="A16" s="952" t="inlineStr">
        <is>
          <t>Arvada</t>
        </is>
      </c>
      <c r="B16" s="952" t="inlineStr">
        <is>
          <t>Permit History</t>
        </is>
      </c>
      <c r="C16" s="952" t="inlineStr">
        <is>
          <t>Researching Permits</t>
        </is>
      </c>
      <c r="D16" s="952" t="inlineStr">
        <is>
          <t>Instructions for researching historical permits.</t>
        </is>
      </c>
      <c r="E16" s="952" t="inlineStr">
        <is>
          <t>Check prior construction and permit records.</t>
        </is>
      </c>
      <c r="F16" s="952" t="inlineStr">
        <is>
          <t>Yes</t>
        </is>
      </c>
      <c r="G16" s="1188" t="inlineStr">
        <is>
          <t>https://www.arvadaco.gov/627/Researching-Permits</t>
        </is>
      </c>
      <c r="H16" s="952" t="inlineStr">
        <is>
          <t>Use for parcels inside this jurisdiction; confirm the parcel's actual county before relying on county recorder or assessor records.</t>
        </is>
      </c>
      <c r="I16" s="1129" t="n">
        <v>46213</v>
      </c>
      <c r="J16" s="951" t="inlineStr">
        <is>
          <t>High</t>
        </is>
      </c>
    </row>
    <row r="17" ht="42" customHeight="1">
      <c r="A17" s="952" t="inlineStr">
        <is>
          <t>Arvada</t>
        </is>
      </c>
      <c r="B17" s="952" t="inlineStr">
        <is>
          <t>Long-Range Planning</t>
        </is>
      </c>
      <c r="C17" s="952" t="inlineStr">
        <is>
          <t>2026-27 Comprehensive Plan</t>
        </is>
      </c>
      <c r="D17" s="952" t="inlineStr">
        <is>
          <t>Current comprehensive-plan update information.</t>
        </is>
      </c>
      <c r="E17" s="952" t="inlineStr">
        <is>
          <t>Track future land-use policy and plan changes.</t>
        </is>
      </c>
      <c r="F17" s="952" t="inlineStr">
        <is>
          <t>Yes</t>
        </is>
      </c>
      <c r="G17" s="1188" t="inlineStr">
        <is>
          <t>https://www.arvadaco.gov/1374/2026-27-Comprehensive-Plan</t>
        </is>
      </c>
      <c r="H17" s="952" t="inlineStr">
        <is>
          <t>Use for parcels inside this jurisdiction; confirm the parcel's actual county before relying on county recorder or assessor records.</t>
        </is>
      </c>
      <c r="I17" s="1129" t="n">
        <v>46213</v>
      </c>
      <c r="J17" s="951" t="inlineStr">
        <is>
          <t>High</t>
        </is>
      </c>
    </row>
    <row r="18" ht="42" customHeight="1">
      <c r="A18" s="952" t="inlineStr">
        <is>
          <t>Arvada</t>
        </is>
      </c>
      <c r="B18" s="952" t="inlineStr">
        <is>
          <t>Plans</t>
        </is>
      </c>
      <c r="C18" s="952" t="inlineStr">
        <is>
          <t>City Plans</t>
        </is>
      </c>
      <c r="D18" s="952" t="inlineStr">
        <is>
          <t>Adopted and ongoing city plans.</t>
        </is>
      </c>
      <c r="E18" s="952" t="inlineStr">
        <is>
          <t>Review subarea and long-range policy documents.</t>
        </is>
      </c>
      <c r="F18" s="952" t="inlineStr">
        <is>
          <t>Yes</t>
        </is>
      </c>
      <c r="G18" s="1188" t="inlineStr">
        <is>
          <t>https://www.arvadaco.gov/304/City-Plans</t>
        </is>
      </c>
      <c r="H18" s="952" t="inlineStr">
        <is>
          <t>Use for parcels inside this jurisdiction; confirm the parcel's actual county before relying on county recorder or assessor records.</t>
        </is>
      </c>
      <c r="I18" s="1129" t="n">
        <v>46213</v>
      </c>
      <c r="J18" s="951" t="inlineStr">
        <is>
          <t>Useful</t>
        </is>
      </c>
    </row>
    <row r="19" ht="42" customHeight="1">
      <c r="A19" s="952" t="inlineStr">
        <is>
          <t>Arvada</t>
        </is>
      </c>
      <c r="B19" s="952" t="inlineStr">
        <is>
          <t>Meetings</t>
        </is>
      </c>
      <c r="C19" s="952" t="inlineStr">
        <is>
          <t>Planning Commission</t>
        </is>
      </c>
      <c r="D19" s="952" t="inlineStr">
        <is>
          <t>Planning Commission information and meeting resources.</t>
        </is>
      </c>
      <c r="E19" s="952" t="inlineStr">
        <is>
          <t>Monitor land-use recommendations and hearings.</t>
        </is>
      </c>
      <c r="F19" s="952" t="inlineStr">
        <is>
          <t>Yes</t>
        </is>
      </c>
      <c r="G19" s="1188" t="inlineStr">
        <is>
          <t>https://www.arvadaco.gov/276/Planning-Commission</t>
        </is>
      </c>
      <c r="H19" s="952" t="inlineStr">
        <is>
          <t>Use for parcels inside this jurisdiction; confirm the parcel's actual county before relying on county recorder or assessor records.</t>
        </is>
      </c>
      <c r="I19" s="1129" t="n">
        <v>46213</v>
      </c>
      <c r="J19" s="951" t="inlineStr">
        <is>
          <t>High</t>
        </is>
      </c>
    </row>
    <row r="20" ht="42" customHeight="1">
      <c r="A20" s="952" t="inlineStr">
        <is>
          <t>Arvada</t>
        </is>
      </c>
      <c r="B20" s="952" t="inlineStr">
        <is>
          <t>Meetings</t>
        </is>
      </c>
      <c r="C20" s="952" t="inlineStr">
        <is>
          <t>Agenda Center</t>
        </is>
      </c>
      <c r="D20" s="952" t="inlineStr">
        <is>
          <t>Agendas and minutes for city boards and council.</t>
        </is>
      </c>
      <c r="E20" s="952" t="inlineStr">
        <is>
          <t>Track official actions and hearing dates.</t>
        </is>
      </c>
      <c r="F20" s="952" t="inlineStr">
        <is>
          <t>Yes</t>
        </is>
      </c>
      <c r="G20" s="1188" t="inlineStr">
        <is>
          <t>https://www.arvadaco.gov/AgendaCenter</t>
        </is>
      </c>
      <c r="H20" s="952" t="inlineStr">
        <is>
          <t>Use for parcels inside this jurisdiction; confirm the parcel's actual county before relying on county recorder or assessor records.</t>
        </is>
      </c>
      <c r="I20" s="1129" t="n">
        <v>46213</v>
      </c>
      <c r="J20" s="951" t="inlineStr">
        <is>
          <t>High</t>
        </is>
      </c>
    </row>
    <row r="21" ht="42" customHeight="1">
      <c r="A21" s="952" t="inlineStr">
        <is>
          <t>Arvada</t>
        </is>
      </c>
      <c r="B21" s="952" t="inlineStr">
        <is>
          <t>Public Notices</t>
        </is>
      </c>
      <c r="C21" s="952" t="inlineStr">
        <is>
          <t>Meetings and Other Legal Notices</t>
        </is>
      </c>
      <c r="D21" s="952" t="inlineStr">
        <is>
          <t>Official notices and public-hearing information.</t>
        </is>
      </c>
      <c r="E21" s="952" t="inlineStr">
        <is>
          <t>Confirm formal notice and comment deadlines.</t>
        </is>
      </c>
      <c r="F21" s="952" t="inlineStr">
        <is>
          <t>Yes</t>
        </is>
      </c>
      <c r="G21" s="1188" t="inlineStr">
        <is>
          <t>https://www.arvadaco.gov/245/Meetings-and-Other-Legal-Notices</t>
        </is>
      </c>
      <c r="H21" s="952" t="inlineStr">
        <is>
          <t>Use for parcels inside this jurisdiction; confirm the parcel's actual county before relying on county recorder or assessor records.</t>
        </is>
      </c>
      <c r="I21" s="1129" t="n">
        <v>46213</v>
      </c>
      <c r="J21" s="951" t="inlineStr">
        <is>
          <t>High</t>
        </is>
      </c>
    </row>
    <row r="22" ht="42" customHeight="1">
      <c r="A22" s="952" t="inlineStr">
        <is>
          <t>Arvada</t>
        </is>
      </c>
      <c r="B22" s="952" t="inlineStr">
        <is>
          <t>News</t>
        </is>
      </c>
      <c r="C22" s="952" t="inlineStr">
        <is>
          <t>News Releases</t>
        </is>
      </c>
      <c r="D22" s="952" t="inlineStr">
        <is>
          <t>Official city news releases.</t>
        </is>
      </c>
      <c r="E22" s="952" t="inlineStr">
        <is>
          <t>Monitor city projects, policy and development announcements.</t>
        </is>
      </c>
      <c r="F22" s="952" t="inlineStr">
        <is>
          <t>Yes</t>
        </is>
      </c>
      <c r="G22" s="1188" t="inlineStr">
        <is>
          <t>https://www.arvadaco.gov/908/News-Releases</t>
        </is>
      </c>
      <c r="H22" s="952" t="inlineStr">
        <is>
          <t>Use for parcels inside this jurisdiction; confirm the parcel's actual county before relying on county recorder or assessor records.</t>
        </is>
      </c>
      <c r="I22" s="1129" t="n">
        <v>46213</v>
      </c>
      <c r="J22" s="951" t="inlineStr">
        <is>
          <t>Useful</t>
        </is>
      </c>
    </row>
    <row r="23" ht="42" customHeight="1">
      <c r="A23" s="952" t="inlineStr">
        <is>
          <t>Arvada</t>
        </is>
      </c>
      <c r="B23" s="952" t="inlineStr">
        <is>
          <t>Public Records</t>
        </is>
      </c>
      <c r="C23" s="952" t="inlineStr">
        <is>
          <t>Records and Requests</t>
        </is>
      </c>
      <c r="D23" s="952" t="inlineStr">
        <is>
          <t>Public records request information.</t>
        </is>
      </c>
      <c r="E23" s="952" t="inlineStr">
        <is>
          <t>Request records not available in online systems.</t>
        </is>
      </c>
      <c r="F23" s="952" t="inlineStr">
        <is>
          <t>Yes</t>
        </is>
      </c>
      <c r="G23" s="1188" t="inlineStr">
        <is>
          <t>https://www.arvadaco.gov/247/Records-and-Requests</t>
        </is>
      </c>
      <c r="H23" s="952" t="inlineStr">
        <is>
          <t>Use for parcels inside this jurisdiction; confirm the parcel's actual county before relying on county recorder or assessor records.</t>
        </is>
      </c>
      <c r="I23" s="1129" t="n">
        <v>46213</v>
      </c>
      <c r="J23" s="951" t="inlineStr">
        <is>
          <t>High</t>
        </is>
      </c>
    </row>
    <row r="24" ht="42" customHeight="1">
      <c r="A24" s="952" t="inlineStr">
        <is>
          <t>Aurora</t>
        </is>
      </c>
      <c r="B24" s="952" t="inlineStr">
        <is>
          <t>Official Website</t>
        </is>
      </c>
      <c r="C24" s="952" t="inlineStr">
        <is>
          <t>City of Aurora</t>
        </is>
      </c>
      <c r="D24" s="952" t="inlineStr">
        <is>
          <t>Main city website.</t>
        </is>
      </c>
      <c r="E24" s="952" t="inlineStr">
        <is>
          <t>Navigate city departments and services.</t>
        </is>
      </c>
      <c r="F24" s="952" t="inlineStr">
        <is>
          <t>Yes</t>
        </is>
      </c>
      <c r="G24" s="1188" t="inlineStr">
        <is>
          <t>https://www.auroragov.org/</t>
        </is>
      </c>
      <c r="H24" s="952" t="inlineStr">
        <is>
          <t>Use for parcels inside this jurisdiction; confirm the parcel's actual county before relying on county recorder or assessor records.</t>
        </is>
      </c>
      <c r="I24" s="1129" t="n">
        <v>46213</v>
      </c>
      <c r="J24" s="951" t="inlineStr">
        <is>
          <t>Reference</t>
        </is>
      </c>
    </row>
    <row r="25" ht="42" customHeight="1">
      <c r="A25" s="952" t="inlineStr">
        <is>
          <t>Aurora</t>
        </is>
      </c>
      <c r="B25" s="952" t="inlineStr">
        <is>
          <t>GIS / Property</t>
        </is>
      </c>
      <c r="C25" s="952" t="inlineStr">
        <is>
          <t>Planning and Zoning Maps</t>
        </is>
      </c>
      <c r="D25" s="952" t="inlineStr">
        <is>
          <t>Planning, zoning and related interactive maps.</t>
        </is>
      </c>
      <c r="E25" s="952" t="inlineStr">
        <is>
          <t>Locate zoning, plan areas and mapped land-use information.</t>
        </is>
      </c>
      <c r="F25" s="952" t="inlineStr">
        <is>
          <t>Yes</t>
        </is>
      </c>
      <c r="G25" s="1188" t="inlineStr">
        <is>
          <t>https://www.auroragov.org/city_hall/maps/planning_and_zoning_maps</t>
        </is>
      </c>
      <c r="H25" s="952" t="inlineStr">
        <is>
          <t>Use for parcels inside this jurisdiction; confirm the parcel's actual county before relying on county recorder or assessor records.</t>
        </is>
      </c>
      <c r="I25" s="1129" t="n">
        <v>46213</v>
      </c>
      <c r="J25" s="951" t="inlineStr">
        <is>
          <t>Critical</t>
        </is>
      </c>
    </row>
    <row r="26" ht="42" customHeight="1">
      <c r="A26" s="952" t="inlineStr">
        <is>
          <t>Aurora</t>
        </is>
      </c>
      <c r="B26" s="952" t="inlineStr">
        <is>
          <t>GIS / Open Data</t>
        </is>
      </c>
      <c r="C26" s="952" t="inlineStr">
        <is>
          <t>Aurora Open Data Map Services</t>
        </is>
      </c>
      <c r="D26" s="952" t="inlineStr">
        <is>
          <t>City GIS open-data map services.</t>
        </is>
      </c>
      <c r="E26" s="952" t="inlineStr">
        <is>
          <t>Use detailed GIS layers or connect mapping software.</t>
        </is>
      </c>
      <c r="F26" s="952" t="inlineStr">
        <is>
          <t>Yes</t>
        </is>
      </c>
      <c r="G26" s="1188" t="inlineStr">
        <is>
          <t>https://ags.auroragov.org/aurora/rest/services/OpenData/MapServer</t>
        </is>
      </c>
      <c r="H26" s="952" t="inlineStr">
        <is>
          <t>Use for parcels inside this jurisdiction; confirm the parcel's actual county before relying on county recorder or assessor records.</t>
        </is>
      </c>
      <c r="I26" s="1129" t="n">
        <v>46213</v>
      </c>
      <c r="J26" s="951" t="inlineStr">
        <is>
          <t>Useful</t>
        </is>
      </c>
    </row>
    <row r="27" ht="42" customHeight="1">
      <c r="A27" s="952" t="inlineStr">
        <is>
          <t>Aurora</t>
        </is>
      </c>
      <c r="B27" s="952" t="inlineStr">
        <is>
          <t>Zoning</t>
        </is>
      </c>
      <c r="C27" s="952" t="inlineStr">
        <is>
          <t>Zoning Navigator</t>
        </is>
      </c>
      <c r="D27" s="952" t="inlineStr">
        <is>
          <t>Interactive zoning and development-code navigation.</t>
        </is>
      </c>
      <c r="E27" s="952" t="inlineStr">
        <is>
          <t>Research district standards and applicable regulations.</t>
        </is>
      </c>
      <c r="F27" s="952" t="inlineStr">
        <is>
          <t>Yes</t>
        </is>
      </c>
      <c r="G27" s="1188" t="inlineStr">
        <is>
          <t>https://zoning.auroragov.org/</t>
        </is>
      </c>
      <c r="H27" s="952" t="inlineStr">
        <is>
          <t>Use for parcels inside this jurisdiction; confirm the parcel's actual county before relying on county recorder or assessor records.</t>
        </is>
      </c>
      <c r="I27" s="1129" t="n">
        <v>46213</v>
      </c>
      <c r="J27" s="951" t="inlineStr">
        <is>
          <t>Critical</t>
        </is>
      </c>
    </row>
    <row r="28" ht="42" customHeight="1">
      <c r="A28" s="952" t="inlineStr">
        <is>
          <t>Aurora</t>
        </is>
      </c>
      <c r="B28" s="952" t="inlineStr">
        <is>
          <t>Planning</t>
        </is>
      </c>
      <c r="C28" s="952" t="inlineStr">
        <is>
          <t>Planning</t>
        </is>
      </c>
      <c r="D28" s="952" t="inlineStr">
        <is>
          <t>Planning division resources, plans and land-use services.</t>
        </is>
      </c>
      <c r="E28" s="952" t="inlineStr">
        <is>
          <t>Start zoning or planning research.</t>
        </is>
      </c>
      <c r="F28" s="952" t="inlineStr">
        <is>
          <t>Yes</t>
        </is>
      </c>
      <c r="G28" s="1188" t="inlineStr">
        <is>
          <t>https://www.auroragov.org/business_services/planning</t>
        </is>
      </c>
      <c r="H28" s="952" t="inlineStr">
        <is>
          <t>Use for parcels inside this jurisdiction; confirm the parcel's actual county before relying on county recorder or assessor records.</t>
        </is>
      </c>
      <c r="I28" s="1129" t="n">
        <v>46213</v>
      </c>
      <c r="J28" s="951" t="inlineStr">
        <is>
          <t>Critical</t>
        </is>
      </c>
    </row>
    <row r="29" ht="42" customHeight="1">
      <c r="A29" s="952" t="inlineStr">
        <is>
          <t>Aurora</t>
        </is>
      </c>
      <c r="B29" s="952" t="inlineStr">
        <is>
          <t>Planning</t>
        </is>
      </c>
      <c r="C29" s="952" t="inlineStr">
        <is>
          <t>Planning &amp; Development Services</t>
        </is>
      </c>
      <c r="D29" s="952" t="inlineStr">
        <is>
          <t>Department-level planning, building and development services.</t>
        </is>
      </c>
      <c r="E29" s="952" t="inlineStr">
        <is>
          <t>Navigate project review and development departments.</t>
        </is>
      </c>
      <c r="F29" s="952" t="inlineStr">
        <is>
          <t>Yes</t>
        </is>
      </c>
      <c r="G29" s="1188" t="inlineStr">
        <is>
          <t>https://www.auroragov.org/city_hall/departments/planning___development_services</t>
        </is>
      </c>
      <c r="H29" s="952" t="inlineStr">
        <is>
          <t>Use for parcels inside this jurisdiction; confirm the parcel's actual county before relying on county recorder or assessor records.</t>
        </is>
      </c>
      <c r="I29" s="1129" t="n">
        <v>46213</v>
      </c>
      <c r="J29" s="951" t="inlineStr">
        <is>
          <t>High</t>
        </is>
      </c>
    </row>
    <row r="30" ht="42" customHeight="1">
      <c r="A30" s="952" t="inlineStr">
        <is>
          <t>Aurora</t>
        </is>
      </c>
      <c r="B30" s="952" t="inlineStr">
        <is>
          <t>Code</t>
        </is>
      </c>
      <c r="C30" s="952" t="inlineStr">
        <is>
          <t>Unified Development Ordinance</t>
        </is>
      </c>
      <c r="D30" s="952" t="inlineStr">
        <is>
          <t>Aurora's land-use and zoning ordinance.</t>
        </is>
      </c>
      <c r="E30" s="952" t="inlineStr">
        <is>
          <t>Review permitted uses, districts and development standards.</t>
        </is>
      </c>
      <c r="F30" s="952" t="inlineStr">
        <is>
          <t>Yes</t>
        </is>
      </c>
      <c r="G30" s="1188" t="inlineStr">
        <is>
          <t>https://www.auroragov.org/business_services/development_center/codes_rules/building___zoning_code/unified_development_ordinance</t>
        </is>
      </c>
      <c r="H30" s="952" t="inlineStr">
        <is>
          <t>Use for parcels inside this jurisdiction; confirm the parcel's actual county before relying on county recorder or assessor records.</t>
        </is>
      </c>
      <c r="I30" s="1129" t="n">
        <v>46213</v>
      </c>
      <c r="J30" s="951" t="inlineStr">
        <is>
          <t>Critical</t>
        </is>
      </c>
    </row>
    <row r="31" ht="42" customHeight="1">
      <c r="A31" s="952" t="inlineStr">
        <is>
          <t>Aurora</t>
        </is>
      </c>
      <c r="B31" s="952" t="inlineStr">
        <is>
          <t>Codes</t>
        </is>
      </c>
      <c r="C31" s="952" t="inlineStr">
        <is>
          <t>Building &amp; Zoning Code</t>
        </is>
      </c>
      <c r="D31" s="952" t="inlineStr">
        <is>
          <t>Building and zoning code resources.</t>
        </is>
      </c>
      <c r="E31" s="952" t="inlineStr">
        <is>
          <t>Verify construction and zoning requirements.</t>
        </is>
      </c>
      <c r="F31" s="952" t="inlineStr">
        <is>
          <t>Yes</t>
        </is>
      </c>
      <c r="G31" s="1188" t="inlineStr">
        <is>
          <t>https://www.auroragov.org/business_services/development_center/codes_rules/building___zoning_code</t>
        </is>
      </c>
      <c r="H31" s="952" t="inlineStr">
        <is>
          <t>Use for parcels inside this jurisdiction; confirm the parcel's actual county before relying on county recorder or assessor records.</t>
        </is>
      </c>
      <c r="I31" s="1129" t="n">
        <v>46213</v>
      </c>
      <c r="J31" s="951" t="inlineStr">
        <is>
          <t>High</t>
        </is>
      </c>
    </row>
    <row r="32" ht="42" customHeight="1">
      <c r="A32" s="952" t="inlineStr">
        <is>
          <t>Aurora</t>
        </is>
      </c>
      <c r="B32" s="952" t="inlineStr">
        <is>
          <t>Development</t>
        </is>
      </c>
      <c r="C32" s="952" t="inlineStr">
        <is>
          <t>Project Status Search</t>
        </is>
      </c>
      <c r="D32" s="952" t="inlineStr">
        <is>
          <t>Online search for development project status.</t>
        </is>
      </c>
      <c r="E32" s="952" t="inlineStr">
        <is>
          <t>Check active or historical development review cases.</t>
        </is>
      </c>
      <c r="F32" s="952" t="inlineStr">
        <is>
          <t>Yes</t>
        </is>
      </c>
      <c r="G32" s="1188" t="inlineStr">
        <is>
          <t>https://coaapps.auroragov.org/ProjectStatus/search.aspx</t>
        </is>
      </c>
      <c r="H32" s="952" t="inlineStr">
        <is>
          <t>Use for parcels inside this jurisdiction; confirm the parcel's actual county before relying on county recorder or assessor records.</t>
        </is>
      </c>
      <c r="I32" s="1129" t="n">
        <v>46213</v>
      </c>
      <c r="J32" s="951" t="inlineStr">
        <is>
          <t>Critical</t>
        </is>
      </c>
    </row>
    <row r="33" ht="42" customHeight="1">
      <c r="A33" s="952" t="inlineStr">
        <is>
          <t>Aurora</t>
        </is>
      </c>
      <c r="B33" s="952" t="inlineStr">
        <is>
          <t>Development</t>
        </is>
      </c>
      <c r="C33" s="952" t="inlineStr">
        <is>
          <t>Forms and Applications</t>
        </is>
      </c>
      <c r="D33" s="952" t="inlineStr">
        <is>
          <t>Development-center forms and applications.</t>
        </is>
      </c>
      <c r="E33" s="952" t="inlineStr">
        <is>
          <t>Identify required land-use and development submittals.</t>
        </is>
      </c>
      <c r="F33" s="952" t="inlineStr">
        <is>
          <t>Yes</t>
        </is>
      </c>
      <c r="G33" s="1188" t="inlineStr">
        <is>
          <t>https://www.auroragov.org/business_services/development_center/development_process/forms_and_applications</t>
        </is>
      </c>
      <c r="H33" s="952" t="inlineStr">
        <is>
          <t>Use for parcels inside this jurisdiction; confirm the parcel's actual county before relying on county recorder or assessor records.</t>
        </is>
      </c>
      <c r="I33" s="1129" t="n">
        <v>46213</v>
      </c>
      <c r="J33" s="951" t="inlineStr">
        <is>
          <t>High</t>
        </is>
      </c>
    </row>
    <row r="34" ht="42" customHeight="1">
      <c r="A34" s="952" t="inlineStr">
        <is>
          <t>Aurora</t>
        </is>
      </c>
      <c r="B34" s="952" t="inlineStr">
        <is>
          <t>Development</t>
        </is>
      </c>
      <c r="C34" s="952" t="inlineStr">
        <is>
          <t>Projects, Plans &amp; Studies</t>
        </is>
      </c>
      <c r="D34" s="952" t="inlineStr">
        <is>
          <t>Current and adopted planning projects and studies.</t>
        </is>
      </c>
      <c r="E34" s="952" t="inlineStr">
        <is>
          <t>Track area plans, corridor studies and policy changes.</t>
        </is>
      </c>
      <c r="F34" s="952" t="inlineStr">
        <is>
          <t>Yes</t>
        </is>
      </c>
      <c r="G34" s="1188" t="inlineStr">
        <is>
          <t>https://www.auroragov.org/business_services/planning/projects__plans___studies</t>
        </is>
      </c>
      <c r="H34" s="952" t="inlineStr">
        <is>
          <t>Use for parcels inside this jurisdiction; confirm the parcel's actual county before relying on county recorder or assessor records.</t>
        </is>
      </c>
      <c r="I34" s="1129" t="n">
        <v>46213</v>
      </c>
      <c r="J34" s="951" t="inlineStr">
        <is>
          <t>High</t>
        </is>
      </c>
    </row>
    <row r="35" ht="42" customHeight="1">
      <c r="A35" s="952" t="inlineStr">
        <is>
          <t>Aurora</t>
        </is>
      </c>
      <c r="B35" s="952" t="inlineStr">
        <is>
          <t>Long-Range Planning</t>
        </is>
      </c>
      <c r="C35" s="952" t="inlineStr">
        <is>
          <t>Comprehensive Plan</t>
        </is>
      </c>
      <c r="D35" s="952" t="inlineStr">
        <is>
          <t>Aurora comprehensive-plan resources.</t>
        </is>
      </c>
      <c r="E35" s="952" t="inlineStr">
        <is>
          <t>Evaluate future land-use and policy direction.</t>
        </is>
      </c>
      <c r="F35" s="952" t="inlineStr">
        <is>
          <t>Yes</t>
        </is>
      </c>
      <c r="G35" s="1188" t="inlineStr">
        <is>
          <t>https://www.auroragov.org/business_services/planning/projects__plans___studies/comprehensive_plan</t>
        </is>
      </c>
      <c r="H35" s="952" t="inlineStr">
        <is>
          <t>Use for parcels inside this jurisdiction; confirm the parcel's actual county before relying on county recorder or assessor records.</t>
        </is>
      </c>
      <c r="I35" s="1129" t="n">
        <v>46213</v>
      </c>
      <c r="J35" s="951" t="inlineStr">
        <is>
          <t>High</t>
        </is>
      </c>
    </row>
    <row r="36" ht="42" customHeight="1">
      <c r="A36" s="952" t="inlineStr">
        <is>
          <t>Aurora</t>
        </is>
      </c>
      <c r="B36" s="952" t="inlineStr">
        <is>
          <t>Neighborhood Planning</t>
        </is>
      </c>
      <c r="C36" s="952" t="inlineStr">
        <is>
          <t>Neighborhood Planning</t>
        </is>
      </c>
      <c r="D36" s="952" t="inlineStr">
        <is>
          <t>Area and neighborhood plan information.</t>
        </is>
      </c>
      <c r="E36" s="952" t="inlineStr">
        <is>
          <t>Research smaller-area plans affecting a parcel.</t>
        </is>
      </c>
      <c r="F36" s="952" t="inlineStr">
        <is>
          <t>Yes</t>
        </is>
      </c>
      <c r="G36" s="1188" t="inlineStr">
        <is>
          <t>https://www.auroragov.org/residents/neighborhood_planning</t>
        </is>
      </c>
      <c r="H36" s="952" t="inlineStr">
        <is>
          <t>Use for parcels inside this jurisdiction; confirm the parcel's actual county before relying on county recorder or assessor records.</t>
        </is>
      </c>
      <c r="I36" s="1129" t="n">
        <v>46213</v>
      </c>
      <c r="J36" s="951" t="inlineStr">
        <is>
          <t>Useful</t>
        </is>
      </c>
    </row>
    <row r="37" ht="42" customHeight="1">
      <c r="A37" s="952" t="inlineStr">
        <is>
          <t>Aurora</t>
        </is>
      </c>
      <c r="B37" s="952" t="inlineStr">
        <is>
          <t>Permits</t>
        </is>
      </c>
      <c r="C37" s="952" t="inlineStr">
        <is>
          <t>Building Permits</t>
        </is>
      </c>
      <c r="D37" s="952" t="inlineStr">
        <is>
          <t>Building permit information and application guidance.</t>
        </is>
      </c>
      <c r="E37" s="952" t="inlineStr">
        <is>
          <t>Check permit requirements and application paths.</t>
        </is>
      </c>
      <c r="F37" s="952" t="inlineStr">
        <is>
          <t>Yes</t>
        </is>
      </c>
      <c r="G37" s="1188" t="inlineStr">
        <is>
          <t>https://www.auroragov.org/business_services/building_division/permits</t>
        </is>
      </c>
      <c r="H37" s="952" t="inlineStr">
        <is>
          <t>Use for parcels inside this jurisdiction; confirm the parcel's actual county before relying on county recorder or assessor records.</t>
        </is>
      </c>
      <c r="I37" s="1129" t="n">
        <v>46213</v>
      </c>
      <c r="J37" s="951" t="inlineStr">
        <is>
          <t>Critical</t>
        </is>
      </c>
    </row>
    <row r="38" ht="42" customHeight="1">
      <c r="A38" s="952" t="inlineStr">
        <is>
          <t>Aurora</t>
        </is>
      </c>
      <c r="B38" s="952" t="inlineStr">
        <is>
          <t>Permits</t>
        </is>
      </c>
      <c r="C38" s="952" t="inlineStr">
        <is>
          <t>Development Center Permitting</t>
        </is>
      </c>
      <c r="D38" s="952" t="inlineStr">
        <is>
          <t>Development permitting and online processes.</t>
        </is>
      </c>
      <c r="E38" s="952" t="inlineStr">
        <is>
          <t>Manage or research development-related permits.</t>
        </is>
      </c>
      <c r="F38" s="952" t="inlineStr">
        <is>
          <t>Yes</t>
        </is>
      </c>
      <c r="G38" s="1188" t="inlineStr">
        <is>
          <t>https://www.auroragov.org/business_services/development_center/permitting</t>
        </is>
      </c>
      <c r="H38" s="952" t="inlineStr">
        <is>
          <t>Use for parcels inside this jurisdiction; confirm the parcel's actual county before relying on county recorder or assessor records.</t>
        </is>
      </c>
      <c r="I38" s="1129" t="n">
        <v>46213</v>
      </c>
      <c r="J38" s="951" t="inlineStr">
        <is>
          <t>High</t>
        </is>
      </c>
    </row>
    <row r="39" ht="42" customHeight="1">
      <c r="A39" s="952" t="inlineStr">
        <is>
          <t>Aurora</t>
        </is>
      </c>
      <c r="B39" s="952" t="inlineStr">
        <is>
          <t>Online Portal</t>
        </is>
      </c>
      <c r="C39" s="952" t="inlineStr">
        <is>
          <t>Aurora4Biz</t>
        </is>
      </c>
      <c r="D39" s="952" t="inlineStr">
        <is>
          <t>Online business, permit and licensing services.</t>
        </is>
      </c>
      <c r="E39" s="952" t="inlineStr">
        <is>
          <t>Access city permitting and business services.</t>
        </is>
      </c>
      <c r="F39" s="952" t="inlineStr">
        <is>
          <t>Yes</t>
        </is>
      </c>
      <c r="G39" s="1188" t="inlineStr">
        <is>
          <t>https://www.auroragov.org/business_services/aurora4biz</t>
        </is>
      </c>
      <c r="H39" s="952" t="inlineStr">
        <is>
          <t>Use for parcels inside this jurisdiction; confirm the parcel's actual county before relying on county recorder or assessor records.</t>
        </is>
      </c>
      <c r="I39" s="1129" t="n">
        <v>46213</v>
      </c>
      <c r="J39" s="951" t="inlineStr">
        <is>
          <t>High</t>
        </is>
      </c>
    </row>
    <row r="40" ht="42" customHeight="1">
      <c r="A40" s="952" t="inlineStr">
        <is>
          <t>Aurora</t>
        </is>
      </c>
      <c r="B40" s="952" t="inlineStr">
        <is>
          <t>Meetings</t>
        </is>
      </c>
      <c r="C40" s="952" t="inlineStr">
        <is>
          <t>Planning &amp; Zoning Commission</t>
        </is>
      </c>
      <c r="D40" s="952" t="inlineStr">
        <is>
          <t>Commission schedules, records and participation information.</t>
        </is>
      </c>
      <c r="E40" s="952" t="inlineStr">
        <is>
          <t>Monitor land-use hearings and recommendations.</t>
        </is>
      </c>
      <c r="F40" s="952" t="inlineStr">
        <is>
          <t>Yes</t>
        </is>
      </c>
      <c r="G40" s="1188" t="inlineStr">
        <is>
          <t>https://www.auroragov.org/city_hall/boards___commissions/planning___zoning_commission</t>
        </is>
      </c>
      <c r="H40" s="952" t="inlineStr">
        <is>
          <t>Use for parcels inside this jurisdiction; confirm the parcel's actual county before relying on county recorder or assessor records.</t>
        </is>
      </c>
      <c r="I40" s="1129" t="n">
        <v>46213</v>
      </c>
      <c r="J40" s="951" t="inlineStr">
        <is>
          <t>High</t>
        </is>
      </c>
    </row>
    <row r="41" ht="42" customHeight="1">
      <c r="A41" s="952" t="inlineStr">
        <is>
          <t>Aurora</t>
        </is>
      </c>
      <c r="B41" s="952" t="inlineStr">
        <is>
          <t>Meetings</t>
        </is>
      </c>
      <c r="C41" s="952" t="inlineStr">
        <is>
          <t>City Council Meetings</t>
        </is>
      </c>
      <c r="D41" s="952" t="inlineStr">
        <is>
          <t>Council meeting agendas and records.</t>
        </is>
      </c>
      <c r="E41" s="952" t="inlineStr">
        <is>
          <t>Track final legislative and land-use actions.</t>
        </is>
      </c>
      <c r="F41" s="952" t="inlineStr">
        <is>
          <t>Yes</t>
        </is>
      </c>
      <c r="G41" s="1188" t="inlineStr">
        <is>
          <t>https://www.auroragov.org/city_hall/mayor___city_council/council_meetings</t>
        </is>
      </c>
      <c r="H41" s="952" t="inlineStr">
        <is>
          <t>Use for parcels inside this jurisdiction; confirm the parcel's actual county before relying on county recorder or assessor records.</t>
        </is>
      </c>
      <c r="I41" s="1129" t="n">
        <v>46213</v>
      </c>
      <c r="J41" s="951" t="inlineStr">
        <is>
          <t>High</t>
        </is>
      </c>
    </row>
    <row r="42" ht="42" customHeight="1">
      <c r="A42" s="952" t="inlineStr">
        <is>
          <t>Aurora</t>
        </is>
      </c>
      <c r="B42" s="952" t="inlineStr">
        <is>
          <t>Public Notices</t>
        </is>
      </c>
      <c r="C42" s="952" t="inlineStr">
        <is>
          <t>Public Hearings</t>
        </is>
      </c>
      <c r="D42" s="952" t="inlineStr">
        <is>
          <t>Official public-hearing notices.</t>
        </is>
      </c>
      <c r="E42" s="952" t="inlineStr">
        <is>
          <t>Confirm hearing dates, applications and public-comment opportunities.</t>
        </is>
      </c>
      <c r="F42" s="952" t="inlineStr">
        <is>
          <t>Yes</t>
        </is>
      </c>
      <c r="G42" s="1188" t="inlineStr">
        <is>
          <t>https://www.auroragov.org/city_hall/public_records/legal_notices/public_hearings</t>
        </is>
      </c>
      <c r="H42" s="952" t="inlineStr">
        <is>
          <t>Use for parcels inside this jurisdiction; confirm the parcel's actual county before relying on county recorder or assessor records.</t>
        </is>
      </c>
      <c r="I42" s="1129" t="n">
        <v>46213</v>
      </c>
      <c r="J42" s="951" t="inlineStr">
        <is>
          <t>High</t>
        </is>
      </c>
    </row>
    <row r="43" ht="42" customHeight="1">
      <c r="A43" s="952" t="inlineStr">
        <is>
          <t>Aurora</t>
        </is>
      </c>
      <c r="B43" s="952" t="inlineStr">
        <is>
          <t>Public Records</t>
        </is>
      </c>
      <c r="C43" s="952" t="inlineStr">
        <is>
          <t>Public Records</t>
        </is>
      </c>
      <c r="D43" s="952" t="inlineStr">
        <is>
          <t>Codes, ordinances, records and legal-notice navigation.</t>
        </is>
      </c>
      <c r="E43" s="952" t="inlineStr">
        <is>
          <t>Request or retrieve official city records.</t>
        </is>
      </c>
      <c r="F43" s="952" t="inlineStr">
        <is>
          <t>Yes</t>
        </is>
      </c>
      <c r="G43" s="1188" t="inlineStr">
        <is>
          <t>https://www.auroragov.org/city_hall/public_records</t>
        </is>
      </c>
      <c r="H43" s="952" t="inlineStr">
        <is>
          <t>Use for parcels inside this jurisdiction; confirm the parcel's actual county before relying on county recorder or assessor records.</t>
        </is>
      </c>
      <c r="I43" s="1129" t="n">
        <v>46213</v>
      </c>
      <c r="J43" s="951" t="inlineStr">
        <is>
          <t>High</t>
        </is>
      </c>
    </row>
    <row r="44" ht="42" customHeight="1">
      <c r="A44" s="952" t="inlineStr">
        <is>
          <t>Aurora</t>
        </is>
      </c>
      <c r="B44" s="952" t="inlineStr">
        <is>
          <t>News</t>
        </is>
      </c>
      <c r="C44" s="952" t="inlineStr">
        <is>
          <t>What's New</t>
        </is>
      </c>
      <c r="D44" s="952" t="inlineStr">
        <is>
          <t>Official city news and announcements.</t>
        </is>
      </c>
      <c r="E44" s="952" t="inlineStr">
        <is>
          <t>Monitor city changes, projects and public initiatives.</t>
        </is>
      </c>
      <c r="F44" s="952" t="inlineStr">
        <is>
          <t>Yes</t>
        </is>
      </c>
      <c r="G44" s="1188" t="inlineStr">
        <is>
          <t>https://www.auroragov.org/news/whats_new</t>
        </is>
      </c>
      <c r="H44" s="952" t="inlineStr">
        <is>
          <t>Use for parcels inside this jurisdiction; confirm the parcel's actual county before relying on county recorder or assessor records.</t>
        </is>
      </c>
      <c r="I44" s="1129" t="n">
        <v>46213</v>
      </c>
      <c r="J44" s="951" t="inlineStr">
        <is>
          <t>Useful</t>
        </is>
      </c>
    </row>
    <row r="45" ht="42" customHeight="1">
      <c r="A45" s="952" t="inlineStr">
        <is>
          <t>Bennett</t>
        </is>
      </c>
      <c r="B45" s="952" t="inlineStr">
        <is>
          <t>Official Website</t>
        </is>
      </c>
      <c r="C45" s="952" t="inlineStr">
        <is>
          <t>Town of Bennett</t>
        </is>
      </c>
      <c r="D45" s="952" t="inlineStr">
        <is>
          <t>Main town website.</t>
        </is>
      </c>
      <c r="E45" s="952" t="inlineStr">
        <is>
          <t>Navigate municipal services and updates.</t>
        </is>
      </c>
      <c r="F45" s="952" t="inlineStr">
        <is>
          <t>Yes</t>
        </is>
      </c>
      <c r="G45" s="1188" t="inlineStr">
        <is>
          <t>https://www.bennettco.gov/</t>
        </is>
      </c>
      <c r="H45" s="952" t="inlineStr">
        <is>
          <t>Use for parcels inside this jurisdiction; confirm the parcel's actual county before relying on county recorder or assessor records.</t>
        </is>
      </c>
      <c r="I45" s="1129" t="n">
        <v>46213</v>
      </c>
      <c r="J45" s="951" t="inlineStr">
        <is>
          <t>Reference</t>
        </is>
      </c>
    </row>
    <row r="46" ht="42" customHeight="1">
      <c r="A46" s="952" t="inlineStr">
        <is>
          <t>Bennett</t>
        </is>
      </c>
      <c r="B46" s="952" t="inlineStr">
        <is>
          <t>Zoning</t>
        </is>
      </c>
      <c r="C46" s="952" t="inlineStr">
        <is>
          <t>Bennett Zoning Map</t>
        </is>
      </c>
      <c r="D46" s="952" t="inlineStr">
        <is>
          <t>Official town zoning map.</t>
        </is>
      </c>
      <c r="E46" s="952" t="inlineStr">
        <is>
          <t>Identify the zoning district for a property.</t>
        </is>
      </c>
      <c r="F46" s="952" t="inlineStr">
        <is>
          <t>Yes</t>
        </is>
      </c>
      <c r="G46" s="1188" t="inlineStr">
        <is>
          <t>https://www.bennettco.gov/business/page/bennett-zoning-map</t>
        </is>
      </c>
      <c r="H46" s="952" t="inlineStr">
        <is>
          <t>Use for parcels inside this jurisdiction; confirm the parcel's actual county before relying on county recorder or assessor records.</t>
        </is>
      </c>
      <c r="I46" s="1129" t="n">
        <v>46213</v>
      </c>
      <c r="J46" s="951" t="inlineStr">
        <is>
          <t>Critical</t>
        </is>
      </c>
    </row>
    <row r="47" ht="42" customHeight="1">
      <c r="A47" s="952" t="inlineStr">
        <is>
          <t>Bennett</t>
        </is>
      </c>
      <c r="B47" s="952" t="inlineStr">
        <is>
          <t>Planning</t>
        </is>
      </c>
      <c r="C47" s="952" t="inlineStr">
        <is>
          <t>Planning and Zoning</t>
        </is>
      </c>
      <c r="D47" s="952" t="inlineStr">
        <is>
          <t>Planning and zoning services, forms and guidance.</t>
        </is>
      </c>
      <c r="E47" s="952" t="inlineStr">
        <is>
          <t>Start land-use and entitlement research.</t>
        </is>
      </c>
      <c r="F47" s="952" t="inlineStr">
        <is>
          <t>Yes</t>
        </is>
      </c>
      <c r="G47" s="1188" t="inlineStr">
        <is>
          <t>https://www.bennettco.gov/planning-economic-development/page/planning-and-zoning</t>
        </is>
      </c>
      <c r="H47" s="952" t="inlineStr">
        <is>
          <t>Use for parcels inside this jurisdiction; confirm the parcel's actual county before relying on county recorder or assessor records.</t>
        </is>
      </c>
      <c r="I47" s="1129" t="n">
        <v>46213</v>
      </c>
      <c r="J47" s="951" t="inlineStr">
        <is>
          <t>Critical</t>
        </is>
      </c>
    </row>
    <row r="48" ht="42" customHeight="1">
      <c r="A48" s="952" t="inlineStr">
        <is>
          <t>Bennett</t>
        </is>
      </c>
      <c r="B48" s="952" t="inlineStr">
        <is>
          <t>Planning</t>
        </is>
      </c>
      <c r="C48" s="952" t="inlineStr">
        <is>
          <t>Planning &amp; Economic Development</t>
        </is>
      </c>
      <c r="D48" s="952" t="inlineStr">
        <is>
          <t>Department-level planning and economic-development resources.</t>
        </is>
      </c>
      <c r="E48" s="952" t="inlineStr">
        <is>
          <t>Find staff, plans and development assistance.</t>
        </is>
      </c>
      <c r="F48" s="952" t="inlineStr">
        <is>
          <t>Yes</t>
        </is>
      </c>
      <c r="G48" s="1188" t="inlineStr">
        <is>
          <t>https://www.bennettco.gov/planning-economic-development</t>
        </is>
      </c>
      <c r="H48" s="952" t="inlineStr">
        <is>
          <t>Use for parcels inside this jurisdiction; confirm the parcel's actual county before relying on county recorder or assessor records.</t>
        </is>
      </c>
      <c r="I48" s="1129" t="n">
        <v>46213</v>
      </c>
      <c r="J48" s="951" t="inlineStr">
        <is>
          <t>High</t>
        </is>
      </c>
    </row>
    <row r="49" ht="42" customHeight="1">
      <c r="A49" s="952" t="inlineStr">
        <is>
          <t>Bennett</t>
        </is>
      </c>
      <c r="B49" s="952" t="inlineStr">
        <is>
          <t>Code</t>
        </is>
      </c>
      <c r="C49" s="952" t="inlineStr">
        <is>
          <t>Zoning and Subdivision Regulations</t>
        </is>
      </c>
      <c r="D49" s="952" t="inlineStr">
        <is>
          <t>Town zoning and subdivision regulations.</t>
        </is>
      </c>
      <c r="E49" s="952" t="inlineStr">
        <is>
          <t>Review allowed uses, lot standards and subdivision rules.</t>
        </is>
      </c>
      <c r="F49" s="952" t="inlineStr">
        <is>
          <t>Yes</t>
        </is>
      </c>
      <c r="G49" s="1188" t="inlineStr">
        <is>
          <t>https://www.bennettco.gov/planning-economic-development/page/zoning-and-subdivision-regulations</t>
        </is>
      </c>
      <c r="H49" s="952" t="inlineStr">
        <is>
          <t>Use for parcels inside this jurisdiction; confirm the parcel's actual county before relying on county recorder or assessor records.</t>
        </is>
      </c>
      <c r="I49" s="1129" t="n">
        <v>46213</v>
      </c>
      <c r="J49" s="951" t="inlineStr">
        <is>
          <t>Critical</t>
        </is>
      </c>
    </row>
    <row r="50" ht="42" customHeight="1">
      <c r="A50" s="952" t="inlineStr">
        <is>
          <t>Bennett</t>
        </is>
      </c>
      <c r="B50" s="952" t="inlineStr">
        <is>
          <t>Development</t>
        </is>
      </c>
      <c r="C50" s="952" t="inlineStr">
        <is>
          <t>Development Portal</t>
        </is>
      </c>
      <c r="D50" s="952" t="inlineStr">
        <is>
          <t>Development applications, projects and related tools.</t>
        </is>
      </c>
      <c r="E50" s="952" t="inlineStr">
        <is>
          <t>Begin project and entitlement research.</t>
        </is>
      </c>
      <c r="F50" s="952" t="inlineStr">
        <is>
          <t>Yes</t>
        </is>
      </c>
      <c r="G50" s="1188" t="inlineStr">
        <is>
          <t>https://www.bennettco.gov/development</t>
        </is>
      </c>
      <c r="H50" s="952" t="inlineStr">
        <is>
          <t>Use for parcels inside this jurisdiction; confirm the parcel's actual county before relying on county recorder or assessor records.</t>
        </is>
      </c>
      <c r="I50" s="1129" t="n">
        <v>46213</v>
      </c>
      <c r="J50" s="951" t="inlineStr">
        <is>
          <t>High</t>
        </is>
      </c>
    </row>
    <row r="51" ht="42" customHeight="1">
      <c r="A51" s="952" t="inlineStr">
        <is>
          <t>Bennett</t>
        </is>
      </c>
      <c r="B51" s="952" t="inlineStr">
        <is>
          <t>Development</t>
        </is>
      </c>
      <c r="C51" s="952" t="inlineStr">
        <is>
          <t>Active Projects</t>
        </is>
      </c>
      <c r="D51" s="952" t="inlineStr">
        <is>
          <t>Current town projects and development information.</t>
        </is>
      </c>
      <c r="E51" s="952" t="inlineStr">
        <is>
          <t>Monitor infrastructure and development activity.</t>
        </is>
      </c>
      <c r="F51" s="952" t="inlineStr">
        <is>
          <t>Yes</t>
        </is>
      </c>
      <c r="G51" s="1188" t="inlineStr">
        <is>
          <t>https://www.bennettco.gov/projects</t>
        </is>
      </c>
      <c r="H51" s="952" t="inlineStr">
        <is>
          <t>Use for parcels inside this jurisdiction; confirm the parcel's actual county before relying on county recorder or assessor records.</t>
        </is>
      </c>
      <c r="I51" s="1129" t="n">
        <v>46213</v>
      </c>
      <c r="J51" s="951" t="inlineStr">
        <is>
          <t>High</t>
        </is>
      </c>
    </row>
    <row r="52" ht="42" customHeight="1">
      <c r="A52" s="952" t="inlineStr">
        <is>
          <t>Bennett</t>
        </is>
      </c>
      <c r="B52" s="952" t="inlineStr">
        <is>
          <t>Development</t>
        </is>
      </c>
      <c r="C52" s="952" t="inlineStr">
        <is>
          <t>Applicant Guides</t>
        </is>
      </c>
      <c r="D52" s="952" t="inlineStr">
        <is>
          <t>Guides for planning and development applications.</t>
        </is>
      </c>
      <c r="E52" s="952" t="inlineStr">
        <is>
          <t>Understand application standards and submittals.</t>
        </is>
      </c>
      <c r="F52" s="952" t="inlineStr">
        <is>
          <t>Yes</t>
        </is>
      </c>
      <c r="G52" s="1188" t="inlineStr">
        <is>
          <t>https://www.bennettco.gov/planning-economic-development/page/applicant-guides</t>
        </is>
      </c>
      <c r="H52" s="952" t="inlineStr">
        <is>
          <t>Use for parcels inside this jurisdiction; confirm the parcel's actual county before relying on county recorder or assessor records.</t>
        </is>
      </c>
      <c r="I52" s="1129" t="n">
        <v>46213</v>
      </c>
      <c r="J52" s="951" t="inlineStr">
        <is>
          <t>High</t>
        </is>
      </c>
    </row>
    <row r="53" ht="42" customHeight="1">
      <c r="A53" s="952" t="inlineStr">
        <is>
          <t>Bennett</t>
        </is>
      </c>
      <c r="B53" s="952" t="inlineStr">
        <is>
          <t>Permits</t>
        </is>
      </c>
      <c r="C53" s="952" t="inlineStr">
        <is>
          <t>Self-Service Guide: Permits and Zoning</t>
        </is>
      </c>
      <c r="D53" s="952" t="inlineStr">
        <is>
          <t>Online guidance for permits and zoning services.</t>
        </is>
      </c>
      <c r="E53" s="952" t="inlineStr">
        <is>
          <t>Navigate permit and zoning requests.</t>
        </is>
      </c>
      <c r="F53" s="952" t="inlineStr">
        <is>
          <t>Yes</t>
        </is>
      </c>
      <c r="G53" s="1188" t="inlineStr">
        <is>
          <t>https://www.bennettco.gov/community-development/page/self-service-guide-permits-and-zoning</t>
        </is>
      </c>
      <c r="H53" s="952" t="inlineStr">
        <is>
          <t>Use for parcels inside this jurisdiction; confirm the parcel's actual county before relying on county recorder or assessor records.</t>
        </is>
      </c>
      <c r="I53" s="1129" t="n">
        <v>46213</v>
      </c>
      <c r="J53" s="951" t="inlineStr">
        <is>
          <t>High</t>
        </is>
      </c>
    </row>
    <row r="54" ht="42" customHeight="1">
      <c r="A54" s="952" t="inlineStr">
        <is>
          <t>Bennett</t>
        </is>
      </c>
      <c r="B54" s="952" t="inlineStr">
        <is>
          <t>Permits</t>
        </is>
      </c>
      <c r="C54" s="952" t="inlineStr">
        <is>
          <t>Building Department</t>
        </is>
      </c>
      <c r="D54" s="952" t="inlineStr">
        <is>
          <t>Building permits, inspections and code information.</t>
        </is>
      </c>
      <c r="E54" s="952" t="inlineStr">
        <is>
          <t>Research construction permitting.</t>
        </is>
      </c>
      <c r="F54" s="952" t="inlineStr">
        <is>
          <t>Yes</t>
        </is>
      </c>
      <c r="G54" s="1188" t="inlineStr">
        <is>
          <t>https://www.bennettco.gov/community-development/page/building-department</t>
        </is>
      </c>
      <c r="H54" s="952" t="inlineStr">
        <is>
          <t>Use for parcels inside this jurisdiction; confirm the parcel's actual county before relying on county recorder or assessor records.</t>
        </is>
      </c>
      <c r="I54" s="1129" t="n">
        <v>46213</v>
      </c>
      <c r="J54" s="951" t="inlineStr">
        <is>
          <t>Critical</t>
        </is>
      </c>
    </row>
    <row r="55" ht="42" customHeight="1">
      <c r="A55" s="952" t="inlineStr">
        <is>
          <t>Bennett</t>
        </is>
      </c>
      <c r="B55" s="952" t="inlineStr">
        <is>
          <t>Permits</t>
        </is>
      </c>
      <c r="C55" s="952" t="inlineStr">
        <is>
          <t>How to Obtain a Permit</t>
        </is>
      </c>
      <c r="D55" s="952" t="inlineStr">
        <is>
          <t>Step-by-step permit guidance.</t>
        </is>
      </c>
      <c r="E55" s="952" t="inlineStr">
        <is>
          <t>Prepare a building permit application.</t>
        </is>
      </c>
      <c r="F55" s="952" t="inlineStr">
        <is>
          <t>Yes</t>
        </is>
      </c>
      <c r="G55" s="1188" t="inlineStr">
        <is>
          <t>https://www.bennettco.gov/community-development/page/how-obtain-permit</t>
        </is>
      </c>
      <c r="H55" s="952" t="inlineStr">
        <is>
          <t>Use for parcels inside this jurisdiction; confirm the parcel's actual county before relying on county recorder or assessor records.</t>
        </is>
      </c>
      <c r="I55" s="1129" t="n">
        <v>46213</v>
      </c>
      <c r="J55" s="951" t="inlineStr">
        <is>
          <t>High</t>
        </is>
      </c>
    </row>
    <row r="56" ht="42" customHeight="1">
      <c r="A56" s="952" t="inlineStr">
        <is>
          <t>Bennett</t>
        </is>
      </c>
      <c r="B56" s="952" t="inlineStr">
        <is>
          <t>Long-Range Planning</t>
        </is>
      </c>
      <c r="C56" s="952" t="inlineStr">
        <is>
          <t>Master Plans and Guiding Documents</t>
        </is>
      </c>
      <c r="D56" s="952" t="inlineStr">
        <is>
          <t>Town master plans and policy documents.</t>
        </is>
      </c>
      <c r="E56" s="952" t="inlineStr">
        <is>
          <t>Evaluate future land-use and infrastructure direction.</t>
        </is>
      </c>
      <c r="F56" s="952" t="inlineStr">
        <is>
          <t>Yes</t>
        </is>
      </c>
      <c r="G56" s="1188" t="inlineStr">
        <is>
          <t>https://www.bennettco.gov/planning-economic-development/page/master-plans-and-guiding-documents</t>
        </is>
      </c>
      <c r="H56" s="952" t="inlineStr">
        <is>
          <t>Use for parcels inside this jurisdiction; confirm the parcel's actual county before relying on county recorder or assessor records.</t>
        </is>
      </c>
      <c r="I56" s="1129" t="n">
        <v>46213</v>
      </c>
      <c r="J56" s="951" t="inlineStr">
        <is>
          <t>High</t>
        </is>
      </c>
    </row>
    <row r="57" ht="42" customHeight="1">
      <c r="A57" s="952" t="inlineStr">
        <is>
          <t>Bennett</t>
        </is>
      </c>
      <c r="B57" s="952" t="inlineStr">
        <is>
          <t>Meetings</t>
        </is>
      </c>
      <c r="C57" s="952" t="inlineStr">
        <is>
          <t>Planning &amp; Zoning Commission</t>
        </is>
      </c>
      <c r="D57" s="952" t="inlineStr">
        <is>
          <t>Commission information and meeting resources.</t>
        </is>
      </c>
      <c r="E57" s="952" t="inlineStr">
        <is>
          <t>Monitor planning hearings and recommendations.</t>
        </is>
      </c>
      <c r="F57" s="952" t="inlineStr">
        <is>
          <t>Yes</t>
        </is>
      </c>
      <c r="G57" s="1188" t="inlineStr">
        <is>
          <t>https://www.bennettco.gov/planning-and-zoning-commission</t>
        </is>
      </c>
      <c r="H57" s="952" t="inlineStr">
        <is>
          <t>Use for parcels inside this jurisdiction; confirm the parcel's actual county before relying on county recorder or assessor records.</t>
        </is>
      </c>
      <c r="I57" s="1129" t="n">
        <v>46213</v>
      </c>
      <c r="J57" s="951" t="inlineStr">
        <is>
          <t>High</t>
        </is>
      </c>
    </row>
    <row r="58" ht="42" customHeight="1">
      <c r="A58" s="952" t="inlineStr">
        <is>
          <t>Bennett</t>
        </is>
      </c>
      <c r="B58" s="952" t="inlineStr">
        <is>
          <t>Meetings</t>
        </is>
      </c>
      <c r="C58" s="952" t="inlineStr">
        <is>
          <t>Recent Meetings</t>
        </is>
      </c>
      <c r="D58" s="952" t="inlineStr">
        <is>
          <t>Agendas and meeting records.</t>
        </is>
      </c>
      <c r="E58" s="952" t="inlineStr">
        <is>
          <t>Track board and commission actions.</t>
        </is>
      </c>
      <c r="F58" s="952" t="inlineStr">
        <is>
          <t>Yes</t>
        </is>
      </c>
      <c r="G58" s="1188" t="inlineStr">
        <is>
          <t>https://www.bennettco.gov/meetings/recent</t>
        </is>
      </c>
      <c r="H58" s="952" t="inlineStr">
        <is>
          <t>Use for parcels inside this jurisdiction; confirm the parcel's actual county before relying on county recorder or assessor records.</t>
        </is>
      </c>
      <c r="I58" s="1129" t="n">
        <v>46213</v>
      </c>
      <c r="J58" s="951" t="inlineStr">
        <is>
          <t>High</t>
        </is>
      </c>
    </row>
    <row r="59" ht="42" customHeight="1">
      <c r="A59" s="952" t="inlineStr">
        <is>
          <t>Bennett</t>
        </is>
      </c>
      <c r="B59" s="952" t="inlineStr">
        <is>
          <t>Public Records</t>
        </is>
      </c>
      <c r="C59" s="952" t="inlineStr">
        <is>
          <t>Public Records</t>
        </is>
      </c>
      <c r="D59" s="952" t="inlineStr">
        <is>
          <t>Town public-records request information.</t>
        </is>
      </c>
      <c r="E59" s="952" t="inlineStr">
        <is>
          <t>Obtain records not posted online.</t>
        </is>
      </c>
      <c r="F59" s="952" t="inlineStr">
        <is>
          <t>Yes</t>
        </is>
      </c>
      <c r="G59" s="1188" t="inlineStr">
        <is>
          <t>https://www.bennettco.gov/town-clerk/page/public-records</t>
        </is>
      </c>
      <c r="H59" s="952" t="inlineStr">
        <is>
          <t>Use for parcels inside this jurisdiction; confirm the parcel's actual county before relying on county recorder or assessor records.</t>
        </is>
      </c>
      <c r="I59" s="1129" t="n">
        <v>46213</v>
      </c>
      <c r="J59" s="951" t="inlineStr">
        <is>
          <t>High</t>
        </is>
      </c>
    </row>
    <row r="60" ht="42" customHeight="1">
      <c r="A60" s="952" t="inlineStr">
        <is>
          <t>Bennett</t>
        </is>
      </c>
      <c r="B60" s="952" t="inlineStr">
        <is>
          <t>News</t>
        </is>
      </c>
      <c r="C60" s="952" t="inlineStr">
        <is>
          <t>Town News</t>
        </is>
      </c>
      <c r="D60" s="952" t="inlineStr">
        <is>
          <t>Official Bennett news and notices.</t>
        </is>
      </c>
      <c r="E60" s="952" t="inlineStr">
        <is>
          <t>Monitor code, permit, project and public-service updates.</t>
        </is>
      </c>
      <c r="F60" s="952" t="inlineStr">
        <is>
          <t>Yes</t>
        </is>
      </c>
      <c r="G60" s="1188" t="inlineStr">
        <is>
          <t>https://www.bennettco.gov/news</t>
        </is>
      </c>
      <c r="H60" s="952" t="inlineStr">
        <is>
          <t>Use for parcels inside this jurisdiction; confirm the parcel's actual county before relying on county recorder or assessor records.</t>
        </is>
      </c>
      <c r="I60" s="1129" t="n">
        <v>46213</v>
      </c>
      <c r="J60" s="951" t="inlineStr">
        <is>
          <t>High</t>
        </is>
      </c>
    </row>
    <row r="61" ht="42" customHeight="1">
      <c r="A61" s="952" t="inlineStr">
        <is>
          <t>Brighton</t>
        </is>
      </c>
      <c r="B61" s="952" t="inlineStr">
        <is>
          <t>Official Website</t>
        </is>
      </c>
      <c r="C61" s="952" t="inlineStr">
        <is>
          <t>City of Brighton</t>
        </is>
      </c>
      <c r="D61" s="952" t="inlineStr">
        <is>
          <t>Main city website.</t>
        </is>
      </c>
      <c r="E61" s="952" t="inlineStr">
        <is>
          <t>Navigate city services and departments.</t>
        </is>
      </c>
      <c r="F61" s="952" t="inlineStr">
        <is>
          <t>Yes</t>
        </is>
      </c>
      <c r="G61" s="1188" t="inlineStr">
        <is>
          <t>https://www.brightonco.gov/</t>
        </is>
      </c>
      <c r="H61" s="952" t="inlineStr">
        <is>
          <t>Use for parcels inside this jurisdiction; confirm the parcel's actual county before relying on county recorder or assessor records.</t>
        </is>
      </c>
      <c r="I61" s="1129" t="n">
        <v>46213</v>
      </c>
      <c r="J61" s="951" t="inlineStr">
        <is>
          <t>Reference</t>
        </is>
      </c>
    </row>
    <row r="62" ht="42" customHeight="1">
      <c r="A62" s="952" t="inlineStr">
        <is>
          <t>Brighton</t>
        </is>
      </c>
      <c r="B62" s="952" t="inlineStr">
        <is>
          <t>GIS / Property</t>
        </is>
      </c>
      <c r="C62" s="952" t="inlineStr">
        <is>
          <t>Geographic Information Systems</t>
        </is>
      </c>
      <c r="D62" s="952" t="inlineStr">
        <is>
          <t>City GIS maps and data.</t>
        </is>
      </c>
      <c r="E62" s="952" t="inlineStr">
        <is>
          <t>Research parcels, infrastructure and municipal mapping.</t>
        </is>
      </c>
      <c r="F62" s="952" t="inlineStr">
        <is>
          <t>Yes</t>
        </is>
      </c>
      <c r="G62" s="1188" t="inlineStr">
        <is>
          <t>https://www.brightonco.gov/248/Geographic-Information-Systems</t>
        </is>
      </c>
      <c r="H62" s="952" t="inlineStr">
        <is>
          <t>Use for parcels inside this jurisdiction; confirm the parcel's actual county before relying on county recorder or assessor records.</t>
        </is>
      </c>
      <c r="I62" s="1129" t="n">
        <v>46213</v>
      </c>
      <c r="J62" s="951" t="inlineStr">
        <is>
          <t>Critical</t>
        </is>
      </c>
    </row>
    <row r="63" ht="42" customHeight="1">
      <c r="A63" s="952" t="inlineStr">
        <is>
          <t>Brighton</t>
        </is>
      </c>
      <c r="B63" s="952" t="inlineStr">
        <is>
          <t>Zoning / Planning</t>
        </is>
      </c>
      <c r="C63" s="952" t="inlineStr">
        <is>
          <t>Planning &amp; Zoning</t>
        </is>
      </c>
      <c r="D63" s="952" t="inlineStr">
        <is>
          <t>Planning, zoning, applications and staff resources.</t>
        </is>
      </c>
      <c r="E63" s="952" t="inlineStr">
        <is>
          <t>Start zoning and entitlement research.</t>
        </is>
      </c>
      <c r="F63" s="952" t="inlineStr">
        <is>
          <t>Yes</t>
        </is>
      </c>
      <c r="G63" s="1188" t="inlineStr">
        <is>
          <t>https://www.brightonco.gov/224/Planning-Zoning</t>
        </is>
      </c>
      <c r="H63" s="952" t="inlineStr">
        <is>
          <t>Use for parcels inside this jurisdiction; confirm the parcel's actual county before relying on county recorder or assessor records.</t>
        </is>
      </c>
      <c r="I63" s="1129" t="n">
        <v>46213</v>
      </c>
      <c r="J63" s="951" t="inlineStr">
        <is>
          <t>Critical</t>
        </is>
      </c>
    </row>
    <row r="64" ht="42" customHeight="1">
      <c r="A64" s="952" t="inlineStr">
        <is>
          <t>Brighton</t>
        </is>
      </c>
      <c r="B64" s="952" t="inlineStr">
        <is>
          <t>Code</t>
        </is>
      </c>
      <c r="C64" s="952" t="inlineStr">
        <is>
          <t>Land Use &amp; Development Code</t>
        </is>
      </c>
      <c r="D64" s="952" t="inlineStr">
        <is>
          <t>Current city land-use and development code.</t>
        </is>
      </c>
      <c r="E64" s="952" t="inlineStr">
        <is>
          <t>Review zoning districts, uses and development standards.</t>
        </is>
      </c>
      <c r="F64" s="952" t="inlineStr">
        <is>
          <t>Yes</t>
        </is>
      </c>
      <c r="G64" s="1188" t="inlineStr">
        <is>
          <t>https://www.brightonco.gov/363/Land-Use-Development-Code</t>
        </is>
      </c>
      <c r="H64" s="952" t="inlineStr">
        <is>
          <t>Use for parcels inside this jurisdiction; confirm the parcel's actual county before relying on county recorder or assessor records.</t>
        </is>
      </c>
      <c r="I64" s="1129" t="n">
        <v>46213</v>
      </c>
      <c r="J64" s="951" t="inlineStr">
        <is>
          <t>Critical</t>
        </is>
      </c>
    </row>
    <row r="65" ht="42" customHeight="1">
      <c r="A65" s="952" t="inlineStr">
        <is>
          <t>Brighton</t>
        </is>
      </c>
      <c r="B65" s="952" t="inlineStr">
        <is>
          <t>Development</t>
        </is>
      </c>
      <c r="C65" s="952" t="inlineStr">
        <is>
          <t>Land Use &amp; Development Applications</t>
        </is>
      </c>
      <c r="D65" s="952" t="inlineStr">
        <is>
          <t>Applications and procedural information.</t>
        </is>
      </c>
      <c r="E65" s="952" t="inlineStr">
        <is>
          <t>Identify entitlement types and application requirements.</t>
        </is>
      </c>
      <c r="F65" s="952" t="inlineStr">
        <is>
          <t>Yes</t>
        </is>
      </c>
      <c r="G65" s="1188" t="inlineStr">
        <is>
          <t>https://www.brightonco.gov/1142/Land-Use-Development-Applications</t>
        </is>
      </c>
      <c r="H65" s="952" t="inlineStr">
        <is>
          <t>Use for parcels inside this jurisdiction; confirm the parcel's actual county before relying on county recorder or assessor records.</t>
        </is>
      </c>
      <c r="I65" s="1129" t="n">
        <v>46213</v>
      </c>
      <c r="J65" s="951" t="inlineStr">
        <is>
          <t>High</t>
        </is>
      </c>
    </row>
    <row r="66" ht="42" customHeight="1">
      <c r="A66" s="952" t="inlineStr">
        <is>
          <t>Brighton</t>
        </is>
      </c>
      <c r="B66" s="952" t="inlineStr">
        <is>
          <t>Development</t>
        </is>
      </c>
      <c r="C66" s="952" t="inlineStr">
        <is>
          <t>Interactive Development Map</t>
        </is>
      </c>
      <c r="D66" s="952" t="inlineStr">
        <is>
          <t>Interactive map of development activity.</t>
        </is>
      </c>
      <c r="E66" s="952" t="inlineStr">
        <is>
          <t>Find active projects near a target property.</t>
        </is>
      </c>
      <c r="F66" s="952" t="inlineStr">
        <is>
          <t>Yes</t>
        </is>
      </c>
      <c r="G66" s="1188" t="inlineStr">
        <is>
          <t>https://www.brightonco.gov/1596/Interactive-Development-Map</t>
        </is>
      </c>
      <c r="H66" s="952" t="inlineStr">
        <is>
          <t>Use for parcels inside this jurisdiction; confirm the parcel's actual county before relying on county recorder or assessor records.</t>
        </is>
      </c>
      <c r="I66" s="1129" t="n">
        <v>46213</v>
      </c>
      <c r="J66" s="951" t="inlineStr">
        <is>
          <t>Critical</t>
        </is>
      </c>
    </row>
    <row r="67" ht="42" customHeight="1">
      <c r="A67" s="952" t="inlineStr">
        <is>
          <t>Brighton</t>
        </is>
      </c>
      <c r="B67" s="952" t="inlineStr">
        <is>
          <t>Development</t>
        </is>
      </c>
      <c r="C67" s="952" t="inlineStr">
        <is>
          <t>Development Resources</t>
        </is>
      </c>
      <c r="D67" s="952" t="inlineStr">
        <is>
          <t>Development standards, guides and applicant resources.</t>
        </is>
      </c>
      <c r="E67" s="952" t="inlineStr">
        <is>
          <t>Plan a development submittal or feasibility review.</t>
        </is>
      </c>
      <c r="F67" s="952" t="inlineStr">
        <is>
          <t>Yes</t>
        </is>
      </c>
      <c r="G67" s="1188" t="inlineStr">
        <is>
          <t>https://www.brightonco.gov/1146/Development-Resources</t>
        </is>
      </c>
      <c r="H67" s="952" t="inlineStr">
        <is>
          <t>Use for parcels inside this jurisdiction; confirm the parcel's actual county before relying on county recorder or assessor records.</t>
        </is>
      </c>
      <c r="I67" s="1129" t="n">
        <v>46213</v>
      </c>
      <c r="J67" s="951" t="inlineStr">
        <is>
          <t>High</t>
        </is>
      </c>
    </row>
    <row r="68" ht="42" customHeight="1">
      <c r="A68" s="952" t="inlineStr">
        <is>
          <t>Brighton</t>
        </is>
      </c>
      <c r="B68" s="952" t="inlineStr">
        <is>
          <t>Permits</t>
        </is>
      </c>
      <c r="C68" s="952" t="inlineStr">
        <is>
          <t>Permitting</t>
        </is>
      </c>
      <c r="D68" s="952" t="inlineStr">
        <is>
          <t>City permitting resources and online services.</t>
        </is>
      </c>
      <c r="E68" s="952" t="inlineStr">
        <is>
          <t>Research permit requirements and status.</t>
        </is>
      </c>
      <c r="F68" s="952" t="inlineStr">
        <is>
          <t>Yes</t>
        </is>
      </c>
      <c r="G68" s="1188" t="inlineStr">
        <is>
          <t>https://www.brightonco.gov/222/Permitting</t>
        </is>
      </c>
      <c r="H68" s="952" t="inlineStr">
        <is>
          <t>Use for parcels inside this jurisdiction; confirm the parcel's actual county before relying on county recorder or assessor records.</t>
        </is>
      </c>
      <c r="I68" s="1129" t="n">
        <v>46213</v>
      </c>
      <c r="J68" s="951" t="inlineStr">
        <is>
          <t>Critical</t>
        </is>
      </c>
    </row>
    <row r="69" ht="42" customHeight="1">
      <c r="A69" s="952" t="inlineStr">
        <is>
          <t>Brighton</t>
        </is>
      </c>
      <c r="B69" s="952" t="inlineStr">
        <is>
          <t>Codes</t>
        </is>
      </c>
      <c r="C69" s="952" t="inlineStr">
        <is>
          <t>Codes</t>
        </is>
      </c>
      <c r="D69" s="952" t="inlineStr">
        <is>
          <t>Building and municipal code resources.</t>
        </is>
      </c>
      <c r="E69" s="952" t="inlineStr">
        <is>
          <t>Confirm adopted construction and municipal standards.</t>
        </is>
      </c>
      <c r="F69" s="952" t="inlineStr">
        <is>
          <t>Yes</t>
        </is>
      </c>
      <c r="G69" s="1188" t="inlineStr">
        <is>
          <t>https://www.brightonco.gov/1194/Codes</t>
        </is>
      </c>
      <c r="H69" s="952" t="inlineStr">
        <is>
          <t>Use for parcels inside this jurisdiction; confirm the parcel's actual county before relying on county recorder or assessor records.</t>
        </is>
      </c>
      <c r="I69" s="1129" t="n">
        <v>46213</v>
      </c>
      <c r="J69" s="951" t="inlineStr">
        <is>
          <t>High</t>
        </is>
      </c>
    </row>
    <row r="70" ht="42" customHeight="1">
      <c r="A70" s="952" t="inlineStr">
        <is>
          <t>Brighton</t>
        </is>
      </c>
      <c r="B70" s="952" t="inlineStr">
        <is>
          <t>Long-Range Planning</t>
        </is>
      </c>
      <c r="C70" s="952" t="inlineStr">
        <is>
          <t>Long Range Planning</t>
        </is>
      </c>
      <c r="D70" s="952" t="inlineStr">
        <is>
          <t>Comprehensive and area planning resources.</t>
        </is>
      </c>
      <c r="E70" s="952" t="inlineStr">
        <is>
          <t>Research future land use and long-range initiatives.</t>
        </is>
      </c>
      <c r="F70" s="952" t="inlineStr">
        <is>
          <t>Yes</t>
        </is>
      </c>
      <c r="G70" s="1188" t="inlineStr">
        <is>
          <t>https://www.brightonco.gov/553/Long-Range-Planning</t>
        </is>
      </c>
      <c r="H70" s="952" t="inlineStr">
        <is>
          <t>Use for parcels inside this jurisdiction; confirm the parcel's actual county before relying on county recorder or assessor records.</t>
        </is>
      </c>
      <c r="I70" s="1129" t="n">
        <v>46213</v>
      </c>
      <c r="J70" s="951" t="inlineStr">
        <is>
          <t>High</t>
        </is>
      </c>
    </row>
    <row r="71" ht="42" customHeight="1">
      <c r="A71" s="952" t="inlineStr">
        <is>
          <t>Brighton</t>
        </is>
      </c>
      <c r="B71" s="952" t="inlineStr">
        <is>
          <t>Meetings</t>
        </is>
      </c>
      <c r="C71" s="952" t="inlineStr">
        <is>
          <t>Planning Commission</t>
        </is>
      </c>
      <c r="D71" s="952" t="inlineStr">
        <is>
          <t>Planning Commission information.</t>
        </is>
      </c>
      <c r="E71" s="952" t="inlineStr">
        <is>
          <t>Monitor land-use hearings and recommendations.</t>
        </is>
      </c>
      <c r="F71" s="952" t="inlineStr">
        <is>
          <t>Yes</t>
        </is>
      </c>
      <c r="G71" s="1188" t="inlineStr">
        <is>
          <t>https://www.brightonco.gov/197/Planning-Commission</t>
        </is>
      </c>
      <c r="H71" s="952" t="inlineStr">
        <is>
          <t>Use for parcels inside this jurisdiction; confirm the parcel's actual county before relying on county recorder or assessor records.</t>
        </is>
      </c>
      <c r="I71" s="1129" t="n">
        <v>46213</v>
      </c>
      <c r="J71" s="951" t="inlineStr">
        <is>
          <t>High</t>
        </is>
      </c>
    </row>
    <row r="72" ht="42" customHeight="1">
      <c r="A72" s="952" t="inlineStr">
        <is>
          <t>Brighton</t>
        </is>
      </c>
      <c r="B72" s="952" t="inlineStr">
        <is>
          <t>Meetings</t>
        </is>
      </c>
      <c r="C72" s="952" t="inlineStr">
        <is>
          <t>Agenda Center</t>
        </is>
      </c>
      <c r="D72" s="952" t="inlineStr">
        <is>
          <t>Agendas, minutes and meeting records.</t>
        </is>
      </c>
      <c r="E72" s="952" t="inlineStr">
        <is>
          <t>Track official city decisions.</t>
        </is>
      </c>
      <c r="F72" s="952" t="inlineStr">
        <is>
          <t>Yes</t>
        </is>
      </c>
      <c r="G72" s="1188" t="inlineStr">
        <is>
          <t>https://www.brightonco.gov/agendacenter</t>
        </is>
      </c>
      <c r="H72" s="952" t="inlineStr">
        <is>
          <t>Use for parcels inside this jurisdiction; confirm the parcel's actual county before relying on county recorder or assessor records.</t>
        </is>
      </c>
      <c r="I72" s="1129" t="n">
        <v>46213</v>
      </c>
      <c r="J72" s="951" t="inlineStr">
        <is>
          <t>High</t>
        </is>
      </c>
    </row>
    <row r="73" ht="42" customHeight="1">
      <c r="A73" s="952" t="inlineStr">
        <is>
          <t>Brighton</t>
        </is>
      </c>
      <c r="B73" s="952" t="inlineStr">
        <is>
          <t>Public Notices</t>
        </is>
      </c>
      <c r="C73" s="952" t="inlineStr">
        <is>
          <t>Legal Notices</t>
        </is>
      </c>
      <c r="D73" s="952" t="inlineStr">
        <is>
          <t>Official legal notices and hearing postings.</t>
        </is>
      </c>
      <c r="E73" s="952" t="inlineStr">
        <is>
          <t>Confirm formal notices and deadlines.</t>
        </is>
      </c>
      <c r="F73" s="952" t="inlineStr">
        <is>
          <t>Yes</t>
        </is>
      </c>
      <c r="G73" s="1188" t="inlineStr">
        <is>
          <t>https://www.brightonco.gov/453/Legal-Notices</t>
        </is>
      </c>
      <c r="H73" s="952" t="inlineStr">
        <is>
          <t>Use for parcels inside this jurisdiction; confirm the parcel's actual county before relying on county recorder or assessor records.</t>
        </is>
      </c>
      <c r="I73" s="1129" t="n">
        <v>46213</v>
      </c>
      <c r="J73" s="951" t="inlineStr">
        <is>
          <t>High</t>
        </is>
      </c>
    </row>
    <row r="74" ht="42" customHeight="1">
      <c r="A74" s="952" t="inlineStr">
        <is>
          <t>Brighton</t>
        </is>
      </c>
      <c r="B74" s="952" t="inlineStr">
        <is>
          <t>News</t>
        </is>
      </c>
      <c r="C74" s="952" t="inlineStr">
        <is>
          <t>City News</t>
        </is>
      </c>
      <c r="D74" s="952" t="inlineStr">
        <is>
          <t>Official city news and announcements.</t>
        </is>
      </c>
      <c r="E74" s="952" t="inlineStr">
        <is>
          <t>Monitor projects, policy and community changes.</t>
        </is>
      </c>
      <c r="F74" s="952" t="inlineStr">
        <is>
          <t>Yes</t>
        </is>
      </c>
      <c r="G74" s="1188" t="inlineStr">
        <is>
          <t>https://www.brightonco.gov/175/News</t>
        </is>
      </c>
      <c r="H74" s="952" t="inlineStr">
        <is>
          <t>Use for parcels inside this jurisdiction; confirm the parcel's actual county before relying on county recorder or assessor records.</t>
        </is>
      </c>
      <c r="I74" s="1129" t="n">
        <v>46213</v>
      </c>
      <c r="J74" s="951" t="inlineStr">
        <is>
          <t>Useful</t>
        </is>
      </c>
    </row>
    <row r="75" ht="42" customHeight="1">
      <c r="A75" s="952" t="inlineStr">
        <is>
          <t>Brighton</t>
        </is>
      </c>
      <c r="B75" s="952" t="inlineStr">
        <is>
          <t>Alerts</t>
        </is>
      </c>
      <c r="C75" s="952" t="inlineStr">
        <is>
          <t>Notify Me</t>
        </is>
      </c>
      <c r="D75" s="952" t="inlineStr">
        <is>
          <t>Email subscription categories and alerts.</t>
        </is>
      </c>
      <c r="E75" s="952" t="inlineStr">
        <is>
          <t>Subscribe to meeting, project and news updates.</t>
        </is>
      </c>
      <c r="F75" s="952" t="inlineStr">
        <is>
          <t>Yes</t>
        </is>
      </c>
      <c r="G75" s="1188" t="inlineStr">
        <is>
          <t>https://www.brightonco.gov/notifyme</t>
        </is>
      </c>
      <c r="H75" s="952" t="inlineStr">
        <is>
          <t>Use for parcels inside this jurisdiction; confirm the parcel's actual county before relying on county recorder or assessor records.</t>
        </is>
      </c>
      <c r="I75" s="1129" t="n">
        <v>46213</v>
      </c>
      <c r="J75" s="951" t="inlineStr">
        <is>
          <t>Useful</t>
        </is>
      </c>
    </row>
    <row r="76" ht="42" customHeight="1">
      <c r="A76" s="952" t="inlineStr">
        <is>
          <t>Commerce City</t>
        </is>
      </c>
      <c r="B76" s="952" t="inlineStr">
        <is>
          <t>Official Website</t>
        </is>
      </c>
      <c r="C76" s="952" t="inlineStr">
        <is>
          <t>Commerce City</t>
        </is>
      </c>
      <c r="D76" s="952" t="inlineStr">
        <is>
          <t>Main city website.</t>
        </is>
      </c>
      <c r="E76" s="952" t="inlineStr">
        <is>
          <t>Navigate city departments and services.</t>
        </is>
      </c>
      <c r="F76" s="952" t="inlineStr">
        <is>
          <t>Yes</t>
        </is>
      </c>
      <c r="G76" s="1188" t="inlineStr">
        <is>
          <t>https://www.c3gov.com/Home</t>
        </is>
      </c>
      <c r="H76" s="952" t="inlineStr">
        <is>
          <t>Use for parcels inside this jurisdiction; confirm the parcel's actual county before relying on county recorder or assessor records.</t>
        </is>
      </c>
      <c r="I76" s="1129" t="n">
        <v>46213</v>
      </c>
      <c r="J76" s="951" t="inlineStr">
        <is>
          <t>Reference</t>
        </is>
      </c>
    </row>
    <row r="77" ht="42" customHeight="1">
      <c r="A77" s="952" t="inlineStr">
        <is>
          <t>Commerce City</t>
        </is>
      </c>
      <c r="B77" s="952" t="inlineStr">
        <is>
          <t>GIS / Property</t>
        </is>
      </c>
      <c r="C77" s="952" t="inlineStr">
        <is>
          <t>Maps, Data &amp; GIS</t>
        </is>
      </c>
      <c r="D77" s="952" t="inlineStr">
        <is>
          <t>City maps, data and GIS resources.</t>
        </is>
      </c>
      <c r="E77" s="952" t="inlineStr">
        <is>
          <t>Research zoning, parcels, boundaries and infrastructure.</t>
        </is>
      </c>
      <c r="F77" s="952" t="inlineStr">
        <is>
          <t>Yes</t>
        </is>
      </c>
      <c r="G77" s="1188" t="inlineStr">
        <is>
          <t>https://www.c3gov.com/Residents/Maps-Data-GIS</t>
        </is>
      </c>
      <c r="H77" s="952" t="inlineStr">
        <is>
          <t>Use for parcels inside this jurisdiction; confirm the parcel's actual county before relying on county recorder or assessor records.</t>
        </is>
      </c>
      <c r="I77" s="1129" t="n">
        <v>46213</v>
      </c>
      <c r="J77" s="951" t="inlineStr">
        <is>
          <t>Critical</t>
        </is>
      </c>
    </row>
    <row r="78" ht="42" customHeight="1">
      <c r="A78" s="952" t="inlineStr">
        <is>
          <t>Commerce City</t>
        </is>
      </c>
      <c r="B78" s="952" t="inlineStr">
        <is>
          <t>Code</t>
        </is>
      </c>
      <c r="C78" s="952" t="inlineStr">
        <is>
          <t>Land Development Code</t>
        </is>
      </c>
      <c r="D78" s="952" t="inlineStr">
        <is>
          <t>City land-development regulations.</t>
        </is>
      </c>
      <c r="E78" s="952" t="inlineStr">
        <is>
          <t>Review zoning, use, subdivision and development standards.</t>
        </is>
      </c>
      <c r="F78" s="952" t="inlineStr">
        <is>
          <t>Yes</t>
        </is>
      </c>
      <c r="G78" s="1188" t="inlineStr">
        <is>
          <t>https://www.c3gov.com/Government/City-Codes/Land-Development-Code</t>
        </is>
      </c>
      <c r="H78" s="952" t="inlineStr">
        <is>
          <t>Use for parcels inside this jurisdiction; confirm the parcel's actual county before relying on county recorder or assessor records.</t>
        </is>
      </c>
      <c r="I78" s="1129" t="n">
        <v>46213</v>
      </c>
      <c r="J78" s="951" t="inlineStr">
        <is>
          <t>Critical</t>
        </is>
      </c>
    </row>
    <row r="79" ht="42" customHeight="1">
      <c r="A79" s="952" t="inlineStr">
        <is>
          <t>Commerce City</t>
        </is>
      </c>
      <c r="B79" s="952" t="inlineStr">
        <is>
          <t>Code</t>
        </is>
      </c>
      <c r="C79" s="952" t="inlineStr">
        <is>
          <t>Land Development Code Transition</t>
        </is>
      </c>
      <c r="D79" s="952" t="inlineStr">
        <is>
          <t>Information on current code changes and transition rules.</t>
        </is>
      </c>
      <c r="E79" s="952" t="inlineStr">
        <is>
          <t>Check which code version applies to a project.</t>
        </is>
      </c>
      <c r="F79" s="952" t="inlineStr">
        <is>
          <t>Yes</t>
        </is>
      </c>
      <c r="G79" s="1188" t="inlineStr">
        <is>
          <t>https://www.c3gov.com/Government/City-Codes/Land-Development-Code/Land-Development-Code-Transition</t>
        </is>
      </c>
      <c r="H79" s="952" t="inlineStr">
        <is>
          <t>Use for parcels inside this jurisdiction; confirm the parcel's actual county before relying on county recorder or assessor records.</t>
        </is>
      </c>
      <c r="I79" s="1129" t="n">
        <v>46213</v>
      </c>
      <c r="J79" s="951" t="inlineStr">
        <is>
          <t>High</t>
        </is>
      </c>
    </row>
    <row r="80" ht="42" customHeight="1">
      <c r="A80" s="952" t="inlineStr">
        <is>
          <t>Commerce City</t>
        </is>
      </c>
      <c r="B80" s="952" t="inlineStr">
        <is>
          <t>Zoning / Standards</t>
        </is>
      </c>
      <c r="C80" s="952" t="inlineStr">
        <is>
          <t>Land Use Standards</t>
        </is>
      </c>
      <c r="D80" s="952" t="inlineStr">
        <is>
          <t>Land-use and development standards.</t>
        </is>
      </c>
      <c r="E80" s="952" t="inlineStr">
        <is>
          <t>Confirm site and use requirements.</t>
        </is>
      </c>
      <c r="F80" s="952" t="inlineStr">
        <is>
          <t>Yes</t>
        </is>
      </c>
      <c r="G80" s="1188" t="inlineStr">
        <is>
          <t>https://www.c3gov.com/Business-Development/Developing-in-Commerce-City/Land-Use-Standards</t>
        </is>
      </c>
      <c r="H80" s="952" t="inlineStr">
        <is>
          <t>Use for parcels inside this jurisdiction; confirm the parcel's actual county before relying on county recorder or assessor records.</t>
        </is>
      </c>
      <c r="I80" s="1129" t="n">
        <v>46213</v>
      </c>
      <c r="J80" s="951" t="inlineStr">
        <is>
          <t>Critical</t>
        </is>
      </c>
    </row>
    <row r="81" ht="42" customHeight="1">
      <c r="A81" s="952" t="inlineStr">
        <is>
          <t>Commerce City</t>
        </is>
      </c>
      <c r="B81" s="952" t="inlineStr">
        <is>
          <t>Planning</t>
        </is>
      </c>
      <c r="C81" s="952" t="inlineStr">
        <is>
          <t>Community Development</t>
        </is>
      </c>
      <c r="D81" s="952" t="inlineStr">
        <is>
          <t>Planning, building and development department resources.</t>
        </is>
      </c>
      <c r="E81" s="952" t="inlineStr">
        <is>
          <t>Start land-use and development research.</t>
        </is>
      </c>
      <c r="F81" s="952" t="inlineStr">
        <is>
          <t>Yes</t>
        </is>
      </c>
      <c r="G81" s="1188" t="inlineStr">
        <is>
          <t>https://www.c3gov.com/Government/Departments-Divisions/Community-Development</t>
        </is>
      </c>
      <c r="H81" s="952" t="inlineStr">
        <is>
          <t>Use for parcels inside this jurisdiction; confirm the parcel's actual county before relying on county recorder or assessor records.</t>
        </is>
      </c>
      <c r="I81" s="1129" t="n">
        <v>46213</v>
      </c>
      <c r="J81" s="951" t="inlineStr">
        <is>
          <t>High</t>
        </is>
      </c>
    </row>
    <row r="82" ht="42" customHeight="1">
      <c r="A82" s="952" t="inlineStr">
        <is>
          <t>Commerce City</t>
        </is>
      </c>
      <c r="B82" s="952" t="inlineStr">
        <is>
          <t>Development</t>
        </is>
      </c>
      <c r="C82" s="952" t="inlineStr">
        <is>
          <t>Developing in Commerce City</t>
        </is>
      </c>
      <c r="D82" s="952" t="inlineStr">
        <is>
          <t>Development-process overview and resources.</t>
        </is>
      </c>
      <c r="E82" s="952" t="inlineStr">
        <is>
          <t>Understand approvals, standards and contacts.</t>
        </is>
      </c>
      <c r="F82" s="952" t="inlineStr">
        <is>
          <t>Yes</t>
        </is>
      </c>
      <c r="G82" s="1188" t="inlineStr">
        <is>
          <t>https://www.c3gov.com/Business-Development/Developing-in-Commerce-City</t>
        </is>
      </c>
      <c r="H82" s="952" t="inlineStr">
        <is>
          <t>Use for parcels inside this jurisdiction; confirm the parcel's actual county before relying on county recorder or assessor records.</t>
        </is>
      </c>
      <c r="I82" s="1129" t="n">
        <v>46213</v>
      </c>
      <c r="J82" s="951" t="inlineStr">
        <is>
          <t>High</t>
        </is>
      </c>
    </row>
    <row r="83" ht="42" customHeight="1">
      <c r="A83" s="952" t="inlineStr">
        <is>
          <t>Commerce City</t>
        </is>
      </c>
      <c r="B83" s="952" t="inlineStr">
        <is>
          <t>Development</t>
        </is>
      </c>
      <c r="C83" s="952" t="inlineStr">
        <is>
          <t>Land Use Approvals</t>
        </is>
      </c>
      <c r="D83" s="952" t="inlineStr">
        <is>
          <t>Land-use approval types and application guidance.</t>
        </is>
      </c>
      <c r="E83" s="952" t="inlineStr">
        <is>
          <t>Determine the entitlement process for a proposal.</t>
        </is>
      </c>
      <c r="F83" s="952" t="inlineStr">
        <is>
          <t>Yes</t>
        </is>
      </c>
      <c r="G83" s="1188" t="inlineStr">
        <is>
          <t>https://www.c3gov.com/Business-Development/Developing-in-Commerce-City/Land-Use-Approvals</t>
        </is>
      </c>
      <c r="H83" s="952" t="inlineStr">
        <is>
          <t>Use for parcels inside this jurisdiction; confirm the parcel's actual county before relying on county recorder or assessor records.</t>
        </is>
      </c>
      <c r="I83" s="1129" t="n">
        <v>46213</v>
      </c>
      <c r="J83" s="951" t="inlineStr">
        <is>
          <t>High</t>
        </is>
      </c>
    </row>
    <row r="84" ht="42" customHeight="1">
      <c r="A84" s="952" t="inlineStr">
        <is>
          <t>Commerce City</t>
        </is>
      </c>
      <c r="B84" s="952" t="inlineStr">
        <is>
          <t>Development</t>
        </is>
      </c>
      <c r="C84" s="952" t="inlineStr">
        <is>
          <t>Development Projects Map</t>
        </is>
      </c>
      <c r="D84" s="952" t="inlineStr">
        <is>
          <t>Map of active development projects.</t>
        </is>
      </c>
      <c r="E84" s="952" t="inlineStr">
        <is>
          <t>Identify projects near a property and monitor status.</t>
        </is>
      </c>
      <c r="F84" s="952" t="inlineStr">
        <is>
          <t>Yes</t>
        </is>
      </c>
      <c r="G84" s="1188" t="inlineStr">
        <is>
          <t>https://www.c3gov.com/Business-Development/Development-Projects-Map</t>
        </is>
      </c>
      <c r="H84" s="952" t="inlineStr">
        <is>
          <t>Use for parcels inside this jurisdiction; confirm the parcel's actual county before relying on county recorder or assessor records.</t>
        </is>
      </c>
      <c r="I84" s="1129" t="n">
        <v>46213</v>
      </c>
      <c r="J84" s="951" t="inlineStr">
        <is>
          <t>Critical</t>
        </is>
      </c>
    </row>
    <row r="85" ht="42" customHeight="1">
      <c r="A85" s="952" t="inlineStr">
        <is>
          <t>Commerce City</t>
        </is>
      </c>
      <c r="B85" s="952" t="inlineStr">
        <is>
          <t>Permits</t>
        </is>
      </c>
      <c r="C85" s="952" t="inlineStr">
        <is>
          <t>Building Permits &amp; Inspections</t>
        </is>
      </c>
      <c r="D85" s="952" t="inlineStr">
        <is>
          <t>Building-permit and inspection information.</t>
        </is>
      </c>
      <c r="E85" s="952" t="inlineStr">
        <is>
          <t>Research construction permits and inspections.</t>
        </is>
      </c>
      <c r="F85" s="952" t="inlineStr">
        <is>
          <t>Yes</t>
        </is>
      </c>
      <c r="G85" s="1188" t="inlineStr">
        <is>
          <t>https://www.c3gov.com/Business-Development/Building-Permits-Inspections</t>
        </is>
      </c>
      <c r="H85" s="952" t="inlineStr">
        <is>
          <t>Use for parcels inside this jurisdiction; confirm the parcel's actual county before relying on county recorder or assessor records.</t>
        </is>
      </c>
      <c r="I85" s="1129" t="n">
        <v>46213</v>
      </c>
      <c r="J85" s="951" t="inlineStr">
        <is>
          <t>Critical</t>
        </is>
      </c>
    </row>
    <row r="86" ht="42" customHeight="1">
      <c r="A86" s="952" t="inlineStr">
        <is>
          <t>Commerce City</t>
        </is>
      </c>
      <c r="B86" s="952" t="inlineStr">
        <is>
          <t>Online Portal</t>
        </is>
      </c>
      <c r="C86" s="952" t="inlineStr">
        <is>
          <t>eTRAKiT Portal</t>
        </is>
      </c>
      <c r="D86" s="952" t="inlineStr">
        <is>
          <t>Online permitting and project portal.</t>
        </is>
      </c>
      <c r="E86" s="952" t="inlineStr">
        <is>
          <t>Search or manage permits and development cases.</t>
        </is>
      </c>
      <c r="F86" s="952" t="inlineStr">
        <is>
          <t>Yes</t>
        </is>
      </c>
      <c r="G86" s="1188" t="inlineStr">
        <is>
          <t>https://www.c3gov.com/Business-Development/eTRAKiT-Portal</t>
        </is>
      </c>
      <c r="H86" s="952" t="inlineStr">
        <is>
          <t>Use for parcels inside this jurisdiction; confirm the parcel's actual county before relying on county recorder or assessor records.</t>
        </is>
      </c>
      <c r="I86" s="1129" t="n">
        <v>46213</v>
      </c>
      <c r="J86" s="951" t="inlineStr">
        <is>
          <t>High</t>
        </is>
      </c>
    </row>
    <row r="87" ht="42" customHeight="1">
      <c r="A87" s="952" t="inlineStr">
        <is>
          <t>Commerce City</t>
        </is>
      </c>
      <c r="B87" s="952" t="inlineStr">
        <is>
          <t>Long-Range Planning</t>
        </is>
      </c>
      <c r="C87" s="952" t="inlineStr">
        <is>
          <t>Comprehensive Plan</t>
        </is>
      </c>
      <c r="D87" s="952" t="inlineStr">
        <is>
          <t>City comprehensive plan and related documents.</t>
        </is>
      </c>
      <c r="E87" s="952" t="inlineStr">
        <is>
          <t>Evaluate future land use and city policy.</t>
        </is>
      </c>
      <c r="F87" s="952" t="inlineStr">
        <is>
          <t>Yes</t>
        </is>
      </c>
      <c r="G87" s="1188" t="inlineStr">
        <is>
          <t>https://www.c3gov.com/Government/City-Charter-Master-Plans/Comprehensive-Plan</t>
        </is>
      </c>
      <c r="H87" s="952" t="inlineStr">
        <is>
          <t>Use for parcels inside this jurisdiction; confirm the parcel's actual county before relying on county recorder or assessor records.</t>
        </is>
      </c>
      <c r="I87" s="1129" t="n">
        <v>46213</v>
      </c>
      <c r="J87" s="951" t="inlineStr">
        <is>
          <t>High</t>
        </is>
      </c>
    </row>
    <row r="88" ht="42" customHeight="1">
      <c r="A88" s="952" t="inlineStr">
        <is>
          <t>Commerce City</t>
        </is>
      </c>
      <c r="B88" s="952" t="inlineStr">
        <is>
          <t>Meetings</t>
        </is>
      </c>
      <c r="C88" s="952" t="inlineStr">
        <is>
          <t>Planning Commission</t>
        </is>
      </c>
      <c r="D88" s="952" t="inlineStr">
        <is>
          <t>Planning Commission information and meetings.</t>
        </is>
      </c>
      <c r="E88" s="952" t="inlineStr">
        <is>
          <t>Monitor planning hearings and recommendations.</t>
        </is>
      </c>
      <c r="F88" s="952" t="inlineStr">
        <is>
          <t>Yes</t>
        </is>
      </c>
      <c r="G88" s="1188" t="inlineStr">
        <is>
          <t>https://www.c3gov.com/Government/Boards-Commissions/Planning-Commission</t>
        </is>
      </c>
      <c r="H88" s="952" t="inlineStr">
        <is>
          <t>Use for parcels inside this jurisdiction; confirm the parcel's actual county before relying on county recorder or assessor records.</t>
        </is>
      </c>
      <c r="I88" s="1129" t="n">
        <v>46213</v>
      </c>
      <c r="J88" s="951" t="inlineStr">
        <is>
          <t>High</t>
        </is>
      </c>
    </row>
    <row r="89" ht="42" customHeight="1">
      <c r="A89" s="952" t="inlineStr">
        <is>
          <t>Commerce City</t>
        </is>
      </c>
      <c r="B89" s="952" t="inlineStr">
        <is>
          <t>Meetings</t>
        </is>
      </c>
      <c r="C89" s="952" t="inlineStr">
        <is>
          <t>Meeting Agendas and Schedules</t>
        </is>
      </c>
      <c r="D89" s="952" t="inlineStr">
        <is>
          <t>Agendas, schedules and public meeting records.</t>
        </is>
      </c>
      <c r="E89" s="952" t="inlineStr">
        <is>
          <t>Track city council and board action.</t>
        </is>
      </c>
      <c r="F89" s="952" t="inlineStr">
        <is>
          <t>Yes</t>
        </is>
      </c>
      <c r="G89" s="1188" t="inlineStr">
        <is>
          <t>https://www.c3gov.com/Site-Footer/Footer-Widgets/Quick-Links/Meeting-Agendas-and-Schedules</t>
        </is>
      </c>
      <c r="H89" s="952" t="inlineStr">
        <is>
          <t>Use for parcels inside this jurisdiction; confirm the parcel's actual county before relying on county recorder or assessor records.</t>
        </is>
      </c>
      <c r="I89" s="1129" t="n">
        <v>46213</v>
      </c>
      <c r="J89" s="951" t="inlineStr">
        <is>
          <t>High</t>
        </is>
      </c>
    </row>
    <row r="90" ht="42" customHeight="1">
      <c r="A90" s="952" t="inlineStr">
        <is>
          <t>Commerce City</t>
        </is>
      </c>
      <c r="B90" s="952" t="inlineStr">
        <is>
          <t>Public Notices</t>
        </is>
      </c>
      <c r="C90" s="952" t="inlineStr">
        <is>
          <t>Legal Notices &amp; Ordinances</t>
        </is>
      </c>
      <c r="D90" s="952" t="inlineStr">
        <is>
          <t>Official legal notices and ordinances.</t>
        </is>
      </c>
      <c r="E90" s="952" t="inlineStr">
        <is>
          <t>Confirm hearings, ordinances and public-notice deadlines.</t>
        </is>
      </c>
      <c r="F90" s="952" t="inlineStr">
        <is>
          <t>Yes</t>
        </is>
      </c>
      <c r="G90" s="1188" t="inlineStr">
        <is>
          <t>https://www.c3gov.com/Government/Departments-Divisions/City-Clerks-Office/Legal-Notices-Ordinances</t>
        </is>
      </c>
      <c r="H90" s="952" t="inlineStr">
        <is>
          <t>Use for parcels inside this jurisdiction; confirm the parcel's actual county before relying on county recorder or assessor records.</t>
        </is>
      </c>
      <c r="I90" s="1129" t="n">
        <v>46213</v>
      </c>
      <c r="J90" s="951" t="inlineStr">
        <is>
          <t>High</t>
        </is>
      </c>
    </row>
    <row r="91" ht="42" customHeight="1">
      <c r="A91" s="952" t="inlineStr">
        <is>
          <t>Commerce City</t>
        </is>
      </c>
      <c r="B91" s="952" t="inlineStr">
        <is>
          <t>News</t>
        </is>
      </c>
      <c r="C91" s="952" t="inlineStr">
        <is>
          <t>News &amp; Announcements</t>
        </is>
      </c>
      <c r="D91" s="952" t="inlineStr">
        <is>
          <t>Official city news and announcements.</t>
        </is>
      </c>
      <c r="E91" s="952" t="inlineStr">
        <is>
          <t>Monitor projects, policies and public updates.</t>
        </is>
      </c>
      <c r="F91" s="952" t="inlineStr">
        <is>
          <t>Yes</t>
        </is>
      </c>
      <c r="G91" s="1188" t="inlineStr">
        <is>
          <t>https://www.c3gov.com/Government/Media-News/News-Announcements</t>
        </is>
      </c>
      <c r="H91" s="952" t="inlineStr">
        <is>
          <t>Use for parcels inside this jurisdiction; confirm the parcel's actual county before relying on county recorder or assessor records.</t>
        </is>
      </c>
      <c r="I91" s="1129" t="n">
        <v>46213</v>
      </c>
      <c r="J91" s="951" t="inlineStr">
        <is>
          <t>Useful</t>
        </is>
      </c>
    </row>
    <row r="92" ht="42" customHeight="1">
      <c r="A92" s="952" t="inlineStr">
        <is>
          <t>Federal Heights</t>
        </is>
      </c>
      <c r="B92" s="952" t="inlineStr">
        <is>
          <t>Official Website</t>
        </is>
      </c>
      <c r="C92" s="952" t="inlineStr">
        <is>
          <t>City of Federal Heights</t>
        </is>
      </c>
      <c r="D92" s="952" t="inlineStr">
        <is>
          <t>Main city website.</t>
        </is>
      </c>
      <c r="E92" s="952" t="inlineStr">
        <is>
          <t>Navigate city services and departments.</t>
        </is>
      </c>
      <c r="F92" s="952" t="inlineStr">
        <is>
          <t>Yes</t>
        </is>
      </c>
      <c r="G92" s="1188" t="inlineStr">
        <is>
          <t>https://www.fedheights.org/</t>
        </is>
      </c>
      <c r="H92" s="952" t="inlineStr">
        <is>
          <t>Use for parcels inside this jurisdiction; confirm the parcel's actual county before relying on county recorder or assessor records.</t>
        </is>
      </c>
      <c r="I92" s="1129" t="n">
        <v>46213</v>
      </c>
      <c r="J92" s="951" t="inlineStr">
        <is>
          <t>Reference</t>
        </is>
      </c>
    </row>
    <row r="93" ht="42" customHeight="1">
      <c r="A93" s="952" t="inlineStr">
        <is>
          <t>Federal Heights</t>
        </is>
      </c>
      <c r="B93" s="952" t="inlineStr">
        <is>
          <t>GIS / Property</t>
        </is>
      </c>
      <c r="C93" s="952" t="inlineStr">
        <is>
          <t>City Maps and GIS Data</t>
        </is>
      </c>
      <c r="D93" s="952" t="inlineStr">
        <is>
          <t>City maps, zoning map and GIS resources.</t>
        </is>
      </c>
      <c r="E93" s="952" t="inlineStr">
        <is>
          <t>Identify municipal boundaries and mapped information.</t>
        </is>
      </c>
      <c r="F93" s="952" t="inlineStr">
        <is>
          <t>Yes</t>
        </is>
      </c>
      <c r="G93" s="1188" t="inlineStr">
        <is>
          <t>https://www.fedheights.org/index.asp?SEC=D1A883BE-0C29-4602-8CC9-5D6A08DA5503</t>
        </is>
      </c>
      <c r="H93" s="952" t="inlineStr">
        <is>
          <t>Use for parcels inside this jurisdiction; confirm the parcel's actual county before relying on county recorder or assessor records.</t>
        </is>
      </c>
      <c r="I93" s="1129" t="n">
        <v>46213</v>
      </c>
      <c r="J93" s="951" t="inlineStr">
        <is>
          <t>Critical</t>
        </is>
      </c>
    </row>
    <row r="94" ht="42" customHeight="1">
      <c r="A94" s="952" t="inlineStr">
        <is>
          <t>Federal Heights</t>
        </is>
      </c>
      <c r="B94" s="952" t="inlineStr">
        <is>
          <t>Zoning</t>
        </is>
      </c>
      <c r="C94" s="952" t="inlineStr">
        <is>
          <t>Zoning Information</t>
        </is>
      </c>
      <c r="D94" s="952" t="inlineStr">
        <is>
          <t>Zoning district and zoning process information.</t>
        </is>
      </c>
      <c r="E94" s="952" t="inlineStr">
        <is>
          <t>Confirm zoning rules and contacts.</t>
        </is>
      </c>
      <c r="F94" s="952" t="inlineStr">
        <is>
          <t>Yes</t>
        </is>
      </c>
      <c r="G94" s="1188" t="inlineStr">
        <is>
          <t>https://www.fedheights.org/index.asp?SEC=D7AA9940-8607-468A-8215-7308DD3BF799</t>
        </is>
      </c>
      <c r="H94" s="952" t="inlineStr">
        <is>
          <t>Use for parcels inside this jurisdiction; confirm the parcel's actual county before relying on county recorder or assessor records.</t>
        </is>
      </c>
      <c r="I94" s="1129" t="n">
        <v>46213</v>
      </c>
      <c r="J94" s="951" t="inlineStr">
        <is>
          <t>Critical</t>
        </is>
      </c>
    </row>
    <row r="95" ht="42" customHeight="1">
      <c r="A95" s="952" t="inlineStr">
        <is>
          <t>Federal Heights</t>
        </is>
      </c>
      <c r="B95" s="952" t="inlineStr">
        <is>
          <t>Planning</t>
        </is>
      </c>
      <c r="C95" s="952" t="inlineStr">
        <is>
          <t>Planning</t>
        </is>
      </c>
      <c r="D95" s="952" t="inlineStr">
        <is>
          <t>Planning services and land-use information.</t>
        </is>
      </c>
      <c r="E95" s="952" t="inlineStr">
        <is>
          <t>Start zoning or development research.</t>
        </is>
      </c>
      <c r="F95" s="952" t="inlineStr">
        <is>
          <t>Yes</t>
        </is>
      </c>
      <c r="G95" s="1188" t="inlineStr">
        <is>
          <t>https://www.fedheights.org/planning</t>
        </is>
      </c>
      <c r="H95" s="952" t="inlineStr">
        <is>
          <t>Use for parcels inside this jurisdiction; confirm the parcel's actual county before relying on county recorder or assessor records.</t>
        </is>
      </c>
      <c r="I95" s="1129" t="n">
        <v>46213</v>
      </c>
      <c r="J95" s="951" t="inlineStr">
        <is>
          <t>Critical</t>
        </is>
      </c>
    </row>
    <row r="96" ht="42" customHeight="1">
      <c r="A96" s="952" t="inlineStr">
        <is>
          <t>Federal Heights</t>
        </is>
      </c>
      <c r="B96" s="952" t="inlineStr">
        <is>
          <t>Code</t>
        </is>
      </c>
      <c r="C96" s="952" t="inlineStr">
        <is>
          <t>Municipal Code and Charter</t>
        </is>
      </c>
      <c r="D96" s="952" t="inlineStr">
        <is>
          <t>Municipal code and charter resources.</t>
        </is>
      </c>
      <c r="E96" s="952" t="inlineStr">
        <is>
          <t>Review official local regulations.</t>
        </is>
      </c>
      <c r="F96" s="952" t="inlineStr">
        <is>
          <t>Yes</t>
        </is>
      </c>
      <c r="G96" s="1188" t="inlineStr">
        <is>
          <t>https://www.fedheights.org/index.asp?SEC=E0D5E6BC-02A8-4AEF-88A1-9093297C3662</t>
        </is>
      </c>
      <c r="H96" s="952" t="inlineStr">
        <is>
          <t>Use for parcels inside this jurisdiction; confirm the parcel's actual county before relying on county recorder or assessor records.</t>
        </is>
      </c>
      <c r="I96" s="1129" t="n">
        <v>46213</v>
      </c>
      <c r="J96" s="951" t="inlineStr">
        <is>
          <t>High</t>
        </is>
      </c>
    </row>
    <row r="97" ht="42" customHeight="1">
      <c r="A97" s="952" t="inlineStr">
        <is>
          <t>Federal Heights</t>
        </is>
      </c>
      <c r="B97" s="952" t="inlineStr">
        <is>
          <t>Permits</t>
        </is>
      </c>
      <c r="C97" s="952" t="inlineStr">
        <is>
          <t>Building Department</t>
        </is>
      </c>
      <c r="D97" s="952" t="inlineStr">
        <is>
          <t>Building permits, inspections and adopted codes.</t>
        </is>
      </c>
      <c r="E97" s="952" t="inlineStr">
        <is>
          <t>Research building-permit requirements.</t>
        </is>
      </c>
      <c r="F97" s="952" t="inlineStr">
        <is>
          <t>Yes</t>
        </is>
      </c>
      <c r="G97" s="1188" t="inlineStr">
        <is>
          <t>https://www.fedheights.org/index.asp?SEC=D1CB6EB6-9C4B-4FA8-B119-EF1785E54CB6</t>
        </is>
      </c>
      <c r="H97" s="952" t="inlineStr">
        <is>
          <t>Use for parcels inside this jurisdiction; confirm the parcel's actual county before relying on county recorder or assessor records.</t>
        </is>
      </c>
      <c r="I97" s="1129" t="n">
        <v>46213</v>
      </c>
      <c r="J97" s="951" t="inlineStr">
        <is>
          <t>Critical</t>
        </is>
      </c>
    </row>
    <row r="98" ht="42" customHeight="1">
      <c r="A98" s="952" t="inlineStr">
        <is>
          <t>Federal Heights</t>
        </is>
      </c>
      <c r="B98" s="952" t="inlineStr">
        <is>
          <t>Permits</t>
        </is>
      </c>
      <c r="C98" s="952" t="inlineStr">
        <is>
          <t>Building Guides</t>
        </is>
      </c>
      <c r="D98" s="952" t="inlineStr">
        <is>
          <t>Building and permit guidance documents.</t>
        </is>
      </c>
      <c r="E98" s="952" t="inlineStr">
        <is>
          <t>Prepare a permit submittal.</t>
        </is>
      </c>
      <c r="F98" s="952" t="inlineStr">
        <is>
          <t>Yes</t>
        </is>
      </c>
      <c r="G98" s="1188" t="inlineStr">
        <is>
          <t>https://www.fedheights.org/index.asp?SEC=%7BCB7135BC-846F-468B-B85D-0ECE8B03FFCD%7D&amp;persistdesign=none</t>
        </is>
      </c>
      <c r="H98" s="952" t="inlineStr">
        <is>
          <t>Use for parcels inside this jurisdiction; confirm the parcel's actual county before relying on county recorder or assessor records.</t>
        </is>
      </c>
      <c r="I98" s="1129" t="n">
        <v>46213</v>
      </c>
      <c r="J98" s="951" t="inlineStr">
        <is>
          <t>High</t>
        </is>
      </c>
    </row>
    <row r="99" ht="42" customHeight="1">
      <c r="A99" s="952" t="inlineStr">
        <is>
          <t>Federal Heights</t>
        </is>
      </c>
      <c r="B99" s="952" t="inlineStr">
        <is>
          <t>Permit History</t>
        </is>
      </c>
      <c r="C99" s="952" t="inlineStr">
        <is>
          <t>Monthly Permit Reports</t>
        </is>
      </c>
      <c r="D99" s="952" t="inlineStr">
        <is>
          <t>Monthly building-permit reports.</t>
        </is>
      </c>
      <c r="E99" s="952" t="inlineStr">
        <is>
          <t>Review recent permit activity and construction trends.</t>
        </is>
      </c>
      <c r="F99" s="952" t="inlineStr">
        <is>
          <t>Yes</t>
        </is>
      </c>
      <c r="G99" s="1188" t="inlineStr">
        <is>
          <t>https://www.fedheights.org/index.asp?SEC=%7B76F23E1D-0819-4BAB-BD73-23D6092E8A3B%7D&amp;persistdesign=none</t>
        </is>
      </c>
      <c r="H99" s="952" t="inlineStr">
        <is>
          <t>Use for parcels inside this jurisdiction; confirm the parcel's actual county before relying on county recorder or assessor records.</t>
        </is>
      </c>
      <c r="I99" s="1129" t="n">
        <v>46213</v>
      </c>
      <c r="J99" s="951" t="inlineStr">
        <is>
          <t>High</t>
        </is>
      </c>
    </row>
    <row r="100" ht="42" customHeight="1">
      <c r="A100" s="952" t="inlineStr">
        <is>
          <t>Federal Heights</t>
        </is>
      </c>
      <c r="B100" s="952" t="inlineStr">
        <is>
          <t>Long-Range Planning</t>
        </is>
      </c>
      <c r="C100" s="952" t="inlineStr">
        <is>
          <t>Comprehensive Plan</t>
        </is>
      </c>
      <c r="D100" s="952" t="inlineStr">
        <is>
          <t>Comprehensive-plan information.</t>
        </is>
      </c>
      <c r="E100" s="952" t="inlineStr">
        <is>
          <t>Evaluate future land use and policy direction.</t>
        </is>
      </c>
      <c r="F100" s="952" t="inlineStr">
        <is>
          <t>Yes</t>
        </is>
      </c>
      <c r="G100" s="1188" t="inlineStr">
        <is>
          <t>https://www.fedheights.org/index.asp?SEC=%7B5CF1D2C4-3E29-4A1A-BBFA-2BE19B3ABFD0%7D</t>
        </is>
      </c>
      <c r="H100" s="952" t="inlineStr">
        <is>
          <t>Use for parcels inside this jurisdiction; confirm the parcel's actual county before relying on county recorder or assessor records.</t>
        </is>
      </c>
      <c r="I100" s="1129" t="n">
        <v>46213</v>
      </c>
      <c r="J100" s="951" t="inlineStr">
        <is>
          <t>High</t>
        </is>
      </c>
    </row>
    <row r="101" ht="42" customHeight="1">
      <c r="A101" s="952" t="inlineStr">
        <is>
          <t>Federal Heights</t>
        </is>
      </c>
      <c r="B101" s="952" t="inlineStr">
        <is>
          <t>Meetings</t>
        </is>
      </c>
      <c r="C101" s="952" t="inlineStr">
        <is>
          <t>Meetings and Study Sessions</t>
        </is>
      </c>
      <c r="D101" s="952" t="inlineStr">
        <is>
          <t>Council minutes and audio recordings.</t>
        </is>
      </c>
      <c r="E101" s="952" t="inlineStr">
        <is>
          <t>Track council decisions and discussions.</t>
        </is>
      </c>
      <c r="F101" s="952" t="inlineStr">
        <is>
          <t>Yes</t>
        </is>
      </c>
      <c r="G101" s="1188" t="inlineStr">
        <is>
          <t>https://www.fedheights.org/index.asp?SEC=%7BE66D34DF-8290-4807-83DA-3AF56D110C00%7D</t>
        </is>
      </c>
      <c r="H101" s="952" t="inlineStr">
        <is>
          <t>Use for parcels inside this jurisdiction; confirm the parcel's actual county before relying on county recorder or assessor records.</t>
        </is>
      </c>
      <c r="I101" s="1129" t="n">
        <v>46213</v>
      </c>
      <c r="J101" s="951" t="inlineStr">
        <is>
          <t>High</t>
        </is>
      </c>
    </row>
    <row r="102" ht="42" customHeight="1">
      <c r="A102" s="952" t="inlineStr">
        <is>
          <t>Federal Heights</t>
        </is>
      </c>
      <c r="B102" s="952" t="inlineStr">
        <is>
          <t>Public Records</t>
        </is>
      </c>
      <c r="C102" s="952" t="inlineStr">
        <is>
          <t>Public Records</t>
        </is>
      </c>
      <c r="D102" s="952" t="inlineStr">
        <is>
          <t>Public records request process.</t>
        </is>
      </c>
      <c r="E102" s="952" t="inlineStr">
        <is>
          <t>Request planning, permit or city records not posted online.</t>
        </is>
      </c>
      <c r="F102" s="952" t="inlineStr">
        <is>
          <t>Yes</t>
        </is>
      </c>
      <c r="G102" s="1188" t="inlineStr">
        <is>
          <t>https://www.fedheights.org/index.asp?SEC=%7B13723B89-BA4A-47C1-9634-50363F8CD1D2%7D&amp;persistdesign=none</t>
        </is>
      </c>
      <c r="H102" s="952" t="inlineStr">
        <is>
          <t>Use for parcels inside this jurisdiction; confirm the parcel's actual county before relying on county recorder or assessor records.</t>
        </is>
      </c>
      <c r="I102" s="1129" t="n">
        <v>46213</v>
      </c>
      <c r="J102" s="951" t="inlineStr">
        <is>
          <t>High</t>
        </is>
      </c>
    </row>
    <row r="103" ht="42" customHeight="1">
      <c r="A103" s="952" t="inlineStr">
        <is>
          <t>Federal Heights</t>
        </is>
      </c>
      <c r="B103" s="952" t="inlineStr">
        <is>
          <t>News</t>
        </is>
      </c>
      <c r="C103" s="952" t="inlineStr">
        <is>
          <t>News and Events</t>
        </is>
      </c>
      <c r="D103" s="952" t="inlineStr">
        <is>
          <t>Official news and city calendar.</t>
        </is>
      </c>
      <c r="E103" s="952" t="inlineStr">
        <is>
          <t>Monitor meetings, announcements and city activity.</t>
        </is>
      </c>
      <c r="F103" s="952" t="inlineStr">
        <is>
          <t>Yes</t>
        </is>
      </c>
      <c r="G103" s="1188" t="inlineStr">
        <is>
          <t>https://www.fedheights.org/index.asp?SEC=407F7286-34E9-495F-B5F7-88E905D7C9A5</t>
        </is>
      </c>
      <c r="H103" s="952" t="inlineStr">
        <is>
          <t>Use for parcels inside this jurisdiction; confirm the parcel's actual county before relying on county recorder or assessor records.</t>
        </is>
      </c>
      <c r="I103" s="1129" t="n">
        <v>46213</v>
      </c>
      <c r="J103" s="951" t="inlineStr">
        <is>
          <t>Useful</t>
        </is>
      </c>
    </row>
    <row r="104" ht="42" customHeight="1">
      <c r="A104" s="952" t="inlineStr">
        <is>
          <t>Federal Heights</t>
        </is>
      </c>
      <c r="B104" s="952" t="inlineStr">
        <is>
          <t>Newsletter</t>
        </is>
      </c>
      <c r="C104" s="952" t="inlineStr">
        <is>
          <t>The Federal Heights Focus</t>
        </is>
      </c>
      <c r="D104" s="952" t="inlineStr">
        <is>
          <t>Quarterly official city newsletter.</t>
        </is>
      </c>
      <c r="E104" s="952" t="inlineStr">
        <is>
          <t>Monitor policy, infrastructure and community updates.</t>
        </is>
      </c>
      <c r="F104" s="952" t="inlineStr">
        <is>
          <t>Yes</t>
        </is>
      </c>
      <c r="G104" s="1188" t="inlineStr">
        <is>
          <t>https://www.fedheights.org/index.asp?SEC=%7B2E7DCCA1-1FEF-4EA7-8AE7-6C3F92D19EF3%7D&amp;persistdesign=none</t>
        </is>
      </c>
      <c r="H104" s="952" t="inlineStr">
        <is>
          <t>Use for parcels inside this jurisdiction; confirm the parcel's actual county before relying on county recorder or assessor records.</t>
        </is>
      </c>
      <c r="I104" s="1129" t="n">
        <v>46213</v>
      </c>
      <c r="J104" s="951" t="inlineStr">
        <is>
          <t>Useful</t>
        </is>
      </c>
    </row>
    <row r="105" ht="42" customHeight="1">
      <c r="A105" s="952" t="inlineStr">
        <is>
          <t>Lochbuie</t>
        </is>
      </c>
      <c r="B105" s="952" t="inlineStr">
        <is>
          <t>Official Website</t>
        </is>
      </c>
      <c r="C105" s="952" t="inlineStr">
        <is>
          <t>Town of Lochbuie</t>
        </is>
      </c>
      <c r="D105" s="952" t="inlineStr">
        <is>
          <t>Main town website.</t>
        </is>
      </c>
      <c r="E105" s="952" t="inlineStr">
        <is>
          <t>Navigate municipal services and updates.</t>
        </is>
      </c>
      <c r="F105" s="952" t="inlineStr">
        <is>
          <t>Yes</t>
        </is>
      </c>
      <c r="G105" s="1188" t="inlineStr">
        <is>
          <t>https://www.lochbuie.org/</t>
        </is>
      </c>
      <c r="H105" s="952" t="inlineStr">
        <is>
          <t>Use for parcels inside this jurisdiction; confirm the parcel's actual county before relying on county recorder or assessor records.</t>
        </is>
      </c>
      <c r="I105" s="1129" t="n">
        <v>46213</v>
      </c>
      <c r="J105" s="951" t="inlineStr">
        <is>
          <t>Reference</t>
        </is>
      </c>
    </row>
    <row r="106" ht="42" customHeight="1">
      <c r="A106" s="952" t="inlineStr">
        <is>
          <t>Lochbuie</t>
        </is>
      </c>
      <c r="B106" s="952" t="inlineStr">
        <is>
          <t>GIS / Property</t>
        </is>
      </c>
      <c r="C106" s="952" t="inlineStr">
        <is>
          <t>Interactive Land Use Map</t>
        </is>
      </c>
      <c r="D106" s="952" t="inlineStr">
        <is>
          <t>Interactive land-use and planning map.</t>
        </is>
      </c>
      <c r="E106" s="952" t="inlineStr">
        <is>
          <t>Research zoning and land-use information.</t>
        </is>
      </c>
      <c r="F106" s="952" t="inlineStr">
        <is>
          <t>Yes</t>
        </is>
      </c>
      <c r="G106" s="1188" t="inlineStr">
        <is>
          <t>https://www.lochbuie.org/community-dev/page/interactive-land-use-map</t>
        </is>
      </c>
      <c r="H106" s="952" t="inlineStr">
        <is>
          <t>Use for parcels inside this jurisdiction; confirm the parcel's actual county before relying on county recorder or assessor records.</t>
        </is>
      </c>
      <c r="I106" s="1129" t="n">
        <v>46213</v>
      </c>
      <c r="J106" s="951" t="inlineStr">
        <is>
          <t>Critical</t>
        </is>
      </c>
    </row>
    <row r="107" ht="42" customHeight="1">
      <c r="A107" s="952" t="inlineStr">
        <is>
          <t>Lochbuie</t>
        </is>
      </c>
      <c r="B107" s="952" t="inlineStr">
        <is>
          <t>GIS / Maps</t>
        </is>
      </c>
      <c r="C107" s="952" t="inlineStr">
        <is>
          <t>Maps</t>
        </is>
      </c>
      <c r="D107" s="952" t="inlineStr">
        <is>
          <t>Town mapping resources.</t>
        </is>
      </c>
      <c r="E107" s="952" t="inlineStr">
        <is>
          <t>Confirm planning areas and municipal map information.</t>
        </is>
      </c>
      <c r="F107" s="952" t="inlineStr">
        <is>
          <t>Yes</t>
        </is>
      </c>
      <c r="G107" s="1188" t="inlineStr">
        <is>
          <t>https://www.lochbuie.org/community-dev/page/maps</t>
        </is>
      </c>
      <c r="H107" s="952" t="inlineStr">
        <is>
          <t>Use for parcels inside this jurisdiction; confirm the parcel's actual county before relying on county recorder or assessor records.</t>
        </is>
      </c>
      <c r="I107" s="1129" t="n">
        <v>46213</v>
      </c>
      <c r="J107" s="951" t="inlineStr">
        <is>
          <t>High</t>
        </is>
      </c>
    </row>
    <row r="108" ht="42" customHeight="1">
      <c r="A108" s="952" t="inlineStr">
        <is>
          <t>Lochbuie</t>
        </is>
      </c>
      <c r="B108" s="952" t="inlineStr">
        <is>
          <t>Zoning</t>
        </is>
      </c>
      <c r="C108" s="952" t="inlineStr">
        <is>
          <t>Zoning Map</t>
        </is>
      </c>
      <c r="D108" s="952" t="inlineStr">
        <is>
          <t>Official town zoning map.</t>
        </is>
      </c>
      <c r="E108" s="952" t="inlineStr">
        <is>
          <t>Identify a property's zoning district.</t>
        </is>
      </c>
      <c r="F108" s="952" t="inlineStr">
        <is>
          <t>Yes</t>
        </is>
      </c>
      <c r="G108" s="1188" t="inlineStr">
        <is>
          <t>https://www.lochbuie.org/administration/page/zoning-map</t>
        </is>
      </c>
      <c r="H108" s="952" t="inlineStr">
        <is>
          <t>Use for parcels inside this jurisdiction; confirm the parcel's actual county before relying on county recorder or assessor records.</t>
        </is>
      </c>
      <c r="I108" s="1129" t="n">
        <v>46213</v>
      </c>
      <c r="J108" s="951" t="inlineStr">
        <is>
          <t>Critical</t>
        </is>
      </c>
    </row>
    <row r="109" ht="42" customHeight="1">
      <c r="A109" s="952" t="inlineStr">
        <is>
          <t>Lochbuie</t>
        </is>
      </c>
      <c r="B109" s="952" t="inlineStr">
        <is>
          <t>Planning</t>
        </is>
      </c>
      <c r="C109" s="952" t="inlineStr">
        <is>
          <t>Current Planning</t>
        </is>
      </c>
      <c r="D109" s="952" t="inlineStr">
        <is>
          <t>Current planning applications and services.</t>
        </is>
      </c>
      <c r="E109" s="952" t="inlineStr">
        <is>
          <t>Research ongoing land-use review.</t>
        </is>
      </c>
      <c r="F109" s="952" t="inlineStr">
        <is>
          <t>Yes</t>
        </is>
      </c>
      <c r="G109" s="1188" t="inlineStr">
        <is>
          <t>https://www.lochbuie.org/community-dev/page/current-planning</t>
        </is>
      </c>
      <c r="H109" s="952" t="inlineStr">
        <is>
          <t>Use for parcels inside this jurisdiction; confirm the parcel's actual county before relying on county recorder or assessor records.</t>
        </is>
      </c>
      <c r="I109" s="1129" t="n">
        <v>46213</v>
      </c>
      <c r="J109" s="951" t="inlineStr">
        <is>
          <t>Critical</t>
        </is>
      </c>
    </row>
    <row r="110" ht="42" customHeight="1">
      <c r="A110" s="952" t="inlineStr">
        <is>
          <t>Lochbuie</t>
        </is>
      </c>
      <c r="B110" s="952" t="inlineStr">
        <is>
          <t>Planning</t>
        </is>
      </c>
      <c r="C110" s="952" t="inlineStr">
        <is>
          <t>Community Development</t>
        </is>
      </c>
      <c r="D110" s="952" t="inlineStr">
        <is>
          <t>Planning, building and development resources.</t>
        </is>
      </c>
      <c r="E110" s="952" t="inlineStr">
        <is>
          <t>Start project feasibility and entitlement research.</t>
        </is>
      </c>
      <c r="F110" s="952" t="inlineStr">
        <is>
          <t>Yes</t>
        </is>
      </c>
      <c r="G110" s="1188" t="inlineStr">
        <is>
          <t>https://www.lochbuie.org/community-dev</t>
        </is>
      </c>
      <c r="H110" s="952" t="inlineStr">
        <is>
          <t>Use for parcels inside this jurisdiction; confirm the parcel's actual county before relying on county recorder or assessor records.</t>
        </is>
      </c>
      <c r="I110" s="1129" t="n">
        <v>46213</v>
      </c>
      <c r="J110" s="951" t="inlineStr">
        <is>
          <t>High</t>
        </is>
      </c>
    </row>
    <row r="111" ht="42" customHeight="1">
      <c r="A111" s="952" t="inlineStr">
        <is>
          <t>Lochbuie</t>
        </is>
      </c>
      <c r="B111" s="952" t="inlineStr">
        <is>
          <t>Development</t>
        </is>
      </c>
      <c r="C111" s="952" t="inlineStr">
        <is>
          <t>Land Use Applications</t>
        </is>
      </c>
      <c r="D111" s="952" t="inlineStr">
        <is>
          <t>Land-use applications and procedural resources.</t>
        </is>
      </c>
      <c r="E111" s="952" t="inlineStr">
        <is>
          <t>Determine application types and requirements.</t>
        </is>
      </c>
      <c r="F111" s="952" t="inlineStr">
        <is>
          <t>Yes</t>
        </is>
      </c>
      <c r="G111" s="1188" t="inlineStr">
        <is>
          <t>https://www.lochbuie.org/community-dev/page/land-use-applications</t>
        </is>
      </c>
      <c r="H111" s="952" t="inlineStr">
        <is>
          <t>Use for parcels inside this jurisdiction; confirm the parcel's actual county before relying on county recorder or assessor records.</t>
        </is>
      </c>
      <c r="I111" s="1129" t="n">
        <v>46213</v>
      </c>
      <c r="J111" s="951" t="inlineStr">
        <is>
          <t>High</t>
        </is>
      </c>
    </row>
    <row r="112" ht="42" customHeight="1">
      <c r="A112" s="952" t="inlineStr">
        <is>
          <t>Lochbuie</t>
        </is>
      </c>
      <c r="B112" s="952" t="inlineStr">
        <is>
          <t>Development</t>
        </is>
      </c>
      <c r="C112" s="952" t="inlineStr">
        <is>
          <t>Development Resources</t>
        </is>
      </c>
      <c r="D112" s="952" t="inlineStr">
        <is>
          <t>Development forms, standards and guidance.</t>
        </is>
      </c>
      <c r="E112" s="952" t="inlineStr">
        <is>
          <t>Prepare a development submittal.</t>
        </is>
      </c>
      <c r="F112" s="952" t="inlineStr">
        <is>
          <t>Yes</t>
        </is>
      </c>
      <c r="G112" s="1188" t="inlineStr">
        <is>
          <t>https://www.lochbuie.org/community-dev/page/development-resources</t>
        </is>
      </c>
      <c r="H112" s="952" t="inlineStr">
        <is>
          <t>Use for parcels inside this jurisdiction; confirm the parcel's actual county before relying on county recorder or assessor records.</t>
        </is>
      </c>
      <c r="I112" s="1129" t="n">
        <v>46213</v>
      </c>
      <c r="J112" s="951" t="inlineStr">
        <is>
          <t>High</t>
        </is>
      </c>
    </row>
    <row r="113" ht="42" customHeight="1">
      <c r="A113" s="952" t="inlineStr">
        <is>
          <t>Lochbuie</t>
        </is>
      </c>
      <c r="B113" s="952" t="inlineStr">
        <is>
          <t>Development</t>
        </is>
      </c>
      <c r="C113" s="952" t="inlineStr">
        <is>
          <t>Active Projects</t>
        </is>
      </c>
      <c r="D113" s="952" t="inlineStr">
        <is>
          <t>Current town projects.</t>
        </is>
      </c>
      <c r="E113" s="952" t="inlineStr">
        <is>
          <t>Monitor development and infrastructure activity.</t>
        </is>
      </c>
      <c r="F113" s="952" t="inlineStr">
        <is>
          <t>Yes</t>
        </is>
      </c>
      <c r="G113" s="1188" t="inlineStr">
        <is>
          <t>https://www.lochbuie.org/projects</t>
        </is>
      </c>
      <c r="H113" s="952" t="inlineStr">
        <is>
          <t>Use for parcels inside this jurisdiction; confirm the parcel's actual county before relying on county recorder or assessor records.</t>
        </is>
      </c>
      <c r="I113" s="1129" t="n">
        <v>46213</v>
      </c>
      <c r="J113" s="951" t="inlineStr">
        <is>
          <t>High</t>
        </is>
      </c>
    </row>
    <row r="114" ht="42" customHeight="1">
      <c r="A114" s="952" t="inlineStr">
        <is>
          <t>Lochbuie</t>
        </is>
      </c>
      <c r="B114" s="952" t="inlineStr">
        <is>
          <t>Permits</t>
        </is>
      </c>
      <c r="C114" s="952" t="inlineStr">
        <is>
          <t>Building Permits and Inspections</t>
        </is>
      </c>
      <c r="D114" s="952" t="inlineStr">
        <is>
          <t>Building permit and inspection guidance.</t>
        </is>
      </c>
      <c r="E114" s="952" t="inlineStr">
        <is>
          <t>Research construction permitting.</t>
        </is>
      </c>
      <c r="F114" s="952" t="inlineStr">
        <is>
          <t>Yes</t>
        </is>
      </c>
      <c r="G114" s="1188" t="inlineStr">
        <is>
          <t>https://www.lochbuie.org/community-dev/page/building-permits-and-inspections</t>
        </is>
      </c>
      <c r="H114" s="952" t="inlineStr">
        <is>
          <t>Use for parcels inside this jurisdiction; confirm the parcel's actual county before relying on county recorder or assessor records.</t>
        </is>
      </c>
      <c r="I114" s="1129" t="n">
        <v>46213</v>
      </c>
      <c r="J114" s="951" t="inlineStr">
        <is>
          <t>Critical</t>
        </is>
      </c>
    </row>
    <row r="115" ht="42" customHeight="1">
      <c r="A115" s="952" t="inlineStr">
        <is>
          <t>Lochbuie</t>
        </is>
      </c>
      <c r="B115" s="952" t="inlineStr">
        <is>
          <t>Long-Range Planning</t>
        </is>
      </c>
      <c r="C115" s="952" t="inlineStr">
        <is>
          <t>Documents / Comprehensive Plan</t>
        </is>
      </c>
      <c r="D115" s="952" t="inlineStr">
        <is>
          <t>Adopted planning documents, including the current comprehensive plan.</t>
        </is>
      </c>
      <c r="E115" s="952" t="inlineStr">
        <is>
          <t>Evaluate future land-use and policy direction.</t>
        </is>
      </c>
      <c r="F115" s="952" t="inlineStr">
        <is>
          <t>Yes</t>
        </is>
      </c>
      <c r="G115" s="1188" t="inlineStr">
        <is>
          <t>https://www.lochbuie.org/community-dev/page/documents</t>
        </is>
      </c>
      <c r="H115" s="952" t="inlineStr">
        <is>
          <t>Use for parcels inside this jurisdiction; confirm the parcel's actual county before relying on county recorder or assessor records.</t>
        </is>
      </c>
      <c r="I115" s="1129" t="n">
        <v>46213</v>
      </c>
      <c r="J115" s="951" t="inlineStr">
        <is>
          <t>High</t>
        </is>
      </c>
    </row>
    <row r="116" ht="42" customHeight="1">
      <c r="A116" s="952" t="inlineStr">
        <is>
          <t>Lochbuie</t>
        </is>
      </c>
      <c r="B116" s="952" t="inlineStr">
        <is>
          <t>Long-Range Planning</t>
        </is>
      </c>
      <c r="C116" s="952" t="inlineStr">
        <is>
          <t>Long-Range Planning</t>
        </is>
      </c>
      <c r="D116" s="952" t="inlineStr">
        <is>
          <t>Long-range planning initiatives and plans.</t>
        </is>
      </c>
      <c r="E116" s="952" t="inlineStr">
        <is>
          <t>Track policy and growth planning.</t>
        </is>
      </c>
      <c r="F116" s="952" t="inlineStr">
        <is>
          <t>Yes</t>
        </is>
      </c>
      <c r="G116" s="1188" t="inlineStr">
        <is>
          <t>https://www.lochbuie.org/community-dev/page/long-range-planning</t>
        </is>
      </c>
      <c r="H116" s="952" t="inlineStr">
        <is>
          <t>Use for parcels inside this jurisdiction; confirm the parcel's actual county before relying on county recorder or assessor records.</t>
        </is>
      </c>
      <c r="I116" s="1129" t="n">
        <v>46213</v>
      </c>
      <c r="J116" s="951" t="inlineStr">
        <is>
          <t>High</t>
        </is>
      </c>
    </row>
    <row r="117" ht="42" customHeight="1">
      <c r="A117" s="952" t="inlineStr">
        <is>
          <t>Lochbuie</t>
        </is>
      </c>
      <c r="B117" s="952" t="inlineStr">
        <is>
          <t>Code</t>
        </is>
      </c>
      <c r="C117" s="952" t="inlineStr">
        <is>
          <t>Ordinances</t>
        </is>
      </c>
      <c r="D117" s="952" t="inlineStr">
        <is>
          <t>Town ordinances and adopted regulations.</t>
        </is>
      </c>
      <c r="E117" s="952" t="inlineStr">
        <is>
          <t>Review recent legal changes and local rules.</t>
        </is>
      </c>
      <c r="F117" s="952" t="inlineStr">
        <is>
          <t>Yes</t>
        </is>
      </c>
      <c r="G117" s="1188" t="inlineStr">
        <is>
          <t>https://www.lochbuie.org/publicnotice/page/ordinances</t>
        </is>
      </c>
      <c r="H117" s="952" t="inlineStr">
        <is>
          <t>Use for parcels inside this jurisdiction; confirm the parcel's actual county before relying on county recorder or assessor records.</t>
        </is>
      </c>
      <c r="I117" s="1129" t="n">
        <v>46213</v>
      </c>
      <c r="J117" s="951" t="inlineStr">
        <is>
          <t>High</t>
        </is>
      </c>
    </row>
    <row r="118" ht="42" customHeight="1">
      <c r="A118" s="952" t="inlineStr">
        <is>
          <t>Lochbuie</t>
        </is>
      </c>
      <c r="B118" s="952" t="inlineStr">
        <is>
          <t>Meetings</t>
        </is>
      </c>
      <c r="C118" s="952" t="inlineStr">
        <is>
          <t>Upcoming Meetings</t>
        </is>
      </c>
      <c r="D118" s="952" t="inlineStr">
        <is>
          <t>Upcoming board and commission meetings.</t>
        </is>
      </c>
      <c r="E118" s="952" t="inlineStr">
        <is>
          <t>Monitor hearing dates and agendas.</t>
        </is>
      </c>
      <c r="F118" s="952" t="inlineStr">
        <is>
          <t>Yes</t>
        </is>
      </c>
      <c r="G118" s="1188" t="inlineStr">
        <is>
          <t>https://www.lochbuie.org/meetings</t>
        </is>
      </c>
      <c r="H118" s="952" t="inlineStr">
        <is>
          <t>Use for parcels inside this jurisdiction; confirm the parcel's actual county before relying on county recorder or assessor records.</t>
        </is>
      </c>
      <c r="I118" s="1129" t="n">
        <v>46213</v>
      </c>
      <c r="J118" s="951" t="inlineStr">
        <is>
          <t>High</t>
        </is>
      </c>
    </row>
    <row r="119" ht="42" customHeight="1">
      <c r="A119" s="952" t="inlineStr">
        <is>
          <t>Lochbuie</t>
        </is>
      </c>
      <c r="B119" s="952" t="inlineStr">
        <is>
          <t>Public Notices</t>
        </is>
      </c>
      <c r="C119" s="952" t="inlineStr">
        <is>
          <t>Public Notices</t>
        </is>
      </c>
      <c r="D119" s="952" t="inlineStr">
        <is>
          <t>Official public notices.</t>
        </is>
      </c>
      <c r="E119" s="952" t="inlineStr">
        <is>
          <t>Confirm hearings, ordinances and deadlines.</t>
        </is>
      </c>
      <c r="F119" s="952" t="inlineStr">
        <is>
          <t>Yes</t>
        </is>
      </c>
      <c r="G119" s="1188" t="inlineStr">
        <is>
          <t>https://www.lochbuie.org/publicnotice</t>
        </is>
      </c>
      <c r="H119" s="952" t="inlineStr">
        <is>
          <t>Use for parcels inside this jurisdiction; confirm the parcel's actual county before relying on county recorder or assessor records.</t>
        </is>
      </c>
      <c r="I119" s="1129" t="n">
        <v>46213</v>
      </c>
      <c r="J119" s="951" t="inlineStr">
        <is>
          <t>High</t>
        </is>
      </c>
    </row>
    <row r="120" ht="42" customHeight="1">
      <c r="A120" s="952" t="inlineStr">
        <is>
          <t>Lochbuie</t>
        </is>
      </c>
      <c r="B120" s="952" t="inlineStr">
        <is>
          <t>News</t>
        </is>
      </c>
      <c r="C120" s="952" t="inlineStr">
        <is>
          <t>Town News</t>
        </is>
      </c>
      <c r="D120" s="952" t="inlineStr">
        <is>
          <t>Official town news.</t>
        </is>
      </c>
      <c r="E120" s="952" t="inlineStr">
        <is>
          <t>Monitor development and municipal announcements.</t>
        </is>
      </c>
      <c r="F120" s="952" t="inlineStr">
        <is>
          <t>Yes</t>
        </is>
      </c>
      <c r="G120" s="1188" t="inlineStr">
        <is>
          <t>https://www.lochbuie.org/news</t>
        </is>
      </c>
      <c r="H120" s="952" t="inlineStr">
        <is>
          <t>Use for parcels inside this jurisdiction; confirm the parcel's actual county before relying on county recorder or assessor records.</t>
        </is>
      </c>
      <c r="I120" s="1129" t="n">
        <v>46213</v>
      </c>
      <c r="J120" s="951" t="inlineStr">
        <is>
          <t>Useful</t>
        </is>
      </c>
    </row>
    <row r="121" ht="42" customHeight="1">
      <c r="A121" s="952" t="inlineStr">
        <is>
          <t>Lochbuie</t>
        </is>
      </c>
      <c r="B121" s="952" t="inlineStr">
        <is>
          <t>Alerts</t>
        </is>
      </c>
      <c r="C121" s="952" t="inlineStr">
        <is>
          <t>Resident Portal / Alerts</t>
        </is>
      </c>
      <c r="D121" s="952" t="inlineStr">
        <is>
          <t>Town alert and portal resources.</t>
        </is>
      </c>
      <c r="E121" s="952" t="inlineStr">
        <is>
          <t>Subscribe to current notices and updates.</t>
        </is>
      </c>
      <c r="F121" s="952" t="inlineStr">
        <is>
          <t>Yes</t>
        </is>
      </c>
      <c r="G121" s="1188" t="inlineStr">
        <is>
          <t>https://www.lochbuie.org/portal</t>
        </is>
      </c>
      <c r="H121" s="952" t="inlineStr">
        <is>
          <t>Use for parcels inside this jurisdiction; confirm the parcel's actual county before relying on county recorder or assessor records.</t>
        </is>
      </c>
      <c r="I121" s="1129" t="n">
        <v>46213</v>
      </c>
      <c r="J121" s="951" t="inlineStr">
        <is>
          <t>Useful</t>
        </is>
      </c>
    </row>
    <row r="122" ht="42" customHeight="1">
      <c r="A122" s="952" t="inlineStr">
        <is>
          <t>Northglenn</t>
        </is>
      </c>
      <c r="B122" s="952" t="inlineStr">
        <is>
          <t>Official Website</t>
        </is>
      </c>
      <c r="C122" s="952" t="inlineStr">
        <is>
          <t>City of Northglenn</t>
        </is>
      </c>
      <c r="D122" s="952" t="inlineStr">
        <is>
          <t>Main city website.</t>
        </is>
      </c>
      <c r="E122" s="952" t="inlineStr">
        <is>
          <t>Navigate city services and departments.</t>
        </is>
      </c>
      <c r="F122" s="952" t="inlineStr">
        <is>
          <t>Yes</t>
        </is>
      </c>
      <c r="G122" s="1188" t="inlineStr">
        <is>
          <t>https://www.northglenn.org/</t>
        </is>
      </c>
      <c r="H122" s="952" t="inlineStr">
        <is>
          <t>Use for parcels inside this jurisdiction; confirm the parcel's actual county before relying on county recorder or assessor records.</t>
        </is>
      </c>
      <c r="I122" s="1129" t="n">
        <v>46213</v>
      </c>
      <c r="J122" s="951" t="inlineStr">
        <is>
          <t>Reference</t>
        </is>
      </c>
    </row>
    <row r="123" ht="42" customHeight="1">
      <c r="A123" s="952" t="inlineStr">
        <is>
          <t>Northglenn</t>
        </is>
      </c>
      <c r="B123" s="952" t="inlineStr">
        <is>
          <t>Planning</t>
        </is>
      </c>
      <c r="C123" s="952" t="inlineStr">
        <is>
          <t>Planning &amp; Development</t>
        </is>
      </c>
      <c r="D123" s="952" t="inlineStr">
        <is>
          <t>Planning, development review and economic-development resources.</t>
        </is>
      </c>
      <c r="E123" s="952" t="inlineStr">
        <is>
          <t>Start land-use and development research.</t>
        </is>
      </c>
      <c r="F123" s="952" t="inlineStr">
        <is>
          <t>Yes</t>
        </is>
      </c>
      <c r="G123" s="1188" t="inlineStr">
        <is>
          <t>https://www.northglenn.org/government/departments/planning_development/index.php</t>
        </is>
      </c>
      <c r="H123" s="952" t="inlineStr">
        <is>
          <t>Use for parcels inside this jurisdiction; confirm the parcel's actual county before relying on county recorder or assessor records.</t>
        </is>
      </c>
      <c r="I123" s="1129" t="n">
        <v>46213</v>
      </c>
      <c r="J123" s="951" t="inlineStr">
        <is>
          <t>Critical</t>
        </is>
      </c>
    </row>
    <row r="124" ht="42" customHeight="1">
      <c r="A124" s="952" t="inlineStr">
        <is>
          <t>Northglenn</t>
        </is>
      </c>
      <c r="B124" s="952" t="inlineStr">
        <is>
          <t>Zoning</t>
        </is>
      </c>
      <c r="C124" s="952" t="inlineStr">
        <is>
          <t>Land Use &amp; Zoning</t>
        </is>
      </c>
      <c r="D124" s="952" t="inlineStr">
        <is>
          <t>Zoning, land-use code and applications.</t>
        </is>
      </c>
      <c r="E124" s="952" t="inlineStr">
        <is>
          <t>Confirm district rules and application options.</t>
        </is>
      </c>
      <c r="F124" s="952" t="inlineStr">
        <is>
          <t>Yes</t>
        </is>
      </c>
      <c r="G124" s="1188" t="inlineStr">
        <is>
          <t>https://www.northglenn.org/government/land_use_zoning/index.php</t>
        </is>
      </c>
      <c r="H124" s="952" t="inlineStr">
        <is>
          <t>Use for parcels inside this jurisdiction; confirm the parcel's actual county before relying on county recorder or assessor records.</t>
        </is>
      </c>
      <c r="I124" s="1129" t="n">
        <v>46213</v>
      </c>
      <c r="J124" s="951" t="inlineStr">
        <is>
          <t>Critical</t>
        </is>
      </c>
    </row>
    <row r="125" ht="42" customHeight="1">
      <c r="A125" s="952" t="inlineStr">
        <is>
          <t>Northglenn</t>
        </is>
      </c>
      <c r="B125" s="952" t="inlineStr">
        <is>
          <t>GIS / Zoning</t>
        </is>
      </c>
      <c r="C125" s="952" t="inlineStr">
        <is>
          <t>Zoning Map</t>
        </is>
      </c>
      <c r="D125" s="952" t="inlineStr">
        <is>
          <t>Official zoning map.</t>
        </is>
      </c>
      <c r="E125" s="952" t="inlineStr">
        <is>
          <t>Identify parcel zoning.</t>
        </is>
      </c>
      <c r="F125" s="952" t="inlineStr">
        <is>
          <t>Yes</t>
        </is>
      </c>
      <c r="G125" s="1188" t="inlineStr">
        <is>
          <t>https://www.northglenn.org/government/land_use_zoning/zoning_map.php</t>
        </is>
      </c>
      <c r="H125" s="952" t="inlineStr">
        <is>
          <t>Use for parcels inside this jurisdiction; confirm the parcel's actual county before relying on county recorder or assessor records.</t>
        </is>
      </c>
      <c r="I125" s="1129" t="n">
        <v>46213</v>
      </c>
      <c r="J125" s="951" t="inlineStr">
        <is>
          <t>Critical</t>
        </is>
      </c>
    </row>
    <row r="126" ht="42" customHeight="1">
      <c r="A126" s="952" t="inlineStr">
        <is>
          <t>Northglenn</t>
        </is>
      </c>
      <c r="B126" s="952" t="inlineStr">
        <is>
          <t>GIS / Property</t>
        </is>
      </c>
      <c r="C126" s="952" t="inlineStr">
        <is>
          <t>QuickZone</t>
        </is>
      </c>
      <c r="D126" s="952" t="inlineStr">
        <is>
          <t>Interactive zoning/property lookup.</t>
        </is>
      </c>
      <c r="E126" s="952" t="inlineStr">
        <is>
          <t>Search an address and retrieve zoning information.</t>
        </is>
      </c>
      <c r="F126" s="952" t="inlineStr">
        <is>
          <t>Yes</t>
        </is>
      </c>
      <c r="G126" s="1188" t="inlineStr">
        <is>
          <t>https://biz.northglenn.org/quickzone</t>
        </is>
      </c>
      <c r="H126" s="952" t="inlineStr">
        <is>
          <t>Use for parcels inside this jurisdiction; confirm the parcel's actual county before relying on county recorder or assessor records.</t>
        </is>
      </c>
      <c r="I126" s="1129" t="n">
        <v>46213</v>
      </c>
      <c r="J126" s="951" t="inlineStr">
        <is>
          <t>Critical</t>
        </is>
      </c>
    </row>
    <row r="127" ht="42" customHeight="1">
      <c r="A127" s="952" t="inlineStr">
        <is>
          <t>Northglenn</t>
        </is>
      </c>
      <c r="B127" s="952" t="inlineStr">
        <is>
          <t>Code</t>
        </is>
      </c>
      <c r="C127" s="952" t="inlineStr">
        <is>
          <t>Unified Development Ordinance</t>
        </is>
      </c>
      <c r="D127" s="952" t="inlineStr">
        <is>
          <t>Northglenn land-use and development code.</t>
        </is>
      </c>
      <c r="E127" s="952" t="inlineStr">
        <is>
          <t>Review permitted uses, design and development standards.</t>
        </is>
      </c>
      <c r="F127" s="952" t="inlineStr">
        <is>
          <t>Yes</t>
        </is>
      </c>
      <c r="G127" s="1188" t="inlineStr">
        <is>
          <t>https://www.northglenn.org/government/land_use_zoning/new_code_northglenn.php</t>
        </is>
      </c>
      <c r="H127" s="952" t="inlineStr">
        <is>
          <t>Use for parcels inside this jurisdiction; confirm the parcel's actual county before relying on county recorder or assessor records.</t>
        </is>
      </c>
      <c r="I127" s="1129" t="n">
        <v>46213</v>
      </c>
      <c r="J127" s="951" t="inlineStr">
        <is>
          <t>Critical</t>
        </is>
      </c>
    </row>
    <row r="128" ht="42" customHeight="1">
      <c r="A128" s="952" t="inlineStr">
        <is>
          <t>Northglenn</t>
        </is>
      </c>
      <c r="B128" s="952" t="inlineStr">
        <is>
          <t>Development</t>
        </is>
      </c>
      <c r="C128" s="952" t="inlineStr">
        <is>
          <t>Land Use Applications</t>
        </is>
      </c>
      <c r="D128" s="952" t="inlineStr">
        <is>
          <t>Land-use application types and materials.</t>
        </is>
      </c>
      <c r="E128" s="952" t="inlineStr">
        <is>
          <t>Determine entitlement requirements.</t>
        </is>
      </c>
      <c r="F128" s="952" t="inlineStr">
        <is>
          <t>Yes</t>
        </is>
      </c>
      <c r="G128" s="1188" t="inlineStr">
        <is>
          <t>https://www.northglenn.org/government/land_use_zoning/land_use_applications.php</t>
        </is>
      </c>
      <c r="H128" s="952" t="inlineStr">
        <is>
          <t>Use for parcels inside this jurisdiction; confirm the parcel's actual county before relying on county recorder or assessor records.</t>
        </is>
      </c>
      <c r="I128" s="1129" t="n">
        <v>46213</v>
      </c>
      <c r="J128" s="951" t="inlineStr">
        <is>
          <t>High</t>
        </is>
      </c>
    </row>
    <row r="129" ht="42" customHeight="1">
      <c r="A129" s="952" t="inlineStr">
        <is>
          <t>Northglenn</t>
        </is>
      </c>
      <c r="B129" s="952" t="inlineStr">
        <is>
          <t>Development</t>
        </is>
      </c>
      <c r="C129" s="952" t="inlineStr">
        <is>
          <t>Development Review Process</t>
        </is>
      </c>
      <c r="D129" s="952" t="inlineStr">
        <is>
          <t>Development review process and steps.</t>
        </is>
      </c>
      <c r="E129" s="952" t="inlineStr">
        <is>
          <t>Estimate project path and review timing.</t>
        </is>
      </c>
      <c r="F129" s="952" t="inlineStr">
        <is>
          <t>Yes</t>
        </is>
      </c>
      <c r="G129" s="1188" t="inlineStr">
        <is>
          <t>https://www.northglenn.org/government/departments/planning_development/development_review_process.php</t>
        </is>
      </c>
      <c r="H129" s="952" t="inlineStr">
        <is>
          <t>Use for parcels inside this jurisdiction; confirm the parcel's actual county before relying on county recorder or assessor records.</t>
        </is>
      </c>
      <c r="I129" s="1129" t="n">
        <v>46213</v>
      </c>
      <c r="J129" s="951" t="inlineStr">
        <is>
          <t>High</t>
        </is>
      </c>
    </row>
    <row r="130" ht="42" customHeight="1">
      <c r="A130" s="952" t="inlineStr">
        <is>
          <t>Northglenn</t>
        </is>
      </c>
      <c r="B130" s="952" t="inlineStr">
        <is>
          <t>Development</t>
        </is>
      </c>
      <c r="C130" s="952" t="inlineStr">
        <is>
          <t>Project Updates</t>
        </is>
      </c>
      <c r="D130" s="952" t="inlineStr">
        <is>
          <t>City project and construction updates.</t>
        </is>
      </c>
      <c r="E130" s="952" t="inlineStr">
        <is>
          <t>Monitor development and public infrastructure projects.</t>
        </is>
      </c>
      <c r="F130" s="952" t="inlineStr">
        <is>
          <t>Yes</t>
        </is>
      </c>
      <c r="G130" s="1188" t="inlineStr">
        <is>
          <t>https://www.northglenn.org/government/project_updates/</t>
        </is>
      </c>
      <c r="H130" s="952" t="inlineStr">
        <is>
          <t>Use for parcels inside this jurisdiction; confirm the parcel's actual county before relying on county recorder or assessor records.</t>
        </is>
      </c>
      <c r="I130" s="1129" t="n">
        <v>46213</v>
      </c>
      <c r="J130" s="951" t="inlineStr">
        <is>
          <t>High</t>
        </is>
      </c>
    </row>
    <row r="131" ht="42" customHeight="1">
      <c r="A131" s="952" t="inlineStr">
        <is>
          <t>Northglenn</t>
        </is>
      </c>
      <c r="B131" s="952" t="inlineStr">
        <is>
          <t>Permits</t>
        </is>
      </c>
      <c r="C131" s="952" t="inlineStr">
        <is>
          <t>Licenses and Permits</t>
        </is>
      </c>
      <c r="D131" s="952" t="inlineStr">
        <is>
          <t>City licensing and permit resources.</t>
        </is>
      </c>
      <c r="E131" s="952" t="inlineStr">
        <is>
          <t>Locate applicable permits and application links.</t>
        </is>
      </c>
      <c r="F131" s="952" t="inlineStr">
        <is>
          <t>Yes</t>
        </is>
      </c>
      <c r="G131" s="1188" t="inlineStr">
        <is>
          <t>https://www.northglenn.org/services/licenses_and_permits/index.php</t>
        </is>
      </c>
      <c r="H131" s="952" t="inlineStr">
        <is>
          <t>Use for parcels inside this jurisdiction; confirm the parcel's actual county before relying on county recorder or assessor records.</t>
        </is>
      </c>
      <c r="I131" s="1129" t="n">
        <v>46213</v>
      </c>
      <c r="J131" s="951" t="inlineStr">
        <is>
          <t>High</t>
        </is>
      </c>
    </row>
    <row r="132" ht="42" customHeight="1">
      <c r="A132" s="952" t="inlineStr">
        <is>
          <t>Northglenn</t>
        </is>
      </c>
      <c r="B132" s="952" t="inlineStr">
        <is>
          <t>Permits</t>
        </is>
      </c>
      <c r="C132" s="952" t="inlineStr">
        <is>
          <t>Pull a Permit</t>
        </is>
      </c>
      <c r="D132" s="952" t="inlineStr">
        <is>
          <t>Building-permit application guidance.</t>
        </is>
      </c>
      <c r="E132" s="952" t="inlineStr">
        <is>
          <t>Apply for or research building permits.</t>
        </is>
      </c>
      <c r="F132" s="952" t="inlineStr">
        <is>
          <t>Yes</t>
        </is>
      </c>
      <c r="G132" s="1188" t="inlineStr">
        <is>
          <t>https://www.northglenn.org/government/departments/building/pull_a_permit.php</t>
        </is>
      </c>
      <c r="H132" s="952" t="inlineStr">
        <is>
          <t>Use for parcels inside this jurisdiction; confirm the parcel's actual county before relying on county recorder or assessor records.</t>
        </is>
      </c>
      <c r="I132" s="1129" t="n">
        <v>46213</v>
      </c>
      <c r="J132" s="951" t="inlineStr">
        <is>
          <t>Critical</t>
        </is>
      </c>
    </row>
    <row r="133" ht="42" customHeight="1">
      <c r="A133" s="952" t="inlineStr">
        <is>
          <t>Northglenn</t>
        </is>
      </c>
      <c r="B133" s="952" t="inlineStr">
        <is>
          <t>Long-Range Planning</t>
        </is>
      </c>
      <c r="C133" s="952" t="inlineStr">
        <is>
          <t>Comprehensive Plan</t>
        </is>
      </c>
      <c r="D133" s="952" t="inlineStr">
        <is>
          <t>Comprehensive-plan resources.</t>
        </is>
      </c>
      <c r="E133" s="952" t="inlineStr">
        <is>
          <t>Evaluate future land use and city policy.</t>
        </is>
      </c>
      <c r="F133" s="952" t="inlineStr">
        <is>
          <t>Yes</t>
        </is>
      </c>
      <c r="G133" s="1188" t="inlineStr">
        <is>
          <t>https://www.northglenn.org/government/land_use_zoning/comprehensive_plan.php</t>
        </is>
      </c>
      <c r="H133" s="952" t="inlineStr">
        <is>
          <t>Use for parcels inside this jurisdiction; confirm the parcel's actual county before relying on county recorder or assessor records.</t>
        </is>
      </c>
      <c r="I133" s="1129" t="n">
        <v>46213</v>
      </c>
      <c r="J133" s="951" t="inlineStr">
        <is>
          <t>High</t>
        </is>
      </c>
    </row>
    <row r="134" ht="42" customHeight="1">
      <c r="A134" s="952" t="inlineStr">
        <is>
          <t>Northglenn</t>
        </is>
      </c>
      <c r="B134" s="952" t="inlineStr">
        <is>
          <t>Plans</t>
        </is>
      </c>
      <c r="C134" s="952" t="inlineStr">
        <is>
          <t>Area Plans</t>
        </is>
      </c>
      <c r="D134" s="952" t="inlineStr">
        <is>
          <t>Adopted small-area and corridor plans.</t>
        </is>
      </c>
      <c r="E134" s="952" t="inlineStr">
        <is>
          <t>Research area-specific policies affecting a property.</t>
        </is>
      </c>
      <c r="F134" s="952" t="inlineStr">
        <is>
          <t>Yes</t>
        </is>
      </c>
      <c r="G134" s="1188" t="inlineStr">
        <is>
          <t>https://www.northglenn.org/government/land_use_zoning/area_plans/index.php</t>
        </is>
      </c>
      <c r="H134" s="952" t="inlineStr">
        <is>
          <t>Use for parcels inside this jurisdiction; confirm the parcel's actual county before relying on county recorder or assessor records.</t>
        </is>
      </c>
      <c r="I134" s="1129" t="n">
        <v>46213</v>
      </c>
      <c r="J134" s="951" t="inlineStr">
        <is>
          <t>Useful</t>
        </is>
      </c>
    </row>
    <row r="135" ht="42" customHeight="1">
      <c r="A135" s="952" t="inlineStr">
        <is>
          <t>Northglenn</t>
        </is>
      </c>
      <c r="B135" s="952" t="inlineStr">
        <is>
          <t>Meetings</t>
        </is>
      </c>
      <c r="C135" s="952" t="inlineStr">
        <is>
          <t>Planning Commission</t>
        </is>
      </c>
      <c r="D135" s="952" t="inlineStr">
        <is>
          <t>Planning Commission information.</t>
        </is>
      </c>
      <c r="E135" s="952" t="inlineStr">
        <is>
          <t>Monitor land-use hearings and recommendations.</t>
        </is>
      </c>
      <c r="F135" s="952" t="inlineStr">
        <is>
          <t>Yes</t>
        </is>
      </c>
      <c r="G135" s="1188" t="inlineStr">
        <is>
          <t>https://www.northglenn.org/government/boards_commissions/planning_commission.php</t>
        </is>
      </c>
      <c r="H135" s="952" t="inlineStr">
        <is>
          <t>Use for parcels inside this jurisdiction; confirm the parcel's actual county before relying on county recorder or assessor records.</t>
        </is>
      </c>
      <c r="I135" s="1129" t="n">
        <v>46213</v>
      </c>
      <c r="J135" s="951" t="inlineStr">
        <is>
          <t>High</t>
        </is>
      </c>
    </row>
    <row r="136" ht="42" customHeight="1">
      <c r="A136" s="952" t="inlineStr">
        <is>
          <t>Northglenn</t>
        </is>
      </c>
      <c r="B136" s="952" t="inlineStr">
        <is>
          <t>Meetings / Records</t>
        </is>
      </c>
      <c r="C136" s="952" t="inlineStr">
        <is>
          <t>Public Meeting Records</t>
        </is>
      </c>
      <c r="D136" s="952" t="inlineStr">
        <is>
          <t>Searchable agendas, minutes and public meeting documents.</t>
        </is>
      </c>
      <c r="E136" s="952" t="inlineStr">
        <is>
          <t>Track city council and board actions.</t>
        </is>
      </c>
      <c r="F136" s="952" t="inlineStr">
        <is>
          <t>Yes</t>
        </is>
      </c>
      <c r="G136" s="1188" t="inlineStr">
        <is>
          <t>https://webdocs.northglenn.org/</t>
        </is>
      </c>
      <c r="H136" s="952" t="inlineStr">
        <is>
          <t>Use for parcels inside this jurisdiction; confirm the parcel's actual county before relying on county recorder or assessor records.</t>
        </is>
      </c>
      <c r="I136" s="1129" t="n">
        <v>46213</v>
      </c>
      <c r="J136" s="951" t="inlineStr">
        <is>
          <t>High</t>
        </is>
      </c>
    </row>
    <row r="137" ht="42" customHeight="1">
      <c r="A137" s="952" t="inlineStr">
        <is>
          <t>Northglenn</t>
        </is>
      </c>
      <c r="B137" s="952" t="inlineStr">
        <is>
          <t>News</t>
        </is>
      </c>
      <c r="C137" s="952" t="inlineStr">
        <is>
          <t>City News Listings</t>
        </is>
      </c>
      <c r="D137" s="952" t="inlineStr">
        <is>
          <t>Official city news and announcements.</t>
        </is>
      </c>
      <c r="E137" s="952" t="inlineStr">
        <is>
          <t>Monitor projects, hearings and municipal changes.</t>
        </is>
      </c>
      <c r="F137" s="952" t="inlineStr">
        <is>
          <t>Yes</t>
        </is>
      </c>
      <c r="G137" s="1188" t="inlineStr">
        <is>
          <t>https://www.northglenn.org/newslist.php</t>
        </is>
      </c>
      <c r="H137" s="952" t="inlineStr">
        <is>
          <t>Use for parcels inside this jurisdiction; confirm the parcel's actual county before relying on county recorder or assessor records.</t>
        </is>
      </c>
      <c r="I137" s="1129" t="n">
        <v>46213</v>
      </c>
      <c r="J137" s="951" t="inlineStr">
        <is>
          <t>Useful</t>
        </is>
      </c>
    </row>
    <row r="138" ht="42" customHeight="1">
      <c r="A138" s="952" t="inlineStr">
        <is>
          <t>Northglenn</t>
        </is>
      </c>
      <c r="B138" s="952" t="inlineStr">
        <is>
          <t>Alerts</t>
        </is>
      </c>
      <c r="C138" s="952" t="inlineStr">
        <is>
          <t>TextMyGov Notifications</t>
        </is>
      </c>
      <c r="D138" s="952" t="inlineStr">
        <is>
          <t>Text alerts for council, utilities and city updates.</t>
        </is>
      </c>
      <c r="E138" s="952" t="inlineStr">
        <is>
          <t>Subscribe to hearings, road closures and government notices.</t>
        </is>
      </c>
      <c r="F138" s="952" t="inlineStr">
        <is>
          <t>Yes</t>
        </is>
      </c>
      <c r="G138" s="1188" t="inlineStr">
        <is>
          <t>https://www.northglenn.org/community/communications/textmygov.php</t>
        </is>
      </c>
      <c r="H138" s="952" t="inlineStr">
        <is>
          <t>Use for parcels inside this jurisdiction; confirm the parcel's actual county before relying on county recorder or assessor records.</t>
        </is>
      </c>
      <c r="I138" s="1129" t="n">
        <v>46213</v>
      </c>
      <c r="J138" s="951" t="inlineStr">
        <is>
          <t>Useful</t>
        </is>
      </c>
    </row>
    <row r="139" ht="42" customHeight="1">
      <c r="A139" s="952" t="inlineStr">
        <is>
          <t>Thornton</t>
        </is>
      </c>
      <c r="B139" s="952" t="inlineStr">
        <is>
          <t>Official Website</t>
        </is>
      </c>
      <c r="C139" s="952" t="inlineStr">
        <is>
          <t>City of Thornton</t>
        </is>
      </c>
      <c r="D139" s="952" t="inlineStr">
        <is>
          <t>Main city website.</t>
        </is>
      </c>
      <c r="E139" s="952" t="inlineStr">
        <is>
          <t>Navigate city services and departments.</t>
        </is>
      </c>
      <c r="F139" s="952" t="inlineStr">
        <is>
          <t>Yes</t>
        </is>
      </c>
      <c r="G139" s="1188" t="inlineStr">
        <is>
          <t>https://www.thorntonco.gov/</t>
        </is>
      </c>
      <c r="H139" s="952" t="inlineStr">
        <is>
          <t>Use for parcels inside this jurisdiction; confirm the parcel's actual county before relying on county recorder or assessor records.</t>
        </is>
      </c>
      <c r="I139" s="1129" t="n">
        <v>46213</v>
      </c>
      <c r="J139" s="951" t="inlineStr">
        <is>
          <t>Reference</t>
        </is>
      </c>
    </row>
    <row r="140" ht="42" customHeight="1">
      <c r="A140" s="952" t="inlineStr">
        <is>
          <t>Thornton</t>
        </is>
      </c>
      <c r="B140" s="952" t="inlineStr">
        <is>
          <t>Planning</t>
        </is>
      </c>
      <c r="C140" s="952" t="inlineStr">
        <is>
          <t>City Development</t>
        </is>
      </c>
      <c r="D140" s="952" t="inlineStr">
        <is>
          <t>Planning, building, development engineering and long-range resources.</t>
        </is>
      </c>
      <c r="E140" s="952" t="inlineStr">
        <is>
          <t>Start land-use, permitting and development research.</t>
        </is>
      </c>
      <c r="F140" s="952" t="inlineStr">
        <is>
          <t>Yes</t>
        </is>
      </c>
      <c r="G140" s="1188" t="inlineStr">
        <is>
          <t>https://www.thorntonco.gov/business-development/city-development</t>
        </is>
      </c>
      <c r="H140" s="952" t="inlineStr">
        <is>
          <t>Use for parcels inside this jurisdiction; confirm the parcel's actual county before relying on county recorder or assessor records.</t>
        </is>
      </c>
      <c r="I140" s="1129" t="n">
        <v>46213</v>
      </c>
      <c r="J140" s="951" t="inlineStr">
        <is>
          <t>Critical</t>
        </is>
      </c>
    </row>
    <row r="141" ht="42" customHeight="1">
      <c r="A141" s="952" t="inlineStr">
        <is>
          <t>Thornton</t>
        </is>
      </c>
      <c r="B141" s="952" t="inlineStr">
        <is>
          <t>Zoning</t>
        </is>
      </c>
      <c r="C141" s="952" t="inlineStr">
        <is>
          <t>Current Planning &amp; Zoning</t>
        </is>
      </c>
      <c r="D141" s="952" t="inlineStr">
        <is>
          <t>Zoning, development applications and current planning.</t>
        </is>
      </c>
      <c r="E141" s="952" t="inlineStr">
        <is>
          <t>Confirm zoning and active entitlement processes.</t>
        </is>
      </c>
      <c r="F141" s="952" t="inlineStr">
        <is>
          <t>Yes</t>
        </is>
      </c>
      <c r="G141" s="1188" t="inlineStr">
        <is>
          <t>https://www.thorntonco.gov/business-development/city-development/current-planning-zoning</t>
        </is>
      </c>
      <c r="H141" s="952" t="inlineStr">
        <is>
          <t>Use for parcels inside this jurisdiction; confirm the parcel's actual county before relying on county recorder or assessor records.</t>
        </is>
      </c>
      <c r="I141" s="1129" t="n">
        <v>46213</v>
      </c>
      <c r="J141" s="951" t="inlineStr">
        <is>
          <t>Critical</t>
        </is>
      </c>
    </row>
    <row r="142" ht="42" customHeight="1">
      <c r="A142" s="952" t="inlineStr">
        <is>
          <t>Thornton</t>
        </is>
      </c>
      <c r="B142" s="952" t="inlineStr">
        <is>
          <t>Zoning</t>
        </is>
      </c>
      <c r="C142" s="952" t="inlineStr">
        <is>
          <t>Zoning Districts, Uses and Regulations</t>
        </is>
      </c>
      <c r="D142" s="952" t="inlineStr">
        <is>
          <t>District standards and use regulations.</t>
        </is>
      </c>
      <c r="E142" s="952" t="inlineStr">
        <is>
          <t>Evaluate allowed uses and dimensional standards.</t>
        </is>
      </c>
      <c r="F142" s="952" t="inlineStr">
        <is>
          <t>Yes</t>
        </is>
      </c>
      <c r="G142" s="1188" t="inlineStr">
        <is>
          <t>https://www.thorntonco.gov/business-development/city-development/current-planning-zoning/zoning-districts-uses-and-regulations</t>
        </is>
      </c>
      <c r="H142" s="952" t="inlineStr">
        <is>
          <t>Use for parcels inside this jurisdiction; confirm the parcel's actual county before relying on county recorder or assessor records.</t>
        </is>
      </c>
      <c r="I142" s="1129" t="n">
        <v>46213</v>
      </c>
      <c r="J142" s="951" t="inlineStr">
        <is>
          <t>Critical</t>
        </is>
      </c>
    </row>
    <row r="143" ht="42" customHeight="1">
      <c r="A143" s="952" t="inlineStr">
        <is>
          <t>Thornton</t>
        </is>
      </c>
      <c r="B143" s="952" t="inlineStr">
        <is>
          <t>GIS / Property</t>
        </is>
      </c>
      <c r="C143" s="952" t="inlineStr">
        <is>
          <t>Interactive Zoning / Property Map</t>
        </is>
      </c>
      <c r="D143" s="952" t="inlineStr">
        <is>
          <t>Interactive city zoning and parcel map.</t>
        </is>
      </c>
      <c r="E143" s="952" t="inlineStr">
        <is>
          <t>Locate a parcel and screen zoning and mapped attributes.</t>
        </is>
      </c>
      <c r="F143" s="952" t="inlineStr">
        <is>
          <t>Yes</t>
        </is>
      </c>
      <c r="G143" s="1188" t="inlineStr">
        <is>
          <t>https://cityofthornton.maps.arcgis.com/apps/webappviewer/index.html?id=643abe02e8b8446586b6eb6d8ed43f84</t>
        </is>
      </c>
      <c r="H143" s="952" t="inlineStr">
        <is>
          <t>Use for parcels inside this jurisdiction; confirm the parcel's actual county before relying on county recorder or assessor records.</t>
        </is>
      </c>
      <c r="I143" s="1129" t="n">
        <v>46213</v>
      </c>
      <c r="J143" s="951" t="inlineStr">
        <is>
          <t>Critical</t>
        </is>
      </c>
    </row>
    <row r="144" ht="42" customHeight="1">
      <c r="A144" s="952" t="inlineStr">
        <is>
          <t>Thornton</t>
        </is>
      </c>
      <c r="B144" s="952" t="inlineStr">
        <is>
          <t>GIS / Open Data</t>
        </is>
      </c>
      <c r="C144" s="952" t="inlineStr">
        <is>
          <t>Thornton GIS Open Data</t>
        </is>
      </c>
      <c r="D144" s="952" t="inlineStr">
        <is>
          <t>Downloadable city GIS layers and maps.</t>
        </is>
      </c>
      <c r="E144" s="952" t="inlineStr">
        <is>
          <t>Perform advanced mapping and spatial analysis.</t>
        </is>
      </c>
      <c r="F144" s="952" t="inlineStr">
        <is>
          <t>Yes</t>
        </is>
      </c>
      <c r="G144" s="1188" t="inlineStr">
        <is>
          <t>https://data-cityofthornton.opendata.arcgis.com/</t>
        </is>
      </c>
      <c r="H144" s="952" t="inlineStr">
        <is>
          <t>Use for parcels inside this jurisdiction; confirm the parcel's actual county before relying on county recorder or assessor records.</t>
        </is>
      </c>
      <c r="I144" s="1129" t="n">
        <v>46213</v>
      </c>
      <c r="J144" s="951" t="inlineStr">
        <is>
          <t>Useful</t>
        </is>
      </c>
    </row>
    <row r="145" ht="42" customHeight="1">
      <c r="A145" s="952" t="inlineStr">
        <is>
          <t>Thornton</t>
        </is>
      </c>
      <c r="B145" s="952" t="inlineStr">
        <is>
          <t>Development</t>
        </is>
      </c>
      <c r="C145" s="952" t="inlineStr">
        <is>
          <t>Planning Application Search</t>
        </is>
      </c>
      <c r="D145" s="952" t="inlineStr">
        <is>
          <t>CityView search for planning applications.</t>
        </is>
      </c>
      <c r="E145" s="952" t="inlineStr">
        <is>
          <t>Check planning cases and application records.</t>
        </is>
      </c>
      <c r="F145" s="952" t="inlineStr">
        <is>
          <t>Yes</t>
        </is>
      </c>
      <c r="G145" s="1188" t="inlineStr">
        <is>
          <t>https://cityviewportal.thorntonco.gov/Planning/Locator</t>
        </is>
      </c>
      <c r="H145" s="952" t="inlineStr">
        <is>
          <t>Use for parcels inside this jurisdiction; confirm the parcel's actual county before relying on county recorder or assessor records.</t>
        </is>
      </c>
      <c r="I145" s="1129" t="n">
        <v>46213</v>
      </c>
      <c r="J145" s="951" t="inlineStr">
        <is>
          <t>Critical</t>
        </is>
      </c>
    </row>
    <row r="146" ht="42" customHeight="1">
      <c r="A146" s="952" t="inlineStr">
        <is>
          <t>Thornton</t>
        </is>
      </c>
      <c r="B146" s="952" t="inlineStr">
        <is>
          <t>Development</t>
        </is>
      </c>
      <c r="C146" s="952" t="inlineStr">
        <is>
          <t>Active Development</t>
        </is>
      </c>
      <c r="D146" s="952" t="inlineStr">
        <is>
          <t>Current development projects and related information.</t>
        </is>
      </c>
      <c r="E146" s="952" t="inlineStr">
        <is>
          <t>Identify nearby development and status.</t>
        </is>
      </c>
      <c r="F146" s="952" t="inlineStr">
        <is>
          <t>Yes</t>
        </is>
      </c>
      <c r="G146" s="1188" t="inlineStr">
        <is>
          <t>https://www.thorntonco.gov/business-development/active-development</t>
        </is>
      </c>
      <c r="H146" s="952" t="inlineStr">
        <is>
          <t>Use for parcels inside this jurisdiction; confirm the parcel's actual county before relying on county recorder or assessor records.</t>
        </is>
      </c>
      <c r="I146" s="1129" t="n">
        <v>46213</v>
      </c>
      <c r="J146" s="951" t="inlineStr">
        <is>
          <t>Critical</t>
        </is>
      </c>
    </row>
    <row r="147" ht="42" customHeight="1">
      <c r="A147" s="952" t="inlineStr">
        <is>
          <t>Thornton</t>
        </is>
      </c>
      <c r="B147" s="952" t="inlineStr">
        <is>
          <t>Development</t>
        </is>
      </c>
      <c r="C147" s="952" t="inlineStr">
        <is>
          <t>Development Applications</t>
        </is>
      </c>
      <c r="D147" s="952" t="inlineStr">
        <is>
          <t>Application types and development review resources.</t>
        </is>
      </c>
      <c r="E147" s="952" t="inlineStr">
        <is>
          <t>Determine entitlement and submittal requirements.</t>
        </is>
      </c>
      <c r="F147" s="952" t="inlineStr">
        <is>
          <t>Yes</t>
        </is>
      </c>
      <c r="G147" s="1188" t="inlineStr">
        <is>
          <t>https://www.thorntonco.gov/business-development/city-development/current-planning-zoning/development-applications</t>
        </is>
      </c>
      <c r="H147" s="952" t="inlineStr">
        <is>
          <t>Use for parcels inside this jurisdiction; confirm the parcel's actual county before relying on county recorder or assessor records.</t>
        </is>
      </c>
      <c r="I147" s="1129" t="n">
        <v>46213</v>
      </c>
      <c r="J147" s="951" t="inlineStr">
        <is>
          <t>High</t>
        </is>
      </c>
    </row>
    <row r="148" ht="42" customHeight="1">
      <c r="A148" s="952" t="inlineStr">
        <is>
          <t>Thornton</t>
        </is>
      </c>
      <c r="B148" s="952" t="inlineStr">
        <is>
          <t>Development</t>
        </is>
      </c>
      <c r="C148" s="952" t="inlineStr">
        <is>
          <t>Development Engineering &amp; Construction</t>
        </is>
      </c>
      <c r="D148" s="952" t="inlineStr">
        <is>
          <t>Engineering, construction and infrastructure review.</t>
        </is>
      </c>
      <c r="E148" s="952" t="inlineStr">
        <is>
          <t>Research civil plans, access and construction requirements.</t>
        </is>
      </c>
      <c r="F148" s="952" t="inlineStr">
        <is>
          <t>Yes</t>
        </is>
      </c>
      <c r="G148" s="1188" t="inlineStr">
        <is>
          <t>https://www.thorntonco.gov/business-development/city-development/development-engineering-construction</t>
        </is>
      </c>
      <c r="H148" s="952" t="inlineStr">
        <is>
          <t>Use for parcels inside this jurisdiction; confirm the parcel's actual county before relying on county recorder or assessor records.</t>
        </is>
      </c>
      <c r="I148" s="1129" t="n">
        <v>46213</v>
      </c>
      <c r="J148" s="951" t="inlineStr">
        <is>
          <t>High</t>
        </is>
      </c>
    </row>
    <row r="149" ht="42" customHeight="1">
      <c r="A149" s="952" t="inlineStr">
        <is>
          <t>Thornton</t>
        </is>
      </c>
      <c r="B149" s="952" t="inlineStr">
        <is>
          <t>Permits</t>
        </is>
      </c>
      <c r="C149" s="952" t="inlineStr">
        <is>
          <t>Building Permits &amp; Inspections</t>
        </is>
      </c>
      <c r="D149" s="952" t="inlineStr">
        <is>
          <t>Building permits, inspections and contractor information.</t>
        </is>
      </c>
      <c r="E149" s="952" t="inlineStr">
        <is>
          <t>Research construction permits.</t>
        </is>
      </c>
      <c r="F149" s="952" t="inlineStr">
        <is>
          <t>Yes</t>
        </is>
      </c>
      <c r="G149" s="1188" t="inlineStr">
        <is>
          <t>https://www.thorntonco.gov/business-development/city-development/building-permits-inspections</t>
        </is>
      </c>
      <c r="H149" s="952" t="inlineStr">
        <is>
          <t>Use for parcels inside this jurisdiction; confirm the parcel's actual county before relying on county recorder or assessor records.</t>
        </is>
      </c>
      <c r="I149" s="1129" t="n">
        <v>46213</v>
      </c>
      <c r="J149" s="951" t="inlineStr">
        <is>
          <t>Critical</t>
        </is>
      </c>
    </row>
    <row r="150" ht="42" customHeight="1">
      <c r="A150" s="952" t="inlineStr">
        <is>
          <t>Thornton</t>
        </is>
      </c>
      <c r="B150" s="952" t="inlineStr">
        <is>
          <t>Permits</t>
        </is>
      </c>
      <c r="C150" s="952" t="inlineStr">
        <is>
          <t>Permit Search</t>
        </is>
      </c>
      <c r="D150" s="952" t="inlineStr">
        <is>
          <t>CityView permit and submittal search.</t>
        </is>
      </c>
      <c r="E150" s="952" t="inlineStr">
        <is>
          <t>Check permit records and status.</t>
        </is>
      </c>
      <c r="F150" s="952" t="inlineStr">
        <is>
          <t>Yes</t>
        </is>
      </c>
      <c r="G150" s="1188" t="inlineStr">
        <is>
          <t>https://cityviewportal.thorntonco.gov/Permit/LocatorSubmittals</t>
        </is>
      </c>
      <c r="H150" s="952" t="inlineStr">
        <is>
          <t>Use for parcels inside this jurisdiction; confirm the parcel's actual county before relying on county recorder or assessor records.</t>
        </is>
      </c>
      <c r="I150" s="1129" t="n">
        <v>46213</v>
      </c>
      <c r="J150" s="951" t="inlineStr">
        <is>
          <t>Critical</t>
        </is>
      </c>
    </row>
    <row r="151" ht="42" customHeight="1">
      <c r="A151" s="952" t="inlineStr">
        <is>
          <t>Thornton</t>
        </is>
      </c>
      <c r="B151" s="952" t="inlineStr">
        <is>
          <t>Online Portal</t>
        </is>
      </c>
      <c r="C151" s="952" t="inlineStr">
        <is>
          <t>Thornton Permit Portal</t>
        </is>
      </c>
      <c r="D151" s="952" t="inlineStr">
        <is>
          <t>Online permit application portal.</t>
        </is>
      </c>
      <c r="E151" s="952" t="inlineStr">
        <is>
          <t>Submit or manage permits.</t>
        </is>
      </c>
      <c r="F151" s="952" t="inlineStr">
        <is>
          <t>Yes</t>
        </is>
      </c>
      <c r="G151" s="1188" t="inlineStr">
        <is>
          <t>https://permits.thorntonco.gov/</t>
        </is>
      </c>
      <c r="H151" s="952" t="inlineStr">
        <is>
          <t>Use for parcels inside this jurisdiction; confirm the parcel's actual county before relying on county recorder or assessor records.</t>
        </is>
      </c>
      <c r="I151" s="1129" t="n">
        <v>46213</v>
      </c>
      <c r="J151" s="951" t="inlineStr">
        <is>
          <t>High</t>
        </is>
      </c>
    </row>
    <row r="152" ht="42" customHeight="1">
      <c r="A152" s="952" t="inlineStr">
        <is>
          <t>Thornton</t>
        </is>
      </c>
      <c r="B152" s="952" t="inlineStr">
        <is>
          <t>Long-Range Planning</t>
        </is>
      </c>
      <c r="C152" s="952" t="inlineStr">
        <is>
          <t>Long Range Planning</t>
        </is>
      </c>
      <c r="D152" s="952" t="inlineStr">
        <is>
          <t>Long-range planning programs and resources.</t>
        </is>
      </c>
      <c r="E152" s="952" t="inlineStr">
        <is>
          <t>Evaluate future growth and policy context.</t>
        </is>
      </c>
      <c r="F152" s="952" t="inlineStr">
        <is>
          <t>Yes</t>
        </is>
      </c>
      <c r="G152" s="1188" t="inlineStr">
        <is>
          <t>https://www.thorntonco.gov/business-development/city-development/long-range-planning</t>
        </is>
      </c>
      <c r="H152" s="952" t="inlineStr">
        <is>
          <t>Use for parcels inside this jurisdiction; confirm the parcel's actual county before relying on county recorder or assessor records.</t>
        </is>
      </c>
      <c r="I152" s="1129" t="n">
        <v>46213</v>
      </c>
      <c r="J152" s="951" t="inlineStr">
        <is>
          <t>High</t>
        </is>
      </c>
    </row>
    <row r="153" ht="42" customHeight="1">
      <c r="A153" s="952" t="inlineStr">
        <is>
          <t>Thornton</t>
        </is>
      </c>
      <c r="B153" s="952" t="inlineStr">
        <is>
          <t>Long-Range Planning</t>
        </is>
      </c>
      <c r="C153" s="952" t="inlineStr">
        <is>
          <t>Thornton Comprehensive Plan</t>
        </is>
      </c>
      <c r="D153" s="952" t="inlineStr">
        <is>
          <t>Current comprehensive-plan resources.</t>
        </is>
      </c>
      <c r="E153" s="952" t="inlineStr">
        <is>
          <t>Review future land use and citywide policy.</t>
        </is>
      </c>
      <c r="F153" s="952" t="inlineStr">
        <is>
          <t>Yes</t>
        </is>
      </c>
      <c r="G153" s="1188" t="inlineStr">
        <is>
          <t>https://www.thorntonco.gov/business-development/city-development/long-range-planning/plans/thornton-comprehensive-plan</t>
        </is>
      </c>
      <c r="H153" s="952" t="inlineStr">
        <is>
          <t>Use for parcels inside this jurisdiction; confirm the parcel's actual county before relying on county recorder or assessor records.</t>
        </is>
      </c>
      <c r="I153" s="1129" t="n">
        <v>46213</v>
      </c>
      <c r="J153" s="951" t="inlineStr">
        <is>
          <t>High</t>
        </is>
      </c>
    </row>
    <row r="154" ht="42" customHeight="1">
      <c r="A154" s="952" t="inlineStr">
        <is>
          <t>Thornton</t>
        </is>
      </c>
      <c r="B154" s="952" t="inlineStr">
        <is>
          <t>Long-Range Planning</t>
        </is>
      </c>
      <c r="C154" s="952" t="inlineStr">
        <is>
          <t>Current Long-Range Projects</t>
        </is>
      </c>
      <c r="D154" s="952" t="inlineStr">
        <is>
          <t>Current planning initiatives and plan updates.</t>
        </is>
      </c>
      <c r="E154" s="952" t="inlineStr">
        <is>
          <t>Track future policy changes affecting property.</t>
        </is>
      </c>
      <c r="F154" s="952" t="inlineStr">
        <is>
          <t>Yes</t>
        </is>
      </c>
      <c r="G154" s="1188" t="inlineStr">
        <is>
          <t>https://www.thorntonco.gov/business-development/city-development/long-range-planning/current-projects</t>
        </is>
      </c>
      <c r="H154" s="952" t="inlineStr">
        <is>
          <t>Use for parcels inside this jurisdiction; confirm the parcel's actual county before relying on county recorder or assessor records.</t>
        </is>
      </c>
      <c r="I154" s="1129" t="n">
        <v>46213</v>
      </c>
      <c r="J154" s="951" t="inlineStr">
        <is>
          <t>High</t>
        </is>
      </c>
    </row>
    <row r="155" ht="42" customHeight="1">
      <c r="A155" s="952" t="inlineStr">
        <is>
          <t>Thornton</t>
        </is>
      </c>
      <c r="B155" s="952" t="inlineStr">
        <is>
          <t>Meetings</t>
        </is>
      </c>
      <c r="C155" s="952" t="inlineStr">
        <is>
          <t>Planning Commission / Board of Adjustment</t>
        </is>
      </c>
      <c r="D155" s="952" t="inlineStr">
        <is>
          <t>Board and commission information.</t>
        </is>
      </c>
      <c r="E155" s="952" t="inlineStr">
        <is>
          <t>Monitor land-use hearings, variances and appeals.</t>
        </is>
      </c>
      <c r="F155" s="952" t="inlineStr">
        <is>
          <t>Yes</t>
        </is>
      </c>
      <c r="G155" s="1188" t="inlineStr">
        <is>
          <t>https://www.thorntonco.gov/government/boards-commissions/planning-commission-board-adjustment</t>
        </is>
      </c>
      <c r="H155" s="952" t="inlineStr">
        <is>
          <t>Use for parcels inside this jurisdiction; confirm the parcel's actual county before relying on county recorder or assessor records.</t>
        </is>
      </c>
      <c r="I155" s="1129" t="n">
        <v>46213</v>
      </c>
      <c r="J155" s="951" t="inlineStr">
        <is>
          <t>High</t>
        </is>
      </c>
    </row>
    <row r="156" ht="42" customHeight="1">
      <c r="A156" s="952" t="inlineStr">
        <is>
          <t>Thornton</t>
        </is>
      </c>
      <c r="B156" s="952" t="inlineStr">
        <is>
          <t>Meetings</t>
        </is>
      </c>
      <c r="C156" s="952" t="inlineStr">
        <is>
          <t>Upcoming Meetings</t>
        </is>
      </c>
      <c r="D156" s="952" t="inlineStr">
        <is>
          <t>City council and public meeting calendar.</t>
        </is>
      </c>
      <c r="E156" s="952" t="inlineStr">
        <is>
          <t>Track meeting dates and agenda publication.</t>
        </is>
      </c>
      <c r="F156" s="952" t="inlineStr">
        <is>
          <t>Yes</t>
        </is>
      </c>
      <c r="G156" s="1188" t="inlineStr">
        <is>
          <t>https://www.thorntonco.gov/government/mayor-council/upcoming-meetings</t>
        </is>
      </c>
      <c r="H156" s="952" t="inlineStr">
        <is>
          <t>Use for parcels inside this jurisdiction; confirm the parcel's actual county before relying on county recorder or assessor records.</t>
        </is>
      </c>
      <c r="I156" s="1129" t="n">
        <v>46213</v>
      </c>
      <c r="J156" s="951" t="inlineStr">
        <is>
          <t>High</t>
        </is>
      </c>
    </row>
    <row r="157" ht="42" customHeight="1">
      <c r="A157" s="952" t="inlineStr">
        <is>
          <t>Thornton</t>
        </is>
      </c>
      <c r="B157" s="952" t="inlineStr">
        <is>
          <t>Public Notices</t>
        </is>
      </c>
      <c r="C157" s="952" t="inlineStr">
        <is>
          <t>Public Notices</t>
        </is>
      </c>
      <c r="D157" s="952" t="inlineStr">
        <is>
          <t>Approved ordinances, hearing notices and other public notices.</t>
        </is>
      </c>
      <c r="E157" s="952" t="inlineStr">
        <is>
          <t>Confirm formal hearings and legal actions.</t>
        </is>
      </c>
      <c r="F157" s="952" t="inlineStr">
        <is>
          <t>Yes</t>
        </is>
      </c>
      <c r="G157" s="1188" t="inlineStr">
        <is>
          <t>https://www.thorntonco.gov/government/public-notices</t>
        </is>
      </c>
      <c r="H157" s="952" t="inlineStr">
        <is>
          <t>Use for parcels inside this jurisdiction; confirm the parcel's actual county before relying on county recorder or assessor records.</t>
        </is>
      </c>
      <c r="I157" s="1129" t="n">
        <v>46213</v>
      </c>
      <c r="J157" s="951" t="inlineStr">
        <is>
          <t>High</t>
        </is>
      </c>
    </row>
    <row r="158" ht="42" customHeight="1">
      <c r="A158" s="952" t="inlineStr">
        <is>
          <t>Thornton</t>
        </is>
      </c>
      <c r="B158" s="952" t="inlineStr">
        <is>
          <t>News</t>
        </is>
      </c>
      <c r="C158" s="952" t="inlineStr">
        <is>
          <t>Thornton News</t>
        </is>
      </c>
      <c r="D158" s="952" t="inlineStr">
        <is>
          <t>Official city news and City Voice items.</t>
        </is>
      </c>
      <c r="E158" s="952" t="inlineStr">
        <is>
          <t>Monitor projects, council actions and city updates.</t>
        </is>
      </c>
      <c r="F158" s="952" t="inlineStr">
        <is>
          <t>Yes</t>
        </is>
      </c>
      <c r="G158" s="1188" t="inlineStr">
        <is>
          <t>https://www.thorntonco.gov/news</t>
        </is>
      </c>
      <c r="H158" s="952" t="inlineStr">
        <is>
          <t>Use for parcels inside this jurisdiction; confirm the parcel's actual county before relying on county recorder or assessor records.</t>
        </is>
      </c>
      <c r="I158" s="1129" t="n">
        <v>46213</v>
      </c>
      <c r="J158" s="951" t="inlineStr">
        <is>
          <t>Useful</t>
        </is>
      </c>
    </row>
    <row r="159" ht="42" customHeight="1">
      <c r="A159" s="952" t="inlineStr">
        <is>
          <t>Thornton</t>
        </is>
      </c>
      <c r="B159" s="952" t="inlineStr">
        <is>
          <t>Alerts</t>
        </is>
      </c>
      <c r="C159" s="952" t="inlineStr">
        <is>
          <t>T-Alerts</t>
        </is>
      </c>
      <c r="D159" s="952" t="inlineStr">
        <is>
          <t>Email subscriptions for meetings, development and city topics.</t>
        </is>
      </c>
      <c r="E159" s="952" t="inlineStr">
        <is>
          <t>Subscribe to current updates and meeting documents.</t>
        </is>
      </c>
      <c r="F159" s="952" t="inlineStr">
        <is>
          <t>Yes</t>
        </is>
      </c>
      <c r="G159" s="1188" t="inlineStr">
        <is>
          <t>https://talerts.thorntonco.gov/</t>
        </is>
      </c>
      <c r="H159" s="952" t="inlineStr">
        <is>
          <t>Use for parcels inside this jurisdiction; confirm the parcel's actual county before relying on county recorder or assessor records.</t>
        </is>
      </c>
      <c r="I159" s="1129" t="n">
        <v>46213</v>
      </c>
      <c r="J159" s="951" t="inlineStr">
        <is>
          <t>Useful</t>
        </is>
      </c>
    </row>
    <row r="160" ht="42" customHeight="1">
      <c r="A160" s="952" t="inlineStr">
        <is>
          <t>Westminster</t>
        </is>
      </c>
      <c r="B160" s="952" t="inlineStr">
        <is>
          <t>Official Website</t>
        </is>
      </c>
      <c r="C160" s="952" t="inlineStr">
        <is>
          <t>City of Westminster</t>
        </is>
      </c>
      <c r="D160" s="952" t="inlineStr">
        <is>
          <t>Main city website.</t>
        </is>
      </c>
      <c r="E160" s="952" t="inlineStr">
        <is>
          <t>Navigate city services and departments.</t>
        </is>
      </c>
      <c r="F160" s="952" t="inlineStr">
        <is>
          <t>Yes</t>
        </is>
      </c>
      <c r="G160" s="1188" t="inlineStr">
        <is>
          <t>https://www.westminsterco.gov/</t>
        </is>
      </c>
      <c r="H160" s="952" t="inlineStr">
        <is>
          <t>Use for parcels inside this jurisdiction; confirm the parcel's actual county before relying on county recorder or assessor records.</t>
        </is>
      </c>
      <c r="I160" s="1129" t="n">
        <v>46213</v>
      </c>
      <c r="J160" s="951" t="inlineStr">
        <is>
          <t>Reference</t>
        </is>
      </c>
    </row>
    <row r="161" ht="42" customHeight="1">
      <c r="A161" s="952" t="inlineStr">
        <is>
          <t>Westminster</t>
        </is>
      </c>
      <c r="B161" s="952" t="inlineStr">
        <is>
          <t>GIS / Property</t>
        </is>
      </c>
      <c r="C161" s="952" t="inlineStr">
        <is>
          <t>Maps</t>
        </is>
      </c>
      <c r="D161" s="952" t="inlineStr">
        <is>
          <t>City maps and GIS resources.</t>
        </is>
      </c>
      <c r="E161" s="952" t="inlineStr">
        <is>
          <t>Research zoning, parcels, utilities and city boundaries.</t>
        </is>
      </c>
      <c r="F161" s="952" t="inlineStr">
        <is>
          <t>Yes</t>
        </is>
      </c>
      <c r="G161" s="1188" t="inlineStr">
        <is>
          <t>https://www.westminsterco.gov/471/Maps</t>
        </is>
      </c>
      <c r="H161" s="952" t="inlineStr">
        <is>
          <t>Use for parcels inside this jurisdiction; confirm the parcel's actual county before relying on county recorder or assessor records.</t>
        </is>
      </c>
      <c r="I161" s="1129" t="n">
        <v>46213</v>
      </c>
      <c r="J161" s="951" t="inlineStr">
        <is>
          <t>Critical</t>
        </is>
      </c>
    </row>
    <row r="162" ht="42" customHeight="1">
      <c r="A162" s="952" t="inlineStr">
        <is>
          <t>Westminster</t>
        </is>
      </c>
      <c r="B162" s="952" t="inlineStr">
        <is>
          <t>Zoning</t>
        </is>
      </c>
      <c r="C162" s="952" t="inlineStr">
        <is>
          <t>Zoning</t>
        </is>
      </c>
      <c r="D162" s="952" t="inlineStr">
        <is>
          <t>Zoning map, districts and zoning resources.</t>
        </is>
      </c>
      <c r="E162" s="952" t="inlineStr">
        <is>
          <t>Confirm zoning and use standards.</t>
        </is>
      </c>
      <c r="F162" s="952" t="inlineStr">
        <is>
          <t>Yes</t>
        </is>
      </c>
      <c r="G162" s="1188" t="inlineStr">
        <is>
          <t>https://www.westminsterco.gov/727/Zoning</t>
        </is>
      </c>
      <c r="H162" s="952" t="inlineStr">
        <is>
          <t>Use for parcels inside this jurisdiction; confirm the parcel's actual county before relying on county recorder or assessor records.</t>
        </is>
      </c>
      <c r="I162" s="1129" t="n">
        <v>46213</v>
      </c>
      <c r="J162" s="951" t="inlineStr">
        <is>
          <t>Critical</t>
        </is>
      </c>
    </row>
    <row r="163" ht="42" customHeight="1">
      <c r="A163" s="952" t="inlineStr">
        <is>
          <t>Westminster</t>
        </is>
      </c>
      <c r="B163" s="952" t="inlineStr">
        <is>
          <t>Planning</t>
        </is>
      </c>
      <c r="C163" s="952" t="inlineStr">
        <is>
          <t>Planning</t>
        </is>
      </c>
      <c r="D163" s="952" t="inlineStr">
        <is>
          <t>Planning services, plans and development review.</t>
        </is>
      </c>
      <c r="E163" s="952" t="inlineStr">
        <is>
          <t>Start land-use and entitlement research.</t>
        </is>
      </c>
      <c r="F163" s="952" t="inlineStr">
        <is>
          <t>Yes</t>
        </is>
      </c>
      <c r="G163" s="1188" t="inlineStr">
        <is>
          <t>https://www.westminsterco.gov/707/Planning</t>
        </is>
      </c>
      <c r="H163" s="952" t="inlineStr">
        <is>
          <t>Use for parcels inside this jurisdiction; confirm the parcel's actual county before relying on county recorder or assessor records.</t>
        </is>
      </c>
      <c r="I163" s="1129" t="n">
        <v>46213</v>
      </c>
      <c r="J163" s="951" t="inlineStr">
        <is>
          <t>Critical</t>
        </is>
      </c>
    </row>
    <row r="164" ht="42" customHeight="1">
      <c r="A164" s="952" t="inlineStr">
        <is>
          <t>Westminster</t>
        </is>
      </c>
      <c r="B164" s="952" t="inlineStr">
        <is>
          <t>Development</t>
        </is>
      </c>
      <c r="C164" s="952" t="inlineStr">
        <is>
          <t>Develop in Westminster</t>
        </is>
      </c>
      <c r="D164" s="952" t="inlineStr">
        <is>
          <t>Development process, applications and standards.</t>
        </is>
      </c>
      <c r="E164" s="952" t="inlineStr">
        <is>
          <t>Understand approvals and development requirements.</t>
        </is>
      </c>
      <c r="F164" s="952" t="inlineStr">
        <is>
          <t>Yes</t>
        </is>
      </c>
      <c r="G164" s="1188" t="inlineStr">
        <is>
          <t>https://www.westminsterco.gov/703/Develop-in-Westminster</t>
        </is>
      </c>
      <c r="H164" s="952" t="inlineStr">
        <is>
          <t>Use for parcels inside this jurisdiction; confirm the parcel's actual county before relying on county recorder or assessor records.</t>
        </is>
      </c>
      <c r="I164" s="1129" t="n">
        <v>46213</v>
      </c>
      <c r="J164" s="951" t="inlineStr">
        <is>
          <t>High</t>
        </is>
      </c>
    </row>
    <row r="165" ht="42" customHeight="1">
      <c r="A165" s="952" t="inlineStr">
        <is>
          <t>Westminster</t>
        </is>
      </c>
      <c r="B165" s="952" t="inlineStr">
        <is>
          <t>Development</t>
        </is>
      </c>
      <c r="C165" s="952" t="inlineStr">
        <is>
          <t>Current Development Project Map</t>
        </is>
      </c>
      <c r="D165" s="952" t="inlineStr">
        <is>
          <t>Interactive map of current development projects.</t>
        </is>
      </c>
      <c r="E165" s="952" t="inlineStr">
        <is>
          <t>Identify active projects near a property.</t>
        </is>
      </c>
      <c r="F165" s="952" t="inlineStr">
        <is>
          <t>Yes</t>
        </is>
      </c>
      <c r="G165" s="1188" t="inlineStr">
        <is>
          <t>https://www.westminsterco.gov/855/Current-Development-Project-Map</t>
        </is>
      </c>
      <c r="H165" s="952" t="inlineStr">
        <is>
          <t>Use for parcels inside this jurisdiction; confirm the parcel's actual county before relying on county recorder or assessor records.</t>
        </is>
      </c>
      <c r="I165" s="1129" t="n">
        <v>46213</v>
      </c>
      <c r="J165" s="951" t="inlineStr">
        <is>
          <t>Critical</t>
        </is>
      </c>
    </row>
    <row r="166" ht="42" customHeight="1">
      <c r="A166" s="952" t="inlineStr">
        <is>
          <t>Westminster</t>
        </is>
      </c>
      <c r="B166" s="952" t="inlineStr">
        <is>
          <t>Development</t>
        </is>
      </c>
      <c r="C166" s="952" t="inlineStr">
        <is>
          <t>Redevelopment</t>
        </is>
      </c>
      <c r="D166" s="952" t="inlineStr">
        <is>
          <t>Redevelopment plans and initiatives.</t>
        </is>
      </c>
      <c r="E166" s="952" t="inlineStr">
        <is>
          <t>Research targeted redevelopment areas and programs.</t>
        </is>
      </c>
      <c r="F166" s="952" t="inlineStr">
        <is>
          <t>Yes</t>
        </is>
      </c>
      <c r="G166" s="1188" t="inlineStr">
        <is>
          <t>https://www.westminsterco.gov/1060/Redevelopment</t>
        </is>
      </c>
      <c r="H166" s="952" t="inlineStr">
        <is>
          <t>Use for parcels inside this jurisdiction; confirm the parcel's actual county before relying on county recorder or assessor records.</t>
        </is>
      </c>
      <c r="I166" s="1129" t="n">
        <v>46213</v>
      </c>
      <c r="J166" s="951" t="inlineStr">
        <is>
          <t>High</t>
        </is>
      </c>
    </row>
    <row r="167" ht="42" customHeight="1">
      <c r="A167" s="952" t="inlineStr">
        <is>
          <t>Westminster</t>
        </is>
      </c>
      <c r="B167" s="952" t="inlineStr">
        <is>
          <t>Permits</t>
        </is>
      </c>
      <c r="C167" s="952" t="inlineStr">
        <is>
          <t>Permits &amp; Licenses</t>
        </is>
      </c>
      <c r="D167" s="952" t="inlineStr">
        <is>
          <t>Permit and licensing resources.</t>
        </is>
      </c>
      <c r="E167" s="952" t="inlineStr">
        <is>
          <t>Find applicable city permits and licenses.</t>
        </is>
      </c>
      <c r="F167" s="952" t="inlineStr">
        <is>
          <t>Yes</t>
        </is>
      </c>
      <c r="G167" s="1188" t="inlineStr">
        <is>
          <t>https://www.westminsterco.gov/833/Permits-Licenses</t>
        </is>
      </c>
      <c r="H167" s="952" t="inlineStr">
        <is>
          <t>Use for parcels inside this jurisdiction; confirm the parcel's actual county before relying on county recorder or assessor records.</t>
        </is>
      </c>
      <c r="I167" s="1129" t="n">
        <v>46213</v>
      </c>
      <c r="J167" s="951" t="inlineStr">
        <is>
          <t>High</t>
        </is>
      </c>
    </row>
    <row r="168" ht="42" customHeight="1">
      <c r="A168" s="952" t="inlineStr">
        <is>
          <t>Westminster</t>
        </is>
      </c>
      <c r="B168" s="952" t="inlineStr">
        <is>
          <t>Permits</t>
        </is>
      </c>
      <c r="C168" s="952" t="inlineStr">
        <is>
          <t>Apply for a Permit / Project</t>
        </is>
      </c>
      <c r="D168" s="952" t="inlineStr">
        <is>
          <t>Online permit and project application guidance.</t>
        </is>
      </c>
      <c r="E168" s="952" t="inlineStr">
        <is>
          <t>Apply for or research permits and projects.</t>
        </is>
      </c>
      <c r="F168" s="952" t="inlineStr">
        <is>
          <t>Yes</t>
        </is>
      </c>
      <c r="G168" s="1188" t="inlineStr">
        <is>
          <t>https://www.westminsterco.gov/617/Apply-for-a-Permit-Project</t>
        </is>
      </c>
      <c r="H168" s="952" t="inlineStr">
        <is>
          <t>Use for parcels inside this jurisdiction; confirm the parcel's actual county before relying on county recorder or assessor records.</t>
        </is>
      </c>
      <c r="I168" s="1129" t="n">
        <v>46213</v>
      </c>
      <c r="J168" s="951" t="inlineStr">
        <is>
          <t>Critical</t>
        </is>
      </c>
    </row>
    <row r="169" ht="42" customHeight="1">
      <c r="A169" s="952" t="inlineStr">
        <is>
          <t>Westminster</t>
        </is>
      </c>
      <c r="B169" s="952" t="inlineStr">
        <is>
          <t>Long-Range Planning</t>
        </is>
      </c>
      <c r="C169" s="952" t="inlineStr">
        <is>
          <t>Comprehensive Plan (November 2025)</t>
        </is>
      </c>
      <c r="D169" s="952" t="inlineStr">
        <is>
          <t>Current city comprehensive plan PDF.</t>
        </is>
      </c>
      <c r="E169" s="952" t="inlineStr">
        <is>
          <t>Evaluate future land use, policy and growth direction.</t>
        </is>
      </c>
      <c r="F169" s="952" t="inlineStr">
        <is>
          <t>Yes</t>
        </is>
      </c>
      <c r="G169" s="1188" t="inlineStr">
        <is>
          <t>https://www.westminsterco.gov/DocumentCenter/View/5605/Comprehensive-Plan_November2025-LR</t>
        </is>
      </c>
      <c r="H169" s="952" t="inlineStr">
        <is>
          <t>Use for parcels inside this jurisdiction; confirm the parcel's actual county before relying on county recorder or assessor records.</t>
        </is>
      </c>
      <c r="I169" s="1129" t="n">
        <v>46213</v>
      </c>
      <c r="J169" s="951" t="inlineStr">
        <is>
          <t>High</t>
        </is>
      </c>
    </row>
    <row r="170" ht="42" customHeight="1">
      <c r="A170" s="952" t="inlineStr">
        <is>
          <t>Westminster</t>
        </is>
      </c>
      <c r="B170" s="952" t="inlineStr">
        <is>
          <t>Standards</t>
        </is>
      </c>
      <c r="C170" s="952" t="inlineStr">
        <is>
          <t>City Standards &amp; Specifications</t>
        </is>
      </c>
      <c r="D170" s="952" t="inlineStr">
        <is>
          <t>Engineering and development standards.</t>
        </is>
      </c>
      <c r="E170" s="952" t="inlineStr">
        <is>
          <t>Review technical requirements for construction and infrastructure.</t>
        </is>
      </c>
      <c r="F170" s="952" t="inlineStr">
        <is>
          <t>Yes</t>
        </is>
      </c>
      <c r="G170" s="1188" t="inlineStr">
        <is>
          <t>https://www.westminsterco.gov/747/City-Standards-Specifications</t>
        </is>
      </c>
      <c r="H170" s="952" t="inlineStr">
        <is>
          <t>Use for parcels inside this jurisdiction; confirm the parcel's actual county before relying on county recorder or assessor records.</t>
        </is>
      </c>
      <c r="I170" s="1129" t="n">
        <v>46213</v>
      </c>
      <c r="J170" s="951" t="inlineStr">
        <is>
          <t>High</t>
        </is>
      </c>
    </row>
    <row r="171" ht="42" customHeight="1">
      <c r="A171" s="952" t="inlineStr">
        <is>
          <t>Westminster</t>
        </is>
      </c>
      <c r="B171" s="952" t="inlineStr">
        <is>
          <t>Code Enforcement</t>
        </is>
      </c>
      <c r="C171" s="952" t="inlineStr">
        <is>
          <t>Code Enforcement</t>
        </is>
      </c>
      <c r="D171" s="952" t="inlineStr">
        <is>
          <t>Property and municipal code compliance information.</t>
        </is>
      </c>
      <c r="E171" s="952" t="inlineStr">
        <is>
          <t>Research complaint and compliance processes.</t>
        </is>
      </c>
      <c r="F171" s="952" t="inlineStr">
        <is>
          <t>Yes</t>
        </is>
      </c>
      <c r="G171" s="1188" t="inlineStr">
        <is>
          <t>https://www.westminsterco.gov/639/Code-Enforcement</t>
        </is>
      </c>
      <c r="H171" s="952" t="inlineStr">
        <is>
          <t>Use for parcels inside this jurisdiction; confirm the parcel's actual county before relying on county recorder or assessor records.</t>
        </is>
      </c>
      <c r="I171" s="1129" t="n">
        <v>46213</v>
      </c>
      <c r="J171" s="951" t="inlineStr">
        <is>
          <t>Useful</t>
        </is>
      </c>
    </row>
    <row r="172" ht="42" customHeight="1">
      <c r="A172" s="952" t="inlineStr">
        <is>
          <t>Westminster</t>
        </is>
      </c>
      <c r="B172" s="952" t="inlineStr">
        <is>
          <t>Meetings</t>
        </is>
      </c>
      <c r="C172" s="952" t="inlineStr">
        <is>
          <t>Planning Commission</t>
        </is>
      </c>
      <c r="D172" s="952" t="inlineStr">
        <is>
          <t>Planning Commission information and meetings.</t>
        </is>
      </c>
      <c r="E172" s="952" t="inlineStr">
        <is>
          <t>Monitor land-use hearings and recommendations.</t>
        </is>
      </c>
      <c r="F172" s="952" t="inlineStr">
        <is>
          <t>Yes</t>
        </is>
      </c>
      <c r="G172" s="1188" t="inlineStr">
        <is>
          <t>https://www.westminsterco.gov/614/Planning-Commission</t>
        </is>
      </c>
      <c r="H172" s="952" t="inlineStr">
        <is>
          <t>Use for parcels inside this jurisdiction; confirm the parcel's actual county before relying on county recorder or assessor records.</t>
        </is>
      </c>
      <c r="I172" s="1129" t="n">
        <v>46213</v>
      </c>
      <c r="J172" s="951" t="inlineStr">
        <is>
          <t>High</t>
        </is>
      </c>
    </row>
    <row r="173" ht="42" customHeight="1">
      <c r="A173" s="952" t="inlineStr">
        <is>
          <t>Westminster</t>
        </is>
      </c>
      <c r="B173" s="952" t="inlineStr">
        <is>
          <t>Meetings</t>
        </is>
      </c>
      <c r="C173" s="952" t="inlineStr">
        <is>
          <t>Agenda Center</t>
        </is>
      </c>
      <c r="D173" s="952" t="inlineStr">
        <is>
          <t>Agendas and minutes for boards and council.</t>
        </is>
      </c>
      <c r="E173" s="952" t="inlineStr">
        <is>
          <t>Track official decisions and meeting records.</t>
        </is>
      </c>
      <c r="F173" s="952" t="inlineStr">
        <is>
          <t>Yes</t>
        </is>
      </c>
      <c r="G173" s="1188" t="inlineStr">
        <is>
          <t>https://www.westminsterco.gov/AgendaCenter</t>
        </is>
      </c>
      <c r="H173" s="952" t="inlineStr">
        <is>
          <t>Use for parcels inside this jurisdiction; confirm the parcel's actual county before relying on county recorder or assessor records.</t>
        </is>
      </c>
      <c r="I173" s="1129" t="n">
        <v>46213</v>
      </c>
      <c r="J173" s="951" t="inlineStr">
        <is>
          <t>High</t>
        </is>
      </c>
    </row>
    <row r="174" ht="42" customHeight="1">
      <c r="A174" s="952" t="inlineStr">
        <is>
          <t>Westminster</t>
        </is>
      </c>
      <c r="B174" s="952" t="inlineStr">
        <is>
          <t>Public Notices</t>
        </is>
      </c>
      <c r="C174" s="952" t="inlineStr">
        <is>
          <t>Public Notices</t>
        </is>
      </c>
      <c r="D174" s="952" t="inlineStr">
        <is>
          <t>Official public and legal notices.</t>
        </is>
      </c>
      <c r="E174" s="952" t="inlineStr">
        <is>
          <t>Confirm hearings, ordinances and notice deadlines.</t>
        </is>
      </c>
      <c r="F174" s="952" t="inlineStr">
        <is>
          <t>Yes</t>
        </is>
      </c>
      <c r="G174" s="1188" t="inlineStr">
        <is>
          <t>https://www.westminsterco.gov/1098/Public-Notices</t>
        </is>
      </c>
      <c r="H174" s="952" t="inlineStr">
        <is>
          <t>Use for parcels inside this jurisdiction; confirm the parcel's actual county before relying on county recorder or assessor records.</t>
        </is>
      </c>
      <c r="I174" s="1129" t="n">
        <v>46213</v>
      </c>
      <c r="J174" s="951" t="inlineStr">
        <is>
          <t>High</t>
        </is>
      </c>
    </row>
    <row r="175" ht="42" customHeight="1">
      <c r="A175" s="952" t="inlineStr">
        <is>
          <t>Westminster</t>
        </is>
      </c>
      <c r="B175" s="952" t="inlineStr">
        <is>
          <t>News</t>
        </is>
      </c>
      <c r="C175" s="952" t="inlineStr">
        <is>
          <t>City News</t>
        </is>
      </c>
      <c r="D175" s="952" t="inlineStr">
        <is>
          <t>Official city news releases and updates.</t>
        </is>
      </c>
      <c r="E175" s="952" t="inlineStr">
        <is>
          <t>Monitor development, policy and public projects.</t>
        </is>
      </c>
      <c r="F175" s="952" t="inlineStr">
        <is>
          <t>Yes</t>
        </is>
      </c>
      <c r="G175" s="1188" t="inlineStr">
        <is>
          <t>https://www.westminsterco.gov/m/NewsFlash</t>
        </is>
      </c>
      <c r="H175" s="952" t="inlineStr">
        <is>
          <t>Use for parcels inside this jurisdiction; confirm the parcel's actual county before relying on county recorder or assessor records.</t>
        </is>
      </c>
      <c r="I175" s="1129" t="n">
        <v>46213</v>
      </c>
      <c r="J175" s="951" t="inlineStr">
        <is>
          <t>Useful</t>
        </is>
      </c>
    </row>
    <row r="176" ht="42" customHeight="1">
      <c r="A176" s="952" t="inlineStr">
        <is>
          <t>Westminster</t>
        </is>
      </c>
      <c r="B176" s="952" t="inlineStr">
        <is>
          <t>Public Records</t>
        </is>
      </c>
      <c r="C176" s="952" t="inlineStr">
        <is>
          <t>Public Records Request</t>
        </is>
      </c>
      <c r="D176" s="952" t="inlineStr">
        <is>
          <t>City public-records request information.</t>
        </is>
      </c>
      <c r="E176" s="952" t="inlineStr">
        <is>
          <t>Request planning, permit and other official records.</t>
        </is>
      </c>
      <c r="F176" s="952" t="inlineStr">
        <is>
          <t>Yes</t>
        </is>
      </c>
      <c r="G176" s="1188" t="inlineStr">
        <is>
          <t>https://www.westminsterco.gov/565/Public-Records-Request</t>
        </is>
      </c>
      <c r="H176" s="952" t="inlineStr">
        <is>
          <t>Use for parcels inside this jurisdiction; confirm the parcel's actual county before relying on county recorder or assessor records.</t>
        </is>
      </c>
      <c r="I176" s="1129" t="n">
        <v>46213</v>
      </c>
      <c r="J176" s="951" t="inlineStr">
        <is>
          <t>High</t>
        </is>
      </c>
    </row>
  </sheetData>
  <mergeCells count="2">
    <mergeCell ref="A1:J1"/>
    <mergeCell ref="A2:J2"/>
  </mergeCells>
  <dataValidations count="1">
    <dataValidation sqref="J5:J176"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I49"/>
  <sheetViews>
    <sheetView workbookViewId="0">
      <selection activeCell="A1" sqref="A1"/>
    </sheetView>
  </sheetViews>
  <sheetFormatPr baseColWidth="8" defaultRowHeight="15"/>
  <cols>
    <col width="52" customWidth="1" min="1" max="1"/>
    <col width="24" customWidth="1" min="2" max="2"/>
    <col width="31" customWidth="1" min="3" max="3"/>
    <col width="52" customWidth="1" min="4" max="4"/>
    <col width="13" customWidth="1" min="5" max="5"/>
    <col width="52" customWidth="1" min="6" max="6"/>
    <col width="21" customWidth="1" min="7" max="7"/>
    <col width="52" customWidth="1" min="8" max="8"/>
    <col width="10" customWidth="1" min="9" max="9"/>
  </cols>
  <sheetData>
    <row r="1" ht="32" customHeight="1">
      <c r="A1" s="1190" t="inlineStr">
        <is>
          <t>Public Meetings, Land-Use Cases, Legal Notices, Alerts &amp; Local News</t>
        </is>
      </c>
    </row>
    <row r="2" ht="28" customHeight="1">
      <c r="A2" s="1191" t="inlineStr">
        <is>
          <t>Monitor these sources for pending changes. Independent media adds context but does not replace official agendas, notices or records.</t>
        </is>
      </c>
    </row>
    <row r="4" ht="30" customHeight="1">
      <c r="A4" s="1187" t="inlineStr">
        <is>
          <t>Area</t>
        </is>
      </c>
      <c r="B4" s="959" t="inlineStr">
        <is>
          <t>Type</t>
        </is>
      </c>
      <c r="C4" s="959" t="inlineStr">
        <is>
          <t>Resource</t>
        </is>
      </c>
      <c r="D4" s="1187" t="inlineStr">
        <is>
          <t>Why It Matters</t>
        </is>
      </c>
      <c r="E4" s="959" t="inlineStr">
        <is>
          <t>Official / Independent</t>
        </is>
      </c>
      <c r="F4" s="1187" t="inlineStr">
        <is>
          <t>URL</t>
        </is>
      </c>
      <c r="G4" s="959" t="inlineStr">
        <is>
          <t>Verified</t>
        </is>
      </c>
      <c r="H4" s="1187" t="inlineStr">
        <is>
          <t>Monitoring Tip</t>
        </is>
      </c>
      <c r="I4" s="959" t="inlineStr">
        <is>
          <t>Priority</t>
        </is>
      </c>
    </row>
    <row r="5" ht="42" customHeight="1">
      <c r="A5" s="952" t="inlineStr">
        <is>
          <t>Adams County</t>
        </is>
      </c>
      <c r="B5" s="952" t="inlineStr">
        <is>
          <t>Public meetings</t>
        </is>
      </c>
      <c r="C5" s="952" t="inlineStr">
        <is>
          <t>County Public Meetings</t>
        </is>
      </c>
      <c r="D5" s="952" t="inlineStr">
        <is>
          <t>Central page for county boards, commissions and hearings.</t>
        </is>
      </c>
      <c r="E5" s="952" t="inlineStr">
        <is>
          <t>Official</t>
        </is>
      </c>
      <c r="F5" s="1188" t="inlineStr">
        <is>
          <t>https://adamscountyco.gov/about-adams-county/public-meetings/</t>
        </is>
      </c>
      <c r="G5" s="1129" t="n">
        <v>46213</v>
      </c>
      <c r="H5" s="952" t="inlineStr">
        <is>
          <t>Review weekly and before any due-diligence deadline.</t>
        </is>
      </c>
      <c r="I5" s="951" t="inlineStr">
        <is>
          <t>Critical</t>
        </is>
      </c>
    </row>
    <row r="6" ht="42" customHeight="1">
      <c r="A6" s="952" t="inlineStr">
        <is>
          <t>Adams County</t>
        </is>
      </c>
      <c r="B6" s="952" t="inlineStr">
        <is>
          <t>Land-use cases</t>
        </is>
      </c>
      <c r="C6" s="952" t="inlineStr">
        <is>
          <t>Current Land Use Cases</t>
        </is>
      </c>
      <c r="D6" s="952" t="inlineStr">
        <is>
          <t>Shows scheduled land-use cases requiring hearings and recent decisions.</t>
        </is>
      </c>
      <c r="E6" s="952" t="inlineStr">
        <is>
          <t>Official</t>
        </is>
      </c>
      <c r="F6" s="1188" t="inlineStr">
        <is>
          <t>https://adamscountyco.gov/our-county/community-economic-development/planning-development/current-land-use-cases/</t>
        </is>
      </c>
      <c r="G6" s="1129" t="n">
        <v>46213</v>
      </c>
      <c r="H6" s="952" t="inlineStr">
        <is>
          <t>Check by location, case number and hearing body.</t>
        </is>
      </c>
      <c r="I6" s="951" t="inlineStr">
        <is>
          <t>Critical</t>
        </is>
      </c>
    </row>
    <row r="7" ht="42" customHeight="1">
      <c r="A7" s="952" t="inlineStr">
        <is>
          <t>Adams County</t>
        </is>
      </c>
      <c r="B7" s="952" t="inlineStr">
        <is>
          <t>Agendas</t>
        </is>
      </c>
      <c r="C7" s="952" t="inlineStr">
        <is>
          <t>Current Meeting Agendas &amp; Archives</t>
        </is>
      </c>
      <c r="D7" s="952" t="inlineStr">
        <is>
          <t>BOCC agendas, minutes, audio and public comments.</t>
        </is>
      </c>
      <c r="E7" s="952" t="inlineStr">
        <is>
          <t>Official</t>
        </is>
      </c>
      <c r="F7" s="1188" t="inlineStr">
        <is>
          <t>https://adamscountyco.gov/our-county/elected-officials/board-of-county-commissioners/current-meeting-agendas-archives/</t>
        </is>
      </c>
      <c r="G7" s="1129" t="n">
        <v>46213</v>
      </c>
      <c r="H7" s="952" t="inlineStr">
        <is>
          <t>Search agendas for address, applicant or project name.</t>
        </is>
      </c>
      <c r="I7" s="951" t="inlineStr">
        <is>
          <t>Critical</t>
        </is>
      </c>
    </row>
    <row r="8" ht="42" customHeight="1">
      <c r="A8" s="952" t="inlineStr">
        <is>
          <t>Adams County</t>
        </is>
      </c>
      <c r="B8" s="952" t="inlineStr">
        <is>
          <t>Archives</t>
        </is>
      </c>
      <c r="C8" s="952" t="inlineStr">
        <is>
          <t>Archived Hearing Agendas &amp; Audio</t>
        </is>
      </c>
      <c r="D8" s="952" t="inlineStr">
        <is>
          <t>Archived BOCC, Board of Adjustment and Planning Commission records.</t>
        </is>
      </c>
      <c r="E8" s="952" t="inlineStr">
        <is>
          <t>Official</t>
        </is>
      </c>
      <c r="F8" s="1188" t="inlineStr">
        <is>
          <t>https://adamscountyco.gov/about-adams-county/public-meetings/archived-hearing-agendas-audio/</t>
        </is>
      </c>
      <c r="G8" s="1129" t="n">
        <v>46213</v>
      </c>
      <c r="H8" s="952" t="inlineStr">
        <is>
          <t>Use for entitlement history and past decisions.</t>
        </is>
      </c>
      <c r="I8" s="951" t="inlineStr">
        <is>
          <t>High</t>
        </is>
      </c>
    </row>
    <row r="9" ht="42" customHeight="1">
      <c r="A9" s="952" t="inlineStr">
        <is>
          <t>Adams County</t>
        </is>
      </c>
      <c r="B9" s="952" t="inlineStr">
        <is>
          <t>Official news</t>
        </is>
      </c>
      <c r="C9" s="952" t="inlineStr">
        <is>
          <t>Adams County News</t>
        </is>
      </c>
      <c r="D9" s="952" t="inlineStr">
        <is>
          <t>County announcements, policy changes and project updates.</t>
        </is>
      </c>
      <c r="E9" s="952" t="inlineStr">
        <is>
          <t>Official</t>
        </is>
      </c>
      <c r="F9" s="1188" t="inlineStr">
        <is>
          <t>https://adamscountyco.gov/about-adams-county/news/</t>
        </is>
      </c>
      <c r="G9" s="1129" t="n">
        <v>46213</v>
      </c>
      <c r="H9" s="952" t="inlineStr">
        <is>
          <t>Subscribe or review regularly.</t>
        </is>
      </c>
      <c r="I9" s="951" t="inlineStr">
        <is>
          <t>High</t>
        </is>
      </c>
    </row>
    <row r="10" ht="42" customHeight="1">
      <c r="A10" s="952" t="inlineStr">
        <is>
          <t>Adams County</t>
        </is>
      </c>
      <c r="B10" s="952" t="inlineStr">
        <is>
          <t>Planning updates</t>
        </is>
      </c>
      <c r="C10" s="952" t="inlineStr">
        <is>
          <t>Planning &amp; Development News</t>
        </is>
      </c>
      <c r="D10" s="952" t="inlineStr">
        <is>
          <t>Planning initiatives, code amendments and development updates.</t>
        </is>
      </c>
      <c r="E10" s="952" t="inlineStr">
        <is>
          <t>Official</t>
        </is>
      </c>
      <c r="F10" s="1188" t="inlineStr">
        <is>
          <t>https://adamscountyco.gov/our-county/community-economic-development/planning-development/news-updates/</t>
        </is>
      </c>
      <c r="G10" s="1129" t="n">
        <v>46213</v>
      </c>
      <c r="H10" s="952" t="inlineStr">
        <is>
          <t>Review for code-update and plan-update notices.</t>
        </is>
      </c>
      <c r="I10" s="951" t="inlineStr">
        <is>
          <t>High</t>
        </is>
      </c>
    </row>
    <row r="11" ht="42" customHeight="1">
      <c r="A11" s="952" t="inlineStr">
        <is>
          <t>Adams County</t>
        </is>
      </c>
      <c r="B11" s="952" t="inlineStr">
        <is>
          <t>Public documents</t>
        </is>
      </c>
      <c r="C11" s="952" t="inlineStr">
        <is>
          <t>Public Document Postings</t>
        </is>
      </c>
      <c r="D11" s="952" t="inlineStr">
        <is>
          <t>Recorded/public postings and notices.</t>
        </is>
      </c>
      <c r="E11" s="952" t="inlineStr">
        <is>
          <t>Official</t>
        </is>
      </c>
      <c r="F11" s="1188" t="inlineStr">
        <is>
          <t>https://adamscountyco.gov/our-county/elected-officials/clerk-recorder/recording/public-document-postings/</t>
        </is>
      </c>
      <c r="G11" s="1129" t="n">
        <v>46213</v>
      </c>
      <c r="H11" s="952" t="inlineStr">
        <is>
          <t>Search relevant names and legal descriptions.</t>
        </is>
      </c>
      <c r="I11" s="951" t="inlineStr">
        <is>
          <t>Useful</t>
        </is>
      </c>
    </row>
    <row r="12" ht="42" customHeight="1">
      <c r="A12" s="952" t="inlineStr">
        <is>
          <t>Arvada</t>
        </is>
      </c>
      <c r="B12" s="952" t="inlineStr">
        <is>
          <t>Agendas</t>
        </is>
      </c>
      <c r="C12" s="952" t="inlineStr">
        <is>
          <t>Agenda Center</t>
        </is>
      </c>
      <c r="D12" s="952" t="inlineStr">
        <is>
          <t>City council, boards and commission agendas and minutes.</t>
        </is>
      </c>
      <c r="E12" s="952" t="inlineStr">
        <is>
          <t>Official</t>
        </is>
      </c>
      <c r="F12" s="1188" t="inlineStr">
        <is>
          <t>https://www.arvadaco.gov/AgendaCenter</t>
        </is>
      </c>
      <c r="G12" s="1129" t="n">
        <v>46213</v>
      </c>
      <c r="H12" s="952" t="inlineStr">
        <is>
          <t>Search project name, address and case number.</t>
        </is>
      </c>
      <c r="I12" s="951" t="inlineStr">
        <is>
          <t>High</t>
        </is>
      </c>
    </row>
    <row r="13" ht="42" customHeight="1">
      <c r="A13" s="952" t="inlineStr">
        <is>
          <t>Arvada</t>
        </is>
      </c>
      <c r="B13" s="952" t="inlineStr">
        <is>
          <t>Legal notices</t>
        </is>
      </c>
      <c r="C13" s="952" t="inlineStr">
        <is>
          <t>Meetings and Other Legal Notices</t>
        </is>
      </c>
      <c r="D13" s="952" t="inlineStr">
        <is>
          <t>Formal meeting and legal notices.</t>
        </is>
      </c>
      <c r="E13" s="952" t="inlineStr">
        <is>
          <t>Official</t>
        </is>
      </c>
      <c r="F13" s="1188" t="inlineStr">
        <is>
          <t>https://www.arvadaco.gov/245/Meetings-and-Other-Legal-Notices</t>
        </is>
      </c>
      <c r="G13" s="1129" t="n">
        <v>46213</v>
      </c>
      <c r="H13" s="952" t="inlineStr">
        <is>
          <t>Review before relying on an application status.</t>
        </is>
      </c>
      <c r="I13" s="951" t="inlineStr">
        <is>
          <t>High</t>
        </is>
      </c>
    </row>
    <row r="14" ht="42" customHeight="1">
      <c r="A14" s="952" t="inlineStr">
        <is>
          <t>Arvada</t>
        </is>
      </c>
      <c r="B14" s="952" t="inlineStr">
        <is>
          <t>Official news</t>
        </is>
      </c>
      <c r="C14" s="952" t="inlineStr">
        <is>
          <t>News Releases</t>
        </is>
      </c>
      <c r="D14" s="952" t="inlineStr">
        <is>
          <t>Official city announcements.</t>
        </is>
      </c>
      <c r="E14" s="952" t="inlineStr">
        <is>
          <t>Official</t>
        </is>
      </c>
      <c r="F14" s="1188" t="inlineStr">
        <is>
          <t>https://www.arvadaco.gov/908/News-Releases</t>
        </is>
      </c>
      <c r="G14" s="1129" t="n">
        <v>46213</v>
      </c>
      <c r="H14" s="952" t="inlineStr">
        <is>
          <t>Monitor weekly for project and policy changes.</t>
        </is>
      </c>
      <c r="I14" s="951" t="inlineStr">
        <is>
          <t>Useful</t>
        </is>
      </c>
    </row>
    <row r="15" ht="42" customHeight="1">
      <c r="A15" s="952" t="inlineStr">
        <is>
          <t>Aurora</t>
        </is>
      </c>
      <c r="B15" s="952" t="inlineStr">
        <is>
          <t>Planning meetings</t>
        </is>
      </c>
      <c r="C15" s="952" t="inlineStr">
        <is>
          <t>Planning &amp; Zoning Commission</t>
        </is>
      </c>
      <c r="D15" s="952" t="inlineStr">
        <is>
          <t>Commission records and public participation information.</t>
        </is>
      </c>
      <c r="E15" s="952" t="inlineStr">
        <is>
          <t>Official</t>
        </is>
      </c>
      <c r="F15" s="1188" t="inlineStr">
        <is>
          <t>https://www.auroragov.org/city_hall/boards___commissions/planning___zoning_commission</t>
        </is>
      </c>
      <c r="G15" s="1129" t="n">
        <v>46213</v>
      </c>
      <c r="H15" s="952" t="inlineStr">
        <is>
          <t>Check agendas for land-use cases.</t>
        </is>
      </c>
      <c r="I15" s="951" t="inlineStr">
        <is>
          <t>High</t>
        </is>
      </c>
    </row>
    <row r="16" ht="42" customHeight="1">
      <c r="A16" s="952" t="inlineStr">
        <is>
          <t>Aurora</t>
        </is>
      </c>
      <c r="B16" s="952" t="inlineStr">
        <is>
          <t>Council meetings</t>
        </is>
      </c>
      <c r="C16" s="952" t="inlineStr">
        <is>
          <t>City Council Meetings</t>
        </is>
      </c>
      <c r="D16" s="952" t="inlineStr">
        <is>
          <t>Council agendas and records.</t>
        </is>
      </c>
      <c r="E16" s="952" t="inlineStr">
        <is>
          <t>Official</t>
        </is>
      </c>
      <c r="F16" s="1188" t="inlineStr">
        <is>
          <t>https://www.auroragov.org/city_hall/mayor___city_council/council_meetings</t>
        </is>
      </c>
      <c r="G16" s="1129" t="n">
        <v>46213</v>
      </c>
      <c r="H16" s="952" t="inlineStr">
        <is>
          <t>Track final approvals and ordinances.</t>
        </is>
      </c>
      <c r="I16" s="951" t="inlineStr">
        <is>
          <t>High</t>
        </is>
      </c>
    </row>
    <row r="17" ht="42" customHeight="1">
      <c r="A17" s="952" t="inlineStr">
        <is>
          <t>Aurora</t>
        </is>
      </c>
      <c r="B17" s="952" t="inlineStr">
        <is>
          <t>Public hearings</t>
        </is>
      </c>
      <c r="C17" s="952" t="inlineStr">
        <is>
          <t>Public Hearings</t>
        </is>
      </c>
      <c r="D17" s="952" t="inlineStr">
        <is>
          <t>Official notices of public hearings.</t>
        </is>
      </c>
      <c r="E17" s="952" t="inlineStr">
        <is>
          <t>Official</t>
        </is>
      </c>
      <c r="F17" s="1188" t="inlineStr">
        <is>
          <t>https://www.auroragov.org/city_hall/public_records/legal_notices/public_hearings</t>
        </is>
      </c>
      <c r="G17" s="1129" t="n">
        <v>46213</v>
      </c>
      <c r="H17" s="952" t="inlineStr">
        <is>
          <t>Check frequently during an active application.</t>
        </is>
      </c>
      <c r="I17" s="951" t="inlineStr">
        <is>
          <t>Critical</t>
        </is>
      </c>
    </row>
    <row r="18" ht="42" customHeight="1">
      <c r="A18" s="952" t="inlineStr">
        <is>
          <t>Aurora</t>
        </is>
      </c>
      <c r="B18" s="952" t="inlineStr">
        <is>
          <t>Official news</t>
        </is>
      </c>
      <c r="C18" s="952" t="inlineStr">
        <is>
          <t>What's New</t>
        </is>
      </c>
      <c r="D18" s="952" t="inlineStr">
        <is>
          <t>Official city news feed.</t>
        </is>
      </c>
      <c r="E18" s="952" t="inlineStr">
        <is>
          <t>Official</t>
        </is>
      </c>
      <c r="F18" s="1188" t="inlineStr">
        <is>
          <t>https://www.auroragov.org/news/whats_new</t>
        </is>
      </c>
      <c r="G18" s="1129" t="n">
        <v>46213</v>
      </c>
      <c r="H18" s="952" t="inlineStr">
        <is>
          <t>Monitor citywide projects and policy changes.</t>
        </is>
      </c>
      <c r="I18" s="951" t="inlineStr">
        <is>
          <t>Useful</t>
        </is>
      </c>
    </row>
    <row r="19" ht="42" customHeight="1">
      <c r="A19" s="952" t="inlineStr">
        <is>
          <t>Bennett</t>
        </is>
      </c>
      <c r="B19" s="952" t="inlineStr">
        <is>
          <t>Meetings</t>
        </is>
      </c>
      <c r="C19" s="952" t="inlineStr">
        <is>
          <t>Recent Meetings</t>
        </is>
      </c>
      <c r="D19" s="952" t="inlineStr">
        <is>
          <t>Board and commission agendas and minutes.</t>
        </is>
      </c>
      <c r="E19" s="952" t="inlineStr">
        <is>
          <t>Official</t>
        </is>
      </c>
      <c r="F19" s="1188" t="inlineStr">
        <is>
          <t>https://www.bennettco.gov/meetings/recent</t>
        </is>
      </c>
      <c r="G19" s="1129" t="n">
        <v>46213</v>
      </c>
      <c r="H19" s="952" t="inlineStr">
        <is>
          <t>Search planning and board records.</t>
        </is>
      </c>
      <c r="I19" s="951" t="inlineStr">
        <is>
          <t>High</t>
        </is>
      </c>
    </row>
    <row r="20" ht="42" customHeight="1">
      <c r="A20" s="952" t="inlineStr">
        <is>
          <t>Bennett</t>
        </is>
      </c>
      <c r="B20" s="952" t="inlineStr">
        <is>
          <t>Planning meetings</t>
        </is>
      </c>
      <c r="C20" s="952" t="inlineStr">
        <is>
          <t>Planning &amp; Zoning Commission</t>
        </is>
      </c>
      <c r="D20" s="952" t="inlineStr">
        <is>
          <t>Planning commission information and records.</t>
        </is>
      </c>
      <c r="E20" s="952" t="inlineStr">
        <is>
          <t>Official</t>
        </is>
      </c>
      <c r="F20" s="1188" t="inlineStr">
        <is>
          <t>https://www.bennettco.gov/planning-and-zoning-commission</t>
        </is>
      </c>
      <c r="G20" s="1129" t="n">
        <v>46213</v>
      </c>
      <c r="H20" s="952" t="inlineStr">
        <is>
          <t>Review upcoming land-use hearings.</t>
        </is>
      </c>
      <c r="I20" s="951" t="inlineStr">
        <is>
          <t>High</t>
        </is>
      </c>
    </row>
    <row r="21" ht="42" customHeight="1">
      <c r="A21" s="952" t="inlineStr">
        <is>
          <t>Bennett</t>
        </is>
      </c>
      <c r="B21" s="952" t="inlineStr">
        <is>
          <t>Official news</t>
        </is>
      </c>
      <c r="C21" s="952" t="inlineStr">
        <is>
          <t>Town News</t>
        </is>
      </c>
      <c r="D21" s="952" t="inlineStr">
        <is>
          <t>Town announcements and current notices.</t>
        </is>
      </c>
      <c r="E21" s="952" t="inlineStr">
        <is>
          <t>Official</t>
        </is>
      </c>
      <c r="F21" s="1188" t="inlineStr">
        <is>
          <t>https://www.bennettco.gov/news</t>
        </is>
      </c>
      <c r="G21" s="1129" t="n">
        <v>46213</v>
      </c>
      <c r="H21" s="952" t="inlineStr">
        <is>
          <t>Review regularly for code and permit changes.</t>
        </is>
      </c>
      <c r="I21" s="951" t="inlineStr">
        <is>
          <t>High</t>
        </is>
      </c>
    </row>
    <row r="22" ht="42" customHeight="1">
      <c r="A22" s="952" t="inlineStr">
        <is>
          <t>Brighton</t>
        </is>
      </c>
      <c r="B22" s="952" t="inlineStr">
        <is>
          <t>Agendas</t>
        </is>
      </c>
      <c r="C22" s="952" t="inlineStr">
        <is>
          <t>Agenda Center</t>
        </is>
      </c>
      <c r="D22" s="952" t="inlineStr">
        <is>
          <t>Council and board agendas and minutes.</t>
        </is>
      </c>
      <c r="E22" s="952" t="inlineStr">
        <is>
          <t>Official</t>
        </is>
      </c>
      <c r="F22" s="1188" t="inlineStr">
        <is>
          <t>https://www.brightonco.gov/agendacenter</t>
        </is>
      </c>
      <c r="G22" s="1129" t="n">
        <v>46213</v>
      </c>
      <c r="H22" s="952" t="inlineStr">
        <is>
          <t>Search address, project or applicant.</t>
        </is>
      </c>
      <c r="I22" s="951" t="inlineStr">
        <is>
          <t>High</t>
        </is>
      </c>
    </row>
    <row r="23" ht="42" customHeight="1">
      <c r="A23" s="952" t="inlineStr">
        <is>
          <t>Brighton</t>
        </is>
      </c>
      <c r="B23" s="952" t="inlineStr">
        <is>
          <t>Legal notices</t>
        </is>
      </c>
      <c r="C23" s="952" t="inlineStr">
        <is>
          <t>Legal Notices</t>
        </is>
      </c>
      <c r="D23" s="952" t="inlineStr">
        <is>
          <t>Official legal and hearing notices.</t>
        </is>
      </c>
      <c r="E23" s="952" t="inlineStr">
        <is>
          <t>Official</t>
        </is>
      </c>
      <c r="F23" s="1188" t="inlineStr">
        <is>
          <t>https://www.brightonco.gov/453/Legal-Notices</t>
        </is>
      </c>
      <c r="G23" s="1129" t="n">
        <v>46213</v>
      </c>
      <c r="H23" s="952" t="inlineStr">
        <is>
          <t>Confirm hearing dates and comment periods.</t>
        </is>
      </c>
      <c r="I23" s="951" t="inlineStr">
        <is>
          <t>Critical</t>
        </is>
      </c>
    </row>
    <row r="24" ht="42" customHeight="1">
      <c r="A24" s="952" t="inlineStr">
        <is>
          <t>Brighton</t>
        </is>
      </c>
      <c r="B24" s="952" t="inlineStr">
        <is>
          <t>Official news</t>
        </is>
      </c>
      <c r="C24" s="952" t="inlineStr">
        <is>
          <t>City News</t>
        </is>
      </c>
      <c r="D24" s="952" t="inlineStr">
        <is>
          <t>Official city announcements.</t>
        </is>
      </c>
      <c r="E24" s="952" t="inlineStr">
        <is>
          <t>Official</t>
        </is>
      </c>
      <c r="F24" s="1188" t="inlineStr">
        <is>
          <t>https://www.brightonco.gov/175/News</t>
        </is>
      </c>
      <c r="G24" s="1129" t="n">
        <v>46213</v>
      </c>
      <c r="H24" s="952" t="inlineStr">
        <is>
          <t>Monitor development and infrastructure updates.</t>
        </is>
      </c>
      <c r="I24" s="951" t="inlineStr">
        <is>
          <t>Useful</t>
        </is>
      </c>
    </row>
    <row r="25" ht="42" customHeight="1">
      <c r="A25" s="952" t="inlineStr">
        <is>
          <t>Brighton</t>
        </is>
      </c>
      <c r="B25" s="952" t="inlineStr">
        <is>
          <t>Subscriptions</t>
        </is>
      </c>
      <c r="C25" s="952" t="inlineStr">
        <is>
          <t>Notify Me</t>
        </is>
      </c>
      <c r="D25" s="952" t="inlineStr">
        <is>
          <t>Email subscriptions for agendas, notices and news.</t>
        </is>
      </c>
      <c r="E25" s="952" t="inlineStr">
        <is>
          <t>Official</t>
        </is>
      </c>
      <c r="F25" s="1188" t="inlineStr">
        <is>
          <t>https://www.brightonco.gov/notifyme</t>
        </is>
      </c>
      <c r="G25" s="1129" t="n">
        <v>46213</v>
      </c>
      <c r="H25" s="952" t="inlineStr">
        <is>
          <t>Subscribe to planning and city council categories.</t>
        </is>
      </c>
      <c r="I25" s="951" t="inlineStr">
        <is>
          <t>Useful</t>
        </is>
      </c>
    </row>
    <row r="26" ht="42" customHeight="1">
      <c r="A26" s="952" t="inlineStr">
        <is>
          <t>Commerce City</t>
        </is>
      </c>
      <c r="B26" s="952" t="inlineStr">
        <is>
          <t>Agendas</t>
        </is>
      </c>
      <c r="C26" s="952" t="inlineStr">
        <is>
          <t>Meeting Agendas and Schedules</t>
        </is>
      </c>
      <c r="D26" s="952" t="inlineStr">
        <is>
          <t>Council and board agendas, meetings and schedules.</t>
        </is>
      </c>
      <c r="E26" s="952" t="inlineStr">
        <is>
          <t>Official</t>
        </is>
      </c>
      <c r="F26" s="1188" t="inlineStr">
        <is>
          <t>https://www.c3gov.com/Site-Footer/Footer-Widgets/Quick-Links/Meeting-Agendas-and-Schedules</t>
        </is>
      </c>
      <c r="G26" s="1129" t="n">
        <v>46213</v>
      </c>
      <c r="H26" s="952" t="inlineStr">
        <is>
          <t>Search all meeting records for project terms.</t>
        </is>
      </c>
      <c r="I26" s="951" t="inlineStr">
        <is>
          <t>High</t>
        </is>
      </c>
    </row>
    <row r="27" ht="42" customHeight="1">
      <c r="A27" s="952" t="inlineStr">
        <is>
          <t>Commerce City</t>
        </is>
      </c>
      <c r="B27" s="952" t="inlineStr">
        <is>
          <t>Legal notices</t>
        </is>
      </c>
      <c r="C27" s="952" t="inlineStr">
        <is>
          <t>Legal Notices &amp; Ordinances</t>
        </is>
      </c>
      <c r="D27" s="952" t="inlineStr">
        <is>
          <t>Formal notices and ordinance postings.</t>
        </is>
      </c>
      <c r="E27" s="952" t="inlineStr">
        <is>
          <t>Official</t>
        </is>
      </c>
      <c r="F27" s="1188" t="inlineStr">
        <is>
          <t>https://www.c3gov.com/Government/Departments-Divisions/City-Clerks-Office/Legal-Notices-Ordinances</t>
        </is>
      </c>
      <c r="G27" s="1129" t="n">
        <v>46213</v>
      </c>
      <c r="H27" s="952" t="inlineStr">
        <is>
          <t>Confirm legal notice and adoption status.</t>
        </is>
      </c>
      <c r="I27" s="951" t="inlineStr">
        <is>
          <t>Critical</t>
        </is>
      </c>
    </row>
    <row r="28" ht="42" customHeight="1">
      <c r="A28" s="952" t="inlineStr">
        <is>
          <t>Commerce City</t>
        </is>
      </c>
      <c r="B28" s="952" t="inlineStr">
        <is>
          <t>Official news</t>
        </is>
      </c>
      <c r="C28" s="952" t="inlineStr">
        <is>
          <t>News &amp; Announcements</t>
        </is>
      </c>
      <c r="D28" s="952" t="inlineStr">
        <is>
          <t>Official city news feed.</t>
        </is>
      </c>
      <c r="E28" s="952" t="inlineStr">
        <is>
          <t>Official</t>
        </is>
      </c>
      <c r="F28" s="1188" t="inlineStr">
        <is>
          <t>https://www.c3gov.com/Government/Media-News/News-Announcements</t>
        </is>
      </c>
      <c r="G28" s="1129" t="n">
        <v>46213</v>
      </c>
      <c r="H28" s="952" t="inlineStr">
        <is>
          <t>Monitor projects, code changes and public programs.</t>
        </is>
      </c>
      <c r="I28" s="951" t="inlineStr">
        <is>
          <t>Useful</t>
        </is>
      </c>
    </row>
    <row r="29" ht="42" customHeight="1">
      <c r="A29" s="952" t="inlineStr">
        <is>
          <t>Federal Heights</t>
        </is>
      </c>
      <c r="B29" s="952" t="inlineStr">
        <is>
          <t>Meetings</t>
        </is>
      </c>
      <c r="C29" s="952" t="inlineStr">
        <is>
          <t>Meetings and Study Sessions</t>
        </is>
      </c>
      <c r="D29" s="952" t="inlineStr">
        <is>
          <t>Minutes and audio recordings.</t>
        </is>
      </c>
      <c r="E29" s="952" t="inlineStr">
        <is>
          <t>Official</t>
        </is>
      </c>
      <c r="F29" s="1188" t="inlineStr">
        <is>
          <t>https://www.fedheights.org/index.asp?SEC=%7BE66D34DF-8290-4807-83DA-3AF56D110C00%7D</t>
        </is>
      </c>
      <c r="G29" s="1129" t="n">
        <v>46213</v>
      </c>
      <c r="H29" s="952" t="inlineStr">
        <is>
          <t>Review council records for property-related actions.</t>
        </is>
      </c>
      <c r="I29" s="951" t="inlineStr">
        <is>
          <t>High</t>
        </is>
      </c>
    </row>
    <row r="30" ht="42" customHeight="1">
      <c r="A30" s="952" t="inlineStr">
        <is>
          <t>Federal Heights</t>
        </is>
      </c>
      <c r="B30" s="952" t="inlineStr">
        <is>
          <t>Official news</t>
        </is>
      </c>
      <c r="C30" s="952" t="inlineStr">
        <is>
          <t>News and Events</t>
        </is>
      </c>
      <c r="D30" s="952" t="inlineStr">
        <is>
          <t>Official calendar and announcements.</t>
        </is>
      </c>
      <c r="E30" s="952" t="inlineStr">
        <is>
          <t>Official</t>
        </is>
      </c>
      <c r="F30" s="1188" t="inlineStr">
        <is>
          <t>https://www.fedheights.org/index.asp?SEC=407F7286-34E9-495F-B5F7-88E905D7C9A5</t>
        </is>
      </c>
      <c r="G30" s="1129" t="n">
        <v>46213</v>
      </c>
      <c r="H30" s="952" t="inlineStr">
        <is>
          <t>Review current calendar and notices.</t>
        </is>
      </c>
      <c r="I30" s="951" t="inlineStr">
        <is>
          <t>Useful</t>
        </is>
      </c>
    </row>
    <row r="31" ht="42" customHeight="1">
      <c r="A31" s="952" t="inlineStr">
        <is>
          <t>Federal Heights</t>
        </is>
      </c>
      <c r="B31" s="952" t="inlineStr">
        <is>
          <t>Newsletter</t>
        </is>
      </c>
      <c r="C31" s="952" t="inlineStr">
        <is>
          <t>Federal Heights Focus</t>
        </is>
      </c>
      <c r="D31" s="952" t="inlineStr">
        <is>
          <t>Quarterly city newsletter.</t>
        </is>
      </c>
      <c r="E31" s="952" t="inlineStr">
        <is>
          <t>Official</t>
        </is>
      </c>
      <c r="F31" s="1188" t="inlineStr">
        <is>
          <t>https://www.fedheights.org/index.asp?SEC=%7B2E7DCCA1-1FEF-4EA7-8AE7-6C3F92D19EF3%7D&amp;persistdesign=none</t>
        </is>
      </c>
      <c r="G31" s="1129" t="n">
        <v>46213</v>
      </c>
      <c r="H31" s="952" t="inlineStr">
        <is>
          <t>Use for longer-term city project updates.</t>
        </is>
      </c>
      <c r="I31" s="951" t="inlineStr">
        <is>
          <t>Useful</t>
        </is>
      </c>
    </row>
    <row r="32" ht="42" customHeight="1">
      <c r="A32" s="952" t="inlineStr">
        <is>
          <t>Lochbuie</t>
        </is>
      </c>
      <c r="B32" s="952" t="inlineStr">
        <is>
          <t>Meetings</t>
        </is>
      </c>
      <c r="C32" s="952" t="inlineStr">
        <is>
          <t>Upcoming Meetings</t>
        </is>
      </c>
      <c r="D32" s="952" t="inlineStr">
        <is>
          <t>Upcoming town meetings.</t>
        </is>
      </c>
      <c r="E32" s="952" t="inlineStr">
        <is>
          <t>Official</t>
        </is>
      </c>
      <c r="F32" s="1188" t="inlineStr">
        <is>
          <t>https://www.lochbuie.org/meetings</t>
        </is>
      </c>
      <c r="G32" s="1129" t="n">
        <v>46213</v>
      </c>
      <c r="H32" s="952" t="inlineStr">
        <is>
          <t>Review agendas before board action.</t>
        </is>
      </c>
      <c r="I32" s="951" t="inlineStr">
        <is>
          <t>High</t>
        </is>
      </c>
    </row>
    <row r="33" ht="42" customHeight="1">
      <c r="A33" s="952" t="inlineStr">
        <is>
          <t>Lochbuie</t>
        </is>
      </c>
      <c r="B33" s="952" t="inlineStr">
        <is>
          <t>Public notices</t>
        </is>
      </c>
      <c r="C33" s="952" t="inlineStr">
        <is>
          <t>Public Notices</t>
        </is>
      </c>
      <c r="D33" s="952" t="inlineStr">
        <is>
          <t>Formal town notices.</t>
        </is>
      </c>
      <c r="E33" s="952" t="inlineStr">
        <is>
          <t>Official</t>
        </is>
      </c>
      <c r="F33" s="1188" t="inlineStr">
        <is>
          <t>https://www.lochbuie.org/publicnotice</t>
        </is>
      </c>
      <c r="G33" s="1129" t="n">
        <v>46213</v>
      </c>
      <c r="H33" s="952" t="inlineStr">
        <is>
          <t>Confirm hearings and ordinance notices.</t>
        </is>
      </c>
      <c r="I33" s="951" t="inlineStr">
        <is>
          <t>Critical</t>
        </is>
      </c>
    </row>
    <row r="34" ht="42" customHeight="1">
      <c r="A34" s="952" t="inlineStr">
        <is>
          <t>Lochbuie</t>
        </is>
      </c>
      <c r="B34" s="952" t="inlineStr">
        <is>
          <t>Official news</t>
        </is>
      </c>
      <c r="C34" s="952" t="inlineStr">
        <is>
          <t>Town News</t>
        </is>
      </c>
      <c r="D34" s="952" t="inlineStr">
        <is>
          <t>Official town news feed.</t>
        </is>
      </c>
      <c r="E34" s="952" t="inlineStr">
        <is>
          <t>Official</t>
        </is>
      </c>
      <c r="F34" s="1188" t="inlineStr">
        <is>
          <t>https://www.lochbuie.org/news</t>
        </is>
      </c>
      <c r="G34" s="1129" t="n">
        <v>46213</v>
      </c>
      <c r="H34" s="952" t="inlineStr">
        <is>
          <t>Monitor development and infrastructure changes.</t>
        </is>
      </c>
      <c r="I34" s="951" t="inlineStr">
        <is>
          <t>Useful</t>
        </is>
      </c>
    </row>
    <row r="35" ht="42" customHeight="1">
      <c r="A35" s="952" t="inlineStr">
        <is>
          <t>Northglenn</t>
        </is>
      </c>
      <c r="B35" s="952" t="inlineStr">
        <is>
          <t>Meeting records</t>
        </is>
      </c>
      <c r="C35" s="952" t="inlineStr">
        <is>
          <t>Public Meeting Records</t>
        </is>
      </c>
      <c r="D35" s="952" t="inlineStr">
        <is>
          <t>Searchable agendas, minutes and hearing documents.</t>
        </is>
      </c>
      <c r="E35" s="952" t="inlineStr">
        <is>
          <t>Official</t>
        </is>
      </c>
      <c r="F35" s="1188" t="inlineStr">
        <is>
          <t>https://webdocs.northglenn.org/</t>
        </is>
      </c>
      <c r="G35" s="1129" t="n">
        <v>46213</v>
      </c>
      <c r="H35" s="952" t="inlineStr">
        <is>
          <t>Search address, case number, ordinance and applicant.</t>
        </is>
      </c>
      <c r="I35" s="951" t="inlineStr">
        <is>
          <t>Critical</t>
        </is>
      </c>
    </row>
    <row r="36" ht="42" customHeight="1">
      <c r="A36" s="952" t="inlineStr">
        <is>
          <t>Northglenn</t>
        </is>
      </c>
      <c r="B36" s="952" t="inlineStr">
        <is>
          <t>Official news</t>
        </is>
      </c>
      <c r="C36" s="952" t="inlineStr">
        <is>
          <t>City News Listings</t>
        </is>
      </c>
      <c r="D36" s="952" t="inlineStr">
        <is>
          <t>Official city news feed.</t>
        </is>
      </c>
      <c r="E36" s="952" t="inlineStr">
        <is>
          <t>Official</t>
        </is>
      </c>
      <c r="F36" s="1188" t="inlineStr">
        <is>
          <t>https://www.northglenn.org/newslist.php</t>
        </is>
      </c>
      <c r="G36" s="1129" t="n">
        <v>46213</v>
      </c>
      <c r="H36" s="952" t="inlineStr">
        <is>
          <t>Monitor citywide projects and policy updates.</t>
        </is>
      </c>
      <c r="I36" s="951" t="inlineStr">
        <is>
          <t>Useful</t>
        </is>
      </c>
    </row>
    <row r="37" ht="42" customHeight="1">
      <c r="A37" s="952" t="inlineStr">
        <is>
          <t>Northglenn</t>
        </is>
      </c>
      <c r="B37" s="952" t="inlineStr">
        <is>
          <t>Alerts</t>
        </is>
      </c>
      <c r="C37" s="952" t="inlineStr">
        <is>
          <t>TextMyGov</t>
        </is>
      </c>
      <c r="D37" s="952" t="inlineStr">
        <is>
          <t>Text notifications for council, utilities and city topics.</t>
        </is>
      </c>
      <c r="E37" s="952" t="inlineStr">
        <is>
          <t>Official</t>
        </is>
      </c>
      <c r="F37" s="1188" t="inlineStr">
        <is>
          <t>https://www.northglenn.org/community/communications/textmygov.php</t>
        </is>
      </c>
      <c r="G37" s="1129" t="n">
        <v>46213</v>
      </c>
      <c r="H37" s="952" t="inlineStr">
        <is>
          <t>Subscribe to City Council and Utilities alerts.</t>
        </is>
      </c>
      <c r="I37" s="951" t="inlineStr">
        <is>
          <t>Useful</t>
        </is>
      </c>
    </row>
    <row r="38" ht="42" customHeight="1">
      <c r="A38" s="952" t="inlineStr">
        <is>
          <t>Thornton</t>
        </is>
      </c>
      <c r="B38" s="952" t="inlineStr">
        <is>
          <t>Meetings</t>
        </is>
      </c>
      <c r="C38" s="952" t="inlineStr">
        <is>
          <t>Upcoming Meetings</t>
        </is>
      </c>
      <c r="D38" s="952" t="inlineStr">
        <is>
          <t>Council and public meeting calendar.</t>
        </is>
      </c>
      <c r="E38" s="952" t="inlineStr">
        <is>
          <t>Official</t>
        </is>
      </c>
      <c r="F38" s="1188" t="inlineStr">
        <is>
          <t>https://www.thorntonco.gov/government/mayor-council/upcoming-meetings</t>
        </is>
      </c>
      <c r="G38" s="1129" t="n">
        <v>46213</v>
      </c>
      <c r="H38" s="952" t="inlineStr">
        <is>
          <t>Open meeting details and linked documents.</t>
        </is>
      </c>
      <c r="I38" s="951" t="inlineStr">
        <is>
          <t>High</t>
        </is>
      </c>
    </row>
    <row r="39" ht="42" customHeight="1">
      <c r="A39" s="952" t="inlineStr">
        <is>
          <t>Thornton</t>
        </is>
      </c>
      <c r="B39" s="952" t="inlineStr">
        <is>
          <t>Public notices</t>
        </is>
      </c>
      <c r="C39" s="952" t="inlineStr">
        <is>
          <t>Public Notices</t>
        </is>
      </c>
      <c r="D39" s="952" t="inlineStr">
        <is>
          <t>Hearing notices, approved ordinances and other notices.</t>
        </is>
      </c>
      <c r="E39" s="952" t="inlineStr">
        <is>
          <t>Official</t>
        </is>
      </c>
      <c r="F39" s="1188" t="inlineStr">
        <is>
          <t>https://www.thorntonco.gov/government/public-notices</t>
        </is>
      </c>
      <c r="G39" s="1129" t="n">
        <v>46213</v>
      </c>
      <c r="H39" s="952" t="inlineStr">
        <is>
          <t>Confirm current hearing and ordinance status.</t>
        </is>
      </c>
      <c r="I39" s="951" t="inlineStr">
        <is>
          <t>Critical</t>
        </is>
      </c>
    </row>
    <row r="40" ht="42" customHeight="1">
      <c r="A40" s="952" t="inlineStr">
        <is>
          <t>Thornton</t>
        </is>
      </c>
      <c r="B40" s="952" t="inlineStr">
        <is>
          <t>Official news</t>
        </is>
      </c>
      <c r="C40" s="952" t="inlineStr">
        <is>
          <t>Thornton News</t>
        </is>
      </c>
      <c r="D40" s="952" t="inlineStr">
        <is>
          <t>Official news and City Voice feed.</t>
        </is>
      </c>
      <c r="E40" s="952" t="inlineStr">
        <is>
          <t>Official</t>
        </is>
      </c>
      <c r="F40" s="1188" t="inlineStr">
        <is>
          <t>https://www.thorntonco.gov/news</t>
        </is>
      </c>
      <c r="G40" s="1129" t="n">
        <v>46213</v>
      </c>
      <c r="H40" s="952" t="inlineStr">
        <is>
          <t>Monitor council, development and infrastructure updates.</t>
        </is>
      </c>
      <c r="I40" s="951" t="inlineStr">
        <is>
          <t>Useful</t>
        </is>
      </c>
    </row>
    <row r="41" ht="42" customHeight="1">
      <c r="A41" s="952" t="inlineStr">
        <is>
          <t>Thornton</t>
        </is>
      </c>
      <c r="B41" s="952" t="inlineStr">
        <is>
          <t>Subscriptions</t>
        </is>
      </c>
      <c r="C41" s="952" t="inlineStr">
        <is>
          <t>T-Alerts</t>
        </is>
      </c>
      <c r="D41" s="952" t="inlineStr">
        <is>
          <t>Email subscriptions including city council documents and business topics.</t>
        </is>
      </c>
      <c r="E41" s="952" t="inlineStr">
        <is>
          <t>Official</t>
        </is>
      </c>
      <c r="F41" s="1188" t="inlineStr">
        <is>
          <t>https://talerts.thorntonco.gov/</t>
        </is>
      </c>
      <c r="G41" s="1129" t="n">
        <v>46213</v>
      </c>
      <c r="H41" s="952" t="inlineStr">
        <is>
          <t>Subscribe to City Council Meeting Documents and Thornton News.</t>
        </is>
      </c>
      <c r="I41" s="951" t="inlineStr">
        <is>
          <t>Useful</t>
        </is>
      </c>
    </row>
    <row r="42" ht="42" customHeight="1">
      <c r="A42" s="952" t="inlineStr">
        <is>
          <t>Westminster</t>
        </is>
      </c>
      <c r="B42" s="952" t="inlineStr">
        <is>
          <t>Agendas</t>
        </is>
      </c>
      <c r="C42" s="952" t="inlineStr">
        <is>
          <t>Agenda Center</t>
        </is>
      </c>
      <c r="D42" s="952" t="inlineStr">
        <is>
          <t>Council and board agendas and minutes.</t>
        </is>
      </c>
      <c r="E42" s="952" t="inlineStr">
        <is>
          <t>Official</t>
        </is>
      </c>
      <c r="F42" s="1188" t="inlineStr">
        <is>
          <t>https://www.westminsterco.gov/AgendaCenter</t>
        </is>
      </c>
      <c r="G42" s="1129" t="n">
        <v>46213</v>
      </c>
      <c r="H42" s="952" t="inlineStr">
        <is>
          <t>Search project names and land-use cases.</t>
        </is>
      </c>
      <c r="I42" s="951" t="inlineStr">
        <is>
          <t>High</t>
        </is>
      </c>
    </row>
    <row r="43" ht="42" customHeight="1">
      <c r="A43" s="952" t="inlineStr">
        <is>
          <t>Westminster</t>
        </is>
      </c>
      <c r="B43" s="952" t="inlineStr">
        <is>
          <t>Public notices</t>
        </is>
      </c>
      <c r="C43" s="952" t="inlineStr">
        <is>
          <t>Public Notices</t>
        </is>
      </c>
      <c r="D43" s="952" t="inlineStr">
        <is>
          <t>Formal notices and public-hearing information.</t>
        </is>
      </c>
      <c r="E43" s="952" t="inlineStr">
        <is>
          <t>Official</t>
        </is>
      </c>
      <c r="F43" s="1188" t="inlineStr">
        <is>
          <t>https://www.westminsterco.gov/1098/Public-Notices</t>
        </is>
      </c>
      <c r="G43" s="1129" t="n">
        <v>46213</v>
      </c>
      <c r="H43" s="952" t="inlineStr">
        <is>
          <t>Review during any active entitlement or code amendment.</t>
        </is>
      </c>
      <c r="I43" s="951" t="inlineStr">
        <is>
          <t>Critical</t>
        </is>
      </c>
    </row>
    <row r="44" ht="42" customHeight="1">
      <c r="A44" s="952" t="inlineStr">
        <is>
          <t>Westminster</t>
        </is>
      </c>
      <c r="B44" s="952" t="inlineStr">
        <is>
          <t>Official news</t>
        </is>
      </c>
      <c r="C44" s="952" t="inlineStr">
        <is>
          <t>City News</t>
        </is>
      </c>
      <c r="D44" s="952" t="inlineStr">
        <is>
          <t>Official city news feed.</t>
        </is>
      </c>
      <c r="E44" s="952" t="inlineStr">
        <is>
          <t>Official</t>
        </is>
      </c>
      <c r="F44" s="1188" t="inlineStr">
        <is>
          <t>https://www.westminsterco.gov/m/NewsFlash</t>
        </is>
      </c>
      <c r="G44" s="1129" t="n">
        <v>46213</v>
      </c>
      <c r="H44" s="952" t="inlineStr">
        <is>
          <t>Monitor development, policy and infrastructure announcements.</t>
        </is>
      </c>
      <c r="I44" s="951" t="inlineStr">
        <is>
          <t>Useful</t>
        </is>
      </c>
    </row>
    <row r="45" ht="42" customHeight="1">
      <c r="A45" s="952" t="inlineStr">
        <is>
          <t>Aurora / Adams County</t>
        </is>
      </c>
      <c r="B45" s="952" t="inlineStr">
        <is>
          <t>Independent local news</t>
        </is>
      </c>
      <c r="C45" s="952" t="inlineStr">
        <is>
          <t>Sentinel Colorado</t>
        </is>
      </c>
      <c r="D45" s="952" t="inlineStr">
        <is>
          <t>Independent reporting on Aurora and the surrounding region.</t>
        </is>
      </c>
      <c r="E45" s="952" t="inlineStr">
        <is>
          <t>Independent</t>
        </is>
      </c>
      <c r="F45" s="1188" t="inlineStr">
        <is>
          <t>https://sentinelcolorado.com/</t>
        </is>
      </c>
      <c r="G45" s="1129" t="n">
        <v>46213</v>
      </c>
      <c r="H45" s="952" t="inlineStr">
        <is>
          <t>Use for context; verify hearings and legal status on official city/county pages.</t>
        </is>
      </c>
      <c r="I45" s="951" t="inlineStr">
        <is>
          <t>Useful</t>
        </is>
      </c>
    </row>
    <row r="46" ht="42" customHeight="1">
      <c r="A46" s="952" t="inlineStr">
        <is>
          <t>Bennett / Strasburg / Watkins</t>
        </is>
      </c>
      <c r="B46" s="952" t="inlineStr">
        <is>
          <t>Independent local news</t>
        </is>
      </c>
      <c r="C46" s="952" t="inlineStr">
        <is>
          <t>I-70 Scout &amp; Eastern Colorado News</t>
        </is>
      </c>
      <c r="D46" s="952" t="inlineStr">
        <is>
          <t>Local reporting along the eastern I-70 corridor.</t>
        </is>
      </c>
      <c r="E46" s="952" t="inlineStr">
        <is>
          <t>Independent</t>
        </is>
      </c>
      <c r="F46" s="1188" t="inlineStr">
        <is>
          <t>https://i-70scout.com/blog/</t>
        </is>
      </c>
      <c r="G46" s="1129" t="n">
        <v>46213</v>
      </c>
      <c r="H46" s="952" t="inlineStr">
        <is>
          <t>Use for local context and project reporting; verify with official notices.</t>
        </is>
      </c>
      <c r="I46" s="951" t="inlineStr">
        <is>
          <t>Useful</t>
        </is>
      </c>
    </row>
    <row r="47" ht="42" customHeight="1">
      <c r="A47" s="952" t="inlineStr">
        <is>
          <t>Arvada</t>
        </is>
      </c>
      <c r="B47" s="952" t="inlineStr">
        <is>
          <t>Independent local news</t>
        </is>
      </c>
      <c r="C47" s="952" t="inlineStr">
        <is>
          <t>Arvada Press</t>
        </is>
      </c>
      <c r="D47" s="952" t="inlineStr">
        <is>
          <t>Community news focused on Arvada.</t>
        </is>
      </c>
      <c r="E47" s="952" t="inlineStr">
        <is>
          <t>Independent</t>
        </is>
      </c>
      <c r="F47" s="1188" t="inlineStr">
        <is>
          <t>https://arvadapress.presspatron.com/</t>
        </is>
      </c>
      <c r="G47" s="1129" t="n">
        <v>46213</v>
      </c>
      <c r="H47" s="952" t="inlineStr">
        <is>
          <t>Use for context; verify land-use decisions in city records.</t>
        </is>
      </c>
      <c r="I47" s="951" t="inlineStr">
        <is>
          <t>Useful</t>
        </is>
      </c>
    </row>
    <row r="48" ht="42" customHeight="1">
      <c r="A48" s="952" t="inlineStr">
        <is>
          <t>Brighton / Commerce City / Northglenn / Thornton / Westminster</t>
        </is>
      </c>
      <c r="B48" s="952" t="inlineStr">
        <is>
          <t>Independent local news</t>
        </is>
      </c>
      <c r="C48" s="952" t="inlineStr">
        <is>
          <t>Colorado Community Media Local Guide</t>
        </is>
      </c>
      <c r="D48" s="952" t="inlineStr">
        <is>
          <t>Gateway to local community-news outlets and editions.</t>
        </is>
      </c>
      <c r="E48" s="952" t="inlineStr">
        <is>
          <t>Independent</t>
        </is>
      </c>
      <c r="F48" s="1188" t="inlineStr">
        <is>
          <t>https://local.coloradocommunitymedia.com/</t>
        </is>
      </c>
      <c r="G48" s="1129" t="n">
        <v>46213</v>
      </c>
      <c r="H48" s="952" t="inlineStr">
        <is>
          <t>Use for context and reporting; verify legal notices and approvals officially.</t>
        </is>
      </c>
      <c r="I48" s="951" t="inlineStr">
        <is>
          <t>Useful</t>
        </is>
      </c>
    </row>
    <row r="49" ht="42" customHeight="1">
      <c r="A49" s="952" t="inlineStr">
        <is>
          <t>Westminster</t>
        </is>
      </c>
      <c r="B49" s="952" t="inlineStr">
        <is>
          <t>Independent local news</t>
        </is>
      </c>
      <c r="C49" s="952" t="inlineStr">
        <is>
          <t>Westminster Window Colorado Trust</t>
        </is>
      </c>
      <c r="D49" s="952" t="inlineStr">
        <is>
          <t>Community and government-news newsletter focused on Westminster.</t>
        </is>
      </c>
      <c r="E49" s="952" t="inlineStr">
        <is>
          <t>Independent</t>
        </is>
      </c>
      <c r="F49" s="1188" t="inlineStr">
        <is>
          <t>https://westminster-window-colorado-trust.beehiiv.com/</t>
        </is>
      </c>
      <c r="G49" s="1129" t="n">
        <v>46213</v>
      </c>
      <c r="H49" s="952" t="inlineStr">
        <is>
          <t>Use as a secondary monitoring source.</t>
        </is>
      </c>
      <c r="I49" s="951" t="inlineStr">
        <is>
          <t>Useful</t>
        </is>
      </c>
    </row>
  </sheetData>
  <mergeCells count="2">
    <mergeCell ref="A1:I1"/>
    <mergeCell ref="A2:I2"/>
  </mergeCells>
  <dataValidations count="1">
    <dataValidation sqref="I5:I49" showDropDown="0" showInputMessage="0" showErrorMessage="0" allowBlank="0" type="list">
      <formula1>"Critical,High,Useful,Reference"</formula1>
    </dataValidation>
  </dataValidations>
  <hyperlinks>
    <hyperlink xmlns:r="http://schemas.openxmlformats.org/officeDocument/2006/relationships" ref="F5" r:id="rId1"/>
    <hyperlink xmlns:r="http://schemas.openxmlformats.org/officeDocument/2006/relationships" ref="F6" r:id="rId2"/>
    <hyperlink xmlns:r="http://schemas.openxmlformats.org/officeDocument/2006/relationships" ref="F7" r:id="rId3"/>
    <hyperlink xmlns:r="http://schemas.openxmlformats.org/officeDocument/2006/relationships" ref="F8" r:id="rId4"/>
    <hyperlink xmlns:r="http://schemas.openxmlformats.org/officeDocument/2006/relationships" ref="F9" r:id="rId5"/>
    <hyperlink xmlns:r="http://schemas.openxmlformats.org/officeDocument/2006/relationships" ref="F10" r:id="rId6"/>
    <hyperlink xmlns:r="http://schemas.openxmlformats.org/officeDocument/2006/relationships" ref="F11" r:id="rId7"/>
    <hyperlink xmlns:r="http://schemas.openxmlformats.org/officeDocument/2006/relationships" ref="F12" r:id="rId8"/>
    <hyperlink xmlns:r="http://schemas.openxmlformats.org/officeDocument/2006/relationships" ref="F13" r:id="rId9"/>
    <hyperlink xmlns:r="http://schemas.openxmlformats.org/officeDocument/2006/relationships" ref="F14" r:id="rId10"/>
    <hyperlink xmlns:r="http://schemas.openxmlformats.org/officeDocument/2006/relationships" ref="F15" r:id="rId11"/>
    <hyperlink xmlns:r="http://schemas.openxmlformats.org/officeDocument/2006/relationships" ref="F16" r:id="rId12"/>
    <hyperlink xmlns:r="http://schemas.openxmlformats.org/officeDocument/2006/relationships" ref="F17" r:id="rId13"/>
    <hyperlink xmlns:r="http://schemas.openxmlformats.org/officeDocument/2006/relationships" ref="F18" r:id="rId14"/>
    <hyperlink xmlns:r="http://schemas.openxmlformats.org/officeDocument/2006/relationships" ref="F19" r:id="rId15"/>
    <hyperlink xmlns:r="http://schemas.openxmlformats.org/officeDocument/2006/relationships" ref="F20" r:id="rId16"/>
    <hyperlink xmlns:r="http://schemas.openxmlformats.org/officeDocument/2006/relationships" ref="F21" r:id="rId17"/>
    <hyperlink xmlns:r="http://schemas.openxmlformats.org/officeDocument/2006/relationships" ref="F22" r:id="rId18"/>
    <hyperlink xmlns:r="http://schemas.openxmlformats.org/officeDocument/2006/relationships" ref="F23" r:id="rId19"/>
    <hyperlink xmlns:r="http://schemas.openxmlformats.org/officeDocument/2006/relationships" ref="F24" r:id="rId20"/>
    <hyperlink xmlns:r="http://schemas.openxmlformats.org/officeDocument/2006/relationships" ref="F25" r:id="rId21"/>
    <hyperlink xmlns:r="http://schemas.openxmlformats.org/officeDocument/2006/relationships" ref="F26" r:id="rId22"/>
    <hyperlink xmlns:r="http://schemas.openxmlformats.org/officeDocument/2006/relationships" ref="F27" r:id="rId23"/>
    <hyperlink xmlns:r="http://schemas.openxmlformats.org/officeDocument/2006/relationships" ref="F28" r:id="rId24"/>
    <hyperlink xmlns:r="http://schemas.openxmlformats.org/officeDocument/2006/relationships" ref="F29" r:id="rId25"/>
    <hyperlink xmlns:r="http://schemas.openxmlformats.org/officeDocument/2006/relationships" ref="F30" r:id="rId26"/>
    <hyperlink xmlns:r="http://schemas.openxmlformats.org/officeDocument/2006/relationships" ref="F31" r:id="rId27"/>
    <hyperlink xmlns:r="http://schemas.openxmlformats.org/officeDocument/2006/relationships" ref="F32" r:id="rId28"/>
    <hyperlink xmlns:r="http://schemas.openxmlformats.org/officeDocument/2006/relationships" ref="F33" r:id="rId29"/>
    <hyperlink xmlns:r="http://schemas.openxmlformats.org/officeDocument/2006/relationships" ref="F34" r:id="rId30"/>
    <hyperlink xmlns:r="http://schemas.openxmlformats.org/officeDocument/2006/relationships" ref="F35" r:id="rId31"/>
    <hyperlink xmlns:r="http://schemas.openxmlformats.org/officeDocument/2006/relationships" ref="F36" r:id="rId32"/>
    <hyperlink xmlns:r="http://schemas.openxmlformats.org/officeDocument/2006/relationships" ref="F37" r:id="rId33"/>
    <hyperlink xmlns:r="http://schemas.openxmlformats.org/officeDocument/2006/relationships" ref="F38" r:id="rId34"/>
    <hyperlink xmlns:r="http://schemas.openxmlformats.org/officeDocument/2006/relationships" ref="F39" r:id="rId35"/>
    <hyperlink xmlns:r="http://schemas.openxmlformats.org/officeDocument/2006/relationships" ref="F40" r:id="rId36"/>
    <hyperlink xmlns:r="http://schemas.openxmlformats.org/officeDocument/2006/relationships" ref="F41" r:id="rId37"/>
    <hyperlink xmlns:r="http://schemas.openxmlformats.org/officeDocument/2006/relationships" ref="F42" r:id="rId38"/>
    <hyperlink xmlns:r="http://schemas.openxmlformats.org/officeDocument/2006/relationships" ref="F43" r:id="rId39"/>
    <hyperlink xmlns:r="http://schemas.openxmlformats.org/officeDocument/2006/relationships" ref="F44" r:id="rId40"/>
    <hyperlink xmlns:r="http://schemas.openxmlformats.org/officeDocument/2006/relationships" ref="F45" r:id="rId41"/>
    <hyperlink xmlns:r="http://schemas.openxmlformats.org/officeDocument/2006/relationships" ref="F46" r:id="rId42"/>
    <hyperlink xmlns:r="http://schemas.openxmlformats.org/officeDocument/2006/relationships" ref="F47" r:id="rId43"/>
    <hyperlink xmlns:r="http://schemas.openxmlformats.org/officeDocument/2006/relationships" ref="F48" r:id="rId44"/>
    <hyperlink xmlns:r="http://schemas.openxmlformats.org/officeDocument/2006/relationships" ref="F49" r:id="rId45"/>
  </hyperlinks>
  <pageMargins left="0.75" right="0.75" top="1" bottom="1" header="0.5" footer="0.5"/>
</worksheet>
</file>

<file path=xl/worksheets/sheet21.xml><?xml version="1.0" encoding="utf-8"?>
<worksheet xmlns="http://schemas.openxmlformats.org/spreadsheetml/2006/main">
  <sheetPr>
    <tabColor rgb="00D97706"/>
    <outlinePr summaryBelow="1" summaryRight="1"/>
    <pageSetUpPr/>
  </sheetPr>
  <dimension ref="A1:I42"/>
  <sheetViews>
    <sheetView workbookViewId="0">
      <selection activeCell="A1" sqref="A1"/>
    </sheetView>
  </sheetViews>
  <sheetFormatPr baseColWidth="8" defaultRowHeight="15"/>
  <cols>
    <col width="52" customWidth="1" min="1" max="1"/>
    <col width="25" customWidth="1" min="2" max="2"/>
    <col width="31" customWidth="1" min="3" max="3"/>
    <col width="52" customWidth="1" min="4" max="4"/>
    <col width="52" customWidth="1" min="5" max="5"/>
    <col width="6" customWidth="1" min="6" max="6"/>
    <col width="52" customWidth="1" min="7" max="7"/>
    <col width="21" customWidth="1" min="8" max="8"/>
    <col width="10" customWidth="1" min="9" max="9"/>
  </cols>
  <sheetData>
    <row r="1" ht="32" customHeight="1">
      <c r="A1" s="1190" t="inlineStr">
        <is>
          <t>Colorado, Regional &amp; Federal Property Due-Diligence Resources</t>
        </is>
      </c>
    </row>
    <row r="2" ht="28" customHeight="1">
      <c r="A2" s="1191" t="inlineStr">
        <is>
          <t>Special districts, business/UCC, water, oil and gas, environmental, flood, soils, wetlands, transportation, historic and HOA research tools.</t>
        </is>
      </c>
    </row>
    <row r="4" ht="30" customHeight="1">
      <c r="A4" s="1187" t="inlineStr">
        <is>
          <t>Level / Agency</t>
        </is>
      </c>
      <c r="B4" s="959" t="inlineStr">
        <is>
          <t>Category</t>
        </is>
      </c>
      <c r="C4" s="959" t="inlineStr">
        <is>
          <t>Resource</t>
        </is>
      </c>
      <c r="D4" s="1187" t="inlineStr">
        <is>
          <t>What It Provides</t>
        </is>
      </c>
      <c r="E4" s="1187" t="inlineStr">
        <is>
          <t>Best Use</t>
        </is>
      </c>
      <c r="F4" s="959" t="inlineStr">
        <is>
          <t>Official</t>
        </is>
      </c>
      <c r="G4" s="1187" t="inlineStr">
        <is>
          <t>URL</t>
        </is>
      </c>
      <c r="H4" s="959" t="inlineStr">
        <is>
          <t>Verified</t>
        </is>
      </c>
      <c r="I4" s="959" t="inlineStr">
        <is>
          <t>Priority</t>
        </is>
      </c>
    </row>
    <row r="5" ht="42" customHeight="1">
      <c r="A5" s="952" t="inlineStr">
        <is>
          <t>Colorado Secretary of State</t>
        </is>
      </c>
      <c r="B5" s="952" t="inlineStr">
        <is>
          <t>Business Entities</t>
        </is>
      </c>
      <c r="C5" s="952" t="inlineStr">
        <is>
          <t>Search Business Records</t>
        </is>
      </c>
      <c r="D5" s="952" t="inlineStr">
        <is>
          <t>Search corporations, LLCs, trade names and filing documents.</t>
        </is>
      </c>
      <c r="E5" s="952" t="inlineStr">
        <is>
          <t>Identify owners, applicants, developers, lenders and registered agents.</t>
        </is>
      </c>
      <c r="F5" s="952" t="inlineStr">
        <is>
          <t>Yes</t>
        </is>
      </c>
      <c r="G5" s="1188" t="inlineStr">
        <is>
          <t>https://co.colorado.gov/search-business-records</t>
        </is>
      </c>
      <c r="H5" s="1129" t="n">
        <v>46213</v>
      </c>
      <c r="I5" s="951" t="inlineStr">
        <is>
          <t>High</t>
        </is>
      </c>
    </row>
    <row r="6" ht="42" customHeight="1">
      <c r="A6" s="952" t="inlineStr">
        <is>
          <t>Colorado Secretary of State</t>
        </is>
      </c>
      <c r="B6" s="952" t="inlineStr">
        <is>
          <t>UCC / Liens</t>
        </is>
      </c>
      <c r="C6" s="952" t="inlineStr">
        <is>
          <t>UCC Records Search</t>
        </is>
      </c>
      <c r="D6" s="952" t="inlineStr">
        <is>
          <t>Search UCC financing statements and related secured-transaction records.</t>
        </is>
      </c>
      <c r="E6" s="952" t="inlineStr">
        <is>
          <t>Screen for UCC filings and certain statutory liens associated with a debtor.</t>
        </is>
      </c>
      <c r="F6" s="952" t="inlineStr">
        <is>
          <t>Yes</t>
        </is>
      </c>
      <c r="G6" s="1188" t="inlineStr">
        <is>
          <t>https://www.sos.state.co.us/ucc/pages/home.xhtml</t>
        </is>
      </c>
      <c r="H6" s="1129" t="n">
        <v>46213</v>
      </c>
      <c r="I6" s="951" t="inlineStr">
        <is>
          <t>High</t>
        </is>
      </c>
    </row>
    <row r="7" ht="42" customHeight="1">
      <c r="A7" s="952" t="inlineStr">
        <is>
          <t>Colorado DOLA</t>
        </is>
      </c>
      <c r="B7" s="952" t="inlineStr">
        <is>
          <t>Special Districts</t>
        </is>
      </c>
      <c r="C7" s="952" t="inlineStr">
        <is>
          <t>Colorado Special Districts Map</t>
        </is>
      </c>
      <c r="D7" s="952" t="inlineStr">
        <is>
          <t>Map and information for special-district boundaries.</t>
        </is>
      </c>
      <c r="E7" s="952" t="inlineStr">
        <is>
          <t>Identify water, sanitation, fire, metro and other districts that may tax or serve a property.</t>
        </is>
      </c>
      <c r="F7" s="952" t="inlineStr">
        <is>
          <t>Yes</t>
        </is>
      </c>
      <c r="G7" s="1188" t="inlineStr">
        <is>
          <t>https://gis.dola.colorado.gov/CO_SpecialDistrict/</t>
        </is>
      </c>
      <c r="H7" s="1129" t="n">
        <v>46213</v>
      </c>
      <c r="I7" s="951" t="inlineStr">
        <is>
          <t>Critical</t>
        </is>
      </c>
    </row>
    <row r="8" ht="42" customHeight="1">
      <c r="A8" s="952" t="inlineStr">
        <is>
          <t>Colorado DOLA</t>
        </is>
      </c>
      <c r="B8" s="952" t="inlineStr">
        <is>
          <t>Local Governments</t>
        </is>
      </c>
      <c r="C8" s="952" t="inlineStr">
        <is>
          <t>Local Government Information System</t>
        </is>
      </c>
      <c r="D8" s="952" t="inlineStr">
        <is>
          <t>Local-government contacts, budgets and election filings.</t>
        </is>
      </c>
      <c r="E8" s="952" t="inlineStr">
        <is>
          <t>Research special districts and other local-government entities.</t>
        </is>
      </c>
      <c r="F8" s="952" t="inlineStr">
        <is>
          <t>Yes</t>
        </is>
      </c>
      <c r="G8" s="1188" t="inlineStr">
        <is>
          <t>https://dola.colorado.gov/dlg_lgis_ui_pu/</t>
        </is>
      </c>
      <c r="H8" s="1129" t="n">
        <v>46213</v>
      </c>
      <c r="I8" s="951" t="inlineStr">
        <is>
          <t>High</t>
        </is>
      </c>
    </row>
    <row r="9" ht="42" customHeight="1">
      <c r="A9" s="952" t="inlineStr">
        <is>
          <t>Colorado DOLA</t>
        </is>
      </c>
      <c r="B9" s="952" t="inlineStr">
        <is>
          <t>Taxing Entities</t>
        </is>
      </c>
      <c r="C9" s="952" t="inlineStr">
        <is>
          <t>Search Colorado Property Tax Entities</t>
        </is>
      </c>
      <c r="D9" s="952" t="inlineStr">
        <is>
          <t>Search entities associated with property taxation.</t>
        </is>
      </c>
      <c r="E9" s="952" t="inlineStr">
        <is>
          <t>Understand tax districts and locate entity information; verify mill levies with county offices.</t>
        </is>
      </c>
      <c r="F9" s="952" t="inlineStr">
        <is>
          <t>Yes</t>
        </is>
      </c>
      <c r="G9" s="1188" t="inlineStr">
        <is>
          <t>https://dola.colorado.gov/dlg_lgis_ui_pu/publicLGTaxEntities.jsf</t>
        </is>
      </c>
      <c r="H9" s="1129" t="n">
        <v>46213</v>
      </c>
      <c r="I9" s="951" t="inlineStr">
        <is>
          <t>High</t>
        </is>
      </c>
    </row>
    <row r="10" ht="42" customHeight="1">
      <c r="A10" s="952" t="inlineStr">
        <is>
          <t>Colorado DOLA</t>
        </is>
      </c>
      <c r="B10" s="952" t="inlineStr">
        <is>
          <t>Municipal Boundaries</t>
        </is>
      </c>
      <c r="C10" s="952" t="inlineStr">
        <is>
          <t>Colorado Municipal Boundaries</t>
        </is>
      </c>
      <c r="D10" s="952" t="inlineStr">
        <is>
          <t>State municipal boundary map.</t>
        </is>
      </c>
      <c r="E10" s="952" t="inlineStr">
        <is>
          <t>Confirm whether a parcel is incorporated and identify the municipality.</t>
        </is>
      </c>
      <c r="F10" s="952" t="inlineStr">
        <is>
          <t>Yes</t>
        </is>
      </c>
      <c r="G10" s="1188" t="inlineStr">
        <is>
          <t>https://gis.dola.colorado.gov/CO_Muni/</t>
        </is>
      </c>
      <c r="H10" s="1129" t="n">
        <v>46213</v>
      </c>
      <c r="I10" s="951" t="inlineStr">
        <is>
          <t>Critical</t>
        </is>
      </c>
    </row>
    <row r="11" ht="42" customHeight="1">
      <c r="A11" s="952" t="inlineStr">
        <is>
          <t>Colorado DOLA</t>
        </is>
      </c>
      <c r="B11" s="952" t="inlineStr">
        <is>
          <t>GIS Downloads</t>
        </is>
      </c>
      <c r="C11" s="952" t="inlineStr">
        <is>
          <t>GIS Data Sources</t>
        </is>
      </c>
      <c r="D11" s="952" t="inlineStr">
        <is>
          <t>State-maintained boundary and demographic GIS datasets.</t>
        </is>
      </c>
      <c r="E11" s="952" t="inlineStr">
        <is>
          <t>Download municipal, annexation and special-district data.</t>
        </is>
      </c>
      <c r="F11" s="952" t="inlineStr">
        <is>
          <t>Yes</t>
        </is>
      </c>
      <c r="G11" s="1188" t="inlineStr">
        <is>
          <t>https://demography.dola.colorado.gov/assets/html/gis_data.html</t>
        </is>
      </c>
      <c r="H11" s="1129" t="n">
        <v>46213</v>
      </c>
      <c r="I11" s="951" t="inlineStr">
        <is>
          <t>Useful</t>
        </is>
      </c>
    </row>
    <row r="12" ht="42" customHeight="1">
      <c r="A12" s="952" t="inlineStr">
        <is>
          <t>Colorado State Demography Office</t>
        </is>
      </c>
      <c r="B12" s="952" t="inlineStr">
        <is>
          <t>Demographics</t>
        </is>
      </c>
      <c r="C12" s="952" t="inlineStr">
        <is>
          <t>Data Bundle Lookup</t>
        </is>
      </c>
      <c r="D12" s="952" t="inlineStr">
        <is>
          <t>Population, housing and demographic data bundles.</t>
        </is>
      </c>
      <c r="E12" s="952" t="inlineStr">
        <is>
          <t>Support market, planning and growth analysis.</t>
        </is>
      </c>
      <c r="F12" s="952" t="inlineStr">
        <is>
          <t>Yes</t>
        </is>
      </c>
      <c r="G12" s="1188" t="inlineStr">
        <is>
          <t>https://demography.dola.colorado.gov/assets/lookups/dashboard_lookup.html</t>
        </is>
      </c>
      <c r="H12" s="1129" t="n">
        <v>46213</v>
      </c>
      <c r="I12" s="951" t="inlineStr">
        <is>
          <t>Useful</t>
        </is>
      </c>
    </row>
    <row r="13" ht="42" customHeight="1">
      <c r="A13" s="952" t="inlineStr">
        <is>
          <t>Colorado Geospatial Portal</t>
        </is>
      </c>
      <c r="B13" s="952" t="inlineStr">
        <is>
          <t>GIS / Open Data</t>
        </is>
      </c>
      <c r="C13" s="952" t="inlineStr">
        <is>
          <t>Colorado Geospatial Portal</t>
        </is>
      </c>
      <c r="D13" s="952" t="inlineStr">
        <is>
          <t>Statewide open GIS datasets and maps.</t>
        </is>
      </c>
      <c r="E13" s="952" t="inlineStr">
        <is>
          <t>Find state layers for environment, transportation, boundaries and natural resources.</t>
        </is>
      </c>
      <c r="F13" s="952" t="inlineStr">
        <is>
          <t>Yes</t>
        </is>
      </c>
      <c r="G13" s="1188" t="inlineStr">
        <is>
          <t>https://geodata.colorado.gov/</t>
        </is>
      </c>
      <c r="H13" s="1129" t="n">
        <v>46213</v>
      </c>
      <c r="I13" s="951" t="inlineStr">
        <is>
          <t>High</t>
        </is>
      </c>
    </row>
    <row r="14" ht="42" customHeight="1">
      <c r="A14" s="952" t="inlineStr">
        <is>
          <t>Colorado OIT</t>
        </is>
      </c>
      <c r="B14" s="952" t="inlineStr">
        <is>
          <t>GIS Viewer</t>
        </is>
      </c>
      <c r="C14" s="952" t="inlineStr">
        <is>
          <t>Colorado State Map Viewer</t>
        </is>
      </c>
      <c r="D14" s="952" t="inlineStr">
        <is>
          <t>Statewide interactive map viewer.</t>
        </is>
      </c>
      <c r="E14" s="952" t="inlineStr">
        <is>
          <t>Screen state datasets without desktop GIS.</t>
        </is>
      </c>
      <c r="F14" s="952" t="inlineStr">
        <is>
          <t>Yes</t>
        </is>
      </c>
      <c r="G14" s="1188" t="inlineStr">
        <is>
          <t>https://gis.colorado.gov/viewer/?page=Home</t>
        </is>
      </c>
      <c r="H14" s="1129" t="n">
        <v>46213</v>
      </c>
      <c r="I14" s="951" t="inlineStr">
        <is>
          <t>Useful</t>
        </is>
      </c>
    </row>
    <row r="15" ht="42" customHeight="1">
      <c r="A15" s="952" t="inlineStr">
        <is>
          <t>DRCOG</t>
        </is>
      </c>
      <c r="B15" s="952" t="inlineStr">
        <is>
          <t>Regional GIS / Planning</t>
        </is>
      </c>
      <c r="C15" s="952" t="inlineStr">
        <is>
          <t>Data, Maps &amp; Modeling</t>
        </is>
      </c>
      <c r="D15" s="952" t="inlineStr">
        <is>
          <t>Denver-region data, maps, forecasts and modeling resources.</t>
        </is>
      </c>
      <c r="E15" s="952" t="inlineStr">
        <is>
          <t>Research regional growth, transportation, parcels and planning context.</t>
        </is>
      </c>
      <c r="F15" s="952" t="inlineStr">
        <is>
          <t>Yes</t>
        </is>
      </c>
      <c r="G15" s="1188" t="inlineStr">
        <is>
          <t>https://drcog.org/data-maps-modeling</t>
        </is>
      </c>
      <c r="H15" s="1129" t="n">
        <v>46213</v>
      </c>
      <c r="I15" s="951" t="inlineStr">
        <is>
          <t>High</t>
        </is>
      </c>
    </row>
    <row r="16" ht="42" customHeight="1">
      <c r="A16" s="952" t="inlineStr">
        <is>
          <t>Colorado Division of Water Resources</t>
        </is>
      </c>
      <c r="B16" s="952" t="inlineStr">
        <is>
          <t>Water</t>
        </is>
      </c>
      <c r="C16" s="952" t="inlineStr">
        <is>
          <t>CDSS / DWR Tools</t>
        </is>
      </c>
      <c r="D16" s="952" t="inlineStr">
        <is>
          <t>Water-rights, structures, hydrography and decision-support tools.</t>
        </is>
      </c>
      <c r="E16" s="952" t="inlineStr">
        <is>
          <t>Research water rights, ditches, structures and hydrologic data.</t>
        </is>
      </c>
      <c r="F16" s="952" t="inlineStr">
        <is>
          <t>Yes</t>
        </is>
      </c>
      <c r="G16" s="1188" t="inlineStr">
        <is>
          <t>https://dwr.state.co.us/Tools</t>
        </is>
      </c>
      <c r="H16" s="1129" t="n">
        <v>46213</v>
      </c>
      <c r="I16" s="951" t="inlineStr">
        <is>
          <t>Critical</t>
        </is>
      </c>
    </row>
    <row r="17" ht="42" customHeight="1">
      <c r="A17" s="952" t="inlineStr">
        <is>
          <t>Colorado Division of Water Resources</t>
        </is>
      </c>
      <c r="B17" s="952" t="inlineStr">
        <is>
          <t>Wells</t>
        </is>
      </c>
      <c r="C17" s="952" t="inlineStr">
        <is>
          <t>Well Permits</t>
        </is>
      </c>
      <c r="D17" s="952" t="inlineStr">
        <is>
          <t>Well permit search and information.</t>
        </is>
      </c>
      <c r="E17" s="952" t="inlineStr">
        <is>
          <t>Check permitted wells and well records near a parcel.</t>
        </is>
      </c>
      <c r="F17" s="952" t="inlineStr">
        <is>
          <t>Yes</t>
        </is>
      </c>
      <c r="G17" s="1188" t="inlineStr">
        <is>
          <t>https://dwr.state.co.us/Tools/WellPermits</t>
        </is>
      </c>
      <c r="H17" s="1129" t="n">
        <v>46213</v>
      </c>
      <c r="I17" s="951" t="inlineStr">
        <is>
          <t>Critical</t>
        </is>
      </c>
    </row>
    <row r="18" ht="42" customHeight="1">
      <c r="A18" s="952" t="inlineStr">
        <is>
          <t>Colorado Energy &amp; Carbon Management Commission</t>
        </is>
      </c>
      <c r="B18" s="952" t="inlineStr">
        <is>
          <t>Oil &amp; Gas</t>
        </is>
      </c>
      <c r="C18" s="952" t="inlineStr">
        <is>
          <t>ECMC Maps</t>
        </is>
      </c>
      <c r="D18" s="952" t="inlineStr">
        <is>
          <t>Oil and gas wells, facilities and regulatory map tools.</t>
        </is>
      </c>
      <c r="E18" s="952" t="inlineStr">
        <is>
          <t>Screen nearby oil/gas infrastructure, setbacks and regulatory records.</t>
        </is>
      </c>
      <c r="F18" s="952" t="inlineStr">
        <is>
          <t>Yes</t>
        </is>
      </c>
      <c r="G18" s="1188" t="inlineStr">
        <is>
          <t>https://ecmc.state.co.us/maps.html</t>
        </is>
      </c>
      <c r="H18" s="1129" t="n">
        <v>46213</v>
      </c>
      <c r="I18" s="951" t="inlineStr">
        <is>
          <t>Critical</t>
        </is>
      </c>
    </row>
    <row r="19" ht="42" customHeight="1">
      <c r="A19" s="952" t="inlineStr">
        <is>
          <t>Colorado Energy &amp; Carbon Management Commission</t>
        </is>
      </c>
      <c r="B19" s="952" t="inlineStr">
        <is>
          <t>Oil &amp; Gas Data</t>
        </is>
      </c>
      <c r="C19" s="952" t="inlineStr">
        <is>
          <t>ECMC Data</t>
        </is>
      </c>
      <c r="D19" s="952" t="inlineStr">
        <is>
          <t>Downloadable oil and gas data and records.</t>
        </is>
      </c>
      <c r="E19" s="952" t="inlineStr">
        <is>
          <t>Perform detailed facility and well research.</t>
        </is>
      </c>
      <c r="F19" s="952" t="inlineStr">
        <is>
          <t>Yes</t>
        </is>
      </c>
      <c r="G19" s="1188" t="inlineStr">
        <is>
          <t>https://ecmc.state.co.us/data.html</t>
        </is>
      </c>
      <c r="H19" s="1129" t="n">
        <v>46213</v>
      </c>
      <c r="I19" s="951" t="inlineStr">
        <is>
          <t>High</t>
        </is>
      </c>
    </row>
    <row r="20" ht="42" customHeight="1">
      <c r="A20" s="952" t="inlineStr">
        <is>
          <t>CDPHE</t>
        </is>
      </c>
      <c r="B20" s="952" t="inlineStr">
        <is>
          <t>Environmental</t>
        </is>
      </c>
      <c r="C20" s="952" t="inlineStr">
        <is>
          <t>Maps and GIS for Health and Environment</t>
        </is>
      </c>
      <c r="D20" s="952" t="inlineStr">
        <is>
          <t>Environmental, health, cleanup and facility mapping resources.</t>
        </is>
      </c>
      <c r="E20" s="952" t="inlineStr">
        <is>
          <t>Screen environmental and public-health conditions.</t>
        </is>
      </c>
      <c r="F20" s="952" t="inlineStr">
        <is>
          <t>Yes</t>
        </is>
      </c>
      <c r="G20" s="1188" t="inlineStr">
        <is>
          <t>https://cdphe.colorado.gov/maps-and-gis-for-health-and-environment</t>
        </is>
      </c>
      <c r="H20" s="1129" t="n">
        <v>46213</v>
      </c>
      <c r="I20" s="951" t="inlineStr">
        <is>
          <t>Critical</t>
        </is>
      </c>
    </row>
    <row r="21" ht="42" customHeight="1">
      <c r="A21" s="952" t="inlineStr">
        <is>
          <t>CDPHE</t>
        </is>
      </c>
      <c r="B21" s="952" t="inlineStr">
        <is>
          <t>Contamination</t>
        </is>
      </c>
      <c r="C21" s="952" t="inlineStr">
        <is>
          <t>Environmental Maps and GIS Data</t>
        </is>
      </c>
      <c r="D21" s="952" t="inlineStr">
        <is>
          <t>Hazardous Materials and Waste Management map portal and records search.</t>
        </is>
      </c>
      <c r="E21" s="952" t="inlineStr">
        <is>
          <t>Locate regulated facilities, waste sites and associated records.</t>
        </is>
      </c>
      <c r="F21" s="952" t="inlineStr">
        <is>
          <t>Yes</t>
        </is>
      </c>
      <c r="G21" s="1188" t="inlineStr">
        <is>
          <t>https://cdphe.colorado.gov/hm/gis-data</t>
        </is>
      </c>
      <c r="H21" s="1129" t="n">
        <v>46213</v>
      </c>
      <c r="I21" s="951" t="inlineStr">
        <is>
          <t>Critical</t>
        </is>
      </c>
    </row>
    <row r="22" ht="42" customHeight="1">
      <c r="A22" s="952" t="inlineStr">
        <is>
          <t>CDPHE</t>
        </is>
      </c>
      <c r="B22" s="952" t="inlineStr">
        <is>
          <t>Contamination</t>
        </is>
      </c>
      <c r="C22" s="952" t="inlineStr">
        <is>
          <t>How to Find Out if a Site Is Contaminated</t>
        </is>
      </c>
      <c r="D22" s="952" t="inlineStr">
        <is>
          <t>Guide to cleanup, covenant, tank and federal environmental databases.</t>
        </is>
      </c>
      <c r="E22" s="952" t="inlineStr">
        <is>
          <t>Build an environmental-screening search plan.</t>
        </is>
      </c>
      <c r="F22" s="952" t="inlineStr">
        <is>
          <t>Yes</t>
        </is>
      </c>
      <c r="G22" s="1188" t="inlineStr">
        <is>
          <t>https://cdphe.colorado.gov/hm/if-site-contaminated</t>
        </is>
      </c>
      <c r="H22" s="1129" t="n">
        <v>46213</v>
      </c>
      <c r="I22" s="951" t="inlineStr">
        <is>
          <t>High</t>
        </is>
      </c>
    </row>
    <row r="23" ht="42" customHeight="1">
      <c r="A23" s="952" t="inlineStr">
        <is>
          <t>CDPHE</t>
        </is>
      </c>
      <c r="B23" s="952" t="inlineStr">
        <is>
          <t>Water Quality</t>
        </is>
      </c>
      <c r="C23" s="952" t="inlineStr">
        <is>
          <t>Clean Water GIS Maps</t>
        </is>
      </c>
      <c r="D23" s="952" t="inlineStr">
        <is>
          <t>Impaired waters, stream segments, TMDLs and watershed-plan maps.</t>
        </is>
      </c>
      <c r="E23" s="952" t="inlineStr">
        <is>
          <t>Screen nearby surface-water quality and regulatory context.</t>
        </is>
      </c>
      <c r="F23" s="952" t="inlineStr">
        <is>
          <t>Yes</t>
        </is>
      </c>
      <c r="G23" s="1188" t="inlineStr">
        <is>
          <t>https://cdphe.colorado.gov/clean-water-gis-maps</t>
        </is>
      </c>
      <c r="H23" s="1129" t="n">
        <v>46213</v>
      </c>
      <c r="I23" s="951" t="inlineStr">
        <is>
          <t>High</t>
        </is>
      </c>
    </row>
    <row r="24" ht="42" customHeight="1">
      <c r="A24" s="952" t="inlineStr">
        <is>
          <t>CDPHE</t>
        </is>
      </c>
      <c r="B24" s="952" t="inlineStr">
        <is>
          <t>PFAS</t>
        </is>
      </c>
      <c r="C24" s="952" t="inlineStr">
        <is>
          <t>PFAS Mapping</t>
        </is>
      </c>
      <c r="D24" s="952" t="inlineStr">
        <is>
          <t>PFAS sampling and vulnerability mapping resources.</t>
        </is>
      </c>
      <c r="E24" s="952" t="inlineStr">
        <is>
          <t>Screen known sampling and modeled PFAS concerns.</t>
        </is>
      </c>
      <c r="F24" s="952" t="inlineStr">
        <is>
          <t>Yes</t>
        </is>
      </c>
      <c r="G24" s="1188" t="inlineStr">
        <is>
          <t>https://cdphe.colorado.gov/pfas/mapping</t>
        </is>
      </c>
      <c r="H24" s="1129" t="n">
        <v>46213</v>
      </c>
      <c r="I24" s="951" t="inlineStr">
        <is>
          <t>Useful</t>
        </is>
      </c>
    </row>
    <row r="25" ht="42" customHeight="1">
      <c r="A25" s="952" t="inlineStr">
        <is>
          <t>FEMA</t>
        </is>
      </c>
      <c r="B25" s="952" t="inlineStr">
        <is>
          <t>Flood</t>
        </is>
      </c>
      <c r="C25" s="952" t="inlineStr">
        <is>
          <t>Flood Maps</t>
        </is>
      </c>
      <c r="D25" s="952" t="inlineStr">
        <is>
          <t>FEMA flood-hazard mapping overview and resources.</t>
        </is>
      </c>
      <c r="E25" s="952" t="inlineStr">
        <is>
          <t>Understand official flood-map products and updates.</t>
        </is>
      </c>
      <c r="F25" s="952" t="inlineStr">
        <is>
          <t>Yes</t>
        </is>
      </c>
      <c r="G25" s="1188" t="inlineStr">
        <is>
          <t>https://www.fema.gov/flood-maps</t>
        </is>
      </c>
      <c r="H25" s="1129" t="n">
        <v>46213</v>
      </c>
      <c r="I25" s="951" t="inlineStr">
        <is>
          <t>Critical</t>
        </is>
      </c>
    </row>
    <row r="26" ht="42" customHeight="1">
      <c r="A26" s="952" t="inlineStr">
        <is>
          <t>FEMA</t>
        </is>
      </c>
      <c r="B26" s="952" t="inlineStr">
        <is>
          <t>Flood</t>
        </is>
      </c>
      <c r="C26" s="952" t="inlineStr">
        <is>
          <t>Flood Map Service Center</t>
        </is>
      </c>
      <c r="D26" s="952" t="inlineStr">
        <is>
          <t>Official address and map search for effective flood maps.</t>
        </is>
      </c>
      <c r="E26" s="952" t="inlineStr">
        <is>
          <t>Search flood zones, panels and Letters of Map Change.</t>
        </is>
      </c>
      <c r="F26" s="952" t="inlineStr">
        <is>
          <t>Yes</t>
        </is>
      </c>
      <c r="G26" s="1188" t="inlineStr">
        <is>
          <t>https://msc.fema.gov/portal/search</t>
        </is>
      </c>
      <c r="H26" s="1129" t="n">
        <v>46213</v>
      </c>
      <c r="I26" s="951" t="inlineStr">
        <is>
          <t>Critical</t>
        </is>
      </c>
    </row>
    <row r="27" ht="42" customHeight="1">
      <c r="A27" s="952" t="inlineStr">
        <is>
          <t>FEMA</t>
        </is>
      </c>
      <c r="B27" s="952" t="inlineStr">
        <is>
          <t>Flood / GIS</t>
        </is>
      </c>
      <c r="C27" s="952" t="inlineStr">
        <is>
          <t>National Flood Hazard Layer</t>
        </is>
      </c>
      <c r="D27" s="952" t="inlineStr">
        <is>
          <t>GIS representation of current flood-hazard information.</t>
        </is>
      </c>
      <c r="E27" s="952" t="inlineStr">
        <is>
          <t>Overlay flood data in mapping workflows.</t>
        </is>
      </c>
      <c r="F27" s="952" t="inlineStr">
        <is>
          <t>Yes</t>
        </is>
      </c>
      <c r="G27" s="1188" t="inlineStr">
        <is>
          <t>https://www.fema.gov/flood-maps/national-flood-hazard-layer</t>
        </is>
      </c>
      <c r="H27" s="1129" t="n">
        <v>46213</v>
      </c>
      <c r="I27" s="951" t="inlineStr">
        <is>
          <t>High</t>
        </is>
      </c>
    </row>
    <row r="28" ht="42" customHeight="1">
      <c r="A28" s="952" t="inlineStr">
        <is>
          <t>U.S. EPA</t>
        </is>
      </c>
      <c r="B28" s="952" t="inlineStr">
        <is>
          <t>Environmental</t>
        </is>
      </c>
      <c r="C28" s="952" t="inlineStr">
        <is>
          <t>Cleanups in My Community</t>
        </is>
      </c>
      <c r="D28" s="952" t="inlineStr">
        <is>
          <t>Map of federal and state cleanup sites and programs.</t>
        </is>
      </c>
      <c r="E28" s="952" t="inlineStr">
        <is>
          <t>Screen nearby cleanup and regulated sites.</t>
        </is>
      </c>
      <c r="F28" s="952" t="inlineStr">
        <is>
          <t>Yes</t>
        </is>
      </c>
      <c r="G28" s="1188" t="inlineStr">
        <is>
          <t>https://www.epa.gov/cleanups/cleanups-my-community</t>
        </is>
      </c>
      <c r="H28" s="1129" t="n">
        <v>46213</v>
      </c>
      <c r="I28" s="951" t="inlineStr">
        <is>
          <t>Critical</t>
        </is>
      </c>
    </row>
    <row r="29" ht="42" customHeight="1">
      <c r="A29" s="952" t="inlineStr">
        <is>
          <t>U.S. EPA</t>
        </is>
      </c>
      <c r="B29" s="952" t="inlineStr">
        <is>
          <t>Environmental</t>
        </is>
      </c>
      <c r="C29" s="952" t="inlineStr">
        <is>
          <t>Direct Cleanup Map</t>
        </is>
      </c>
      <c r="D29" s="952" t="inlineStr">
        <is>
          <t>Interactive cleanup-site map.</t>
        </is>
      </c>
      <c r="E29" s="952" t="inlineStr">
        <is>
          <t>Search a specific address or area for cleanup records.</t>
        </is>
      </c>
      <c r="F29" s="952" t="inlineStr">
        <is>
          <t>Yes</t>
        </is>
      </c>
      <c r="G29" s="1188" t="inlineStr">
        <is>
          <t>https://map22.epa.gov/cimc/</t>
        </is>
      </c>
      <c r="H29" s="1129" t="n">
        <v>46213</v>
      </c>
      <c r="I29" s="951" t="inlineStr">
        <is>
          <t>High</t>
        </is>
      </c>
    </row>
    <row r="30" ht="42" customHeight="1">
      <c r="A30" s="952" t="inlineStr">
        <is>
          <t>U.S. EPA</t>
        </is>
      </c>
      <c r="B30" s="952" t="inlineStr">
        <is>
          <t>Superfund</t>
        </is>
      </c>
      <c r="C30" s="952" t="inlineStr">
        <is>
          <t>Search Superfund Sites</t>
        </is>
      </c>
      <c r="D30" s="952" t="inlineStr">
        <is>
          <t>Superfund and National Priorities List search resources.</t>
        </is>
      </c>
      <c r="E30" s="952" t="inlineStr">
        <is>
          <t>Check nearby federal Superfund sites and site documents.</t>
        </is>
      </c>
      <c r="F30" s="952" t="inlineStr">
        <is>
          <t>Yes</t>
        </is>
      </c>
      <c r="G30" s="1188" t="inlineStr">
        <is>
          <t>https://www.epa.gov/superfund/search-superfund-sites-where-you-live</t>
        </is>
      </c>
      <c r="H30" s="1129" t="n">
        <v>46213</v>
      </c>
      <c r="I30" s="951" t="inlineStr">
        <is>
          <t>High</t>
        </is>
      </c>
    </row>
    <row r="31" ht="42" customHeight="1">
      <c r="A31" s="952" t="inlineStr">
        <is>
          <t>USDA NRCS</t>
        </is>
      </c>
      <c r="B31" s="952" t="inlineStr">
        <is>
          <t>Soils</t>
        </is>
      </c>
      <c r="C31" s="952" t="inlineStr">
        <is>
          <t>Web Soil Survey</t>
        </is>
      </c>
      <c r="D31" s="952" t="inlineStr">
        <is>
          <t>Authoritative soil maps and interpretations.</t>
        </is>
      </c>
      <c r="E31" s="952" t="inlineStr">
        <is>
          <t>Evaluate soil type, drainage, engineering and agricultural characteristics.</t>
        </is>
      </c>
      <c r="F31" s="952" t="inlineStr">
        <is>
          <t>Yes</t>
        </is>
      </c>
      <c r="G31" s="1188" t="inlineStr">
        <is>
          <t>https://websoilsurvey.nrcs.usda.gov/</t>
        </is>
      </c>
      <c r="H31" s="1129" t="n">
        <v>46213</v>
      </c>
      <c r="I31" s="951" t="inlineStr">
        <is>
          <t>Critical</t>
        </is>
      </c>
    </row>
    <row r="32" ht="42" customHeight="1">
      <c r="A32" s="952" t="inlineStr">
        <is>
          <t>U.S. Fish &amp; Wildlife Service</t>
        </is>
      </c>
      <c r="B32" s="952" t="inlineStr">
        <is>
          <t>Wetlands</t>
        </is>
      </c>
      <c r="C32" s="952" t="inlineStr">
        <is>
          <t>National Wetlands Inventory Mapper</t>
        </is>
      </c>
      <c r="D32" s="952" t="inlineStr">
        <is>
          <t>Mapped wetland and aquatic-resource information.</t>
        </is>
      </c>
      <c r="E32" s="952" t="inlineStr">
        <is>
          <t>Screen for potential wetlands; field verification may still be required.</t>
        </is>
      </c>
      <c r="F32" s="952" t="inlineStr">
        <is>
          <t>Yes</t>
        </is>
      </c>
      <c r="G32" s="1188" t="inlineStr">
        <is>
          <t>https://www.fws.gov/program/national-wetlands-inventory/wetlands-mapper</t>
        </is>
      </c>
      <c r="H32" s="1129" t="n">
        <v>46213</v>
      </c>
      <c r="I32" s="951" t="inlineStr">
        <is>
          <t>High</t>
        </is>
      </c>
    </row>
    <row r="33" ht="42" customHeight="1">
      <c r="A33" s="952" t="inlineStr">
        <is>
          <t>CDOT</t>
        </is>
      </c>
      <c r="B33" s="952" t="inlineStr">
        <is>
          <t>Transportation</t>
        </is>
      </c>
      <c r="C33" s="952" t="inlineStr">
        <is>
          <t>Online Transportation Information System</t>
        </is>
      </c>
      <c r="D33" s="952" t="inlineStr">
        <is>
          <t>Traffic, highway attributes, planning and geographic data.</t>
        </is>
      </c>
      <c r="E33" s="952" t="inlineStr">
        <is>
          <t>Research state-highway context and transportation planning.</t>
        </is>
      </c>
      <c r="F33" s="952" t="inlineStr">
        <is>
          <t>Yes</t>
        </is>
      </c>
      <c r="G33" s="1188" t="inlineStr">
        <is>
          <t>https://dtdapps.codot.gov/otis</t>
        </is>
      </c>
      <c r="H33" s="1129" t="n">
        <v>46213</v>
      </c>
      <c r="I33" s="951" t="inlineStr">
        <is>
          <t>Critical</t>
        </is>
      </c>
    </row>
    <row r="34" ht="42" customHeight="1">
      <c r="A34" s="952" t="inlineStr">
        <is>
          <t>CDOT</t>
        </is>
      </c>
      <c r="B34" s="952" t="inlineStr">
        <is>
          <t>Transportation</t>
        </is>
      </c>
      <c r="C34" s="952" t="inlineStr">
        <is>
          <t>Highway Data Explorer</t>
        </is>
      </c>
      <c r="D34" s="952" t="inlineStr">
        <is>
          <t>Map-based state highway data and attributes.</t>
        </is>
      </c>
      <c r="E34" s="952" t="inlineStr">
        <is>
          <t>Review highway classification, geometry and related data.</t>
        </is>
      </c>
      <c r="F34" s="952" t="inlineStr">
        <is>
          <t>Yes</t>
        </is>
      </c>
      <c r="G34" s="1188" t="inlineStr">
        <is>
          <t>https://dtdapps.codot.gov/otis/HighwayData</t>
        </is>
      </c>
      <c r="H34" s="1129" t="n">
        <v>46213</v>
      </c>
      <c r="I34" s="951" t="inlineStr">
        <is>
          <t>High</t>
        </is>
      </c>
    </row>
    <row r="35" ht="42" customHeight="1">
      <c r="A35" s="952" t="inlineStr">
        <is>
          <t>CDOT</t>
        </is>
      </c>
      <c r="B35" s="952" t="inlineStr">
        <is>
          <t>Traffic</t>
        </is>
      </c>
      <c r="C35" s="952" t="inlineStr">
        <is>
          <t>Traffic Data Explorer</t>
        </is>
      </c>
      <c r="D35" s="952" t="inlineStr">
        <is>
          <t>Traffic stations, AADT and projected traffic data.</t>
        </is>
      </c>
      <c r="E35" s="952" t="inlineStr">
        <is>
          <t>Support access, development and market analysis.</t>
        </is>
      </c>
      <c r="F35" s="952" t="inlineStr">
        <is>
          <t>Yes</t>
        </is>
      </c>
      <c r="G35" s="1188" t="inlineStr">
        <is>
          <t>https://dtdapps.codot.gov/otis/TrafficData</t>
        </is>
      </c>
      <c r="H35" s="1129" t="n">
        <v>46213</v>
      </c>
      <c r="I35" s="951" t="inlineStr">
        <is>
          <t>High</t>
        </is>
      </c>
    </row>
    <row r="36" ht="42" customHeight="1">
      <c r="A36" s="952" t="inlineStr">
        <is>
          <t>History Colorado</t>
        </is>
      </c>
      <c r="B36" s="952" t="inlineStr">
        <is>
          <t>Historic Properties</t>
        </is>
      </c>
      <c r="C36" s="952" t="inlineStr">
        <is>
          <t>Compass Information</t>
        </is>
      </c>
      <c r="D36" s="952" t="inlineStr">
        <is>
          <t>State cultural-resource inventory and research guidance.</t>
        </is>
      </c>
      <c r="E36" s="952" t="inlineStr">
        <is>
          <t>Screen historic resources and understand access to cultural-resource data.</t>
        </is>
      </c>
      <c r="F36" s="952" t="inlineStr">
        <is>
          <t>Yes</t>
        </is>
      </c>
      <c r="G36" s="1188" t="inlineStr">
        <is>
          <t>https://www.historycolorado.org/compass-information</t>
        </is>
      </c>
      <c r="H36" s="1129" t="n">
        <v>46213</v>
      </c>
      <c r="I36" s="951" t="inlineStr">
        <is>
          <t>High</t>
        </is>
      </c>
    </row>
    <row r="37" ht="42" customHeight="1">
      <c r="A37" s="952" t="inlineStr">
        <is>
          <t>History Colorado</t>
        </is>
      </c>
      <c r="B37" s="952" t="inlineStr">
        <is>
          <t>Historic Properties</t>
        </is>
      </c>
      <c r="C37" s="952" t="inlineStr">
        <is>
          <t>National &amp; State Register Listed Properties</t>
        </is>
      </c>
      <c r="D37" s="952" t="inlineStr">
        <is>
          <t>Lists and records of registered historic properties.</t>
        </is>
      </c>
      <c r="E37" s="952" t="inlineStr">
        <is>
          <t>Check whether a property or nearby resource is listed.</t>
        </is>
      </c>
      <c r="F37" s="952" t="inlineStr">
        <is>
          <t>Yes</t>
        </is>
      </c>
      <c r="G37" s="1188" t="inlineStr">
        <is>
          <t>https://www.historycolorado.org/national-state-register-listed-properties</t>
        </is>
      </c>
      <c r="H37" s="1129" t="n">
        <v>46213</v>
      </c>
      <c r="I37" s="951" t="inlineStr">
        <is>
          <t>High</t>
        </is>
      </c>
    </row>
    <row r="38" ht="42" customHeight="1">
      <c r="A38" s="952" t="inlineStr">
        <is>
          <t>Colorado Division of Real Estate</t>
        </is>
      </c>
      <c r="B38" s="952" t="inlineStr">
        <is>
          <t>HOA</t>
        </is>
      </c>
      <c r="C38" s="952" t="inlineStr">
        <is>
          <t>HOA Center</t>
        </is>
      </c>
      <c r="D38" s="952" t="inlineStr">
        <is>
          <t>Information about common-interest communities, CCIOA and HOA resources.</t>
        </is>
      </c>
      <c r="E38" s="952" t="inlineStr">
        <is>
          <t>Understand HOA registration and common-interest community issues.</t>
        </is>
      </c>
      <c r="F38" s="952" t="inlineStr">
        <is>
          <t>Yes</t>
        </is>
      </c>
      <c r="G38" s="1188" t="inlineStr">
        <is>
          <t>https://dre.colorado.gov/hoa-center</t>
        </is>
      </c>
      <c r="H38" s="1129" t="n">
        <v>46213</v>
      </c>
      <c r="I38" s="951" t="inlineStr">
        <is>
          <t>High</t>
        </is>
      </c>
    </row>
    <row r="39" ht="42" customHeight="1">
      <c r="A39" s="952" t="inlineStr">
        <is>
          <t>Colorado Division of Real Estate</t>
        </is>
      </c>
      <c r="B39" s="952" t="inlineStr">
        <is>
          <t>HOA</t>
        </is>
      </c>
      <c r="C39" s="952" t="inlineStr">
        <is>
          <t>HOA Registration Services</t>
        </is>
      </c>
      <c r="D39" s="952" t="inlineStr">
        <is>
          <t>HOA registration lookup guidance and registration resources.</t>
        </is>
      </c>
      <c r="E39" s="952" t="inlineStr">
        <is>
          <t>Check an association's registration status and identify contacts.</t>
        </is>
      </c>
      <c r="F39" s="952" t="inlineStr">
        <is>
          <t>Yes</t>
        </is>
      </c>
      <c r="G39" s="1188" t="inlineStr">
        <is>
          <t>https://dre.colorado.gov/hoa-registration-services</t>
        </is>
      </c>
      <c r="H39" s="1129" t="n">
        <v>46213</v>
      </c>
      <c r="I39" s="951" t="inlineStr">
        <is>
          <t>High</t>
        </is>
      </c>
    </row>
    <row r="40" ht="42" customHeight="1">
      <c r="A40" s="952" t="inlineStr">
        <is>
          <t>Colorado DORA</t>
        </is>
      </c>
      <c r="B40" s="952" t="inlineStr">
        <is>
          <t>Professional Licenses</t>
        </is>
      </c>
      <c r="C40" s="952" t="inlineStr">
        <is>
          <t>Verify a Professional or Business License</t>
        </is>
      </c>
      <c r="D40" s="952" t="inlineStr">
        <is>
          <t>Search licenses for brokers, engineers, architects and other regulated professionals.</t>
        </is>
      </c>
      <c r="E40" s="952" t="inlineStr">
        <is>
          <t>Verify people and firms involved in a transaction or project.</t>
        </is>
      </c>
      <c r="F40" s="952" t="inlineStr">
        <is>
          <t>Yes</t>
        </is>
      </c>
      <c r="G40" s="1188" t="inlineStr">
        <is>
          <t>https://co.colorado.gov/verify-status-professionals-license</t>
        </is>
      </c>
      <c r="H40" s="1129" t="n">
        <v>46213</v>
      </c>
      <c r="I40" s="951" t="inlineStr">
        <is>
          <t>Useful</t>
        </is>
      </c>
    </row>
    <row r="41" ht="42" customHeight="1">
      <c r="A41" s="952" t="inlineStr">
        <is>
          <t>Colorado State Land Board</t>
        </is>
      </c>
      <c r="B41" s="952" t="inlineStr">
        <is>
          <t>State Trust Land</t>
        </is>
      </c>
      <c r="C41" s="952" t="inlineStr">
        <is>
          <t>State Land Board Online Services</t>
        </is>
      </c>
      <c r="D41" s="952" t="inlineStr">
        <is>
          <t>State trust land and lease-related online services.</t>
        </is>
      </c>
      <c r="E41" s="952" t="inlineStr">
        <is>
          <t>Screen potential state trust land interests and obtain state land information.</t>
        </is>
      </c>
      <c r="F41" s="952" t="inlineStr">
        <is>
          <t>Yes</t>
        </is>
      </c>
      <c r="G41" s="1188" t="inlineStr">
        <is>
          <t>https://secure.slb.colorado.gov/</t>
        </is>
      </c>
      <c r="H41" s="1129" t="n">
        <v>46213</v>
      </c>
      <c r="I41" s="951" t="inlineStr">
        <is>
          <t>Useful</t>
        </is>
      </c>
    </row>
    <row r="42" ht="42" customHeight="1">
      <c r="A42" s="952" t="inlineStr">
        <is>
          <t>BLM</t>
        </is>
      </c>
      <c r="B42" s="952" t="inlineStr">
        <is>
          <t>Federal Land / GIS</t>
        </is>
      </c>
      <c r="C42" s="952" t="inlineStr">
        <is>
          <t>Colorado GIS Datasets</t>
        </is>
      </c>
      <c r="D42" s="952" t="inlineStr">
        <is>
          <t>Federal land and resource GIS datasets.</t>
        </is>
      </c>
      <c r="E42" s="952" t="inlineStr">
        <is>
          <t>Screen federal land status and download BLM layers.</t>
        </is>
      </c>
      <c r="F42" s="952" t="inlineStr">
        <is>
          <t>Yes</t>
        </is>
      </c>
      <c r="G42" s="1188" t="inlineStr">
        <is>
          <t>https://www.blm.gov/maps/frequently-requested/colorado/gis-datasets</t>
        </is>
      </c>
      <c r="H42" s="1129" t="n">
        <v>46213</v>
      </c>
      <c r="I42" s="951" t="inlineStr">
        <is>
          <t>Useful</t>
        </is>
      </c>
    </row>
  </sheetData>
  <mergeCells count="2">
    <mergeCell ref="A1:I1"/>
    <mergeCell ref="A2:I2"/>
  </mergeCells>
  <dataValidations count="1">
    <dataValidation sqref="I5:I42" showDropDown="0" showInputMessage="0" showErrorMessage="0" allowBlank="0" type="list">
      <formula1>"Critical,High,Useful,Reference"</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s>
  <pageMargins left="0.75" right="0.75" top="1" bottom="1" header="0.5" footer="0.5"/>
</worksheet>
</file>

<file path=xl/worksheets/sheet22.xml><?xml version="1.0" encoding="utf-8"?>
<worksheet xmlns="http://schemas.openxmlformats.org/spreadsheetml/2006/main">
  <sheetPr>
    <tabColor rgb="00D97706"/>
    <outlinePr summaryBelow="1" summaryRight="1"/>
    <pageSetUpPr/>
  </sheetPr>
  <dimension ref="A1:I36"/>
  <sheetViews>
    <sheetView workbookViewId="0">
      <selection activeCell="A1" sqref="A1"/>
    </sheetView>
  </sheetViews>
  <sheetFormatPr baseColWidth="8" defaultRowHeight="15"/>
  <cols>
    <col width="6" customWidth="1" min="1" max="1"/>
    <col width="32" customWidth="1" min="2" max="2"/>
    <col width="52" customWidth="1" min="3" max="3"/>
    <col width="52" customWidth="1" min="4" max="4"/>
    <col width="52" customWidth="1" min="5" max="5"/>
    <col width="52" customWidth="1" min="6" max="6"/>
    <col width="52" customWidth="1" min="7" max="7"/>
    <col width="13" customWidth="1" min="8" max="8"/>
    <col width="34" customWidth="1" min="9" max="9"/>
  </cols>
  <sheetData>
    <row r="1" ht="32" customHeight="1">
      <c r="A1" s="957" t="inlineStr">
        <is>
          <t>Property Due-Diligence Checklist</t>
        </is>
      </c>
    </row>
    <row r="2" ht="28" customHeight="1">
      <c r="A2" s="958" t="inlineStr">
        <is>
          <t>Use one copy per property. Update Status, add notes, and save the evidence listed for each step. This is a research workflow, not legal, survey, engineering or title advice.</t>
        </is>
      </c>
    </row>
    <row r="4" ht="30" customHeight="1">
      <c r="A4" s="959" t="inlineStr">
        <is>
          <t>Step</t>
        </is>
      </c>
      <c r="B4" s="959" t="inlineStr">
        <is>
          <t>Topic</t>
        </is>
      </c>
      <c r="C4" s="1187" t="inlineStr">
        <is>
          <t>Question / Action</t>
        </is>
      </c>
      <c r="D4" s="1187" t="inlineStr">
        <is>
          <t>Primary Resource</t>
        </is>
      </c>
      <c r="E4" s="1187" t="inlineStr">
        <is>
          <t>URL</t>
        </is>
      </c>
      <c r="F4" s="1187" t="inlineStr">
        <is>
          <t>Evidence to Save</t>
        </is>
      </c>
      <c r="G4" s="1187" t="inlineStr">
        <is>
          <t>Red Flags / Follow-up</t>
        </is>
      </c>
      <c r="H4" s="959" t="inlineStr">
        <is>
          <t>Status</t>
        </is>
      </c>
      <c r="I4" s="959" t="inlineStr">
        <is>
          <t>Notes</t>
        </is>
      </c>
    </row>
    <row r="5" ht="42" customHeight="1">
      <c r="A5" s="951" t="n">
        <v>1</v>
      </c>
      <c r="B5" s="952" t="inlineStr">
        <is>
          <t>Parcel identity</t>
        </is>
      </c>
      <c r="C5" s="952" t="inlineStr">
        <is>
          <t>Normalize the street address and obtain the Adams County parcel/account number.</t>
        </is>
      </c>
      <c r="D5" s="952" t="inlineStr">
        <is>
          <t>Adams County Search Real Property</t>
        </is>
      </c>
      <c r="E5" s="1188" t="inlineStr">
        <is>
          <t>https://adamscountyco.gov/service/search-real-property/</t>
        </is>
      </c>
      <c r="F5" s="952" t="inlineStr">
        <is>
          <t>Property summary, APN/account number and screenshot/PDF</t>
        </is>
      </c>
      <c r="G5" s="952" t="inlineStr">
        <is>
          <t>Address mismatch, multiple parcels, condominium unit confusion</t>
        </is>
      </c>
      <c r="H5" s="951" t="inlineStr">
        <is>
          <t>Not Started</t>
        </is>
      </c>
      <c r="I5" s="952" t="n"/>
    </row>
    <row r="6" ht="42" customHeight="1">
      <c r="A6" s="951" t="n">
        <v>2</v>
      </c>
      <c r="B6" s="952" t="inlineStr">
        <is>
          <t>Jurisdiction</t>
        </is>
      </c>
      <c r="C6" s="952" t="inlineStr">
        <is>
          <t>Confirm the parcel's county, municipal boundary and whether it is unincorporated.</t>
        </is>
      </c>
      <c r="D6" s="952" t="inlineStr">
        <is>
          <t>County Cities &amp; Towns + Colorado Municipal Boundaries</t>
        </is>
      </c>
      <c r="E6" s="1188" t="inlineStr">
        <is>
          <t>https://gis.dola.colorado.gov/CO_Muni/</t>
        </is>
      </c>
      <c r="F6" s="952" t="inlineStr">
        <is>
          <t>Boundary map and jurisdiction note</t>
        </is>
      </c>
      <c r="G6" s="952" t="inlineStr">
        <is>
          <t>Mailing city differs from legal jurisdiction; recent annexation</t>
        </is>
      </c>
      <c r="H6" s="951" t="inlineStr">
        <is>
          <t>Not Started</t>
        </is>
      </c>
      <c r="I6" s="952" t="n"/>
    </row>
    <row r="7" ht="42" customHeight="1">
      <c r="A7" s="951" t="n">
        <v>3</v>
      </c>
      <c r="B7" s="952" t="inlineStr">
        <is>
          <t>Ownership</t>
        </is>
      </c>
      <c r="C7" s="952" t="inlineStr">
        <is>
          <t>Verify current owner name, mailing address, legal description and assessment record.</t>
        </is>
      </c>
      <c r="D7" s="952" t="inlineStr">
        <is>
          <t>Adams County Assessor Quick Search</t>
        </is>
      </c>
      <c r="E7" s="1188" t="inlineStr">
        <is>
          <t>https://gisapp.adcogov.org/quicksearch/</t>
        </is>
      </c>
      <c r="F7" s="952" t="inlineStr">
        <is>
          <t>Assessor property detail</t>
        </is>
      </c>
      <c r="G7" s="952" t="inlineStr">
        <is>
          <t>Owner entity name differs from contract; stale mailing address</t>
        </is>
      </c>
      <c r="H7" s="951" t="inlineStr">
        <is>
          <t>Not Started</t>
        </is>
      </c>
      <c r="I7" s="952" t="n"/>
    </row>
    <row r="8" ht="42" customHeight="1">
      <c r="A8" s="951" t="n">
        <v>4</v>
      </c>
      <c r="B8" s="952" t="inlineStr">
        <is>
          <t>Legal description</t>
        </is>
      </c>
      <c r="C8" s="952" t="inlineStr">
        <is>
          <t>Compare the assessor legal description with the deed and survey/plat.</t>
        </is>
      </c>
      <c r="D8" s="952" t="inlineStr">
        <is>
          <t>Adams County Landmark Web</t>
        </is>
      </c>
      <c r="E8" s="1188" t="inlineStr">
        <is>
          <t>https://recording.adamscountyco.gov/landmarkweb/</t>
        </is>
      </c>
      <c r="F8" s="952" t="inlineStr">
        <is>
          <t>Latest vesting deed and legal description</t>
        </is>
      </c>
      <c r="G8" s="952" t="inlineStr">
        <is>
          <t>Abbreviated assessor description, omitted tract, exception or easement</t>
        </is>
      </c>
      <c r="H8" s="951" t="inlineStr">
        <is>
          <t>Not Started</t>
        </is>
      </c>
      <c r="I8" s="952" t="n"/>
    </row>
    <row r="9" ht="42" customHeight="1">
      <c r="A9" s="951" t="n">
        <v>5</v>
      </c>
      <c r="B9" s="952" t="inlineStr">
        <is>
          <t>Deed chain</t>
        </is>
      </c>
      <c r="C9" s="952" t="inlineStr">
        <is>
          <t>Pull the current vesting deed and prior deeds needed to understand title history.</t>
        </is>
      </c>
      <c r="D9" s="952" t="inlineStr">
        <is>
          <t>Adams County Landmark Web</t>
        </is>
      </c>
      <c r="E9" s="1188" t="inlineStr">
        <is>
          <t>https://recording.adamscountyco.gov/landmarkweb/</t>
        </is>
      </c>
      <c r="F9" s="952" t="inlineStr">
        <is>
          <t>Recorded deed images and document numbers</t>
        </is>
      </c>
      <c r="G9" s="952" t="inlineStr">
        <is>
          <t>Quitclaim transfers, estate/probate issues, entity changes, recording gaps</t>
        </is>
      </c>
      <c r="H9" s="951" t="inlineStr">
        <is>
          <t>Not Started</t>
        </is>
      </c>
      <c r="I9" s="952" t="n"/>
    </row>
    <row r="10" ht="42" customHeight="1">
      <c r="A10" s="951" t="n">
        <v>6</v>
      </c>
      <c r="B10" s="952" t="inlineStr">
        <is>
          <t>Recorded encumbrances</t>
        </is>
      </c>
      <c r="C10" s="952" t="inlineStr">
        <is>
          <t>Search for deeds of trust, releases, easements, covenants, liens, notices and agreements.</t>
        </is>
      </c>
      <c r="D10" s="952" t="inlineStr">
        <is>
          <t>Adams County Recorded Documents</t>
        </is>
      </c>
      <c r="E10" s="1188" t="inlineStr">
        <is>
          <t>https://adamscountyco.gov/service/find-public-records-recorded-documents/</t>
        </is>
      </c>
      <c r="F10" s="952" t="inlineStr">
        <is>
          <t>Index results and relevant document images</t>
        </is>
      </c>
      <c r="G10" s="952" t="inlineStr">
        <is>
          <t>Unreleased liens, access easements, restrictive covenants, notices of default</t>
        </is>
      </c>
      <c r="H10" s="951" t="inlineStr">
        <is>
          <t>Not Started</t>
        </is>
      </c>
      <c r="I10" s="952" t="n"/>
    </row>
    <row r="11" ht="42" customHeight="1">
      <c r="A11" s="951" t="n">
        <v>7</v>
      </c>
      <c r="B11" s="952" t="inlineStr">
        <is>
          <t>Title</t>
        </is>
      </c>
      <c r="C11" s="952" t="inlineStr">
        <is>
          <t>Order a title commitment and compare exceptions with independently found records.</t>
        </is>
      </c>
      <c r="D11" s="952" t="inlineStr">
        <is>
          <t>Licensed title company / attorney</t>
        </is>
      </c>
      <c r="E11" s="963" t="n"/>
      <c r="F11" s="952" t="inlineStr">
        <is>
          <t>Current title commitment and exception documents</t>
        </is>
      </c>
      <c r="G11" s="952" t="inlineStr">
        <is>
          <t>Unresolved requirements, gap risk, standard exceptions that need survey evidence</t>
        </is>
      </c>
      <c r="H11" s="951" t="inlineStr">
        <is>
          <t>Not Started</t>
        </is>
      </c>
      <c r="I11" s="952" t="n"/>
    </row>
    <row r="12" ht="42" customHeight="1">
      <c r="A12" s="951" t="n">
        <v>8</v>
      </c>
      <c r="B12" s="952" t="inlineStr">
        <is>
          <t>Taxes</t>
        </is>
      </c>
      <c r="C12" s="952" t="inlineStr">
        <is>
          <t>Verify current and prior property-tax status, delinquency and payment history.</t>
        </is>
      </c>
      <c r="D12" s="952" t="inlineStr">
        <is>
          <t>Adams County Tax Portal</t>
        </is>
      </c>
      <c r="E12" s="1188" t="inlineStr">
        <is>
          <t>https://adcotax.com/</t>
        </is>
      </c>
      <c r="F12" s="952" t="inlineStr">
        <is>
          <t>Tax statement and payment history</t>
        </is>
      </c>
      <c r="G12" s="952" t="inlineStr">
        <is>
          <t>Delinquent taxes, omitted taxes, special assessments</t>
        </is>
      </c>
      <c r="H12" s="951" t="inlineStr">
        <is>
          <t>Not Started</t>
        </is>
      </c>
      <c r="I12" s="952" t="n"/>
    </row>
    <row r="13" ht="42" customHeight="1">
      <c r="A13" s="951" t="n">
        <v>9</v>
      </c>
      <c r="B13" s="952" t="inlineStr">
        <is>
          <t>Tax liens / deed</t>
        </is>
      </c>
      <c r="C13" s="952" t="inlineStr">
        <is>
          <t>Check tax-lien sale and treasurer's deed information when delinquency appears.</t>
        </is>
      </c>
      <c r="D13" s="952" t="inlineStr">
        <is>
          <t>Adams County Tax Lien Sale</t>
        </is>
      </c>
      <c r="E13" s="1188" t="inlineStr">
        <is>
          <t>https://adamscountyco.gov/our-county/elected-officials/treasurer-public-trustee/treasurer-division/tax-lien-sale/</t>
        </is>
      </c>
      <c r="F13" s="952" t="inlineStr">
        <is>
          <t>Tax-lien research notes</t>
        </is>
      </c>
      <c r="G13" s="952" t="inlineStr">
        <is>
          <t>Outstanding certificates, redemption deadlines, treasurer's deed process</t>
        </is>
      </c>
      <c r="H13" s="951" t="inlineStr">
        <is>
          <t>Not Started</t>
        </is>
      </c>
      <c r="I13" s="952" t="n"/>
    </row>
    <row r="14" ht="42" customHeight="1">
      <c r="A14" s="951" t="n">
        <v>10</v>
      </c>
      <c r="B14" s="952" t="inlineStr">
        <is>
          <t>Foreclosure</t>
        </is>
      </c>
      <c r="C14" s="952" t="inlineStr">
        <is>
          <t>Search public trustee foreclosure records and reports.</t>
        </is>
      </c>
      <c r="D14" s="952" t="inlineStr">
        <is>
          <t>Adams County Foreclosure Search</t>
        </is>
      </c>
      <c r="E14" s="1188" t="inlineStr">
        <is>
          <t>https://apps.adcogov.org/PTForeclosureSearch/?ds=1</t>
        </is>
      </c>
      <c r="F14" s="952" t="inlineStr">
        <is>
          <t>Foreclosure search results</t>
        </is>
      </c>
      <c r="G14" s="952" t="inlineStr">
        <is>
          <t>Active case, sale date, withdrawn/restarted case, borrower-name variants</t>
        </is>
      </c>
      <c r="H14" s="951" t="inlineStr">
        <is>
          <t>Not Started</t>
        </is>
      </c>
      <c r="I14" s="952" t="n"/>
    </row>
    <row r="15" ht="42" customHeight="1">
      <c r="A15" s="951" t="n">
        <v>11</v>
      </c>
      <c r="B15" s="952" t="inlineStr">
        <is>
          <t>Survey / plat</t>
        </is>
      </c>
      <c r="C15" s="952" t="inlineStr">
        <is>
          <t>Locate recorded plats and surveys; obtain a current survey if boundaries or improvements matter.</t>
        </is>
      </c>
      <c r="D15" s="952" t="inlineStr">
        <is>
          <t>Adams County Land Survey Plats</t>
        </is>
      </c>
      <c r="E15" s="1188" t="inlineStr">
        <is>
          <t>https://adamscountyco.gov/our-county/elected-officials/clerk-recorder/recording/land-survey-plats/</t>
        </is>
      </c>
      <c r="F15" s="952" t="inlineStr">
        <is>
          <t>Recorded plat/survey and current field survey when appropriate</t>
        </is>
      </c>
      <c r="G15" s="952" t="inlineStr">
        <is>
          <t>Encroachments, gaps/overlaps, fence conflicts, unrecorded access</t>
        </is>
      </c>
      <c r="H15" s="951" t="inlineStr">
        <is>
          <t>Not Started</t>
        </is>
      </c>
      <c r="I15" s="952" t="n"/>
    </row>
    <row r="16" ht="42" customHeight="1">
      <c r="A16" s="951" t="n">
        <v>12</v>
      </c>
      <c r="B16" s="952" t="inlineStr">
        <is>
          <t>Zoning district</t>
        </is>
      </c>
      <c r="C16" s="952" t="inlineStr">
        <is>
          <t>Confirm zoning with the correct city/town or Adams County for an unincorporated parcel.</t>
        </is>
      </c>
      <c r="D16" s="952" t="inlineStr">
        <is>
          <t>Quick Matrix / local zoning page</t>
        </is>
      </c>
      <c r="E16" s="963" t="n"/>
      <c r="F16" s="952" t="inlineStr">
        <is>
          <t>Zoning map screenshot and written zoning confirmation when material</t>
        </is>
      </c>
      <c r="G16" s="952" t="inlineStr">
        <is>
          <t>Split zoning, overlay district, pending rezoning, map/code conflict</t>
        </is>
      </c>
      <c r="H16" s="951" t="inlineStr">
        <is>
          <t>Not Started</t>
        </is>
      </c>
      <c r="I16" s="952" t="n"/>
    </row>
    <row r="17" ht="42" customHeight="1">
      <c r="A17" s="951" t="n">
        <v>13</v>
      </c>
      <c r="B17" s="952" t="inlineStr">
        <is>
          <t>Allowed use</t>
        </is>
      </c>
      <c r="C17" s="952" t="inlineStr">
        <is>
          <t>Read the current code for permitted, conditional, accessory and prohibited uses.</t>
        </is>
      </c>
      <c r="D17" s="952" t="inlineStr">
        <is>
          <t>Local land-use code</t>
        </is>
      </c>
      <c r="E17" s="963" t="n"/>
      <c r="F17" s="952" t="inlineStr">
        <is>
          <t>Code sections and planner confirmation</t>
        </is>
      </c>
      <c r="G17" s="952" t="inlineStr">
        <is>
          <t>Use requires hearing, spacing/separation rule, nonconforming status</t>
        </is>
      </c>
      <c r="H17" s="951" t="inlineStr">
        <is>
          <t>Not Started</t>
        </is>
      </c>
      <c r="I17" s="952" t="n"/>
    </row>
    <row r="18" ht="42" customHeight="1">
      <c r="A18" s="951" t="n">
        <v>14</v>
      </c>
      <c r="B18" s="952" t="inlineStr">
        <is>
          <t>Dimensional / design standards</t>
        </is>
      </c>
      <c r="C18" s="952" t="inlineStr">
        <is>
          <t>Check setbacks, height, lot coverage, parking, landscaping, design and sign rules.</t>
        </is>
      </c>
      <c r="D18" s="952" t="inlineStr">
        <is>
          <t>Local zoning/development code</t>
        </is>
      </c>
      <c r="E18" s="963" t="n"/>
      <c r="F18" s="952" t="inlineStr">
        <is>
          <t>Applicable standard excerpts</t>
        </is>
      </c>
      <c r="G18" s="952" t="inlineStr">
        <is>
          <t>Existing or proposed improvements do not comply</t>
        </is>
      </c>
      <c r="H18" s="951" t="inlineStr">
        <is>
          <t>Not Started</t>
        </is>
      </c>
      <c r="I18" s="952" t="n"/>
    </row>
    <row r="19" ht="42" customHeight="1">
      <c r="A19" s="951" t="n">
        <v>15</v>
      </c>
      <c r="B19" s="952" t="inlineStr">
        <is>
          <t>Overlays / constraints</t>
        </is>
      </c>
      <c r="C19" s="952" t="inlineStr">
        <is>
          <t>Check airport, flood, historic, oil/gas, design, corridor and other overlay districts.</t>
        </is>
      </c>
      <c r="D19" s="952" t="inlineStr">
        <is>
          <t>Local GIS + county/state tools</t>
        </is>
      </c>
      <c r="E19" s="963" t="n"/>
      <c r="F19" s="952" t="inlineStr">
        <is>
          <t>Overlay maps and applicable standards</t>
        </is>
      </c>
      <c r="G19" s="952" t="inlineStr">
        <is>
          <t>Overlay adds approval, disclosure or construction limits</t>
        </is>
      </c>
      <c r="H19" s="951" t="inlineStr">
        <is>
          <t>Not Started</t>
        </is>
      </c>
      <c r="I19" s="952" t="n"/>
    </row>
    <row r="20" ht="42" customHeight="1">
      <c r="A20" s="951" t="n">
        <v>16</v>
      </c>
      <c r="B20" s="952" t="inlineStr">
        <is>
          <t>Future land use</t>
        </is>
      </c>
      <c r="C20" s="952" t="inlineStr">
        <is>
          <t>Review the comprehensive plan, future land-use map and adopted area/corridor plans.</t>
        </is>
      </c>
      <c r="D20" s="952" t="inlineStr">
        <is>
          <t>Local comprehensive/long-range plan</t>
        </is>
      </c>
      <c r="E20" s="963" t="n"/>
      <c r="F20" s="952" t="inlineStr">
        <is>
          <t>Future land-use designation and policy notes</t>
        </is>
      </c>
      <c r="G20" s="952" t="inlineStr">
        <is>
          <t>Future designation conflicts with intended use; planned roadway or redevelopment area</t>
        </is>
      </c>
      <c r="H20" s="951" t="inlineStr">
        <is>
          <t>Not Started</t>
        </is>
      </c>
      <c r="I20" s="952" t="n"/>
    </row>
    <row r="21" ht="42" customHeight="1">
      <c r="A21" s="951" t="n">
        <v>17</v>
      </c>
      <c r="B21" s="952" t="inlineStr">
        <is>
          <t>Active development</t>
        </is>
      </c>
      <c r="C21" s="952" t="inlineStr">
        <is>
          <t>Search active development maps and project-status portals near the parcel.</t>
        </is>
      </c>
      <c r="D21" s="952" t="inlineStr">
        <is>
          <t>Local development projects page</t>
        </is>
      </c>
      <c r="E21" s="963" t="n"/>
      <c r="F21" s="952" t="inlineStr">
        <is>
          <t>Nearby project list/map</t>
        </is>
      </c>
      <c r="G21" s="952" t="inlineStr">
        <is>
          <t>Large pending project changes traffic, drainage, views, demand or compatibility</t>
        </is>
      </c>
      <c r="H21" s="951" t="inlineStr">
        <is>
          <t>Not Started</t>
        </is>
      </c>
      <c r="I21" s="952" t="n"/>
    </row>
    <row r="22" ht="42" customHeight="1">
      <c r="A22" s="951" t="n">
        <v>18</v>
      </c>
      <c r="B22" s="952" t="inlineStr">
        <is>
          <t>Hearings / cases</t>
        </is>
      </c>
      <c r="C22" s="952" t="inlineStr">
        <is>
          <t>Search current land-use cases, agendas and public notices by address, owner and project name.</t>
        </is>
      </c>
      <c r="D22" s="952" t="inlineStr">
        <is>
          <t>Meetings &amp; News sheet</t>
        </is>
      </c>
      <c r="E22" s="963" t="n"/>
      <c r="F22" s="952" t="inlineStr">
        <is>
          <t>Agendas, staff reports and hearing notices</t>
        </is>
      </c>
      <c r="G22" s="952" t="inlineStr">
        <is>
          <t>Pending rezoning, variance, annexation, subdivision or code amendment</t>
        </is>
      </c>
      <c r="H22" s="951" t="inlineStr">
        <is>
          <t>Not Started</t>
        </is>
      </c>
      <c r="I22" s="952" t="n"/>
    </row>
    <row r="23" ht="42" customHeight="1">
      <c r="A23" s="951" t="n">
        <v>19</v>
      </c>
      <c r="B23" s="952" t="inlineStr">
        <is>
          <t>Permit history</t>
        </is>
      </c>
      <c r="C23" s="952" t="inlineStr">
        <is>
          <t>Search building and development permits; request older records when online data is incomplete.</t>
        </is>
      </c>
      <c r="D23" s="952" t="inlineStr">
        <is>
          <t>Local permit portal / public records</t>
        </is>
      </c>
      <c r="E23" s="963" t="n"/>
      <c r="F23" s="952" t="inlineStr">
        <is>
          <t>Permit list, plans, certificates and inspection history</t>
        </is>
      </c>
      <c r="G23" s="952" t="inlineStr">
        <is>
          <t>Unpermitted work, open permit, failed inspection, missing certificate of occupancy</t>
        </is>
      </c>
      <c r="H23" s="951" t="inlineStr">
        <is>
          <t>Not Started</t>
        </is>
      </c>
      <c r="I23" s="952" t="n"/>
    </row>
    <row r="24" ht="42" customHeight="1">
      <c r="A24" s="951" t="n">
        <v>20</v>
      </c>
      <c r="B24" s="952" t="inlineStr">
        <is>
          <t>Code compliance</t>
        </is>
      </c>
      <c r="C24" s="952" t="inlineStr">
        <is>
          <t>Check for open code cases, violations and nuisance/unsafe-building records.</t>
        </is>
      </c>
      <c r="D24" s="952" t="inlineStr">
        <is>
          <t>Local code enforcement / records request</t>
        </is>
      </c>
      <c r="E24" s="963" t="n"/>
      <c r="F24" s="952" t="inlineStr">
        <is>
          <t>Code case history and clearance confirmation</t>
        </is>
      </c>
      <c r="G24" s="952" t="inlineStr">
        <is>
          <t>Open violation, repeat complaint, abatement lien or unsafe condition</t>
        </is>
      </c>
      <c r="H24" s="951" t="inlineStr">
        <is>
          <t>Not Started</t>
        </is>
      </c>
      <c r="I24" s="952" t="n"/>
    </row>
    <row r="25" ht="42" customHeight="1">
      <c r="A25" s="951" t="n">
        <v>21</v>
      </c>
      <c r="B25" s="952" t="inlineStr">
        <is>
          <t>Utilities / districts</t>
        </is>
      </c>
      <c r="C25" s="952" t="inlineStr">
        <is>
          <t>Identify water, sewer, fire, metro and other special districts; verify service and fees.</t>
        </is>
      </c>
      <c r="D25" s="952" t="inlineStr">
        <is>
          <t>Colorado Special Districts Map</t>
        </is>
      </c>
      <c r="E25" s="1188" t="inlineStr">
        <is>
          <t>https://gis.dola.colorado.gov/CO_SpecialDistrict/</t>
        </is>
      </c>
      <c r="F25" s="952" t="inlineStr">
        <is>
          <t>District list, service letters, fee schedules</t>
        </is>
      </c>
      <c r="G25" s="952" t="inlineStr">
        <is>
          <t>No committed service, high tap fees, multiple mill levies, private system</t>
        </is>
      </c>
      <c r="H25" s="951" t="inlineStr">
        <is>
          <t>Not Started</t>
        </is>
      </c>
      <c r="I25" s="952" t="n"/>
    </row>
    <row r="26" ht="42" customHeight="1">
      <c r="A26" s="951" t="n">
        <v>22</v>
      </c>
      <c r="B26" s="952" t="inlineStr">
        <is>
          <t>Water rights / wells</t>
        </is>
      </c>
      <c r="C26" s="952" t="inlineStr">
        <is>
          <t>Search wells, water rights, ditches and structures that may affect or serve the property.</t>
        </is>
      </c>
      <c r="D26" s="952" t="inlineStr">
        <is>
          <t>Colorado DWR Tools</t>
        </is>
      </c>
      <c r="E26" s="1188" t="inlineStr">
        <is>
          <t>https://dwr.state.co.us/Tools</t>
        </is>
      </c>
      <c r="F26" s="952" t="inlineStr">
        <is>
          <t>Well permit and water-right/structure records</t>
        </is>
      </c>
      <c r="G26" s="952" t="inlineStr">
        <is>
          <t>Unpermitted well, limited use, ditch easement, no transferable water</t>
        </is>
      </c>
      <c r="H26" s="951" t="inlineStr">
        <is>
          <t>Not Started</t>
        </is>
      </c>
      <c r="I26" s="952" t="n"/>
    </row>
    <row r="27" ht="42" customHeight="1">
      <c r="A27" s="951" t="n">
        <v>23</v>
      </c>
      <c r="B27" s="952" t="inlineStr">
        <is>
          <t>Flood / drainage</t>
        </is>
      </c>
      <c r="C27" s="952" t="inlineStr">
        <is>
          <t>Check FEMA maps, local floodplain layers, drainage studies and Letters of Map Change.</t>
        </is>
      </c>
      <c r="D27" s="952" t="inlineStr">
        <is>
          <t>FEMA Flood Map Service Center</t>
        </is>
      </c>
      <c r="E27" s="1188" t="inlineStr">
        <is>
          <t>https://msc.fema.gov/portal/search</t>
        </is>
      </c>
      <c r="F27" s="952" t="inlineStr">
        <is>
          <t>FIRM panel, flood zone, LOMC and local drainage information</t>
        </is>
      </c>
      <c r="G27" s="952" t="inlineStr">
        <is>
          <t>Special Flood Hazard Area, floodway, shallow flooding, required elevation/floodproofing</t>
        </is>
      </c>
      <c r="H27" s="951" t="inlineStr">
        <is>
          <t>Not Started</t>
        </is>
      </c>
      <c r="I27" s="952" t="n"/>
    </row>
    <row r="28" ht="42" customHeight="1">
      <c r="A28" s="951" t="n">
        <v>24</v>
      </c>
      <c r="B28" s="952" t="inlineStr">
        <is>
          <t>Soils / geotechnical</t>
        </is>
      </c>
      <c r="C28" s="952" t="inlineStr">
        <is>
          <t>Review Web Soil Survey and obtain geotechnical information appropriate to the project.</t>
        </is>
      </c>
      <c r="D28" s="952" t="inlineStr">
        <is>
          <t>USDA Web Soil Survey</t>
        </is>
      </c>
      <c r="E28" s="1188" t="inlineStr">
        <is>
          <t>https://websoilsurvey.nrcs.usda.gov/</t>
        </is>
      </c>
      <c r="F28" s="952" t="inlineStr">
        <is>
          <t>Soil report and geotechnical report when needed</t>
        </is>
      </c>
      <c r="G28" s="952" t="inlineStr">
        <is>
          <t>Expansive/collapsible soils, high water table, poor bearing or drainage</t>
        </is>
      </c>
      <c r="H28" s="951" t="inlineStr">
        <is>
          <t>Not Started</t>
        </is>
      </c>
      <c r="I28" s="952" t="n"/>
    </row>
    <row r="29" ht="42" customHeight="1">
      <c r="A29" s="951" t="n">
        <v>25</v>
      </c>
      <c r="B29" s="952" t="inlineStr">
        <is>
          <t>Wetlands / waters</t>
        </is>
      </c>
      <c r="C29" s="952" t="inlineStr">
        <is>
          <t>Screen wetlands and surface waters; determine whether delineation or permits are needed.</t>
        </is>
      </c>
      <c r="D29" s="952" t="inlineStr">
        <is>
          <t>National Wetlands Inventory</t>
        </is>
      </c>
      <c r="E29" s="1188" t="inlineStr">
        <is>
          <t>https://www.fws.gov/program/national-wetlands-inventory/wetlands-mapper</t>
        </is>
      </c>
      <c r="F29" s="952" t="inlineStr">
        <is>
          <t>Wetland map and consultant/agency determination if needed</t>
        </is>
      </c>
      <c r="G29" s="952" t="inlineStr">
        <is>
          <t>Mapped or field-indicated wetlands, jurisdictional waters, buffers</t>
        </is>
      </c>
      <c r="H29" s="951" t="inlineStr">
        <is>
          <t>Not Started</t>
        </is>
      </c>
      <c r="I29" s="952" t="n"/>
    </row>
    <row r="30" ht="42" customHeight="1">
      <c r="A30" s="951" t="n">
        <v>26</v>
      </c>
      <c r="B30" s="952" t="inlineStr">
        <is>
          <t>Environmental</t>
        </is>
      </c>
      <c r="C30" s="952" t="inlineStr">
        <is>
          <t>Search state and federal cleanup, waste, tank, covenant and Superfund databases.</t>
        </is>
      </c>
      <c r="D30" s="952" t="inlineStr">
        <is>
          <t>CDPHE Environmental Maps</t>
        </is>
      </c>
      <c r="E30" s="1188" t="inlineStr">
        <is>
          <t>https://cdphe.colorado.gov/hm/gis-data</t>
        </is>
      </c>
      <c r="F30" s="952" t="inlineStr">
        <is>
          <t>Database results and environmental reports</t>
        </is>
      </c>
      <c r="G30" s="952" t="inlineStr">
        <is>
          <t>Cleanup site, environmental covenant, leaking tank, landfill or hazardous facility</t>
        </is>
      </c>
      <c r="H30" s="951" t="inlineStr">
        <is>
          <t>Not Started</t>
        </is>
      </c>
      <c r="I30" s="952" t="n"/>
    </row>
    <row r="31" ht="42" customHeight="1">
      <c r="A31" s="951" t="n">
        <v>27</v>
      </c>
      <c r="B31" s="952" t="inlineStr">
        <is>
          <t>Oil and gas</t>
        </is>
      </c>
      <c r="C31" s="952" t="inlineStr">
        <is>
          <t>Check ECMC maps for wells, facilities, pipelines and regulatory records.</t>
        </is>
      </c>
      <c r="D31" s="952" t="inlineStr">
        <is>
          <t>ECMC Maps</t>
        </is>
      </c>
      <c r="E31" s="1188" t="inlineStr">
        <is>
          <t>https://ecmc.state.co.us/maps.html</t>
        </is>
      </c>
      <c r="F31" s="952" t="inlineStr">
        <is>
          <t>Facility map and relevant records</t>
        </is>
      </c>
      <c r="G31" s="952" t="inlineStr">
        <is>
          <t>Active/abandoned well, flowline, setback issue, remediation or access obligations</t>
        </is>
      </c>
      <c r="H31" s="951" t="inlineStr">
        <is>
          <t>Not Started</t>
        </is>
      </c>
      <c r="I31" s="952" t="n"/>
    </row>
    <row r="32" ht="42" customHeight="1">
      <c r="A32" s="951" t="n">
        <v>28</v>
      </c>
      <c r="B32" s="952" t="inlineStr">
        <is>
          <t>Access / roads / traffic</t>
        </is>
      </c>
      <c r="C32" s="952" t="inlineStr">
        <is>
          <t>Confirm legal and physical access, road jurisdiction, access permits and traffic conditions.</t>
        </is>
      </c>
      <c r="D32" s="952" t="inlineStr">
        <is>
          <t>Local public works + CDOT OTIS</t>
        </is>
      </c>
      <c r="E32" s="1188" t="inlineStr">
        <is>
          <t>https://dtdapps.codot.gov/otis</t>
        </is>
      </c>
      <c r="F32" s="952" t="inlineStr">
        <is>
          <t>Access documents, road data and agency correspondence</t>
        </is>
      </c>
      <c r="G32" s="952" t="inlineStr">
        <is>
          <t>No legal access, private-road maintenance, access-control restriction, future widening</t>
        </is>
      </c>
      <c r="H32" s="951" t="inlineStr">
        <is>
          <t>Not Started</t>
        </is>
      </c>
      <c r="I32" s="952" t="n"/>
    </row>
    <row r="33" ht="42" customHeight="1">
      <c r="A33" s="951" t="n">
        <v>29</v>
      </c>
      <c r="B33" s="952" t="inlineStr">
        <is>
          <t>Historic / cultural</t>
        </is>
      </c>
      <c r="C33" s="952" t="inlineStr">
        <is>
          <t>Check local historic overlays and state listed-property/cultural-resource tools.</t>
        </is>
      </c>
      <c r="D33" s="952" t="inlineStr">
        <is>
          <t>History Colorado Listed Properties</t>
        </is>
      </c>
      <c r="E33" s="1188" t="inlineStr">
        <is>
          <t>https://www.historycolorado.org/national-state-register-listed-properties</t>
        </is>
      </c>
      <c r="F33" s="952" t="inlineStr">
        <is>
          <t>Historic-status records and review requirements</t>
        </is>
      </c>
      <c r="G33" s="952" t="inlineStr">
        <is>
          <t>Designation or eligible resource limits demolition/alteration</t>
        </is>
      </c>
      <c r="H33" s="951" t="inlineStr">
        <is>
          <t>Not Started</t>
        </is>
      </c>
      <c r="I33" s="952" t="n"/>
    </row>
    <row r="34" ht="42" customHeight="1">
      <c r="A34" s="951" t="n">
        <v>30</v>
      </c>
      <c r="B34" s="952" t="inlineStr">
        <is>
          <t>HOA / covenants</t>
        </is>
      </c>
      <c r="C34" s="952" t="inlineStr">
        <is>
          <t>Search recorded declarations and confirm HOA registration, governing documents, dues and violations.</t>
        </is>
      </c>
      <c r="D34" s="952" t="inlineStr">
        <is>
          <t>Colorado HOA Center + county recorder</t>
        </is>
      </c>
      <c r="E34" s="1188" t="inlineStr">
        <is>
          <t>https://dre.colorado.gov/hoa-center</t>
        </is>
      </c>
      <c r="F34" s="952" t="inlineStr">
        <is>
          <t>Declarations, bylaws, budgets, status letter and registration</t>
        </is>
      </c>
      <c r="G34" s="952" t="inlineStr">
        <is>
          <t>Unregistered association, litigation, special assessment, rental/use restrictions</t>
        </is>
      </c>
      <c r="H34" s="951" t="inlineStr">
        <is>
          <t>Not Started</t>
        </is>
      </c>
      <c r="I34" s="952" t="n"/>
    </row>
    <row r="35" ht="42" customHeight="1">
      <c r="A35" s="951" t="n">
        <v>31</v>
      </c>
      <c r="B35" s="952" t="inlineStr">
        <is>
          <t>Entities / UCC</t>
        </is>
      </c>
      <c r="C35" s="952" t="inlineStr">
        <is>
          <t>Research seller/owner/applicant entities and UCC records where relevant.</t>
        </is>
      </c>
      <c r="D35" s="952" t="inlineStr">
        <is>
          <t>Colorado business and UCC searches</t>
        </is>
      </c>
      <c r="E35" s="1188" t="inlineStr">
        <is>
          <t>https://co.colorado.gov/search-business-records</t>
        </is>
      </c>
      <c r="F35" s="952" t="inlineStr">
        <is>
          <t>Entity filings, good-standing information and UCC results</t>
        </is>
      </c>
      <c r="G35" s="952" t="inlineStr">
        <is>
          <t>Dissolved entity, authority problem, secured filing, name mismatch</t>
        </is>
      </c>
      <c r="H35" s="951" t="inlineStr">
        <is>
          <t>Not Started</t>
        </is>
      </c>
      <c r="I35" s="952" t="n"/>
    </row>
    <row r="36" ht="42" customHeight="1">
      <c r="A36" s="951" t="n">
        <v>32</v>
      </c>
      <c r="B36" s="952" t="inlineStr">
        <is>
          <t>Final verification</t>
        </is>
      </c>
      <c r="C36" s="952" t="inlineStr">
        <is>
          <t>Confirm material conclusions with the responsible agency, title company, surveyor, engineer, planner and legal counsel.</t>
        </is>
      </c>
      <c r="D36" s="952" t="inlineStr">
        <is>
          <t>Responsible professionals and agencies</t>
        </is>
      </c>
      <c r="E36" s="963" t="n"/>
      <c r="F36" s="952" t="inlineStr">
        <is>
          <t>Written confirmations and final diligence memo</t>
        </is>
      </c>
      <c r="G36" s="952" t="inlineStr">
        <is>
          <t>Reliance only on GIS or informal web information; unresolved conflicts</t>
        </is>
      </c>
      <c r="H36" s="951" t="inlineStr">
        <is>
          <t>Not Started</t>
        </is>
      </c>
      <c r="I36" s="952" t="n"/>
    </row>
  </sheetData>
  <mergeCells count="2">
    <mergeCell ref="A1:I1"/>
    <mergeCell ref="A2:I2"/>
  </mergeCells>
  <dataValidations count="1">
    <dataValidation sqref="H5:H36" showDropDown="0" showInputMessage="0" showErrorMessage="0" allowBlank="0" type="list">
      <formula1>"Not Started,In Progress,Complete,N/A"</formula1>
    </dataValidation>
  </dataValidations>
  <hyperlinks>
    <hyperlink xmlns:r="http://schemas.openxmlformats.org/officeDocument/2006/relationships" ref="E5" r:id="rId1"/>
    <hyperlink xmlns:r="http://schemas.openxmlformats.org/officeDocument/2006/relationships" ref="E6" r:id="rId2"/>
    <hyperlink xmlns:r="http://schemas.openxmlformats.org/officeDocument/2006/relationships" ref="E7" r:id="rId3"/>
    <hyperlink xmlns:r="http://schemas.openxmlformats.org/officeDocument/2006/relationships" ref="E8" r:id="rId4"/>
    <hyperlink xmlns:r="http://schemas.openxmlformats.org/officeDocument/2006/relationships" ref="E9" r:id="rId5"/>
    <hyperlink xmlns:r="http://schemas.openxmlformats.org/officeDocument/2006/relationships" ref="E10" r:id="rId6"/>
    <hyperlink xmlns:r="http://schemas.openxmlformats.org/officeDocument/2006/relationships" ref="E12" r:id="rId7"/>
    <hyperlink xmlns:r="http://schemas.openxmlformats.org/officeDocument/2006/relationships" ref="E13" r:id="rId8"/>
    <hyperlink xmlns:r="http://schemas.openxmlformats.org/officeDocument/2006/relationships" ref="E14" r:id="rId9"/>
    <hyperlink xmlns:r="http://schemas.openxmlformats.org/officeDocument/2006/relationships" ref="E15" r:id="rId10"/>
    <hyperlink xmlns:r="http://schemas.openxmlformats.org/officeDocument/2006/relationships" ref="E25" r:id="rId11"/>
    <hyperlink xmlns:r="http://schemas.openxmlformats.org/officeDocument/2006/relationships" ref="E26" r:id="rId12"/>
    <hyperlink xmlns:r="http://schemas.openxmlformats.org/officeDocument/2006/relationships" ref="E27" r:id="rId13"/>
    <hyperlink xmlns:r="http://schemas.openxmlformats.org/officeDocument/2006/relationships" ref="E28" r:id="rId14"/>
    <hyperlink xmlns:r="http://schemas.openxmlformats.org/officeDocument/2006/relationships" ref="E29" r:id="rId15"/>
    <hyperlink xmlns:r="http://schemas.openxmlformats.org/officeDocument/2006/relationships" ref="E30" r:id="rId16"/>
    <hyperlink xmlns:r="http://schemas.openxmlformats.org/officeDocument/2006/relationships" ref="E31" r:id="rId17"/>
    <hyperlink xmlns:r="http://schemas.openxmlformats.org/officeDocument/2006/relationships" ref="E32" r:id="rId18"/>
    <hyperlink xmlns:r="http://schemas.openxmlformats.org/officeDocument/2006/relationships" ref="E33" r:id="rId19"/>
    <hyperlink xmlns:r="http://schemas.openxmlformats.org/officeDocument/2006/relationships" ref="E34" r:id="rId20"/>
    <hyperlink xmlns:r="http://schemas.openxmlformats.org/officeDocument/2006/relationships" ref="E35" r:id="rId21"/>
  </hyperlinks>
  <pageMargins left="0.75" right="0.75" top="1" bottom="1" header="0.5" footer="0.5"/>
</worksheet>
</file>

<file path=xl/worksheets/sheet23.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4.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5.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2026-07-11T02:55:30Z</dcterms:modified>
  <cp:lastModifiedBy>Armon Goldanloo</cp:lastModifiedBy>
  <cp:lastPrinted>2021-04-29T19:41:45Z</cp:lastPrinted>
</cp:coreProperties>
</file>