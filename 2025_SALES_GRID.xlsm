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S" sheetId="2" state="visible" r:id="rId2"/>
    <sheet name="WO" sheetId="3" state="visible" r:id="rId3"/>
    <sheet name="BAA Market" sheetId="4" state="visible" r:id="rId4"/>
    <sheet name="BAA Rent" sheetId="5" state="visible" r:id="rId5"/>
    <sheet name="Appeal" sheetId="6" state="visible" r:id="rId6"/>
    <sheet name="BOCC" sheetId="7" state="visible" r:id="rId7"/>
    <sheet name="M&amp;S Inputs" sheetId="8" state="visible" r:id="rId8"/>
    <sheet name="Cost Approach" sheetId="9" state="visible" r:id="rId9"/>
    <sheet name="Sales" sheetId="10" state="visible" r:id="rId10"/>
    <sheet name="Income" sheetId="11" state="visible" r:id="rId11"/>
    <sheet name="Codes" sheetId="12" state="visible" r:id="rId12"/>
    <sheet name="Occ Codes" sheetId="13" state="visible" r:id="rId13"/>
    <sheet name="Zoning Codes" sheetId="14" state="visible" r:id="rId14"/>
    <sheet name="Property Registry" sheetId="15" state="visible" r:id="rId15"/>
    <sheet name="Expense Database" sheetId="16" state="visible" r:id="rId16"/>
    <sheet name="PSF Summary" sheetId="17" state="visible" r:id="rId17"/>
  </sheets>
  <externalReferences>
    <externalReference r:id="rId18"/>
    <externalReference r:id="rId19"/>
    <externalReference r:id="rId20"/>
    <externalReference r:id="rId21"/>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_xlnm.Print_Area" localSheetId="2">'WO'!$A$2:$H$56</definedName>
    <definedName name="_Fill" localSheetId="3" hidden="1">[1]Vertical!#REF!</definedName>
    <definedName name="_Key1" localSheetId="3" hidden="1">[1]Vertical!#REF!</definedName>
    <definedName name="_Key2" localSheetId="3" hidden="1">[1]Vertical!#REF!</definedName>
    <definedName name="_Sort" localSheetId="3" hidden="1">[1]Vertical!#REF!</definedName>
    <definedName name="_Fill" localSheetId="4" hidden="1">#REF!</definedName>
    <definedName name="_Key1" localSheetId="4" hidden="1">#REF!</definedName>
    <definedName name="_Key2" localSheetId="4" hidden="1">#REF!</definedName>
    <definedName name="_Sort" localSheetId="4" hidden="1">#REF!</definedName>
    <definedName name="AdjRent1" localSheetId="4">'BAA Rent'!$G$23:$G$41</definedName>
    <definedName name="Location" localSheetId="4">[3]Codes!$G$1:$H$53</definedName>
    <definedName name="rent1" localSheetId="4">'BAA Rent'!$A$18</definedName>
    <definedName name="rent2" localSheetId="4">'BAA Rent'!$A$22</definedName>
    <definedName name="Subj" localSheetId="4">'BAA Rent'!$A$9</definedName>
    <definedName name="_Key1" localSheetId="5" hidden="1">[2]Sales!#REF!</definedName>
    <definedName name="_Key2" localSheetId="5" hidden="1">[2]Sales!#REF!</definedName>
    <definedName name="_Sort" localSheetId="5" hidden="1">[2]Sales!#REF!</definedName>
    <definedName name="Class" localSheetId="5">[2]Sales!#REF!</definedName>
    <definedName name="RENT" localSheetId="5">[2]Sales!#REF!</definedName>
    <definedName name="Rent_Title" localSheetId="5">[2]Sales!#REF!</definedName>
    <definedName name="SALES" localSheetId="5">[2]Sales!#REF!</definedName>
    <definedName name="SCH" localSheetId="5">[2]Sales!#REF!</definedName>
    <definedName name="_xlnm._FilterDatabase" localSheetId="9" hidden="1">'Sales'!$A$1:$AH$941</definedName>
    <definedName name="_xlnm.Print_Area" localSheetId="9">'Sales'!$A$1:$AC$5</definedName>
    <definedName name="_xlnm._FilterDatabase" localSheetId="10" hidden="1">'Income'!$A$1:$AK$1019</definedName>
    <definedName name="_xlnm.Print_Area" localSheetId="10">'Income'!$A$1:$AK$285</definedName>
  </definedNames>
  <calcPr calcId="191029" fullCalcOnLoad="1"/>
</workbook>
</file>

<file path=xl/styles.xml><?xml version="1.0" encoding="utf-8"?>
<styleSheet xmlns="http://schemas.openxmlformats.org/spreadsheetml/2006/main">
  <numFmts count="17">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s>
  <fonts count="112">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s>
  <fills count="28">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898">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00F2F6F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externalLink" Target="/xl/externalLinks/externalLink1.xml" Id="rId18" /><Relationship Type="http://schemas.openxmlformats.org/officeDocument/2006/relationships/externalLink" Target="/xl/externalLinks/externalLink2.xml" Id="rId19" /><Relationship Type="http://schemas.openxmlformats.org/officeDocument/2006/relationships/externalLink" Target="/xl/externalLinks/externalLink3.xml" Id="rId20" /><Relationship Type="http://schemas.openxmlformats.org/officeDocument/2006/relationships/externalLink" Target="/xl/externalLinks/externalLink4.xml" Id="rId21" /><Relationship Type="http://schemas.openxmlformats.org/officeDocument/2006/relationships/styles" Target="styles.xml" Id="rId22" /><Relationship Type="http://schemas.openxmlformats.org/officeDocument/2006/relationships/theme" Target="theme/theme1.xml" Id="rId23" /><Relationship Type="http://schemas.microsoft.com/office/2006/relationships/vbaProject" Target="vbaProject.bin" Id="rId24" /></Relationships>
</file>

<file path=xl/comments/comment1.xml><?xml version="1.0" encoding="utf-8"?>
<comments xmlns="http://schemas.openxmlformats.org/spreadsheetml/2006/main">
  <authors>
    <author>Workbook</author>
  </authors>
  <commentLis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s>
  <commentList>
    <comment ref="B1" authorId="0" shapeId="0">
      <text>
        <t xml:space="preserve">To Save Grid
1)Click Save button
2)Click File SaveAs
    new filename
   </t>
      </text>
    </comment>
  </commentList>
</comments>
</file>

<file path=xl/comments/comment3.xml><?xml version="1.0" encoding="utf-8"?>
<comments xmlns="http://schemas.openxmlformats.org/spreadsheetml/2006/main">
  <authors>
    <author> DEBRA K COAK</author>
  </authors>
  <commentList>
    <comment ref="D23" authorId="0" shapeId="0">
      <text>
        <t xml:space="preserve"> Type adjustment here, use minus sign for deduction
</t>
      </text>
    </comment>
    <comment ref="G24" authorId="0" shapeId="0">
      <text>
        <t xml:space="preserve"> Type adjustment here, use minus sign for deduction
</t>
      </text>
    </comment>
    <comment ref="D28" authorId="0" shapeId="0">
      <text>
        <t xml:space="preserve"> Type adjustment here, use minus sign for deduction
</t>
      </text>
    </comment>
    <comment ref="G29" authorId="0" shapeId="0">
      <text>
        <t xml:space="preserve"> Type adjustment here, use minus sign for deduction
</t>
      </text>
    </comment>
    <comment ref="D33" authorId="0" shapeId="0">
      <text>
        <t xml:space="preserve"> Type adjustment here, use minus sign for deduction
</t>
      </text>
    </comment>
    <comment ref="G34" authorId="0" shapeId="0">
      <text>
        <t xml:space="preserve"> Type adjustment here, use minus sign for deduction
</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List>
</comments>
</file>

<file path=xl/comments/comment6.xml><?xml version="1.0" encoding="utf-8"?>
<comments xmlns="http://schemas.openxmlformats.org/spreadsheetml/2006/main">
  <authors>
    <author> DEBRA K COAK</author>
  </authors>
  <commentList>
    <comment ref="H46" authorId="0"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vmlDrawing" Target="/xl/drawings/vmlDrawing7.vml" Id="anysvml" /></Relationships>
</file>

<file path=xl/worksheets/_rels/sheet11.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tabColor rgb="00C00000"/>
    <outlinePr summaryBelow="1" summaryRight="1"/>
    <pageSetUpPr/>
  </sheetPr>
  <dimension ref="B1:H35"/>
  <sheetViews>
    <sheetView showGridLines="0" workbookViewId="0">
      <selection activeCell="A1" sqref="A1"/>
    </sheetView>
  </sheetViews>
  <sheetFormatPr baseColWidth="8" defaultRowHeight="15"/>
  <cols>
    <col width="2" customWidth="1" min="1" max="1"/>
    <col width="26" customWidth="1" min="2" max="2"/>
    <col width="34" customWidth="1" min="3" max="3"/>
    <col width="24" customWidth="1" min="4" max="4"/>
    <col width="18" customWidth="1" min="5" max="5"/>
    <col width="45" customWidth="1" min="6" max="6"/>
    <col hidden="1" width="13" customWidth="1" min="8" max="8"/>
  </cols>
  <sheetData>
    <row r="1" ht="22" customHeight="1">
      <c r="B1" s="872" t="inlineStr">
        <is>
          <t>SUBJECT PROPERTY — MASTER INPUT</t>
        </is>
      </c>
      <c r="C1" s="872" t="n"/>
      <c r="D1" s="872" t="n"/>
      <c r="E1" s="872" t="n"/>
      <c r="F1" s="872"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875" t="n"/>
      <c r="D4" s="876" t="n"/>
    </row>
    <row r="5">
      <c r="B5" s="874" t="inlineStr">
        <is>
          <t>OCC Code</t>
        </is>
      </c>
      <c r="C5" s="875" t="n"/>
      <c r="D5" s="874" t="inlineStr">
        <is>
          <t>Code (parsed):</t>
        </is>
      </c>
      <c r="E5" s="877">
        <f>IFERROR(VALUE(LEFT($C$5,FIND(" - ",$C$5)-1)),"")</f>
        <v/>
      </c>
      <c r="F5" s="876" t="n"/>
    </row>
    <row r="6">
      <c r="B6" s="874" t="inlineStr">
        <is>
          <t>Building Size (SF)</t>
        </is>
      </c>
      <c r="C6" s="878" t="n"/>
    </row>
    <row r="7">
      <c r="B7" s="874" t="inlineStr">
        <is>
          <t>Site / Land Size (SF)</t>
        </is>
      </c>
      <c r="C7" s="878" t="n"/>
    </row>
    <row r="8">
      <c r="B8" s="874" t="inlineStr">
        <is>
          <t>Zoning</t>
        </is>
      </c>
      <c r="C8" s="875" t="n"/>
    </row>
    <row r="9">
      <c r="B9" s="874" t="inlineStr">
        <is>
          <t>Condition</t>
        </is>
      </c>
      <c r="C9" s="875" t="n"/>
    </row>
    <row r="10">
      <c r="B10" s="874" t="inlineStr">
        <is>
          <t>Quality</t>
        </is>
      </c>
      <c r="C10" s="875" t="n"/>
    </row>
    <row r="11">
      <c r="B11" s="874" t="inlineStr">
        <is>
          <t>Year Built (YOC)</t>
        </is>
      </c>
      <c r="C11" s="879" t="n"/>
      <c r="D11" s="874" t="inlineStr">
        <is>
          <t>Actual Age (yrs, auto):</t>
        </is>
      </c>
      <c r="E11" s="880">
        <f>IF($C$11="","",Year-$C$11)</f>
        <v/>
      </c>
    </row>
    <row r="13">
      <c r="B13" s="874" t="inlineStr">
        <is>
          <t>Size Match Tolerance (+/-)</t>
        </is>
      </c>
      <c r="C13" s="881" t="n">
        <v>0.25</v>
      </c>
    </row>
    <row r="16" ht="20" customHeight="1">
      <c r="B16" s="872" t="inlineStr">
        <is>
          <t>AUTOMATED COMP MATCHING</t>
        </is>
      </c>
      <c r="C16" s="872" t="n"/>
      <c r="D16" s="872" t="n"/>
      <c r="E16" s="872" t="n"/>
      <c r="F16" s="872" t="n"/>
    </row>
    <row r="17">
      <c r="B17" s="874" t="inlineStr">
        <is>
          <t>Matching Sales Comps found:</t>
        </is>
      </c>
      <c r="C17" s="88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88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894" t="inlineStr">
        <is>
          <t>Top Expense Comps (auto, best match first)</t>
        </is>
      </c>
      <c r="C29" s="896" t="n"/>
      <c r="D29" s="896" t="n"/>
      <c r="E29" s="896" t="n"/>
      <c r="F29" s="896" t="n"/>
    </row>
    <row r="30">
      <c r="B30" s="897" t="inlineStr">
        <is>
          <t>Address</t>
        </is>
      </c>
      <c r="C30" s="897" t="inlineStr">
        <is>
          <t>City</t>
        </is>
      </c>
      <c r="D30" s="897" t="inlineStr">
        <is>
          <t>Bldg SF</t>
        </is>
      </c>
      <c r="E30" s="897" t="inlineStr">
        <is>
          <t>Year</t>
        </is>
      </c>
      <c r="F30" s="897"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B24:F24"/>
    <mergeCell ref="B2:F2"/>
    <mergeCell ref="C5"/>
    <mergeCell ref="E5:F5"/>
    <mergeCell ref="B18:F18"/>
    <mergeCell ref="B27:F27"/>
    <mergeCell ref="C4:D4"/>
  </mergeCells>
  <dataValidations count="4">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C8" showDropDown="0" showInputMessage="0" showErrorMessage="0" allowBlank="1" type="list">
      <formula1>ZONING_TABLE</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codeName="Sheet6">
    <tabColor rgb="00808080"/>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741" t="inlineStr">
        <is>
          <t>Click on the tab at the bottom to switch between worksheets</t>
        </is>
      </c>
      <c r="B1" s="742" t="n"/>
      <c r="C1" s="742" t="n"/>
      <c r="D1" s="742" t="n"/>
      <c r="E1" s="742" t="n"/>
      <c r="F1" s="742" t="n"/>
      <c r="G1" s="742" t="n"/>
      <c r="H1" s="742" t="n"/>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743" t="inlineStr">
        <is>
          <t>Appeal Year</t>
        </is>
      </c>
      <c r="B8" s="744"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3.xml><?xml version="1.0" encoding="utf-8"?>
<worksheet xmlns="http://schemas.openxmlformats.org/spreadsheetml/2006/main">
  <sheetPr codeName="Sheet1" transitionEvaluation="1" transitionEntry="1">
    <tabColor rgb="002E75B6"/>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 hidden="1" width="13" customWidth="1" min="26" max="26"/>
  </cols>
  <sheetData>
    <row r="1" ht="23.45" customHeight="1">
      <c r="A1" s="5" t="n"/>
      <c r="B1" t="n"/>
      <c r="E1" s="1" t="inlineStr">
        <is>
          <t>y</t>
        </is>
      </c>
    </row>
    <row r="2" ht="25.5" customHeight="1">
      <c r="A2" s="745" t="inlineStr">
        <is>
          <t>MARKET SALES &amp; RENT COMPARABLES</t>
        </is>
      </c>
      <c r="B2" s="745" t="n"/>
      <c r="C2" s="745" t="n"/>
      <c r="D2" s="745" t="n"/>
      <c r="E2" s="745" t="n"/>
      <c r="F2" s="745" t="n"/>
      <c r="G2" s="745" t="n"/>
      <c r="H2" s="74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746" t="inlineStr">
        <is>
          <t>SUBJECT  PROPERTY  INFORMATION</t>
        </is>
      </c>
      <c r="B7" s="747" t="n"/>
      <c r="C7" s="747" t="n"/>
      <c r="D7" s="747" t="n"/>
      <c r="E7" s="747" t="n"/>
      <c r="F7" s="747" t="n"/>
      <c r="G7" s="747" t="n"/>
      <c r="H7" s="748" t="n"/>
    </row>
    <row r="8" ht="12" customHeight="1">
      <c r="A8" s="749" t="n"/>
      <c r="B8" s="750" t="inlineStr">
        <is>
          <t>Account Number</t>
        </is>
      </c>
      <c r="C8" s="751" t="inlineStr">
        <is>
          <t>Ngbh</t>
        </is>
      </c>
      <c r="D8" s="751" t="inlineStr">
        <is>
          <t xml:space="preserve">Land Area </t>
        </is>
      </c>
      <c r="E8" s="752" t="inlineStr">
        <is>
          <t>Quality</t>
        </is>
      </c>
      <c r="F8" s="751" t="inlineStr">
        <is>
          <t>Rent / Sq Ft</t>
        </is>
      </c>
      <c r="G8" s="751" t="inlineStr">
        <is>
          <t>Subject Sale Information</t>
        </is>
      </c>
      <c r="H8" s="753" t="inlineStr">
        <is>
          <t>Parcel Number</t>
        </is>
      </c>
    </row>
    <row r="9" ht="12" customHeight="1">
      <c r="A9" s="12" t="n"/>
      <c r="B9" s="750" t="inlineStr">
        <is>
          <t>Property Address</t>
        </is>
      </c>
      <c r="C9" s="751" t="inlineStr">
        <is>
          <t>Zone</t>
        </is>
      </c>
      <c r="D9" s="751" t="inlineStr">
        <is>
          <t xml:space="preserve">L : B  Ratio </t>
        </is>
      </c>
      <c r="E9" s="752" t="inlineStr">
        <is>
          <t>Physical Condition</t>
        </is>
      </c>
      <c r="F9" s="751" t="inlineStr">
        <is>
          <t>Vacancy</t>
        </is>
      </c>
      <c r="G9" s="751" t="inlineStr">
        <is>
          <t>Last Sale Date</t>
        </is>
      </c>
      <c r="H9" s="754" t="inlineStr">
        <is>
          <t>Assigned Value / Sq Ft</t>
        </is>
      </c>
    </row>
    <row r="10" ht="12" customHeight="1">
      <c r="A10" s="18" t="n"/>
      <c r="B10" s="755" t="inlineStr">
        <is>
          <t>Property Type</t>
        </is>
      </c>
      <c r="C10" s="756" t="inlineStr">
        <is>
          <t>YOC</t>
        </is>
      </c>
      <c r="D10" s="756" t="inlineStr">
        <is>
          <t xml:space="preserve">Building Area </t>
        </is>
      </c>
      <c r="E10" s="757" t="inlineStr">
        <is>
          <t>Functional Utility</t>
        </is>
      </c>
      <c r="F10" s="756" t="inlineStr">
        <is>
          <t>Expense Ratio</t>
        </is>
      </c>
      <c r="G10" s="756" t="inlineStr">
        <is>
          <t>Last Sale Price</t>
        </is>
      </c>
      <c r="H10" s="758" t="inlineStr">
        <is>
          <t>Assigned Value</t>
        </is>
      </c>
    </row>
    <row r="11" ht="12" customHeight="1">
      <c r="A11" s="12" t="n"/>
      <c r="B11" s="759" t="n"/>
      <c r="C11" s="760" t="n"/>
      <c r="D11" s="885">
        <f>Subj_SiteSF</f>
        <v/>
      </c>
      <c r="E11" s="886">
        <f>Subj_Quality</f>
        <v/>
      </c>
      <c r="F11" s="763" t="n"/>
      <c r="G11" s="764" t="n"/>
      <c r="H11" s="765" t="n"/>
    </row>
    <row r="12" ht="12" customHeight="1">
      <c r="A12" s="12" t="n"/>
      <c r="B12" s="887">
        <f>Subj_Address</f>
        <v/>
      </c>
      <c r="C12" s="888">
        <f>Subj_Zoning</f>
        <v/>
      </c>
      <c r="D12" s="889">
        <f>IF(OR(D13="",D13=0),"",ROUND(D11/D13,1)&amp;":1")</f>
        <v/>
      </c>
      <c r="E12" s="886">
        <f>Subj_Condition</f>
        <v/>
      </c>
      <c r="F12" s="767" t="n"/>
      <c r="G12" s="768" t="n"/>
      <c r="H12" s="518">
        <f>IF(D13=0,0,ROUND(H13/D13,2))</f>
        <v/>
      </c>
    </row>
    <row r="13" ht="12" customHeight="1" thickBot="1">
      <c r="A13" s="23" t="n"/>
      <c r="B13" s="890">
        <f>IFERROR(INDEX(OCC_TABLE_DESC,MATCH(Subj_OccCode,OCC_TABLE_CODE,0)),"")</f>
        <v/>
      </c>
      <c r="C13" s="891">
        <f>Subj_YOC</f>
        <v/>
      </c>
      <c r="D13" s="892">
        <f>Subj_BldgSF</f>
        <v/>
      </c>
      <c r="E13" s="772" t="n"/>
      <c r="F13" s="773" t="n"/>
      <c r="G13" s="774" t="n"/>
      <c r="H13" s="775"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746" t="inlineStr">
        <is>
          <t>MARKET  SALE  COMPARABLES</t>
        </is>
      </c>
      <c r="B16" s="747" t="n"/>
      <c r="C16" s="776" t="n"/>
      <c r="D16" s="776" t="n"/>
      <c r="E16" s="747" t="n"/>
      <c r="F16" s="776" t="n"/>
      <c r="G16" s="776" t="n"/>
      <c r="H16" s="777" t="n"/>
    </row>
    <row r="17" ht="12" customHeight="1">
      <c r="A17" s="778" t="n"/>
      <c r="B17" s="779" t="inlineStr">
        <is>
          <t>Account Number</t>
        </is>
      </c>
      <c r="C17" s="780" t="inlineStr">
        <is>
          <t>Ngbh</t>
        </is>
      </c>
      <c r="D17" s="781" t="inlineStr">
        <is>
          <t xml:space="preserve">Land Area </t>
        </is>
      </c>
      <c r="E17" s="782" t="inlineStr">
        <is>
          <t>Quality</t>
        </is>
      </c>
      <c r="F17" s="781" t="inlineStr">
        <is>
          <t xml:space="preserve">Sale Date </t>
        </is>
      </c>
      <c r="G17" s="783" t="inlineStr">
        <is>
          <t>Adj Sale Price / Sq Ft</t>
        </is>
      </c>
      <c r="H17" s="753" t="inlineStr">
        <is>
          <t>Parcel Number</t>
        </is>
      </c>
    </row>
    <row r="18" ht="12" customHeight="1">
      <c r="A18" s="784" t="n"/>
      <c r="B18" s="785" t="inlineStr">
        <is>
          <t>Property Address</t>
        </is>
      </c>
      <c r="C18" s="786" t="inlineStr">
        <is>
          <t>Zone</t>
        </is>
      </c>
      <c r="D18" s="787" t="inlineStr">
        <is>
          <t xml:space="preserve">L : B  Ratio </t>
        </is>
      </c>
      <c r="E18" s="788" t="inlineStr">
        <is>
          <t>Physical Condition</t>
        </is>
      </c>
      <c r="F18" s="787" t="inlineStr">
        <is>
          <t xml:space="preserve">Sale Price </t>
        </is>
      </c>
      <c r="G18" s="751" t="inlineStr">
        <is>
          <t>Net Adjustments</t>
        </is>
      </c>
      <c r="H18" s="754" t="inlineStr">
        <is>
          <t>Sale Remarks</t>
        </is>
      </c>
    </row>
    <row r="19" ht="12" customHeight="1">
      <c r="A19" s="789" t="inlineStr">
        <is>
          <t>#</t>
        </is>
      </c>
      <c r="B19" s="790" t="inlineStr">
        <is>
          <t>Property Type</t>
        </is>
      </c>
      <c r="C19" s="791" t="inlineStr">
        <is>
          <t>YOC</t>
        </is>
      </c>
      <c r="D19" s="792" t="inlineStr">
        <is>
          <t xml:space="preserve">Building Area </t>
        </is>
      </c>
      <c r="E19" s="793" t="inlineStr">
        <is>
          <t>Functional Utility</t>
        </is>
      </c>
      <c r="F19" s="792" t="inlineStr">
        <is>
          <t xml:space="preserve">Adjusted Sale Price </t>
        </is>
      </c>
      <c r="G19" s="756" t="inlineStr">
        <is>
          <t>Adj Value of Comp / Sq Ft</t>
        </is>
      </c>
      <c r="H19" s="758"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Z20">
        <f>IFERROR(MATCH(_xlfn.AGGREGATE(15,6,Sales!$AJ$2:$AJ$941,1),Sales!$AJ$2:$AJ$941,0)+1,"")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Z23">
        <f>IFERROR(MATCH(_xlfn.AGGREGATE(15,6,Sales!$AJ$2:$AJ$941,2),Sales!$AJ$2:$AJ$941,0)+1,"")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Z26">
        <f>IFERROR(MATCH(_xlfn.AGGREGATE(15,6,Sales!$AJ$2:$AJ$941,3),Sales!$AJ$2:$AJ$941,0)+1,"")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746" t="inlineStr">
        <is>
          <t>RENT  COMPARABLE  INFORMATION</t>
        </is>
      </c>
      <c r="B36" s="747" t="n"/>
      <c r="C36" s="747" t="n"/>
      <c r="D36" s="747" t="n"/>
      <c r="E36" s="747" t="n"/>
      <c r="F36" s="747" t="n"/>
      <c r="G36" s="795" t="n"/>
      <c r="H36" s="742" t="n"/>
    </row>
    <row r="37" ht="12" customHeight="1">
      <c r="A37" s="796" t="n"/>
      <c r="B37" s="797" t="inlineStr">
        <is>
          <t xml:space="preserve"> Source of Information</t>
        </is>
      </c>
      <c r="C37" s="783" t="inlineStr">
        <is>
          <t>Ngbh</t>
        </is>
      </c>
      <c r="D37" s="783" t="inlineStr">
        <is>
          <t xml:space="preserve">Land Area </t>
        </is>
      </c>
      <c r="E37" s="798" t="inlineStr">
        <is>
          <t>Quality</t>
        </is>
      </c>
      <c r="F37" s="783" t="inlineStr">
        <is>
          <t>Rent / Sq Ft</t>
        </is>
      </c>
      <c r="G37" s="799" t="n"/>
      <c r="H37" s="800" t="n"/>
    </row>
    <row r="38" ht="12" customHeight="1">
      <c r="A38" s="801" t="n"/>
      <c r="B38" s="750" t="inlineStr">
        <is>
          <t xml:space="preserve">  Location</t>
        </is>
      </c>
      <c r="C38" s="751" t="inlineStr">
        <is>
          <t>Zone</t>
        </is>
      </c>
      <c r="D38" s="751" t="inlineStr">
        <is>
          <t xml:space="preserve">L : B  Ratio </t>
        </is>
      </c>
      <c r="E38" s="752" t="n"/>
      <c r="F38" s="751" t="inlineStr">
        <is>
          <t>Vacancy</t>
        </is>
      </c>
      <c r="G38" s="802" t="inlineStr">
        <is>
          <t xml:space="preserve">Net Adjustments </t>
        </is>
      </c>
      <c r="H38" s="800" t="n"/>
    </row>
    <row r="39" ht="12" customHeight="1">
      <c r="A39" s="803" t="inlineStr">
        <is>
          <t>#</t>
        </is>
      </c>
      <c r="B39" s="755" t="inlineStr">
        <is>
          <t xml:space="preserve"> Property Type</t>
        </is>
      </c>
      <c r="C39" s="756" t="inlineStr">
        <is>
          <t>YOC</t>
        </is>
      </c>
      <c r="D39" s="756" t="inlineStr">
        <is>
          <t xml:space="preserve">Building Area </t>
        </is>
      </c>
      <c r="E39" s="757" t="n"/>
      <c r="F39" s="756" t="inlineStr">
        <is>
          <t>Expense Ratio</t>
        </is>
      </c>
      <c r="G39" s="804" t="inlineStr">
        <is>
          <t xml:space="preserve">Adjusted Rent </t>
        </is>
      </c>
      <c r="H39" s="800"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4.xml><?xml version="1.0" encoding="utf-8"?>
<worksheet xmlns="http://schemas.openxmlformats.org/spreadsheetml/2006/main">
  <sheetPr codeName="Sheet5">
    <tabColor rgb="002E75B6"/>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 hidden="1" width="13" customWidth="1" min="26" max="26"/>
  </cols>
  <sheetData>
    <row r="1" ht="26.25" customHeight="1">
      <c r="A1" s="805" t="inlineStr">
        <is>
          <t>IMPROVED MARKET APPROACH</t>
        </is>
      </c>
      <c r="B1" s="805" t="n"/>
      <c r="C1" s="805" t="n"/>
      <c r="D1" s="805" t="n"/>
      <c r="E1" s="805" t="n"/>
      <c r="F1" s="805" t="n"/>
      <c r="G1" s="805" t="n"/>
      <c r="H1" s="805" t="n"/>
      <c r="I1" s="805" t="n"/>
      <c r="J1" s="742" t="n"/>
      <c r="K1" s="742" t="n"/>
    </row>
    <row r="2"/>
    <row r="3" ht="21" customHeight="1" thickBot="1">
      <c r="A3" s="131" t="inlineStr">
        <is>
          <t>SUBJECT</t>
        </is>
      </c>
      <c r="B3" s="131" t="n"/>
      <c r="C3" s="131" t="n"/>
      <c r="D3" s="131" t="n"/>
      <c r="E3" s="131" t="n"/>
      <c r="F3" s="131" t="n"/>
      <c r="G3" s="131" t="n"/>
      <c r="H3" s="131" t="n"/>
      <c r="I3" s="131" t="n"/>
    </row>
    <row r="4" ht="13.5" customHeight="1" thickTop="1">
      <c r="B4" s="806" t="inlineStr">
        <is>
          <t>Account Number</t>
        </is>
      </c>
      <c r="C4" s="806" t="inlineStr">
        <is>
          <t>Grantor</t>
        </is>
      </c>
      <c r="D4" s="807" t="inlineStr">
        <is>
          <t xml:space="preserve">Sale Price </t>
        </is>
      </c>
      <c r="E4" s="807" t="inlineStr">
        <is>
          <t>Location</t>
        </is>
      </c>
      <c r="F4" s="807" t="inlineStr">
        <is>
          <t>Age</t>
        </is>
      </c>
      <c r="G4" s="808" t="n"/>
      <c r="H4" s="809" t="n"/>
      <c r="I4" s="810" t="inlineStr">
        <is>
          <t>Value of the</t>
        </is>
      </c>
    </row>
    <row r="5">
      <c r="B5" s="811" t="inlineStr">
        <is>
          <t>Property Address</t>
        </is>
      </c>
      <c r="C5" s="811" t="inlineStr">
        <is>
          <t>Grantee</t>
        </is>
      </c>
      <c r="D5" s="812" t="inlineStr">
        <is>
          <t>Sale Price  / SF</t>
        </is>
      </c>
      <c r="E5" s="812" t="inlineStr">
        <is>
          <t>Land Size</t>
        </is>
      </c>
      <c r="F5" s="812" t="inlineStr">
        <is>
          <t>Quality</t>
        </is>
      </c>
      <c r="G5" s="813" t="n"/>
      <c r="H5" s="814" t="n"/>
      <c r="I5" s="815" t="inlineStr">
        <is>
          <t xml:space="preserve"> Subject/SF</t>
        </is>
      </c>
    </row>
    <row r="6">
      <c r="B6" s="811" t="inlineStr">
        <is>
          <t>Parcel Number</t>
        </is>
      </c>
      <c r="C6" s="811" t="inlineStr">
        <is>
          <t>Reception Number</t>
        </is>
      </c>
      <c r="D6" s="816" t="inlineStr">
        <is>
          <t>PP/Time/Mkt Cond</t>
        </is>
      </c>
      <c r="E6" s="812" t="inlineStr">
        <is>
          <t>L : B  Ratio</t>
        </is>
      </c>
      <c r="F6" s="816" t="inlineStr">
        <is>
          <t>Phy./Funct Rating</t>
        </is>
      </c>
      <c r="G6" s="817" t="n"/>
      <c r="H6" s="814" t="n"/>
      <c r="I6" s="816" t="inlineStr">
        <is>
          <t>Value</t>
        </is>
      </c>
    </row>
    <row r="7" ht="13.5" customHeight="1" thickBot="1">
      <c r="B7" s="818" t="inlineStr">
        <is>
          <t>Property Type</t>
        </is>
      </c>
      <c r="C7" s="819" t="inlineStr">
        <is>
          <t>Sale Date</t>
        </is>
      </c>
      <c r="D7" s="820" t="inlineStr">
        <is>
          <t>Adj S P  / SF</t>
        </is>
      </c>
      <c r="E7" s="821" t="inlineStr">
        <is>
          <t>Building Size</t>
        </is>
      </c>
      <c r="F7" s="821" t="inlineStr">
        <is>
          <t>Zoning</t>
        </is>
      </c>
      <c r="G7" s="822" t="inlineStr">
        <is>
          <t>Comments</t>
        </is>
      </c>
      <c r="H7" s="823" t="n"/>
      <c r="I7" s="820"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805" t="inlineStr">
        <is>
          <t>COMPARABLE SALE PROPERTIES</t>
        </is>
      </c>
      <c r="B15" s="805" t="n"/>
      <c r="C15" s="805" t="n"/>
      <c r="D15" s="805" t="n"/>
      <c r="E15" s="805" t="n"/>
      <c r="F15" s="805" t="n"/>
      <c r="G15" s="805" t="n"/>
      <c r="H15" s="805" t="n"/>
      <c r="I15" s="805" t="n"/>
      <c r="J15" s="742" t="n"/>
      <c r="K15" s="742" t="n"/>
    </row>
    <row r="16" ht="13.5" customHeight="1" thickTop="1">
      <c r="A16" s="800" t="n"/>
      <c r="B16" s="806" t="inlineStr">
        <is>
          <t>Account Number</t>
        </is>
      </c>
      <c r="C16" s="806" t="inlineStr">
        <is>
          <t>Grantor</t>
        </is>
      </c>
      <c r="D16" s="807" t="inlineStr">
        <is>
          <t xml:space="preserve">Sale Price </t>
        </is>
      </c>
      <c r="E16" s="807" t="inlineStr">
        <is>
          <t>Location</t>
        </is>
      </c>
      <c r="F16" s="807" t="inlineStr">
        <is>
          <t>Age</t>
        </is>
      </c>
      <c r="G16" s="807" t="n"/>
      <c r="H16" s="807" t="n"/>
      <c r="I16" s="807" t="inlineStr">
        <is>
          <t>Indicated Value</t>
        </is>
      </c>
    </row>
    <row r="17">
      <c r="A17" s="800" t="n"/>
      <c r="B17" s="811" t="inlineStr">
        <is>
          <t>Property Address</t>
        </is>
      </c>
      <c r="C17" s="811" t="inlineStr">
        <is>
          <t>Grantee</t>
        </is>
      </c>
      <c r="D17" s="812" t="inlineStr">
        <is>
          <t>Sale Price  / SF</t>
        </is>
      </c>
      <c r="E17" s="812" t="inlineStr">
        <is>
          <t>Land Size</t>
        </is>
      </c>
      <c r="F17" s="812" t="inlineStr">
        <is>
          <t>Quality</t>
        </is>
      </c>
      <c r="G17" s="812" t="n"/>
      <c r="H17" s="812" t="inlineStr">
        <is>
          <t>Adjusted</t>
        </is>
      </c>
      <c r="I17" s="815" t="inlineStr">
        <is>
          <t>of the Subject/SF</t>
        </is>
      </c>
    </row>
    <row r="18">
      <c r="A18" s="800" t="n"/>
      <c r="B18" s="811" t="inlineStr">
        <is>
          <t>Parcel Number</t>
        </is>
      </c>
      <c r="C18" s="811" t="inlineStr">
        <is>
          <t>Reception Number</t>
        </is>
      </c>
      <c r="D18" s="816" t="inlineStr">
        <is>
          <t>PP/Time/Mkt Cond Adj</t>
        </is>
      </c>
      <c r="E18" s="812" t="inlineStr">
        <is>
          <t>L : B  Ratio</t>
        </is>
      </c>
      <c r="F18" s="816" t="inlineStr">
        <is>
          <t>Phy/Funct Rating</t>
        </is>
      </c>
      <c r="G18" s="816" t="inlineStr">
        <is>
          <t>Net</t>
        </is>
      </c>
      <c r="H18" s="812" t="inlineStr">
        <is>
          <t>Sale</t>
        </is>
      </c>
      <c r="I18" s="816" t="inlineStr">
        <is>
          <t>Indicated Value</t>
        </is>
      </c>
    </row>
    <row r="19" ht="13.5" customHeight="1" thickBot="1">
      <c r="A19" s="800" t="n"/>
      <c r="B19" s="818" t="inlineStr">
        <is>
          <t>Property Type</t>
        </is>
      </c>
      <c r="C19" s="819" t="inlineStr">
        <is>
          <t>Sale Date</t>
        </is>
      </c>
      <c r="D19" s="820" t="inlineStr">
        <is>
          <t>Adj S P  / SF</t>
        </is>
      </c>
      <c r="E19" s="821" t="inlineStr">
        <is>
          <t>Building Size/Keys</t>
        </is>
      </c>
      <c r="F19" s="821" t="inlineStr">
        <is>
          <t>Zoning</t>
        </is>
      </c>
      <c r="G19" s="820" t="inlineStr">
        <is>
          <t>Adj.</t>
        </is>
      </c>
      <c r="H19" s="821" t="inlineStr">
        <is>
          <t>Price/SF</t>
        </is>
      </c>
      <c r="I19" s="820"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Z21">
        <f>IFERROR(MATCH(_xlfn.AGGREGATE(15,6,Sales!$AJ$2:$AJ$941,1),Sales!$AJ$2:$AJ$941,0)+1,"")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Z26">
        <f>IFERROR(MATCH(_xlfn.AGGREGATE(15,6,Sales!$AJ$2:$AJ$941,2),Sales!$AJ$2:$AJ$941,0)+1,"")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Z31">
        <f>IFERROR(MATCH(_xlfn.AGGREGATE(15,6,Sales!$AJ$2:$AJ$941,3),Sales!$AJ$2:$AJ$941,0)+1,"")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Z36">
        <f>IFERROR(MATCH(_xlfn.AGGREGATE(15,6,Sales!$AJ$2:$AJ$941,4),Sales!$AJ$2:$AJ$941,0)+1,"")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5.xml><?xml version="1.0" encoding="utf-8"?>
<worksheet xmlns="http://schemas.openxmlformats.org/spreadsheetml/2006/main">
  <sheetPr codeName="Sheet11">
    <tabColor rgb="002E75B6"/>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A2" s="742" t="n"/>
      <c r="B2" s="824" t="inlineStr">
        <is>
          <t>RENT COMPARABLES</t>
        </is>
      </c>
      <c r="C2" s="824" t="n"/>
      <c r="D2" s="824" t="n"/>
      <c r="E2" s="824" t="n"/>
      <c r="F2" s="824" t="n"/>
      <c r="G2" s="824" t="n"/>
      <c r="H2" s="824" t="n"/>
    </row>
    <row r="4" ht="25.15" customHeight="1" thickBot="1">
      <c r="B4" s="825" t="inlineStr">
        <is>
          <t>SUBJECT</t>
        </is>
      </c>
      <c r="C4" s="826" t="n"/>
      <c r="D4" s="826" t="n"/>
      <c r="E4" s="826" t="n"/>
      <c r="F4" s="826" t="n"/>
      <c r="G4" s="826" t="n"/>
      <c r="H4" s="826" t="n"/>
    </row>
    <row r="5" ht="13.5" customHeight="1" thickTop="1">
      <c r="B5" s="827" t="inlineStr">
        <is>
          <t>Schedule Number</t>
        </is>
      </c>
      <c r="C5" s="828" t="inlineStr">
        <is>
          <t>Rent/Sq.Ft.</t>
        </is>
      </c>
      <c r="D5" s="829" t="inlineStr">
        <is>
          <t>Location</t>
        </is>
      </c>
      <c r="E5" s="829" t="inlineStr">
        <is>
          <t>Age</t>
        </is>
      </c>
      <c r="F5" s="829" t="n"/>
      <c r="G5" s="830" t="n"/>
      <c r="H5" s="831" t="n"/>
    </row>
    <row r="6">
      <c r="B6" s="832" t="inlineStr">
        <is>
          <t>Property Address</t>
        </is>
      </c>
      <c r="C6" s="833" t="inlineStr">
        <is>
          <t>Vacancy</t>
        </is>
      </c>
      <c r="D6" s="834" t="inlineStr">
        <is>
          <t>Land Size</t>
        </is>
      </c>
      <c r="E6" s="834" t="inlineStr">
        <is>
          <t>Quality</t>
        </is>
      </c>
      <c r="F6" s="834" t="n"/>
      <c r="G6" s="835" t="n"/>
      <c r="H6" s="836" t="n"/>
    </row>
    <row r="7">
      <c r="B7" s="832" t="inlineStr">
        <is>
          <t>Property Name</t>
        </is>
      </c>
      <c r="C7" s="834" t="inlineStr">
        <is>
          <t>Expense / Sq. Ft.</t>
        </is>
      </c>
      <c r="D7" s="834" t="inlineStr">
        <is>
          <t>L:B Ratio</t>
        </is>
      </c>
      <c r="E7" s="834" t="inlineStr">
        <is>
          <t>Phy/Funct Rating</t>
        </is>
      </c>
      <c r="F7" s="834" t="n"/>
      <c r="G7" s="835" t="n"/>
      <c r="H7" s="836" t="n"/>
    </row>
    <row r="8" ht="13.5" customHeight="1" thickBot="1">
      <c r="B8" s="837" t="inlineStr">
        <is>
          <t>Property Type</t>
        </is>
      </c>
      <c r="C8" s="838" t="inlineStr">
        <is>
          <t>Expense Ratio</t>
        </is>
      </c>
      <c r="D8" s="839" t="inlineStr">
        <is>
          <t>Building Size</t>
        </is>
      </c>
      <c r="E8" s="839" t="inlineStr">
        <is>
          <t>Zoning</t>
        </is>
      </c>
      <c r="F8" s="839" t="inlineStr">
        <is>
          <t>Other</t>
        </is>
      </c>
      <c r="G8" s="840" t="inlineStr">
        <is>
          <t>Comments</t>
        </is>
      </c>
      <c r="H8" s="841"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742" t="n"/>
      <c r="B17" s="842" t="inlineStr">
        <is>
          <t>COMPARABLE RENTAL PROPERTIES</t>
        </is>
      </c>
      <c r="C17" s="842" t="n"/>
      <c r="D17" s="842" t="n"/>
      <c r="E17" s="842" t="n"/>
      <c r="F17" s="842" t="n"/>
      <c r="G17" s="842" t="n"/>
      <c r="H17" s="842" t="n"/>
    </row>
    <row r="18" ht="13.5" customHeight="1" thickTop="1">
      <c r="A18" s="800" t="n"/>
      <c r="B18" s="827" t="n"/>
      <c r="C18" s="828" t="inlineStr">
        <is>
          <t>Rent/Sq.Ft.</t>
        </is>
      </c>
      <c r="D18" s="829" t="inlineStr">
        <is>
          <t>Location</t>
        </is>
      </c>
      <c r="E18" s="829" t="inlineStr">
        <is>
          <t>Age</t>
        </is>
      </c>
      <c r="F18" s="829" t="n"/>
      <c r="G18" s="829" t="n"/>
      <c r="H18" s="827" t="n"/>
    </row>
    <row r="19">
      <c r="A19" s="800" t="n"/>
      <c r="B19" s="832" t="inlineStr">
        <is>
          <t>OFFICE</t>
        </is>
      </c>
      <c r="C19" s="833" t="inlineStr">
        <is>
          <t>Vacancy</t>
        </is>
      </c>
      <c r="D19" s="834" t="inlineStr">
        <is>
          <t>Land Size</t>
        </is>
      </c>
      <c r="E19" s="834" t="inlineStr">
        <is>
          <t>Quality</t>
        </is>
      </c>
      <c r="F19" s="834" t="n"/>
      <c r="G19" s="834" t="n"/>
      <c r="H19" s="833" t="n"/>
    </row>
    <row r="20">
      <c r="A20" s="800" t="n"/>
      <c r="B20" s="832" t="inlineStr">
        <is>
          <t>Source</t>
        </is>
      </c>
      <c r="C20" s="834" t="inlineStr">
        <is>
          <t>Expense / Sq. Ft.</t>
        </is>
      </c>
      <c r="D20" s="834" t="inlineStr">
        <is>
          <t>L:B Ratio</t>
        </is>
      </c>
      <c r="E20" s="834" t="inlineStr">
        <is>
          <t>Phy/Funct Rating</t>
        </is>
      </c>
      <c r="F20" s="834" t="n"/>
      <c r="G20" s="833" t="inlineStr">
        <is>
          <t>Net</t>
        </is>
      </c>
      <c r="H20" s="833" t="inlineStr">
        <is>
          <t>Adjusted</t>
        </is>
      </c>
    </row>
    <row r="21" ht="13.5" customHeight="1" thickBot="1">
      <c r="A21" s="800" t="n"/>
      <c r="B21" s="837" t="inlineStr">
        <is>
          <t>Property Type</t>
        </is>
      </c>
      <c r="C21" s="838" t="inlineStr">
        <is>
          <t>Expense Ratio</t>
        </is>
      </c>
      <c r="D21" s="839" t="inlineStr">
        <is>
          <t>Building Size</t>
        </is>
      </c>
      <c r="E21" s="839" t="inlineStr">
        <is>
          <t>Zoning</t>
        </is>
      </c>
      <c r="F21" s="839" t="inlineStr">
        <is>
          <t>Other</t>
        </is>
      </c>
      <c r="G21" s="838" t="inlineStr">
        <is>
          <t>Adjustments</t>
        </is>
      </c>
      <c r="H21" s="838"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6.xml><?xml version="1.0" encoding="utf-8"?>
<worksheet xmlns="http://schemas.openxmlformats.org/spreadsheetml/2006/main">
  <sheetPr codeName="Sheet21">
    <tabColor rgb="002E75B6"/>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 hidden="1" width="13" customWidth="1" min="26" max="26"/>
  </cols>
  <sheetData>
    <row r="1">
      <c r="D1" t="n"/>
    </row>
    <row r="2"/>
    <row r="3"/>
    <row r="4"/>
    <row r="5"/>
    <row r="6"/>
    <row r="7"/>
    <row r="8"/>
    <row r="9"/>
    <row r="10"/>
    <row r="11"/>
    <row r="12"/>
    <row r="13"/>
    <row r="14"/>
    <row r="15"/>
    <row r="16"/>
    <row r="17"/>
    <row r="18"/>
    <row r="19">
      <c r="B19" s="162" t="inlineStr">
        <is>
          <t>OFFICE</t>
        </is>
      </c>
    </row>
    <row r="20"/>
    <row r="21"/>
    <row r="22"/>
    <row r="23"/>
    <row r="24"/>
    <row r="25"/>
    <row r="26"/>
    <row r="27"/>
    <row r="28"/>
    <row r="29"/>
    <row r="30"/>
    <row r="31"/>
    <row r="32"/>
    <row r="33"/>
    <row r="34"/>
    <row r="35"/>
    <row r="36"/>
    <row r="37"/>
    <row r="38"/>
    <row r="39"/>
    <row r="40"/>
    <row r="41"/>
    <row r="42"/>
    <row r="43"/>
    <row r="44"/>
    <row r="45"/>
    <row r="46"/>
    <row r="47"/>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2"/>
    <row r="53"/>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Z72">
        <f>IFERROR(MATCH(_xlfn.AGGREGATE(15,6,Sales!$AJ$2:$AJ$941,1),Sales!$AJ$2:$AJ$941,0)+1,"")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Z73">
        <f>IFERROR(MATCH(_xlfn.AGGREGATE(15,6,Sales!$AJ$2:$AJ$941,2),Sales!$AJ$2:$AJ$941,0)+1,"")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Z74">
        <f>IFERROR(MATCH(_xlfn.AGGREGATE(15,6,Sales!$AJ$2:$AJ$941,3),Sales!$AJ$2:$AJ$941,0)+1,"")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7.xml><?xml version="1.0" encoding="utf-8"?>
<worksheet xmlns="http://schemas.openxmlformats.org/spreadsheetml/2006/main">
  <sheetPr codeName="Sheet12">
    <tabColor rgb="002E75B6"/>
    <outlinePr summaryBelow="1" summaryRight="1"/>
    <pageSetUpPr fitToPage="1"/>
  </sheetPr>
  <dimension ref="A1:Z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 hidden="1" width="13" customWidth="1" min="26" max="26"/>
  </cols>
  <sheetData>
    <row r="1" ht="34.9" customHeight="1">
      <c r="A1" s="843" t="inlineStr">
        <is>
          <t>2025 APPEAL WORKSHEET</t>
        </is>
      </c>
      <c r="B1" s="844" t="n"/>
      <c r="C1" s="844" t="n"/>
      <c r="D1" s="844" t="n"/>
      <c r="E1" s="844" t="n"/>
      <c r="F1" s="844" t="n"/>
      <c r="G1" s="844" t="n"/>
      <c r="H1" s="844" t="n"/>
      <c r="I1" s="844" t="n"/>
      <c r="J1" s="844" t="n"/>
      <c r="K1" s="844" t="n"/>
    </row>
    <row r="2" ht="16.15" customHeight="1">
      <c r="A2" s="845" t="inlineStr">
        <is>
          <t>ACCOUNT NUMBER</t>
        </is>
      </c>
      <c r="D2" s="846" t="inlineStr">
        <is>
          <t> </t>
        </is>
      </c>
      <c r="E2" s="204" t="n"/>
      <c r="F2" s="204" t="n"/>
      <c r="G2" s="204" t="n"/>
      <c r="H2" s="204" t="n"/>
    </row>
    <row r="3" ht="16.15" customHeight="1">
      <c r="A3" s="845" t="inlineStr">
        <is>
          <t>PROPERTY ADDRESS</t>
        </is>
      </c>
      <c r="D3" s="847" t="inlineStr">
        <is>
          <t> </t>
        </is>
      </c>
      <c r="E3" s="205" t="n"/>
      <c r="F3" s="205" t="n"/>
      <c r="G3" s="205" t="n"/>
      <c r="H3" s="205" t="n"/>
    </row>
    <row r="4" ht="16.15" customHeight="1">
      <c r="A4" s="845" t="inlineStr">
        <is>
          <t>PROTEST NUMBER</t>
        </is>
      </c>
      <c r="D4" s="847" t="inlineStr">
        <is>
          <t> </t>
        </is>
      </c>
      <c r="E4" s="205" t="n"/>
      <c r="F4" s="205" t="n"/>
      <c r="G4" s="205" t="n"/>
      <c r="H4" s="205" t="n"/>
    </row>
    <row r="5" ht="16.15" customHeight="1">
      <c r="A5" s="845" t="inlineStr">
        <is>
          <t>PETITIONER'S NAME</t>
        </is>
      </c>
      <c r="D5" s="847" t="inlineStr">
        <is>
          <t> </t>
        </is>
      </c>
      <c r="E5" s="205" t="n"/>
      <c r="F5" s="205" t="n"/>
      <c r="G5" s="205" t="n"/>
      <c r="H5" s="205" t="n"/>
    </row>
    <row r="6"/>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6"/>
    <row r="17"/>
    <row r="18" ht="15" customHeight="1">
      <c r="A18" s="849" t="inlineStr">
        <is>
          <t>MARKET RENT COMPARABLES</t>
        </is>
      </c>
      <c r="B18" s="850" t="n"/>
      <c r="C18" s="850" t="n"/>
      <c r="D18" s="850" t="n"/>
      <c r="E18" s="850" t="n"/>
      <c r="F18" s="850" t="n"/>
      <c r="G18" s="850" t="n"/>
      <c r="H18" s="851" t="inlineStr">
        <is>
          <t>BUILDING</t>
        </is>
      </c>
      <c r="I18" s="851" t="n"/>
      <c r="J18" s="851" t="n"/>
      <c r="K18" s="852" t="inlineStr">
        <is>
          <t>EXP</t>
        </is>
      </c>
    </row>
    <row r="19" ht="15" customHeight="1">
      <c r="A19" s="324" t="n"/>
      <c r="B19" s="853" t="inlineStr">
        <is>
          <t>OFFICE</t>
        </is>
      </c>
      <c r="C19" s="854" t="inlineStr">
        <is>
          <t>USE TYPE</t>
        </is>
      </c>
      <c r="D19" s="854" t="n"/>
      <c r="E19" s="854" t="n"/>
      <c r="F19" s="855" t="inlineStr">
        <is>
          <t>ZONE</t>
        </is>
      </c>
      <c r="G19" s="853" t="inlineStr">
        <is>
          <t>YOC</t>
        </is>
      </c>
      <c r="H19" s="856" t="inlineStr">
        <is>
          <t>SQ FT</t>
        </is>
      </c>
      <c r="I19" s="857" t="inlineStr">
        <is>
          <t>RENT</t>
        </is>
      </c>
      <c r="J19" s="857" t="inlineStr">
        <is>
          <t>VACANCY</t>
        </is>
      </c>
      <c r="K19" s="858"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849" t="inlineStr">
        <is>
          <t>MARKET SALE COMPARABLES</t>
        </is>
      </c>
      <c r="B26" s="850" t="n"/>
      <c r="C26" s="850" t="n"/>
      <c r="D26" s="850" t="n"/>
      <c r="E26" s="850" t="n"/>
      <c r="F26" s="850" t="n"/>
      <c r="G26" s="850" t="n"/>
      <c r="H26" s="859" t="inlineStr">
        <is>
          <t>BUILDING</t>
        </is>
      </c>
      <c r="I26" s="859" t="inlineStr">
        <is>
          <t>SALE</t>
        </is>
      </c>
      <c r="J26" s="859" t="inlineStr">
        <is>
          <t>SALE</t>
        </is>
      </c>
      <c r="K26" s="860" t="inlineStr">
        <is>
          <t>S.P./</t>
        </is>
      </c>
    </row>
    <row r="27" ht="15" customHeight="1">
      <c r="A27" s="333" t="n"/>
      <c r="B27" s="854" t="inlineStr">
        <is>
          <t>PROPERTY ADDRESS</t>
        </is>
      </c>
      <c r="C27" s="854" t="n"/>
      <c r="D27" s="854" t="inlineStr">
        <is>
          <t>ACCOUNT NUMBER</t>
        </is>
      </c>
      <c r="E27" s="854" t="n"/>
      <c r="F27" s="854" t="n"/>
      <c r="G27" s="855" t="inlineStr">
        <is>
          <t>YOC</t>
        </is>
      </c>
      <c r="H27" s="857" t="inlineStr">
        <is>
          <t>SQ FT</t>
        </is>
      </c>
      <c r="I27" s="857" t="inlineStr">
        <is>
          <t>DATE</t>
        </is>
      </c>
      <c r="J27" s="857" t="inlineStr">
        <is>
          <t>PRICE</t>
        </is>
      </c>
      <c r="K27" s="861"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Z30">
        <f>IFERROR(MATCH(_xlfn.AGGREGATE(15,6,Sales!$AJ$2:$AJ$941,1),Sales!$AJ$2:$AJ$941,0)+1,"")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Z31">
        <f>IFERROR(MATCH(_xlfn.AGGREGATE(15,6,Sales!$AJ$2:$AJ$941,2),Sales!$AJ$2:$AJ$941,0)+1,"")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Z32">
        <f>IFERROR(MATCH(_xlfn.AGGREGATE(15,6,Sales!$AJ$2:$AJ$941,3),Sales!$AJ$2:$AJ$941,0)+1,"")</f>
        <v/>
      </c>
    </row>
    <row r="33"/>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3"/>
    <row r="44" ht="15.75" customHeight="1">
      <c r="A44" s="863" t="inlineStr">
        <is>
          <t>VALUE ALLOCATION OF SUBJECT PROPERTY:</t>
        </is>
      </c>
    </row>
    <row r="45"/>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8.xml><?xml version="1.0" encoding="utf-8"?>
<worksheet xmlns="http://schemas.openxmlformats.org/spreadsheetml/2006/main">
  <sheetPr>
    <tabColor rgb="00548235"/>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n">
        <v>406</v>
      </c>
      <c r="D293" t="inlineStr">
        <is>
          <t>14</t>
        </is>
      </c>
      <c r="E293" t="inlineStr">
        <is>
          <t>26</t>
        </is>
      </c>
      <c r="F293" t="inlineStr">
        <is>
          <t>14</t>
        </is>
      </c>
    </row>
    <row r="294">
      <c r="B294" t="inlineStr">
        <is>
          <t>Distribution Warehouses</t>
        </is>
      </c>
      <c r="C294" t="n">
        <v>407</v>
      </c>
      <c r="D294" t="inlineStr">
        <is>
          <t>14</t>
        </is>
      </c>
      <c r="E294" t="inlineStr">
        <is>
          <t>23</t>
        </is>
      </c>
      <c r="F294" t="inlineStr">
        <is>
          <t>14</t>
        </is>
      </c>
    </row>
    <row r="295">
      <c r="B295" t="inlineStr">
        <is>
          <t>Mini-Warehouses / Self-Storage</t>
        </is>
      </c>
      <c r="C295" t="n">
        <v>386</v>
      </c>
      <c r="D295" t="inlineStr">
        <is>
          <t>14</t>
        </is>
      </c>
      <c r="E295" t="inlineStr">
        <is>
          <t>28</t>
        </is>
      </c>
      <c r="F295" t="inlineStr">
        <is>
          <t>14</t>
        </is>
      </c>
    </row>
    <row r="296">
      <c r="B296" t="inlineStr">
        <is>
          <t>Mini-Warehouses, High-Rise</t>
        </is>
      </c>
      <c r="C296" t="n">
        <v>525</v>
      </c>
      <c r="D296" t="inlineStr">
        <is>
          <t>14</t>
        </is>
      </c>
      <c r="E296" t="inlineStr">
        <is>
          <t>28</t>
        </is>
      </c>
      <c r="F296" t="inlineStr">
        <is>
          <t>14</t>
        </is>
      </c>
    </row>
    <row r="297">
      <c r="B297" t="inlineStr">
        <is>
          <t>Industrials, Light Manufacturing</t>
        </is>
      </c>
      <c r="C297" t="n">
        <v>334</v>
      </c>
      <c r="D297" t="inlineStr">
        <is>
          <t>14</t>
        </is>
      </c>
      <c r="E297" t="inlineStr">
        <is>
          <t>14</t>
        </is>
      </c>
      <c r="F297" t="inlineStr">
        <is>
          <t>14</t>
        </is>
      </c>
    </row>
    <row r="298">
      <c r="B298" t="inlineStr">
        <is>
          <t>Industrials, Heavy (Process) Manufacturing</t>
        </is>
      </c>
      <c r="C298" t="n">
        <v>333</v>
      </c>
      <c r="D298" t="inlineStr">
        <is>
          <t>14</t>
        </is>
      </c>
      <c r="E298" t="inlineStr">
        <is>
          <t>15</t>
        </is>
      </c>
      <c r="F298" t="inlineStr">
        <is>
          <t>14</t>
        </is>
      </c>
    </row>
    <row r="299">
      <c r="B299" t="inlineStr">
        <is>
          <t>Service Garages (Commercial/Repair)</t>
        </is>
      </c>
      <c r="C299" t="n">
        <v>325</v>
      </c>
      <c r="D299" t="inlineStr">
        <is>
          <t>14</t>
        </is>
      </c>
      <c r="E299" t="inlineStr">
        <is>
          <t>32</t>
        </is>
      </c>
      <c r="F299" t="inlineStr">
        <is>
          <t>14</t>
        </is>
      </c>
    </row>
    <row r="300">
      <c r="B300" t="inlineStr">
        <is>
          <t>Retail Stores</t>
        </is>
      </c>
      <c r="C300" t="n">
        <v>353</v>
      </c>
      <c r="D300" t="inlineStr">
        <is>
          <t>13</t>
        </is>
      </c>
      <c r="E300" t="inlineStr">
        <is>
          <t>26</t>
        </is>
      </c>
      <c r="F300" t="inlineStr">
        <is>
          <t>13</t>
        </is>
      </c>
    </row>
    <row r="301">
      <c r="B301" t="inlineStr">
        <is>
          <t>Neighborhood Shopping Centers</t>
        </is>
      </c>
      <c r="C301" t="n">
        <v>412</v>
      </c>
      <c r="D301" t="inlineStr">
        <is>
          <t>13</t>
        </is>
      </c>
      <c r="E301" t="inlineStr">
        <is>
          <t>33</t>
        </is>
      </c>
      <c r="F301" t="inlineStr">
        <is>
          <t>13</t>
        </is>
      </c>
    </row>
    <row r="302">
      <c r="B302" t="inlineStr">
        <is>
          <t>Community Shopping Centers</t>
        </is>
      </c>
      <c r="C302" t="n">
        <v>413</v>
      </c>
      <c r="D302" t="inlineStr">
        <is>
          <t>13</t>
        </is>
      </c>
      <c r="E302" t="inlineStr">
        <is>
          <t>34</t>
        </is>
      </c>
      <c r="F302" t="inlineStr">
        <is>
          <t>13</t>
        </is>
      </c>
    </row>
    <row r="303">
      <c r="B303" t="inlineStr">
        <is>
          <t>Regional Shopping Centers</t>
        </is>
      </c>
      <c r="C303" t="n">
        <v>414</v>
      </c>
      <c r="D303" t="inlineStr">
        <is>
          <t>13</t>
        </is>
      </c>
      <c r="E303" t="inlineStr">
        <is>
          <t>35</t>
        </is>
      </c>
      <c r="F303" t="inlineStr">
        <is>
          <t>13</t>
        </is>
      </c>
    </row>
    <row r="304">
      <c r="B304" t="inlineStr">
        <is>
          <t>Department Stores</t>
        </is>
      </c>
      <c r="C304" t="n">
        <v>318</v>
      </c>
      <c r="D304" t="inlineStr">
        <is>
          <t>13</t>
        </is>
      </c>
      <c r="E304" t="inlineStr">
        <is>
          <t>27</t>
        </is>
      </c>
      <c r="F304" t="inlineStr">
        <is>
          <t>13</t>
        </is>
      </c>
    </row>
    <row r="305">
      <c r="B305" t="inlineStr">
        <is>
          <t>Discount Stores</t>
        </is>
      </c>
      <c r="C305" t="n">
        <v>319</v>
      </c>
      <c r="D305" t="inlineStr">
        <is>
          <t>13</t>
        </is>
      </c>
      <c r="E305" t="inlineStr">
        <is>
          <t>28</t>
        </is>
      </c>
      <c r="F305" t="inlineStr">
        <is>
          <t>13</t>
        </is>
      </c>
    </row>
    <row r="306">
      <c r="B306" t="inlineStr">
        <is>
          <t>Office Buildings</t>
        </is>
      </c>
      <c r="C306" t="n">
        <v>344</v>
      </c>
      <c r="D306" t="inlineStr">
        <is>
          <t>15</t>
        </is>
      </c>
      <c r="E306" t="inlineStr">
        <is>
          <t>17</t>
        </is>
      </c>
      <c r="F306" t="inlineStr">
        <is>
          <t>15</t>
        </is>
      </c>
    </row>
    <row r="307">
      <c r="B307" t="inlineStr">
        <is>
          <t>Medical Office Buildings</t>
        </is>
      </c>
      <c r="C307" t="n">
        <v>341</v>
      </c>
      <c r="D307" t="inlineStr">
        <is>
          <t>15</t>
        </is>
      </c>
      <c r="E307" t="inlineStr">
        <is>
          <t>22</t>
        </is>
      </c>
      <c r="F307" t="inlineStr">
        <is>
          <t>15</t>
        </is>
      </c>
    </row>
    <row r="308">
      <c r="B308" t="inlineStr">
        <is>
          <t>Banks, Branch</t>
        </is>
      </c>
      <c r="C308" t="n">
        <v>304</v>
      </c>
      <c r="D308" t="inlineStr">
        <is>
          <t>15</t>
        </is>
      </c>
      <c r="E308" t="inlineStr">
        <is>
          <t>21</t>
        </is>
      </c>
      <c r="F308" t="inlineStr">
        <is>
          <t>15</t>
        </is>
      </c>
    </row>
    <row r="309">
      <c r="B309" t="inlineStr">
        <is>
          <t>Hotels, Full Service</t>
        </is>
      </c>
      <c r="C309" t="n">
        <v>332</v>
      </c>
      <c r="D309" t="inlineStr">
        <is>
          <t>11</t>
        </is>
      </c>
      <c r="E309" t="inlineStr">
        <is>
          <t>25</t>
        </is>
      </c>
      <c r="F309" t="inlineStr">
        <is>
          <t>11</t>
        </is>
      </c>
    </row>
    <row r="310">
      <c r="B310" t="inlineStr">
        <is>
          <t>Hotels, Limited Service</t>
        </is>
      </c>
      <c r="C310" t="n">
        <v>1332</v>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9.xml><?xml version="1.0" encoding="utf-8"?>
<worksheet xmlns="http://schemas.openxmlformats.org/spreadsheetml/2006/main">
  <sheetPr>
    <tabColor rgb="00548235"/>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f>IF(Subj_OccCode="","Storage Warehouses",IFERROR(INDEX(OCC_NAME,MATCH(Subj_OccCode,'M&amp;S Inputs'!$C$293:$C$310,0)),"No MVS cost data for OCC "&amp;Subj_OccCode&amp;" -- select manually"))</f>
        <v/>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f>Subj_Quality</f>
        <v/>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f>IFERROR('Subject Property'!$E$11,0)</f>
        <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10.xml><?xml version="1.0" encoding="utf-8"?>
<worksheet xmlns="http://schemas.openxmlformats.org/spreadsheetml/2006/main">
  <sheetPr codeName="Sheet2">
    <tabColor rgb="00BF8F00"/>
    <outlinePr summaryBelow="1" summaryRight="1"/>
    <pageSetUpPr fitToPage="1"/>
  </sheetPr>
  <dimension ref="A1:AN941"/>
  <sheetViews>
    <sheetView zoomScale="125" zoomScaleNormal="125" workbookViewId="0">
      <pane ySplit="1" topLeftCell="A2" activePane="bottomLeft" state="frozen"/>
      <selection pane="bottomLeft" activeCell="E47" sqref="E47"/>
      <selection pane="bottomLeft" activeCell="A1" sqref="A1"/>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hidden="1" width="9.33203125" customWidth="1" style="245" min="35" max="16384"/>
    <col hidden="1" width="13" customWidth="1" min="36" max="36"/>
  </cols>
  <sheetData>
    <row r="1" ht="36" customHeight="1">
      <c r="A1" s="864" t="inlineStr">
        <is>
          <t>Pos</t>
        </is>
      </c>
      <c r="B1" s="864" t="inlineStr">
        <is>
          <t>Num</t>
        </is>
      </c>
      <c r="C1" s="864" t="inlineStr">
        <is>
          <t>Parcel</t>
        </is>
      </c>
      <c r="D1" s="865" t="inlineStr">
        <is>
          <t>Filtered
Address</t>
        </is>
      </c>
      <c r="E1" s="864" t="inlineStr">
        <is>
          <t>OCC</t>
        </is>
      </c>
      <c r="F1" s="864" t="inlineStr">
        <is>
          <t>CITY</t>
        </is>
      </c>
      <c r="G1" s="865" t="inlineStr">
        <is>
          <t>Loc</t>
        </is>
      </c>
      <c r="H1" s="866" t="inlineStr">
        <is>
          <t>FTS</t>
        </is>
      </c>
      <c r="I1" s="864" t="inlineStr">
        <is>
          <t>Date</t>
        </is>
      </c>
      <c r="J1" s="864" t="inlineStr">
        <is>
          <t>Above
Grade NRA</t>
        </is>
      </c>
      <c r="K1" s="864" t="inlineStr">
        <is>
          <t>Bsmt
NRA</t>
        </is>
      </c>
      <c r="L1" s="864" t="inlineStr">
        <is>
          <t>NRA</t>
        </is>
      </c>
      <c r="M1" s="864" t="inlineStr">
        <is>
          <t>YOC</t>
        </is>
      </c>
      <c r="N1" s="864" t="inlineStr">
        <is>
          <t># Units</t>
        </is>
      </c>
      <c r="O1" s="864" t="inlineStr">
        <is>
          <t># Bldgs</t>
        </is>
      </c>
      <c r="P1" s="864" t="inlineStr">
        <is>
          <t>Zone</t>
        </is>
      </c>
      <c r="Q1" s="864" t="inlineStr">
        <is>
          <t>Str</t>
        </is>
      </c>
      <c r="R1" s="864" t="inlineStr">
        <is>
          <t>Grd</t>
        </is>
      </c>
      <c r="S1" s="864" t="inlineStr">
        <is>
          <t>Land</t>
        </is>
      </c>
      <c r="T1" s="865" t="inlineStr">
        <is>
          <t>L:B RATIO</t>
        </is>
      </c>
      <c r="U1" s="864" t="inlineStr">
        <is>
          <t>PHY</t>
        </is>
      </c>
      <c r="V1" s="864" t="inlineStr">
        <is>
          <t>FUN</t>
        </is>
      </c>
      <c r="W1" s="864" t="inlineStr">
        <is>
          <t>PF</t>
        </is>
      </c>
      <c r="X1" s="864" t="inlineStr">
        <is>
          <t>Tie-Back</t>
        </is>
      </c>
      <c r="Y1" s="864" t="inlineStr">
        <is>
          <t>Amount</t>
        </is>
      </c>
      <c r="Z1" s="864" t="inlineStr">
        <is>
          <t>Deduct.</t>
        </is>
      </c>
      <c r="AA1" s="864" t="inlineStr">
        <is>
          <t>Amount</t>
        </is>
      </c>
      <c r="AB1" s="864" t="inlineStr">
        <is>
          <t>Remarks</t>
        </is>
      </c>
      <c r="AC1" s="864" t="inlineStr">
        <is>
          <t>Parcel Number</t>
        </is>
      </c>
      <c r="AD1" s="864" t="inlineStr">
        <is>
          <t>Reception #</t>
        </is>
      </c>
      <c r="AE1" s="864" t="inlineStr">
        <is>
          <t>Grantor</t>
        </is>
      </c>
      <c r="AF1" s="864" t="inlineStr">
        <is>
          <t>Grantee</t>
        </is>
      </c>
      <c r="AG1" s="864" t="inlineStr">
        <is>
          <t>Street</t>
        </is>
      </c>
      <c r="AH1" s="864" t="inlineStr">
        <is>
          <t>Street</t>
        </is>
      </c>
      <c r="AI1" s="893"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1.xml><?xml version="1.0" encoding="utf-8"?>
<worksheet xmlns="http://schemas.openxmlformats.org/spreadsheetml/2006/main">
  <sheetPr codeName="Sheet3">
    <tabColor rgb="00BF8F00"/>
    <outlinePr summaryBelow="1" summaryRight="1"/>
    <pageSetUpPr fitToPage="1"/>
  </sheetPr>
  <dimension ref="A1:AX1019"/>
  <sheetViews>
    <sheetView zoomScale="90" workbookViewId="0">
      <pane ySplit="1" topLeftCell="A2" activePane="bottomLeft" state="frozen"/>
      <selection pane="bottomLeft" activeCell="E47" sqref="E47"/>
      <selection pane="bottomLeft" activeCell="E47" sqref="E47"/>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867" t="inlineStr">
        <is>
          <t>Pos</t>
        </is>
      </c>
      <c r="B1" s="868" t="inlineStr">
        <is>
          <t>Num</t>
        </is>
      </c>
      <c r="C1" s="867" t="inlineStr">
        <is>
          <t>Source</t>
        </is>
      </c>
      <c r="D1" s="867" t="inlineStr">
        <is>
          <t>Schedule</t>
        </is>
      </c>
      <c r="E1" s="867" t="inlineStr">
        <is>
          <t>Source</t>
        </is>
      </c>
      <c r="F1" s="867" t="inlineStr">
        <is>
          <t>Address</t>
        </is>
      </c>
      <c r="G1" s="869" t="inlineStr">
        <is>
          <t>Cls</t>
        </is>
      </c>
      <c r="H1" s="867" t="inlineStr">
        <is>
          <t>Model</t>
        </is>
      </c>
      <c r="I1" s="870" t="inlineStr">
        <is>
          <t>Loc</t>
        </is>
      </c>
      <c r="J1" s="867" t="inlineStr">
        <is>
          <t>NRA</t>
        </is>
      </c>
      <c r="K1" s="867" t="inlineStr">
        <is>
          <t>Rent</t>
        </is>
      </c>
      <c r="L1" s="867" t="inlineStr">
        <is>
          <t>Vac</t>
        </is>
      </c>
      <c r="M1" s="867" t="inlineStr">
        <is>
          <t>Exp</t>
        </is>
      </c>
      <c r="N1" s="867" t="inlineStr">
        <is>
          <t>YOC</t>
        </is>
      </c>
      <c r="O1" s="871" t="inlineStr">
        <is>
          <t>Office
Enclos.</t>
        </is>
      </c>
      <c r="P1" s="871" t="inlineStr">
        <is>
          <t>Extend.
Office</t>
        </is>
      </c>
      <c r="Q1" s="867" t="inlineStr">
        <is>
          <t>Wall
Height</t>
        </is>
      </c>
      <c r="R1" s="867" t="inlineStr">
        <is>
          <t>Wall
Type</t>
        </is>
      </c>
      <c r="S1" s="864" t="inlineStr">
        <is>
          <t># Units</t>
        </is>
      </c>
      <c r="T1" s="867" t="inlineStr">
        <is>
          <t>Zone</t>
        </is>
      </c>
      <c r="U1" s="867" t="inlineStr">
        <is>
          <t>Str</t>
        </is>
      </c>
      <c r="V1" s="867" t="inlineStr">
        <is>
          <t>L Area</t>
        </is>
      </c>
      <c r="W1" s="870" t="inlineStr">
        <is>
          <t>Land R</t>
        </is>
      </c>
      <c r="X1" s="870" t="inlineStr">
        <is>
          <t>L:B Ratio</t>
        </is>
      </c>
      <c r="Y1" s="870" t="inlineStr">
        <is>
          <t>Imp R</t>
        </is>
      </c>
      <c r="Z1" s="867" t="inlineStr">
        <is>
          <t>Grd</t>
        </is>
      </c>
      <c r="AA1" s="867" t="inlineStr">
        <is>
          <t>Phy</t>
        </is>
      </c>
      <c r="AB1" s="867" t="inlineStr">
        <is>
          <t>Fun</t>
        </is>
      </c>
      <c r="AC1" s="867" t="inlineStr">
        <is>
          <t>P_F</t>
        </is>
      </c>
      <c r="AD1" s="867" t="inlineStr">
        <is>
          <t>Tenant</t>
        </is>
      </c>
      <c r="AE1" s="867" t="inlineStr">
        <is>
          <t>PGI</t>
        </is>
      </c>
      <c r="AF1" s="867" t="inlineStr">
        <is>
          <t>EGI</t>
        </is>
      </c>
      <c r="AG1" s="867" t="inlineStr">
        <is>
          <t>NOI</t>
        </is>
      </c>
      <c r="AH1" s="867" t="inlineStr">
        <is>
          <t>$ EXP</t>
        </is>
      </c>
      <c r="AI1" s="867" t="inlineStr">
        <is>
          <t>Oth Inc/SF</t>
        </is>
      </c>
      <c r="AJ1" s="867" t="inlineStr">
        <is>
          <t>Pkg Inc/SP</t>
        </is>
      </c>
      <c r="AK1" s="867"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4">
    <tabColor rgb="007030A0"/>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3.xml><?xml version="1.0" encoding="utf-8"?>
<worksheet xmlns="http://schemas.openxmlformats.org/spreadsheetml/2006/main">
  <sheetPr>
    <tabColor rgb="007030A0"/>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 width="50" customWidth="1" min="6" max="6"/>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c r="F5" s="894" t="inlineStr">
        <is>
          <t>Code + Description (dropdown source)</t>
        </is>
      </c>
    </row>
    <row r="6">
      <c r="B6" t="n">
        <v>26</v>
      </c>
      <c r="C6" t="inlineStr">
        <is>
          <t>Commercial</t>
        </is>
      </c>
      <c r="D6" t="n">
        <v>1</v>
      </c>
      <c r="E6" t="inlineStr">
        <is>
          <t>Studio Loft</t>
        </is>
      </c>
      <c r="F6">
        <f>B6&amp;" - "&amp;E6</f>
        <v/>
      </c>
    </row>
    <row r="7">
      <c r="B7" t="n">
        <v>90</v>
      </c>
      <c r="C7" t="inlineStr">
        <is>
          <t>Commercial</t>
        </is>
      </c>
      <c r="D7" t="n">
        <v>2</v>
      </c>
      <c r="E7" t="inlineStr">
        <is>
          <t>Residential Out Structure</t>
        </is>
      </c>
      <c r="F7">
        <f>B7&amp;" - "&amp;E7</f>
        <v/>
      </c>
    </row>
    <row r="8">
      <c r="B8" t="n">
        <v>99</v>
      </c>
      <c r="C8" t="inlineStr">
        <is>
          <t>Commercial</t>
        </is>
      </c>
      <c r="D8" t="n">
        <v>6</v>
      </c>
      <c r="E8" t="inlineStr">
        <is>
          <t>Detached Garage</t>
        </is>
      </c>
      <c r="F8">
        <f>B8&amp;" - "&amp;E8</f>
        <v/>
      </c>
    </row>
    <row r="9">
      <c r="B9" t="n">
        <v>100</v>
      </c>
      <c r="C9" t="inlineStr">
        <is>
          <t>Commercial</t>
        </is>
      </c>
      <c r="D9" t="n">
        <v>75</v>
      </c>
      <c r="E9" t="inlineStr">
        <is>
          <t>Single Family Residential</t>
        </is>
      </c>
      <c r="F9">
        <f>B9&amp;" - "&amp;E9</f>
        <v/>
      </c>
    </row>
    <row r="10">
      <c r="B10" t="n">
        <v>100</v>
      </c>
      <c r="C10" t="inlineStr">
        <is>
          <t>Industrial</t>
        </is>
      </c>
      <c r="D10" t="n">
        <v>2</v>
      </c>
      <c r="E10" t="inlineStr">
        <is>
          <t>Single Family Residential</t>
        </is>
      </c>
      <c r="F10">
        <f>B10&amp;" - "&amp;E10</f>
        <v/>
      </c>
    </row>
    <row r="11">
      <c r="B11" t="n">
        <v>101</v>
      </c>
      <c r="C11" t="inlineStr">
        <is>
          <t>Commercial</t>
        </is>
      </c>
      <c r="D11" t="n">
        <v>2</v>
      </c>
      <c r="E11" t="inlineStr">
        <is>
          <t>Ag Single Family Residential-not integral</t>
        </is>
      </c>
      <c r="F11">
        <f>B11&amp;" - "&amp;E11</f>
        <v/>
      </c>
    </row>
    <row r="12">
      <c r="B12" t="n">
        <v>102</v>
      </c>
      <c r="C12" t="inlineStr">
        <is>
          <t>Commercial</t>
        </is>
      </c>
      <c r="D12" t="n">
        <v>1</v>
      </c>
      <c r="E12" t="inlineStr">
        <is>
          <t>Duplex</t>
        </is>
      </c>
      <c r="F12">
        <f>B12&amp;" - "&amp;E12</f>
        <v/>
      </c>
    </row>
    <row r="13">
      <c r="B13" t="n">
        <v>105</v>
      </c>
      <c r="C13" t="inlineStr">
        <is>
          <t>Commercial</t>
        </is>
      </c>
      <c r="D13" t="n">
        <v>6</v>
      </c>
      <c r="E13" t="inlineStr">
        <is>
          <t>Attached Single Family Residential</t>
        </is>
      </c>
      <c r="F13">
        <f>B13&amp;" - "&amp;E13</f>
        <v/>
      </c>
    </row>
    <row r="14">
      <c r="B14" t="n">
        <v>116</v>
      </c>
      <c r="C14" t="inlineStr">
        <is>
          <t>Commercial</t>
        </is>
      </c>
      <c r="D14" t="n">
        <v>3</v>
      </c>
      <c r="E14" t="inlineStr">
        <is>
          <t>Apartment w/4-8 Units</t>
        </is>
      </c>
      <c r="F14">
        <f>B14&amp;" - "&amp;E14</f>
        <v/>
      </c>
    </row>
    <row r="15">
      <c r="B15" t="n">
        <v>118</v>
      </c>
      <c r="C15" t="inlineStr">
        <is>
          <t>Commercial</t>
        </is>
      </c>
      <c r="D15" t="n">
        <v>12</v>
      </c>
      <c r="E15" t="inlineStr">
        <is>
          <t>Apartment w/9 + Units</t>
        </is>
      </c>
      <c r="F15">
        <f>B15&amp;" - "&amp;E15</f>
        <v/>
      </c>
    </row>
    <row r="16">
      <c r="B16" t="n">
        <v>140</v>
      </c>
      <c r="C16" t="inlineStr">
        <is>
          <t>Commercial</t>
        </is>
      </c>
      <c r="D16" t="n">
        <v>66</v>
      </c>
      <c r="E16" t="inlineStr">
        <is>
          <t>Parking Lot</t>
        </is>
      </c>
      <c r="F16">
        <f>B16&amp;" - "&amp;E16</f>
        <v/>
      </c>
    </row>
    <row r="17">
      <c r="B17" t="n">
        <v>140</v>
      </c>
      <c r="C17" t="inlineStr">
        <is>
          <t>Industrial</t>
        </is>
      </c>
      <c r="D17" t="n">
        <v>1</v>
      </c>
      <c r="E17" t="inlineStr">
        <is>
          <t>Parking Lot</t>
        </is>
      </c>
      <c r="F17">
        <f>B17&amp;" - "&amp;E17</f>
        <v/>
      </c>
    </row>
    <row r="18">
      <c r="B18" t="n">
        <v>186</v>
      </c>
      <c r="C18" t="inlineStr">
        <is>
          <t>Industrial</t>
        </is>
      </c>
      <c r="D18" t="n">
        <v>2</v>
      </c>
      <c r="E18" t="inlineStr">
        <is>
          <t>Light Commercial - Manufacturing Utility Bldg</t>
        </is>
      </c>
      <c r="F18">
        <f>B18&amp;" - "&amp;E18</f>
        <v/>
      </c>
    </row>
    <row r="19">
      <c r="B19" t="n">
        <v>204</v>
      </c>
      <c r="C19" t="inlineStr">
        <is>
          <t>Commercial</t>
        </is>
      </c>
      <c r="D19" t="n">
        <v>1</v>
      </c>
      <c r="E19" t="inlineStr">
        <is>
          <t>Computer Centers</t>
        </is>
      </c>
      <c r="F19">
        <f>B19&amp;" - "&amp;E19</f>
        <v/>
      </c>
    </row>
    <row r="20">
      <c r="B20" t="n">
        <v>207</v>
      </c>
      <c r="C20" t="inlineStr">
        <is>
          <t>Commercial</t>
        </is>
      </c>
      <c r="D20" t="n">
        <v>1</v>
      </c>
      <c r="E20" t="inlineStr">
        <is>
          <t>Firing Range Buildings</t>
        </is>
      </c>
      <c r="F20">
        <f>B20&amp;" - "&amp;E20</f>
        <v/>
      </c>
    </row>
    <row r="21">
      <c r="B21" t="n">
        <v>208</v>
      </c>
      <c r="C21" t="inlineStr">
        <is>
          <t>Commercial</t>
        </is>
      </c>
      <c r="D21" t="n">
        <v>14</v>
      </c>
      <c r="E21" t="inlineStr">
        <is>
          <t>Golf Course *CODE</t>
        </is>
      </c>
      <c r="F21">
        <f>B21&amp;" - "&amp;E21</f>
        <v/>
      </c>
    </row>
    <row r="22">
      <c r="B22" t="n">
        <v>209</v>
      </c>
      <c r="C22" t="inlineStr">
        <is>
          <t>Commercial</t>
        </is>
      </c>
      <c r="D22" t="n">
        <v>2</v>
      </c>
      <c r="E22" t="inlineStr">
        <is>
          <t>Nursery/Greenhouse</t>
        </is>
      </c>
      <c r="F22">
        <f>B22&amp;" - "&amp;E22</f>
        <v/>
      </c>
    </row>
    <row r="23">
      <c r="B23" t="n">
        <v>210</v>
      </c>
      <c r="C23" t="inlineStr">
        <is>
          <t>Commercial</t>
        </is>
      </c>
      <c r="D23" t="n">
        <v>35</v>
      </c>
      <c r="E23" t="inlineStr">
        <is>
          <t>Industrial Flex Mall Building</t>
        </is>
      </c>
      <c r="F23">
        <f>B23&amp;" - "&amp;E23</f>
        <v/>
      </c>
    </row>
    <row r="24">
      <c r="B24" t="n">
        <v>210</v>
      </c>
      <c r="C24" t="inlineStr">
        <is>
          <t>Industrial</t>
        </is>
      </c>
      <c r="D24" t="n">
        <v>14</v>
      </c>
      <c r="E24" t="inlineStr">
        <is>
          <t>Industrial Flex Mall Building</t>
        </is>
      </c>
      <c r="F24">
        <f>B24&amp;" - "&amp;E24</f>
        <v/>
      </c>
    </row>
    <row r="25">
      <c r="B25" t="n">
        <v>211</v>
      </c>
      <c r="C25" t="inlineStr">
        <is>
          <t>Industrial</t>
        </is>
      </c>
      <c r="D25" t="n">
        <v>2</v>
      </c>
      <c r="E25" t="inlineStr">
        <is>
          <t>Industiral Interior Office Space</t>
        </is>
      </c>
      <c r="F25">
        <f>B25&amp;" - "&amp;E25</f>
        <v/>
      </c>
    </row>
    <row r="26">
      <c r="B26" t="n">
        <v>212</v>
      </c>
      <c r="C26" t="inlineStr">
        <is>
          <t>Industrial</t>
        </is>
      </c>
      <c r="D26" t="n">
        <v>2</v>
      </c>
      <c r="E26" t="inlineStr">
        <is>
          <t>Laboratories</t>
        </is>
      </c>
      <c r="F26">
        <f>B26&amp;" - "&amp;E26</f>
        <v/>
      </c>
    </row>
    <row r="27">
      <c r="B27" t="n">
        <v>213</v>
      </c>
      <c r="C27" t="inlineStr">
        <is>
          <t>Commercial</t>
        </is>
      </c>
      <c r="D27" t="n">
        <v>1</v>
      </c>
      <c r="E27" t="inlineStr">
        <is>
          <t>Light Industrial Shell Buildings</t>
        </is>
      </c>
      <c r="F27">
        <f>B27&amp;" - "&amp;E27</f>
        <v/>
      </c>
    </row>
    <row r="28">
      <c r="B28" t="n">
        <v>213</v>
      </c>
      <c r="C28" t="inlineStr">
        <is>
          <t>Industrial</t>
        </is>
      </c>
      <c r="D28" t="n">
        <v>2</v>
      </c>
      <c r="E28" t="inlineStr">
        <is>
          <t>Light Industrial Shell Buildings</t>
        </is>
      </c>
      <c r="F28">
        <f>B28&amp;" - "&amp;E28</f>
        <v/>
      </c>
    </row>
    <row r="29">
      <c r="B29" t="n">
        <v>217</v>
      </c>
      <c r="C29" t="inlineStr">
        <is>
          <t>Commercial</t>
        </is>
      </c>
      <c r="D29" t="n">
        <v>1</v>
      </c>
      <c r="E29" t="inlineStr">
        <is>
          <t>Miscellaneous OB</t>
        </is>
      </c>
      <c r="F29">
        <f>B29&amp;" - "&amp;E29</f>
        <v/>
      </c>
    </row>
    <row r="30">
      <c r="B30" t="n">
        <v>220</v>
      </c>
      <c r="C30" t="inlineStr">
        <is>
          <t>Commercial</t>
        </is>
      </c>
      <c r="D30" t="n">
        <v>1</v>
      </c>
      <c r="E30" t="inlineStr">
        <is>
          <t>Recreational Pool Enclosure</t>
        </is>
      </c>
      <c r="F30">
        <f>B30&amp;" - "&amp;E30</f>
        <v/>
      </c>
    </row>
    <row r="31">
      <c r="B31" t="n">
        <v>227</v>
      </c>
      <c r="C31" t="inlineStr">
        <is>
          <t>Commercial</t>
        </is>
      </c>
      <c r="D31" t="n">
        <v>20</v>
      </c>
      <c r="E31" t="inlineStr">
        <is>
          <t>Complete Auto Dealership</t>
        </is>
      </c>
      <c r="F31">
        <f>B31&amp;" - "&amp;E31</f>
        <v/>
      </c>
    </row>
    <row r="32">
      <c r="B32" t="n">
        <v>228</v>
      </c>
      <c r="C32" t="inlineStr">
        <is>
          <t>Commercial</t>
        </is>
      </c>
      <c r="D32" t="n">
        <v>3</v>
      </c>
      <c r="E32" t="inlineStr">
        <is>
          <t>Kennel</t>
        </is>
      </c>
      <c r="F32">
        <f>B32&amp;" - "&amp;E32</f>
        <v/>
      </c>
    </row>
    <row r="33">
      <c r="B33" t="n">
        <v>228</v>
      </c>
      <c r="C33" t="inlineStr">
        <is>
          <t>Industrial</t>
        </is>
      </c>
      <c r="D33" t="n">
        <v>1</v>
      </c>
      <c r="E33" t="inlineStr">
        <is>
          <t>Kennel</t>
        </is>
      </c>
      <c r="F33">
        <f>B33&amp;" - "&amp;E33</f>
        <v/>
      </c>
    </row>
    <row r="34">
      <c r="B34" t="n">
        <v>300</v>
      </c>
      <c r="C34" t="inlineStr">
        <is>
          <t>Commercial</t>
        </is>
      </c>
      <c r="D34" t="n">
        <v>1</v>
      </c>
      <c r="E34" t="inlineStr">
        <is>
          <t>Apartments (Hi-Rise)</t>
        </is>
      </c>
      <c r="F34">
        <f>B34&amp;" - "&amp;E34</f>
        <v/>
      </c>
    </row>
    <row r="35">
      <c r="B35" t="n">
        <v>302</v>
      </c>
      <c r="C35" t="inlineStr">
        <is>
          <t>Commercial</t>
        </is>
      </c>
      <c r="D35" t="n">
        <v>2</v>
      </c>
      <c r="E35" t="inlineStr">
        <is>
          <t>Auditorium</t>
        </is>
      </c>
      <c r="F35">
        <f>B35&amp;" - "&amp;E35</f>
        <v/>
      </c>
    </row>
    <row r="36">
      <c r="B36" t="n">
        <v>303</v>
      </c>
      <c r="C36" t="inlineStr">
        <is>
          <t>Commercial</t>
        </is>
      </c>
      <c r="D36" t="n">
        <v>11</v>
      </c>
      <c r="E36" t="inlineStr">
        <is>
          <t>Showroom</t>
        </is>
      </c>
      <c r="F36">
        <f>B36&amp;" - "&amp;E36</f>
        <v/>
      </c>
    </row>
    <row r="37">
      <c r="B37" t="n">
        <v>304</v>
      </c>
      <c r="C37" t="inlineStr">
        <is>
          <t>Commercial</t>
        </is>
      </c>
      <c r="D37" t="n">
        <v>89</v>
      </c>
      <c r="E37" t="inlineStr">
        <is>
          <t>Bank</t>
        </is>
      </c>
      <c r="F37">
        <f>B37&amp;" - "&amp;E37</f>
        <v/>
      </c>
    </row>
    <row r="38">
      <c r="B38" t="n">
        <v>305</v>
      </c>
      <c r="C38" t="inlineStr">
        <is>
          <t>Commercial</t>
        </is>
      </c>
      <c r="D38" t="n">
        <v>1</v>
      </c>
      <c r="E38" t="inlineStr">
        <is>
          <t>Drive-up Mini Banks</t>
        </is>
      </c>
      <c r="F38">
        <f>B38&amp;" - "&amp;E38</f>
        <v/>
      </c>
    </row>
    <row r="39">
      <c r="B39" t="n">
        <v>306</v>
      </c>
      <c r="C39" t="inlineStr">
        <is>
          <t>Commercial</t>
        </is>
      </c>
      <c r="D39" t="n">
        <v>6</v>
      </c>
      <c r="E39" t="inlineStr">
        <is>
          <t>Bowling Alley</t>
        </is>
      </c>
      <c r="F39">
        <f>B39&amp;" - "&amp;E39</f>
        <v/>
      </c>
    </row>
    <row r="40">
      <c r="B40" t="n">
        <v>309</v>
      </c>
      <c r="C40" t="inlineStr">
        <is>
          <t>Commercial</t>
        </is>
      </c>
      <c r="D40" t="n">
        <v>18</v>
      </c>
      <c r="E40" t="inlineStr">
        <is>
          <t>Church</t>
        </is>
      </c>
      <c r="F40">
        <f>B40&amp;" - "&amp;E40</f>
        <v/>
      </c>
    </row>
    <row r="41">
      <c r="B41" t="n">
        <v>310</v>
      </c>
      <c r="C41" t="inlineStr">
        <is>
          <t>Commercial</t>
        </is>
      </c>
      <c r="D41" t="n">
        <v>1</v>
      </c>
      <c r="E41" t="inlineStr">
        <is>
          <t>City Club</t>
        </is>
      </c>
      <c r="F41">
        <f>B41&amp;" - "&amp;E41</f>
        <v/>
      </c>
    </row>
    <row r="42">
      <c r="B42" t="n">
        <v>311</v>
      </c>
      <c r="C42" t="inlineStr">
        <is>
          <t>Commercial</t>
        </is>
      </c>
      <c r="D42" t="n">
        <v>5</v>
      </c>
      <c r="E42" t="inlineStr">
        <is>
          <t>Clubhouse</t>
        </is>
      </c>
      <c r="F42">
        <f>B42&amp;" - "&amp;E42</f>
        <v/>
      </c>
    </row>
    <row r="43">
      <c r="B43" t="n">
        <v>313</v>
      </c>
      <c r="C43" t="inlineStr">
        <is>
          <t>Commercial</t>
        </is>
      </c>
      <c r="D43" t="n">
        <v>1</v>
      </c>
      <c r="E43" t="inlineStr">
        <is>
          <t>Convlsnt Hosp Nursing Home</t>
        </is>
      </c>
      <c r="F43">
        <f>B43&amp;" - "&amp;E43</f>
        <v/>
      </c>
    </row>
    <row r="44">
      <c r="B44" t="n">
        <v>314</v>
      </c>
      <c r="C44" t="inlineStr">
        <is>
          <t>Commercial</t>
        </is>
      </c>
      <c r="D44" t="n">
        <v>1</v>
      </c>
      <c r="E44" t="inlineStr">
        <is>
          <t>Country Club</t>
        </is>
      </c>
      <c r="F44">
        <f>B44&amp;" - "&amp;E44</f>
        <v/>
      </c>
    </row>
    <row r="45">
      <c r="B45" t="n">
        <v>318</v>
      </c>
      <c r="C45" t="inlineStr">
        <is>
          <t>Commercial</t>
        </is>
      </c>
      <c r="D45" t="n">
        <v>3</v>
      </c>
      <c r="E45" t="inlineStr">
        <is>
          <t>Department Store</t>
        </is>
      </c>
      <c r="F45">
        <f>B45&amp;" - "&amp;E45</f>
        <v/>
      </c>
    </row>
    <row r="46">
      <c r="B46" t="n">
        <v>319</v>
      </c>
      <c r="C46" t="inlineStr">
        <is>
          <t>Commercial</t>
        </is>
      </c>
      <c r="D46" t="n">
        <v>47</v>
      </c>
      <c r="E46" t="inlineStr">
        <is>
          <t>Discount Store</t>
        </is>
      </c>
      <c r="F46">
        <f>B46&amp;" - "&amp;E46</f>
        <v/>
      </c>
    </row>
    <row r="47">
      <c r="B47" t="n">
        <v>320</v>
      </c>
      <c r="C47" t="inlineStr">
        <is>
          <t>Commercial</t>
        </is>
      </c>
      <c r="D47" t="n">
        <v>3</v>
      </c>
      <c r="E47" t="inlineStr">
        <is>
          <t>Dispensary</t>
        </is>
      </c>
      <c r="F47">
        <f>B47&amp;" - "&amp;E47</f>
        <v/>
      </c>
    </row>
    <row r="48">
      <c r="B48" t="n">
        <v>320</v>
      </c>
      <c r="C48" t="inlineStr">
        <is>
          <t>Industrial</t>
        </is>
      </c>
      <c r="D48" t="n">
        <v>1</v>
      </c>
      <c r="E48" t="inlineStr">
        <is>
          <t>Dispensary</t>
        </is>
      </c>
      <c r="F48">
        <f>B48&amp;" - "&amp;E48</f>
        <v/>
      </c>
    </row>
    <row r="49">
      <c r="B49" t="n">
        <v>321</v>
      </c>
      <c r="C49" t="inlineStr">
        <is>
          <t>Commercial</t>
        </is>
      </c>
      <c r="D49" t="n">
        <v>1</v>
      </c>
      <c r="E49" t="inlineStr">
        <is>
          <t>Dormitory Residence Halls</t>
        </is>
      </c>
      <c r="F49">
        <f>B49&amp;" - "&amp;E49</f>
        <v/>
      </c>
    </row>
    <row r="50">
      <c r="B50" t="n">
        <v>323</v>
      </c>
      <c r="C50" t="inlineStr">
        <is>
          <t>Commercial</t>
        </is>
      </c>
      <c r="D50" t="n">
        <v>5</v>
      </c>
      <c r="E50" t="inlineStr">
        <is>
          <t>Fraternal Building</t>
        </is>
      </c>
      <c r="F50">
        <f>B50&amp;" - "&amp;E50</f>
        <v/>
      </c>
    </row>
    <row r="51">
      <c r="B51" t="n">
        <v>325</v>
      </c>
      <c r="C51" t="inlineStr">
        <is>
          <t>Commercial</t>
        </is>
      </c>
      <c r="D51" t="n">
        <v>573</v>
      </c>
      <c r="E51" t="inlineStr">
        <is>
          <t>Service Garage</t>
        </is>
      </c>
      <c r="F51">
        <f>B51&amp;" - "&amp;E51</f>
        <v/>
      </c>
    </row>
    <row r="52">
      <c r="B52" t="n">
        <v>325</v>
      </c>
      <c r="C52" t="inlineStr">
        <is>
          <t>Industrial</t>
        </is>
      </c>
      <c r="D52" t="n">
        <v>38</v>
      </c>
      <c r="E52" t="inlineStr">
        <is>
          <t>Service Garage</t>
        </is>
      </c>
      <c r="F52">
        <f>B52&amp;" - "&amp;E52</f>
        <v/>
      </c>
    </row>
    <row r="53">
      <c r="B53" t="n">
        <v>326</v>
      </c>
      <c r="C53" t="inlineStr">
        <is>
          <t>Commercial</t>
        </is>
      </c>
      <c r="D53" t="n">
        <v>28</v>
      </c>
      <c r="E53" t="inlineStr">
        <is>
          <t>Storage Garage</t>
        </is>
      </c>
      <c r="F53">
        <f>B53&amp;" - "&amp;E53</f>
        <v/>
      </c>
    </row>
    <row r="54">
      <c r="B54" t="n">
        <v>326</v>
      </c>
      <c r="C54" t="inlineStr">
        <is>
          <t>Industrial</t>
        </is>
      </c>
      <c r="D54" t="n">
        <v>4</v>
      </c>
      <c r="E54" t="inlineStr">
        <is>
          <t>Storage Garage</t>
        </is>
      </c>
      <c r="F54">
        <f>B54&amp;" - "&amp;E54</f>
        <v/>
      </c>
    </row>
    <row r="55">
      <c r="B55" t="n">
        <v>328</v>
      </c>
      <c r="C55" t="inlineStr">
        <is>
          <t>Commercial</t>
        </is>
      </c>
      <c r="D55" t="n">
        <v>163</v>
      </c>
      <c r="E55" t="inlineStr">
        <is>
          <t>Storage Hanger</t>
        </is>
      </c>
      <c r="F55">
        <f>B55&amp;" - "&amp;E55</f>
        <v/>
      </c>
    </row>
    <row r="56">
      <c r="B56" t="n">
        <v>331</v>
      </c>
      <c r="C56" t="inlineStr">
        <is>
          <t>Commercial</t>
        </is>
      </c>
      <c r="D56" t="n">
        <v>4</v>
      </c>
      <c r="E56" t="inlineStr">
        <is>
          <t>Hospital</t>
        </is>
      </c>
      <c r="F56">
        <f>B56&amp;" - "&amp;E56</f>
        <v/>
      </c>
    </row>
    <row r="57">
      <c r="B57" t="n">
        <v>332</v>
      </c>
      <c r="C57" t="inlineStr">
        <is>
          <t>Commercial</t>
        </is>
      </c>
      <c r="D57" t="n">
        <v>13</v>
      </c>
      <c r="E57" t="inlineStr">
        <is>
          <t>Hotel - Full Service</t>
        </is>
      </c>
      <c r="F57">
        <f>B57&amp;" - "&amp;E57</f>
        <v/>
      </c>
    </row>
    <row r="58">
      <c r="B58" t="n">
        <v>333</v>
      </c>
      <c r="C58" t="inlineStr">
        <is>
          <t>Commercial</t>
        </is>
      </c>
      <c r="D58" t="n">
        <v>2</v>
      </c>
      <c r="E58" t="inlineStr">
        <is>
          <t>Indust Heavy Manufacturing</t>
        </is>
      </c>
      <c r="F58">
        <f>B58&amp;" - "&amp;E58</f>
        <v/>
      </c>
    </row>
    <row r="59">
      <c r="B59" t="n">
        <v>333</v>
      </c>
      <c r="C59" t="inlineStr">
        <is>
          <t>Industrial</t>
        </is>
      </c>
      <c r="D59" t="n">
        <v>1</v>
      </c>
      <c r="E59" t="inlineStr">
        <is>
          <t>Indust Heavy Manufacturing</t>
        </is>
      </c>
      <c r="F59">
        <f>B59&amp;" - "&amp;E59</f>
        <v/>
      </c>
    </row>
    <row r="60">
      <c r="B60" t="n">
        <v>334</v>
      </c>
      <c r="C60" t="inlineStr">
        <is>
          <t>Commercial</t>
        </is>
      </c>
      <c r="D60" t="n">
        <v>47</v>
      </c>
      <c r="E60" t="inlineStr">
        <is>
          <t>Indust Lght Manufacturing</t>
        </is>
      </c>
      <c r="F60">
        <f>B60&amp;" - "&amp;E60</f>
        <v/>
      </c>
    </row>
    <row r="61">
      <c r="B61" t="n">
        <v>334</v>
      </c>
      <c r="C61" t="inlineStr">
        <is>
          <t>Industrial</t>
        </is>
      </c>
      <c r="D61" t="n">
        <v>79</v>
      </c>
      <c r="E61" t="inlineStr">
        <is>
          <t>Indust Lght Manufacturing</t>
        </is>
      </c>
      <c r="F61">
        <f>B61&amp;" - "&amp;E61</f>
        <v/>
      </c>
    </row>
    <row r="62">
      <c r="B62" t="n">
        <v>335</v>
      </c>
      <c r="C62" t="inlineStr">
        <is>
          <t>Commercial</t>
        </is>
      </c>
      <c r="D62" t="n">
        <v>1</v>
      </c>
      <c r="E62" t="inlineStr">
        <is>
          <t>Jail - Correctional Facility</t>
        </is>
      </c>
      <c r="F62">
        <f>B62&amp;" - "&amp;E62</f>
        <v/>
      </c>
    </row>
    <row r="63">
      <c r="B63" t="n">
        <v>336</v>
      </c>
      <c r="C63" t="inlineStr">
        <is>
          <t>Commercial</t>
        </is>
      </c>
      <c r="D63" t="n">
        <v>5</v>
      </c>
      <c r="E63" t="inlineStr">
        <is>
          <t>Laundromat</t>
        </is>
      </c>
      <c r="F63">
        <f>B63&amp;" - "&amp;E63</f>
        <v/>
      </c>
    </row>
    <row r="64">
      <c r="B64" t="n">
        <v>339</v>
      </c>
      <c r="C64" t="inlineStr">
        <is>
          <t>Commercial</t>
        </is>
      </c>
      <c r="D64" t="n">
        <v>16</v>
      </c>
      <c r="E64" t="inlineStr">
        <is>
          <t>Lumber Storage - Horizontal</t>
        </is>
      </c>
      <c r="F64">
        <f>B64&amp;" - "&amp;E64</f>
        <v/>
      </c>
    </row>
    <row r="65">
      <c r="B65" t="n">
        <v>339</v>
      </c>
      <c r="C65" t="inlineStr">
        <is>
          <t>Industrial</t>
        </is>
      </c>
      <c r="D65" t="n">
        <v>2</v>
      </c>
      <c r="E65" t="inlineStr">
        <is>
          <t>Lumber Storage - Horizontal</t>
        </is>
      </c>
      <c r="F65">
        <f>B65&amp;" - "&amp;E65</f>
        <v/>
      </c>
    </row>
    <row r="66">
      <c r="B66" t="n">
        <v>340</v>
      </c>
      <c r="C66" t="inlineStr">
        <is>
          <t>Commercial</t>
        </is>
      </c>
      <c r="D66" t="n">
        <v>9</v>
      </c>
      <c r="E66" t="inlineStr">
        <is>
          <t>Market</t>
        </is>
      </c>
      <c r="F66">
        <f>B66&amp;" - "&amp;E66</f>
        <v/>
      </c>
    </row>
    <row r="67">
      <c r="B67" t="n">
        <v>341</v>
      </c>
      <c r="C67" t="inlineStr">
        <is>
          <t>Commercial</t>
        </is>
      </c>
      <c r="D67" t="n">
        <v>307</v>
      </c>
      <c r="E67" t="inlineStr">
        <is>
          <t>Medical Offices</t>
        </is>
      </c>
      <c r="F67">
        <f>B67&amp;" - "&amp;E67</f>
        <v/>
      </c>
    </row>
    <row r="68">
      <c r="B68" t="n">
        <v>342</v>
      </c>
      <c r="C68" t="inlineStr">
        <is>
          <t>Commercial</t>
        </is>
      </c>
      <c r="D68" t="n">
        <v>6</v>
      </c>
      <c r="E68" t="inlineStr">
        <is>
          <t>Mortuary</t>
        </is>
      </c>
      <c r="F68">
        <f>B68&amp;" - "&amp;E68</f>
        <v/>
      </c>
    </row>
    <row r="69">
      <c r="B69" t="n">
        <v>343</v>
      </c>
      <c r="C69" t="inlineStr">
        <is>
          <t>Commercial</t>
        </is>
      </c>
      <c r="D69" t="n">
        <v>16</v>
      </c>
      <c r="E69" t="inlineStr">
        <is>
          <t>Motel</t>
        </is>
      </c>
      <c r="F69">
        <f>B69&amp;" - "&amp;E69</f>
        <v/>
      </c>
    </row>
    <row r="70">
      <c r="B70" t="n">
        <v>344</v>
      </c>
      <c r="C70" t="inlineStr">
        <is>
          <t>Commercial</t>
        </is>
      </c>
      <c r="D70" t="n">
        <v>509</v>
      </c>
      <c r="E70" t="inlineStr">
        <is>
          <t>Office Building</t>
        </is>
      </c>
      <c r="F70">
        <f>B70&amp;" - "&amp;E70</f>
        <v/>
      </c>
    </row>
    <row r="71">
      <c r="B71" t="n">
        <v>344</v>
      </c>
      <c r="C71" t="inlineStr">
        <is>
          <t>Industrial</t>
        </is>
      </c>
      <c r="D71" t="n">
        <v>57</v>
      </c>
      <c r="E71" t="inlineStr">
        <is>
          <t>Office Building</t>
        </is>
      </c>
      <c r="F71">
        <f>B71&amp;" - "&amp;E71</f>
        <v/>
      </c>
    </row>
    <row r="72">
      <c r="B72" t="n">
        <v>345</v>
      </c>
      <c r="C72" t="inlineStr">
        <is>
          <t>Commercial</t>
        </is>
      </c>
      <c r="D72" t="n">
        <v>5</v>
      </c>
      <c r="E72" t="inlineStr">
        <is>
          <t>Parking Structure</t>
        </is>
      </c>
      <c r="F72">
        <f>B72&amp;" - "&amp;E72</f>
        <v/>
      </c>
    </row>
    <row r="73">
      <c r="B73" t="n">
        <v>345</v>
      </c>
      <c r="C73" t="inlineStr">
        <is>
          <t>Industrial</t>
        </is>
      </c>
      <c r="D73" t="n">
        <v>1</v>
      </c>
      <c r="E73" t="inlineStr">
        <is>
          <t>Parking Structure</t>
        </is>
      </c>
      <c r="F73">
        <f>B73&amp;" - "&amp;E73</f>
        <v/>
      </c>
    </row>
    <row r="74">
      <c r="B74" t="n">
        <v>346</v>
      </c>
      <c r="C74" t="inlineStr">
        <is>
          <t>Commercial</t>
        </is>
      </c>
      <c r="D74" t="n">
        <v>12</v>
      </c>
      <c r="E74" t="inlineStr">
        <is>
          <t>Post Office</t>
        </is>
      </c>
      <c r="F74">
        <f>B74&amp;" - "&amp;E74</f>
        <v/>
      </c>
    </row>
    <row r="75">
      <c r="B75" t="n">
        <v>349</v>
      </c>
      <c r="C75" t="inlineStr">
        <is>
          <t>Commercial</t>
        </is>
      </c>
      <c r="D75" t="n">
        <v>194</v>
      </c>
      <c r="E75" t="inlineStr">
        <is>
          <t>Fast Food Restaurant</t>
        </is>
      </c>
      <c r="F75">
        <f>B75&amp;" - "&amp;E75</f>
        <v/>
      </c>
    </row>
    <row r="76">
      <c r="B76" t="n">
        <v>350</v>
      </c>
      <c r="C76" t="inlineStr">
        <is>
          <t>Commercial</t>
        </is>
      </c>
      <c r="D76" t="n">
        <v>186</v>
      </c>
      <c r="E76" t="inlineStr">
        <is>
          <t>Restaurant</t>
        </is>
      </c>
      <c r="F76">
        <f>B76&amp;" - "&amp;E76</f>
        <v/>
      </c>
    </row>
    <row r="77">
      <c r="B77" t="n">
        <v>352</v>
      </c>
      <c r="C77" t="inlineStr">
        <is>
          <t>Commercial</t>
        </is>
      </c>
      <c r="D77" t="n">
        <v>6</v>
      </c>
      <c r="E77" t="inlineStr">
        <is>
          <t>Multiple - Residential</t>
        </is>
      </c>
      <c r="F77">
        <f>B77&amp;" - "&amp;E77</f>
        <v/>
      </c>
    </row>
    <row r="78">
      <c r="B78" t="n">
        <v>352</v>
      </c>
      <c r="C78" t="inlineStr">
        <is>
          <t>Industrial</t>
        </is>
      </c>
      <c r="D78" t="n">
        <v>1</v>
      </c>
      <c r="E78" t="inlineStr">
        <is>
          <t>Multiple - Residential</t>
        </is>
      </c>
      <c r="F78">
        <f>B78&amp;" - "&amp;E78</f>
        <v/>
      </c>
    </row>
    <row r="79">
      <c r="B79" t="n">
        <v>353</v>
      </c>
      <c r="C79" t="inlineStr">
        <is>
          <t>Commercial</t>
        </is>
      </c>
      <c r="D79" t="n">
        <v>698</v>
      </c>
      <c r="E79" t="inlineStr">
        <is>
          <t>Retail Store</t>
        </is>
      </c>
      <c r="F79">
        <f>B79&amp;" - "&amp;E79</f>
        <v/>
      </c>
    </row>
    <row r="80">
      <c r="B80" t="n">
        <v>353</v>
      </c>
      <c r="C80" t="inlineStr">
        <is>
          <t>Industrial</t>
        </is>
      </c>
      <c r="D80" t="n">
        <v>2</v>
      </c>
      <c r="E80" t="inlineStr">
        <is>
          <t>Retail Store</t>
        </is>
      </c>
      <c r="F80">
        <f>B80&amp;" - "&amp;E80</f>
        <v/>
      </c>
    </row>
    <row r="81">
      <c r="B81" t="n">
        <v>356</v>
      </c>
      <c r="C81" t="inlineStr">
        <is>
          <t>Commercial</t>
        </is>
      </c>
      <c r="D81" t="n">
        <v>1</v>
      </c>
      <c r="E81" t="inlineStr">
        <is>
          <t>School - Classroom</t>
        </is>
      </c>
      <c r="F81">
        <f>B81&amp;" - "&amp;E81</f>
        <v/>
      </c>
    </row>
    <row r="82">
      <c r="B82" t="n">
        <v>358</v>
      </c>
      <c r="C82" t="inlineStr">
        <is>
          <t>Commercial</t>
        </is>
      </c>
      <c r="D82" t="n">
        <v>5</v>
      </c>
      <c r="E82" t="inlineStr">
        <is>
          <t>School - Gymnasium</t>
        </is>
      </c>
      <c r="F82">
        <f>B82&amp;" - "&amp;E82</f>
        <v/>
      </c>
    </row>
    <row r="83">
      <c r="B83" t="n">
        <v>359</v>
      </c>
      <c r="C83" t="inlineStr">
        <is>
          <t>Commercial</t>
        </is>
      </c>
      <c r="D83" t="n">
        <v>2</v>
      </c>
      <c r="E83" t="inlineStr">
        <is>
          <t>School - Lecture Hall</t>
        </is>
      </c>
      <c r="F83">
        <f>B83&amp;" - "&amp;E83</f>
        <v/>
      </c>
    </row>
    <row r="84">
      <c r="B84" t="n">
        <v>361</v>
      </c>
      <c r="C84" t="inlineStr">
        <is>
          <t>Commercial</t>
        </is>
      </c>
      <c r="D84" t="n">
        <v>2</v>
      </c>
      <c r="E84" t="inlineStr">
        <is>
          <t>School - Manual Arts</t>
        </is>
      </c>
      <c r="F84">
        <f>B84&amp;" - "&amp;E84</f>
        <v/>
      </c>
    </row>
    <row r="85">
      <c r="B85" t="n">
        <v>368</v>
      </c>
      <c r="C85" t="inlineStr">
        <is>
          <t>Commercial</t>
        </is>
      </c>
      <c r="D85" t="n">
        <v>2</v>
      </c>
      <c r="E85" t="inlineStr">
        <is>
          <t>College - Classrooms</t>
        </is>
      </c>
      <c r="F85">
        <f>B85&amp;" - "&amp;E85</f>
        <v/>
      </c>
    </row>
    <row r="86">
      <c r="B86" t="n">
        <v>378</v>
      </c>
      <c r="C86" t="inlineStr">
        <is>
          <t>Commercial</t>
        </is>
      </c>
      <c r="D86" t="n">
        <v>1</v>
      </c>
      <c r="E86" t="inlineStr">
        <is>
          <t>Stable</t>
        </is>
      </c>
      <c r="F86">
        <f>B86&amp;" - "&amp;E86</f>
        <v/>
      </c>
    </row>
    <row r="87">
      <c r="B87" t="n">
        <v>380</v>
      </c>
      <c r="C87" t="inlineStr">
        <is>
          <t>Commercial</t>
        </is>
      </c>
      <c r="D87" t="n">
        <v>2</v>
      </c>
      <c r="E87" t="inlineStr">
        <is>
          <t>Theatre - Motion</t>
        </is>
      </c>
      <c r="F87">
        <f>B87&amp;" - "&amp;E87</f>
        <v/>
      </c>
    </row>
    <row r="88">
      <c r="B88" t="n">
        <v>381</v>
      </c>
      <c r="C88" t="inlineStr">
        <is>
          <t>Commercial</t>
        </is>
      </c>
      <c r="D88" t="n">
        <v>21</v>
      </c>
      <c r="E88" t="inlineStr">
        <is>
          <t>Veterinary Hospital</t>
        </is>
      </c>
      <c r="F88">
        <f>B88&amp;" - "&amp;E88</f>
        <v/>
      </c>
    </row>
    <row r="89">
      <c r="B89" t="n">
        <v>382</v>
      </c>
      <c r="C89" t="inlineStr">
        <is>
          <t>Commercial</t>
        </is>
      </c>
      <c r="D89" t="n">
        <v>1</v>
      </c>
      <c r="E89" t="inlineStr">
        <is>
          <t>Medical Office Buildings</t>
        </is>
      </c>
      <c r="F89">
        <f>B89&amp;" - "&amp;E89</f>
        <v/>
      </c>
    </row>
    <row r="90">
      <c r="B90" t="n">
        <v>384</v>
      </c>
      <c r="C90" t="inlineStr">
        <is>
          <t>Commercial</t>
        </is>
      </c>
      <c r="D90" t="n">
        <v>9</v>
      </c>
      <c r="E90" t="inlineStr">
        <is>
          <t>Barber/Beauty Shop</t>
        </is>
      </c>
      <c r="F90">
        <f>B90&amp;" - "&amp;E90</f>
        <v/>
      </c>
    </row>
    <row r="91">
      <c r="B91" t="n">
        <v>386</v>
      </c>
      <c r="C91" t="inlineStr">
        <is>
          <t>Commercial</t>
        </is>
      </c>
      <c r="D91" t="n">
        <v>77</v>
      </c>
      <c r="E91" t="inlineStr">
        <is>
          <t>Mini Warehouse</t>
        </is>
      </c>
      <c r="F91">
        <f>B91&amp;" - "&amp;E91</f>
        <v/>
      </c>
    </row>
    <row r="92">
      <c r="B92" t="n">
        <v>386</v>
      </c>
      <c r="C92" t="inlineStr">
        <is>
          <t>Industrial</t>
        </is>
      </c>
      <c r="D92" t="n">
        <v>4</v>
      </c>
      <c r="E92" t="inlineStr">
        <is>
          <t>Mini Warehouse</t>
        </is>
      </c>
      <c r="F92">
        <f>B92&amp;" - "&amp;E92</f>
        <v/>
      </c>
    </row>
    <row r="93">
      <c r="B93" t="n">
        <v>387</v>
      </c>
      <c r="C93" t="inlineStr">
        <is>
          <t>Commercial</t>
        </is>
      </c>
      <c r="D93" t="n">
        <v>27</v>
      </c>
      <c r="E93" t="inlineStr">
        <is>
          <t>Transit Warehouse</t>
        </is>
      </c>
      <c r="F93">
        <f>B93&amp;" - "&amp;E93</f>
        <v/>
      </c>
    </row>
    <row r="94">
      <c r="B94" t="n">
        <v>387</v>
      </c>
      <c r="C94" t="inlineStr">
        <is>
          <t>Industrial</t>
        </is>
      </c>
      <c r="D94" t="n">
        <v>4</v>
      </c>
      <c r="E94" t="inlineStr">
        <is>
          <t>Transit Warehouse</t>
        </is>
      </c>
      <c r="F94">
        <f>B94&amp;" - "&amp;E94</f>
        <v/>
      </c>
    </row>
    <row r="95">
      <c r="B95" t="n">
        <v>389</v>
      </c>
      <c r="C95" t="inlineStr">
        <is>
          <t>Commercial</t>
        </is>
      </c>
      <c r="D95" t="n">
        <v>7</v>
      </c>
      <c r="E95" t="inlineStr">
        <is>
          <t>Equipment Implement</t>
        </is>
      </c>
      <c r="F95">
        <f>B95&amp;" - "&amp;E95</f>
        <v/>
      </c>
    </row>
    <row r="96">
      <c r="B96" t="n">
        <v>389</v>
      </c>
      <c r="C96" t="inlineStr">
        <is>
          <t>Industrial</t>
        </is>
      </c>
      <c r="D96" t="n">
        <v>3</v>
      </c>
      <c r="E96" t="inlineStr">
        <is>
          <t>Equipment Implement</t>
        </is>
      </c>
      <c r="F96">
        <f>B96&amp;" - "&amp;E96</f>
        <v/>
      </c>
    </row>
    <row r="97">
      <c r="B97" t="n">
        <v>390</v>
      </c>
      <c r="C97" t="inlineStr">
        <is>
          <t>Commercial</t>
        </is>
      </c>
      <c r="D97" t="n">
        <v>4</v>
      </c>
      <c r="E97" t="inlineStr">
        <is>
          <t>Lumber Storage - Vertical</t>
        </is>
      </c>
      <c r="F97">
        <f>B97&amp;" - "&amp;E97</f>
        <v/>
      </c>
    </row>
    <row r="98">
      <c r="B98" t="n">
        <v>391</v>
      </c>
      <c r="C98" t="inlineStr">
        <is>
          <t>Commercial</t>
        </is>
      </c>
      <c r="D98" t="n">
        <v>10</v>
      </c>
      <c r="E98" t="inlineStr">
        <is>
          <t>Storage - Material</t>
        </is>
      </c>
      <c r="F98">
        <f>B98&amp;" - "&amp;E98</f>
        <v/>
      </c>
    </row>
    <row r="99">
      <c r="B99" t="n">
        <v>391</v>
      </c>
      <c r="C99" t="inlineStr">
        <is>
          <t>Industrial</t>
        </is>
      </c>
      <c r="D99" t="n">
        <v>3</v>
      </c>
      <c r="E99" t="inlineStr">
        <is>
          <t>Storage - Material</t>
        </is>
      </c>
      <c r="F99">
        <f>B99&amp;" - "&amp;E99</f>
        <v/>
      </c>
    </row>
    <row r="100">
      <c r="B100" t="n">
        <v>392</v>
      </c>
      <c r="C100" t="inlineStr">
        <is>
          <t>Commercial</t>
        </is>
      </c>
      <c r="D100" t="n">
        <v>2</v>
      </c>
      <c r="E100" t="inlineStr">
        <is>
          <t>Industrial Engineering &amp; Research</t>
        </is>
      </c>
      <c r="F100">
        <f>B100&amp;" - "&amp;E100</f>
        <v/>
      </c>
    </row>
    <row r="101">
      <c r="B101" t="n">
        <v>392</v>
      </c>
      <c r="C101" t="inlineStr">
        <is>
          <t>Industrial</t>
        </is>
      </c>
      <c r="D101" t="n">
        <v>2</v>
      </c>
      <c r="E101" t="inlineStr">
        <is>
          <t>Industrial Engineering &amp; Research</t>
        </is>
      </c>
      <c r="F101">
        <f>B101&amp;" - "&amp;E101</f>
        <v/>
      </c>
    </row>
    <row r="102">
      <c r="B102" t="n">
        <v>397</v>
      </c>
      <c r="C102" t="inlineStr">
        <is>
          <t>Commercial</t>
        </is>
      </c>
      <c r="D102" t="n">
        <v>2</v>
      </c>
      <c r="E102" t="inlineStr">
        <is>
          <t>Barn</t>
        </is>
      </c>
      <c r="F102">
        <f>B102&amp;" - "&amp;E102</f>
        <v/>
      </c>
    </row>
    <row r="103">
      <c r="B103" t="n">
        <v>401</v>
      </c>
      <c r="C103" t="inlineStr">
        <is>
          <t>Commercial</t>
        </is>
      </c>
      <c r="D103" t="n">
        <v>16</v>
      </c>
      <c r="E103" t="inlineStr">
        <is>
          <t>Shed - Equipment</t>
        </is>
      </c>
      <c r="F103">
        <f>B103&amp;" - "&amp;E103</f>
        <v/>
      </c>
    </row>
    <row r="104">
      <c r="B104" t="n">
        <v>401</v>
      </c>
      <c r="C104" t="inlineStr">
        <is>
          <t>Industrial</t>
        </is>
      </c>
      <c r="D104" t="n">
        <v>5</v>
      </c>
      <c r="E104" t="inlineStr">
        <is>
          <t>Shed - Equipment</t>
        </is>
      </c>
      <c r="F104">
        <f>B104&amp;" - "&amp;E104</f>
        <v/>
      </c>
    </row>
    <row r="105">
      <c r="B105" t="n">
        <v>403</v>
      </c>
      <c r="C105" t="inlineStr">
        <is>
          <t>Commercial</t>
        </is>
      </c>
      <c r="D105" t="n">
        <v>2</v>
      </c>
      <c r="E105" t="inlineStr">
        <is>
          <t>Shower Building</t>
        </is>
      </c>
      <c r="F105">
        <f>B105&amp;" - "&amp;E105</f>
        <v/>
      </c>
    </row>
    <row r="106">
      <c r="B106" t="n">
        <v>403</v>
      </c>
      <c r="C106" t="inlineStr">
        <is>
          <t>Industrial</t>
        </is>
      </c>
      <c r="D106" t="n">
        <v>2</v>
      </c>
      <c r="E106" t="inlineStr">
        <is>
          <t>Shower Building</t>
        </is>
      </c>
      <c r="F106">
        <f>B106&amp;" - "&amp;E106</f>
        <v/>
      </c>
    </row>
    <row r="107">
      <c r="B107" t="n">
        <v>404</v>
      </c>
      <c r="C107" t="inlineStr">
        <is>
          <t>Commercial</t>
        </is>
      </c>
      <c r="D107" t="n">
        <v>28</v>
      </c>
      <c r="E107" t="inlineStr">
        <is>
          <t>Farm Utility Building</t>
        </is>
      </c>
      <c r="F107">
        <f>B107&amp;" - "&amp;E107</f>
        <v/>
      </c>
    </row>
    <row r="108">
      <c r="B108" t="n">
        <v>404</v>
      </c>
      <c r="C108" t="inlineStr">
        <is>
          <t>Industrial</t>
        </is>
      </c>
      <c r="D108" t="n">
        <v>6</v>
      </c>
      <c r="E108" t="inlineStr">
        <is>
          <t>Farm Utility Building</t>
        </is>
      </c>
      <c r="F108">
        <f>B108&amp;" - "&amp;E108</f>
        <v/>
      </c>
    </row>
    <row r="109">
      <c r="B109" t="n">
        <v>405</v>
      </c>
      <c r="C109" t="inlineStr">
        <is>
          <t>Commercial</t>
        </is>
      </c>
      <c r="D109" t="n">
        <v>2</v>
      </c>
      <c r="E109" t="inlineStr">
        <is>
          <t>Skating Rink</t>
        </is>
      </c>
      <c r="F109">
        <f>B109&amp;" - "&amp;E109</f>
        <v/>
      </c>
    </row>
    <row r="110">
      <c r="B110" t="n">
        <v>406</v>
      </c>
      <c r="C110" t="inlineStr">
        <is>
          <t>Commercial</t>
        </is>
      </c>
      <c r="D110" t="n">
        <v>642</v>
      </c>
      <c r="E110" t="inlineStr">
        <is>
          <t>Storage Warehouse</t>
        </is>
      </c>
      <c r="F110">
        <f>B110&amp;" - "&amp;E110</f>
        <v/>
      </c>
    </row>
    <row r="111">
      <c r="B111" t="n">
        <v>406</v>
      </c>
      <c r="C111" t="inlineStr">
        <is>
          <t>Industrial</t>
        </is>
      </c>
      <c r="D111" t="n">
        <v>75</v>
      </c>
      <c r="E111" t="inlineStr">
        <is>
          <t>Storage Warehouse</t>
        </is>
      </c>
      <c r="F111">
        <f>B111&amp;" - "&amp;E111</f>
        <v/>
      </c>
    </row>
    <row r="112">
      <c r="B112" t="n">
        <v>407</v>
      </c>
      <c r="C112" t="inlineStr">
        <is>
          <t>Commercial</t>
        </is>
      </c>
      <c r="D112" t="n">
        <v>501</v>
      </c>
      <c r="E112" t="inlineStr">
        <is>
          <t>Distribution Warehouse</t>
        </is>
      </c>
      <c r="F112">
        <f>B112&amp;" - "&amp;E112</f>
        <v/>
      </c>
    </row>
    <row r="113">
      <c r="B113" t="n">
        <v>407</v>
      </c>
      <c r="C113" t="inlineStr">
        <is>
          <t>Industrial</t>
        </is>
      </c>
      <c r="D113" t="n">
        <v>154</v>
      </c>
      <c r="E113" t="inlineStr">
        <is>
          <t>Distribution Warehouse</t>
        </is>
      </c>
      <c r="F113">
        <f>B113&amp;" - "&amp;E113</f>
        <v/>
      </c>
    </row>
    <row r="114">
      <c r="B114" t="n">
        <v>408</v>
      </c>
      <c r="C114" t="inlineStr">
        <is>
          <t>Commercial</t>
        </is>
      </c>
      <c r="D114" t="n">
        <v>10</v>
      </c>
      <c r="E114" t="inlineStr">
        <is>
          <t>Service Station</t>
        </is>
      </c>
      <c r="F114">
        <f>B114&amp;" - "&amp;E114</f>
        <v/>
      </c>
    </row>
    <row r="115">
      <c r="B115" t="n">
        <v>409</v>
      </c>
      <c r="C115" t="inlineStr">
        <is>
          <t>Commercial</t>
        </is>
      </c>
      <c r="D115" t="n">
        <v>23</v>
      </c>
      <c r="E115" t="inlineStr">
        <is>
          <t>T-Hanger</t>
        </is>
      </c>
      <c r="F115">
        <f>B115&amp;" - "&amp;E115</f>
        <v/>
      </c>
    </row>
    <row r="116">
      <c r="B116" t="n">
        <v>410</v>
      </c>
      <c r="C116" t="inlineStr">
        <is>
          <t>Commercial</t>
        </is>
      </c>
      <c r="D116" t="n">
        <v>7</v>
      </c>
      <c r="E116" t="inlineStr">
        <is>
          <t>Automotive Center</t>
        </is>
      </c>
      <c r="F116">
        <f>B116&amp;" - "&amp;E116</f>
        <v/>
      </c>
    </row>
    <row r="117">
      <c r="B117" t="n">
        <v>412</v>
      </c>
      <c r="C117" t="inlineStr">
        <is>
          <t>Commercial</t>
        </is>
      </c>
      <c r="D117" t="n">
        <v>43</v>
      </c>
      <c r="E117" t="inlineStr">
        <is>
          <t>Neighborhood Shopping Center</t>
        </is>
      </c>
      <c r="F117">
        <f>B117&amp;" - "&amp;E117</f>
        <v/>
      </c>
    </row>
    <row r="118">
      <c r="B118" t="n">
        <v>413</v>
      </c>
      <c r="C118" t="inlineStr">
        <is>
          <t>Commercial</t>
        </is>
      </c>
      <c r="D118" t="n">
        <v>20</v>
      </c>
      <c r="E118" t="inlineStr">
        <is>
          <t>Community Shopping Center</t>
        </is>
      </c>
      <c r="F118">
        <f>B118&amp;" - "&amp;E118</f>
        <v/>
      </c>
    </row>
    <row r="119">
      <c r="B119" t="n">
        <v>414</v>
      </c>
      <c r="C119" t="inlineStr">
        <is>
          <t>Commercial</t>
        </is>
      </c>
      <c r="D119" t="n">
        <v>8</v>
      </c>
      <c r="E119" t="inlineStr">
        <is>
          <t>Regional Shopping Center</t>
        </is>
      </c>
      <c r="F119">
        <f>B119&amp;" - "&amp;E119</f>
        <v/>
      </c>
    </row>
    <row r="120">
      <c r="B120" t="n">
        <v>415</v>
      </c>
      <c r="C120" t="inlineStr">
        <is>
          <t>Commercial</t>
        </is>
      </c>
      <c r="D120" t="n">
        <v>2</v>
      </c>
      <c r="E120" t="inlineStr">
        <is>
          <t>Utility Bldg Res</t>
        </is>
      </c>
      <c r="F120">
        <f>B120&amp;" - "&amp;E120</f>
        <v/>
      </c>
    </row>
    <row r="121">
      <c r="B121" t="n">
        <v>418</v>
      </c>
      <c r="C121" t="inlineStr">
        <is>
          <t>Commercial</t>
        </is>
      </c>
      <c r="D121" t="n">
        <v>2</v>
      </c>
      <c r="E121" t="inlineStr">
        <is>
          <t>Health Club</t>
        </is>
      </c>
      <c r="F121">
        <f>B121&amp;" - "&amp;E121</f>
        <v/>
      </c>
    </row>
    <row r="122">
      <c r="B122" t="n">
        <v>419</v>
      </c>
      <c r="C122" t="inlineStr">
        <is>
          <t>Commercial</t>
        </is>
      </c>
      <c r="D122" t="n">
        <v>139</v>
      </c>
      <c r="E122" t="inlineStr">
        <is>
          <t>Convenience Store</t>
        </is>
      </c>
      <c r="F122">
        <f>B122&amp;" - "&amp;E122</f>
        <v/>
      </c>
    </row>
    <row r="123">
      <c r="B123" t="n">
        <v>419</v>
      </c>
      <c r="C123" t="inlineStr">
        <is>
          <t>Industrial</t>
        </is>
      </c>
      <c r="D123" t="n">
        <v>1</v>
      </c>
      <c r="E123" t="inlineStr">
        <is>
          <t>Convenience Store</t>
        </is>
      </c>
      <c r="F123">
        <f>B123&amp;" - "&amp;E123</f>
        <v/>
      </c>
    </row>
    <row r="124">
      <c r="B124" t="n">
        <v>421</v>
      </c>
      <c r="C124" t="inlineStr">
        <is>
          <t>Commercial</t>
        </is>
      </c>
      <c r="D124" t="n">
        <v>1</v>
      </c>
      <c r="E124" t="inlineStr">
        <is>
          <t>Shed - Tool</t>
        </is>
      </c>
      <c r="F124">
        <f>B124&amp;" - "&amp;E124</f>
        <v/>
      </c>
    </row>
    <row r="125">
      <c r="B125" t="n">
        <v>423</v>
      </c>
      <c r="C125" t="inlineStr">
        <is>
          <t>Commercial</t>
        </is>
      </c>
      <c r="D125" t="n">
        <v>23</v>
      </c>
      <c r="E125" t="inlineStr">
        <is>
          <t>Mini Lube Garage</t>
        </is>
      </c>
      <c r="F125">
        <f>B125&amp;" - "&amp;E125</f>
        <v/>
      </c>
    </row>
    <row r="126">
      <c r="B126" t="n">
        <v>425</v>
      </c>
      <c r="C126" t="inlineStr">
        <is>
          <t>Commercial</t>
        </is>
      </c>
      <c r="D126" t="n">
        <v>356</v>
      </c>
      <c r="E126" t="inlineStr">
        <is>
          <t>Industrial WH Condo</t>
        </is>
      </c>
      <c r="F126">
        <f>B126&amp;" - "&amp;E126</f>
        <v/>
      </c>
    </row>
    <row r="127">
      <c r="B127" t="n">
        <v>425</v>
      </c>
      <c r="C127" t="inlineStr">
        <is>
          <t>Industrial</t>
        </is>
      </c>
      <c r="D127" t="n">
        <v>12</v>
      </c>
      <c r="E127" t="inlineStr">
        <is>
          <t>Industrial WH Condo</t>
        </is>
      </c>
      <c r="F127">
        <f>B127&amp;" - "&amp;E127</f>
        <v/>
      </c>
    </row>
    <row r="128">
      <c r="B128" t="n">
        <v>426</v>
      </c>
      <c r="C128" t="inlineStr">
        <is>
          <t>Commercial</t>
        </is>
      </c>
      <c r="D128" t="n">
        <v>35</v>
      </c>
      <c r="E128" t="inlineStr">
        <is>
          <t>Day Care Center</t>
        </is>
      </c>
      <c r="F128">
        <f>B128&amp;" - "&amp;E128</f>
        <v/>
      </c>
    </row>
    <row r="129">
      <c r="B129" t="n">
        <v>430</v>
      </c>
      <c r="C129" t="inlineStr">
        <is>
          <t>Industrial</t>
        </is>
      </c>
      <c r="D129" t="n">
        <v>1</v>
      </c>
      <c r="E129" t="inlineStr">
        <is>
          <t>Storage - Utility Grain</t>
        </is>
      </c>
      <c r="F129">
        <f>B129&amp;" - "&amp;E129</f>
        <v/>
      </c>
    </row>
    <row r="130">
      <c r="B130" t="n">
        <v>431</v>
      </c>
      <c r="C130" t="inlineStr">
        <is>
          <t>Commercial</t>
        </is>
      </c>
      <c r="D130" t="n">
        <v>1</v>
      </c>
      <c r="E130" t="inlineStr">
        <is>
          <t>Surgical Center - Out patient</t>
        </is>
      </c>
      <c r="F130">
        <f>B130&amp;" - "&amp;E130</f>
        <v/>
      </c>
    </row>
    <row r="131">
      <c r="B131" t="n">
        <v>432</v>
      </c>
      <c r="C131" t="inlineStr">
        <is>
          <t>Industrial</t>
        </is>
      </c>
      <c r="D131" t="n">
        <v>1</v>
      </c>
      <c r="E131" t="inlineStr">
        <is>
          <t>Restroom Building/Concessions</t>
        </is>
      </c>
      <c r="F131">
        <f>B131&amp;" - "&amp;E131</f>
        <v/>
      </c>
    </row>
    <row r="132">
      <c r="B132" t="n">
        <v>434</v>
      </c>
      <c r="C132" t="inlineStr">
        <is>
          <t>Commercial</t>
        </is>
      </c>
      <c r="D132" t="n">
        <v>55</v>
      </c>
      <c r="E132" t="inlineStr">
        <is>
          <t>Car Wash - Self Service</t>
        </is>
      </c>
      <c r="F132">
        <f>B132&amp;" - "&amp;E132</f>
        <v/>
      </c>
    </row>
    <row r="133">
      <c r="B133" t="n">
        <v>434</v>
      </c>
      <c r="C133" t="inlineStr">
        <is>
          <t>Industrial</t>
        </is>
      </c>
      <c r="D133" t="n">
        <v>1</v>
      </c>
      <c r="E133" t="inlineStr">
        <is>
          <t>Car Wash - Self Service</t>
        </is>
      </c>
      <c r="F133">
        <f>B133&amp;" - "&amp;E133</f>
        <v/>
      </c>
    </row>
    <row r="134">
      <c r="B134" t="n">
        <v>435</v>
      </c>
      <c r="C134" t="inlineStr">
        <is>
          <t>Commercial</t>
        </is>
      </c>
      <c r="D134" t="n">
        <v>22</v>
      </c>
      <c r="E134" t="inlineStr">
        <is>
          <t>Car Wash - Drive thru</t>
        </is>
      </c>
      <c r="F134">
        <f>B134&amp;" - "&amp;E134</f>
        <v/>
      </c>
    </row>
    <row r="135">
      <c r="B135" t="n">
        <v>436</v>
      </c>
      <c r="C135" t="inlineStr">
        <is>
          <t>Commercial</t>
        </is>
      </c>
      <c r="D135" t="n">
        <v>52</v>
      </c>
      <c r="E135" t="inlineStr">
        <is>
          <t>Car Wash - Automatic</t>
        </is>
      </c>
      <c r="F135">
        <f>B135&amp;" - "&amp;E135</f>
        <v/>
      </c>
    </row>
    <row r="136">
      <c r="B136" t="n">
        <v>438</v>
      </c>
      <c r="C136" t="inlineStr">
        <is>
          <t>Industrial</t>
        </is>
      </c>
      <c r="D136" t="n">
        <v>1</v>
      </c>
      <c r="E136" t="inlineStr">
        <is>
          <t>Prefab Metal Building *CODE</t>
        </is>
      </c>
      <c r="F136">
        <f>B136&amp;" - "&amp;E136</f>
        <v/>
      </c>
    </row>
    <row r="137">
      <c r="B137" t="n">
        <v>441</v>
      </c>
      <c r="C137" t="inlineStr">
        <is>
          <t>Commercial</t>
        </is>
      </c>
      <c r="D137" t="n">
        <v>2</v>
      </c>
      <c r="E137" t="inlineStr">
        <is>
          <t>Cocktail Lounge</t>
        </is>
      </c>
      <c r="F137">
        <f>B137&amp;" - "&amp;E137</f>
        <v/>
      </c>
    </row>
    <row r="138">
      <c r="B138" t="n">
        <v>442</v>
      </c>
      <c r="C138" t="inlineStr">
        <is>
          <t>Commercial</t>
        </is>
      </c>
      <c r="D138" t="n">
        <v>41</v>
      </c>
      <c r="E138" t="inlineStr">
        <is>
          <t>Bar/Tavern</t>
        </is>
      </c>
      <c r="F138">
        <f>B138&amp;" - "&amp;E138</f>
        <v/>
      </c>
    </row>
    <row r="139">
      <c r="B139" t="n">
        <v>442</v>
      </c>
      <c r="C139" t="inlineStr">
        <is>
          <t>Industrial</t>
        </is>
      </c>
      <c r="D139" t="n">
        <v>1</v>
      </c>
      <c r="E139" t="inlineStr">
        <is>
          <t>Bar/Tavern</t>
        </is>
      </c>
      <c r="F139">
        <f>B139&amp;" - "&amp;E139</f>
        <v/>
      </c>
    </row>
    <row r="140">
      <c r="B140" t="n">
        <v>444</v>
      </c>
      <c r="C140" t="inlineStr">
        <is>
          <t>Commercial</t>
        </is>
      </c>
      <c r="D140" t="n">
        <v>18</v>
      </c>
      <c r="E140" t="inlineStr">
        <is>
          <t>Dental Office/ Clinic</t>
        </is>
      </c>
      <c r="F140">
        <f>B140&amp;" - "&amp;E140</f>
        <v/>
      </c>
    </row>
    <row r="141">
      <c r="B141" t="n">
        <v>446</v>
      </c>
      <c r="C141" t="inlineStr">
        <is>
          <t>Commercial</t>
        </is>
      </c>
      <c r="D141" t="n">
        <v>30</v>
      </c>
      <c r="E141" t="inlineStr">
        <is>
          <t>SuperMarket</t>
        </is>
      </c>
      <c r="F141">
        <f>B141&amp;" - "&amp;E141</f>
        <v/>
      </c>
    </row>
    <row r="142">
      <c r="B142" t="n">
        <v>447</v>
      </c>
      <c r="C142" t="inlineStr">
        <is>
          <t>Commercial</t>
        </is>
      </c>
      <c r="D142" t="n">
        <v>8</v>
      </c>
      <c r="E142" t="inlineStr">
        <is>
          <t>Cold Storage Warehouse</t>
        </is>
      </c>
      <c r="F142">
        <f>B142&amp;" - "&amp;E142</f>
        <v/>
      </c>
    </row>
    <row r="143">
      <c r="B143" t="n">
        <v>447</v>
      </c>
      <c r="C143" t="inlineStr">
        <is>
          <t>Industrial</t>
        </is>
      </c>
      <c r="D143" t="n">
        <v>2</v>
      </c>
      <c r="E143" t="inlineStr">
        <is>
          <t>Cold Storage Warehouse</t>
        </is>
      </c>
      <c r="F143">
        <f>B143&amp;" - "&amp;E143</f>
        <v/>
      </c>
    </row>
    <row r="144">
      <c r="B144" t="n">
        <v>448</v>
      </c>
      <c r="C144" t="inlineStr">
        <is>
          <t>Commercial</t>
        </is>
      </c>
      <c r="D144" t="n">
        <v>7</v>
      </c>
      <c r="E144" t="inlineStr">
        <is>
          <t>Self Service Booth</t>
        </is>
      </c>
      <c r="F144">
        <f>B144&amp;" - "&amp;E144</f>
        <v/>
      </c>
    </row>
    <row r="145">
      <c r="B145" t="n">
        <v>451</v>
      </c>
      <c r="C145" t="inlineStr">
        <is>
          <t>Commercial</t>
        </is>
      </c>
      <c r="D145" t="n">
        <v>2</v>
      </c>
      <c r="E145" t="inlineStr">
        <is>
          <t>Grain Elevator Concrete</t>
        </is>
      </c>
      <c r="F145">
        <f>B145&amp;" - "&amp;E145</f>
        <v/>
      </c>
    </row>
    <row r="146">
      <c r="B146" t="n">
        <v>452</v>
      </c>
      <c r="C146" t="inlineStr">
        <is>
          <t>Commercial</t>
        </is>
      </c>
      <c r="D146" t="n">
        <v>1</v>
      </c>
      <c r="E146" t="inlineStr">
        <is>
          <t>Grain Elevator Conc Annex</t>
        </is>
      </c>
      <c r="F146">
        <f>B146&amp;" - "&amp;E146</f>
        <v/>
      </c>
    </row>
    <row r="147">
      <c r="B147" t="n">
        <v>464</v>
      </c>
      <c r="C147" t="inlineStr">
        <is>
          <t>Commercial</t>
        </is>
      </c>
      <c r="D147" t="n">
        <v>2</v>
      </c>
      <c r="E147" t="inlineStr">
        <is>
          <t>Grain Elevator Low</t>
        </is>
      </c>
      <c r="F147">
        <f>B147&amp;" - "&amp;E147</f>
        <v/>
      </c>
    </row>
    <row r="148">
      <c r="B148" t="n">
        <v>465</v>
      </c>
      <c r="C148" t="inlineStr">
        <is>
          <t>Commercial</t>
        </is>
      </c>
      <c r="D148" t="n">
        <v>3</v>
      </c>
      <c r="E148" t="inlineStr">
        <is>
          <t>Grain Elevator Average</t>
        </is>
      </c>
      <c r="F148">
        <f>B148&amp;" - "&amp;E148</f>
        <v/>
      </c>
    </row>
    <row r="149">
      <c r="B149" t="n">
        <v>468</v>
      </c>
      <c r="C149" t="inlineStr">
        <is>
          <t>Commercial</t>
        </is>
      </c>
      <c r="D149" t="n">
        <v>1</v>
      </c>
      <c r="E149" t="inlineStr">
        <is>
          <t>Farm Office</t>
        </is>
      </c>
      <c r="F149">
        <f>B149&amp;" - "&amp;E149</f>
        <v/>
      </c>
    </row>
    <row r="150">
      <c r="B150" t="n">
        <v>468</v>
      </c>
      <c r="C150" t="inlineStr">
        <is>
          <t>Industrial</t>
        </is>
      </c>
      <c r="D150" t="n">
        <v>1</v>
      </c>
      <c r="E150" t="inlineStr">
        <is>
          <t>Farm Office</t>
        </is>
      </c>
      <c r="F150">
        <f>B150&amp;" - "&amp;E150</f>
        <v/>
      </c>
    </row>
    <row r="151">
      <c r="B151" t="n">
        <v>473</v>
      </c>
      <c r="C151" t="inlineStr">
        <is>
          <t>Commercial</t>
        </is>
      </c>
      <c r="D151" t="n">
        <v>9</v>
      </c>
      <c r="E151" t="inlineStr">
        <is>
          <t>Equipment Building</t>
        </is>
      </c>
      <c r="F151">
        <f>B151&amp;" - "&amp;E151</f>
        <v/>
      </c>
    </row>
    <row r="152">
      <c r="B152" t="n">
        <v>473</v>
      </c>
      <c r="C152" t="inlineStr">
        <is>
          <t>Industrial</t>
        </is>
      </c>
      <c r="D152" t="n">
        <v>1</v>
      </c>
      <c r="E152" t="inlineStr">
        <is>
          <t>Equipment Building</t>
        </is>
      </c>
      <c r="F152">
        <f>B152&amp;" - "&amp;E152</f>
        <v/>
      </c>
    </row>
    <row r="153">
      <c r="B153" t="n">
        <v>474</v>
      </c>
      <c r="C153" t="inlineStr">
        <is>
          <t>Commercial</t>
        </is>
      </c>
      <c r="D153" t="n">
        <v>19</v>
      </c>
      <c r="E153" t="inlineStr">
        <is>
          <t>Modular Office</t>
        </is>
      </c>
      <c r="F153">
        <f>B153&amp;" - "&amp;E153</f>
        <v/>
      </c>
    </row>
    <row r="154">
      <c r="B154" t="n">
        <v>474</v>
      </c>
      <c r="C154" t="inlineStr">
        <is>
          <t>Industrial</t>
        </is>
      </c>
      <c r="D154" t="n">
        <v>4</v>
      </c>
      <c r="E154" t="inlineStr">
        <is>
          <t>Modular Office</t>
        </is>
      </c>
      <c r="F154">
        <f>B154&amp;" - "&amp;E154</f>
        <v/>
      </c>
    </row>
    <row r="155">
      <c r="B155" t="n">
        <v>480</v>
      </c>
      <c r="C155" t="inlineStr">
        <is>
          <t>Commercial</t>
        </is>
      </c>
      <c r="D155" t="n">
        <v>1</v>
      </c>
      <c r="E155" t="inlineStr">
        <is>
          <t>Vegetable Building</t>
        </is>
      </c>
      <c r="F155">
        <f>B155&amp;" - "&amp;E155</f>
        <v/>
      </c>
    </row>
    <row r="156">
      <c r="B156" t="n">
        <v>482</v>
      </c>
      <c r="C156" t="inlineStr">
        <is>
          <t>Commercial</t>
        </is>
      </c>
      <c r="D156" t="n">
        <v>3</v>
      </c>
      <c r="E156" t="inlineStr">
        <is>
          <t>Convention Center</t>
        </is>
      </c>
      <c r="F156">
        <f>B156&amp;" - "&amp;E156</f>
        <v/>
      </c>
    </row>
    <row r="157">
      <c r="B157" t="n">
        <v>483</v>
      </c>
      <c r="C157" t="inlineStr">
        <is>
          <t>Commercial</t>
        </is>
      </c>
      <c r="D157" t="n">
        <v>4</v>
      </c>
      <c r="E157" t="inlineStr">
        <is>
          <t>Fitness Center</t>
        </is>
      </c>
      <c r="F157">
        <f>B157&amp;" - "&amp;E157</f>
        <v/>
      </c>
    </row>
    <row r="158">
      <c r="B158" t="n">
        <v>499</v>
      </c>
      <c r="C158" t="inlineStr">
        <is>
          <t>Commercial</t>
        </is>
      </c>
      <c r="D158" t="n">
        <v>3</v>
      </c>
      <c r="E158" t="inlineStr">
        <is>
          <t>Salvage</t>
        </is>
      </c>
      <c r="F158">
        <f>B158&amp;" - "&amp;E158</f>
        <v/>
      </c>
    </row>
    <row r="159">
      <c r="B159" t="n">
        <v>500</v>
      </c>
      <c r="C159" t="inlineStr">
        <is>
          <t>Commercial</t>
        </is>
      </c>
      <c r="D159" t="n">
        <v>3</v>
      </c>
      <c r="E159" t="inlineStr">
        <is>
          <t>R V Parks *CODE</t>
        </is>
      </c>
      <c r="F159">
        <f>B159&amp;" - "&amp;E159</f>
        <v/>
      </c>
    </row>
    <row r="160">
      <c r="B160" t="n">
        <v>501</v>
      </c>
      <c r="C160" t="inlineStr">
        <is>
          <t>Commercial</t>
        </is>
      </c>
      <c r="D160" t="n">
        <v>13</v>
      </c>
      <c r="E160" t="inlineStr">
        <is>
          <t>Mini-Mart Convenience Stores</t>
        </is>
      </c>
      <c r="F160">
        <f>B160&amp;" - "&amp;E160</f>
        <v/>
      </c>
    </row>
    <row r="161">
      <c r="B161" t="n">
        <v>501</v>
      </c>
      <c r="C161" t="inlineStr">
        <is>
          <t>Industrial</t>
        </is>
      </c>
      <c r="D161" t="n">
        <v>2</v>
      </c>
      <c r="E161" t="inlineStr">
        <is>
          <t>Miscellaneous OB</t>
        </is>
      </c>
      <c r="F161">
        <f>B161&amp;" - "&amp;E161</f>
        <v/>
      </c>
    </row>
    <row r="162">
      <c r="B162" t="n">
        <v>519</v>
      </c>
      <c r="C162" t="inlineStr">
        <is>
          <t>Commercial</t>
        </is>
      </c>
      <c r="D162" t="n">
        <v>1</v>
      </c>
      <c r="E162" t="inlineStr">
        <is>
          <t>Greenhouse Shade Shelters</t>
        </is>
      </c>
      <c r="F162">
        <f>B162&amp;" - "&amp;E162</f>
        <v/>
      </c>
    </row>
    <row r="163">
      <c r="B163" t="n">
        <v>523</v>
      </c>
      <c r="C163" t="inlineStr">
        <is>
          <t>Commercial</t>
        </is>
      </c>
      <c r="D163" t="n">
        <v>1</v>
      </c>
      <c r="E163" t="inlineStr">
        <is>
          <t>Golf Cart Storage Bldgs</t>
        </is>
      </c>
      <c r="F163">
        <f>B163&amp;" - "&amp;E163</f>
        <v/>
      </c>
    </row>
    <row r="164">
      <c r="B164" t="n">
        <v>525</v>
      </c>
      <c r="C164" t="inlineStr">
        <is>
          <t>Commercial</t>
        </is>
      </c>
      <c r="D164" t="n">
        <v>1</v>
      </c>
      <c r="E164" t="inlineStr">
        <is>
          <t>Mini Warehouse Hi-rise</t>
        </is>
      </c>
      <c r="F164">
        <f>B164&amp;" - "&amp;E164</f>
        <v/>
      </c>
    </row>
    <row r="165">
      <c r="B165" t="n">
        <v>526</v>
      </c>
      <c r="C165" t="inlineStr">
        <is>
          <t>Commercial</t>
        </is>
      </c>
      <c r="D165" t="n">
        <v>3</v>
      </c>
      <c r="E165" t="inlineStr">
        <is>
          <t>Service Garage Sheds</t>
        </is>
      </c>
      <c r="F165">
        <f>B165&amp;" - "&amp;E165</f>
        <v/>
      </c>
    </row>
    <row r="166">
      <c r="B166" t="n">
        <v>529</v>
      </c>
      <c r="C166" t="inlineStr">
        <is>
          <t>Commercial</t>
        </is>
      </c>
      <c r="D166" t="n">
        <v>1</v>
      </c>
      <c r="E166" t="inlineStr">
        <is>
          <t>Snack Bar</t>
        </is>
      </c>
      <c r="F166">
        <f>B166&amp;" - "&amp;E166</f>
        <v/>
      </c>
    </row>
    <row r="167">
      <c r="B167" t="n">
        <v>531</v>
      </c>
      <c r="C167" t="inlineStr">
        <is>
          <t>Commercial</t>
        </is>
      </c>
      <c r="D167" t="n">
        <v>2</v>
      </c>
      <c r="E167" t="inlineStr">
        <is>
          <t>Mobile Home Parks *CODE</t>
        </is>
      </c>
      <c r="F167">
        <f>B167&amp;" - "&amp;E167</f>
        <v/>
      </c>
    </row>
    <row r="168">
      <c r="B168" t="n">
        <v>533</v>
      </c>
      <c r="C168" t="inlineStr">
        <is>
          <t>Commercial</t>
        </is>
      </c>
      <c r="D168" t="n">
        <v>2</v>
      </c>
      <c r="E168" t="inlineStr">
        <is>
          <t>Warehouse Food Store</t>
        </is>
      </c>
      <c r="F168">
        <f>B168&amp;" - "&amp;E168</f>
        <v/>
      </c>
    </row>
    <row r="169">
      <c r="B169" t="n">
        <v>534</v>
      </c>
      <c r="C169" t="inlineStr">
        <is>
          <t>Commercial</t>
        </is>
      </c>
      <c r="D169" t="n">
        <v>10</v>
      </c>
      <c r="E169" t="inlineStr">
        <is>
          <t>Warehouse Showroom Store</t>
        </is>
      </c>
      <c r="F169">
        <f>B169&amp;" - "&amp;E169</f>
        <v/>
      </c>
    </row>
    <row r="170">
      <c r="B170" t="n">
        <v>534</v>
      </c>
      <c r="C170" t="inlineStr">
        <is>
          <t>Industrial</t>
        </is>
      </c>
      <c r="D170" t="n">
        <v>1</v>
      </c>
      <c r="E170" t="inlineStr">
        <is>
          <t>Warehouse Showroom Store</t>
        </is>
      </c>
      <c r="F170">
        <f>B170&amp;" - "&amp;E170</f>
        <v/>
      </c>
    </row>
    <row r="171">
      <c r="B171" t="n">
        <v>540</v>
      </c>
      <c r="C171" t="inlineStr">
        <is>
          <t>Commercial</t>
        </is>
      </c>
      <c r="D171" t="n">
        <v>1</v>
      </c>
      <c r="E171" t="inlineStr">
        <is>
          <t>Motel Guest Rooms</t>
        </is>
      </c>
      <c r="F171">
        <f>B171&amp;" - "&amp;E171</f>
        <v/>
      </c>
    </row>
    <row r="172">
      <c r="B172" t="n">
        <v>544</v>
      </c>
      <c r="C172" t="inlineStr">
        <is>
          <t>Commercial</t>
        </is>
      </c>
      <c r="D172" t="n">
        <v>4</v>
      </c>
      <c r="E172" t="inlineStr">
        <is>
          <t>Office-Apartment</t>
        </is>
      </c>
      <c r="F172">
        <f>B172&amp;" - "&amp;E172</f>
        <v/>
      </c>
    </row>
    <row r="173">
      <c r="B173" t="n">
        <v>557</v>
      </c>
      <c r="C173" t="inlineStr">
        <is>
          <t>Commercial</t>
        </is>
      </c>
      <c r="D173" t="n">
        <v>2</v>
      </c>
      <c r="E173" t="inlineStr">
        <is>
          <t>Arch-Rib Quonset Utility</t>
        </is>
      </c>
      <c r="F173">
        <f>B173&amp;" - "&amp;E173</f>
        <v/>
      </c>
    </row>
    <row r="174">
      <c r="B174" t="n">
        <v>558</v>
      </c>
      <c r="C174" t="inlineStr">
        <is>
          <t>Commercial</t>
        </is>
      </c>
      <c r="D174" t="n">
        <v>1</v>
      </c>
      <c r="E174" t="inlineStr">
        <is>
          <t>Arch-Rib Quonset Farm Implement</t>
        </is>
      </c>
      <c r="F174">
        <f>B174&amp;" - "&amp;E174</f>
        <v/>
      </c>
    </row>
    <row r="175">
      <c r="B175" t="n">
        <v>573</v>
      </c>
      <c r="C175" t="inlineStr">
        <is>
          <t>Commercial</t>
        </is>
      </c>
      <c r="D175" t="n">
        <v>1</v>
      </c>
      <c r="E175" t="inlineStr">
        <is>
          <t>Arcade</t>
        </is>
      </c>
      <c r="F175">
        <f>B175&amp;" - "&amp;E175</f>
        <v/>
      </c>
    </row>
    <row r="176">
      <c r="B176" t="n">
        <v>580</v>
      </c>
      <c r="C176" t="inlineStr">
        <is>
          <t>Commercial</t>
        </is>
      </c>
      <c r="D176" t="n">
        <v>2</v>
      </c>
      <c r="E176" t="inlineStr">
        <is>
          <t>Truck Stop Restaurant</t>
        </is>
      </c>
      <c r="F176">
        <f>B176&amp;" - "&amp;E176</f>
        <v/>
      </c>
    </row>
    <row r="177">
      <c r="B177" t="n">
        <v>582</v>
      </c>
      <c r="C177" t="inlineStr">
        <is>
          <t>Commercial</t>
        </is>
      </c>
      <c r="D177" t="n">
        <v>1</v>
      </c>
      <c r="E177" t="inlineStr">
        <is>
          <t>Branch Post Office</t>
        </is>
      </c>
      <c r="F177">
        <f>B177&amp;" - "&amp;E177</f>
        <v/>
      </c>
    </row>
    <row r="178">
      <c r="B178" t="n">
        <v>584</v>
      </c>
      <c r="C178" t="inlineStr">
        <is>
          <t>Commercial</t>
        </is>
      </c>
      <c r="D178" t="n">
        <v>56</v>
      </c>
      <c r="E178" t="inlineStr">
        <is>
          <t>Mega Warehouse</t>
        </is>
      </c>
      <c r="F178">
        <f>B178&amp;" - "&amp;E178</f>
        <v/>
      </c>
    </row>
    <row r="179">
      <c r="B179" t="n">
        <v>584</v>
      </c>
      <c r="C179" t="inlineStr">
        <is>
          <t>Industrial</t>
        </is>
      </c>
      <c r="D179" t="n">
        <v>21</v>
      </c>
      <c r="E179" t="inlineStr">
        <is>
          <t>Mega Warehouse</t>
        </is>
      </c>
      <c r="F179">
        <f>B179&amp;" - "&amp;E179</f>
        <v/>
      </c>
    </row>
    <row r="180">
      <c r="B180" t="n">
        <v>718</v>
      </c>
      <c r="C180" t="inlineStr">
        <is>
          <t>Commercial</t>
        </is>
      </c>
      <c r="D180" t="n">
        <v>3</v>
      </c>
      <c r="E180" t="inlineStr">
        <is>
          <t>Banquet Halls</t>
        </is>
      </c>
      <c r="F180">
        <f>B180&amp;" - "&amp;E180</f>
        <v/>
      </c>
    </row>
    <row r="181">
      <c r="B181" t="n">
        <v>1104</v>
      </c>
      <c r="C181" t="inlineStr">
        <is>
          <t>Commercial</t>
        </is>
      </c>
      <c r="D181" t="n">
        <v>1</v>
      </c>
      <c r="E181" t="inlineStr">
        <is>
          <t>Light Commercial-Commodity Warehouse</t>
        </is>
      </c>
      <c r="F181">
        <f>B181&amp;" - "&amp;E181</f>
        <v/>
      </c>
    </row>
    <row r="182">
      <c r="B182" t="n">
        <v>1104</v>
      </c>
      <c r="C182" t="inlineStr">
        <is>
          <t>Industrial</t>
        </is>
      </c>
      <c r="D182" t="n">
        <v>1</v>
      </c>
      <c r="E182" t="inlineStr">
        <is>
          <t>Light Commercial-Commodity Warehouse</t>
        </is>
      </c>
      <c r="F182">
        <f>B182&amp;" - "&amp;E182</f>
        <v/>
      </c>
    </row>
    <row r="183">
      <c r="B183" t="n">
        <v>1111</v>
      </c>
      <c r="C183" t="inlineStr">
        <is>
          <t>Commercial</t>
        </is>
      </c>
      <c r="D183" t="n">
        <v>2</v>
      </c>
      <c r="E183" t="inlineStr">
        <is>
          <t>Parking Lot</t>
        </is>
      </c>
      <c r="F183">
        <f>B183&amp;" - "&amp;E183</f>
        <v/>
      </c>
    </row>
    <row r="184">
      <c r="B184" t="n">
        <v>1112</v>
      </c>
      <c r="C184" t="inlineStr">
        <is>
          <t>Commercial</t>
        </is>
      </c>
      <c r="D184" t="n">
        <v>1</v>
      </c>
      <c r="E184" t="inlineStr">
        <is>
          <t>Parking Lot Income Producing</t>
        </is>
      </c>
      <c r="F184">
        <f>B184&amp;" - "&amp;E184</f>
        <v/>
      </c>
    </row>
    <row r="185">
      <c r="B185" t="n">
        <v>1157</v>
      </c>
      <c r="C185" t="inlineStr">
        <is>
          <t>Commercial</t>
        </is>
      </c>
      <c r="D185" t="n">
        <v>2</v>
      </c>
      <c r="E185" t="inlineStr">
        <is>
          <t>Maintenance (Storage) Buildings</t>
        </is>
      </c>
      <c r="F185">
        <f>B185&amp;" - "&amp;E185</f>
        <v/>
      </c>
    </row>
    <row r="186">
      <c r="B186" t="n">
        <v>1332</v>
      </c>
      <c r="C186" t="inlineStr">
        <is>
          <t>Commercial</t>
        </is>
      </c>
      <c r="D186" t="n">
        <v>39</v>
      </c>
      <c r="E186" t="inlineStr">
        <is>
          <t>Hotels - Limited Service</t>
        </is>
      </c>
      <c r="F186">
        <f>B186&amp;" - "&amp;E186</f>
        <v/>
      </c>
    </row>
    <row r="187">
      <c r="B187" t="n">
        <v>1332</v>
      </c>
      <c r="C187" t="inlineStr">
        <is>
          <t>Industrial</t>
        </is>
      </c>
      <c r="D187" t="n">
        <v>1</v>
      </c>
      <c r="E187" t="inlineStr">
        <is>
          <t>Hotels - Limited Service</t>
        </is>
      </c>
      <c r="F187">
        <f>B187&amp;" - "&amp;E187</f>
        <v/>
      </c>
    </row>
    <row r="188">
      <c r="B188" t="n">
        <v>1343</v>
      </c>
      <c r="C188" t="inlineStr">
        <is>
          <t>Commercial</t>
        </is>
      </c>
      <c r="D188" t="n">
        <v>4</v>
      </c>
      <c r="E188" t="inlineStr">
        <is>
          <t>Extended Stay Motels</t>
        </is>
      </c>
      <c r="F188">
        <f>B188&amp;" - "&amp;E188</f>
        <v/>
      </c>
    </row>
    <row r="189">
      <c r="B189" t="n">
        <v>1344</v>
      </c>
      <c r="C189" t="inlineStr">
        <is>
          <t>Commercial</t>
        </is>
      </c>
      <c r="D189" t="n">
        <v>173</v>
      </c>
      <c r="E189" t="inlineStr">
        <is>
          <t>Office Building - Condo</t>
        </is>
      </c>
      <c r="F189">
        <f>B189&amp;" - "&amp;E189</f>
        <v/>
      </c>
    </row>
    <row r="190">
      <c r="B190" t="n">
        <v>1353</v>
      </c>
      <c r="C190" t="inlineStr">
        <is>
          <t>Commercial</t>
        </is>
      </c>
      <c r="D190" t="n">
        <v>20</v>
      </c>
      <c r="E190" t="inlineStr">
        <is>
          <t>Retail Store - Condo</t>
        </is>
      </c>
      <c r="F190">
        <f>B190&amp;" - "&amp;E190</f>
        <v/>
      </c>
    </row>
    <row r="191">
      <c r="B191" t="n">
        <v>1458</v>
      </c>
      <c r="C191" t="inlineStr">
        <is>
          <t>Commercial</t>
        </is>
      </c>
      <c r="D191" t="n">
        <v>8</v>
      </c>
      <c r="E191" t="inlineStr">
        <is>
          <t>Warehouse Discount Store</t>
        </is>
      </c>
      <c r="F191">
        <f>B191&amp;" - "&amp;E191</f>
        <v/>
      </c>
    </row>
    <row r="192">
      <c r="B192" t="n">
        <v>1467</v>
      </c>
      <c r="C192" t="inlineStr">
        <is>
          <t>Commercial</t>
        </is>
      </c>
      <c r="D192" t="n">
        <v>2</v>
      </c>
      <c r="E192" t="inlineStr">
        <is>
          <t>Boat Storage Buildings</t>
        </is>
      </c>
      <c r="F192">
        <f>B192&amp;" - "&amp;E192</f>
        <v/>
      </c>
    </row>
    <row r="193">
      <c r="B193" t="n">
        <v>1468</v>
      </c>
      <c r="C193" t="inlineStr">
        <is>
          <t>Commercial</t>
        </is>
      </c>
      <c r="D193" t="n">
        <v>7</v>
      </c>
      <c r="E193" t="inlineStr">
        <is>
          <t>Material Storage Sheds</t>
        </is>
      </c>
      <c r="F193">
        <f>B193&amp;" - "&amp;E193</f>
        <v/>
      </c>
    </row>
    <row r="194">
      <c r="B194" t="n">
        <v>1468</v>
      </c>
      <c r="C194" t="inlineStr">
        <is>
          <t>Industrial</t>
        </is>
      </c>
      <c r="D194" t="n">
        <v>1</v>
      </c>
      <c r="E194" t="inlineStr">
        <is>
          <t>Material Storage Sheds</t>
        </is>
      </c>
      <c r="F194">
        <f>B194&amp;" - "&amp;E194</f>
        <v/>
      </c>
    </row>
    <row r="195">
      <c r="B195" t="n">
        <v>1471</v>
      </c>
      <c r="C195" t="inlineStr">
        <is>
          <t>Commercial</t>
        </is>
      </c>
      <c r="D195" t="n">
        <v>1</v>
      </c>
      <c r="E195" t="inlineStr">
        <is>
          <t>Light Commercial Utility</t>
        </is>
      </c>
      <c r="F195">
        <f>B195&amp;" - "&amp;E195</f>
        <v/>
      </c>
    </row>
    <row r="196">
      <c r="B196" t="n">
        <v>1473</v>
      </c>
      <c r="C196" t="inlineStr">
        <is>
          <t>Commercial</t>
        </is>
      </c>
      <c r="D196" t="n">
        <v>5</v>
      </c>
      <c r="E196" t="inlineStr">
        <is>
          <t>Material Shelters</t>
        </is>
      </c>
      <c r="F196">
        <f>B196&amp;" - "&amp;E196</f>
        <v/>
      </c>
    </row>
    <row r="197">
      <c r="B197" t="n">
        <v>1473</v>
      </c>
      <c r="C197" t="inlineStr">
        <is>
          <t>Industrial</t>
        </is>
      </c>
      <c r="D197" t="n">
        <v>1</v>
      </c>
      <c r="E197" t="inlineStr">
        <is>
          <t>Material Shelters</t>
        </is>
      </c>
      <c r="F197">
        <f>B197&amp;" - "&amp;E197</f>
        <v/>
      </c>
    </row>
    <row r="198">
      <c r="B198" t="n">
        <v>1513</v>
      </c>
      <c r="C198" t="inlineStr">
        <is>
          <t>Commercial</t>
        </is>
      </c>
      <c r="D198" t="n">
        <v>4</v>
      </c>
      <c r="E198" t="inlineStr">
        <is>
          <t>Regional Discount Shopping Centers</t>
        </is>
      </c>
      <c r="F198">
        <f>B198&amp;" - "&amp;E198</f>
        <v/>
      </c>
    </row>
    <row r="199">
      <c r="B199" t="n">
        <v>3441</v>
      </c>
      <c r="C199" t="inlineStr">
        <is>
          <t>Commercial</t>
        </is>
      </c>
      <c r="D199" t="n">
        <v>41</v>
      </c>
      <c r="E199" t="inlineStr">
        <is>
          <t>Office Conversion</t>
        </is>
      </c>
      <c r="F199">
        <f>B199&amp;" - "&amp;E199</f>
        <v/>
      </c>
    </row>
  </sheetData>
  <pageMargins left="0.75" right="0.75" top="1" bottom="1" header="0.5" footer="0.5"/>
</worksheet>
</file>

<file path=xl/worksheets/sheet14.xml><?xml version="1.0" encoding="utf-8"?>
<worksheet xmlns="http://schemas.openxmlformats.org/spreadsheetml/2006/main">
  <sheetPr>
    <tabColor rgb="007030A0"/>
    <outlinePr summaryBelow="1" summaryRight="1"/>
    <pageSetUpPr/>
  </sheetPr>
  <dimension ref="B1:E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8" customWidth="1" min="2" max="2"/>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894" t="inlineStr">
        <is>
          <t>Zone Value</t>
        </is>
      </c>
    </row>
    <row r="5"/>
    <row r="6">
      <c r="B6" t="inlineStr">
        <is>
          <t>Agricultural</t>
        </is>
      </c>
    </row>
    <row r="7">
      <c r="B7" t="inlineStr">
        <is>
          <t>Aurora</t>
        </is>
      </c>
    </row>
    <row r="8">
      <c r="B8" t="inlineStr">
        <is>
          <t>B-1-Wes</t>
        </is>
      </c>
    </row>
    <row r="9">
      <c r="B9" t="inlineStr">
        <is>
          <t>B-2-Arv</t>
        </is>
      </c>
    </row>
    <row r="10">
      <c r="B10" t="inlineStr">
        <is>
          <t>B-3-Aur</t>
        </is>
      </c>
    </row>
    <row r="11">
      <c r="B11" t="inlineStr">
        <is>
          <t>B-4-Aur</t>
        </is>
      </c>
    </row>
    <row r="12">
      <c r="B12" t="inlineStr">
        <is>
          <t>B2</t>
        </is>
      </c>
    </row>
    <row r="13">
      <c r="B13" t="inlineStr">
        <is>
          <t>B4</t>
        </is>
      </c>
    </row>
    <row r="14">
      <c r="B14" t="inlineStr">
        <is>
          <t>B8</t>
        </is>
      </c>
    </row>
    <row r="15">
      <c r="B15" t="inlineStr">
        <is>
          <t>B8A</t>
        </is>
      </c>
    </row>
    <row r="16">
      <c r="B16" t="inlineStr">
        <is>
          <t>B8G</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5.xml><?xml version="1.0" encoding="utf-8"?>
<worksheet xmlns="http://schemas.openxmlformats.org/spreadsheetml/2006/main">
  <sheetPr>
    <tabColor rgb="007030A0"/>
    <outlinePr summaryBelow="1" summaryRight="1"/>
    <pageSetUpPr/>
  </sheetPr>
  <dimension ref="A1:P10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11.85546875" customWidth="1" min="5" max="5"/>
    <col width="20" customWidth="1" min="6" max="6"/>
    <col width="22" customWidth="1" min="7" max="7"/>
    <col width="8" customWidth="1" min="8" max="8"/>
    <col width="20" customWidth="1" min="11" max="11"/>
    <col width="30" customWidth="1" min="12" max="12"/>
    <col width="35" customWidth="1" min="13" max="13"/>
    <col width="12" customWidth="1" min="14" max="14"/>
    <col width="50" customWidth="1" min="15" max="15"/>
  </cols>
  <sheetData>
    <row r="1" ht="24" customHeight="1">
      <c r="A1" s="690" t="inlineStr">
        <is>
          <t>COMMERCIAL PROPERTY EXPENSE DATABASE ? PROPERTY REGISTRY</t>
        </is>
      </c>
    </row>
    <row r="2" ht="15.95" customHeight="1">
      <c r="A2" s="691" t="inlineStr">
        <is>
          <t>Adams County Assessor | Add one row per property | Used to track all expense comp submissions</t>
        </is>
      </c>
    </row>
    <row r="3" ht="30" customHeight="1">
      <c r="A3" s="692" t="inlineStr">
        <is>
          <t>Prop ID</t>
        </is>
      </c>
      <c r="B3" s="693" t="inlineStr">
        <is>
          <t>Occ Code</t>
        </is>
      </c>
      <c r="C3" s="693" t="inlineStr">
        <is>
          <t>Account #</t>
        </is>
      </c>
      <c r="D3" s="692" t="inlineStr">
        <is>
          <t>Address</t>
        </is>
      </c>
      <c r="E3" s="692" t="inlineStr">
        <is>
          <t>City</t>
        </is>
      </c>
      <c r="F3" s="692" t="inlineStr">
        <is>
          <t>State</t>
        </is>
      </c>
      <c r="G3" s="692" t="inlineStr">
        <is>
          <t>Property Type</t>
        </is>
      </c>
      <c r="H3" s="692" t="inlineStr">
        <is>
          <t>Subtype</t>
        </is>
      </c>
      <c r="I3" s="692" t="inlineStr">
        <is>
          <t>Year Built</t>
        </is>
      </c>
      <c r="J3" s="692" t="inlineStr">
        <is>
          <t>Bldg SF</t>
        </is>
      </c>
      <c r="K3" s="692" t="inlineStr">
        <is>
          <t>Land SF</t>
        </is>
      </c>
      <c r="L3" s="692" t="inlineStr">
        <is>
          <t>Parcel / Schedule #</t>
        </is>
      </c>
      <c r="M3" s="692" t="inlineStr">
        <is>
          <t>Owner</t>
        </is>
      </c>
      <c r="N3" s="692" t="inlineStr">
        <is>
          <t>Data Source</t>
        </is>
      </c>
      <c r="O3" s="692" t="inlineStr">
        <is>
          <t>Date Added</t>
        </is>
      </c>
      <c r="P3" s="692" t="inlineStr">
        <is>
          <t>Notes</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row>
    <row r="18">
      <c r="A18" s="698" t="inlineStr">
        <is>
          <t>P015</t>
        </is>
      </c>
      <c r="B18" s="695" t="n">
        <v>407</v>
      </c>
      <c r="C18" s="696" t="inlineStr">
        <is>
          <t>R0180894</t>
        </is>
      </c>
      <c r="D18" s="698" t="inlineStr">
        <is>
          <t>1910 N Gun Club Rd</t>
        </is>
      </c>
      <c r="E18" s="698" t="inlineStr">
        <is>
          <t>Aurora</t>
        </is>
      </c>
      <c r="F18" s="698" t="inlineStr">
        <is>
          <t>CO</t>
        </is>
      </c>
      <c r="G18" s="698" t="inlineStr">
        <is>
          <t>Industrial</t>
        </is>
      </c>
      <c r="H18" s="698" t="inlineStr">
        <is>
          <t>Distribution Warehouse Multi-Tenant NNN</t>
        </is>
      </c>
      <c r="I18" s="698" t="n">
        <v>2019</v>
      </c>
      <c r="J18" s="698" t="n">
        <v>163386</v>
      </c>
      <c r="K18" s="698" t="n"/>
      <c r="L18" s="698" t="inlineStr">
        <is>
          <t>R0180894</t>
        </is>
      </c>
      <c r="M18" s="698" t="n"/>
      <c r="N18" s="698" t="inlineStr">
        <is>
          <t>MHE 2025 BAA – Owner submitted P&amp;L</t>
        </is>
      </c>
      <c r="O18" s="698" t="inlineStr">
        <is>
          <t>2026-06-01</t>
        </is>
      </c>
      <c r="P18" s="698" t="inlineStr">
        <is>
          <t>Actual accrual income; 2023–2024</t>
        </is>
      </c>
    </row>
    <row r="19">
      <c r="A19" s="699" t="inlineStr">
        <is>
          <t>P016</t>
        </is>
      </c>
      <c r="B19" s="695" t="n">
        <v>584</v>
      </c>
      <c r="C19" s="696" t="inlineStr">
        <is>
          <t>R0212546/R0212547</t>
        </is>
      </c>
      <c r="D19" s="699" t="inlineStr">
        <is>
          <t>2780 N Tower Rd</t>
        </is>
      </c>
      <c r="E19" s="699" t="inlineStr">
        <is>
          <t>Aurora</t>
        </is>
      </c>
      <c r="F19" s="699" t="inlineStr">
        <is>
          <t>CO</t>
        </is>
      </c>
      <c r="G19" s="699" t="inlineStr">
        <is>
          <t>Industrial</t>
        </is>
      </c>
      <c r="H19" s="699" t="inlineStr">
        <is>
          <t>Mega Warehouse NNN</t>
        </is>
      </c>
      <c r="I19" s="699" t="n">
        <v>1983</v>
      </c>
      <c r="J19" s="699" t="n">
        <v>384953</v>
      </c>
      <c r="K19" s="699" t="n"/>
      <c r="L19" s="699" t="inlineStr">
        <is>
          <t>R0212546/R0212547</t>
        </is>
      </c>
      <c r="M19" s="699" t="n"/>
      <c r="N19" s="699" t="inlineStr">
        <is>
          <t>MHE 2025 BAA – County proforma</t>
        </is>
      </c>
      <c r="O19" s="699" t="inlineStr">
        <is>
          <t>2026-06-01</t>
        </is>
      </c>
      <c r="P19" s="699" t="inlineStr">
        <is>
          <t>County proforma; 2024 only</t>
        </is>
      </c>
    </row>
    <row r="20">
      <c r="A20" s="698" t="inlineStr">
        <is>
          <t>P017</t>
        </is>
      </c>
      <c r="B20" s="695" t="n">
        <v>210</v>
      </c>
      <c r="C20" s="696" t="inlineStr">
        <is>
          <t>R0098098</t>
        </is>
      </c>
      <c r="D20" s="698" t="inlineStr">
        <is>
          <t>1445 E 68th Ave</t>
        </is>
      </c>
      <c r="E20" s="698" t="inlineStr">
        <is>
          <t>Denver</t>
        </is>
      </c>
      <c r="F20" s="698" t="inlineStr">
        <is>
          <t>CO</t>
        </is>
      </c>
      <c r="G20" s="698" t="inlineStr">
        <is>
          <t>Industrial</t>
        </is>
      </c>
      <c r="H20" s="698" t="inlineStr">
        <is>
          <t>Industrial Office Mix</t>
        </is>
      </c>
      <c r="I20" s="698" t="n">
        <v>1972</v>
      </c>
      <c r="J20" s="698" t="n">
        <v>63348</v>
      </c>
      <c r="K20" s="698" t="n"/>
      <c r="L20" s="698" t="inlineStr">
        <is>
          <t>R0098098</t>
        </is>
      </c>
      <c r="M20" s="698" t="n"/>
      <c r="N20" s="698" t="inlineStr">
        <is>
          <t>MHE 2025 BAA – County proforma</t>
        </is>
      </c>
      <c r="O20" s="698" t="inlineStr">
        <is>
          <t>2026-06-01</t>
        </is>
      </c>
      <c r="P20" s="698" t="inlineStr">
        <is>
          <t>YOC 1972/2006/2023; county proforma 2024</t>
        </is>
      </c>
    </row>
    <row r="21">
      <c r="A21" s="699" t="inlineStr">
        <is>
          <t>P018</t>
        </is>
      </c>
      <c r="B21" s="695" t="n">
        <v>406</v>
      </c>
      <c r="C21" s="696" t="inlineStr">
        <is>
          <t>R0103783</t>
        </is>
      </c>
      <c r="D21" s="699" t="inlineStr">
        <is>
          <t>2031 E 58th Ave</t>
        </is>
      </c>
      <c r="E21" s="699" t="inlineStr">
        <is>
          <t>Denver</t>
        </is>
      </c>
      <c r="F21" s="699" t="inlineStr">
        <is>
          <t>CO</t>
        </is>
      </c>
      <c r="G21" s="699" t="inlineStr">
        <is>
          <t>Industrial</t>
        </is>
      </c>
      <c r="H21" s="699" t="inlineStr">
        <is>
          <t>Storage Warehouse / Mod Office NNN</t>
        </is>
      </c>
      <c r="I21" s="699" t="n">
        <v>2004</v>
      </c>
      <c r="J21" s="699" t="n">
        <v>18720</v>
      </c>
      <c r="K21" s="699" t="n"/>
      <c r="L21" s="699" t="inlineStr">
        <is>
          <t>R0103783</t>
        </is>
      </c>
      <c r="M21" s="699" t="n"/>
      <c r="N21" s="699" t="inlineStr">
        <is>
          <t>MHE 2025 BAA – NNN billed charges</t>
        </is>
      </c>
      <c r="O21" s="699" t="inlineStr">
        <is>
          <t>2026-06-01</t>
        </is>
      </c>
      <c r="P21" s="699" t="inlineStr">
        <is>
          <t>NNN actual billed charges 2019–2024</t>
        </is>
      </c>
    </row>
    <row r="22">
      <c r="A22" s="698" t="inlineStr">
        <is>
          <t>P019</t>
        </is>
      </c>
      <c r="B22" s="695" t="n">
        <v>407</v>
      </c>
      <c r="C22" s="696" t="inlineStr">
        <is>
          <t>R0210402/R0210403</t>
        </is>
      </c>
      <c r="D22" s="698" t="inlineStr">
        <is>
          <t>17190 E 85th Ave</t>
        </is>
      </c>
      <c r="E22" s="698" t="inlineStr">
        <is>
          <t>Commerce City</t>
        </is>
      </c>
      <c r="F22" s="698" t="inlineStr">
        <is>
          <t>CO</t>
        </is>
      </c>
      <c r="G22" s="698" t="inlineStr">
        <is>
          <t>Industrial</t>
        </is>
      </c>
      <c r="H22" s="698" t="inlineStr">
        <is>
          <t>Industrial Warehouse NNN</t>
        </is>
      </c>
      <c r="I22" s="698" t="n">
        <v>2021</v>
      </c>
      <c r="J22" s="698" t="n">
        <v>329940</v>
      </c>
      <c r="K22" s="698" t="n"/>
      <c r="L22" s="698" t="inlineStr">
        <is>
          <t>R0210402/R0210403</t>
        </is>
      </c>
      <c r="M22" s="698" t="n"/>
      <c r="N22" s="698" t="inlineStr">
        <is>
          <t>MHE 2025 BAA – Petitioner proforma</t>
        </is>
      </c>
      <c r="O22" s="698" t="inlineStr">
        <is>
          <t>2026-06-01</t>
        </is>
      </c>
      <c r="P22" s="698" t="inlineStr">
        <is>
          <t>Petitioner proforma 2024/25</t>
        </is>
      </c>
    </row>
    <row r="23">
      <c r="A23" s="699" t="inlineStr">
        <is>
          <t>P020</t>
        </is>
      </c>
      <c r="B23" s="695" t="n">
        <v>584</v>
      </c>
      <c r="C23" s="696" t="inlineStr">
        <is>
          <t>R0209679</t>
        </is>
      </c>
      <c r="D23" s="699" t="inlineStr">
        <is>
          <t>17501 E 84th Ave</t>
        </is>
      </c>
      <c r="E23" s="699" t="inlineStr">
        <is>
          <t>Commerce City</t>
        </is>
      </c>
      <c r="F23" s="699" t="inlineStr">
        <is>
          <t>CO</t>
        </is>
      </c>
      <c r="G23" s="699" t="inlineStr">
        <is>
          <t>Industrial</t>
        </is>
      </c>
      <c r="H23" s="699" t="inlineStr">
        <is>
          <t>Mega Warehouse / Distribution Center NNN (Lowe's)</t>
        </is>
      </c>
      <c r="I23" s="699" t="n">
        <v>2021</v>
      </c>
      <c r="J23" s="699" t="n">
        <v>999780</v>
      </c>
      <c r="K23" s="699" t="n"/>
      <c r="L23" s="699" t="inlineStr">
        <is>
          <t>R0209679</t>
        </is>
      </c>
      <c r="M23" s="699" t="n"/>
      <c r="N23" s="699" t="inlineStr">
        <is>
          <t>MHE 2025 BAA – Owner submitted P&amp;L</t>
        </is>
      </c>
      <c r="O23" s="699" t="inlineStr">
        <is>
          <t>2026-06-01</t>
        </is>
      </c>
      <c r="P23" s="699" t="inlineStr">
        <is>
          <t>Actual accrual; 2023 NOI inflated by ~$2.8M prior-yr tax adj</t>
        </is>
      </c>
    </row>
    <row r="24">
      <c r="A24" s="698" t="inlineStr">
        <is>
          <t>P021</t>
        </is>
      </c>
      <c r="B24" s="695" t="n">
        <v>210</v>
      </c>
      <c r="C24" s="696" t="inlineStr">
        <is>
          <t>R0091931</t>
        </is>
      </c>
      <c r="D24" s="698" t="inlineStr">
        <is>
          <t>6300 E. 58th Ave</t>
        </is>
      </c>
      <c r="E24" s="698" t="inlineStr">
        <is>
          <t>Commerce City</t>
        </is>
      </c>
      <c r="F24" s="698" t="inlineStr">
        <is>
          <t>CO</t>
        </is>
      </c>
      <c r="G24" s="698" t="inlineStr">
        <is>
          <t>Industrial</t>
        </is>
      </c>
      <c r="H24" s="698" t="inlineStr">
        <is>
          <t>Multi-Tenant Industrial/Flex</t>
        </is>
      </c>
      <c r="I24" s="698" t="n">
        <v>1999</v>
      </c>
      <c r="J24" s="698" t="n">
        <v>90000</v>
      </c>
      <c r="K24" s="698" t="n"/>
      <c r="L24" s="698" t="inlineStr">
        <is>
          <t>R0091931</t>
        </is>
      </c>
      <c r="M24" s="698" t="n"/>
      <c r="N24" s="698" t="inlineStr">
        <is>
          <t>MHE 2025 BOE – Owner actual P&amp;L</t>
        </is>
      </c>
      <c r="O24" s="698" t="inlineStr">
        <is>
          <t>2026-06-02</t>
        </is>
      </c>
      <c r="P24" s="698" t="inlineStr">
        <is>
          <t>Actual accrual 2023+2024; YOC 1999–2001</t>
        </is>
      </c>
    </row>
    <row r="25">
      <c r="A25" s="699" t="inlineStr">
        <is>
          <t>P022</t>
        </is>
      </c>
      <c r="B25" s="695" t="n">
        <v>210</v>
      </c>
      <c r="C25" s="696" t="inlineStr">
        <is>
          <t>R0111559</t>
        </is>
      </c>
      <c r="D25" s="699" t="inlineStr">
        <is>
          <t>3590 N. Himalaya Rd (Bldg 6)</t>
        </is>
      </c>
      <c r="E25" s="699" t="inlineStr">
        <is>
          <t>Aurora</t>
        </is>
      </c>
      <c r="F25" s="699" t="inlineStr">
        <is>
          <t>CO</t>
        </is>
      </c>
      <c r="G25" s="699" t="inlineStr">
        <is>
          <t>Industrial</t>
        </is>
      </c>
      <c r="H25" s="699" t="inlineStr">
        <is>
          <t>Multi-Tenant Industrial/Flex NNN</t>
        </is>
      </c>
      <c r="I25" s="699" t="n"/>
      <c r="J25" s="699" t="n"/>
      <c r="K25" s="699" t="n"/>
      <c r="L25" s="699" t="inlineStr">
        <is>
          <t>R0111559</t>
        </is>
      </c>
      <c r="M25" s="699" t="n"/>
      <c r="N25" s="699" t="inlineStr">
        <is>
          <t>MHE 2025 BOE – Sterling actual P&amp;L</t>
        </is>
      </c>
      <c r="O25" s="699" t="inlineStr">
        <is>
          <t>2026-06-02</t>
        </is>
      </c>
      <c r="P25" s="699" t="inlineStr">
        <is>
          <t>2023 transitional (vacancy); 2024 new tenant in place; SF not confirmed</t>
        </is>
      </c>
    </row>
    <row r="26">
      <c r="A26" s="698" t="inlineStr">
        <is>
          <t>P023</t>
        </is>
      </c>
      <c r="B26" s="695" t="n">
        <v>407</v>
      </c>
      <c r="C26" s="696" t="inlineStr">
        <is>
          <t>R0191098</t>
        </is>
      </c>
      <c r="D26" s="698" t="inlineStr">
        <is>
          <t>19754 E. 35th Dr (Bldg 4)</t>
        </is>
      </c>
      <c r="E26" s="698" t="inlineStr">
        <is>
          <t>Aurora</t>
        </is>
      </c>
      <c r="F26" s="698" t="inlineStr">
        <is>
          <t>CO</t>
        </is>
      </c>
      <c r="G26" s="698" t="inlineStr">
        <is>
          <t>Industrial</t>
        </is>
      </c>
      <c r="H26" s="698" t="inlineStr">
        <is>
          <t>Single-Tenant Industrial NNN</t>
        </is>
      </c>
      <c r="I26" s="698" t="n"/>
      <c r="J26" s="698" t="n">
        <v>155033</v>
      </c>
      <c r="K26" s="698" t="n"/>
      <c r="L26" s="698" t="inlineStr">
        <is>
          <t>R0191098</t>
        </is>
      </c>
      <c r="M26" s="698" t="n"/>
      <c r="N26" s="698" t="inlineStr">
        <is>
          <t>MHE 2025 BOE – Sterling actual P&amp;L</t>
        </is>
      </c>
      <c r="O26" s="698" t="inlineStr">
        <is>
          <t>2026-06-02</t>
        </is>
      </c>
      <c r="P26" s="698" t="inlineStr">
        <is>
          <t>Single-tenant NNN (Quality Custom Distribution); lease thru 12/31/2029</t>
        </is>
      </c>
    </row>
    <row r="27">
      <c r="A27" s="699" t="inlineStr">
        <is>
          <t>P024</t>
        </is>
      </c>
      <c r="B27" s="695" t="n">
        <v>407</v>
      </c>
      <c r="C27" s="696" t="inlineStr">
        <is>
          <t>R0111560</t>
        </is>
      </c>
      <c r="D27" s="699" t="inlineStr">
        <is>
          <t>20320 E. 36th Dr (Bldg 7)</t>
        </is>
      </c>
      <c r="E27" s="699" t="inlineStr">
        <is>
          <t>Aurora</t>
        </is>
      </c>
      <c r="F27" s="699" t="inlineStr">
        <is>
          <t>CO</t>
        </is>
      </c>
      <c r="G27" s="699" t="inlineStr">
        <is>
          <t>Industrial</t>
        </is>
      </c>
      <c r="H27" s="699" t="inlineStr">
        <is>
          <t>Single-Tenant Industrial NNN</t>
        </is>
      </c>
      <c r="I27" s="699" t="n"/>
      <c r="J27" s="699" t="n">
        <v>200000</v>
      </c>
      <c r="K27" s="699" t="n"/>
      <c r="L27" s="699" t="inlineStr">
        <is>
          <t>R0111560</t>
        </is>
      </c>
      <c r="M27" s="699" t="n"/>
      <c r="N27" s="699" t="inlineStr">
        <is>
          <t>MHE 2025 BOE – Sterling actual P&amp;L</t>
        </is>
      </c>
      <c r="O27" s="699" t="inlineStr">
        <is>
          <t>2026-06-02</t>
        </is>
      </c>
      <c r="P27" s="699" t="inlineStr">
        <is>
          <t>FedEx NNN; lease expired 4/30/2024 – 2023 only usable</t>
        </is>
      </c>
    </row>
    <row r="28">
      <c r="A28" s="698" t="inlineStr">
        <is>
          <t>P025</t>
        </is>
      </c>
      <c r="B28" s="695" t="n">
        <v>210</v>
      </c>
      <c r="C28" s="696" t="inlineStr">
        <is>
          <t>R0191099</t>
        </is>
      </c>
      <c r="D28" s="698" t="inlineStr">
        <is>
          <t>3559 N. Himalaya Rd (Bldg 5)</t>
        </is>
      </c>
      <c r="E28" s="698" t="inlineStr">
        <is>
          <t>Aurora</t>
        </is>
      </c>
      <c r="F28" s="698" t="inlineStr">
        <is>
          <t>CO</t>
        </is>
      </c>
      <c r="G28" s="698" t="inlineStr">
        <is>
          <t>Industrial</t>
        </is>
      </c>
      <c r="H28" s="698" t="inlineStr">
        <is>
          <t>Multi-Tenant Industrial NNN</t>
        </is>
      </c>
      <c r="I28" s="698" t="n"/>
      <c r="J28" s="698" t="n">
        <v>159047</v>
      </c>
      <c r="K28" s="698" t="n"/>
      <c r="L28" s="698" t="inlineStr">
        <is>
          <t>R0191099</t>
        </is>
      </c>
      <c r="M28" s="698" t="n"/>
      <c r="N28" s="698" t="inlineStr">
        <is>
          <t>MHE 2025 BOE – Sterling actual P&amp;L</t>
        </is>
      </c>
      <c r="O28" s="698" t="inlineStr">
        <is>
          <t>2026-06-02</t>
        </is>
      </c>
      <c r="P28" s="698" t="inlineStr">
        <is>
          <t>Multi-tenant NNN; 3 tenants; 2023+2024</t>
        </is>
      </c>
    </row>
    <row r="29">
      <c r="A29" s="699" t="inlineStr">
        <is>
          <t>P026</t>
        </is>
      </c>
      <c r="B29" s="695" t="n">
        <v>406</v>
      </c>
      <c r="C29" s="696" t="inlineStr">
        <is>
          <t>R0092667</t>
        </is>
      </c>
      <c r="D29" s="699" t="inlineStr">
        <is>
          <t>4901 Locust St</t>
        </is>
      </c>
      <c r="E29" s="699" t="inlineStr">
        <is>
          <t>Commerce City</t>
        </is>
      </c>
      <c r="F29" s="699" t="inlineStr">
        <is>
          <t>CO</t>
        </is>
      </c>
      <c r="G29" s="699" t="inlineStr">
        <is>
          <t>Industrial</t>
        </is>
      </c>
      <c r="H29" s="699" t="inlineStr">
        <is>
          <t>Industrial Warehouse</t>
        </is>
      </c>
      <c r="I29" s="699" t="n"/>
      <c r="J29" s="699" t="n">
        <v>29512</v>
      </c>
      <c r="K29" s="699" t="n"/>
      <c r="L29" s="699" t="inlineStr">
        <is>
          <t>R0092667</t>
        </is>
      </c>
      <c r="M29" s="699" t="n"/>
      <c r="N29" s="699" t="inlineStr">
        <is>
          <t>MHE 2025 BOE – Newmark appraisal proforma</t>
        </is>
      </c>
      <c r="O29" s="699" t="inlineStr">
        <is>
          <t>2026-06-02</t>
        </is>
      </c>
      <c r="P29" s="699" t="inlineStr">
        <is>
          <t>Stabilized proforma; Newmark V&amp;A appraisal 6/30/2024</t>
        </is>
      </c>
    </row>
    <row r="30">
      <c r="A30" s="698" t="inlineStr">
        <is>
          <t>P027</t>
        </is>
      </c>
      <c r="B30" s="695" t="n">
        <v>407</v>
      </c>
      <c r="C30" s="696" t="inlineStr">
        <is>
          <t>R0132030</t>
        </is>
      </c>
      <c r="D30" s="698" t="inlineStr">
        <is>
          <t>Majestic Commercenter (R0132030)</t>
        </is>
      </c>
      <c r="E30" s="698" t="inlineStr">
        <is>
          <t>Commerce City</t>
        </is>
      </c>
      <c r="F30" s="698" t="inlineStr">
        <is>
          <t>CO</t>
        </is>
      </c>
      <c r="G30" s="698" t="inlineStr">
        <is>
          <t>Industrial</t>
        </is>
      </c>
      <c r="H30" s="698" t="inlineStr">
        <is>
          <t>Warehouse NNN</t>
        </is>
      </c>
      <c r="I30" s="698" t="n">
        <v>2001</v>
      </c>
      <c r="J30" s="698" t="n">
        <v>200094</v>
      </c>
      <c r="K30" s="698" t="n"/>
      <c r="L30" s="698" t="inlineStr">
        <is>
          <t>R0132030</t>
        </is>
      </c>
      <c r="M30" s="698" t="n"/>
      <c r="N30" s="698" t="inlineStr">
        <is>
          <t>AXG – Whse Expenses PSF.xlsx</t>
        </is>
      </c>
      <c r="O30" s="698" t="inlineStr">
        <is>
          <t>2026-06-02</t>
        </is>
      </c>
      <c r="P30" s="698" t="inlineStr">
        <is>
          <t>NNN landlord expenses only; 2021–2022</t>
        </is>
      </c>
    </row>
    <row r="31">
      <c r="A31" s="699" t="inlineStr">
        <is>
          <t>P028</t>
        </is>
      </c>
      <c r="B31" s="695" t="n">
        <v>407</v>
      </c>
      <c r="C31" s="696" t="inlineStr">
        <is>
          <t>R0084040</t>
        </is>
      </c>
      <c r="D31" s="699" t="inlineStr">
        <is>
          <t>Majestic Commercenter (R0084040)</t>
        </is>
      </c>
      <c r="E31" s="699" t="inlineStr">
        <is>
          <t>Commerce City</t>
        </is>
      </c>
      <c r="F31" s="699" t="inlineStr">
        <is>
          <t>CO</t>
        </is>
      </c>
      <c r="G31" s="699" t="inlineStr">
        <is>
          <t>Industrial</t>
        </is>
      </c>
      <c r="H31" s="699" t="inlineStr">
        <is>
          <t>Warehouse NNN</t>
        </is>
      </c>
      <c r="I31" s="699" t="n">
        <v>1997</v>
      </c>
      <c r="J31" s="699" t="n">
        <v>177736</v>
      </c>
      <c r="K31" s="699" t="n"/>
      <c r="L31" s="699" t="inlineStr">
        <is>
          <t>R0084040</t>
        </is>
      </c>
      <c r="M31" s="699" t="n"/>
      <c r="N31" s="699" t="inlineStr">
        <is>
          <t>AXG – Whse Expenses PSF.xlsx</t>
        </is>
      </c>
      <c r="O31" s="699" t="inlineStr">
        <is>
          <t>2026-06-02</t>
        </is>
      </c>
      <c r="P31" s="699" t="inlineStr">
        <is>
          <t>NNN landlord expenses only; 2021–2022</t>
        </is>
      </c>
    </row>
    <row r="32">
      <c r="A32" s="698" t="inlineStr">
        <is>
          <t>P029</t>
        </is>
      </c>
      <c r="B32" s="695" t="n">
        <v>407</v>
      </c>
      <c r="C32" s="696" t="inlineStr">
        <is>
          <t>R0084041</t>
        </is>
      </c>
      <c r="D32" s="698" t="inlineStr">
        <is>
          <t>Majestic Commercenter (R0084041)</t>
        </is>
      </c>
      <c r="E32" s="698" t="inlineStr">
        <is>
          <t>Commerce City</t>
        </is>
      </c>
      <c r="F32" s="698" t="inlineStr">
        <is>
          <t>CO</t>
        </is>
      </c>
      <c r="G32" s="698" t="inlineStr">
        <is>
          <t>Industrial</t>
        </is>
      </c>
      <c r="H32" s="698" t="inlineStr">
        <is>
          <t>Warehouse NNN</t>
        </is>
      </c>
      <c r="I32" s="698" t="n">
        <v>1997</v>
      </c>
      <c r="J32" s="698" t="n">
        <v>200371</v>
      </c>
      <c r="K32" s="698" t="n"/>
      <c r="L32" s="698" t="inlineStr">
        <is>
          <t>R0084041</t>
        </is>
      </c>
      <c r="M32" s="698" t="n"/>
      <c r="N32" s="698" t="inlineStr">
        <is>
          <t>AXG – Whse Expenses PSF.xlsx</t>
        </is>
      </c>
      <c r="O32" s="698" t="inlineStr">
        <is>
          <t>2026-06-02</t>
        </is>
      </c>
      <c r="P32" s="698" t="inlineStr">
        <is>
          <t>NNN landlord expenses only; 2021–2022</t>
        </is>
      </c>
    </row>
    <row r="33">
      <c r="A33" s="699" t="inlineStr">
        <is>
          <t>P030</t>
        </is>
      </c>
      <c r="B33" s="695" t="n">
        <v>584</v>
      </c>
      <c r="C33" s="696" t="inlineStr">
        <is>
          <t>R0217015</t>
        </is>
      </c>
      <c r="D33" s="699" t="inlineStr">
        <is>
          <t>Majestic Commercenter (R0217015)</t>
        </is>
      </c>
      <c r="E33" s="699" t="inlineStr">
        <is>
          <t>Commerce City</t>
        </is>
      </c>
      <c r="F33" s="699" t="inlineStr">
        <is>
          <t>CO</t>
        </is>
      </c>
      <c r="G33" s="699" t="inlineStr">
        <is>
          <t>Industrial</t>
        </is>
      </c>
      <c r="H33" s="699" t="inlineStr">
        <is>
          <t>Mega Warehouse NNN</t>
        </is>
      </c>
      <c r="I33" s="699" t="n">
        <v>2021</v>
      </c>
      <c r="J33" s="699" t="n">
        <v>548510</v>
      </c>
      <c r="K33" s="699" t="n"/>
      <c r="L33" s="699" t="inlineStr">
        <is>
          <t>R0217015</t>
        </is>
      </c>
      <c r="M33" s="699" t="n"/>
      <c r="N33" s="699" t="inlineStr">
        <is>
          <t>AXG – Whse Expenses PSF.xlsx</t>
        </is>
      </c>
      <c r="O33" s="699" t="inlineStr">
        <is>
          <t>2026-06-02</t>
        </is>
      </c>
      <c r="P33" s="699" t="inlineStr">
        <is>
          <t>NNN landlord expenses only; 2022 only</t>
        </is>
      </c>
    </row>
    <row r="34">
      <c r="A34" s="698" t="inlineStr">
        <is>
          <t>P031</t>
        </is>
      </c>
      <c r="B34" s="695" t="n">
        <v>407</v>
      </c>
      <c r="C34" s="696" t="inlineStr">
        <is>
          <t>R0111562</t>
        </is>
      </c>
      <c r="D34" s="698" t="inlineStr">
        <is>
          <t>Majestic Commercenter (R0111562)</t>
        </is>
      </c>
      <c r="E34" s="698" t="inlineStr">
        <is>
          <t>Commerce City</t>
        </is>
      </c>
      <c r="F34" s="698" t="inlineStr">
        <is>
          <t>CO</t>
        </is>
      </c>
      <c r="G34" s="698" t="inlineStr">
        <is>
          <t>Industrial</t>
        </is>
      </c>
      <c r="H34" s="698" t="inlineStr">
        <is>
          <t>Warehouse NNN</t>
        </is>
      </c>
      <c r="I34" s="698" t="n">
        <v>2000</v>
      </c>
      <c r="J34" s="698" t="n">
        <v>149175</v>
      </c>
      <c r="K34" s="698" t="n"/>
      <c r="L34" s="698" t="inlineStr">
        <is>
          <t>R0111562</t>
        </is>
      </c>
      <c r="M34" s="698" t="n"/>
      <c r="N34" s="698" t="inlineStr">
        <is>
          <t>AXG – Whse Expenses PSF.xlsx</t>
        </is>
      </c>
      <c r="O34" s="698" t="inlineStr">
        <is>
          <t>2026-06-02</t>
        </is>
      </c>
      <c r="P34" s="698" t="inlineStr">
        <is>
          <t>NNN landlord expenses only; 2019–2020</t>
        </is>
      </c>
    </row>
    <row r="35">
      <c r="A35" s="699" t="inlineStr">
        <is>
          <t>P032</t>
        </is>
      </c>
      <c r="B35" s="695" t="n">
        <v>407</v>
      </c>
      <c r="C35" s="696" t="inlineStr">
        <is>
          <t>R0118875</t>
        </is>
      </c>
      <c r="D35" s="699" t="inlineStr">
        <is>
          <t>Majestic Commercenter (R0118875)</t>
        </is>
      </c>
      <c r="E35" s="699" t="inlineStr">
        <is>
          <t>Commerce City</t>
        </is>
      </c>
      <c r="F35" s="699" t="inlineStr">
        <is>
          <t>CO</t>
        </is>
      </c>
      <c r="G35" s="699" t="inlineStr">
        <is>
          <t>Industrial</t>
        </is>
      </c>
      <c r="H35" s="699" t="inlineStr">
        <is>
          <t>Warehouse NNN</t>
        </is>
      </c>
      <c r="I35" s="699" t="n">
        <v>1999</v>
      </c>
      <c r="J35" s="699" t="n">
        <v>279640</v>
      </c>
      <c r="K35" s="699" t="n"/>
      <c r="L35" s="699" t="inlineStr">
        <is>
          <t>R0118875</t>
        </is>
      </c>
      <c r="M35" s="699" t="n"/>
      <c r="N35" s="699" t="inlineStr">
        <is>
          <t>AXG – Whse Expenses PSF.xlsx</t>
        </is>
      </c>
      <c r="O35" s="699" t="inlineStr">
        <is>
          <t>2026-06-02</t>
        </is>
      </c>
      <c r="P35" s="699" t="inlineStr">
        <is>
          <t>NNN landlord expenses only; 2021–2022</t>
        </is>
      </c>
    </row>
    <row r="36">
      <c r="A36" s="698" t="inlineStr">
        <is>
          <t>P033</t>
        </is>
      </c>
      <c r="B36" s="695" t="n">
        <v>407</v>
      </c>
      <c r="C36" s="696" t="inlineStr">
        <is>
          <t>R0132031</t>
        </is>
      </c>
      <c r="D36" s="698" t="inlineStr">
        <is>
          <t>Majestic Commercenter (R0132031)</t>
        </is>
      </c>
      <c r="E36" s="698" t="inlineStr">
        <is>
          <t>Commerce City</t>
        </is>
      </c>
      <c r="F36" s="698" t="inlineStr">
        <is>
          <t>CO</t>
        </is>
      </c>
      <c r="G36" s="698" t="inlineStr">
        <is>
          <t>Industrial</t>
        </is>
      </c>
      <c r="H36" s="698" t="inlineStr">
        <is>
          <t>Warehouse NNN</t>
        </is>
      </c>
      <c r="I36" s="698" t="n">
        <v>2002</v>
      </c>
      <c r="J36" s="698" t="n">
        <v>280098</v>
      </c>
      <c r="K36" s="698" t="n"/>
      <c r="L36" s="698" t="inlineStr">
        <is>
          <t>R0132031</t>
        </is>
      </c>
      <c r="M36" s="698" t="n"/>
      <c r="N36" s="698" t="inlineStr">
        <is>
          <t>AXG – Whse Expenses PSF.xlsx</t>
        </is>
      </c>
      <c r="O36" s="698" t="inlineStr">
        <is>
          <t>2026-06-02</t>
        </is>
      </c>
      <c r="P36" s="698" t="inlineStr">
        <is>
          <t>NNN landlord expenses only; 2021–2022</t>
        </is>
      </c>
    </row>
    <row r="37">
      <c r="A37" s="699" t="inlineStr">
        <is>
          <t>P034</t>
        </is>
      </c>
      <c r="B37" s="695" t="n">
        <v>407</v>
      </c>
      <c r="C37" s="696" t="inlineStr">
        <is>
          <t>R0172865</t>
        </is>
      </c>
      <c r="D37" s="699" t="inlineStr">
        <is>
          <t>Majestic Commercenter (R0172865)</t>
        </is>
      </c>
      <c r="E37" s="699" t="inlineStr">
        <is>
          <t>Commerce City</t>
        </is>
      </c>
      <c r="F37" s="699" t="inlineStr">
        <is>
          <t>CO</t>
        </is>
      </c>
      <c r="G37" s="699" t="inlineStr">
        <is>
          <t>Industrial</t>
        </is>
      </c>
      <c r="H37" s="699" t="inlineStr">
        <is>
          <t>Warehouse NNN</t>
        </is>
      </c>
      <c r="I37" s="699" t="n">
        <v>2008</v>
      </c>
      <c r="J37" s="699" t="n">
        <v>215461</v>
      </c>
      <c r="K37" s="699" t="n"/>
      <c r="L37" s="699" t="inlineStr">
        <is>
          <t>R0172865</t>
        </is>
      </c>
      <c r="M37" s="699" t="n"/>
      <c r="N37" s="699" t="inlineStr">
        <is>
          <t>AXG – Whse Expenses PSF.xlsx</t>
        </is>
      </c>
      <c r="O37" s="699" t="inlineStr">
        <is>
          <t>2026-06-02</t>
        </is>
      </c>
      <c r="P37" s="699" t="inlineStr">
        <is>
          <t>NNN landlord expenses only; 2021–2022</t>
        </is>
      </c>
    </row>
    <row r="38">
      <c r="A38" s="698" t="inlineStr">
        <is>
          <t>P035</t>
        </is>
      </c>
      <c r="B38" s="695" t="n">
        <v>407</v>
      </c>
      <c r="C38" s="696" t="inlineStr">
        <is>
          <t>R0172867</t>
        </is>
      </c>
      <c r="D38" s="698" t="inlineStr">
        <is>
          <t>Majestic Commercenter (R0172867)</t>
        </is>
      </c>
      <c r="E38" s="698" t="inlineStr">
        <is>
          <t>Commerce City</t>
        </is>
      </c>
      <c r="F38" s="698" t="inlineStr">
        <is>
          <t>CO</t>
        </is>
      </c>
      <c r="G38" s="698" t="inlineStr">
        <is>
          <t>Industrial</t>
        </is>
      </c>
      <c r="H38" s="698" t="inlineStr">
        <is>
          <t>Warehouse NNN</t>
        </is>
      </c>
      <c r="I38" s="698" t="n">
        <v>2007</v>
      </c>
      <c r="J38" s="698" t="n">
        <v>215560</v>
      </c>
      <c r="K38" s="698" t="n"/>
      <c r="L38" s="698" t="inlineStr">
        <is>
          <t>R0172867</t>
        </is>
      </c>
      <c r="M38" s="698" t="n"/>
      <c r="N38" s="698" t="inlineStr">
        <is>
          <t>AXG – Whse Expenses PSF.xlsx</t>
        </is>
      </c>
      <c r="O38" s="698" t="inlineStr">
        <is>
          <t>2026-06-02</t>
        </is>
      </c>
      <c r="P38" s="698" t="inlineStr">
        <is>
          <t>NNN landlord expenses only; 2021–2022</t>
        </is>
      </c>
    </row>
    <row r="39">
      <c r="A39" s="699" t="inlineStr">
        <is>
          <t>P036</t>
        </is>
      </c>
      <c r="B39" s="695" t="n">
        <v>407</v>
      </c>
      <c r="C39" s="696" t="inlineStr">
        <is>
          <t>R0172868</t>
        </is>
      </c>
      <c r="D39" s="699" t="inlineStr">
        <is>
          <t>Majestic Commercenter (R0172868)</t>
        </is>
      </c>
      <c r="E39" s="699" t="inlineStr">
        <is>
          <t>Commerce City</t>
        </is>
      </c>
      <c r="F39" s="699" t="inlineStr">
        <is>
          <t>CO</t>
        </is>
      </c>
      <c r="G39" s="699" t="inlineStr">
        <is>
          <t>Industrial</t>
        </is>
      </c>
      <c r="H39" s="699" t="inlineStr">
        <is>
          <t>Warehouse NNN</t>
        </is>
      </c>
      <c r="I39" s="699" t="n">
        <v>2007</v>
      </c>
      <c r="J39" s="699" t="n">
        <v>202091</v>
      </c>
      <c r="K39" s="699" t="n"/>
      <c r="L39" s="699" t="inlineStr">
        <is>
          <t>R0172868</t>
        </is>
      </c>
      <c r="M39" s="699" t="n"/>
      <c r="N39" s="699" t="inlineStr">
        <is>
          <t>AXG – Whse Expenses PSF.xlsx</t>
        </is>
      </c>
      <c r="O39" s="699" t="inlineStr">
        <is>
          <t>2026-06-02</t>
        </is>
      </c>
      <c r="P39" s="699" t="inlineStr">
        <is>
          <t>NNN landlord expenses only; 2021–2022</t>
        </is>
      </c>
    </row>
    <row r="40">
      <c r="A40" s="698" t="inlineStr">
        <is>
          <t>P037</t>
        </is>
      </c>
      <c r="B40" s="695" t="n">
        <v>407</v>
      </c>
      <c r="C40" s="696" t="inlineStr">
        <is>
          <t>R0145680</t>
        </is>
      </c>
      <c r="D40" s="698" t="inlineStr">
        <is>
          <t>Majestic Commercenter (R0145680)</t>
        </is>
      </c>
      <c r="E40" s="698" t="inlineStr">
        <is>
          <t>Commerce City</t>
        </is>
      </c>
      <c r="F40" s="698" t="inlineStr">
        <is>
          <t>CO</t>
        </is>
      </c>
      <c r="G40" s="698" t="inlineStr">
        <is>
          <t>Industrial</t>
        </is>
      </c>
      <c r="H40" s="698" t="inlineStr">
        <is>
          <t>Warehouse NNN</t>
        </is>
      </c>
      <c r="I40" s="698" t="n">
        <v>2001</v>
      </c>
      <c r="J40" s="698" t="n">
        <v>150027</v>
      </c>
      <c r="K40" s="698" t="n"/>
      <c r="L40" s="698" t="inlineStr">
        <is>
          <t>R0145680</t>
        </is>
      </c>
      <c r="M40" s="698" t="n"/>
      <c r="N40" s="698" t="inlineStr">
        <is>
          <t>AXG – Whse Expenses PSF.xlsx</t>
        </is>
      </c>
      <c r="O40" s="698" t="inlineStr">
        <is>
          <t>2026-06-02</t>
        </is>
      </c>
      <c r="P40" s="698" t="inlineStr">
        <is>
          <t>NNN landlord expenses only; 2021–2022</t>
        </is>
      </c>
    </row>
    <row r="41">
      <c r="A41" s="699" t="inlineStr">
        <is>
          <t>P038</t>
        </is>
      </c>
      <c r="B41" s="695" t="n">
        <v>584</v>
      </c>
      <c r="C41" s="696" t="inlineStr">
        <is>
          <t>R0181787</t>
        </is>
      </c>
      <c r="D41" s="699" t="inlineStr">
        <is>
          <t>Majestic Commercenter (R0181787)</t>
        </is>
      </c>
      <c r="E41" s="699" t="inlineStr">
        <is>
          <t>Commerce City</t>
        </is>
      </c>
      <c r="F41" s="699" t="inlineStr">
        <is>
          <t>CO</t>
        </is>
      </c>
      <c r="G41" s="699" t="inlineStr">
        <is>
          <t>Industrial</t>
        </is>
      </c>
      <c r="H41" s="699" t="inlineStr">
        <is>
          <t>Mega Warehouse NNN</t>
        </is>
      </c>
      <c r="I41" s="699" t="n">
        <v>2013</v>
      </c>
      <c r="J41" s="699" t="n">
        <v>500358</v>
      </c>
      <c r="K41" s="699" t="n"/>
      <c r="L41" s="699" t="inlineStr">
        <is>
          <t>R0181787</t>
        </is>
      </c>
      <c r="M41" s="699" t="n"/>
      <c r="N41" s="699" t="inlineStr">
        <is>
          <t>AXG – Whse Expenses PSF.xlsx</t>
        </is>
      </c>
      <c r="O41" s="699" t="inlineStr">
        <is>
          <t>2026-06-02</t>
        </is>
      </c>
      <c r="P41" s="699" t="inlineStr">
        <is>
          <t>NNN landlord expenses only; 2021–2022</t>
        </is>
      </c>
    </row>
    <row r="42">
      <c r="A42" s="698" t="inlineStr">
        <is>
          <t>P039</t>
        </is>
      </c>
      <c r="B42" s="695" t="n">
        <v>584</v>
      </c>
      <c r="C42" s="696" t="inlineStr">
        <is>
          <t>R0191101</t>
        </is>
      </c>
      <c r="D42" s="698" t="inlineStr">
        <is>
          <t>Majestic Commercenter (R0191101)</t>
        </is>
      </c>
      <c r="E42" s="698" t="inlineStr">
        <is>
          <t>Commerce City</t>
        </is>
      </c>
      <c r="F42" s="698" t="inlineStr">
        <is>
          <t>CO</t>
        </is>
      </c>
      <c r="G42" s="698" t="inlineStr">
        <is>
          <t>Industrial</t>
        </is>
      </c>
      <c r="H42" s="698" t="inlineStr">
        <is>
          <t>Mega Warehouse NNN</t>
        </is>
      </c>
      <c r="I42" s="698" t="n">
        <v>2017</v>
      </c>
      <c r="J42" s="698" t="n">
        <v>522120</v>
      </c>
      <c r="K42" s="698" t="n"/>
      <c r="L42" s="698" t="inlineStr">
        <is>
          <t>R0191101</t>
        </is>
      </c>
      <c r="M42" s="698" t="n"/>
      <c r="N42" s="698" t="inlineStr">
        <is>
          <t>AXG – Whse Expenses PSF.xlsx</t>
        </is>
      </c>
      <c r="O42" s="698" t="inlineStr">
        <is>
          <t>2026-06-02</t>
        </is>
      </c>
      <c r="P42" s="698" t="inlineStr">
        <is>
          <t>NNN landlord expenses only; 2021–2022</t>
        </is>
      </c>
    </row>
    <row r="43">
      <c r="A43" s="699" t="inlineStr">
        <is>
          <t>P040</t>
        </is>
      </c>
      <c r="B43" s="695" t="n">
        <v>407</v>
      </c>
      <c r="C43" s="696" t="inlineStr">
        <is>
          <t>R0202874</t>
        </is>
      </c>
      <c r="D43" s="699" t="inlineStr">
        <is>
          <t>900 E 128th Ave</t>
        </is>
      </c>
      <c r="E43" s="699" t="inlineStr">
        <is>
          <t>Henderson</t>
        </is>
      </c>
      <c r="F43" s="699" t="inlineStr">
        <is>
          <t>CO</t>
        </is>
      </c>
      <c r="G43" s="699" t="inlineStr">
        <is>
          <t>Industrial</t>
        </is>
      </c>
      <c r="H43" s="699" t="inlineStr">
        <is>
          <t>Last-Mile Distribution NNN</t>
        </is>
      </c>
      <c r="I43" s="699" t="n"/>
      <c r="J43" s="699" t="n"/>
      <c r="K43" s="699" t="n"/>
      <c r="L43" s="699" t="inlineStr">
        <is>
          <t>R0202874</t>
        </is>
      </c>
      <c r="M43" s="699" t="inlineStr">
        <is>
          <t>Amazon</t>
        </is>
      </c>
      <c r="N43" s="699" t="inlineStr">
        <is>
          <t>AXG – Owner Income Statement 2021–2022</t>
        </is>
      </c>
      <c r="O43" s="699" t="inlineStr">
        <is>
          <t>2026-06-02</t>
        </is>
      </c>
      <c r="P43" s="699" t="inlineStr">
        <is>
          <t>Amazon AMZL Last Mile Site 51812; SF not extracted</t>
        </is>
      </c>
    </row>
    <row r="44">
      <c r="A44" s="698" t="inlineStr">
        <is>
          <t>P041</t>
        </is>
      </c>
      <c r="B44" s="695" t="n">
        <v>386</v>
      </c>
      <c r="C44" s="696" t="inlineStr">
        <is>
          <t>R0189384</t>
        </is>
      </c>
      <c r="D44" s="698" t="inlineStr">
        <is>
          <t>1101 Colorado Blvd</t>
        </is>
      </c>
      <c r="E44" s="698" t="inlineStr">
        <is>
          <t>Thornton</t>
        </is>
      </c>
      <c r="F44" s="698" t="inlineStr">
        <is>
          <t>CO</t>
        </is>
      </c>
      <c r="G44" s="698" t="inlineStr">
        <is>
          <t>Self-Storage</t>
        </is>
      </c>
      <c r="H44" s="698" t="inlineStr">
        <is>
          <t>Climate-Controlled</t>
        </is>
      </c>
      <c r="I44" s="698" t="n"/>
      <c r="J44" s="698" t="n">
        <v>65766</v>
      </c>
      <c r="K44" s="698" t="n"/>
      <c r="L44" s="698" t="inlineStr">
        <is>
          <t>R0189384</t>
        </is>
      </c>
      <c r="M44" s="698" t="n"/>
      <c r="N44" s="698" t="inlineStr">
        <is>
          <t>AXG – Carlson SS Portfolio P&amp;L</t>
        </is>
      </c>
      <c r="O44" s="698" t="inlineStr">
        <is>
          <t>2026-06-02</t>
        </is>
      </c>
      <c r="P44" s="698" t="inlineStr">
        <is>
          <t>Actual FY2021–2023; 101.5% occ Q4 2023</t>
        </is>
      </c>
    </row>
    <row r="45">
      <c r="A45" s="699" t="inlineStr">
        <is>
          <t>P042</t>
        </is>
      </c>
      <c r="B45" s="695" t="n">
        <v>386</v>
      </c>
      <c r="C45" s="696" t="inlineStr">
        <is>
          <t>R0126235</t>
        </is>
      </c>
      <c r="D45" s="699" t="inlineStr">
        <is>
          <t>15024 Laroy Drive</t>
        </is>
      </c>
      <c r="E45" s="699" t="inlineStr">
        <is>
          <t>Northglenn</t>
        </is>
      </c>
      <c r="F45" s="699" t="inlineStr">
        <is>
          <t>CO</t>
        </is>
      </c>
      <c r="G45" s="699" t="inlineStr">
        <is>
          <t>Self-Storage</t>
        </is>
      </c>
      <c r="H45" s="699" t="inlineStr">
        <is>
          <t>Climate-Controlled</t>
        </is>
      </c>
      <c r="I45" s="699" t="n"/>
      <c r="J45" s="699" t="n">
        <v>79950</v>
      </c>
      <c r="K45" s="699" t="n"/>
      <c r="L45" s="699" t="inlineStr">
        <is>
          <t>R0126235</t>
        </is>
      </c>
      <c r="M45" s="699" t="n"/>
      <c r="N45" s="699" t="inlineStr">
        <is>
          <t>AXG – Carlson SS Portfolio P&amp;L</t>
        </is>
      </c>
      <c r="O45" s="699" t="inlineStr">
        <is>
          <t>2026-06-02</t>
        </is>
      </c>
      <c r="P45" s="699" t="inlineStr">
        <is>
          <t>Actual FY2021–2023; 91.4% occ Dec 2023</t>
        </is>
      </c>
    </row>
    <row r="46">
      <c r="A46" s="698" t="inlineStr">
        <is>
          <t>P043</t>
        </is>
      </c>
      <c r="B46" s="695" t="n">
        <v>386</v>
      </c>
      <c r="C46" s="696" t="inlineStr">
        <is>
          <t>R0126234</t>
        </is>
      </c>
      <c r="D46" s="698" t="inlineStr">
        <is>
          <t>715 W 112th Ave</t>
        </is>
      </c>
      <c r="E46" s="698" t="inlineStr">
        <is>
          <t>Northglenn</t>
        </is>
      </c>
      <c r="F46" s="698" t="inlineStr">
        <is>
          <t>CO</t>
        </is>
      </c>
      <c r="G46" s="698" t="inlineStr">
        <is>
          <t>Self-Storage</t>
        </is>
      </c>
      <c r="H46" s="698" t="inlineStr">
        <is>
          <t>Drive-Up/Drop-Off</t>
        </is>
      </c>
      <c r="I46" s="698" t="n"/>
      <c r="J46" s="698" t="n">
        <v>83756</v>
      </c>
      <c r="K46" s="698" t="n"/>
      <c r="L46" s="698" t="inlineStr">
        <is>
          <t>R0126234</t>
        </is>
      </c>
      <c r="M46" s="698" t="n"/>
      <c r="N46" s="698" t="inlineStr">
        <is>
          <t>AXG – Carlson SS Portfolio P&amp;L</t>
        </is>
      </c>
      <c r="O46" s="698" t="inlineStr">
        <is>
          <t>2026-06-02</t>
        </is>
      </c>
      <c r="P46" s="698" t="inlineStr">
        <is>
          <t>Actual FY2021–2023</t>
        </is>
      </c>
    </row>
    <row r="47">
      <c r="A47" s="699" t="inlineStr">
        <is>
          <t>P044</t>
        </is>
      </c>
      <c r="B47" s="695" t="n">
        <v>386</v>
      </c>
      <c r="C47" s="696" t="inlineStr">
        <is>
          <t>R0027089/R0178319</t>
        </is>
      </c>
      <c r="D47" s="699" t="inlineStr">
        <is>
          <t>2290 E 120th Ave</t>
        </is>
      </c>
      <c r="E47" s="699" t="inlineStr">
        <is>
          <t>Thornton</t>
        </is>
      </c>
      <c r="F47" s="699" t="inlineStr">
        <is>
          <t>CO</t>
        </is>
      </c>
      <c r="G47" s="699" t="inlineStr">
        <is>
          <t>Self-Storage</t>
        </is>
      </c>
      <c r="H47" s="699" t="inlineStr">
        <is>
          <t>Drive-Up/Drop-Off</t>
        </is>
      </c>
      <c r="I47" s="699" t="n"/>
      <c r="J47" s="699" t="n">
        <v>71909</v>
      </c>
      <c r="K47" s="699" t="n"/>
      <c r="L47" s="699" t="inlineStr">
        <is>
          <t>R0027089/R0178319</t>
        </is>
      </c>
      <c r="M47" s="699" t="n"/>
      <c r="N47" s="699" t="inlineStr">
        <is>
          <t>AXG – Carlson SS Portfolio P&amp;L</t>
        </is>
      </c>
      <c r="O47" s="699" t="inlineStr">
        <is>
          <t>2026-06-02</t>
        </is>
      </c>
      <c r="P47" s="699" t="inlineStr">
        <is>
          <t>Combined parcel FY2021–2023; 88.2% occ Dec 2023</t>
        </is>
      </c>
    </row>
    <row r="48">
      <c r="A48" s="698" t="inlineStr">
        <is>
          <t>P045</t>
        </is>
      </c>
      <c r="B48" s="695" t="n">
        <v>386</v>
      </c>
      <c r="C48" s="696" t="inlineStr">
        <is>
          <t>R0043569</t>
        </is>
      </c>
      <c r="D48" s="698" t="inlineStr">
        <is>
          <t>40131 Quivas St (104th &amp; Quivas)</t>
        </is>
      </c>
      <c r="E48" s="698" t="inlineStr">
        <is>
          <t>Thornton</t>
        </is>
      </c>
      <c r="F48" s="698" t="inlineStr">
        <is>
          <t>CO</t>
        </is>
      </c>
      <c r="G48" s="698" t="inlineStr">
        <is>
          <t>Self-Storage</t>
        </is>
      </c>
      <c r="H48" s="698" t="inlineStr">
        <is>
          <t>Drive-Up/Drop-Off</t>
        </is>
      </c>
      <c r="I48" s="698" t="n"/>
      <c r="J48" s="698" t="n">
        <v>41900</v>
      </c>
      <c r="K48" s="698" t="n"/>
      <c r="L48" s="698" t="inlineStr">
        <is>
          <t>R0043569</t>
        </is>
      </c>
      <c r="M48" s="698" t="n"/>
      <c r="N48" s="698" t="inlineStr">
        <is>
          <t>AXG – SS Expense Matrix + FY2024 P&amp;L</t>
        </is>
      </c>
      <c r="O48" s="698" t="inlineStr">
        <is>
          <t>2026-06-02</t>
        </is>
      </c>
      <c r="P48" s="698" t="inlineStr">
        <is>
          <t>Actual FY2024 monthly P&amp;L + expense matrix</t>
        </is>
      </c>
    </row>
    <row r="49">
      <c r="A49" s="699" t="inlineStr">
        <is>
          <t>P046</t>
        </is>
      </c>
      <c r="B49" s="695" t="n">
        <v>386</v>
      </c>
      <c r="C49" s="696" t="inlineStr">
        <is>
          <t>R0193009</t>
        </is>
      </c>
      <c r="D49" s="699" t="inlineStr">
        <is>
          <t>Address unknown – see R0193009</t>
        </is>
      </c>
      <c r="E49" s="699" t="inlineStr">
        <is>
          <t>Adams County</t>
        </is>
      </c>
      <c r="F49" s="699" t="inlineStr">
        <is>
          <t>CO</t>
        </is>
      </c>
      <c r="G49" s="699" t="inlineStr">
        <is>
          <t>Self-Storage</t>
        </is>
      </c>
      <c r="H49" s="699" t="inlineStr">
        <is>
          <t>Climate-Controlled</t>
        </is>
      </c>
      <c r="I49" s="699" t="n"/>
      <c r="J49" s="699" t="n">
        <v>94736</v>
      </c>
      <c r="K49" s="699" t="n"/>
      <c r="L49" s="699" t="inlineStr">
        <is>
          <t>R0193009</t>
        </is>
      </c>
      <c r="M49" s="699" t="n"/>
      <c r="N49" s="699" t="inlineStr">
        <is>
          <t>AXG – SS Expense Matrix</t>
        </is>
      </c>
      <c r="O49" s="699" t="inlineStr">
        <is>
          <t>2026-06-02</t>
        </is>
      </c>
      <c r="P49" s="699" t="inlineStr">
        <is>
          <t>Expense matrix data; EGI $1,582,087</t>
        </is>
      </c>
    </row>
    <row r="50">
      <c r="A50" s="698" t="inlineStr">
        <is>
          <t>P047</t>
        </is>
      </c>
      <c r="B50" s="695" t="n">
        <v>386</v>
      </c>
      <c r="C50" s="696" t="inlineStr">
        <is>
          <t>R0099616</t>
        </is>
      </c>
      <c r="D50" s="698" t="inlineStr">
        <is>
          <t>Address unknown – see R0099616</t>
        </is>
      </c>
      <c r="E50" s="698" t="inlineStr">
        <is>
          <t>Adams County</t>
        </is>
      </c>
      <c r="F50" s="698" t="inlineStr">
        <is>
          <t>CO</t>
        </is>
      </c>
      <c r="G50" s="698" t="inlineStr">
        <is>
          <t>Self-Storage</t>
        </is>
      </c>
      <c r="H50" s="698" t="inlineStr">
        <is>
          <t>Drive-Up/Drop-Off</t>
        </is>
      </c>
      <c r="I50" s="698" t="n"/>
      <c r="J50" s="698" t="n">
        <v>73500</v>
      </c>
      <c r="K50" s="698" t="n"/>
      <c r="L50" s="698" t="inlineStr">
        <is>
          <t>R0099616</t>
        </is>
      </c>
      <c r="M50" s="698" t="n"/>
      <c r="N50" s="698" t="inlineStr">
        <is>
          <t>AXG – SS Expense Matrix</t>
        </is>
      </c>
      <c r="O50" s="698" t="inlineStr">
        <is>
          <t>2026-06-02</t>
        </is>
      </c>
      <c r="P50" s="698" t="inlineStr">
        <is>
          <t>Expense matrix data; EGI $834,358</t>
        </is>
      </c>
    </row>
    <row r="51">
      <c r="A51" s="699" t="inlineStr">
        <is>
          <t>P048</t>
        </is>
      </c>
      <c r="B51" s="695" t="n">
        <v>386</v>
      </c>
      <c r="C51" s="696" t="inlineStr">
        <is>
          <t>R0098019</t>
        </is>
      </c>
      <c r="D51" s="699" t="inlineStr">
        <is>
          <t>Address unknown – see R0098019</t>
        </is>
      </c>
      <c r="E51" s="699" t="inlineStr">
        <is>
          <t>Adams County</t>
        </is>
      </c>
      <c r="F51" s="699" t="inlineStr">
        <is>
          <t>CO</t>
        </is>
      </c>
      <c r="G51" s="699" t="inlineStr">
        <is>
          <t>Self-Storage</t>
        </is>
      </c>
      <c r="H51" s="699" t="inlineStr">
        <is>
          <t>Drive-Up/Drop-Off</t>
        </is>
      </c>
      <c r="I51" s="699" t="n"/>
      <c r="J51" s="699" t="n">
        <v>44975</v>
      </c>
      <c r="K51" s="699" t="n"/>
      <c r="L51" s="699" t="inlineStr">
        <is>
          <t>R0098019</t>
        </is>
      </c>
      <c r="M51" s="699" t="n"/>
      <c r="N51" s="699" t="inlineStr">
        <is>
          <t>AXG – SS Expense Matrix</t>
        </is>
      </c>
      <c r="O51" s="699" t="inlineStr">
        <is>
          <t>2026-06-02</t>
        </is>
      </c>
      <c r="P51" s="699" t="inlineStr">
        <is>
          <t>Expense matrix data; EGI $588,827</t>
        </is>
      </c>
    </row>
    <row r="52">
      <c r="A52" s="698" t="inlineStr">
        <is>
          <t>P049</t>
        </is>
      </c>
      <c r="B52" s="695" t="n">
        <v>386</v>
      </c>
      <c r="C52" s="696" t="inlineStr">
        <is>
          <t>R0102989</t>
        </is>
      </c>
      <c r="D52" s="698" t="inlineStr">
        <is>
          <t>Fitzsimons area – see R0102989</t>
        </is>
      </c>
      <c r="E52" s="698" t="inlineStr">
        <is>
          <t>Aurora</t>
        </is>
      </c>
      <c r="F52" s="698" t="inlineStr">
        <is>
          <t>CO</t>
        </is>
      </c>
      <c r="G52" s="698" t="inlineStr">
        <is>
          <t>Self-Storage</t>
        </is>
      </c>
      <c r="H52" s="698" t="inlineStr">
        <is>
          <t>Climate-Controlled</t>
        </is>
      </c>
      <c r="I52" s="698" t="n"/>
      <c r="J52" s="698" t="n">
        <v>94797</v>
      </c>
      <c r="K52" s="698" t="n"/>
      <c r="L52" s="698" t="inlineStr">
        <is>
          <t>R0102989</t>
        </is>
      </c>
      <c r="M52" s="698" t="n"/>
      <c r="N52" s="698" t="inlineStr">
        <is>
          <t>AXG – SS Expense Matrix</t>
        </is>
      </c>
      <c r="O52" s="698" t="inlineStr">
        <is>
          <t>2026-06-02</t>
        </is>
      </c>
      <c r="P52" s="698" t="inlineStr">
        <is>
          <t>Expense matrix data; EGI $1,184,503</t>
        </is>
      </c>
    </row>
    <row r="53">
      <c r="A53" s="699" t="inlineStr">
        <is>
          <t>P050</t>
        </is>
      </c>
      <c r="B53" s="695" t="n">
        <v>386</v>
      </c>
      <c r="C53" s="696" t="inlineStr">
        <is>
          <t>R0085523</t>
        </is>
      </c>
      <c r="D53" s="699" t="inlineStr">
        <is>
          <t>Address unknown – see R0085523</t>
        </is>
      </c>
      <c r="E53" s="699" t="inlineStr">
        <is>
          <t>Adams County</t>
        </is>
      </c>
      <c r="F53" s="699" t="inlineStr">
        <is>
          <t>CO</t>
        </is>
      </c>
      <c r="G53" s="699" t="inlineStr">
        <is>
          <t>Self-Storage</t>
        </is>
      </c>
      <c r="H53" s="699" t="inlineStr">
        <is>
          <t>Drive-Up/Drop-Off</t>
        </is>
      </c>
      <c r="I53" s="699" t="n"/>
      <c r="J53" s="699" t="n">
        <v>39525</v>
      </c>
      <c r="K53" s="699" t="n"/>
      <c r="L53" s="699" t="inlineStr">
        <is>
          <t>R0085523</t>
        </is>
      </c>
      <c r="M53" s="699" t="n"/>
      <c r="N53" s="699" t="inlineStr">
        <is>
          <t>AXG – SS Expense Matrix</t>
        </is>
      </c>
      <c r="O53" s="699" t="inlineStr">
        <is>
          <t>2026-06-02</t>
        </is>
      </c>
      <c r="P53" s="699" t="inlineStr">
        <is>
          <t>Expense matrix data; EGI $541,974</t>
        </is>
      </c>
    </row>
    <row r="54">
      <c r="A54" s="698" t="inlineStr">
        <is>
          <t>P051</t>
        </is>
      </c>
      <c r="B54" s="695" t="n">
        <v>386</v>
      </c>
      <c r="C54" s="696" t="inlineStr">
        <is>
          <t>R0174860</t>
        </is>
      </c>
      <c r="D54" s="698" t="inlineStr">
        <is>
          <t>Address unknown – see R0174860</t>
        </is>
      </c>
      <c r="E54" s="698" t="inlineStr">
        <is>
          <t>Adams County</t>
        </is>
      </c>
      <c r="F54" s="698" t="inlineStr">
        <is>
          <t>CO</t>
        </is>
      </c>
      <c r="G54" s="698" t="inlineStr">
        <is>
          <t>Self-Storage</t>
        </is>
      </c>
      <c r="H54" s="698" t="inlineStr">
        <is>
          <t>Drive-Up/Drop-Off (containers)</t>
        </is>
      </c>
      <c r="I54" s="698" t="n"/>
      <c r="J54" s="698" t="n">
        <v>45980</v>
      </c>
      <c r="K54" s="698" t="n"/>
      <c r="L54" s="698" t="inlineStr">
        <is>
          <t>R0174860</t>
        </is>
      </c>
      <c r="M54" s="698" t="n"/>
      <c r="N54" s="698" t="inlineStr">
        <is>
          <t>AXG – SS Expense Matrix</t>
        </is>
      </c>
      <c r="O54" s="698" t="inlineStr">
        <is>
          <t>2026-06-02</t>
        </is>
      </c>
      <c r="P54" s="698" t="inlineStr">
        <is>
          <t>Expense matrix data; EGI $646,496</t>
        </is>
      </c>
    </row>
    <row r="55">
      <c r="A55" s="699" t="inlineStr">
        <is>
          <t>P052</t>
        </is>
      </c>
      <c r="B55" s="695" t="n">
        <v>386</v>
      </c>
      <c r="C55" s="696" t="inlineStr">
        <is>
          <t>R0161412</t>
        </is>
      </c>
      <c r="D55" s="699" t="inlineStr">
        <is>
          <t>Address unknown – see R0161412</t>
        </is>
      </c>
      <c r="E55" s="699" t="inlineStr">
        <is>
          <t>Adams County</t>
        </is>
      </c>
      <c r="F55" s="699" t="inlineStr">
        <is>
          <t>CO</t>
        </is>
      </c>
      <c r="G55" s="699" t="inlineStr">
        <is>
          <t>Self-Storage</t>
        </is>
      </c>
      <c r="H55" s="699" t="inlineStr">
        <is>
          <t>Drive-Up/Drop-Off</t>
        </is>
      </c>
      <c r="I55" s="699" t="n"/>
      <c r="J55" s="699" t="n">
        <v>88043</v>
      </c>
      <c r="K55" s="699" t="n"/>
      <c r="L55" s="699" t="inlineStr">
        <is>
          <t>R0161412</t>
        </is>
      </c>
      <c r="M55" s="699" t="n"/>
      <c r="N55" s="699" t="inlineStr">
        <is>
          <t>AXG – SS Expense Matrix</t>
        </is>
      </c>
      <c r="O55" s="699" t="inlineStr">
        <is>
          <t>2026-06-02</t>
        </is>
      </c>
      <c r="P55" s="699" t="inlineStr">
        <is>
          <t>Expense matrix data; EGI $1,206,603</t>
        </is>
      </c>
    </row>
    <row r="56">
      <c r="A56" s="698" t="inlineStr">
        <is>
          <t>P053</t>
        </is>
      </c>
      <c r="B56" s="695" t="n">
        <v>386</v>
      </c>
      <c r="C56" s="696" t="inlineStr">
        <is>
          <t>R0169115</t>
        </is>
      </c>
      <c r="D56" s="698" t="inlineStr">
        <is>
          <t>Address unknown – see R0169115</t>
        </is>
      </c>
      <c r="E56" s="698" t="inlineStr">
        <is>
          <t>Adams County</t>
        </is>
      </c>
      <c r="F56" s="698" t="inlineStr">
        <is>
          <t>CO</t>
        </is>
      </c>
      <c r="G56" s="698" t="inlineStr">
        <is>
          <t>Self-Storage</t>
        </is>
      </c>
      <c r="H56" s="698" t="inlineStr">
        <is>
          <t>Drive-Up/Drop-Off</t>
        </is>
      </c>
      <c r="I56" s="698" t="n"/>
      <c r="J56" s="698" t="n">
        <v>41764</v>
      </c>
      <c r="K56" s="698" t="n"/>
      <c r="L56" s="698" t="inlineStr">
        <is>
          <t>R0169115</t>
        </is>
      </c>
      <c r="M56" s="698" t="n"/>
      <c r="N56" s="698" t="inlineStr">
        <is>
          <t>AXG – SS Expense Matrix</t>
        </is>
      </c>
      <c r="O56" s="698" t="inlineStr">
        <is>
          <t>2026-06-02</t>
        </is>
      </c>
      <c r="P56" s="698" t="inlineStr">
        <is>
          <t>Expense matrix data; EGI $787,364</t>
        </is>
      </c>
    </row>
    <row r="57">
      <c r="A57" s="698" t="inlineStr">
        <is>
          <t>P054</t>
        </is>
      </c>
      <c r="B57" s="695" t="n">
        <v>210</v>
      </c>
      <c r="C57" s="696" t="inlineStr">
        <is>
          <t>R0180551</t>
        </is>
      </c>
      <c r="D57" s="698" t="inlineStr">
        <is>
          <t>1953 N Gun Club Rd</t>
        </is>
      </c>
      <c r="E57" s="698" t="inlineStr">
        <is>
          <t>Aurora</t>
        </is>
      </c>
      <c r="F57" s="698" t="inlineStr">
        <is>
          <t>CO</t>
        </is>
      </c>
      <c r="G57" s="698" t="inlineStr">
        <is>
          <t>Industrial</t>
        </is>
      </c>
      <c r="H57" s="698" t="inlineStr">
        <is>
          <t>Multi-Tenant Industrial/Office NNN</t>
        </is>
      </c>
      <c r="I57" s="698" t="n"/>
      <c r="J57" s="698" t="n"/>
      <c r="K57" s="698" t="n"/>
      <c r="L57" s="698" t="inlineStr">
        <is>
          <t>R0180551</t>
        </is>
      </c>
      <c r="M57" s="698" t="inlineStr">
        <is>
          <t>Cherry Owner III LLC / AIP KKR</t>
        </is>
      </c>
      <c r="N57" s="698" t="inlineStr">
        <is>
          <t>08_2025 Review – owner actual P&amp;L</t>
        </is>
      </c>
      <c r="O57" s="698" t="inlineStr">
        <is>
          <t>2026-06-02</t>
        </is>
      </c>
      <c r="P57" s="698" t="inlineStr">
        <is>
          <t>Actual 2023+2024; base rent + full recovery; adj for prior-yr tax</t>
        </is>
      </c>
    </row>
    <row r="58">
      <c r="A58" s="699" t="inlineStr">
        <is>
          <t>P055</t>
        </is>
      </c>
      <c r="B58" s="695" t="n">
        <v>407</v>
      </c>
      <c r="C58" s="696" t="inlineStr">
        <is>
          <t>R0211072/R0211073/R0211074</t>
        </is>
      </c>
      <c r="D58" s="699" t="inlineStr">
        <is>
          <t>Park 76 Distribution Center</t>
        </is>
      </c>
      <c r="E58" s="699" t="inlineStr">
        <is>
          <t>Aurora</t>
        </is>
      </c>
      <c r="F58" s="699" t="inlineStr">
        <is>
          <t>CO</t>
        </is>
      </c>
      <c r="G58" s="699" t="inlineStr">
        <is>
          <t>Industrial</t>
        </is>
      </c>
      <c r="H58" s="699" t="inlineStr">
        <is>
          <t>Industrial Warehouse (3-bldg campus) NNN</t>
        </is>
      </c>
      <c r="I58" s="699" t="n"/>
      <c r="J58" s="699" t="n"/>
      <c r="K58" s="699" t="n"/>
      <c r="L58" s="699" t="inlineStr">
        <is>
          <t>R0211072/R0211073/R0211074</t>
        </is>
      </c>
      <c r="M58" s="699" t="inlineStr">
        <is>
          <t>Park 76 Owner LLC / Alpha Industrial</t>
        </is>
      </c>
      <c r="N58" s="699" t="inlineStr">
        <is>
          <t>08_2025 Review – owner actual P&amp;L</t>
        </is>
      </c>
      <c r="O58" s="699" t="inlineStr">
        <is>
          <t>2026-06-02</t>
        </is>
      </c>
      <c r="P58" s="699" t="inlineStr">
        <is>
          <t>3-building campus; actual 2023+2024; lease-up completed ~2023</t>
        </is>
      </c>
    </row>
    <row r="59">
      <c r="A59" s="698" t="inlineStr">
        <is>
          <t>P056</t>
        </is>
      </c>
      <c r="B59" s="695" t="n">
        <v>407</v>
      </c>
      <c r="C59" s="696" t="inlineStr">
        <is>
          <t>R0210485</t>
        </is>
      </c>
      <c r="D59" s="698" t="inlineStr">
        <is>
          <t>1101 E 126th Ave (Bldg A)</t>
        </is>
      </c>
      <c r="E59" s="698" t="inlineStr">
        <is>
          <t>Thornton</t>
        </is>
      </c>
      <c r="F59" s="698" t="inlineStr">
        <is>
          <t>CO</t>
        </is>
      </c>
      <c r="G59" s="698" t="inlineStr">
        <is>
          <t>Industrial</t>
        </is>
      </c>
      <c r="H59" s="698" t="inlineStr">
        <is>
          <t>Industrial Warehouse NNN</t>
        </is>
      </c>
      <c r="I59" s="698" t="n">
        <v>2022</v>
      </c>
      <c r="J59" s="698" t="n"/>
      <c r="K59" s="698" t="n"/>
      <c r="L59" s="698" t="inlineStr">
        <is>
          <t>R0210485</t>
        </is>
      </c>
      <c r="M59" s="698" t="inlineStr">
        <is>
          <t>Thornton Owner LLC / Alpha Industrial</t>
        </is>
      </c>
      <c r="N59" s="698" t="inlineStr">
        <is>
          <t>08_2025 Review – owner actual P&amp;L</t>
        </is>
      </c>
      <c r="O59" s="698" t="inlineStr">
        <is>
          <t>2026-06-02</t>
        </is>
      </c>
      <c r="P59" s="698" t="inlineStr">
        <is>
          <t>New (YOC ~2022); 2023 lease-up; 2024 near-stabilized; 2024 only added</t>
        </is>
      </c>
    </row>
    <row r="60">
      <c r="A60" s="699" t="inlineStr">
        <is>
          <t>P057</t>
        </is>
      </c>
      <c r="B60" s="695" t="n">
        <v>407</v>
      </c>
      <c r="C60" s="696" t="inlineStr">
        <is>
          <t>R0210486</t>
        </is>
      </c>
      <c r="D60" s="699" t="inlineStr">
        <is>
          <t>12625 Lafayette St (Bldg B)</t>
        </is>
      </c>
      <c r="E60" s="699" t="inlineStr">
        <is>
          <t>Thornton</t>
        </is>
      </c>
      <c r="F60" s="699" t="inlineStr">
        <is>
          <t>CO</t>
        </is>
      </c>
      <c r="G60" s="699" t="inlineStr">
        <is>
          <t>Industrial</t>
        </is>
      </c>
      <c r="H60" s="699" t="inlineStr">
        <is>
          <t>Industrial Warehouse NNN</t>
        </is>
      </c>
      <c r="I60" s="699" t="n">
        <v>2022</v>
      </c>
      <c r="J60" s="699" t="n"/>
      <c r="K60" s="699" t="n"/>
      <c r="L60" s="699" t="inlineStr">
        <is>
          <t>R0210486</t>
        </is>
      </c>
      <c r="M60" s="699" t="inlineStr">
        <is>
          <t>Thornton Owner LLC / Alpha Industrial</t>
        </is>
      </c>
      <c r="N60" s="699" t="inlineStr">
        <is>
          <t>08_2025 Review – owner actual P&amp;L</t>
        </is>
      </c>
      <c r="O60" s="699" t="inlineStr">
        <is>
          <t>2026-06-02</t>
        </is>
      </c>
      <c r="P60" s="699" t="inlineStr">
        <is>
          <t>New (YOC ~2022); 2023 lease-up; 2024 near-stabilized; 2024 only added</t>
        </is>
      </c>
    </row>
    <row r="61">
      <c r="A61" s="698" t="inlineStr">
        <is>
          <t>P058</t>
        </is>
      </c>
      <c r="B61" s="695" t="n">
        <v>407</v>
      </c>
      <c r="C61" s="696" t="inlineStr">
        <is>
          <t>R0091934</t>
        </is>
      </c>
      <c r="D61" s="698" t="inlineStr">
        <is>
          <t>350 Park Industrial (5759)</t>
        </is>
      </c>
      <c r="E61" s="698" t="inlineStr">
        <is>
          <t>Aurora</t>
        </is>
      </c>
      <c r="F61" s="698" t="inlineStr">
        <is>
          <t>CO</t>
        </is>
      </c>
      <c r="G61" s="698" t="inlineStr">
        <is>
          <t>Industrial</t>
        </is>
      </c>
      <c r="H61" s="698" t="inlineStr">
        <is>
          <t>Multi-Tenant Industrial 407</t>
        </is>
      </c>
      <c r="I61" s="698" t="n">
        <v>1995</v>
      </c>
      <c r="J61" s="698" t="n">
        <v>32600</v>
      </c>
      <c r="K61" s="698" t="n"/>
      <c r="L61" s="698" t="inlineStr">
        <is>
          <t>R0091934</t>
        </is>
      </c>
      <c r="M61" s="698" t="n"/>
      <c r="N61" s="698" t="inlineStr">
        <is>
          <t>08_2025 Review – owner actual P&amp;L</t>
        </is>
      </c>
      <c r="O61" s="698" t="inlineStr">
        <is>
          <t>2026-06-02</t>
        </is>
      </c>
      <c r="P61" s="698" t="inlineStr">
        <is>
          <t>Actual accrual 2023+2024; multi-tenant; 3 tenants</t>
        </is>
      </c>
    </row>
    <row r="62">
      <c r="A62" s="699" t="inlineStr">
        <is>
          <t>P059</t>
        </is>
      </c>
      <c r="B62" s="695" t="n">
        <v>407</v>
      </c>
      <c r="C62" s="696" t="inlineStr">
        <is>
          <t>R0093111</t>
        </is>
      </c>
      <c r="D62" s="699" t="inlineStr">
        <is>
          <t>Industrial Property (yden0702)</t>
        </is>
      </c>
      <c r="E62" s="699" t="inlineStr">
        <is>
          <t>Aurora</t>
        </is>
      </c>
      <c r="F62" s="699" t="inlineStr">
        <is>
          <t>CO</t>
        </is>
      </c>
      <c r="G62" s="699" t="inlineStr">
        <is>
          <t>Industrial</t>
        </is>
      </c>
      <c r="H62" s="699" t="inlineStr">
        <is>
          <t>Multi-Tenant Industrial 407</t>
        </is>
      </c>
      <c r="I62" s="699" t="n"/>
      <c r="J62" s="699" t="n"/>
      <c r="K62" s="699" t="n"/>
      <c r="L62" s="699" t="inlineStr">
        <is>
          <t>R0093111</t>
        </is>
      </c>
      <c r="M62" s="699" t="n"/>
      <c r="N62" s="699" t="inlineStr">
        <is>
          <t>08_2025 Review – owner actual P&amp;L</t>
        </is>
      </c>
      <c r="O62" s="699" t="inlineStr">
        <is>
          <t>2026-06-02</t>
        </is>
      </c>
      <c r="P62" s="699" t="inlineStr">
        <is>
          <t>Actual 2023+2024; SF not confirmed; multi-tenant 3 tenants</t>
        </is>
      </c>
    </row>
    <row r="63">
      <c r="A63" s="698" t="inlineStr">
        <is>
          <t>P060</t>
        </is>
      </c>
      <c r="B63" s="695" t="n">
        <v>407</v>
      </c>
      <c r="C63" s="696" t="inlineStr">
        <is>
          <t>R0100104</t>
        </is>
      </c>
      <c r="D63" s="698" t="inlineStr">
        <is>
          <t>312 Kew West</t>
        </is>
      </c>
      <c r="E63" s="698" t="inlineStr">
        <is>
          <t>Aurora</t>
        </is>
      </c>
      <c r="F63" s="698" t="inlineStr">
        <is>
          <t>CO</t>
        </is>
      </c>
      <c r="G63" s="698" t="inlineStr">
        <is>
          <t>Industrial</t>
        </is>
      </c>
      <c r="H63" s="698" t="inlineStr">
        <is>
          <t>Multi-Tenant Industrial 407</t>
        </is>
      </c>
      <c r="I63" s="698" t="n"/>
      <c r="J63" s="698" t="n"/>
      <c r="K63" s="698" t="n"/>
      <c r="L63" s="698" t="inlineStr">
        <is>
          <t>R0100104</t>
        </is>
      </c>
      <c r="M63" s="698" t="n"/>
      <c r="N63" s="698" t="inlineStr">
        <is>
          <t>08_2025 Review – owner actual P&amp;L</t>
        </is>
      </c>
      <c r="O63" s="698" t="inlineStr">
        <is>
          <t>2026-06-02</t>
        </is>
      </c>
      <c r="P63" s="698" t="inlineStr">
        <is>
          <t>Actual 2023+2024; SF not confirmed</t>
        </is>
      </c>
    </row>
    <row r="64">
      <c r="A64" s="699" t="inlineStr">
        <is>
          <t>P061</t>
        </is>
      </c>
      <c r="B64" s="695" t="n">
        <v>584</v>
      </c>
      <c r="C64" s="696" t="inlineStr">
        <is>
          <t>R0083935</t>
        </is>
      </c>
      <c r="D64" s="699" t="inlineStr">
        <is>
          <t>20101 E 36th Ave (RK Industries)</t>
        </is>
      </c>
      <c r="E64" s="699" t="inlineStr">
        <is>
          <t>Aurora</t>
        </is>
      </c>
      <c r="F64" s="699" t="inlineStr">
        <is>
          <t>CO</t>
        </is>
      </c>
      <c r="G64" s="699" t="inlineStr">
        <is>
          <t>Industrial</t>
        </is>
      </c>
      <c r="H64" s="699" t="inlineStr">
        <is>
          <t>Mega Warehouse NNN</t>
        </is>
      </c>
      <c r="I64" s="699" t="n"/>
      <c r="J64" s="699" t="n">
        <v>278538</v>
      </c>
      <c r="K64" s="699" t="n"/>
      <c r="L64" s="699" t="inlineStr">
        <is>
          <t>R0083935</t>
        </is>
      </c>
      <c r="M64" s="699" t="inlineStr">
        <is>
          <t>RK Industries</t>
        </is>
      </c>
      <c r="N64" s="699" t="inlineStr">
        <is>
          <t>08_2025 Review – CBRE income statement</t>
        </is>
      </c>
      <c r="O64" s="699" t="inlineStr">
        <is>
          <t>2026-06-02</t>
        </is>
      </c>
      <c r="P64" s="699" t="inlineStr">
        <is>
          <t>Single-tenant NNN; 2024 partial data; rent $4.47/SF NNN</t>
        </is>
      </c>
    </row>
    <row r="65">
      <c r="A65" s="698" t="inlineStr">
        <is>
          <t>P062</t>
        </is>
      </c>
      <c r="B65" s="695" t="n">
        <v>407</v>
      </c>
      <c r="C65" s="696" t="inlineStr">
        <is>
          <t>R0200721</t>
        </is>
      </c>
      <c r="D65" s="698" t="inlineStr">
        <is>
          <t>3420 N Lisbon St</t>
        </is>
      </c>
      <c r="E65" s="698" t="inlineStr">
        <is>
          <t>Aurora</t>
        </is>
      </c>
      <c r="F65" s="698" t="inlineStr">
        <is>
          <t>CO</t>
        </is>
      </c>
      <c r="G65" s="698" t="inlineStr">
        <is>
          <t>Industrial</t>
        </is>
      </c>
      <c r="H65" s="698" t="inlineStr">
        <is>
          <t>Single-Tenant Industrial NNN</t>
        </is>
      </c>
      <c r="I65" s="698" t="n">
        <v>2019</v>
      </c>
      <c r="J65" s="698" t="n">
        <v>36212</v>
      </c>
      <c r="K65" s="698" t="n"/>
      <c r="L65" s="698" t="inlineStr">
        <is>
          <t>R0200721</t>
        </is>
      </c>
      <c r="M65" s="698" t="inlineStr">
        <is>
          <t>Cameron Ashley Bldg Products</t>
        </is>
      </c>
      <c r="N65" s="698" t="inlineStr">
        <is>
          <t>08_2025 Review – rent roll</t>
        </is>
      </c>
      <c r="O65" s="698" t="inlineStr">
        <is>
          <t>2026-06-02</t>
        </is>
      </c>
      <c r="P65" s="698" t="inlineStr">
        <is>
          <t>NNN lease thru 12/31/2028; rent only; tenant pays all opex</t>
        </is>
      </c>
    </row>
    <row r="66">
      <c r="A66" s="699" t="inlineStr">
        <is>
          <t>P063</t>
        </is>
      </c>
      <c r="B66" s="695" t="n">
        <v>344</v>
      </c>
      <c r="C66" s="696" t="inlineStr">
        <is>
          <t>R0040581</t>
        </is>
      </c>
      <c r="D66" s="699" t="inlineStr">
        <is>
          <t>2090 E 104th Ave</t>
        </is>
      </c>
      <c r="E66" s="699" t="inlineStr">
        <is>
          <t>Thornton</t>
        </is>
      </c>
      <c r="F66" s="699" t="inlineStr">
        <is>
          <t>CO</t>
        </is>
      </c>
      <c r="G66" s="699" t="inlineStr">
        <is>
          <t>Office</t>
        </is>
      </c>
      <c r="H66" s="699" t="inlineStr">
        <is>
          <t>Multi-Tenant Office</t>
        </is>
      </c>
      <c r="I66" s="699" t="n"/>
      <c r="J66" s="699" t="n">
        <v>19764</v>
      </c>
      <c r="K66" s="699" t="n"/>
      <c r="L66" s="699" t="inlineStr">
        <is>
          <t>R0040581</t>
        </is>
      </c>
      <c r="M66" s="699" t="n"/>
      <c r="N66" s="699" t="inlineStr">
        <is>
          <t>08_2025 Review – owner P&amp;L</t>
        </is>
      </c>
      <c r="O66" s="699" t="inlineStr">
        <is>
          <t>2026-06-02</t>
        </is>
      </c>
      <c r="P66" s="699" t="inlineStr">
        <is>
          <t>Actual 2023+2024; 11 suites</t>
        </is>
      </c>
    </row>
    <row r="67">
      <c r="A67" s="698" t="inlineStr">
        <is>
          <t>P064</t>
        </is>
      </c>
      <c r="B67" s="695" t="n">
        <v>344</v>
      </c>
      <c r="C67" s="696" t="inlineStr">
        <is>
          <t>R0050977</t>
        </is>
      </c>
      <c r="D67" s="698" t="inlineStr">
        <is>
          <t>9351 Grant St</t>
        </is>
      </c>
      <c r="E67" s="698" t="inlineStr">
        <is>
          <t>Thornton</t>
        </is>
      </c>
      <c r="F67" s="698" t="inlineStr">
        <is>
          <t>CO</t>
        </is>
      </c>
      <c r="G67" s="698" t="inlineStr">
        <is>
          <t>Office</t>
        </is>
      </c>
      <c r="H67" s="698" t="inlineStr">
        <is>
          <t>Multi-Tenant Office</t>
        </is>
      </c>
      <c r="I67" s="698" t="n"/>
      <c r="J67" s="698" t="n"/>
      <c r="K67" s="698" t="n"/>
      <c r="L67" s="698" t="inlineStr">
        <is>
          <t>R0050977</t>
        </is>
      </c>
      <c r="M67" s="698" t="inlineStr">
        <is>
          <t>Crown Real Estate Group</t>
        </is>
      </c>
      <c r="N67" s="698" t="inlineStr">
        <is>
          <t>08_2025 Review – owner P&amp;L</t>
        </is>
      </c>
      <c r="O67" s="698" t="inlineStr">
        <is>
          <t>2026-06-02</t>
        </is>
      </c>
      <c r="P67" s="698" t="inlineStr">
        <is>
          <t>Actual 2023; SF not stated; large property</t>
        </is>
      </c>
    </row>
    <row r="68">
      <c r="A68" s="699" t="inlineStr">
        <is>
          <t>P065</t>
        </is>
      </c>
      <c r="B68" s="695" t="n">
        <v>344</v>
      </c>
      <c r="C68" s="696" t="inlineStr">
        <is>
          <t>R0069041</t>
        </is>
      </c>
      <c r="D68" s="699" t="inlineStr">
        <is>
          <t>7475 Dakin St (Turnpike Tower)</t>
        </is>
      </c>
      <c r="E68" s="699" t="inlineStr">
        <is>
          <t>Denver</t>
        </is>
      </c>
      <c r="F68" s="699" t="inlineStr">
        <is>
          <t>CO</t>
        </is>
      </c>
      <c r="G68" s="699" t="inlineStr">
        <is>
          <t>Office</t>
        </is>
      </c>
      <c r="H68" s="699" t="inlineStr">
        <is>
          <t>Multi-Tenant Office</t>
        </is>
      </c>
      <c r="I68" s="699" t="n"/>
      <c r="J68" s="699" t="n">
        <v>114843</v>
      </c>
      <c r="K68" s="699" t="n"/>
      <c r="L68" s="699" t="inlineStr">
        <is>
          <t>R0069041</t>
        </is>
      </c>
      <c r="M68" s="699" t="n"/>
      <c r="N68" s="699" t="inlineStr">
        <is>
          <t>08_2025 Review – owner P&amp;L</t>
        </is>
      </c>
      <c r="O68" s="699" t="inlineStr">
        <is>
          <t>2026-06-02</t>
        </is>
      </c>
      <c r="P68" s="699" t="inlineStr">
        <is>
          <t>Actual 2023+2024; 87.7% occ; NNN/Modified leases</t>
        </is>
      </c>
    </row>
    <row r="69">
      <c r="A69" s="698" t="inlineStr">
        <is>
          <t>P066</t>
        </is>
      </c>
      <c r="B69" s="695" t="n">
        <v>344</v>
      </c>
      <c r="C69" s="696" t="inlineStr">
        <is>
          <t>R0079409</t>
        </is>
      </c>
      <c r="D69" s="698" t="inlineStr">
        <is>
          <t>6401 E 72nd Ave</t>
        </is>
      </c>
      <c r="E69" s="698" t="inlineStr">
        <is>
          <t>Commerce City</t>
        </is>
      </c>
      <c r="F69" s="698" t="inlineStr">
        <is>
          <t>CO</t>
        </is>
      </c>
      <c r="G69" s="698" t="inlineStr">
        <is>
          <t>Office</t>
        </is>
      </c>
      <c r="H69" s="698" t="inlineStr">
        <is>
          <t>Multi-Tenant Office</t>
        </is>
      </c>
      <c r="I69" s="698" t="n"/>
      <c r="J69" s="698" t="n">
        <v>8218</v>
      </c>
      <c r="K69" s="698" t="n"/>
      <c r="L69" s="698" t="inlineStr">
        <is>
          <t>R0079409</t>
        </is>
      </c>
      <c r="M69" s="698" t="n"/>
      <c r="N69" s="698" t="inlineStr">
        <is>
          <t>08_2025 Review – owner P&amp;L</t>
        </is>
      </c>
      <c r="O69" s="698" t="inlineStr">
        <is>
          <t>2026-06-02</t>
        </is>
      </c>
      <c r="P69" s="698" t="inlineStr">
        <is>
          <t>Actual 2023; 9 tenants; small multi-tenant office</t>
        </is>
      </c>
    </row>
    <row r="70">
      <c r="A70" s="699" t="inlineStr">
        <is>
          <t>P067</t>
        </is>
      </c>
      <c r="B70" s="695" t="n">
        <v>344</v>
      </c>
      <c r="C70" s="696" t="inlineStr">
        <is>
          <t>R0189338</t>
        </is>
      </c>
      <c r="D70" s="699" t="inlineStr">
        <is>
          <t>203 Telluride St</t>
        </is>
      </c>
      <c r="E70" s="699" t="inlineStr">
        <is>
          <t>Aurora</t>
        </is>
      </c>
      <c r="F70" s="699" t="inlineStr">
        <is>
          <t>CO</t>
        </is>
      </c>
      <c r="G70" s="699" t="inlineStr">
        <is>
          <t>Office</t>
        </is>
      </c>
      <c r="H70" s="699" t="inlineStr">
        <is>
          <t>Multi-Tenant Office</t>
        </is>
      </c>
      <c r="I70" s="699" t="n"/>
      <c r="J70" s="699" t="n"/>
      <c r="K70" s="699" t="n"/>
      <c r="L70" s="699" t="inlineStr">
        <is>
          <t>R0189338</t>
        </is>
      </c>
      <c r="M70" s="699" t="n"/>
      <c r="N70" s="699" t="inlineStr">
        <is>
          <t>08_2025 Review – owner P&amp;L</t>
        </is>
      </c>
      <c r="O70" s="699" t="inlineStr">
        <is>
          <t>2026-06-02</t>
        </is>
      </c>
      <c r="P70" s="699" t="inlineStr">
        <is>
          <t>Actual 2023+2024; SF not stated</t>
        </is>
      </c>
    </row>
    <row r="71">
      <c r="A71" s="698" t="inlineStr">
        <is>
          <t>P068</t>
        </is>
      </c>
      <c r="B71" s="695" t="n">
        <v>344</v>
      </c>
      <c r="C71" s="696" t="inlineStr">
        <is>
          <t>R0193830</t>
        </is>
      </c>
      <c r="D71" s="698" t="inlineStr">
        <is>
          <t>Justice Center Office Plaza</t>
        </is>
      </c>
      <c r="E71" s="698" t="inlineStr">
        <is>
          <t>Denver</t>
        </is>
      </c>
      <c r="F71" s="698" t="inlineStr">
        <is>
          <t>CO</t>
        </is>
      </c>
      <c r="G71" s="698" t="inlineStr">
        <is>
          <t>Office</t>
        </is>
      </c>
      <c r="H71" s="698" t="inlineStr">
        <is>
          <t>Multi-Tenant Office NNN</t>
        </is>
      </c>
      <c r="I71" s="698" t="n"/>
      <c r="J71" s="698" t="n">
        <v>41979</v>
      </c>
      <c r="K71" s="698" t="n"/>
      <c r="L71" s="698" t="inlineStr">
        <is>
          <t>R0193830</t>
        </is>
      </c>
      <c r="M71" s="698" t="n"/>
      <c r="N71" s="698" t="inlineStr">
        <is>
          <t>08_2025 Review – owner P&amp;L</t>
        </is>
      </c>
      <c r="O71" s="698" t="inlineStr">
        <is>
          <t>2026-06-02</t>
        </is>
      </c>
      <c r="P71" s="698" t="inlineStr">
        <is>
          <t>Actual 2023+2024; govt tenants; 100% occ; NNN leases</t>
        </is>
      </c>
    </row>
    <row r="72">
      <c r="A72" s="699" t="inlineStr">
        <is>
          <t>P069</t>
        </is>
      </c>
      <c r="B72" s="695" t="n">
        <v>210</v>
      </c>
      <c r="C72" s="696" t="inlineStr">
        <is>
          <t>R0098223</t>
        </is>
      </c>
      <c r="D72" s="699" t="inlineStr">
        <is>
          <t>Washington Commerce Center</t>
        </is>
      </c>
      <c r="E72" s="699" t="inlineStr">
        <is>
          <t>Commerce City</t>
        </is>
      </c>
      <c r="F72" s="699" t="inlineStr">
        <is>
          <t>CO</t>
        </is>
      </c>
      <c r="G72" s="699" t="inlineStr">
        <is>
          <t>Office/Industrial</t>
        </is>
      </c>
      <c r="H72" s="699" t="inlineStr">
        <is>
          <t>Multi-Tenant Office/Industrial</t>
        </is>
      </c>
      <c r="I72" s="699" t="n"/>
      <c r="J72" s="699" t="n">
        <v>278538</v>
      </c>
      <c r="K72" s="699" t="n"/>
      <c r="L72" s="699" t="inlineStr">
        <is>
          <t>R0098223</t>
        </is>
      </c>
      <c r="M72" s="699" t="n"/>
      <c r="N72" s="699" t="inlineStr">
        <is>
          <t>08_2025 Review – owner P&amp;L</t>
        </is>
      </c>
      <c r="O72" s="699" t="inlineStr">
        <is>
          <t>2026-06-02</t>
        </is>
      </c>
      <c r="P72" s="699" t="inlineStr">
        <is>
          <t>Actual 2023+2024; SF est; opex very low – likely tenant-pay NNN</t>
        </is>
      </c>
    </row>
    <row r="73">
      <c r="A73" s="698" t="inlineStr">
        <is>
          <t>P070</t>
        </is>
      </c>
      <c r="B73" s="695" t="n">
        <v>210</v>
      </c>
      <c r="C73" s="696" t="inlineStr">
        <is>
          <t>R0084242</t>
        </is>
      </c>
      <c r="D73" s="698" t="inlineStr">
        <is>
          <t>Upland Dist Ctr I (Bldg 1 bt46274)</t>
        </is>
      </c>
      <c r="E73" s="698" t="inlineStr">
        <is>
          <t>Aurora</t>
        </is>
      </c>
      <c r="F73" s="698" t="inlineStr">
        <is>
          <t>CO</t>
        </is>
      </c>
      <c r="G73" s="698" t="inlineStr">
        <is>
          <t>Industrial</t>
        </is>
      </c>
      <c r="H73" s="698" t="inlineStr">
        <is>
          <t>Multi-Tenant Industrial NNN</t>
        </is>
      </c>
      <c r="I73" s="698" t="n"/>
      <c r="J73" s="698" t="n"/>
      <c r="K73" s="698" t="n"/>
      <c r="L73" s="698" t="inlineStr">
        <is>
          <t>R0084242</t>
        </is>
      </c>
      <c r="M73" s="698" t="inlineStr">
        <is>
          <t>Link Logistics</t>
        </is>
      </c>
      <c r="N73" s="698" t="inlineStr">
        <is>
          <t>08_2025 Review – Link Logistics actual P&amp;L</t>
        </is>
      </c>
      <c r="O73" s="698" t="inlineStr">
        <is>
          <t>2026-06-02</t>
        </is>
      </c>
      <c r="P73" s="698" t="inlineStr">
        <is>
          <t>Actual accrual 2023+2024; NNN reimbursable structure</t>
        </is>
      </c>
    </row>
    <row r="74">
      <c r="A74" s="699" t="inlineStr">
        <is>
          <t>P071</t>
        </is>
      </c>
      <c r="B74" s="695" t="n">
        <v>210</v>
      </c>
      <c r="C74" s="696" t="inlineStr">
        <is>
          <t>R0084243</t>
        </is>
      </c>
      <c r="D74" s="699" t="inlineStr">
        <is>
          <t>Upland Dist Ctr I (Bldg 2 bt46275)</t>
        </is>
      </c>
      <c r="E74" s="699" t="inlineStr">
        <is>
          <t>Aurora</t>
        </is>
      </c>
      <c r="F74" s="699" t="inlineStr">
        <is>
          <t>CO</t>
        </is>
      </c>
      <c r="G74" s="699" t="inlineStr">
        <is>
          <t>Industrial</t>
        </is>
      </c>
      <c r="H74" s="699" t="inlineStr">
        <is>
          <t>Multi-Tenant Industrial NNN</t>
        </is>
      </c>
      <c r="I74" s="699" t="n"/>
      <c r="J74" s="699" t="n"/>
      <c r="K74" s="699" t="n"/>
      <c r="L74" s="699" t="inlineStr">
        <is>
          <t>R0084243</t>
        </is>
      </c>
      <c r="M74" s="699" t="inlineStr">
        <is>
          <t>Link Logistics</t>
        </is>
      </c>
      <c r="N74" s="699" t="inlineStr">
        <is>
          <t>08_2025 Review – Link Logistics actual P&amp;L</t>
        </is>
      </c>
      <c r="O74" s="699" t="inlineStr">
        <is>
          <t>2026-06-02</t>
        </is>
      </c>
      <c r="P74" s="699" t="inlineStr">
        <is>
          <t>Actual accrual 2023+2024</t>
        </is>
      </c>
    </row>
    <row r="75">
      <c r="A75" s="698" t="inlineStr">
        <is>
          <t>P072</t>
        </is>
      </c>
      <c r="B75" s="695" t="n">
        <v>210</v>
      </c>
      <c r="C75" s="696" t="inlineStr">
        <is>
          <t>R0084244</t>
        </is>
      </c>
      <c r="D75" s="698" t="inlineStr">
        <is>
          <t>Upland Dist Ctr I (Bldg 3 bt46276)</t>
        </is>
      </c>
      <c r="E75" s="698" t="inlineStr">
        <is>
          <t>Aurora</t>
        </is>
      </c>
      <c r="F75" s="698" t="inlineStr">
        <is>
          <t>CO</t>
        </is>
      </c>
      <c r="G75" s="698" t="inlineStr">
        <is>
          <t>Industrial</t>
        </is>
      </c>
      <c r="H75" s="698" t="inlineStr">
        <is>
          <t>Multi-Tenant Industrial NNN</t>
        </is>
      </c>
      <c r="I75" s="698" t="n"/>
      <c r="J75" s="698" t="n"/>
      <c r="K75" s="698" t="n"/>
      <c r="L75" s="698" t="inlineStr">
        <is>
          <t>R0084244</t>
        </is>
      </c>
      <c r="M75" s="698" t="inlineStr">
        <is>
          <t>Link Logistics</t>
        </is>
      </c>
      <c r="N75" s="698" t="inlineStr">
        <is>
          <t>08_2025 Review – Link Logistics actual P&amp;L</t>
        </is>
      </c>
      <c r="O75" s="698" t="inlineStr">
        <is>
          <t>2026-06-02</t>
        </is>
      </c>
      <c r="P75" s="698" t="inlineStr">
        <is>
          <t>2023 only; large warehouse; notable vacancy/free rent period</t>
        </is>
      </c>
    </row>
    <row r="76">
      <c r="A76" s="699" t="inlineStr">
        <is>
          <t>P073</t>
        </is>
      </c>
      <c r="B76" s="695" t="n">
        <v>210</v>
      </c>
      <c r="C76" s="696" t="inlineStr">
        <is>
          <t>R0084247</t>
        </is>
      </c>
      <c r="D76" s="699" t="inlineStr">
        <is>
          <t>13802 E 33rd Place</t>
        </is>
      </c>
      <c r="E76" s="699" t="inlineStr">
        <is>
          <t>Aurora</t>
        </is>
      </c>
      <c r="F76" s="699" t="inlineStr">
        <is>
          <t>CO</t>
        </is>
      </c>
      <c r="G76" s="699" t="inlineStr">
        <is>
          <t>Industrial</t>
        </is>
      </c>
      <c r="H76" s="699" t="inlineStr">
        <is>
          <t>Multi-Tenant Industrial NNN</t>
        </is>
      </c>
      <c r="I76" s="699" t="n"/>
      <c r="J76" s="699" t="n"/>
      <c r="K76" s="699" t="n"/>
      <c r="L76" s="699" t="inlineStr">
        <is>
          <t>R0084247</t>
        </is>
      </c>
      <c r="M76" s="699" t="inlineStr">
        <is>
          <t>Link Logistics</t>
        </is>
      </c>
      <c r="N76" s="699" t="inlineStr">
        <is>
          <t>08_2025 Review – Link Logistics actual P&amp;L</t>
        </is>
      </c>
      <c r="O76" s="699" t="inlineStr">
        <is>
          <t>2026-06-02</t>
        </is>
      </c>
      <c r="P76" s="699" t="inlineStr">
        <is>
          <t>Actual accrual 2023+2024</t>
        </is>
      </c>
    </row>
    <row r="77">
      <c r="A77" s="698" t="inlineStr">
        <is>
          <t>P074</t>
        </is>
      </c>
      <c r="B77" s="695" t="n">
        <v>210</v>
      </c>
      <c r="C77" s="696" t="inlineStr">
        <is>
          <t>R0084248</t>
        </is>
      </c>
      <c r="D77" s="698" t="inlineStr">
        <is>
          <t>14002 E 33rd Place</t>
        </is>
      </c>
      <c r="E77" s="698" t="inlineStr">
        <is>
          <t>Aurora</t>
        </is>
      </c>
      <c r="F77" s="698" t="inlineStr">
        <is>
          <t>CO</t>
        </is>
      </c>
      <c r="G77" s="698" t="inlineStr">
        <is>
          <t>Industrial</t>
        </is>
      </c>
      <c r="H77" s="698" t="inlineStr">
        <is>
          <t>Multi-Tenant Industrial NNN</t>
        </is>
      </c>
      <c r="I77" s="698" t="n"/>
      <c r="J77" s="698" t="n"/>
      <c r="K77" s="698" t="n"/>
      <c r="L77" s="698" t="inlineStr">
        <is>
          <t>R0084248</t>
        </is>
      </c>
      <c r="M77" s="698" t="inlineStr">
        <is>
          <t>Link Logistics</t>
        </is>
      </c>
      <c r="N77" s="698" t="inlineStr">
        <is>
          <t>08_2025 Review – Link Logistics actual P&amp;L</t>
        </is>
      </c>
      <c r="O77" s="698" t="inlineStr">
        <is>
          <t>2026-06-02</t>
        </is>
      </c>
      <c r="P77" s="698" t="inlineStr">
        <is>
          <t>Actual accrual 2023+2024; 2023 RE tax net of $53k refund</t>
        </is>
      </c>
    </row>
    <row r="78">
      <c r="A78" s="699" t="inlineStr">
        <is>
          <t>P075</t>
        </is>
      </c>
      <c r="B78" s="695" t="n">
        <v>210</v>
      </c>
      <c r="C78" s="696" t="inlineStr">
        <is>
          <t>R0084250</t>
        </is>
      </c>
      <c r="D78" s="699" t="inlineStr">
        <is>
          <t>3250 Abilene Street</t>
        </is>
      </c>
      <c r="E78" s="699" t="inlineStr">
        <is>
          <t>Aurora</t>
        </is>
      </c>
      <c r="F78" s="699" t="inlineStr">
        <is>
          <t>CO</t>
        </is>
      </c>
      <c r="G78" s="699" t="inlineStr">
        <is>
          <t>Industrial</t>
        </is>
      </c>
      <c r="H78" s="699" t="inlineStr">
        <is>
          <t>Multi-Tenant Industrial NNN</t>
        </is>
      </c>
      <c r="I78" s="699" t="n"/>
      <c r="J78" s="699" t="n"/>
      <c r="K78" s="699" t="n"/>
      <c r="L78" s="699" t="inlineStr">
        <is>
          <t>R0084250</t>
        </is>
      </c>
      <c r="M78" s="699" t="inlineStr">
        <is>
          <t>Link Logistics</t>
        </is>
      </c>
      <c r="N78" s="699" t="inlineStr">
        <is>
          <t>08_2025 Review – Link Logistics actual P&amp;L</t>
        </is>
      </c>
      <c r="O78" s="699" t="inlineStr">
        <is>
          <t>2026-06-02</t>
        </is>
      </c>
      <c r="P78" s="699" t="inlineStr">
        <is>
          <t>2024 tenant turnover; base rent dropped $787k→$407k; 2023 more stable</t>
        </is>
      </c>
    </row>
    <row r="79">
      <c r="A79" s="698" t="inlineStr">
        <is>
          <t>P076</t>
        </is>
      </c>
      <c r="B79" s="695" t="n">
        <v>210</v>
      </c>
      <c r="C79" s="696" t="inlineStr">
        <is>
          <t>R0084253</t>
        </is>
      </c>
      <c r="D79" s="698" t="inlineStr">
        <is>
          <t>14509 E 33rd Place (bt46265)</t>
        </is>
      </c>
      <c r="E79" s="698" t="inlineStr">
        <is>
          <t>Aurora</t>
        </is>
      </c>
      <c r="F79" s="698" t="inlineStr">
        <is>
          <t>CO</t>
        </is>
      </c>
      <c r="G79" s="698" t="inlineStr">
        <is>
          <t>Industrial</t>
        </is>
      </c>
      <c r="H79" s="698" t="inlineStr">
        <is>
          <t>Multi-Tenant Industrial NNN</t>
        </is>
      </c>
      <c r="I79" s="698" t="n"/>
      <c r="J79" s="698" t="n"/>
      <c r="K79" s="698" t="n"/>
      <c r="L79" s="698" t="inlineStr">
        <is>
          <t>R0084253</t>
        </is>
      </c>
      <c r="M79" s="698" t="inlineStr">
        <is>
          <t>Link Logistics</t>
        </is>
      </c>
      <c r="N79" s="698" t="inlineStr">
        <is>
          <t>08_2025 Review – Link Logistics actual P&amp;L</t>
        </is>
      </c>
      <c r="O79" s="698" t="inlineStr">
        <is>
          <t>2026-06-02</t>
        </is>
      </c>
      <c r="P79" s="698" t="inlineStr">
        <is>
          <t>Actual 2023+2024; 3-bldg campus R0084253</t>
        </is>
      </c>
    </row>
    <row r="80">
      <c r="A80" s="699" t="inlineStr">
        <is>
          <t>P077</t>
        </is>
      </c>
      <c r="B80" s="695" t="n">
        <v>210</v>
      </c>
      <c r="C80" s="696" t="inlineStr">
        <is>
          <t>R0084253</t>
        </is>
      </c>
      <c r="D80" s="699" t="inlineStr">
        <is>
          <t>14704 E 33rd Place (bt46266)</t>
        </is>
      </c>
      <c r="E80" s="699" t="inlineStr">
        <is>
          <t>Aurora</t>
        </is>
      </c>
      <c r="F80" s="699" t="inlineStr">
        <is>
          <t>CO</t>
        </is>
      </c>
      <c r="G80" s="699" t="inlineStr">
        <is>
          <t>Industrial</t>
        </is>
      </c>
      <c r="H80" s="699" t="inlineStr">
        <is>
          <t>Multi-Tenant Industrial NNN</t>
        </is>
      </c>
      <c r="I80" s="699" t="n"/>
      <c r="J80" s="699" t="n"/>
      <c r="K80" s="699" t="n"/>
      <c r="L80" s="699" t="inlineStr">
        <is>
          <t>R0084253</t>
        </is>
      </c>
      <c r="M80" s="699" t="inlineStr">
        <is>
          <t>Link Logistics</t>
        </is>
      </c>
      <c r="N80" s="699" t="inlineStr">
        <is>
          <t>08_2025 Review – Link Logistics actual P&amp;L</t>
        </is>
      </c>
      <c r="O80" s="699" t="inlineStr">
        <is>
          <t>2026-06-02</t>
        </is>
      </c>
      <c r="P80" s="699" t="inlineStr">
        <is>
          <t>Actual 2024; partial vacancy (electric/gas vacancy costs); same parcel R0084253</t>
        </is>
      </c>
    </row>
    <row r="81">
      <c r="A81" s="698" t="inlineStr">
        <is>
          <t>P078</t>
        </is>
      </c>
      <c r="B81" s="695" t="n">
        <v>210</v>
      </c>
      <c r="C81" s="696" t="inlineStr">
        <is>
          <t>R0084253</t>
        </is>
      </c>
      <c r="D81" s="698" t="inlineStr">
        <is>
          <t>14705 E 33rd Place (bt46267)</t>
        </is>
      </c>
      <c r="E81" s="698" t="inlineStr">
        <is>
          <t>Aurora</t>
        </is>
      </c>
      <c r="F81" s="698" t="inlineStr">
        <is>
          <t>CO</t>
        </is>
      </c>
      <c r="G81" s="698" t="inlineStr">
        <is>
          <t>Industrial</t>
        </is>
      </c>
      <c r="H81" s="698" t="inlineStr">
        <is>
          <t>Multi-Tenant Industrial NNN</t>
        </is>
      </c>
      <c r="I81" s="698" t="n"/>
      <c r="J81" s="698" t="n"/>
      <c r="K81" s="698" t="n"/>
      <c r="L81" s="698" t="inlineStr">
        <is>
          <t>R0084253</t>
        </is>
      </c>
      <c r="M81" s="698" t="inlineStr">
        <is>
          <t>Link Logistics</t>
        </is>
      </c>
      <c r="N81" s="698" t="inlineStr">
        <is>
          <t>08_2025 Review – Link Logistics actual P&amp;L</t>
        </is>
      </c>
      <c r="O81" s="698" t="inlineStr">
        <is>
          <t>2026-06-02</t>
        </is>
      </c>
      <c r="P81" s="698" t="inlineStr">
        <is>
          <t>Actual 2024; partial lease-up/free rent; same parcel R0084253</t>
        </is>
      </c>
    </row>
    <row r="82">
      <c r="A82" s="699" t="inlineStr">
        <is>
          <t>P079</t>
        </is>
      </c>
      <c r="B82" s="695" t="n">
        <v>584</v>
      </c>
      <c r="C82" s="696" t="inlineStr">
        <is>
          <t>R0086214</t>
        </is>
      </c>
      <c r="D82" s="699" t="inlineStr">
        <is>
          <t>Aurora Warehouse (Polar br40666)</t>
        </is>
      </c>
      <c r="E82" s="699" t="inlineStr">
        <is>
          <t>Aurora</t>
        </is>
      </c>
      <c r="F82" s="699" t="inlineStr">
        <is>
          <t>CO</t>
        </is>
      </c>
      <c r="G82" s="699" t="inlineStr">
        <is>
          <t>Industrial</t>
        </is>
      </c>
      <c r="H82" s="699" t="inlineStr">
        <is>
          <t>Mega Warehouse NNN</t>
        </is>
      </c>
      <c r="I82" s="699" t="n"/>
      <c r="J82" s="699" t="n"/>
      <c r="K82" s="699" t="n"/>
      <c r="L82" s="699" t="inlineStr">
        <is>
          <t>R0086214</t>
        </is>
      </c>
      <c r="M82" s="699" t="inlineStr">
        <is>
          <t>Link Logistics</t>
        </is>
      </c>
      <c r="N82" s="699" t="inlineStr">
        <is>
          <t>08_2025 Review – Link Logistics actual P&amp;L</t>
        </is>
      </c>
      <c r="O82" s="699" t="inlineStr">
        <is>
          <t>2026-06-02</t>
        </is>
      </c>
      <c r="P82" s="699" t="inlineStr">
        <is>
          <t>Actual 2023+2024; very large — RE tax $2.2-2.4M; revenue $6.5-7M</t>
        </is>
      </c>
    </row>
    <row r="83">
      <c r="A83" s="698" t="inlineStr">
        <is>
          <t>P080</t>
        </is>
      </c>
      <c r="B83" s="695" t="n">
        <v>407</v>
      </c>
      <c r="C83" s="696" t="inlineStr">
        <is>
          <t>R0194277</t>
        </is>
      </c>
      <c r="D83" s="698" t="inlineStr">
        <is>
          <t>8251 Quintero St</t>
        </is>
      </c>
      <c r="E83" s="698" t="inlineStr">
        <is>
          <t>Commerce City</t>
        </is>
      </c>
      <c r="F83" s="698" t="inlineStr">
        <is>
          <t>CO</t>
        </is>
      </c>
      <c r="G83" s="698" t="inlineStr">
        <is>
          <t>Industrial</t>
        </is>
      </c>
      <c r="H83" s="698" t="inlineStr">
        <is>
          <t>Industrial Warehouse NNN</t>
        </is>
      </c>
      <c r="I83" s="698" t="n"/>
      <c r="J83" s="698" t="n"/>
      <c r="K83" s="698" t="n"/>
      <c r="L83" s="698" t="inlineStr">
        <is>
          <t>R0194277</t>
        </is>
      </c>
      <c r="M83" s="698" t="inlineStr">
        <is>
          <t>Becknell Industrial</t>
        </is>
      </c>
      <c r="N83" s="698" t="inlineStr">
        <is>
          <t>08_2025 Review – Becknell Industrial actual P&amp;L</t>
        </is>
      </c>
      <c r="O83" s="698" t="inlineStr">
        <is>
          <t>2026-06-02</t>
        </is>
      </c>
      <c r="P83" s="698" t="inlineStr">
        <is>
          <t>Actual accrual 2023+2024; large RE taxes ~$2M; snow $151-188k</t>
        </is>
      </c>
    </row>
    <row r="84">
      <c r="A84" s="699" t="inlineStr">
        <is>
          <t>P081</t>
        </is>
      </c>
      <c r="B84" s="695" t="n">
        <v>407</v>
      </c>
      <c r="C84" s="696" t="inlineStr">
        <is>
          <t>R0198176</t>
        </is>
      </c>
      <c r="D84" s="699" t="inlineStr">
        <is>
          <t>21800 E 19th Ave</t>
        </is>
      </c>
      <c r="E84" s="699" t="inlineStr">
        <is>
          <t>Aurora</t>
        </is>
      </c>
      <c r="F84" s="699" t="inlineStr">
        <is>
          <t>CO</t>
        </is>
      </c>
      <c r="G84" s="699" t="inlineStr">
        <is>
          <t>Industrial</t>
        </is>
      </c>
      <c r="H84" s="699" t="inlineStr">
        <is>
          <t>Industrial Warehouse NNN</t>
        </is>
      </c>
      <c r="I84" s="699" t="n"/>
      <c r="J84" s="699" t="n"/>
      <c r="K84" s="699" t="n"/>
      <c r="L84" s="699" t="inlineStr">
        <is>
          <t>R0198176</t>
        </is>
      </c>
      <c r="M84" s="699" t="inlineStr">
        <is>
          <t>Becknell Industrial</t>
        </is>
      </c>
      <c r="N84" s="699" t="inlineStr">
        <is>
          <t>08_2025 Review – Becknell Industrial actual P&amp;L</t>
        </is>
      </c>
      <c r="O84" s="699" t="inlineStr">
        <is>
          <t>2026-06-02</t>
        </is>
      </c>
      <c r="P84" s="699" t="inlineStr">
        <is>
          <t>Actual accrual 2023+2024; absolute NNN – tenant pays RE taxes directly</t>
        </is>
      </c>
    </row>
    <row r="85">
      <c r="A85" s="698" t="inlineStr">
        <is>
          <t>P082</t>
        </is>
      </c>
      <c r="B85" s="695" t="n">
        <v>407</v>
      </c>
      <c r="C85" s="696" t="inlineStr">
        <is>
          <t>R0201311</t>
        </is>
      </c>
      <c r="D85" s="698" t="inlineStr">
        <is>
          <t>Ascent Commerce Center Bldg I</t>
        </is>
      </c>
      <c r="E85" s="698" t="inlineStr">
        <is>
          <t>Aurora</t>
        </is>
      </c>
      <c r="F85" s="698" t="inlineStr">
        <is>
          <t>CO</t>
        </is>
      </c>
      <c r="G85" s="698" t="inlineStr">
        <is>
          <t>Industrial</t>
        </is>
      </c>
      <c r="H85" s="698" t="inlineStr">
        <is>
          <t>Industrial Warehouse NNN</t>
        </is>
      </c>
      <c r="I85" s="698" t="n"/>
      <c r="J85" s="698" t="n"/>
      <c r="K85" s="698" t="n"/>
      <c r="L85" s="698" t="inlineStr">
        <is>
          <t>R0201311</t>
        </is>
      </c>
      <c r="M85" s="698" t="inlineStr">
        <is>
          <t>Ambrose Property Group</t>
        </is>
      </c>
      <c r="N85" s="698" t="inlineStr">
        <is>
          <t>08_2025 Review – Ambrose Property Group actual P&amp;L</t>
        </is>
      </c>
      <c r="O85" s="698" t="inlineStr">
        <is>
          <t>2026-06-02</t>
        </is>
      </c>
      <c r="P85" s="698" t="inlineStr">
        <is>
          <t>Q4 2024 only (Oct–Dec); partial-year/lease-up; 3-bldg campus</t>
        </is>
      </c>
    </row>
    <row r="86">
      <c r="A86" s="699" t="inlineStr">
        <is>
          <t>P083</t>
        </is>
      </c>
      <c r="B86" s="695" t="n">
        <v>407</v>
      </c>
      <c r="C86" s="696" t="inlineStr">
        <is>
          <t>R0201311</t>
        </is>
      </c>
      <c r="D86" s="699" t="inlineStr">
        <is>
          <t>Ascent Commerce Center Bldg II</t>
        </is>
      </c>
      <c r="E86" s="699" t="inlineStr">
        <is>
          <t>Aurora</t>
        </is>
      </c>
      <c r="F86" s="699" t="inlineStr">
        <is>
          <t>CO</t>
        </is>
      </c>
      <c r="G86" s="699" t="inlineStr">
        <is>
          <t>Industrial</t>
        </is>
      </c>
      <c r="H86" s="699" t="inlineStr">
        <is>
          <t>Industrial Warehouse NNN</t>
        </is>
      </c>
      <c r="I86" s="699" t="n"/>
      <c r="J86" s="699" t="n"/>
      <c r="K86" s="699" t="n"/>
      <c r="L86" s="699" t="inlineStr">
        <is>
          <t>R0201311</t>
        </is>
      </c>
      <c r="M86" s="699" t="inlineStr">
        <is>
          <t>Ambrose Property Group</t>
        </is>
      </c>
      <c r="N86" s="699" t="inlineStr">
        <is>
          <t>08_2025 Review – Ambrose Property Group actual P&amp;L</t>
        </is>
      </c>
      <c r="O86" s="699" t="inlineStr">
        <is>
          <t>2026-06-02</t>
        </is>
      </c>
      <c r="P86" s="699" t="inlineStr">
        <is>
          <t>Q4 2024 only (Oct–Dec); partial-year/lease-up; same campus R0201311</t>
        </is>
      </c>
    </row>
    <row r="87">
      <c r="A87" s="698" t="inlineStr">
        <is>
          <t>P084</t>
        </is>
      </c>
      <c r="B87" s="695" t="n">
        <v>407</v>
      </c>
      <c r="C87" s="696" t="inlineStr">
        <is>
          <t>R0201311</t>
        </is>
      </c>
      <c r="D87" s="698" t="inlineStr">
        <is>
          <t>Ascent Commerce Center Bldg III</t>
        </is>
      </c>
      <c r="E87" s="698" t="inlineStr">
        <is>
          <t>Aurora</t>
        </is>
      </c>
      <c r="F87" s="698" t="inlineStr">
        <is>
          <t>CO</t>
        </is>
      </c>
      <c r="G87" s="698" t="inlineStr">
        <is>
          <t>Industrial</t>
        </is>
      </c>
      <c r="H87" s="698" t="inlineStr">
        <is>
          <t>Industrial Warehouse NNN</t>
        </is>
      </c>
      <c r="I87" s="698" t="n"/>
      <c r="J87" s="698" t="n"/>
      <c r="K87" s="698" t="n"/>
      <c r="L87" s="698" t="inlineStr">
        <is>
          <t>R0201311</t>
        </is>
      </c>
      <c r="M87" s="698" t="inlineStr">
        <is>
          <t>Ambrose Property Group</t>
        </is>
      </c>
      <c r="N87" s="698" t="inlineStr">
        <is>
          <t>08_2025 Review – Ambrose Property Group actual P&amp;L</t>
        </is>
      </c>
      <c r="O87" s="698" t="inlineStr">
        <is>
          <t>2026-06-02</t>
        </is>
      </c>
      <c r="P87" s="698" t="inlineStr">
        <is>
          <t>Q4 2024 only (Oct–Dec); lease-up/negative NOI; same campus R0201311</t>
        </is>
      </c>
    </row>
    <row r="88">
      <c r="A88" s="698" t="inlineStr">
        <is>
          <t>P085</t>
        </is>
      </c>
      <c r="B88" s="695" t="n">
        <v>210</v>
      </c>
      <c r="C88" s="696" t="inlineStr">
        <is>
          <t>R0093018</t>
        </is>
      </c>
      <c r="D88" s="698" t="inlineStr">
        <is>
          <t>3350 Peoria St</t>
        </is>
      </c>
      <c r="E88" s="698" t="inlineStr">
        <is>
          <t>Denver</t>
        </is>
      </c>
      <c r="F88" s="698" t="inlineStr">
        <is>
          <t>CO</t>
        </is>
      </c>
      <c r="G88" s="698" t="inlineStr">
        <is>
          <t>Industrial</t>
        </is>
      </c>
      <c r="H88" s="698" t="inlineStr">
        <is>
          <t>Office/Industrial Flex</t>
        </is>
      </c>
      <c r="I88" s="698" t="n"/>
      <c r="J88" s="698" t="n">
        <v>33057</v>
      </c>
      <c r="K88" s="698" t="n"/>
      <c r="L88" s="698" t="inlineStr">
        <is>
          <t>R0093018</t>
        </is>
      </c>
      <c r="M88" s="698" t="n"/>
      <c r="N88" s="698" t="inlineStr">
        <is>
          <t>Lease, Rent or Op Income info – owner P&amp;L 2024</t>
        </is>
      </c>
      <c r="O88" s="698" t="inlineStr">
        <is>
          <t>2026-06-03</t>
        </is>
      </c>
      <c r="P88" s="698" t="inlineStr">
        <is>
          <t>Office/Industrial flex; owner-submitted 2024 P&amp;L</t>
        </is>
      </c>
    </row>
    <row r="89">
      <c r="A89" s="699" t="inlineStr">
        <is>
          <t>P086</t>
        </is>
      </c>
      <c r="B89" s="695" t="n">
        <v>406</v>
      </c>
      <c r="C89" s="696" t="inlineStr">
        <is>
          <t>R0210684</t>
        </is>
      </c>
      <c r="D89" s="699" t="inlineStr">
        <is>
          <t>14200 E Moncrieff Place</t>
        </is>
      </c>
      <c r="E89" s="699" t="inlineStr">
        <is>
          <t>Aurora</t>
        </is>
      </c>
      <c r="F89" s="699" t="inlineStr">
        <is>
          <t>CO</t>
        </is>
      </c>
      <c r="G89" s="699" t="inlineStr">
        <is>
          <t>Industrial</t>
        </is>
      </c>
      <c r="H89" s="699" t="inlineStr">
        <is>
          <t>Industrial Warehouse</t>
        </is>
      </c>
      <c r="I89" s="699" t="n">
        <v>1980</v>
      </c>
      <c r="J89" s="699" t="n">
        <v>233808</v>
      </c>
      <c r="K89" s="699" t="n"/>
      <c r="L89" s="699" t="inlineStr">
        <is>
          <t>R0210684</t>
        </is>
      </c>
      <c r="M89" s="699" t="n"/>
      <c r="N89" s="699" t="inlineStr">
        <is>
          <t>Lease, Rent or Op Income info – owner P&amp;L 2023+2024</t>
        </is>
      </c>
      <c r="O89" s="699" t="inlineStr">
        <is>
          <t>2026-06-03</t>
        </is>
      </c>
      <c r="P89" s="699" t="inlineStr">
        <is>
          <t>Large industrial; 1980 YOC; 233,808 SF</t>
        </is>
      </c>
    </row>
    <row r="90">
      <c r="A90" s="698" t="inlineStr">
        <is>
          <t>P087</t>
        </is>
      </c>
      <c r="B90" s="695" t="n">
        <v>407</v>
      </c>
      <c r="C90" s="696" t="inlineStr">
        <is>
          <t>R0102985</t>
        </is>
      </c>
      <c r="D90" s="698" t="inlineStr">
        <is>
          <t>5861 Tennyson St</t>
        </is>
      </c>
      <c r="E90" s="698" t="inlineStr">
        <is>
          <t>Arvada</t>
        </is>
      </c>
      <c r="F90" s="698" t="inlineStr">
        <is>
          <t>CO</t>
        </is>
      </c>
      <c r="G90" s="698" t="inlineStr">
        <is>
          <t>Industrial</t>
        </is>
      </c>
      <c r="H90" s="698" t="inlineStr">
        <is>
          <t>Industrial NNN</t>
        </is>
      </c>
      <c r="I90" s="698" t="n">
        <v>2000</v>
      </c>
      <c r="J90" s="698" t="n">
        <v>80640</v>
      </c>
      <c r="K90" s="698" t="n"/>
      <c r="L90" s="698" t="inlineStr">
        <is>
          <t>R0102985</t>
        </is>
      </c>
      <c r="M90" s="698" t="n"/>
      <c r="N90" s="698" t="inlineStr">
        <is>
          <t>Lease, Rent or Op Income info – owner P&amp;L 2023+2024</t>
        </is>
      </c>
      <c r="O90" s="698" t="inlineStr">
        <is>
          <t>2026-06-03</t>
        </is>
      </c>
      <c r="P90" s="698" t="inlineStr">
        <is>
          <t>NNN; landlord expenses only (tenant pays RE tax); 2000 YOC</t>
        </is>
      </c>
    </row>
    <row r="91">
      <c r="A91" s="699" t="inlineStr">
        <is>
          <t>P088</t>
        </is>
      </c>
      <c r="B91" s="695" t="n">
        <v>210</v>
      </c>
      <c r="C91" s="696" t="inlineStr">
        <is>
          <t>R0090973</t>
        </is>
      </c>
      <c r="D91" s="699" t="inlineStr">
        <is>
          <t>3975 E 56th Ave</t>
        </is>
      </c>
      <c r="E91" s="699" t="inlineStr">
        <is>
          <t>Commerce City</t>
        </is>
      </c>
      <c r="F91" s="699" t="inlineStr">
        <is>
          <t>CO</t>
        </is>
      </c>
      <c r="G91" s="699" t="inlineStr">
        <is>
          <t>Industrial</t>
        </is>
      </c>
      <c r="H91" s="699" t="inlineStr">
        <is>
          <t>Multi-Tenant Industrial</t>
        </is>
      </c>
      <c r="I91" s="699" t="n"/>
      <c r="J91" s="699" t="n">
        <v>42299</v>
      </c>
      <c r="K91" s="699" t="n"/>
      <c r="L91" s="699" t="inlineStr">
        <is>
          <t>R0090973</t>
        </is>
      </c>
      <c r="M91" s="699" t="n"/>
      <c r="N91" s="699" t="inlineStr">
        <is>
          <t>Lease, Rent or Op Income info – owner P&amp;L 2024</t>
        </is>
      </c>
      <c r="O91" s="699" t="inlineStr">
        <is>
          <t>2026-06-03</t>
        </is>
      </c>
      <c r="P91" s="699" t="inlineStr">
        <is>
          <t>Sand Creek Business Park; 2024 only</t>
        </is>
      </c>
    </row>
    <row r="92">
      <c r="A92" s="698" t="inlineStr">
        <is>
          <t>P089</t>
        </is>
      </c>
      <c r="B92" s="695" t="n">
        <v>407</v>
      </c>
      <c r="C92" s="696" t="inlineStr">
        <is>
          <t>R0180951</t>
        </is>
      </c>
      <c r="D92" s="698" t="inlineStr">
        <is>
          <t>(Address TBD – R0180951)</t>
        </is>
      </c>
      <c r="E92" s="698" t="inlineStr">
        <is>
          <t>Adams County</t>
        </is>
      </c>
      <c r="F92" s="698" t="inlineStr">
        <is>
          <t>CO</t>
        </is>
      </c>
      <c r="G92" s="698" t="inlineStr">
        <is>
          <t>Industrial</t>
        </is>
      </c>
      <c r="H92" s="698" t="inlineStr">
        <is>
          <t>Industrial NNN</t>
        </is>
      </c>
      <c r="I92" s="698" t="n">
        <v>2016</v>
      </c>
      <c r="J92" s="698" t="n">
        <v>122106</v>
      </c>
      <c r="K92" s="698" t="n"/>
      <c r="L92" s="698" t="inlineStr">
        <is>
          <t>R0180951</t>
        </is>
      </c>
      <c r="M92" s="698" t="n"/>
      <c r="N92" s="698" t="inlineStr">
        <is>
          <t>WH Expenses 2026-Working File – NNN landlord expenses 2023+2024</t>
        </is>
      </c>
      <c r="O92" s="698" t="inlineStr">
        <is>
          <t>2026-06-03</t>
        </is>
      </c>
      <c r="P92" s="698" t="inlineStr">
        <is>
          <t>NNN; landlord RE Tax, Ins, Utils, CAM only; 2023+2024</t>
        </is>
      </c>
    </row>
    <row r="93">
      <c r="A93" s="699" t="inlineStr">
        <is>
          <t>P090</t>
        </is>
      </c>
      <c r="B93" s="695" t="n">
        <v>407</v>
      </c>
      <c r="C93" s="696" t="inlineStr">
        <is>
          <t>R0110351</t>
        </is>
      </c>
      <c r="D93" s="699" t="inlineStr">
        <is>
          <t>(Address TBD – R0110351)</t>
        </is>
      </c>
      <c r="E93" s="699" t="inlineStr">
        <is>
          <t>Adams County</t>
        </is>
      </c>
      <c r="F93" s="699" t="inlineStr">
        <is>
          <t>CO</t>
        </is>
      </c>
      <c r="G93" s="699" t="inlineStr">
        <is>
          <t>Industrial</t>
        </is>
      </c>
      <c r="H93" s="699" t="inlineStr">
        <is>
          <t>Industrial NNN</t>
        </is>
      </c>
      <c r="I93" s="699" t="n">
        <v>2000</v>
      </c>
      <c r="J93" s="699" t="n">
        <v>85200</v>
      </c>
      <c r="K93" s="699" t="n"/>
      <c r="L93" s="699" t="inlineStr">
        <is>
          <t>R0110351</t>
        </is>
      </c>
      <c r="M93" s="699" t="n"/>
      <c r="N93" s="699" t="inlineStr">
        <is>
          <t>WH Expenses 2026-Working File – NNN landlord expenses 2023+2024</t>
        </is>
      </c>
      <c r="O93" s="699" t="inlineStr">
        <is>
          <t>2026-06-03</t>
        </is>
      </c>
      <c r="P93" s="699" t="inlineStr">
        <is>
          <t>NNN; landlord RE Tax, Ins, CAM only; 2023+2024</t>
        </is>
      </c>
    </row>
    <row r="94">
      <c r="A94" s="698" t="inlineStr">
        <is>
          <t>P091</t>
        </is>
      </c>
      <c r="B94" s="695" t="n">
        <v>584</v>
      </c>
      <c r="C94" s="696" t="inlineStr">
        <is>
          <t>R0198530</t>
        </is>
      </c>
      <c r="D94" s="698" t="inlineStr">
        <is>
          <t>(Address TBD – R0198530)</t>
        </is>
      </c>
      <c r="E94" s="698" t="inlineStr">
        <is>
          <t>Adams County</t>
        </is>
      </c>
      <c r="F94" s="698" t="inlineStr">
        <is>
          <t>CO</t>
        </is>
      </c>
      <c r="G94" s="698" t="inlineStr">
        <is>
          <t>Industrial</t>
        </is>
      </c>
      <c r="H94" s="698" t="inlineStr">
        <is>
          <t>Industrial Mega-Warehouse NNN</t>
        </is>
      </c>
      <c r="I94" s="698" t="n">
        <v>2019</v>
      </c>
      <c r="J94" s="698" t="n">
        <v>555867</v>
      </c>
      <c r="K94" s="698" t="n"/>
      <c r="L94" s="698" t="inlineStr">
        <is>
          <t>R0198530</t>
        </is>
      </c>
      <c r="M94" s="698" t="n"/>
      <c r="N94" s="698" t="inlineStr">
        <is>
          <t>WH Expenses 2026-Working File – NNN landlord expenses 2024</t>
        </is>
      </c>
      <c r="O94" s="698" t="inlineStr">
        <is>
          <t>2026-06-03</t>
        </is>
      </c>
      <c r="P94" s="698" t="inlineStr">
        <is>
          <t>Mega-warehouse; NNN; landlord RE Tax, Ins, Mgmt only; 2024</t>
        </is>
      </c>
    </row>
    <row r="95">
      <c r="A95" s="699" t="inlineStr">
        <is>
          <t>P092</t>
        </is>
      </c>
      <c r="B95" s="695" t="n">
        <v>447</v>
      </c>
      <c r="C95" s="696" t="inlineStr">
        <is>
          <t>R0180834</t>
        </is>
      </c>
      <c r="D95" s="699" t="inlineStr">
        <is>
          <t>(Address TBD – R0180834)</t>
        </is>
      </c>
      <c r="E95" s="699" t="inlineStr">
        <is>
          <t>Adams County</t>
        </is>
      </c>
      <c r="F95" s="699" t="inlineStr">
        <is>
          <t>CO</t>
        </is>
      </c>
      <c r="G95" s="699" t="inlineStr">
        <is>
          <t>Industrial</t>
        </is>
      </c>
      <c r="H95" s="699" t="inlineStr">
        <is>
          <t>Cold Storage/Mega-Warehouse NNN</t>
        </is>
      </c>
      <c r="I95" s="699" t="n">
        <v>2012</v>
      </c>
      <c r="J95" s="699" t="n">
        <v>550031</v>
      </c>
      <c r="K95" s="699" t="n"/>
      <c r="L95" s="699" t="inlineStr">
        <is>
          <t>R0180834</t>
        </is>
      </c>
      <c r="M95" s="699" t="n"/>
      <c r="N95" s="699" t="inlineStr">
        <is>
          <t>WH Expenses 2026-Working File – NNN landlord expenses 2024</t>
        </is>
      </c>
      <c r="O95" s="699" t="inlineStr">
        <is>
          <t>2026-06-03</t>
        </is>
      </c>
      <c r="P95" s="699" t="inlineStr">
        <is>
          <t>Cold storage/mega-WH; NNN; 2012 YOC; landlord RE Tax, Ins, Mgmt only</t>
        </is>
      </c>
    </row>
    <row r="96">
      <c r="A96" s="698" t="inlineStr">
        <is>
          <t>P093</t>
        </is>
      </c>
      <c r="B96" s="695" t="n">
        <v>407</v>
      </c>
      <c r="C96" s="696" t="inlineStr">
        <is>
          <t>R0114792</t>
        </is>
      </c>
      <c r="D96" s="698" t="inlineStr">
        <is>
          <t>(Address TBD – R0114792)</t>
        </is>
      </c>
      <c r="E96" s="698" t="inlineStr">
        <is>
          <t>Adams County</t>
        </is>
      </c>
      <c r="F96" s="698" t="inlineStr">
        <is>
          <t>CO</t>
        </is>
      </c>
      <c r="G96" s="698" t="inlineStr">
        <is>
          <t>Industrial</t>
        </is>
      </c>
      <c r="H96" s="698" t="inlineStr">
        <is>
          <t>Industrial NNN</t>
        </is>
      </c>
      <c r="I96" s="698" t="n">
        <v>1998</v>
      </c>
      <c r="J96" s="698" t="n">
        <v>64501</v>
      </c>
      <c r="K96" s="698" t="n"/>
      <c r="L96" s="698" t="inlineStr">
        <is>
          <t>R0114792</t>
        </is>
      </c>
      <c r="M96" s="698" t="n"/>
      <c r="N96" s="698" t="inlineStr">
        <is>
          <t>WH Expenses 2026-Working File – NNN landlord expenses 2023+2024</t>
        </is>
      </c>
      <c r="O96" s="698" t="inlineStr">
        <is>
          <t>2026-06-03</t>
        </is>
      </c>
      <c r="P96" s="698" t="inlineStr">
        <is>
          <t>NNN; landlord RE Tax, Ins, Mgmt only; 1998 YOC</t>
        </is>
      </c>
    </row>
    <row r="97">
      <c r="A97" s="698" t="inlineStr">
        <is>
          <t>P094</t>
        </is>
      </c>
      <c r="B97" s="695" t="n">
        <v>407</v>
      </c>
      <c r="C97" s="696" t="inlineStr">
        <is>
          <t>R0104122</t>
        </is>
      </c>
      <c r="D97" s="698" t="inlineStr">
        <is>
          <t>550 W 53rd Pl</t>
        </is>
      </c>
      <c r="E97" s="698" t="inlineStr">
        <is>
          <t>Denver</t>
        </is>
      </c>
      <c r="F97" s="698" t="inlineStr">
        <is>
          <t>CO</t>
        </is>
      </c>
      <c r="G97" s="698" t="inlineStr">
        <is>
          <t>Industrial</t>
        </is>
      </c>
      <c r="H97" s="698" t="inlineStr">
        <is>
          <t>Distribution Warehouse</t>
        </is>
      </c>
      <c r="I97" s="698" t="n">
        <v>1971</v>
      </c>
      <c r="J97" s="698" t="n">
        <v>127900</v>
      </c>
      <c r="K97" s="698" t="n"/>
      <c r="L97" s="698" t="inlineStr">
        <is>
          <t>R0104122</t>
        </is>
      </c>
      <c r="M97" s="698" t="n"/>
      <c r="N97" s="698" t="inlineStr">
        <is>
          <t>Brad-CBOE 2024 – appraiser income approach pro forma</t>
        </is>
      </c>
      <c r="O97" s="698" t="inlineStr">
        <is>
          <t>2026-06-03</t>
        </is>
      </c>
      <c r="P97" s="698" t="inlineStr">
        <is>
          <t>YOC 1971 (remod 1999/eff 1985); 127,900 SF; 2024 CBOE abatement income approach</t>
        </is>
      </c>
    </row>
    <row r="98">
      <c r="A98" s="699" t="inlineStr">
        <is>
          <t>P095</t>
        </is>
      </c>
      <c r="B98" s="695" t="n">
        <v>386</v>
      </c>
      <c r="C98" s="696" t="inlineStr">
        <is>
          <t>R0086010</t>
        </is>
      </c>
      <c r="D98" s="699" t="inlineStr">
        <is>
          <t>15413 E 18th Ave</t>
        </is>
      </c>
      <c r="E98" s="699" t="inlineStr">
        <is>
          <t>Aurora</t>
        </is>
      </c>
      <c r="F98" s="699" t="inlineStr">
        <is>
          <t>CO</t>
        </is>
      </c>
      <c r="G98" s="699" t="inlineStr">
        <is>
          <t>Self-Storage</t>
        </is>
      </c>
      <c r="H98" s="699" t="inlineStr">
        <is>
          <t>Self-Storage</t>
        </is>
      </c>
      <c r="I98" s="699" t="n">
        <v>1984</v>
      </c>
      <c r="J98" s="699" t="n">
        <v>63989</v>
      </c>
      <c r="K98" s="699" t="n"/>
      <c r="L98" s="699" t="inlineStr">
        <is>
          <t>R0086010</t>
        </is>
      </c>
      <c r="M98" s="699" t="n"/>
      <c r="N98" s="699" t="inlineStr">
        <is>
          <t>AXG CBOE 2024 – appraiser income approach pro forma</t>
        </is>
      </c>
      <c r="O98" s="699" t="inlineStr">
        <is>
          <t>2026-06-03</t>
        </is>
      </c>
      <c r="P98" s="699" t="inlineStr">
        <is>
          <t>8 buildings; NRA 57,754 SF; GBA 63,989 SF; 1984 YOC</t>
        </is>
      </c>
    </row>
    <row r="99">
      <c r="A99" s="698" t="inlineStr">
        <is>
          <t>P096</t>
        </is>
      </c>
      <c r="B99" s="695" t="n">
        <v>407</v>
      </c>
      <c r="C99" s="696" t="inlineStr">
        <is>
          <t>R0083917</t>
        </is>
      </c>
      <c r="D99" s="698" t="inlineStr">
        <is>
          <t>14701 E 38th Ave</t>
        </is>
      </c>
      <c r="E99" s="698" t="inlineStr">
        <is>
          <t>Aurora</t>
        </is>
      </c>
      <c r="F99" s="698" t="inlineStr">
        <is>
          <t>CO</t>
        </is>
      </c>
      <c r="G99" s="698" t="inlineStr">
        <is>
          <t>Industrial</t>
        </is>
      </c>
      <c r="H99" s="698" t="inlineStr">
        <is>
          <t>Industrial Owner-User</t>
        </is>
      </c>
      <c r="I99" s="698" t="n"/>
      <c r="J99" s="698" t="n">
        <v>117280</v>
      </c>
      <c r="K99" s="698" t="n"/>
      <c r="L99" s="698" t="inlineStr">
        <is>
          <t>R0083917</t>
        </is>
      </c>
      <c r="M99" s="698" t="n"/>
      <c r="N99" s="698" t="inlineStr">
        <is>
          <t>MT.xlsx I&amp;E Survey 2024</t>
        </is>
      </c>
      <c r="O99" s="698" t="inlineStr">
        <is>
          <t>2026-06-03</t>
        </is>
      </c>
      <c r="P99" s="698" t="inlineStr">
        <is>
          <t>Owner-user; expenses may include non-RE items (flag); 117,280 SF</t>
        </is>
      </c>
    </row>
    <row r="100">
      <c r="A100" s="699" t="inlineStr">
        <is>
          <t>P097</t>
        </is>
      </c>
      <c r="B100" s="695" t="n">
        <v>210</v>
      </c>
      <c r="C100" s="696" t="inlineStr">
        <is>
          <t>R0137586</t>
        </is>
      </c>
      <c r="D100" s="699" t="inlineStr">
        <is>
          <t>7273-7285 E 96th Ave</t>
        </is>
      </c>
      <c r="E100" s="699" t="inlineStr">
        <is>
          <t>Commerce City</t>
        </is>
      </c>
      <c r="F100" s="699" t="inlineStr">
        <is>
          <t>CO</t>
        </is>
      </c>
      <c r="G100" s="699" t="inlineStr">
        <is>
          <t>Industrial</t>
        </is>
      </c>
      <c r="H100" s="699" t="inlineStr">
        <is>
          <t>Multi-Tenant Industrial</t>
        </is>
      </c>
      <c r="I100" s="699" t="n"/>
      <c r="J100" s="699" t="n">
        <v>57200</v>
      </c>
      <c r="K100" s="699" t="n"/>
      <c r="L100" s="699" t="inlineStr">
        <is>
          <t>R0137586</t>
        </is>
      </c>
      <c r="M100" s="699" t="n"/>
      <c r="N100" s="699" t="inlineStr">
        <is>
          <t>MT.xlsx I&amp;E Survey 2023</t>
        </is>
      </c>
      <c r="O100" s="699" t="inlineStr">
        <is>
          <t>2026-06-03</t>
        </is>
      </c>
      <c r="P100" s="699" t="inlineStr">
        <is>
          <t>Modified lease; 57,200 SF; 2023 survey data</t>
        </is>
      </c>
    </row>
    <row r="101">
      <c r="A101" s="698" t="inlineStr">
        <is>
          <t>P098</t>
        </is>
      </c>
      <c r="B101" s="695" t="n">
        <v>210</v>
      </c>
      <c r="C101" s="696" t="inlineStr">
        <is>
          <t>R0187010</t>
        </is>
      </c>
      <c r="D101" s="698" t="inlineStr">
        <is>
          <t>8020 Steele St</t>
        </is>
      </c>
      <c r="E101" s="698" t="inlineStr">
        <is>
          <t>Denver</t>
        </is>
      </c>
      <c r="F101" s="698" t="inlineStr">
        <is>
          <t>CO</t>
        </is>
      </c>
      <c r="G101" s="698" t="inlineStr">
        <is>
          <t>Industrial</t>
        </is>
      </c>
      <c r="H101" s="698" t="inlineStr">
        <is>
          <t>Industrial Modified Gross</t>
        </is>
      </c>
      <c r="I101" s="698" t="n"/>
      <c r="J101" s="698" t="n">
        <v>70000</v>
      </c>
      <c r="K101" s="698" t="n"/>
      <c r="L101" s="698" t="inlineStr">
        <is>
          <t>R0187010</t>
        </is>
      </c>
      <c r="M101" s="698" t="n"/>
      <c r="N101" s="698" t="inlineStr">
        <is>
          <t>MT.xlsx I&amp;E Survey 2024</t>
        </is>
      </c>
      <c r="O101" s="698" t="inlineStr">
        <is>
          <t>2026-06-03</t>
        </is>
      </c>
      <c r="P101" s="698" t="inlineStr">
        <is>
          <t>Modified gross; owner pays ins/R&amp;M/mgmt; tenant pays utils/trash; 70,000 SF</t>
        </is>
      </c>
    </row>
    <row r="102">
      <c r="A102" s="699" t="inlineStr">
        <is>
          <t>P099</t>
        </is>
      </c>
      <c r="B102" s="695" t="n">
        <v>210</v>
      </c>
      <c r="C102" s="696" t="inlineStr">
        <is>
          <t>R0111914</t>
        </is>
      </c>
      <c r="D102" s="699" t="inlineStr">
        <is>
          <t>1963 Jasper St</t>
        </is>
      </c>
      <c r="E102" s="699" t="inlineStr">
        <is>
          <t>Aurora</t>
        </is>
      </c>
      <c r="F102" s="699" t="inlineStr">
        <is>
          <t>CO</t>
        </is>
      </c>
      <c r="G102" s="699" t="inlineStr">
        <is>
          <t>Industrial</t>
        </is>
      </c>
      <c r="H102" s="699" t="inlineStr">
        <is>
          <t>Multi-Tenant Industrial Gross</t>
        </is>
      </c>
      <c r="I102" s="699" t="n"/>
      <c r="J102" s="699" t="n">
        <v>33574</v>
      </c>
      <c r="K102" s="699" t="n"/>
      <c r="L102" s="699" t="inlineStr">
        <is>
          <t>R0111914</t>
        </is>
      </c>
      <c r="M102" s="699" t="n"/>
      <c r="N102" s="699" t="inlineStr">
        <is>
          <t>MT.xlsx I&amp;E Survey 2024</t>
        </is>
      </c>
      <c r="O102" s="699" t="inlineStr">
        <is>
          <t>2026-06-03</t>
        </is>
      </c>
      <c r="P102" s="699" t="inlineStr">
        <is>
          <t>Gross lease; owner pays all expenses except gas/elec; 33,574 SF</t>
        </is>
      </c>
    </row>
    <row r="103">
      <c r="A103" s="698" t="inlineStr">
        <is>
          <t>P100</t>
        </is>
      </c>
      <c r="B103" s="695" t="n">
        <v>1332</v>
      </c>
      <c r="C103" s="696" t="inlineStr">
        <is>
          <t>R0111965</t>
        </is>
      </c>
      <c r="D103" s="698" t="inlineStr">
        <is>
          <t>12101 Grant St</t>
        </is>
      </c>
      <c r="E103" s="698" t="inlineStr">
        <is>
          <t>Thornton</t>
        </is>
      </c>
      <c r="F103" s="698" t="inlineStr">
        <is>
          <t>CO</t>
        </is>
      </c>
      <c r="G103" s="698" t="inlineStr">
        <is>
          <t>Hospitality</t>
        </is>
      </c>
      <c r="H103" s="698" t="inlineStr">
        <is>
          <t>Hotel Limited Service</t>
        </is>
      </c>
      <c r="I103" s="698" t="n">
        <v>1998</v>
      </c>
      <c r="J103" s="698" t="n"/>
      <c r="K103" s="698" t="n"/>
      <c r="L103" s="698" t="inlineStr">
        <is>
          <t>R0111965</t>
        </is>
      </c>
      <c r="M103" s="698" t="n"/>
      <c r="N103" s="698" t="inlineStr">
        <is>
          <t>AXG CBOE 2024 – appraiser Rushmore income approach</t>
        </is>
      </c>
      <c r="O103" s="698" t="inlineStr">
        <is>
          <t>2026-06-03</t>
        </is>
      </c>
      <c r="P103" s="698" t="inlineStr">
        <is>
          <t>100 rooms; 1998 YOC; 2024 CBOE; ADR $115/occ 70%</t>
        </is>
      </c>
    </row>
    <row r="104">
      <c r="A104" s="699" t="inlineStr">
        <is>
          <t>P101</t>
        </is>
      </c>
      <c r="B104" s="695" t="n">
        <v>332</v>
      </c>
      <c r="C104" s="696" t="inlineStr">
        <is>
          <t>R0202410</t>
        </is>
      </c>
      <c r="D104" s="699" t="inlineStr">
        <is>
          <t>2556 Oswego St</t>
        </is>
      </c>
      <c r="E104" s="699" t="inlineStr">
        <is>
          <t>Aurora</t>
        </is>
      </c>
      <c r="F104" s="699" t="inlineStr">
        <is>
          <t>CO</t>
        </is>
      </c>
      <c r="G104" s="699" t="inlineStr">
        <is>
          <t>Hospitality</t>
        </is>
      </c>
      <c r="H104" s="699" t="inlineStr">
        <is>
          <t>Hotel Full Service</t>
        </is>
      </c>
      <c r="I104" s="699" t="n">
        <v>2023</v>
      </c>
      <c r="J104" s="699" t="n"/>
      <c r="K104" s="699" t="n"/>
      <c r="L104" s="699" t="inlineStr">
        <is>
          <t>R0202410</t>
        </is>
      </c>
      <c r="M104" s="699" t="n"/>
      <c r="N104" s="699" t="inlineStr">
        <is>
          <t>AXG CBOE 2024 – appraiser Rushmore income approach</t>
        </is>
      </c>
      <c r="O104" s="699" t="inlineStr">
        <is>
          <t>2026-06-03</t>
        </is>
      </c>
      <c r="P104" s="699" t="inlineStr">
        <is>
          <t>227 rooms; built 2023; 2024 CBOE; ADR $140/occ 70%</t>
        </is>
      </c>
    </row>
    <row r="105">
      <c r="A105" s="698" t="inlineStr">
        <is>
          <t>P102</t>
        </is>
      </c>
      <c r="B105" s="695" t="n">
        <v>332</v>
      </c>
      <c r="C105" s="696" t="inlineStr">
        <is>
          <t>R0024498</t>
        </is>
      </c>
      <c r="D105" s="698" t="inlineStr">
        <is>
          <t>83 E 120th Ave</t>
        </is>
      </c>
      <c r="E105" s="698" t="inlineStr">
        <is>
          <t>Thornton</t>
        </is>
      </c>
      <c r="F105" s="698" t="inlineStr">
        <is>
          <t>CO</t>
        </is>
      </c>
      <c r="G105" s="698" t="inlineStr">
        <is>
          <t>Hospitality</t>
        </is>
      </c>
      <c r="H105" s="698" t="inlineStr">
        <is>
          <t>Hotel Full Service</t>
        </is>
      </c>
      <c r="I105" s="698" t="n">
        <v>1984</v>
      </c>
      <c r="J105" s="698" t="n">
        <v>114796</v>
      </c>
      <c r="K105" s="698" t="n"/>
      <c r="L105" s="698" t="inlineStr">
        <is>
          <t>R0024498</t>
        </is>
      </c>
      <c r="M105" s="698" t="n"/>
      <c r="N105" s="698" t="inlineStr">
        <is>
          <t>AXG CBOE 2024 – appraiser Rushmore income approach</t>
        </is>
      </c>
      <c r="O105" s="698" t="inlineStr">
        <is>
          <t>2026-06-03</t>
        </is>
      </c>
      <c r="P105" s="698" t="inlineStr">
        <is>
          <t>137 rooms; 114,796 SF GBA; 2 bldgs; 1984 YOC; ADR $142/occ 70%</t>
        </is>
      </c>
    </row>
    <row r="106">
      <c r="A106" s="699" t="inlineStr">
        <is>
          <t>P103</t>
        </is>
      </c>
      <c r="B106" s="695" t="n">
        <v>407</v>
      </c>
      <c r="C106" s="696" t="inlineStr">
        <is>
          <t>R0075212</t>
        </is>
      </c>
      <c r="D106" s="699" t="inlineStr">
        <is>
          <t>10500 Havana Ct</t>
        </is>
      </c>
      <c r="E106" s="699" t="inlineStr">
        <is>
          <t>Commerce City</t>
        </is>
      </c>
      <c r="F106" s="699" t="inlineStr">
        <is>
          <t>CO</t>
        </is>
      </c>
      <c r="G106" s="699" t="inlineStr">
        <is>
          <t>Industrial</t>
        </is>
      </c>
      <c r="H106" s="699" t="inlineStr">
        <is>
          <t>Industrial NNN</t>
        </is>
      </c>
      <c r="I106" s="699" t="n"/>
      <c r="J106" s="699" t="n">
        <v>30000</v>
      </c>
      <c r="K106" s="699" t="n"/>
      <c r="L106" s="699" t="inlineStr">
        <is>
          <t>R0075212</t>
        </is>
      </c>
      <c r="M106" s="699" t="n"/>
      <c r="N106" s="699" t="inlineStr">
        <is>
          <t>MT.xlsx I&amp;E Survey 2024</t>
        </is>
      </c>
      <c r="O106" s="699" t="inlineStr">
        <is>
          <t>2026-06-03</t>
        </is>
      </c>
      <c r="P106" s="699" t="inlineStr">
        <is>
          <t>NNN; full expense survey; 30,000 SF</t>
        </is>
      </c>
    </row>
    <row r="107">
      <c r="A107" t="inlineStr">
        <is>
          <t>P104</t>
        </is>
      </c>
      <c r="B107" s="695" t="n">
        <v>210</v>
      </c>
      <c r="C107" t="inlineStr">
        <is>
          <t>R0226379</t>
        </is>
      </c>
      <c r="D107" t="inlineStr">
        <is>
          <t>26100 E 68th Ave</t>
        </is>
      </c>
      <c r="E107" t="inlineStr">
        <is>
          <t>Aurora</t>
        </is>
      </c>
      <c r="F107" t="inlineStr">
        <is>
          <t>CO</t>
        </is>
      </c>
      <c r="G107" t="inlineStr">
        <is>
          <t>Industrial</t>
        </is>
      </c>
      <c r="H107" t="inlineStr">
        <is>
          <t>Industrial Multi-Tenant</t>
        </is>
      </c>
      <c r="J107" t="n">
        <v>187720</v>
      </c>
      <c r="L107" t="inlineStr">
        <is>
          <t>R0226379</t>
        </is>
      </c>
      <c r="M107" t="inlineStr">
        <is>
          <t>Green Industrial Development Group (.ptg)</t>
        </is>
      </c>
      <c r="N107" t="inlineStr">
        <is>
          <t>Owner Income Statement 2023 &amp; 2024</t>
        </is>
      </c>
      <c r="O107" t="inlineStr">
        <is>
          <t>2026-06-03</t>
        </is>
      </c>
      <c r="P107" t="inlineStr">
        <is>
          <t>Building 1; Filing 3 Block 1 Lot 1; CAM reimb + TBB structure; SF unknown; 2023-2024 actuals</t>
        </is>
      </c>
    </row>
  </sheetData>
  <mergeCells count="2">
    <mergeCell ref="A2:N2"/>
    <mergeCell ref="A1:N1"/>
  </mergeCells>
  <pageMargins left="0.75" right="0.75" top="1" bottom="1" header="0.5" footer="0.5"/>
</worksheet>
</file>

<file path=xl/worksheets/sheet16.xml><?xml version="1.0" encoding="utf-8"?>
<worksheet xmlns="http://schemas.openxmlformats.org/spreadsheetml/2006/main">
  <sheetPr>
    <tabColor rgb="007030A0"/>
    <outlinePr summaryBelow="1" summaryRight="1"/>
    <pageSetUpPr/>
  </sheetPr>
  <dimension ref="A1:AO19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9" customWidth="1" min="12" max="12"/>
    <col width="45" customWidth="1" min="39" max="39"/>
    <col hidden="1" width="13" customWidth="1" min="40" max="40"/>
    <col hidden="1" width="13" customWidth="1" min="41" max="41"/>
  </cols>
  <sheetData>
    <row r="1" ht="24" customHeight="1">
      <c r="A1" s="700" t="inlineStr">
        <is>
          <t>COMMERCIAL PROPERTY EXPENSE DATABASE ? ANNUAL DETAIL</t>
        </is>
      </c>
    </row>
    <row r="2" ht="15.95" customHeight="1">
      <c r="A2" s="691" t="inlineStr">
        <is>
          <t>One row per property per year | All dollar figures from owner P&amp;L unless noted | $/SF = $ / Building SF</t>
        </is>
      </c>
    </row>
    <row r="3" ht="42" customHeight="1">
      <c r="A3" s="692" t="inlineStr">
        <is>
          <t>Prop ID</t>
        </is>
      </c>
      <c r="B3" s="693" t="inlineStr">
        <is>
          <t>Occ Code</t>
        </is>
      </c>
      <c r="C3" s="701" t="inlineStr">
        <is>
          <t>Account #</t>
        </is>
      </c>
      <c r="D3" s="692" t="inlineStr">
        <is>
          <t>Address</t>
        </is>
      </c>
      <c r="E3" s="692" t="inlineStr">
        <is>
          <t>City</t>
        </is>
      </c>
      <c r="F3" s="692" t="inlineStr">
        <is>
          <t>State</t>
        </is>
      </c>
      <c r="G3" s="692" t="inlineStr">
        <is>
          <t>Prop Type</t>
        </is>
      </c>
      <c r="H3" s="692" t="inlineStr">
        <is>
          <t>Subtype</t>
        </is>
      </c>
      <c r="I3" s="692" t="inlineStr">
        <is>
          <t>Year Built</t>
        </is>
      </c>
      <c r="J3" s="692" t="inlineStr">
        <is>
          <t>Bldg SF</t>
        </is>
      </c>
      <c r="K3" s="692" t="inlineStr">
        <is>
          <t>Year</t>
        </is>
      </c>
      <c r="L3" s="692" t="inlineStr">
        <is>
          <t>Gross Rental Income</t>
        </is>
      </c>
      <c r="M3" s="692" t="inlineStr">
        <is>
          <t>Other Income</t>
        </is>
      </c>
      <c r="N3" s="692" t="inlineStr">
        <is>
          <t>EGI</t>
        </is>
      </c>
      <c r="O3" s="692" t="inlineStr">
        <is>
          <t>Insurance</t>
        </is>
      </c>
      <c r="P3" s="692" t="inlineStr">
        <is>
          <t>Mgmt/Admin</t>
        </is>
      </c>
      <c r="Q3" s="692" t="inlineStr">
        <is>
          <t>Plumbing R&amp;M</t>
        </is>
      </c>
      <c r="R3" s="692" t="inlineStr">
        <is>
          <t>Electrical R&amp;M</t>
        </is>
      </c>
      <c r="S3" s="692" t="inlineStr">
        <is>
          <t>Exterior R&amp;M</t>
        </is>
      </c>
      <c r="T3" s="692" t="inlineStr">
        <is>
          <t>Fire/Life Safety R&amp;M</t>
        </is>
      </c>
      <c r="U3" s="692" t="inlineStr">
        <is>
          <t>HVAC R&amp;M</t>
        </is>
      </c>
      <c r="V3" s="692" t="inlineStr">
        <is>
          <t>Interior Unit R&amp;M</t>
        </is>
      </c>
      <c r="W3" s="692" t="inlineStr">
        <is>
          <t>Interior Common R&amp;M</t>
        </is>
      </c>
      <c r="X3" s="692" t="inlineStr">
        <is>
          <t>General Maint &amp; Repairs</t>
        </is>
      </c>
      <c r="Y3" s="692" t="inlineStr">
        <is>
          <t>Total R&amp;M</t>
        </is>
      </c>
      <c r="Z3" s="692" t="inlineStr">
        <is>
          <t>Trash</t>
        </is>
      </c>
      <c r="AA3" s="692" t="inlineStr">
        <is>
          <t>Landscape</t>
        </is>
      </c>
      <c r="AB3" s="692" t="inlineStr">
        <is>
          <t>Snow Removal</t>
        </is>
      </c>
      <c r="AC3" s="692" t="inlineStr">
        <is>
          <t>Total Contract Svcs</t>
        </is>
      </c>
      <c r="AD3" s="692" t="inlineStr">
        <is>
          <t>Water &amp; Sewer</t>
        </is>
      </c>
      <c r="AE3" s="692" t="inlineStr">
        <is>
          <t>Electric</t>
        </is>
      </c>
      <c r="AF3" s="692" t="inlineStr">
        <is>
          <t>Total Utilities</t>
        </is>
      </c>
      <c r="AG3" s="692" t="inlineStr">
        <is>
          <t>Other/Admin (Misc)</t>
        </is>
      </c>
      <c r="AH3" s="692" t="inlineStr">
        <is>
          <t>Total OPX excl RE Taxes</t>
        </is>
      </c>
      <c r="AI3" s="692" t="inlineStr">
        <is>
          <t>Real Estate Taxes</t>
        </is>
      </c>
      <c r="AJ3" s="692" t="inlineStr">
        <is>
          <t>Total OPX incl RE Taxes</t>
        </is>
      </c>
      <c r="AK3" s="692" t="inlineStr">
        <is>
          <t>NOI</t>
        </is>
      </c>
      <c r="AL3" s="692" t="inlineStr">
        <is>
          <t>CapEx (non-op)</t>
        </is>
      </c>
      <c r="AM3" s="692" t="inlineStr">
        <is>
          <t>Notes</t>
        </is>
      </c>
      <c r="AN3" s="893" t="inlineStr">
        <is>
          <t>Score (internal)</t>
        </is>
      </c>
      <c r="AO3" t="inlineStr">
        <is>
          <t>TieBreak (internal)</t>
        </is>
      </c>
    </row>
    <row r="4" ht="18" customHeight="1">
      <c r="A4" s="702" t="inlineStr">
        <is>
          <t>P001</t>
        </is>
      </c>
      <c r="B4" s="695" t="n">
        <v>407</v>
      </c>
      <c r="C4" s="703" t="inlineStr">
        <is>
          <t>R0157664</t>
        </is>
      </c>
      <c r="D4" s="702" t="inlineStr">
        <is>
          <t>6045 E. 76th Avenue</t>
        </is>
      </c>
      <c r="E4" s="702" t="inlineStr">
        <is>
          <t>Commerce City</t>
        </is>
      </c>
      <c r="F4" s="702" t="inlineStr">
        <is>
          <t>CO</t>
        </is>
      </c>
      <c r="G4" s="702" t="inlineStr">
        <is>
          <t>Light Industrial</t>
        </is>
      </c>
      <c r="H4" s="702" t="inlineStr">
        <is>
          <t>Distribution Warehouse</t>
        </is>
      </c>
      <c r="I4" s="704" t="n">
        <v>1988</v>
      </c>
      <c r="J4" s="704" t="n">
        <v>21000</v>
      </c>
      <c r="K4" s="704" t="n">
        <v>2021</v>
      </c>
      <c r="L4" s="705" t="n">
        <v>282764.52</v>
      </c>
      <c r="M4" s="705" t="n">
        <v>6372</v>
      </c>
      <c r="N4" s="706" t="n">
        <v>289136.52</v>
      </c>
      <c r="O4" s="705" t="n">
        <v>4893</v>
      </c>
      <c r="P4" s="705" t="n">
        <v>0</v>
      </c>
      <c r="Q4" s="705" t="n">
        <v>1144</v>
      </c>
      <c r="R4" s="705" t="n">
        <v>0</v>
      </c>
      <c r="S4" s="705" t="n">
        <v>198.75</v>
      </c>
      <c r="T4" s="705" t="n">
        <v>0</v>
      </c>
      <c r="U4" s="705" t="n">
        <v>280</v>
      </c>
      <c r="V4" s="705" t="n">
        <v>846</v>
      </c>
      <c r="W4" s="705" t="n">
        <v>2923</v>
      </c>
      <c r="X4" s="706" t="n">
        <v>0</v>
      </c>
      <c r="Y4" s="705" t="n">
        <v>5391.75</v>
      </c>
      <c r="Z4" s="705" t="n">
        <v>6710.19</v>
      </c>
      <c r="AA4" s="705" t="n">
        <v>3875</v>
      </c>
      <c r="AB4" s="705" t="n">
        <v>870</v>
      </c>
      <c r="AC4" s="706" t="n">
        <v>11455.19</v>
      </c>
      <c r="AD4" s="705" t="n">
        <v>3344.39</v>
      </c>
      <c r="AE4" s="705" t="n">
        <v>648.33</v>
      </c>
      <c r="AF4" s="706" t="n">
        <v>3992.72</v>
      </c>
      <c r="AG4" s="705" t="n">
        <v>762.49</v>
      </c>
      <c r="AH4" s="707" t="n">
        <v>26515.14999999999</v>
      </c>
      <c r="AI4" s="707" t="n">
        <v>48263.72</v>
      </c>
      <c r="AJ4" s="708" t="n">
        <v>74778.87</v>
      </c>
      <c r="AK4" s="706" t="n">
        <v>214357.65</v>
      </c>
      <c r="AL4" s="705" t="n">
        <v>2642.04</v>
      </c>
      <c r="AM4" s="702" t="inlineStr">
        <is>
          <t>2021: other income = damages $2,392 + misc $3,863 + interest $117</t>
        </is>
      </c>
      <c r="AN4">
        <f>IF(AND($B4=Subj_OccCode,Subj_BldgSF&gt;0,ABS($J4-Subj_BldgSF)&lt;=Subj_BldgSF*Subj_SizeTol),ABS($J4-Subj_BldgSF),NA())</f>
        <v/>
      </c>
      <c r="AO4">
        <f>IF(ISNA(AN4),NA(),AN4+ROW()/10000000)</f>
        <v/>
      </c>
    </row>
    <row r="5" ht="18" customHeight="1">
      <c r="A5" s="702" t="inlineStr">
        <is>
          <t>P001</t>
        </is>
      </c>
      <c r="B5" s="695" t="n">
        <v>407</v>
      </c>
      <c r="C5" s="703" t="inlineStr">
        <is>
          <t>R0157664</t>
        </is>
      </c>
      <c r="D5" s="702" t="inlineStr">
        <is>
          <t>6045 E. 76th Avenue</t>
        </is>
      </c>
      <c r="E5" s="702" t="inlineStr">
        <is>
          <t>Commerce City</t>
        </is>
      </c>
      <c r="F5" s="702" t="inlineStr">
        <is>
          <t>CO</t>
        </is>
      </c>
      <c r="G5" s="702" t="inlineStr">
        <is>
          <t>Light Industrial</t>
        </is>
      </c>
      <c r="H5" s="702" t="inlineStr">
        <is>
          <t>Distribution Warehouse</t>
        </is>
      </c>
      <c r="I5" s="704" t="n">
        <v>1988</v>
      </c>
      <c r="J5" s="704" t="n">
        <v>21000</v>
      </c>
      <c r="K5" s="704" t="n">
        <v>2022</v>
      </c>
      <c r="L5" s="705" t="n">
        <v>255992.67</v>
      </c>
      <c r="M5" s="705" t="n">
        <v>3000</v>
      </c>
      <c r="N5" s="706" t="n">
        <v>258992.67</v>
      </c>
      <c r="O5" s="705" t="n">
        <v>5276</v>
      </c>
      <c r="P5" s="705" t="n">
        <v>0</v>
      </c>
      <c r="Q5" s="705" t="n">
        <v>4115</v>
      </c>
      <c r="R5" s="705" t="n">
        <v>611</v>
      </c>
      <c r="S5" s="705" t="n">
        <v>2333.33</v>
      </c>
      <c r="T5" s="705" t="n">
        <v>0</v>
      </c>
      <c r="U5" s="705" t="n">
        <v>0</v>
      </c>
      <c r="V5" s="705" t="n">
        <v>0</v>
      </c>
      <c r="W5" s="705" t="n">
        <v>780</v>
      </c>
      <c r="X5" s="706" t="n">
        <v>0</v>
      </c>
      <c r="Y5" s="705" t="n">
        <v>7839.33</v>
      </c>
      <c r="Z5" s="705" t="n">
        <v>8303.969999999999</v>
      </c>
      <c r="AA5" s="705" t="n">
        <v>4280</v>
      </c>
      <c r="AB5" s="705" t="n">
        <v>0</v>
      </c>
      <c r="AC5" s="706" t="n">
        <v>12583.97</v>
      </c>
      <c r="AD5" s="705" t="n">
        <v>3043.11</v>
      </c>
      <c r="AE5" s="705" t="n">
        <v>887.54</v>
      </c>
      <c r="AF5" s="706" t="n">
        <v>3930.65</v>
      </c>
      <c r="AG5" s="705" t="n">
        <v>658.98</v>
      </c>
      <c r="AH5" s="707" t="n">
        <v>30288.93000000001</v>
      </c>
      <c r="AI5" s="707" t="n">
        <v>66104.78</v>
      </c>
      <c r="AJ5" s="708" t="n">
        <v>96393.71000000001</v>
      </c>
      <c r="AK5" s="706" t="n">
        <v>162598.96</v>
      </c>
      <c r="AL5" s="705" t="n">
        <v>5791.72</v>
      </c>
      <c r="AM5" s="702" t="inlineStr">
        <is>
          <t>2022: other income = damages $500 + misc $2,500; CapEx unit interior</t>
        </is>
      </c>
      <c r="AN5">
        <f>IF(AND($B5=Subj_OccCode,Subj_BldgSF&gt;0,ABS($J5-Subj_BldgSF)&lt;=Subj_BldgSF*Subj_SizeTol),ABS($J5-Subj_BldgSF),NA())</f>
        <v/>
      </c>
      <c r="AO5">
        <f>IF(ISNA(AN5),NA(),AN5+ROW()/10000000)</f>
        <v/>
      </c>
    </row>
    <row r="6" ht="18" customHeight="1">
      <c r="A6" s="702" t="inlineStr">
        <is>
          <t>P001</t>
        </is>
      </c>
      <c r="B6" s="695" t="n">
        <v>407</v>
      </c>
      <c r="C6" s="703" t="inlineStr">
        <is>
          <t>R0157664</t>
        </is>
      </c>
      <c r="D6" s="702" t="inlineStr">
        <is>
          <t>6045 E. 76th Avenue</t>
        </is>
      </c>
      <c r="E6" s="702" t="inlineStr">
        <is>
          <t>Commerce City</t>
        </is>
      </c>
      <c r="F6" s="702" t="inlineStr">
        <is>
          <t>CO</t>
        </is>
      </c>
      <c r="G6" s="702" t="inlineStr">
        <is>
          <t>Light Industrial</t>
        </is>
      </c>
      <c r="H6" s="702" t="inlineStr">
        <is>
          <t>Distribution Warehouse</t>
        </is>
      </c>
      <c r="I6" s="704" t="n">
        <v>1988</v>
      </c>
      <c r="J6" s="704" t="n">
        <v>21000</v>
      </c>
      <c r="K6" s="704" t="n">
        <v>2023</v>
      </c>
      <c r="L6" s="705" t="n">
        <v>256200</v>
      </c>
      <c r="M6" s="705" t="n">
        <v>0</v>
      </c>
      <c r="N6" s="706" t="n">
        <v>256200</v>
      </c>
      <c r="O6" s="705" t="n">
        <v>5867.85</v>
      </c>
      <c r="P6" s="705" t="n">
        <v>800</v>
      </c>
      <c r="Q6" s="705" t="n">
        <v>1094.49</v>
      </c>
      <c r="R6" s="705" t="n">
        <v>990</v>
      </c>
      <c r="S6" s="705" t="n">
        <v>0</v>
      </c>
      <c r="T6" s="705" t="n">
        <v>3870.75</v>
      </c>
      <c r="U6" s="705" t="n">
        <v>480</v>
      </c>
      <c r="V6" s="705" t="n">
        <v>618</v>
      </c>
      <c r="W6" s="705" t="n">
        <v>0</v>
      </c>
      <c r="X6" s="706" t="n">
        <v>480</v>
      </c>
      <c r="Y6" s="705" t="n">
        <v>7533.24</v>
      </c>
      <c r="Z6" s="705" t="n">
        <v>9561.9</v>
      </c>
      <c r="AA6" s="705" t="n">
        <v>2200</v>
      </c>
      <c r="AB6" s="705" t="n">
        <v>2800</v>
      </c>
      <c r="AC6" s="706" t="n">
        <v>14561.9</v>
      </c>
      <c r="AD6" s="705" t="n">
        <v>7111.97</v>
      </c>
      <c r="AE6" s="705" t="n">
        <v>760.15</v>
      </c>
      <c r="AF6" s="706" t="n">
        <v>7872.12</v>
      </c>
      <c r="AG6" s="705" t="n">
        <v>597.59</v>
      </c>
      <c r="AH6" s="707" t="n">
        <v>31952.69999999999</v>
      </c>
      <c r="AI6" s="707" t="n">
        <v>59985.48</v>
      </c>
      <c r="AJ6" s="708" t="n">
        <v>91938.17999999999</v>
      </c>
      <c r="AK6" s="706" t="n">
        <v>164261.82</v>
      </c>
      <c r="AL6" s="705" t="n">
        <v>0</v>
      </c>
      <c r="AM6" s="702" t="n"/>
      <c r="AN6">
        <f>IF(AND($B6=Subj_OccCode,Subj_BldgSF&gt;0,ABS($J6-Subj_BldgSF)&lt;=Subj_BldgSF*Subj_SizeTol),ABS($J6-Subj_BldgSF),NA())</f>
        <v/>
      </c>
      <c r="AO6">
        <f>IF(ISNA(AN6),NA(),AN6+ROW()/10000000)</f>
        <v/>
      </c>
    </row>
    <row r="7" ht="18" customHeight="1">
      <c r="A7" s="702" t="inlineStr">
        <is>
          <t>P001</t>
        </is>
      </c>
      <c r="B7" s="695" t="n">
        <v>407</v>
      </c>
      <c r="C7" s="703" t="inlineStr">
        <is>
          <t>R0157664</t>
        </is>
      </c>
      <c r="D7" s="702" t="inlineStr">
        <is>
          <t>6045 E. 76th Avenue</t>
        </is>
      </c>
      <c r="E7" s="702" t="inlineStr">
        <is>
          <t>Commerce City</t>
        </is>
      </c>
      <c r="F7" s="702" t="inlineStr">
        <is>
          <t>CO</t>
        </is>
      </c>
      <c r="G7" s="702" t="inlineStr">
        <is>
          <t>Light Industrial</t>
        </is>
      </c>
      <c r="H7" s="702" t="inlineStr">
        <is>
          <t>Distribution Warehouse</t>
        </is>
      </c>
      <c r="I7" s="704" t="n">
        <v>1988</v>
      </c>
      <c r="J7" s="704" t="n">
        <v>21000</v>
      </c>
      <c r="K7" s="704" t="n">
        <v>2024</v>
      </c>
      <c r="L7" s="705" t="n">
        <v>229531</v>
      </c>
      <c r="M7" s="705" t="n">
        <v>0</v>
      </c>
      <c r="N7" s="706" t="n">
        <v>229531</v>
      </c>
      <c r="O7" s="705" t="n">
        <v>1834.57</v>
      </c>
      <c r="P7" s="705" t="n">
        <v>1570</v>
      </c>
      <c r="Q7" s="705" t="n">
        <v>0</v>
      </c>
      <c r="R7" s="705" t="n">
        <v>0</v>
      </c>
      <c r="S7" s="705" t="n">
        <v>8000</v>
      </c>
      <c r="T7" s="705" t="n">
        <v>8299.799999999999</v>
      </c>
      <c r="U7" s="705" t="n">
        <v>0</v>
      </c>
      <c r="V7" s="705" t="n">
        <v>175</v>
      </c>
      <c r="W7" s="705" t="n">
        <v>0</v>
      </c>
      <c r="X7" s="706" t="n">
        <v>819.88</v>
      </c>
      <c r="Y7" s="705" t="n">
        <v>17294.68</v>
      </c>
      <c r="Z7" s="705" t="n">
        <v>8500.75</v>
      </c>
      <c r="AA7" s="705" t="n">
        <v>3350</v>
      </c>
      <c r="AB7" s="705" t="n">
        <v>1050</v>
      </c>
      <c r="AC7" s="706" t="n">
        <v>12900.75</v>
      </c>
      <c r="AD7" s="705" t="n">
        <v>3438.85</v>
      </c>
      <c r="AE7" s="705" t="n">
        <v>712.77</v>
      </c>
      <c r="AF7" s="706" t="n">
        <v>4151.62</v>
      </c>
      <c r="AG7" s="705" t="n">
        <v>600.11</v>
      </c>
      <c r="AH7" s="707" t="n">
        <v>38151.7</v>
      </c>
      <c r="AI7" s="707" t="n">
        <v>69401.60000000001</v>
      </c>
      <c r="AJ7" s="708" t="n">
        <v>107553.3</v>
      </c>
      <c r="AK7" s="706" t="n">
        <v>121977.7</v>
      </c>
      <c r="AL7" s="705" t="n">
        <v>0</v>
      </c>
      <c r="AM7" s="702" t="n"/>
      <c r="AN7">
        <f>IF(AND($B7=Subj_OccCode,Subj_BldgSF&gt;0,ABS($J7-Subj_BldgSF)&lt;=Subj_BldgSF*Subj_SizeTol),ABS($J7-Subj_BldgSF),NA())</f>
        <v/>
      </c>
      <c r="AO7">
        <f>IF(ISNA(AN7),NA(),AN7+ROW()/10000000)</f>
        <v/>
      </c>
    </row>
    <row r="8" ht="18" customHeight="1">
      <c r="A8" s="702" t="inlineStr">
        <is>
          <t>P002</t>
        </is>
      </c>
      <c r="B8" s="695" t="n">
        <v>344</v>
      </c>
      <c r="C8" s="703" t="inlineStr">
        <is>
          <t>Unknown</t>
        </is>
      </c>
      <c r="D8" s="702" t="inlineStr">
        <is>
          <t>13659 E. 104th Ave</t>
        </is>
      </c>
      <c r="E8" s="702" t="inlineStr">
        <is>
          <t>Adams County</t>
        </is>
      </c>
      <c r="F8" s="702" t="inlineStr">
        <is>
          <t>CO</t>
        </is>
      </c>
      <c r="G8" s="702" t="inlineStr">
        <is>
          <t>Office/Commercial</t>
        </is>
      </c>
      <c r="H8" s="702"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706" t="n">
        <v>24750</v>
      </c>
      <c r="Z8" s="702" t="n"/>
      <c r="AA8" s="705" t="n">
        <v>13331</v>
      </c>
      <c r="AB8" s="702" t="n"/>
      <c r="AC8" s="706" t="n">
        <v>13331</v>
      </c>
      <c r="AD8" s="702" t="n"/>
      <c r="AE8" s="702" t="n"/>
      <c r="AF8" s="706" t="n">
        <v>3990</v>
      </c>
      <c r="AG8" s="705" t="n">
        <v>11264</v>
      </c>
      <c r="AH8" s="707" t="n">
        <v>75327</v>
      </c>
      <c r="AI8" s="707" t="n">
        <v>51707</v>
      </c>
      <c r="AJ8" s="707" t="n">
        <v>127034</v>
      </c>
      <c r="AK8" s="707" t="n">
        <v>131774</v>
      </c>
      <c r="AL8" s="702" t="n"/>
      <c r="AM8" s="710" t="inlineStr">
        <is>
          <t>Insurance: $3,292; Mgmt fee $13,242 + asset mgmt $5,297; Professional svcs $11,264; actuals from BAA operating statement</t>
        </is>
      </c>
      <c r="AN8">
        <f>IF(AND($B8=Subj_OccCode,Subj_BldgSF&gt;0,ABS($J8-Subj_BldgSF)&lt;=Subj_BldgSF*Subj_SizeTol),ABS($J8-Subj_BldgSF),NA())</f>
        <v/>
      </c>
      <c r="AO8">
        <f>IF(ISNA(AN8),NA(),AN8+ROW()/10000000)</f>
        <v/>
      </c>
    </row>
    <row r="9" ht="18" customHeight="1">
      <c r="A9" s="702" t="inlineStr">
        <is>
          <t>P002</t>
        </is>
      </c>
      <c r="B9" s="695" t="n">
        <v>344</v>
      </c>
      <c r="C9" s="703" t="inlineStr">
        <is>
          <t>Unknown</t>
        </is>
      </c>
      <c r="D9" s="702" t="inlineStr">
        <is>
          <t>13659 E. 104th Ave</t>
        </is>
      </c>
      <c r="E9" s="702" t="inlineStr">
        <is>
          <t>Adams County</t>
        </is>
      </c>
      <c r="F9" s="702" t="inlineStr">
        <is>
          <t>CO</t>
        </is>
      </c>
      <c r="G9" s="702" t="inlineStr">
        <is>
          <t>Office/Commercial</t>
        </is>
      </c>
      <c r="H9" s="702"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706" t="n">
        <v>37394</v>
      </c>
      <c r="Z9" s="702" t="n"/>
      <c r="AA9" s="705" t="n">
        <v>11888</v>
      </c>
      <c r="AB9" s="702" t="n"/>
      <c r="AC9" s="706" t="n">
        <v>11888</v>
      </c>
      <c r="AD9" s="702" t="n"/>
      <c r="AE9" s="702" t="n"/>
      <c r="AF9" s="706" t="n">
        <v>5290</v>
      </c>
      <c r="AG9" s="705" t="n">
        <v>13341</v>
      </c>
      <c r="AH9" s="707" t="n">
        <v>93583</v>
      </c>
      <c r="AI9" s="707" t="n">
        <v>44649</v>
      </c>
      <c r="AJ9" s="707" t="n">
        <v>138232</v>
      </c>
      <c r="AK9" s="707" t="n">
        <v>126727</v>
      </c>
      <c r="AL9" s="702" t="n"/>
      <c r="AM9" s="710" t="inlineStr">
        <is>
          <t>Insurance $7,442; Mgmt fee $13,020 + asset mgmt $5,208; Prof svcs $13,341; Utilities: gas/elec $1,091 + water/sewer $4,199</t>
        </is>
      </c>
      <c r="AN9">
        <f>IF(AND($B9=Subj_OccCode,Subj_BldgSF&gt;0,ABS($J9-Subj_BldgSF)&lt;=Subj_BldgSF*Subj_SizeTol),ABS($J9-Subj_BldgSF),NA())</f>
        <v/>
      </c>
      <c r="AO9">
        <f>IF(ISNA(AN9),NA(),AN9+ROW()/10000000)</f>
        <v/>
      </c>
    </row>
    <row r="10" ht="18" customHeight="1">
      <c r="A10" s="702" t="inlineStr">
        <is>
          <t>P003</t>
        </is>
      </c>
      <c r="B10" s="695" t="n">
        <v>344</v>
      </c>
      <c r="C10" s="703" t="inlineStr">
        <is>
          <t>R0024063</t>
        </is>
      </c>
      <c r="D10" s="702" t="inlineStr">
        <is>
          <t>Park Centre - Wells Fargo Bldg</t>
        </is>
      </c>
      <c r="E10" s="702" t="inlineStr">
        <is>
          <t>Westminster</t>
        </is>
      </c>
      <c r="F10" s="702" t="inlineStr">
        <is>
          <t>CO</t>
        </is>
      </c>
      <c r="G10" s="702" t="inlineStr">
        <is>
          <t>Office</t>
        </is>
      </c>
      <c r="H10" s="702"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711" t="n"/>
      <c r="Z10" s="702" t="n"/>
      <c r="AA10" s="702" t="n"/>
      <c r="AB10" s="702" t="n"/>
      <c r="AC10" s="711" t="n"/>
      <c r="AD10" s="702" t="n"/>
      <c r="AE10" s="702" t="n"/>
      <c r="AF10" s="711" t="n"/>
      <c r="AG10" s="702" t="n"/>
      <c r="AH10" s="707" t="n">
        <v>453480</v>
      </c>
      <c r="AI10" s="707" t="n">
        <v>184874</v>
      </c>
      <c r="AJ10" s="707" t="n">
        <v>638354</v>
      </c>
      <c r="AK10" s="707" t="n">
        <v>473149</v>
      </c>
      <c r="AL10" s="702" t="n"/>
      <c r="AM10" s="710" t="inlineStr">
        <is>
          <t>Westfield managed; recoveries $49,658 + other $43,917 = $93,575; OpEx BT per PROFORMA REVISED.xlsx</t>
        </is>
      </c>
      <c r="AN10">
        <f>IF(AND($B10=Subj_OccCode,Subj_BldgSF&gt;0,ABS($J10-Subj_BldgSF)&lt;=Subj_BldgSF*Subj_SizeTol),ABS($J10-Subj_BldgSF),NA())</f>
        <v/>
      </c>
      <c r="AO10">
        <f>IF(ISNA(AN10),NA(),AN10+ROW()/10000000)</f>
        <v/>
      </c>
    </row>
    <row r="11" ht="18" customHeight="1">
      <c r="A11" s="702" t="inlineStr">
        <is>
          <t>P003</t>
        </is>
      </c>
      <c r="B11" s="695" t="n">
        <v>344</v>
      </c>
      <c r="C11" s="703" t="inlineStr">
        <is>
          <t>R0024063</t>
        </is>
      </c>
      <c r="D11" s="702" t="inlineStr">
        <is>
          <t>Park Centre - Wells Fargo Bldg</t>
        </is>
      </c>
      <c r="E11" s="702" t="inlineStr">
        <is>
          <t>Westminster</t>
        </is>
      </c>
      <c r="F11" s="702" t="inlineStr">
        <is>
          <t>CO</t>
        </is>
      </c>
      <c r="G11" s="702" t="inlineStr">
        <is>
          <t>Office</t>
        </is>
      </c>
      <c r="H11" s="702"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711" t="n"/>
      <c r="Z11" s="702" t="n"/>
      <c r="AA11" s="702" t="n"/>
      <c r="AB11" s="702" t="n"/>
      <c r="AC11" s="711" t="n"/>
      <c r="AD11" s="702" t="n"/>
      <c r="AE11" s="702" t="n"/>
      <c r="AF11" s="711" t="n"/>
      <c r="AG11" s="702" t="n"/>
      <c r="AH11" s="707" t="n">
        <v>488239</v>
      </c>
      <c r="AI11" s="707" t="n">
        <v>179568</v>
      </c>
      <c r="AJ11" s="707" t="n">
        <v>667807</v>
      </c>
      <c r="AK11" s="707" t="n">
        <v>354195</v>
      </c>
      <c r="AL11" s="702" t="n"/>
      <c r="AM11" s="710" t="inlineStr">
        <is>
          <t>Recoveries $21,696 + other $56,266; OpEx BT per PROFORMA REVISED.xlsx; NOI decline reflects higher vacancy</t>
        </is>
      </c>
      <c r="AN11">
        <f>IF(AND($B11=Subj_OccCode,Subj_BldgSF&gt;0,ABS($J11-Subj_BldgSF)&lt;=Subj_BldgSF*Subj_SizeTol),ABS($J11-Subj_BldgSF),NA())</f>
        <v/>
      </c>
      <c r="AO11">
        <f>IF(ISNA(AN11),NA(),AN11+ROW()/10000000)</f>
        <v/>
      </c>
    </row>
    <row r="12" ht="18" customHeight="1">
      <c r="A12" s="702" t="inlineStr">
        <is>
          <t>P004</t>
        </is>
      </c>
      <c r="B12" s="695" t="n">
        <v>412</v>
      </c>
      <c r="C12" s="703" t="inlineStr">
        <is>
          <t>R0050221</t>
        </is>
      </c>
      <c r="D12" s="702" t="inlineStr">
        <is>
          <t>8860 Federal Blvd</t>
        </is>
      </c>
      <c r="E12" s="702" t="inlineStr">
        <is>
          <t>Adams County</t>
        </is>
      </c>
      <c r="F12" s="702" t="inlineStr">
        <is>
          <t>CO</t>
        </is>
      </c>
      <c r="G12" s="702" t="inlineStr">
        <is>
          <t>Retail</t>
        </is>
      </c>
      <c r="H12" s="702"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711" t="n"/>
      <c r="Z12" s="702" t="n"/>
      <c r="AA12" s="702" t="n"/>
      <c r="AB12" s="702" t="n"/>
      <c r="AC12" s="711" t="n"/>
      <c r="AD12" s="702" t="n"/>
      <c r="AE12" s="702" t="n"/>
      <c r="AF12" s="711" t="n"/>
      <c r="AG12" s="702" t="n"/>
      <c r="AH12" s="712" t="n"/>
      <c r="AI12" s="707" t="n">
        <v>74000</v>
      </c>
      <c r="AJ12" s="707" t="n">
        <v>269935</v>
      </c>
      <c r="AK12" s="707" t="n">
        <v>300842</v>
      </c>
      <c r="AL12" s="702" t="n"/>
      <c r="AM12" s="710" t="inlineStr">
        <is>
          <t>RE Tax estimated ~$74k (2023 not detailed); Total OpEx per actuals submission; NOI confirmed</t>
        </is>
      </c>
      <c r="AN12">
        <f>IF(AND($B12=Subj_OccCode,Subj_BldgSF&gt;0,ABS($J12-Subj_BldgSF)&lt;=Subj_BldgSF*Subj_SizeTol),ABS($J12-Subj_BldgSF),NA())</f>
        <v/>
      </c>
      <c r="AO12">
        <f>IF(ISNA(AN12),NA(),AN12+ROW()/10000000)</f>
        <v/>
      </c>
    </row>
    <row r="13" ht="18" customHeight="1">
      <c r="A13" s="702" t="inlineStr">
        <is>
          <t>P004</t>
        </is>
      </c>
      <c r="B13" s="695" t="n">
        <v>412</v>
      </c>
      <c r="C13" s="703" t="inlineStr">
        <is>
          <t>R0050221</t>
        </is>
      </c>
      <c r="D13" s="702" t="inlineStr">
        <is>
          <t>8860 Federal Blvd</t>
        </is>
      </c>
      <c r="E13" s="702" t="inlineStr">
        <is>
          <t>Adams County</t>
        </is>
      </c>
      <c r="F13" s="702" t="inlineStr">
        <is>
          <t>CO</t>
        </is>
      </c>
      <c r="G13" s="702" t="inlineStr">
        <is>
          <t>Retail</t>
        </is>
      </c>
      <c r="H13" s="702"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706" t="n">
        <v>28919</v>
      </c>
      <c r="Z13" s="705" t="n">
        <v>17561</v>
      </c>
      <c r="AA13" s="705" t="n">
        <v>2002</v>
      </c>
      <c r="AB13" s="705" t="n">
        <v>3485</v>
      </c>
      <c r="AC13" s="706" t="n">
        <v>23048</v>
      </c>
      <c r="AD13" s="705" t="n">
        <v>12892</v>
      </c>
      <c r="AE13" s="705" t="n">
        <v>7120</v>
      </c>
      <c r="AF13" s="706" t="n">
        <v>20012</v>
      </c>
      <c r="AG13" s="705" t="n">
        <v>10978</v>
      </c>
      <c r="AH13" s="707" t="n">
        <v>159331</v>
      </c>
      <c r="AI13" s="707" t="n">
        <v>105466</v>
      </c>
      <c r="AJ13" s="707" t="n">
        <v>264797</v>
      </c>
      <c r="AK13" s="707" t="n">
        <v>323022</v>
      </c>
      <c r="AL13" s="702" t="n"/>
      <c r="AM13" s="710"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row>
    <row r="14" ht="18" customHeight="1">
      <c r="A14" s="702" t="inlineStr">
        <is>
          <t>P005</t>
        </is>
      </c>
      <c r="B14" s="695" t="n">
        <v>344</v>
      </c>
      <c r="C14" s="703" t="inlineStr">
        <is>
          <t>R0050977</t>
        </is>
      </c>
      <c r="D14" s="702" t="inlineStr">
        <is>
          <t>9351 Grant St (Horizon Terrace)</t>
        </is>
      </c>
      <c r="E14" s="702" t="inlineStr">
        <is>
          <t>Thornton</t>
        </is>
      </c>
      <c r="F14" s="702" t="inlineStr">
        <is>
          <t>CO</t>
        </is>
      </c>
      <c r="G14" s="702" t="inlineStr">
        <is>
          <t>Office</t>
        </is>
      </c>
      <c r="H14" s="702"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706" t="n">
        <v>144543</v>
      </c>
      <c r="Z14" s="702" t="n"/>
      <c r="AA14" s="705" t="n">
        <v>108773</v>
      </c>
      <c r="AB14" s="705" t="n">
        <v>65183</v>
      </c>
      <c r="AC14" s="706" t="n">
        <v>273332</v>
      </c>
      <c r="AD14" s="705" t="n">
        <v>14762</v>
      </c>
      <c r="AE14" s="705" t="n">
        <v>225588</v>
      </c>
      <c r="AF14" s="706" t="n">
        <v>240350</v>
      </c>
      <c r="AG14" s="705" t="n">
        <v>32925</v>
      </c>
      <c r="AH14" s="707" t="n">
        <v>845814</v>
      </c>
      <c r="AI14" s="707" t="n">
        <v>372013</v>
      </c>
      <c r="AJ14" s="707" t="n">
        <v>1217827</v>
      </c>
      <c r="AK14" s="707" t="n">
        <v>1021407</v>
      </c>
      <c r="AL14" s="702" t="n"/>
      <c r="AM14" s="710"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row>
    <row r="15" ht="18" customHeight="1">
      <c r="A15" s="702" t="inlineStr">
        <is>
          <t>P005</t>
        </is>
      </c>
      <c r="B15" s="695" t="n">
        <v>344</v>
      </c>
      <c r="C15" s="703" t="inlineStr">
        <is>
          <t>R0050977</t>
        </is>
      </c>
      <c r="D15" s="702" t="inlineStr">
        <is>
          <t>9351 Grant St (Horizon Terrace)</t>
        </is>
      </c>
      <c r="E15" s="702" t="inlineStr">
        <is>
          <t>Thornton</t>
        </is>
      </c>
      <c r="F15" s="702" t="inlineStr">
        <is>
          <t>CO</t>
        </is>
      </c>
      <c r="G15" s="702" t="inlineStr">
        <is>
          <t>Office</t>
        </is>
      </c>
      <c r="H15" s="702"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706" t="n">
        <v>150462</v>
      </c>
      <c r="Z15" s="702" t="n"/>
      <c r="AA15" s="705" t="n">
        <v>109178</v>
      </c>
      <c r="AB15" s="702" t="n"/>
      <c r="AC15" s="706" t="n">
        <v>262640</v>
      </c>
      <c r="AD15" s="702" t="n"/>
      <c r="AE15" s="702" t="n"/>
      <c r="AF15" s="706" t="n">
        <v>232174</v>
      </c>
      <c r="AG15" s="705" t="n">
        <v>37416</v>
      </c>
      <c r="AH15" s="707" t="n">
        <v>856390</v>
      </c>
      <c r="AI15" s="707" t="n">
        <v>413583</v>
      </c>
      <c r="AJ15" s="707" t="n">
        <v>1269973</v>
      </c>
      <c r="AK15" s="707" t="n">
        <v>1052180</v>
      </c>
      <c r="AL15" s="702" t="n"/>
      <c r="AM15" s="710" t="inlineStr">
        <is>
          <t>2024 actuals; janitorial $153,462 in contract total; security $32,603 in Other; sales/use tax $4,813 in Other</t>
        </is>
      </c>
      <c r="AN15">
        <f>IF(AND($B15=Subj_OccCode,Subj_BldgSF&gt;0,ABS($J15-Subj_BldgSF)&lt;=Subj_BldgSF*Subj_SizeTol),ABS($J15-Subj_BldgSF),NA())</f>
        <v/>
      </c>
      <c r="AO15">
        <f>IF(ISNA(AN15),NA(),AN15+ROW()/10000000)</f>
        <v/>
      </c>
    </row>
    <row r="16" ht="18" customHeight="1">
      <c r="A16" s="702" t="inlineStr">
        <is>
          <t>P006</t>
        </is>
      </c>
      <c r="B16" s="695" t="n">
        <v>210</v>
      </c>
      <c r="C16" s="703" t="inlineStr">
        <is>
          <t>R0062937</t>
        </is>
      </c>
      <c r="D16" s="702" t="inlineStr">
        <is>
          <t>8670 Wolff Ct (Sheridan Park 8)</t>
        </is>
      </c>
      <c r="E16" s="702" t="inlineStr">
        <is>
          <t>Westminster</t>
        </is>
      </c>
      <c r="F16" s="702" t="inlineStr">
        <is>
          <t>CO</t>
        </is>
      </c>
      <c r="G16" s="702" t="inlineStr">
        <is>
          <t>Office/Flex</t>
        </is>
      </c>
      <c r="H16" s="702"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711" t="n"/>
      <c r="Z16" s="702" t="n"/>
      <c r="AA16" s="702" t="n"/>
      <c r="AB16" s="702" t="n"/>
      <c r="AC16" s="706" t="n">
        <v>133689</v>
      </c>
      <c r="AD16" s="702" t="n"/>
      <c r="AE16" s="702" t="n"/>
      <c r="AF16" s="706" t="n">
        <v>116321</v>
      </c>
      <c r="AG16" s="702" t="n"/>
      <c r="AH16" s="707" t="n">
        <v>275286</v>
      </c>
      <c r="AI16" s="707" t="n">
        <v>88705</v>
      </c>
      <c r="AJ16" s="707" t="n">
        <v>363991</v>
      </c>
      <c r="AK16" s="712" t="n"/>
      <c r="AL16" s="702" t="n"/>
      <c r="AM16" s="710" t="inlineStr">
        <is>
          <t>Income not available; expense-only from DYCO CAM history; CAM in contract total</t>
        </is>
      </c>
      <c r="AN16">
        <f>IF(AND($B16=Subj_OccCode,Subj_BldgSF&gt;0,ABS($J16-Subj_BldgSF)&lt;=Subj_BldgSF*Subj_SizeTol),ABS($J16-Subj_BldgSF),NA())</f>
        <v/>
      </c>
      <c r="AO16">
        <f>IF(ISNA(AN16),NA(),AN16+ROW()/10000000)</f>
        <v/>
      </c>
    </row>
    <row r="17" ht="18" customHeight="1">
      <c r="A17" s="702" t="inlineStr">
        <is>
          <t>P006</t>
        </is>
      </c>
      <c r="B17" s="695" t="n">
        <v>210</v>
      </c>
      <c r="C17" s="703" t="inlineStr">
        <is>
          <t>R0062937</t>
        </is>
      </c>
      <c r="D17" s="702" t="inlineStr">
        <is>
          <t>8670 Wolff Ct (Sheridan Park 8)</t>
        </is>
      </c>
      <c r="E17" s="702" t="inlineStr">
        <is>
          <t>Westminster</t>
        </is>
      </c>
      <c r="F17" s="702" t="inlineStr">
        <is>
          <t>CO</t>
        </is>
      </c>
      <c r="G17" s="702" t="inlineStr">
        <is>
          <t>Office/Flex</t>
        </is>
      </c>
      <c r="H17" s="702"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711" t="n"/>
      <c r="Z17" s="702" t="n"/>
      <c r="AA17" s="702" t="n"/>
      <c r="AB17" s="702" t="n"/>
      <c r="AC17" s="706" t="n">
        <v>104519</v>
      </c>
      <c r="AD17" s="702" t="n"/>
      <c r="AE17" s="702" t="n"/>
      <c r="AF17" s="706" t="n">
        <v>108857</v>
      </c>
      <c r="AG17" s="702" t="n"/>
      <c r="AH17" s="707" t="n">
        <v>238202</v>
      </c>
      <c r="AI17" s="707" t="n">
        <v>84200</v>
      </c>
      <c r="AJ17" s="707" t="n">
        <v>322402</v>
      </c>
      <c r="AK17" s="712" t="n"/>
      <c r="AL17" s="702" t="n"/>
      <c r="AM17" s="710" t="inlineStr">
        <is>
          <t>Income not available; expense-only from DYCO CAM history</t>
        </is>
      </c>
      <c r="AN17">
        <f>IF(AND($B17=Subj_OccCode,Subj_BldgSF&gt;0,ABS($J17-Subj_BldgSF)&lt;=Subj_BldgSF*Subj_SizeTol),ABS($J17-Subj_BldgSF),NA())</f>
        <v/>
      </c>
      <c r="AO17">
        <f>IF(ISNA(AN17),NA(),AN17+ROW()/10000000)</f>
        <v/>
      </c>
    </row>
    <row r="18" ht="18" customHeight="1">
      <c r="A18" s="702" t="inlineStr">
        <is>
          <t>P006</t>
        </is>
      </c>
      <c r="B18" s="695" t="n">
        <v>210</v>
      </c>
      <c r="C18" s="703" t="inlineStr">
        <is>
          <t>R0062937</t>
        </is>
      </c>
      <c r="D18" s="702" t="inlineStr">
        <is>
          <t>8670 Wolff Ct (Sheridan Park 8)</t>
        </is>
      </c>
      <c r="E18" s="702" t="inlineStr">
        <is>
          <t>Westminster</t>
        </is>
      </c>
      <c r="F18" s="702" t="inlineStr">
        <is>
          <t>CO</t>
        </is>
      </c>
      <c r="G18" s="702" t="inlineStr">
        <is>
          <t>Office/Flex</t>
        </is>
      </c>
      <c r="H18" s="702"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711" t="n"/>
      <c r="Z18" s="702" t="n"/>
      <c r="AA18" s="702" t="n"/>
      <c r="AB18" s="702" t="n"/>
      <c r="AC18" s="706" t="n">
        <v>112201</v>
      </c>
      <c r="AD18" s="702" t="n"/>
      <c r="AE18" s="702" t="n"/>
      <c r="AF18" s="706" t="n">
        <v>111968</v>
      </c>
      <c r="AG18" s="702" t="n"/>
      <c r="AH18" s="707" t="n">
        <v>252988</v>
      </c>
      <c r="AI18" s="707" t="n">
        <v>137142</v>
      </c>
      <c r="AJ18" s="707" t="n">
        <v>390130</v>
      </c>
      <c r="AK18" s="712" t="n"/>
      <c r="AL18" s="702" t="n"/>
      <c r="AM18" s="710" t="inlineStr">
        <is>
          <t>Income not available; expense-only from DYCO CAM history; RE Tax jumped from $84k to $137k (reval year)</t>
        </is>
      </c>
      <c r="AN18">
        <f>IF(AND($B18=Subj_OccCode,Subj_BldgSF&gt;0,ABS($J18-Subj_BldgSF)&lt;=Subj_BldgSF*Subj_SizeTol),ABS($J18-Subj_BldgSF),NA())</f>
        <v/>
      </c>
      <c r="AO18">
        <f>IF(ISNA(AN18),NA(),AN18+ROW()/10000000)</f>
        <v/>
      </c>
    </row>
    <row r="19" ht="18" customHeight="1">
      <c r="A19" s="702" t="inlineStr">
        <is>
          <t>P006</t>
        </is>
      </c>
      <c r="B19" s="695" t="n">
        <v>210</v>
      </c>
      <c r="C19" s="703" t="inlineStr">
        <is>
          <t>R0062937</t>
        </is>
      </c>
      <c r="D19" s="702" t="inlineStr">
        <is>
          <t>8670 Wolff Ct (Sheridan Park 8)</t>
        </is>
      </c>
      <c r="E19" s="702" t="inlineStr">
        <is>
          <t>Westminster</t>
        </is>
      </c>
      <c r="F19" s="702" t="inlineStr">
        <is>
          <t>CO</t>
        </is>
      </c>
      <c r="G19" s="702" t="inlineStr">
        <is>
          <t>Office/Flex</t>
        </is>
      </c>
      <c r="H19" s="702"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711" t="n"/>
      <c r="Z19" s="702" t="n"/>
      <c r="AA19" s="702" t="n"/>
      <c r="AB19" s="702" t="n"/>
      <c r="AC19" s="706" t="n">
        <v>116495</v>
      </c>
      <c r="AD19" s="702" t="n"/>
      <c r="AE19" s="702" t="n"/>
      <c r="AF19" s="706" t="n">
        <v>111903</v>
      </c>
      <c r="AG19" s="702" t="n"/>
      <c r="AH19" s="707" t="n">
        <v>255052</v>
      </c>
      <c r="AI19" s="707" t="n">
        <v>131777</v>
      </c>
      <c r="AJ19" s="707" t="n">
        <v>386829</v>
      </c>
      <c r="AK19" s="712" t="n"/>
      <c r="AL19" s="702" t="n"/>
      <c r="AM19" s="710" t="inlineStr">
        <is>
          <t>Income not available; 2023 YTD annualized per DYCO</t>
        </is>
      </c>
      <c r="AN19">
        <f>IF(AND($B19=Subj_OccCode,Subj_BldgSF&gt;0,ABS($J19-Subj_BldgSF)&lt;=Subj_BldgSF*Subj_SizeTol),ABS($J19-Subj_BldgSF),NA())</f>
        <v/>
      </c>
      <c r="AO19">
        <f>IF(ISNA(AN19),NA(),AN19+ROW()/10000000)</f>
        <v/>
      </c>
    </row>
    <row r="20" ht="18" customHeight="1">
      <c r="A20" s="702" t="inlineStr">
        <is>
          <t>P006</t>
        </is>
      </c>
      <c r="B20" s="695" t="n">
        <v>210</v>
      </c>
      <c r="C20" s="703" t="inlineStr">
        <is>
          <t>R0062937</t>
        </is>
      </c>
      <c r="D20" s="702" t="inlineStr">
        <is>
          <t>8670 Wolff Ct (Sheridan Park 8)</t>
        </is>
      </c>
      <c r="E20" s="702" t="inlineStr">
        <is>
          <t>Westminster</t>
        </is>
      </c>
      <c r="F20" s="702" t="inlineStr">
        <is>
          <t>CO</t>
        </is>
      </c>
      <c r="G20" s="702" t="inlineStr">
        <is>
          <t>Office/Flex</t>
        </is>
      </c>
      <c r="H20" s="702"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711" t="n"/>
      <c r="Z20" s="702" t="n"/>
      <c r="AA20" s="702" t="n"/>
      <c r="AB20" s="702" t="n"/>
      <c r="AC20" s="706" t="n">
        <v>139794</v>
      </c>
      <c r="AD20" s="702" t="n"/>
      <c r="AE20" s="702" t="n"/>
      <c r="AF20" s="706" t="n">
        <v>134284</v>
      </c>
      <c r="AG20" s="702" t="n"/>
      <c r="AH20" s="707" t="n">
        <v>304332</v>
      </c>
      <c r="AI20" s="707" t="n">
        <v>131777</v>
      </c>
      <c r="AJ20" s="707" t="n">
        <v>436109</v>
      </c>
      <c r="AK20" s="712" t="n"/>
      <c r="AL20" s="702" t="n"/>
      <c r="AM20" s="710" t="inlineStr">
        <is>
          <t>Income not available; 2024 actuals per DYCO CAM history</t>
        </is>
      </c>
      <c r="AN20">
        <f>IF(AND($B20=Subj_OccCode,Subj_BldgSF&gt;0,ABS($J20-Subj_BldgSF)&lt;=Subj_BldgSF*Subj_SizeTol),ABS($J20-Subj_BldgSF),NA())</f>
        <v/>
      </c>
      <c r="AO20">
        <f>IF(ISNA(AN20),NA(),AN20+ROW()/10000000)</f>
        <v/>
      </c>
    </row>
    <row r="21" ht="18" customHeight="1">
      <c r="A21" s="702" t="inlineStr">
        <is>
          <t>P007</t>
        </is>
      </c>
      <c r="B21" s="695" t="n">
        <v>341</v>
      </c>
      <c r="C21" s="703" t="inlineStr">
        <is>
          <t>R0062944</t>
        </is>
      </c>
      <c r="D21" s="702" t="inlineStr">
        <is>
          <t>8787 (medical office complex)</t>
        </is>
      </c>
      <c r="E21" s="702" t="inlineStr">
        <is>
          <t>Adams County</t>
        </is>
      </c>
      <c r="F21" s="702" t="inlineStr">
        <is>
          <t>CO</t>
        </is>
      </c>
      <c r="G21" s="702" t="inlineStr">
        <is>
          <t>Medical Office</t>
        </is>
      </c>
      <c r="H21" s="702"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706" t="n">
        <v>26521</v>
      </c>
      <c r="Z21" s="705" t="n">
        <v>2032</v>
      </c>
      <c r="AA21" s="705" t="n">
        <v>11685</v>
      </c>
      <c r="AB21" s="705" t="n">
        <v>6338</v>
      </c>
      <c r="AC21" s="706" t="n">
        <v>20055</v>
      </c>
      <c r="AD21" s="705" t="n">
        <v>7660</v>
      </c>
      <c r="AE21" s="705" t="n">
        <v>37676</v>
      </c>
      <c r="AF21" s="706" t="n">
        <v>45336</v>
      </c>
      <c r="AG21" s="705" t="n">
        <v>18144</v>
      </c>
      <c r="AH21" s="707" t="n">
        <v>151355</v>
      </c>
      <c r="AI21" s="707" t="n">
        <v>53397</v>
      </c>
      <c r="AJ21" s="707" t="n">
        <v>204752</v>
      </c>
      <c r="AK21" s="707" t="n">
        <v>189057</v>
      </c>
      <c r="AL21" s="702" t="n"/>
      <c r="AM21" s="710"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row>
    <row r="22" ht="18" customHeight="1">
      <c r="A22" s="702" t="inlineStr">
        <is>
          <t>P007</t>
        </is>
      </c>
      <c r="B22" s="695" t="n">
        <v>341</v>
      </c>
      <c r="C22" s="703" t="inlineStr">
        <is>
          <t>R0062944</t>
        </is>
      </c>
      <c r="D22" s="702" t="inlineStr">
        <is>
          <t>8787 (medical office complex)</t>
        </is>
      </c>
      <c r="E22" s="702" t="inlineStr">
        <is>
          <t>Adams County</t>
        </is>
      </c>
      <c r="F22" s="702" t="inlineStr">
        <is>
          <t>CO</t>
        </is>
      </c>
      <c r="G22" s="702" t="inlineStr">
        <is>
          <t>Medical Office</t>
        </is>
      </c>
      <c r="H22" s="702"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706" t="n">
        <v>25835</v>
      </c>
      <c r="Z22" s="705" t="n">
        <v>1958</v>
      </c>
      <c r="AA22" s="705" t="n">
        <v>15696</v>
      </c>
      <c r="AB22" s="705" t="n">
        <v>5885</v>
      </c>
      <c r="AC22" s="706" t="n">
        <v>23539</v>
      </c>
      <c r="AD22" s="705" t="n">
        <v>6421</v>
      </c>
      <c r="AE22" s="705" t="n">
        <v>33074</v>
      </c>
      <c r="AF22" s="706" t="n">
        <v>39495</v>
      </c>
      <c r="AG22" s="705" t="n">
        <v>16022</v>
      </c>
      <c r="AH22" s="707" t="n">
        <v>170540</v>
      </c>
      <c r="AI22" s="707" t="n">
        <v>63200</v>
      </c>
      <c r="AJ22" s="707" t="n">
        <v>233740</v>
      </c>
      <c r="AK22" s="707" t="n">
        <v>156757</v>
      </c>
      <c r="AL22" s="702" t="n"/>
      <c r="AM22" s="710" t="inlineStr">
        <is>
          <t>Mgmt = CAM portion $10,600 + non-CAM $28,022; janitorial $16,022 in Other; HVAC $13,067 in R&amp;M; 2024 actuals</t>
        </is>
      </c>
      <c r="AN22">
        <f>IF(AND($B22=Subj_OccCode,Subj_BldgSF&gt;0,ABS($J22-Subj_BldgSF)&lt;=Subj_BldgSF*Subj_SizeTol),ABS($J22-Subj_BldgSF),NA())</f>
        <v/>
      </c>
      <c r="AO22">
        <f>IF(ISNA(AN22),NA(),AN22+ROW()/10000000)</f>
        <v/>
      </c>
    </row>
    <row r="23" ht="18" customHeight="1">
      <c r="A23" s="702" t="inlineStr">
        <is>
          <t>P008</t>
        </is>
      </c>
      <c r="B23" s="695" t="n">
        <v>210</v>
      </c>
      <c r="C23" s="703" t="inlineStr">
        <is>
          <t>R0070622</t>
        </is>
      </c>
      <c r="D23" s="702" t="inlineStr">
        <is>
          <t>460-550 E. 76th Ave (WPC Corporate)</t>
        </is>
      </c>
      <c r="E23" s="702" t="inlineStr">
        <is>
          <t>Adams County</t>
        </is>
      </c>
      <c r="F23" s="702" t="inlineStr">
        <is>
          <t>CO</t>
        </is>
      </c>
      <c r="G23" s="702" t="inlineStr">
        <is>
          <t>Industrial</t>
        </is>
      </c>
      <c r="H23" s="702"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711" t="n"/>
      <c r="Z23" s="702" t="n"/>
      <c r="AA23" s="702" t="n"/>
      <c r="AB23" s="702" t="n"/>
      <c r="AC23" s="711" t="n"/>
      <c r="AD23" s="702" t="n"/>
      <c r="AE23" s="702" t="n"/>
      <c r="AF23" s="711" t="n"/>
      <c r="AG23" s="702" t="n"/>
      <c r="AH23" s="712" t="n"/>
      <c r="AI23" s="712" t="n"/>
      <c r="AJ23" s="707" t="n">
        <v>1338440</v>
      </c>
      <c r="AK23" s="707" t="n">
        <v>1412098</v>
      </c>
      <c r="AL23" s="702" t="n"/>
      <c r="AM23" s="710"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row>
    <row r="24" ht="18" customHeight="1">
      <c r="A24" s="702" t="inlineStr">
        <is>
          <t>P009</t>
        </is>
      </c>
      <c r="B24" s="695" t="n">
        <v>407</v>
      </c>
      <c r="C24" s="703" t="inlineStr">
        <is>
          <t>R0075212</t>
        </is>
      </c>
      <c r="D24" s="702" t="inlineStr">
        <is>
          <t>10500 Havana Court</t>
        </is>
      </c>
      <c r="E24" s="702" t="inlineStr">
        <is>
          <t>Adams County</t>
        </is>
      </c>
      <c r="F24" s="702" t="inlineStr">
        <is>
          <t>CO</t>
        </is>
      </c>
      <c r="G24" s="702" t="inlineStr">
        <is>
          <t>Industrial</t>
        </is>
      </c>
      <c r="H24" s="702"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706" t="n">
        <v>12804</v>
      </c>
      <c r="Z24" s="702" t="n"/>
      <c r="AA24" s="705" t="n">
        <v>6910</v>
      </c>
      <c r="AB24" s="705" t="n">
        <v>1800</v>
      </c>
      <c r="AC24" s="706" t="n">
        <v>8710</v>
      </c>
      <c r="AD24" s="705" t="n">
        <v>2209</v>
      </c>
      <c r="AE24" s="705" t="n">
        <v>1956</v>
      </c>
      <c r="AF24" s="706" t="n">
        <v>4165</v>
      </c>
      <c r="AG24" s="705" t="n">
        <v>8397</v>
      </c>
      <c r="AH24" s="707" t="n">
        <v>127005</v>
      </c>
      <c r="AI24" s="707" t="n">
        <v>60552</v>
      </c>
      <c r="AJ24" s="707" t="n">
        <v>187557</v>
      </c>
      <c r="AK24" s="707" t="n">
        <v>265550</v>
      </c>
      <c r="AL24" s="702" t="n"/>
      <c r="AM24" s="710"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row>
    <row r="25" ht="18" customHeight="1">
      <c r="A25" s="702" t="inlineStr">
        <is>
          <t>P009</t>
        </is>
      </c>
      <c r="B25" s="695" t="n">
        <v>407</v>
      </c>
      <c r="C25" s="703" t="inlineStr">
        <is>
          <t>R0075212</t>
        </is>
      </c>
      <c r="D25" s="702" t="inlineStr">
        <is>
          <t>10500 Havana Court</t>
        </is>
      </c>
      <c r="E25" s="702" t="inlineStr">
        <is>
          <t>Adams County</t>
        </is>
      </c>
      <c r="F25" s="702" t="inlineStr">
        <is>
          <t>CO</t>
        </is>
      </c>
      <c r="G25" s="702" t="inlineStr">
        <is>
          <t>Industrial</t>
        </is>
      </c>
      <c r="H25" s="702"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706" t="n">
        <v>9601</v>
      </c>
      <c r="Z25" s="702" t="n"/>
      <c r="AA25" s="705" t="n">
        <v>3045</v>
      </c>
      <c r="AB25" s="705" t="n">
        <v>1960</v>
      </c>
      <c r="AC25" s="706" t="n">
        <v>5005</v>
      </c>
      <c r="AD25" s="705" t="n">
        <v>3555</v>
      </c>
      <c r="AE25" s="705" t="n">
        <v>1567</v>
      </c>
      <c r="AF25" s="706" t="n">
        <v>5122</v>
      </c>
      <c r="AG25" s="705" t="n">
        <v>10035</v>
      </c>
      <c r="AH25" s="707" t="n">
        <v>69350</v>
      </c>
      <c r="AI25" s="707" t="n">
        <v>101114</v>
      </c>
      <c r="AJ25" s="707" t="n">
        <v>170464</v>
      </c>
      <c r="AK25" s="707" t="n">
        <v>290993</v>
      </c>
      <c r="AL25" s="702" t="n"/>
      <c r="AM25" s="710"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row>
    <row r="26" ht="18" customHeight="1">
      <c r="A26" s="702" t="inlineStr">
        <is>
          <t>P010</t>
        </is>
      </c>
      <c r="B26" s="695" t="n">
        <v>210</v>
      </c>
      <c r="C26" s="703" t="inlineStr">
        <is>
          <t>R0098225</t>
        </is>
      </c>
      <c r="D26" s="702" t="inlineStr">
        <is>
          <t>Broadway Business Center (7040B Broadway)</t>
        </is>
      </c>
      <c r="E26" s="702" t="inlineStr">
        <is>
          <t>Denver</t>
        </is>
      </c>
      <c r="F26" s="702" t="inlineStr">
        <is>
          <t>CO</t>
        </is>
      </c>
      <c r="G26" s="702" t="inlineStr">
        <is>
          <t>Flex/Industrial</t>
        </is>
      </c>
      <c r="H26" s="702"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706" t="n">
        <v>66445</v>
      </c>
      <c r="Z26" s="705" t="n">
        <v>49021</v>
      </c>
      <c r="AA26" s="705" t="n">
        <v>22802</v>
      </c>
      <c r="AB26" s="705" t="n">
        <v>58641</v>
      </c>
      <c r="AC26" s="706" t="n">
        <v>130464</v>
      </c>
      <c r="AD26" s="705" t="n">
        <v>53517</v>
      </c>
      <c r="AE26" s="702" t="n"/>
      <c r="AF26" s="706" t="n">
        <v>75845</v>
      </c>
      <c r="AG26" s="702" t="n"/>
      <c r="AH26" s="707" t="n">
        <v>484485</v>
      </c>
      <c r="AI26" s="707" t="n">
        <v>229515</v>
      </c>
      <c r="AJ26" s="707" t="n">
        <v>714000</v>
      </c>
      <c r="AK26" s="707" t="n">
        <v>533000</v>
      </c>
      <c r="AL26" s="702" t="n"/>
      <c r="AM26" s="710"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row>
    <row r="27" ht="18" customHeight="1">
      <c r="A27" s="702" t="inlineStr">
        <is>
          <t>P010</t>
        </is>
      </c>
      <c r="B27" s="695" t="n">
        <v>210</v>
      </c>
      <c r="C27" s="703" t="inlineStr">
        <is>
          <t>R0098225</t>
        </is>
      </c>
      <c r="D27" s="702" t="inlineStr">
        <is>
          <t>Broadway Business Center (7040B Broadway)</t>
        </is>
      </c>
      <c r="E27" s="702" t="inlineStr">
        <is>
          <t>Denver</t>
        </is>
      </c>
      <c r="F27" s="702" t="inlineStr">
        <is>
          <t>CO</t>
        </is>
      </c>
      <c r="G27" s="702" t="inlineStr">
        <is>
          <t>Flex/Industrial</t>
        </is>
      </c>
      <c r="H27" s="702"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706" t="n">
        <v>75128</v>
      </c>
      <c r="Z27" s="705" t="n">
        <v>58998</v>
      </c>
      <c r="AA27" s="705" t="n">
        <v>18144</v>
      </c>
      <c r="AB27" s="705" t="n">
        <v>52328</v>
      </c>
      <c r="AC27" s="706" t="n">
        <v>129470</v>
      </c>
      <c r="AD27" s="705" t="n">
        <v>87196</v>
      </c>
      <c r="AE27" s="702" t="n"/>
      <c r="AF27" s="706" t="n">
        <v>100191</v>
      </c>
      <c r="AG27" s="702" t="n"/>
      <c r="AH27" s="707" t="n">
        <v>502686</v>
      </c>
      <c r="AI27" s="707" t="n">
        <v>544314</v>
      </c>
      <c r="AJ27" s="707" t="n">
        <v>1047000</v>
      </c>
      <c r="AK27" s="707" t="n">
        <v>640000</v>
      </c>
      <c r="AL27" s="702" t="n"/>
      <c r="AM27" s="710"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row>
    <row r="28" ht="18" customHeight="1">
      <c r="A28" s="702" t="inlineStr">
        <is>
          <t>P011</t>
        </is>
      </c>
      <c r="B28" s="695" t="n">
        <v>210</v>
      </c>
      <c r="C28" s="703" t="inlineStr">
        <is>
          <t>R0103767</t>
        </is>
      </c>
      <c r="D28" s="702" t="inlineStr">
        <is>
          <t>5650 Washington St (Washington Business Park)</t>
        </is>
      </c>
      <c r="E28" s="702" t="inlineStr">
        <is>
          <t>Adams County</t>
        </is>
      </c>
      <c r="F28" s="702" t="inlineStr">
        <is>
          <t>CO</t>
        </is>
      </c>
      <c r="G28" s="702" t="inlineStr">
        <is>
          <t>Industrial/Flex</t>
        </is>
      </c>
      <c r="H28" s="702"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706" t="n">
        <v>71762</v>
      </c>
      <c r="Z28" s="702" t="n"/>
      <c r="AA28" s="705" t="n">
        <v>6528</v>
      </c>
      <c r="AB28" s="702" t="n"/>
      <c r="AC28" s="706" t="n">
        <v>6528</v>
      </c>
      <c r="AD28" s="705" t="n">
        <v>4858</v>
      </c>
      <c r="AE28" s="705" t="n">
        <v>525</v>
      </c>
      <c r="AF28" s="706" t="n">
        <v>5383</v>
      </c>
      <c r="AG28" s="702" t="n"/>
      <c r="AH28" s="707" t="n">
        <v>209625</v>
      </c>
      <c r="AI28" s="707" t="n">
        <v>64792</v>
      </c>
      <c r="AJ28" s="707" t="n">
        <v>274417</v>
      </c>
      <c r="AK28" s="707" t="n">
        <v>227649</v>
      </c>
      <c r="AL28" s="702" t="n"/>
      <c r="AM28" s="710"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row>
    <row r="29" ht="18" customHeight="1">
      <c r="A29" s="702" t="inlineStr">
        <is>
          <t>P011</t>
        </is>
      </c>
      <c r="B29" s="695" t="n">
        <v>210</v>
      </c>
      <c r="C29" s="703" t="inlineStr">
        <is>
          <t>R0103767</t>
        </is>
      </c>
      <c r="D29" s="702" t="inlineStr">
        <is>
          <t>5650 Washington St (Washington Business Park)</t>
        </is>
      </c>
      <c r="E29" s="702" t="inlineStr">
        <is>
          <t>Adams County</t>
        </is>
      </c>
      <c r="F29" s="702" t="inlineStr">
        <is>
          <t>CO</t>
        </is>
      </c>
      <c r="G29" s="702" t="inlineStr">
        <is>
          <t>Industrial/Flex</t>
        </is>
      </c>
      <c r="H29" s="702"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706" t="n">
        <v>83293</v>
      </c>
      <c r="Z29" s="702" t="n"/>
      <c r="AA29" s="705" t="n">
        <v>6029</v>
      </c>
      <c r="AB29" s="702" t="n"/>
      <c r="AC29" s="706" t="n">
        <v>6029</v>
      </c>
      <c r="AD29" s="705" t="n">
        <v>6487</v>
      </c>
      <c r="AE29" s="702" t="n"/>
      <c r="AF29" s="706" t="n">
        <v>6487</v>
      </c>
      <c r="AG29" s="702" t="n"/>
      <c r="AH29" s="707" t="n">
        <v>141304</v>
      </c>
      <c r="AI29" s="707" t="n">
        <v>63133</v>
      </c>
      <c r="AJ29" s="707" t="n">
        <v>204437</v>
      </c>
      <c r="AK29" s="707" t="n">
        <v>328030</v>
      </c>
      <c r="AL29" s="702" t="n"/>
      <c r="AM29" s="710" t="inlineStr">
        <is>
          <t>No mgmt fee in 2023; R&amp;M higher due to building repairs; gas negligible per statement; 2023 actuals</t>
        </is>
      </c>
      <c r="AN29">
        <f>IF(AND($B29=Subj_OccCode,Subj_BldgSF&gt;0,ABS($J29-Subj_BldgSF)&lt;=Subj_BldgSF*Subj_SizeTol),ABS($J29-Subj_BldgSF),NA())</f>
        <v/>
      </c>
      <c r="AO29">
        <f>IF(ISNA(AN29),NA(),AN29+ROW()/10000000)</f>
        <v/>
      </c>
    </row>
    <row r="30" ht="18" customHeight="1">
      <c r="A30" s="702" t="inlineStr">
        <is>
          <t>P011</t>
        </is>
      </c>
      <c r="B30" s="695" t="n">
        <v>210</v>
      </c>
      <c r="C30" s="703" t="inlineStr">
        <is>
          <t>R0103767</t>
        </is>
      </c>
      <c r="D30" s="702" t="inlineStr">
        <is>
          <t>5650 Washington St (Washington Business Park)</t>
        </is>
      </c>
      <c r="E30" s="702" t="inlineStr">
        <is>
          <t>Adams County</t>
        </is>
      </c>
      <c r="F30" s="702" t="inlineStr">
        <is>
          <t>CO</t>
        </is>
      </c>
      <c r="G30" s="702" t="inlineStr">
        <is>
          <t>Industrial/Flex</t>
        </is>
      </c>
      <c r="H30" s="702"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706" t="n">
        <v>32385</v>
      </c>
      <c r="Z30" s="702" t="n"/>
      <c r="AA30" s="705" t="n">
        <v>4814</v>
      </c>
      <c r="AB30" s="702" t="n"/>
      <c r="AC30" s="706" t="n">
        <v>4814</v>
      </c>
      <c r="AD30" s="705" t="n">
        <v>5690</v>
      </c>
      <c r="AE30" s="702" t="n"/>
      <c r="AF30" s="706" t="n">
        <v>5690</v>
      </c>
      <c r="AG30" s="702" t="n"/>
      <c r="AH30" s="712" t="n"/>
      <c r="AI30" s="712" t="n"/>
      <c r="AJ30" s="707" t="n">
        <v>331645</v>
      </c>
      <c r="AK30" s="707" t="n">
        <v>185389</v>
      </c>
      <c r="AL30" s="702" t="n"/>
      <c r="AM30" s="710" t="inlineStr">
        <is>
          <t>RE Tax not separately identified in 2024 column of operating stmt; total OPX from actuals; NOI confirmed</t>
        </is>
      </c>
      <c r="AN30">
        <f>IF(AND($B30=Subj_OccCode,Subj_BldgSF&gt;0,ABS($J30-Subj_BldgSF)&lt;=Subj_BldgSF*Subj_SizeTol),ABS($J30-Subj_BldgSF),NA())</f>
        <v/>
      </c>
      <c r="AO30">
        <f>IF(ISNA(AN30),NA(),AN30+ROW()/10000000)</f>
        <v/>
      </c>
    </row>
    <row r="31" ht="18" customHeight="1">
      <c r="A31" s="702" t="inlineStr">
        <is>
          <t>P012</t>
        </is>
      </c>
      <c r="B31" s="695" t="n">
        <v>344</v>
      </c>
      <c r="C31" s="703" t="inlineStr">
        <is>
          <t>R0124385</t>
        </is>
      </c>
      <c r="D31" s="702" t="inlineStr">
        <is>
          <t>Unknown (Tax District 555)</t>
        </is>
      </c>
      <c r="E31" s="702" t="inlineStr">
        <is>
          <t>Adams County</t>
        </is>
      </c>
      <c r="F31" s="702" t="inlineStr">
        <is>
          <t>CO</t>
        </is>
      </c>
      <c r="G31" s="702" t="inlineStr">
        <is>
          <t>Office</t>
        </is>
      </c>
      <c r="H31" s="702"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711" t="n"/>
      <c r="Z31" s="702" t="n"/>
      <c r="AA31" s="702" t="n"/>
      <c r="AB31" s="702" t="n"/>
      <c r="AC31" s="711" t="n"/>
      <c r="AD31" s="702" t="n"/>
      <c r="AE31" s="702" t="n"/>
      <c r="AF31" s="711" t="n"/>
      <c r="AG31" s="702" t="n"/>
      <c r="AH31" s="707" t="n">
        <v>108096</v>
      </c>
      <c r="AI31" s="707" t="n">
        <v>45179</v>
      </c>
      <c r="AJ31" s="707" t="n">
        <v>153275</v>
      </c>
      <c r="AK31" s="707" t="n">
        <v>167644</v>
      </c>
      <c r="AL31" s="702" t="n"/>
      <c r="AM31" s="710" t="inlineStr">
        <is>
          <t>Limited line-item detail; totals from PROFORMA BASIS FOR OFFER.xlsx actuals section</t>
        </is>
      </c>
      <c r="AN31">
        <f>IF(AND($B31=Subj_OccCode,Subj_BldgSF&gt;0,ABS($J31-Subj_BldgSF)&lt;=Subj_BldgSF*Subj_SizeTol),ABS($J31-Subj_BldgSF),NA())</f>
        <v/>
      </c>
      <c r="AO31">
        <f>IF(ISNA(AN31),NA(),AN31+ROW()/10000000)</f>
        <v/>
      </c>
    </row>
    <row r="32" ht="18" customHeight="1">
      <c r="A32" s="702" t="inlineStr">
        <is>
          <t>P012</t>
        </is>
      </c>
      <c r="B32" s="695" t="n">
        <v>344</v>
      </c>
      <c r="C32" s="703" t="inlineStr">
        <is>
          <t>R0124385</t>
        </is>
      </c>
      <c r="D32" s="702" t="inlineStr">
        <is>
          <t>Unknown (Tax District 555)</t>
        </is>
      </c>
      <c r="E32" s="702" t="inlineStr">
        <is>
          <t>Adams County</t>
        </is>
      </c>
      <c r="F32" s="702" t="inlineStr">
        <is>
          <t>CO</t>
        </is>
      </c>
      <c r="G32" s="702" t="inlineStr">
        <is>
          <t>Office</t>
        </is>
      </c>
      <c r="H32" s="702"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711" t="n"/>
      <c r="Z32" s="702" t="n"/>
      <c r="AA32" s="702" t="n"/>
      <c r="AB32" s="702" t="n"/>
      <c r="AC32" s="711" t="n"/>
      <c r="AD32" s="702" t="n"/>
      <c r="AE32" s="702" t="n"/>
      <c r="AF32" s="711" t="n"/>
      <c r="AG32" s="702" t="n"/>
      <c r="AH32" s="707" t="n">
        <v>127491</v>
      </c>
      <c r="AI32" s="707" t="n">
        <v>43698</v>
      </c>
      <c r="AJ32" s="707" t="n">
        <v>185189</v>
      </c>
      <c r="AK32" s="707" t="n">
        <v>171065</v>
      </c>
      <c r="AL32" s="702" t="n"/>
      <c r="AM32" s="710" t="inlineStr">
        <is>
          <t>CapEx $14,000 non-recurring excluded from OPX; limited line-item detail</t>
        </is>
      </c>
      <c r="AN32">
        <f>IF(AND($B32=Subj_OccCode,Subj_BldgSF&gt;0,ABS($J32-Subj_BldgSF)&lt;=Subj_BldgSF*Subj_SizeTol),ABS($J32-Subj_BldgSF),NA())</f>
        <v/>
      </c>
      <c r="AO32">
        <f>IF(ISNA(AN32),NA(),AN32+ROW()/10000000)</f>
        <v/>
      </c>
    </row>
    <row r="33" ht="18" customHeight="1">
      <c r="A33" s="702" t="inlineStr">
        <is>
          <t>P013</t>
        </is>
      </c>
      <c r="B33" s="695" t="n">
        <v>353</v>
      </c>
      <c r="C33" s="703" t="inlineStr">
        <is>
          <t>R0169176</t>
        </is>
      </c>
      <c r="D33" s="702" t="inlineStr">
        <is>
          <t>Unknown (new const., opened Oct 2023)</t>
        </is>
      </c>
      <c r="E33" s="702" t="inlineStr">
        <is>
          <t>Adams County</t>
        </is>
      </c>
      <c r="F33" s="702" t="inlineStr">
        <is>
          <t>CO</t>
        </is>
      </c>
      <c r="G33" s="702" t="inlineStr">
        <is>
          <t>Retail/Office</t>
        </is>
      </c>
      <c r="H33" s="702"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706" t="n">
        <v>50972</v>
      </c>
      <c r="Z33" s="702" t="n"/>
      <c r="AA33" s="705" t="n">
        <v>7543</v>
      </c>
      <c r="AB33" s="702" t="n"/>
      <c r="AC33" s="706" t="n">
        <v>7543</v>
      </c>
      <c r="AD33" s="705" t="n">
        <v>4602</v>
      </c>
      <c r="AE33" s="705" t="n">
        <v>51467</v>
      </c>
      <c r="AF33" s="706" t="n">
        <v>56069</v>
      </c>
      <c r="AG33" s="702" t="n"/>
      <c r="AH33" s="707" t="n">
        <v>157946</v>
      </c>
      <c r="AI33" s="707" t="n">
        <v>125577</v>
      </c>
      <c r="AJ33" s="707" t="n">
        <v>283523</v>
      </c>
      <c r="AK33" s="707" t="n">
        <v>241009</v>
      </c>
      <c r="AL33" s="702" t="n"/>
      <c r="AM33" s="710" t="inlineStr">
        <is>
          <t>2023 partial year (opened Oct 2023); RE Tax high for new construction; gas $3,877 + elec $47,590 in utilities</t>
        </is>
      </c>
      <c r="AN33">
        <f>IF(AND($B33=Subj_OccCode,Subj_BldgSF&gt;0,ABS($J33-Subj_BldgSF)&lt;=Subj_BldgSF*Subj_SizeTol),ABS($J33-Subj_BldgSF),NA())</f>
        <v/>
      </c>
      <c r="AO33">
        <f>IF(ISNA(AN33),NA(),AN33+ROW()/10000000)</f>
        <v/>
      </c>
    </row>
    <row r="34" ht="18" customHeight="1">
      <c r="A34" s="702" t="inlineStr">
        <is>
          <t>P013</t>
        </is>
      </c>
      <c r="B34" s="695" t="n">
        <v>353</v>
      </c>
      <c r="C34" s="703" t="inlineStr">
        <is>
          <t>R0169176</t>
        </is>
      </c>
      <c r="D34" s="702" t="inlineStr">
        <is>
          <t>Unknown (new const., opened Oct 2023)</t>
        </is>
      </c>
      <c r="E34" s="702" t="inlineStr">
        <is>
          <t>Adams County</t>
        </is>
      </c>
      <c r="F34" s="702" t="inlineStr">
        <is>
          <t>CO</t>
        </is>
      </c>
      <c r="G34" s="702" t="inlineStr">
        <is>
          <t>Retail/Office</t>
        </is>
      </c>
      <c r="H34" s="702"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706" t="n">
        <v>36931</v>
      </c>
      <c r="Z34" s="702" t="n"/>
      <c r="AA34" s="705" t="n">
        <v>27159</v>
      </c>
      <c r="AB34" s="702" t="n"/>
      <c r="AC34" s="706" t="n">
        <v>27159</v>
      </c>
      <c r="AD34" s="705" t="n">
        <v>5043</v>
      </c>
      <c r="AE34" s="705" t="n">
        <v>54230</v>
      </c>
      <c r="AF34" s="706" t="n">
        <v>59273</v>
      </c>
      <c r="AG34" s="702" t="n"/>
      <c r="AH34" s="707" t="n">
        <v>162518</v>
      </c>
      <c r="AI34" s="707" t="n">
        <v>156074</v>
      </c>
      <c r="AJ34" s="707" t="n">
        <v>318592</v>
      </c>
      <c r="AK34" s="707" t="n">
        <v>278464</v>
      </c>
      <c r="AL34" s="702" t="n"/>
      <c r="AM34" s="710"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row>
    <row r="35" ht="18" customHeight="1">
      <c r="A35" s="702" t="inlineStr">
        <is>
          <t>P014</t>
        </is>
      </c>
      <c r="B35" s="695" t="n">
        <v>407</v>
      </c>
      <c r="C35" s="703" t="inlineStr">
        <is>
          <t>R0198530</t>
        </is>
      </c>
      <c r="D35" s="702" t="inlineStr">
        <is>
          <t>Amazon DEN7 Distribution Center</t>
        </is>
      </c>
      <c r="E35" s="702" t="inlineStr">
        <is>
          <t>Aurora</t>
        </is>
      </c>
      <c r="F35" s="702" t="inlineStr">
        <is>
          <t>CO</t>
        </is>
      </c>
      <c r="G35" s="702" t="inlineStr">
        <is>
          <t>Industrial/Distribution</t>
        </is>
      </c>
      <c r="H35" s="702"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711" t="n"/>
      <c r="Z35" s="702" t="n"/>
      <c r="AA35" s="702" t="n"/>
      <c r="AB35" s="702" t="n"/>
      <c r="AC35" s="706" t="n">
        <v>22360</v>
      </c>
      <c r="AD35" s="702" t="n"/>
      <c r="AE35" s="702" t="n"/>
      <c r="AF35" s="706" t="n">
        <v>1107</v>
      </c>
      <c r="AG35" s="702" t="n"/>
      <c r="AH35" s="707" t="n">
        <v>197351</v>
      </c>
      <c r="AI35" s="707" t="n">
        <v>1617282</v>
      </c>
      <c r="AJ35" s="707" t="n">
        <v>1814633</v>
      </c>
      <c r="AK35" s="712" t="n"/>
      <c r="AL35" s="702" t="n"/>
      <c r="AM35" s="710"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row>
    <row r="36" ht="18" customHeight="1">
      <c r="A36" s="702" t="inlineStr">
        <is>
          <t>P014</t>
        </is>
      </c>
      <c r="B36" s="695" t="n">
        <v>407</v>
      </c>
      <c r="C36" s="703" t="inlineStr">
        <is>
          <t>R0198530</t>
        </is>
      </c>
      <c r="D36" s="702" t="inlineStr">
        <is>
          <t>Amazon DEN7 Distribution Center</t>
        </is>
      </c>
      <c r="E36" s="702" t="inlineStr">
        <is>
          <t>Aurora</t>
        </is>
      </c>
      <c r="F36" s="702" t="inlineStr">
        <is>
          <t>CO</t>
        </is>
      </c>
      <c r="G36" s="702" t="inlineStr">
        <is>
          <t>Industrial/Distribution</t>
        </is>
      </c>
      <c r="H36" s="702"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711" t="n"/>
      <c r="Z36" s="702" t="n"/>
      <c r="AA36" s="702" t="n"/>
      <c r="AB36" s="705" t="n">
        <v>2110</v>
      </c>
      <c r="AC36" s="706" t="n">
        <v>17455</v>
      </c>
      <c r="AD36" s="702" t="n"/>
      <c r="AE36" s="702" t="n"/>
      <c r="AF36" s="706" t="n">
        <v>2024</v>
      </c>
      <c r="AG36" s="702" t="n"/>
      <c r="AH36" s="707" t="n">
        <v>154693</v>
      </c>
      <c r="AI36" s="707" t="n">
        <v>2161856</v>
      </c>
      <c r="AJ36" s="707" t="n">
        <v>2316549</v>
      </c>
      <c r="AK36" s="712" t="n"/>
      <c r="AL36" s="702" t="n"/>
      <c r="AM36" s="710" t="inlineStr">
        <is>
          <t>NNN; RE Tax $2.162M = $3.89/SF reflecting Adams County assessment increase (+34% YOY); 2024 CAM reconciliation</t>
        </is>
      </c>
      <c r="AN36">
        <f>IF(AND($B36=Subj_OccCode,Subj_BldgSF&gt;0,ABS($J36-Subj_BldgSF)&lt;=Subj_BldgSF*Subj_SizeTol),ABS($J36-Subj_BldgSF),NA())</f>
        <v/>
      </c>
      <c r="AO36">
        <f>IF(ISNA(AN36),NA(),AN36+ROW()/10000000)</f>
        <v/>
      </c>
    </row>
    <row r="37">
      <c r="A37" s="703" t="inlineStr">
        <is>
          <t>P015</t>
        </is>
      </c>
      <c r="B37" s="695" t="n">
        <v>407</v>
      </c>
      <c r="C37" s="703" t="inlineStr">
        <is>
          <t>R0180894</t>
        </is>
      </c>
      <c r="D37" s="703" t="inlineStr">
        <is>
          <t>1910 N Gun Club Rd</t>
        </is>
      </c>
      <c r="E37" s="703" t="inlineStr">
        <is>
          <t>Aurora</t>
        </is>
      </c>
      <c r="F37" s="703" t="inlineStr">
        <is>
          <t>CO</t>
        </is>
      </c>
      <c r="G37" s="703" t="inlineStr">
        <is>
          <t>Industrial</t>
        </is>
      </c>
      <c r="H37" s="703"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703" t="inlineStr">
        <is>
          <t>Actual accrual; security $159,500 in Other</t>
        </is>
      </c>
      <c r="AN37">
        <f>IF(AND($B37=Subj_OccCode,Subj_BldgSF&gt;0,ABS($J37-Subj_BldgSF)&lt;=Subj_BldgSF*Subj_SizeTol),ABS($J37-Subj_BldgSF),NA())</f>
        <v/>
      </c>
      <c r="AO37">
        <f>IF(ISNA(AN37),NA(),AN37+ROW()/10000000)</f>
        <v/>
      </c>
    </row>
    <row r="38">
      <c r="A38" s="703" t="inlineStr">
        <is>
          <t>P015</t>
        </is>
      </c>
      <c r="B38" s="695" t="n">
        <v>407</v>
      </c>
      <c r="C38" s="703" t="inlineStr">
        <is>
          <t>R0180894</t>
        </is>
      </c>
      <c r="D38" s="703" t="inlineStr">
        <is>
          <t>1910 N Gun Club Rd</t>
        </is>
      </c>
      <c r="E38" s="703" t="inlineStr">
        <is>
          <t>Aurora</t>
        </is>
      </c>
      <c r="F38" s="703" t="inlineStr">
        <is>
          <t>CO</t>
        </is>
      </c>
      <c r="G38" s="703" t="inlineStr">
        <is>
          <t>Industrial</t>
        </is>
      </c>
      <c r="H38" s="703"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703" t="inlineStr">
        <is>
          <t>Actual accrual; security $132,552 in Other</t>
        </is>
      </c>
      <c r="AN38">
        <f>IF(AND($B38=Subj_OccCode,Subj_BldgSF&gt;0,ABS($J38-Subj_BldgSF)&lt;=Subj_BldgSF*Subj_SizeTol),ABS($J38-Subj_BldgSF),NA())</f>
        <v/>
      </c>
      <c r="AO38">
        <f>IF(ISNA(AN38),NA(),AN38+ROW()/10000000)</f>
        <v/>
      </c>
    </row>
    <row r="39">
      <c r="A39" s="703" t="inlineStr">
        <is>
          <t>P016</t>
        </is>
      </c>
      <c r="B39" s="695" t="n">
        <v>584</v>
      </c>
      <c r="C39" s="703" t="inlineStr">
        <is>
          <t>R0212546/R0212547</t>
        </is>
      </c>
      <c r="D39" s="703" t="inlineStr">
        <is>
          <t>2780 N Tower Rd</t>
        </is>
      </c>
      <c r="E39" s="703" t="inlineStr">
        <is>
          <t>Aurora</t>
        </is>
      </c>
      <c r="F39" s="703" t="inlineStr">
        <is>
          <t>CO</t>
        </is>
      </c>
      <c r="G39" s="703" t="inlineStr">
        <is>
          <t>Industrial</t>
        </is>
      </c>
      <c r="H39" s="703"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703" t="inlineStr">
        <is>
          <t>County proforma only; limited line-item detail available</t>
        </is>
      </c>
      <c r="AN39">
        <f>IF(AND($B39=Subj_OccCode,Subj_BldgSF&gt;0,ABS($J39-Subj_BldgSF)&lt;=Subj_BldgSF*Subj_SizeTol),ABS($J39-Subj_BldgSF),NA())</f>
        <v/>
      </c>
      <c r="AO39">
        <f>IF(ISNA(AN39),NA(),AN39+ROW()/10000000)</f>
        <v/>
      </c>
    </row>
    <row r="40">
      <c r="A40" s="703" t="inlineStr">
        <is>
          <t>P017</t>
        </is>
      </c>
      <c r="B40" s="695" t="n">
        <v>210</v>
      </c>
      <c r="C40" s="703" t="inlineStr">
        <is>
          <t>R0098098</t>
        </is>
      </c>
      <c r="D40" s="703" t="inlineStr">
        <is>
          <t>1445 E 68th Ave</t>
        </is>
      </c>
      <c r="E40" s="703" t="inlineStr">
        <is>
          <t>Denver</t>
        </is>
      </c>
      <c r="F40" s="703" t="inlineStr">
        <is>
          <t>CO</t>
        </is>
      </c>
      <c r="G40" s="703" t="inlineStr">
        <is>
          <t>Industrial</t>
        </is>
      </c>
      <c r="H40" s="703"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703" t="inlineStr">
        <is>
          <t>County proforma 2024; YOC 1972/2006/2023 additions</t>
        </is>
      </c>
      <c r="AN40">
        <f>IF(AND($B40=Subj_OccCode,Subj_BldgSF&gt;0,ABS($J40-Subj_BldgSF)&lt;=Subj_BldgSF*Subj_SizeTol),ABS($J40-Subj_BldgSF),NA())</f>
        <v/>
      </c>
      <c r="AO40">
        <f>IF(ISNA(AN40),NA(),AN40+ROW()/10000000)</f>
        <v/>
      </c>
    </row>
    <row r="41">
      <c r="A41" s="703" t="inlineStr">
        <is>
          <t>P018</t>
        </is>
      </c>
      <c r="B41" s="695" t="n">
        <v>406</v>
      </c>
      <c r="C41" s="703" t="inlineStr">
        <is>
          <t>R0103783</t>
        </is>
      </c>
      <c r="D41" s="703" t="inlineStr">
        <is>
          <t>2031 E 58th Ave</t>
        </is>
      </c>
      <c r="E41" s="703" t="inlineStr">
        <is>
          <t>Denver</t>
        </is>
      </c>
      <c r="F41" s="703" t="inlineStr">
        <is>
          <t>CO</t>
        </is>
      </c>
      <c r="G41" s="703" t="inlineStr">
        <is>
          <t>Industrial</t>
        </is>
      </c>
      <c r="H41" s="703"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703" t="inlineStr">
        <is>
          <t>NNN billed charges; EGI = base rent + NNN pass-throughs</t>
        </is>
      </c>
      <c r="AN41">
        <f>IF(AND($B41=Subj_OccCode,Subj_BldgSF&gt;0,ABS($J41-Subj_BldgSF)&lt;=Subj_BldgSF*Subj_SizeTol),ABS($J41-Subj_BldgSF),NA())</f>
        <v/>
      </c>
      <c r="AO41">
        <f>IF(ISNA(AN41),NA(),AN41+ROW()/10000000)</f>
        <v/>
      </c>
    </row>
    <row r="42">
      <c r="A42" s="703" t="inlineStr">
        <is>
          <t>P018</t>
        </is>
      </c>
      <c r="B42" s="695" t="n">
        <v>406</v>
      </c>
      <c r="C42" s="703" t="inlineStr">
        <is>
          <t>R0103783</t>
        </is>
      </c>
      <c r="D42" s="703" t="inlineStr">
        <is>
          <t>2031 E 58th Ave</t>
        </is>
      </c>
      <c r="E42" s="703" t="inlineStr">
        <is>
          <t>Denver</t>
        </is>
      </c>
      <c r="F42" s="703" t="inlineStr">
        <is>
          <t>CO</t>
        </is>
      </c>
      <c r="G42" s="703" t="inlineStr">
        <is>
          <t>Industrial</t>
        </is>
      </c>
      <c r="H42" s="703"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703" t="inlineStr">
        <is>
          <t>NNN billed charges; EGI = base rent + NNN pass-throughs</t>
        </is>
      </c>
      <c r="AN42">
        <f>IF(AND($B42=Subj_OccCode,Subj_BldgSF&gt;0,ABS($J42-Subj_BldgSF)&lt;=Subj_BldgSF*Subj_SizeTol),ABS($J42-Subj_BldgSF),NA())</f>
        <v/>
      </c>
      <c r="AO42">
        <f>IF(ISNA(AN42),NA(),AN42+ROW()/10000000)</f>
        <v/>
      </c>
    </row>
    <row r="43">
      <c r="A43" s="703" t="inlineStr">
        <is>
          <t>P019</t>
        </is>
      </c>
      <c r="B43" s="695" t="n">
        <v>407</v>
      </c>
      <c r="C43" s="703" t="inlineStr">
        <is>
          <t>R0210402/R0210403</t>
        </is>
      </c>
      <c r="D43" s="703" t="inlineStr">
        <is>
          <t>17190 E 85th Ave</t>
        </is>
      </c>
      <c r="E43" s="703" t="inlineStr">
        <is>
          <t>Commerce City</t>
        </is>
      </c>
      <c r="F43" s="703" t="inlineStr">
        <is>
          <t>CO</t>
        </is>
      </c>
      <c r="G43" s="703" t="inlineStr">
        <is>
          <t>Industrial</t>
        </is>
      </c>
      <c r="H43" s="703"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703" t="inlineStr">
        <is>
          <t>Petitioner proforma 2024/25; limited line-item detail</t>
        </is>
      </c>
      <c r="AN43">
        <f>IF(AND($B43=Subj_OccCode,Subj_BldgSF&gt;0,ABS($J43-Subj_BldgSF)&lt;=Subj_BldgSF*Subj_SizeTol),ABS($J43-Subj_BldgSF),NA())</f>
        <v/>
      </c>
      <c r="AO43">
        <f>IF(ISNA(AN43),NA(),AN43+ROW()/10000000)</f>
        <v/>
      </c>
    </row>
    <row r="44">
      <c r="A44" s="703" t="inlineStr">
        <is>
          <t>P020</t>
        </is>
      </c>
      <c r="B44" s="695" t="n">
        <v>584</v>
      </c>
      <c r="C44" s="703" t="inlineStr">
        <is>
          <t>R0209679</t>
        </is>
      </c>
      <c r="D44" s="703" t="inlineStr">
        <is>
          <t>17501 E 84th Ave</t>
        </is>
      </c>
      <c r="E44" s="703" t="inlineStr">
        <is>
          <t>Commerce City</t>
        </is>
      </c>
      <c r="F44" s="703" t="inlineStr">
        <is>
          <t>CO</t>
        </is>
      </c>
      <c r="G44" s="703" t="inlineStr">
        <is>
          <t>Industrial</t>
        </is>
      </c>
      <c r="H44" s="703"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703" t="inlineStr">
        <is>
          <t>Actual accrual; 2023 NOI inflated ~$2.8M by prior-yr RE tax adj; security in Other</t>
        </is>
      </c>
      <c r="AN44">
        <f>IF(AND($B44=Subj_OccCode,Subj_BldgSF&gt;0,ABS($J44-Subj_BldgSF)&lt;=Subj_BldgSF*Subj_SizeTol),ABS($J44-Subj_BldgSF),NA())</f>
        <v/>
      </c>
      <c r="AO44">
        <f>IF(ISNA(AN44),NA(),AN44+ROW()/10000000)</f>
        <v/>
      </c>
    </row>
    <row r="45">
      <c r="A45" s="703" t="inlineStr">
        <is>
          <t>P020</t>
        </is>
      </c>
      <c r="B45" s="695" t="n">
        <v>584</v>
      </c>
      <c r="C45" s="703" t="inlineStr">
        <is>
          <t>R0209679</t>
        </is>
      </c>
      <c r="D45" s="703" t="inlineStr">
        <is>
          <t>17501 E 84th Ave</t>
        </is>
      </c>
      <c r="E45" s="703" t="inlineStr">
        <is>
          <t>Commerce City</t>
        </is>
      </c>
      <c r="F45" s="703" t="inlineStr">
        <is>
          <t>CO</t>
        </is>
      </c>
      <c r="G45" s="703" t="inlineStr">
        <is>
          <t>Industrial</t>
        </is>
      </c>
      <c r="H45" s="703"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703" t="inlineStr">
        <is>
          <t>Actual accrual; security $30,799 in Other</t>
        </is>
      </c>
      <c r="AN45">
        <f>IF(AND($B45=Subj_OccCode,Subj_BldgSF&gt;0,ABS($J45-Subj_BldgSF)&lt;=Subj_BldgSF*Subj_SizeTol),ABS($J45-Subj_BldgSF),NA())</f>
        <v/>
      </c>
      <c r="AO45">
        <f>IF(ISNA(AN45),NA(),AN45+ROW()/10000000)</f>
        <v/>
      </c>
    </row>
    <row r="46">
      <c r="A46" s="703" t="inlineStr">
        <is>
          <t>P021</t>
        </is>
      </c>
      <c r="B46" s="695" t="n">
        <v>210</v>
      </c>
      <c r="C46" s="703" t="inlineStr">
        <is>
          <t>R0091931</t>
        </is>
      </c>
      <c r="D46" s="703" t="inlineStr">
        <is>
          <t>6300 E. 58th Ave</t>
        </is>
      </c>
      <c r="E46" s="703" t="inlineStr">
        <is>
          <t>Commerce City</t>
        </is>
      </c>
      <c r="F46" s="703" t="inlineStr">
        <is>
          <t>CO</t>
        </is>
      </c>
      <c r="G46" s="703" t="inlineStr">
        <is>
          <t>Industrial</t>
        </is>
      </c>
      <c r="H46" s="703"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703" t="inlineStr">
        <is>
          <t>Actual accrual; parking sweep in Trash; admin fees in Mgmt</t>
        </is>
      </c>
      <c r="AN46">
        <f>IF(AND($B46=Subj_OccCode,Subj_BldgSF&gt;0,ABS($J46-Subj_BldgSF)&lt;=Subj_BldgSF*Subj_SizeTol),ABS($J46-Subj_BldgSF),NA())</f>
        <v/>
      </c>
      <c r="AO46">
        <f>IF(ISNA(AN46),NA(),AN46+ROW()/10000000)</f>
        <v/>
      </c>
    </row>
    <row r="47">
      <c r="A47" s="703" t="inlineStr">
        <is>
          <t>P021</t>
        </is>
      </c>
      <c r="B47" s="695" t="n">
        <v>210</v>
      </c>
      <c r="C47" s="703" t="inlineStr">
        <is>
          <t>R0091931</t>
        </is>
      </c>
      <c r="D47" s="703" t="inlineStr">
        <is>
          <t>6300 E. 58th Ave</t>
        </is>
      </c>
      <c r="E47" s="703" t="inlineStr">
        <is>
          <t>Commerce City</t>
        </is>
      </c>
      <c r="F47" s="703" t="inlineStr">
        <is>
          <t>CO</t>
        </is>
      </c>
      <c r="G47" s="703" t="inlineStr">
        <is>
          <t>Industrial</t>
        </is>
      </c>
      <c r="H47" s="703"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703" t="inlineStr">
        <is>
          <t>Actual accrual; snow $14,953 also listed under ext R&amp;M; security/admin in ext maint</t>
        </is>
      </c>
      <c r="AN47">
        <f>IF(AND($B47=Subj_OccCode,Subj_BldgSF&gt;0,ABS($J47-Subj_BldgSF)&lt;=Subj_BldgSF*Subj_SizeTol),ABS($J47-Subj_BldgSF),NA())</f>
        <v/>
      </c>
      <c r="AO47">
        <f>IF(ISNA(AN47),NA(),AN47+ROW()/10000000)</f>
        <v/>
      </c>
    </row>
    <row r="48">
      <c r="A48" s="703" t="inlineStr">
        <is>
          <t>P022</t>
        </is>
      </c>
      <c r="B48" s="695" t="n">
        <v>210</v>
      </c>
      <c r="C48" s="703" t="inlineStr">
        <is>
          <t>R0111559</t>
        </is>
      </c>
      <c r="D48" s="703" t="inlineStr">
        <is>
          <t>3590 N. Himalaya Rd (Bldg 6)</t>
        </is>
      </c>
      <c r="E48" s="703" t="inlineStr">
        <is>
          <t>Aurora</t>
        </is>
      </c>
      <c r="F48" s="703" t="inlineStr">
        <is>
          <t>CO</t>
        </is>
      </c>
      <c r="G48" s="703" t="inlineStr">
        <is>
          <t>Industrial</t>
        </is>
      </c>
      <c r="H48" s="703"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703" t="inlineStr">
        <is>
          <t>2024 only – 2023 was transitional vacancy year; SF not confirmed; approx figures</t>
        </is>
      </c>
      <c r="AN48">
        <f>IF(AND($B48=Subj_OccCode,Subj_BldgSF&gt;0,ABS($J48-Subj_BldgSF)&lt;=Subj_BldgSF*Subj_SizeTol),ABS($J48-Subj_BldgSF),NA())</f>
        <v/>
      </c>
      <c r="AO48">
        <f>IF(ISNA(AN48),NA(),AN48+ROW()/10000000)</f>
        <v/>
      </c>
    </row>
    <row r="49">
      <c r="A49" s="703" t="inlineStr">
        <is>
          <t>P023</t>
        </is>
      </c>
      <c r="B49" s="695" t="n">
        <v>407</v>
      </c>
      <c r="C49" s="703" t="inlineStr">
        <is>
          <t>R0191098</t>
        </is>
      </c>
      <c r="D49" s="703" t="inlineStr">
        <is>
          <t>19754 E. 35th Dr (Bldg 4)</t>
        </is>
      </c>
      <c r="E49" s="703" t="inlineStr">
        <is>
          <t>Aurora</t>
        </is>
      </c>
      <c r="F49" s="703" t="inlineStr">
        <is>
          <t>CO</t>
        </is>
      </c>
      <c r="G49" s="703" t="inlineStr">
        <is>
          <t>Industrial</t>
        </is>
      </c>
      <c r="H49" s="703"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703" t="inlineStr">
        <is>
          <t>NNN; tenant pays most R&amp;M directly; Quality Custom Distribution lease thru 12/31/2029</t>
        </is>
      </c>
      <c r="AN49">
        <f>IF(AND($B49=Subj_OccCode,Subj_BldgSF&gt;0,ABS($J49-Subj_BldgSF)&lt;=Subj_BldgSF*Subj_SizeTol),ABS($J49-Subj_BldgSF),NA())</f>
        <v/>
      </c>
      <c r="AO49">
        <f>IF(ISNA(AN49),NA(),AN49+ROW()/10000000)</f>
        <v/>
      </c>
    </row>
    <row r="50">
      <c r="A50" s="703" t="inlineStr">
        <is>
          <t>P023</t>
        </is>
      </c>
      <c r="B50" s="695" t="n">
        <v>407</v>
      </c>
      <c r="C50" s="703" t="inlineStr">
        <is>
          <t>R0191098</t>
        </is>
      </c>
      <c r="D50" s="703" t="inlineStr">
        <is>
          <t>19754 E. 35th Dr (Bldg 4)</t>
        </is>
      </c>
      <c r="E50" s="703" t="inlineStr">
        <is>
          <t>Aurora</t>
        </is>
      </c>
      <c r="F50" s="703" t="inlineStr">
        <is>
          <t>CO</t>
        </is>
      </c>
      <c r="G50" s="703" t="inlineStr">
        <is>
          <t>Industrial</t>
        </is>
      </c>
      <c r="H50" s="703"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703" t="inlineStr">
        <is>
          <t>NNN; tenant pays most R&amp;M directly</t>
        </is>
      </c>
      <c r="AN50">
        <f>IF(AND($B50=Subj_OccCode,Subj_BldgSF&gt;0,ABS($J50-Subj_BldgSF)&lt;=Subj_BldgSF*Subj_SizeTol),ABS($J50-Subj_BldgSF),NA())</f>
        <v/>
      </c>
      <c r="AO50">
        <f>IF(ISNA(AN50),NA(),AN50+ROW()/10000000)</f>
        <v/>
      </c>
    </row>
    <row r="51">
      <c r="A51" s="703" t="inlineStr">
        <is>
          <t>P024</t>
        </is>
      </c>
      <c r="B51" s="695" t="n">
        <v>407</v>
      </c>
      <c r="C51" s="703" t="inlineStr">
        <is>
          <t>R0111560</t>
        </is>
      </c>
      <c r="D51" s="703" t="inlineStr">
        <is>
          <t>20320 E. 36th Dr (Bldg 7)</t>
        </is>
      </c>
      <c r="E51" s="703" t="inlineStr">
        <is>
          <t>Aurora</t>
        </is>
      </c>
      <c r="F51" s="703" t="inlineStr">
        <is>
          <t>CO</t>
        </is>
      </c>
      <c r="G51" s="703" t="inlineStr">
        <is>
          <t>Industrial</t>
        </is>
      </c>
      <c r="H51" s="703"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703" t="inlineStr">
        <is>
          <t>FedEx NNN thru 4/30/2024; tenant pays nearly all expenses; 2024 excluded (lease expiry vacancy)</t>
        </is>
      </c>
      <c r="AN51">
        <f>IF(AND($B51=Subj_OccCode,Subj_BldgSF&gt;0,ABS($J51-Subj_BldgSF)&lt;=Subj_BldgSF*Subj_SizeTol),ABS($J51-Subj_BldgSF),NA())</f>
        <v/>
      </c>
      <c r="AO51">
        <f>IF(ISNA(AN51),NA(),AN51+ROW()/10000000)</f>
        <v/>
      </c>
    </row>
    <row r="52">
      <c r="A52" s="703" t="inlineStr">
        <is>
          <t>P025</t>
        </is>
      </c>
      <c r="B52" s="695" t="n">
        <v>210</v>
      </c>
      <c r="C52" s="703" t="inlineStr">
        <is>
          <t>R0191099</t>
        </is>
      </c>
      <c r="D52" s="703" t="inlineStr">
        <is>
          <t>3559 N. Himalaya Rd (Bldg 5)</t>
        </is>
      </c>
      <c r="E52" s="703" t="inlineStr">
        <is>
          <t>Aurora</t>
        </is>
      </c>
      <c r="F52" s="703" t="inlineStr">
        <is>
          <t>CO</t>
        </is>
      </c>
      <c r="G52" s="703" t="inlineStr">
        <is>
          <t>Industrial</t>
        </is>
      </c>
      <c r="H52" s="703"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703" t="inlineStr">
        <is>
          <t>Multi-tenant NNN; limited expense detail available; approx figures</t>
        </is>
      </c>
      <c r="AN52">
        <f>IF(AND($B52=Subj_OccCode,Subj_BldgSF&gt;0,ABS($J52-Subj_BldgSF)&lt;=Subj_BldgSF*Subj_SizeTol),ABS($J52-Subj_BldgSF),NA())</f>
        <v/>
      </c>
      <c r="AO52">
        <f>IF(ISNA(AN52),NA(),AN52+ROW()/10000000)</f>
        <v/>
      </c>
    </row>
    <row r="53">
      <c r="A53" s="703" t="inlineStr">
        <is>
          <t>P025</t>
        </is>
      </c>
      <c r="B53" s="695" t="n">
        <v>210</v>
      </c>
      <c r="C53" s="703" t="inlineStr">
        <is>
          <t>R0191099</t>
        </is>
      </c>
      <c r="D53" s="703" t="inlineStr">
        <is>
          <t>3559 N. Himalaya Rd (Bldg 5)</t>
        </is>
      </c>
      <c r="E53" s="703" t="inlineStr">
        <is>
          <t>Aurora</t>
        </is>
      </c>
      <c r="F53" s="703" t="inlineStr">
        <is>
          <t>CO</t>
        </is>
      </c>
      <c r="G53" s="703" t="inlineStr">
        <is>
          <t>Industrial</t>
        </is>
      </c>
      <c r="H53" s="703"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703" t="inlineStr">
        <is>
          <t>Multi-tenant NNN; limited expense detail available; approx figures</t>
        </is>
      </c>
      <c r="AN53">
        <f>IF(AND($B53=Subj_OccCode,Subj_BldgSF&gt;0,ABS($J53-Subj_BldgSF)&lt;=Subj_BldgSF*Subj_SizeTol),ABS($J53-Subj_BldgSF),NA())</f>
        <v/>
      </c>
      <c r="AO53">
        <f>IF(ISNA(AN53),NA(),AN53+ROW()/10000000)</f>
        <v/>
      </c>
    </row>
    <row r="54">
      <c r="A54" s="703" t="inlineStr">
        <is>
          <t>P026</t>
        </is>
      </c>
      <c r="B54" s="695" t="n">
        <v>406</v>
      </c>
      <c r="C54" s="703" t="inlineStr">
        <is>
          <t>R0092667</t>
        </is>
      </c>
      <c r="D54" s="703" t="inlineStr">
        <is>
          <t>4901 Locust St</t>
        </is>
      </c>
      <c r="E54" s="703" t="inlineStr">
        <is>
          <t>Commerce City</t>
        </is>
      </c>
      <c r="F54" s="703" t="inlineStr">
        <is>
          <t>CO</t>
        </is>
      </c>
      <c r="G54" s="703" t="inlineStr">
        <is>
          <t>Industrial</t>
        </is>
      </c>
      <c r="H54" s="703"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703" t="inlineStr">
        <is>
          <t>Newmark stabilized proforma 6/30/2024; cap rate 7.00%; not actual historical</t>
        </is>
      </c>
      <c r="AN54">
        <f>IF(AND($B54=Subj_OccCode,Subj_BldgSF&gt;0,ABS($J54-Subj_BldgSF)&lt;=Subj_BldgSF*Subj_SizeTol),ABS($J54-Subj_BldgSF),NA())</f>
        <v/>
      </c>
      <c r="AO54">
        <f>IF(ISNA(AN54),NA(),AN54+ROW()/10000000)</f>
        <v/>
      </c>
    </row>
    <row r="55">
      <c r="A55" s="703" t="inlineStr">
        <is>
          <t>P022</t>
        </is>
      </c>
      <c r="B55" s="695" t="n">
        <v>210</v>
      </c>
      <c r="C55" s="703" t="inlineStr">
        <is>
          <t>R0111559</t>
        </is>
      </c>
      <c r="D55" s="703" t="inlineStr">
        <is>
          <t>3590 N. Himalaya Rd (Bldg 6)</t>
        </is>
      </c>
      <c r="E55" s="703" t="inlineStr">
        <is>
          <t>Aurora</t>
        </is>
      </c>
      <c r="F55" s="703" t="inlineStr">
        <is>
          <t>CO</t>
        </is>
      </c>
      <c r="G55" s="703" t="inlineStr">
        <is>
          <t>Industrial</t>
        </is>
      </c>
      <c r="H55" s="703"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703" t="inlineStr">
        <is>
          <t>NNN landlord expenses only; from AXG Whse Expenses PSF.xlsx</t>
        </is>
      </c>
      <c r="AN55">
        <f>IF(AND($B55=Subj_OccCode,Subj_BldgSF&gt;0,ABS($J55-Subj_BldgSF)&lt;=Subj_BldgSF*Subj_SizeTol),ABS($J55-Subj_BldgSF),NA())</f>
        <v/>
      </c>
      <c r="AO55">
        <f>IF(ISNA(AN55),NA(),AN55+ROW()/10000000)</f>
        <v/>
      </c>
    </row>
    <row r="56">
      <c r="A56" s="703" t="inlineStr">
        <is>
          <t>P022</t>
        </is>
      </c>
      <c r="B56" s="695" t="n">
        <v>210</v>
      </c>
      <c r="C56" s="703" t="inlineStr">
        <is>
          <t>R0111559</t>
        </is>
      </c>
      <c r="D56" s="703" t="inlineStr">
        <is>
          <t>3590 N. Himalaya Rd (Bldg 6)</t>
        </is>
      </c>
      <c r="E56" s="703" t="inlineStr">
        <is>
          <t>Aurora</t>
        </is>
      </c>
      <c r="F56" s="703" t="inlineStr">
        <is>
          <t>CO</t>
        </is>
      </c>
      <c r="G56" s="703" t="inlineStr">
        <is>
          <t>Industrial</t>
        </is>
      </c>
      <c r="H56" s="703"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703" t="inlineStr">
        <is>
          <t>NNN landlord expenses only; from AXG Whse Expenses PSF.xlsx</t>
        </is>
      </c>
      <c r="AN56">
        <f>IF(AND($B56=Subj_OccCode,Subj_BldgSF&gt;0,ABS($J56-Subj_BldgSF)&lt;=Subj_BldgSF*Subj_SizeTol),ABS($J56-Subj_BldgSF),NA())</f>
        <v/>
      </c>
      <c r="AO56">
        <f>IF(ISNA(AN56),NA(),AN56+ROW()/10000000)</f>
        <v/>
      </c>
    </row>
    <row r="57">
      <c r="A57" s="703" t="inlineStr">
        <is>
          <t>P024</t>
        </is>
      </c>
      <c r="B57" s="695" t="n">
        <v>407</v>
      </c>
      <c r="C57" s="703" t="inlineStr">
        <is>
          <t>R0111560</t>
        </is>
      </c>
      <c r="D57" s="703" t="inlineStr">
        <is>
          <t>20320 E. 36th Dr (Bldg 7)</t>
        </is>
      </c>
      <c r="E57" s="703" t="inlineStr">
        <is>
          <t>Aurora</t>
        </is>
      </c>
      <c r="F57" s="703" t="inlineStr">
        <is>
          <t>CO</t>
        </is>
      </c>
      <c r="G57" s="703" t="inlineStr">
        <is>
          <t>Industrial</t>
        </is>
      </c>
      <c r="H57" s="703"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703" t="inlineStr">
        <is>
          <t>NNN landlord expenses only; from AXG Whse Expenses PSF.xlsx</t>
        </is>
      </c>
      <c r="AN57">
        <f>IF(AND($B57=Subj_OccCode,Subj_BldgSF&gt;0,ABS($J57-Subj_BldgSF)&lt;=Subj_BldgSF*Subj_SizeTol),ABS($J57-Subj_BldgSF),NA())</f>
        <v/>
      </c>
      <c r="AO57">
        <f>IF(ISNA(AN57),NA(),AN57+ROW()/10000000)</f>
        <v/>
      </c>
    </row>
    <row r="58">
      <c r="A58" s="703" t="inlineStr">
        <is>
          <t>P024</t>
        </is>
      </c>
      <c r="B58" s="695" t="n">
        <v>407</v>
      </c>
      <c r="C58" s="703" t="inlineStr">
        <is>
          <t>R0111560</t>
        </is>
      </c>
      <c r="D58" s="703" t="inlineStr">
        <is>
          <t>20320 E. 36th Dr (Bldg 7)</t>
        </is>
      </c>
      <c r="E58" s="703" t="inlineStr">
        <is>
          <t>Aurora</t>
        </is>
      </c>
      <c r="F58" s="703" t="inlineStr">
        <is>
          <t>CO</t>
        </is>
      </c>
      <c r="G58" s="703" t="inlineStr">
        <is>
          <t>Industrial</t>
        </is>
      </c>
      <c r="H58" s="703"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703" t="inlineStr">
        <is>
          <t>NNN landlord expenses only; from AXG Whse Expenses PSF.xlsx</t>
        </is>
      </c>
      <c r="AN58">
        <f>IF(AND($B58=Subj_OccCode,Subj_BldgSF&gt;0,ABS($J58-Subj_BldgSF)&lt;=Subj_BldgSF*Subj_SizeTol),ABS($J58-Subj_BldgSF),NA())</f>
        <v/>
      </c>
      <c r="AO58">
        <f>IF(ISNA(AN58),NA(),AN58+ROW()/10000000)</f>
        <v/>
      </c>
    </row>
    <row r="59">
      <c r="A59" s="703" t="inlineStr">
        <is>
          <t>P025</t>
        </is>
      </c>
      <c r="B59" s="695" t="n">
        <v>210</v>
      </c>
      <c r="C59" s="703" t="inlineStr">
        <is>
          <t>R0191099</t>
        </is>
      </c>
      <c r="D59" s="703" t="inlineStr">
        <is>
          <t>3559 N. Himalaya Rd (Bldg 5)</t>
        </is>
      </c>
      <c r="E59" s="703" t="inlineStr">
        <is>
          <t>Aurora</t>
        </is>
      </c>
      <c r="F59" s="703" t="inlineStr">
        <is>
          <t>CO</t>
        </is>
      </c>
      <c r="G59" s="703" t="inlineStr">
        <is>
          <t>Industrial</t>
        </is>
      </c>
      <c r="H59" s="703"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703" t="inlineStr">
        <is>
          <t>NNN landlord expenses only; from AXG Whse Expenses PSF.xlsx</t>
        </is>
      </c>
      <c r="AN59">
        <f>IF(AND($B59=Subj_OccCode,Subj_BldgSF&gt;0,ABS($J59-Subj_BldgSF)&lt;=Subj_BldgSF*Subj_SizeTol),ABS($J59-Subj_BldgSF),NA())</f>
        <v/>
      </c>
      <c r="AO59">
        <f>IF(ISNA(AN59),NA(),AN59+ROW()/10000000)</f>
        <v/>
      </c>
    </row>
    <row r="60">
      <c r="A60" s="703" t="inlineStr">
        <is>
          <t>P025</t>
        </is>
      </c>
      <c r="B60" s="695" t="n">
        <v>210</v>
      </c>
      <c r="C60" s="703" t="inlineStr">
        <is>
          <t>R0191099</t>
        </is>
      </c>
      <c r="D60" s="703" t="inlineStr">
        <is>
          <t>3559 N. Himalaya Rd (Bldg 5)</t>
        </is>
      </c>
      <c r="E60" s="703" t="inlineStr">
        <is>
          <t>Aurora</t>
        </is>
      </c>
      <c r="F60" s="703" t="inlineStr">
        <is>
          <t>CO</t>
        </is>
      </c>
      <c r="G60" s="703" t="inlineStr">
        <is>
          <t>Industrial</t>
        </is>
      </c>
      <c r="H60" s="703"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703" t="inlineStr">
        <is>
          <t>NNN landlord expenses only; from AXG Whse Expenses PSF.xlsx</t>
        </is>
      </c>
      <c r="AN60">
        <f>IF(AND($B60=Subj_OccCode,Subj_BldgSF&gt;0,ABS($J60-Subj_BldgSF)&lt;=Subj_BldgSF*Subj_SizeTol),ABS($J60-Subj_BldgSF),NA())</f>
        <v/>
      </c>
      <c r="AO60">
        <f>IF(ISNA(AN60),NA(),AN60+ROW()/10000000)</f>
        <v/>
      </c>
    </row>
    <row r="61">
      <c r="A61" s="703" t="inlineStr">
        <is>
          <t>P027</t>
        </is>
      </c>
      <c r="B61" s="695" t="n">
        <v>407</v>
      </c>
      <c r="C61" s="703" t="inlineStr">
        <is>
          <t>R0132030</t>
        </is>
      </c>
      <c r="D61" s="703" t="inlineStr">
        <is>
          <t>Majestic Commercenter (R0132030)</t>
        </is>
      </c>
      <c r="E61" s="703" t="inlineStr">
        <is>
          <t>Commerce City</t>
        </is>
      </c>
      <c r="F61" s="703" t="inlineStr">
        <is>
          <t>CO</t>
        </is>
      </c>
      <c r="G61" s="703" t="inlineStr">
        <is>
          <t>Industrial</t>
        </is>
      </c>
      <c r="H61" s="703"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703" t="inlineStr">
        <is>
          <t>NNN landlord expenses only; from AXG Whse Expenses PSF.xlsx (R0132030)</t>
        </is>
      </c>
      <c r="AN61">
        <f>IF(AND($B61=Subj_OccCode,Subj_BldgSF&gt;0,ABS($J61-Subj_BldgSF)&lt;=Subj_BldgSF*Subj_SizeTol),ABS($J61-Subj_BldgSF),NA())</f>
        <v/>
      </c>
      <c r="AO61">
        <f>IF(ISNA(AN61),NA(),AN61+ROW()/10000000)</f>
        <v/>
      </c>
    </row>
    <row r="62">
      <c r="A62" s="703" t="inlineStr">
        <is>
          <t>P027</t>
        </is>
      </c>
      <c r="B62" s="695" t="n">
        <v>407</v>
      </c>
      <c r="C62" s="703" t="inlineStr">
        <is>
          <t>R0132030</t>
        </is>
      </c>
      <c r="D62" s="703" t="inlineStr">
        <is>
          <t>Majestic Commercenter (R0132030)</t>
        </is>
      </c>
      <c r="E62" s="703" t="inlineStr">
        <is>
          <t>Commerce City</t>
        </is>
      </c>
      <c r="F62" s="703" t="inlineStr">
        <is>
          <t>CO</t>
        </is>
      </c>
      <c r="G62" s="703" t="inlineStr">
        <is>
          <t>Industrial</t>
        </is>
      </c>
      <c r="H62" s="703"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703" t="inlineStr">
        <is>
          <t>NNN landlord expenses only; from AXG Whse Expenses PSF.xlsx (R0132030)</t>
        </is>
      </c>
      <c r="AN62">
        <f>IF(AND($B62=Subj_OccCode,Subj_BldgSF&gt;0,ABS($J62-Subj_BldgSF)&lt;=Subj_BldgSF*Subj_SizeTol),ABS($J62-Subj_BldgSF),NA())</f>
        <v/>
      </c>
      <c r="AO62">
        <f>IF(ISNA(AN62),NA(),AN62+ROW()/10000000)</f>
        <v/>
      </c>
    </row>
    <row r="63">
      <c r="A63" s="703" t="inlineStr">
        <is>
          <t>P028</t>
        </is>
      </c>
      <c r="B63" s="695" t="n">
        <v>407</v>
      </c>
      <c r="C63" s="703" t="inlineStr">
        <is>
          <t>R0084040</t>
        </is>
      </c>
      <c r="D63" s="703" t="inlineStr">
        <is>
          <t>Majestic Commercenter (R0084040)</t>
        </is>
      </c>
      <c r="E63" s="703" t="inlineStr">
        <is>
          <t>Commerce City</t>
        </is>
      </c>
      <c r="F63" s="703" t="inlineStr">
        <is>
          <t>CO</t>
        </is>
      </c>
      <c r="G63" s="703" t="inlineStr">
        <is>
          <t>Industrial</t>
        </is>
      </c>
      <c r="H63" s="703"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703" t="inlineStr">
        <is>
          <t>NNN landlord expenses only; from AXG Whse Expenses PSF.xlsx (R0084040)</t>
        </is>
      </c>
      <c r="AN63">
        <f>IF(AND($B63=Subj_OccCode,Subj_BldgSF&gt;0,ABS($J63-Subj_BldgSF)&lt;=Subj_BldgSF*Subj_SizeTol),ABS($J63-Subj_BldgSF),NA())</f>
        <v/>
      </c>
      <c r="AO63">
        <f>IF(ISNA(AN63),NA(),AN63+ROW()/10000000)</f>
        <v/>
      </c>
    </row>
    <row r="64">
      <c r="A64" s="703" t="inlineStr">
        <is>
          <t>P028</t>
        </is>
      </c>
      <c r="B64" s="695" t="n">
        <v>407</v>
      </c>
      <c r="C64" s="703" t="inlineStr">
        <is>
          <t>R0084040</t>
        </is>
      </c>
      <c r="D64" s="703" t="inlineStr">
        <is>
          <t>Majestic Commercenter (R0084040)</t>
        </is>
      </c>
      <c r="E64" s="703" t="inlineStr">
        <is>
          <t>Commerce City</t>
        </is>
      </c>
      <c r="F64" s="703" t="inlineStr">
        <is>
          <t>CO</t>
        </is>
      </c>
      <c r="G64" s="703" t="inlineStr">
        <is>
          <t>Industrial</t>
        </is>
      </c>
      <c r="H64" s="703"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703" t="inlineStr">
        <is>
          <t>NNN landlord expenses only; from AXG Whse Expenses PSF.xlsx (R0084040)</t>
        </is>
      </c>
      <c r="AN64">
        <f>IF(AND($B64=Subj_OccCode,Subj_BldgSF&gt;0,ABS($J64-Subj_BldgSF)&lt;=Subj_BldgSF*Subj_SizeTol),ABS($J64-Subj_BldgSF),NA())</f>
        <v/>
      </c>
      <c r="AO64">
        <f>IF(ISNA(AN64),NA(),AN64+ROW()/10000000)</f>
        <v/>
      </c>
    </row>
    <row r="65">
      <c r="A65" s="703" t="inlineStr">
        <is>
          <t>P029</t>
        </is>
      </c>
      <c r="B65" s="695" t="n">
        <v>407</v>
      </c>
      <c r="C65" s="703" t="inlineStr">
        <is>
          <t>R0084041</t>
        </is>
      </c>
      <c r="D65" s="703" t="inlineStr">
        <is>
          <t>Majestic Commercenter (R0084041)</t>
        </is>
      </c>
      <c r="E65" s="703" t="inlineStr">
        <is>
          <t>Commerce City</t>
        </is>
      </c>
      <c r="F65" s="703" t="inlineStr">
        <is>
          <t>CO</t>
        </is>
      </c>
      <c r="G65" s="703" t="inlineStr">
        <is>
          <t>Industrial</t>
        </is>
      </c>
      <c r="H65" s="703"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703" t="inlineStr">
        <is>
          <t>NNN landlord expenses only; from AXG Whse Expenses PSF.xlsx (R0084041)</t>
        </is>
      </c>
      <c r="AN65">
        <f>IF(AND($B65=Subj_OccCode,Subj_BldgSF&gt;0,ABS($J65-Subj_BldgSF)&lt;=Subj_BldgSF*Subj_SizeTol),ABS($J65-Subj_BldgSF),NA())</f>
        <v/>
      </c>
      <c r="AO65">
        <f>IF(ISNA(AN65),NA(),AN65+ROW()/10000000)</f>
        <v/>
      </c>
    </row>
    <row r="66">
      <c r="A66" s="703" t="inlineStr">
        <is>
          <t>P029</t>
        </is>
      </c>
      <c r="B66" s="695" t="n">
        <v>407</v>
      </c>
      <c r="C66" s="703" t="inlineStr">
        <is>
          <t>R0084041</t>
        </is>
      </c>
      <c r="D66" s="703" t="inlineStr">
        <is>
          <t>Majestic Commercenter (R0084041)</t>
        </is>
      </c>
      <c r="E66" s="703" t="inlineStr">
        <is>
          <t>Commerce City</t>
        </is>
      </c>
      <c r="F66" s="703" t="inlineStr">
        <is>
          <t>CO</t>
        </is>
      </c>
      <c r="G66" s="703" t="inlineStr">
        <is>
          <t>Industrial</t>
        </is>
      </c>
      <c r="H66" s="703"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703" t="inlineStr">
        <is>
          <t>NNN landlord expenses only; from AXG Whse Expenses PSF.xlsx (R0084041)</t>
        </is>
      </c>
      <c r="AN66">
        <f>IF(AND($B66=Subj_OccCode,Subj_BldgSF&gt;0,ABS($J66-Subj_BldgSF)&lt;=Subj_BldgSF*Subj_SizeTol),ABS($J66-Subj_BldgSF),NA())</f>
        <v/>
      </c>
      <c r="AO66">
        <f>IF(ISNA(AN66),NA(),AN66+ROW()/10000000)</f>
        <v/>
      </c>
    </row>
    <row r="67">
      <c r="A67" s="703" t="inlineStr">
        <is>
          <t>P030</t>
        </is>
      </c>
      <c r="B67" s="695" t="n">
        <v>584</v>
      </c>
      <c r="C67" s="703" t="inlineStr">
        <is>
          <t>R0217015</t>
        </is>
      </c>
      <c r="D67" s="703" t="inlineStr">
        <is>
          <t>Majestic Commercenter (R0217015)</t>
        </is>
      </c>
      <c r="E67" s="703" t="inlineStr">
        <is>
          <t>Commerce City</t>
        </is>
      </c>
      <c r="F67" s="703" t="inlineStr">
        <is>
          <t>CO</t>
        </is>
      </c>
      <c r="G67" s="703" t="inlineStr">
        <is>
          <t>Industrial</t>
        </is>
      </c>
      <c r="H67" s="703"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703" t="inlineStr">
        <is>
          <t>NNN landlord expenses only; from AXG Whse Expenses PSF.xlsx (R0217015)</t>
        </is>
      </c>
      <c r="AN67">
        <f>IF(AND($B67=Subj_OccCode,Subj_BldgSF&gt;0,ABS($J67-Subj_BldgSF)&lt;=Subj_BldgSF*Subj_SizeTol),ABS($J67-Subj_BldgSF),NA())</f>
        <v/>
      </c>
      <c r="AO67">
        <f>IF(ISNA(AN67),NA(),AN67+ROW()/10000000)</f>
        <v/>
      </c>
    </row>
    <row r="68">
      <c r="A68" s="703" t="inlineStr">
        <is>
          <t>P031</t>
        </is>
      </c>
      <c r="B68" s="695" t="n">
        <v>407</v>
      </c>
      <c r="C68" s="703" t="inlineStr">
        <is>
          <t>R0111562</t>
        </is>
      </c>
      <c r="D68" s="703" t="inlineStr">
        <is>
          <t>Majestic Commercenter (R0111562)</t>
        </is>
      </c>
      <c r="E68" s="703" t="inlineStr">
        <is>
          <t>Commerce City</t>
        </is>
      </c>
      <c r="F68" s="703" t="inlineStr">
        <is>
          <t>CO</t>
        </is>
      </c>
      <c r="G68" s="703" t="inlineStr">
        <is>
          <t>Industrial</t>
        </is>
      </c>
      <c r="H68" s="703"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703" t="inlineStr">
        <is>
          <t>NNN landlord expenses only; from AXG Whse Expenses PSF.xlsx (R0111562)</t>
        </is>
      </c>
      <c r="AN68">
        <f>IF(AND($B68=Subj_OccCode,Subj_BldgSF&gt;0,ABS($J68-Subj_BldgSF)&lt;=Subj_BldgSF*Subj_SizeTol),ABS($J68-Subj_BldgSF),NA())</f>
        <v/>
      </c>
      <c r="AO68">
        <f>IF(ISNA(AN68),NA(),AN68+ROW()/10000000)</f>
        <v/>
      </c>
    </row>
    <row r="69">
      <c r="A69" s="703" t="inlineStr">
        <is>
          <t>P031</t>
        </is>
      </c>
      <c r="B69" s="695" t="n">
        <v>407</v>
      </c>
      <c r="C69" s="703" t="inlineStr">
        <is>
          <t>R0111562</t>
        </is>
      </c>
      <c r="D69" s="703" t="inlineStr">
        <is>
          <t>Majestic Commercenter (R0111562)</t>
        </is>
      </c>
      <c r="E69" s="703" t="inlineStr">
        <is>
          <t>Commerce City</t>
        </is>
      </c>
      <c r="F69" s="703" t="inlineStr">
        <is>
          <t>CO</t>
        </is>
      </c>
      <c r="G69" s="703" t="inlineStr">
        <is>
          <t>Industrial</t>
        </is>
      </c>
      <c r="H69" s="703"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703" t="inlineStr">
        <is>
          <t>NNN landlord expenses only; from AXG Whse Expenses PSF.xlsx (R0111562)</t>
        </is>
      </c>
      <c r="AN69">
        <f>IF(AND($B69=Subj_OccCode,Subj_BldgSF&gt;0,ABS($J69-Subj_BldgSF)&lt;=Subj_BldgSF*Subj_SizeTol),ABS($J69-Subj_BldgSF),NA())</f>
        <v/>
      </c>
      <c r="AO69">
        <f>IF(ISNA(AN69),NA(),AN69+ROW()/10000000)</f>
        <v/>
      </c>
    </row>
    <row r="70">
      <c r="A70" s="703" t="inlineStr">
        <is>
          <t>P032</t>
        </is>
      </c>
      <c r="B70" s="695" t="n">
        <v>407</v>
      </c>
      <c r="C70" s="703" t="inlineStr">
        <is>
          <t>R0118875</t>
        </is>
      </c>
      <c r="D70" s="703" t="inlineStr">
        <is>
          <t>Majestic Commercenter (R0118875)</t>
        </is>
      </c>
      <c r="E70" s="703" t="inlineStr">
        <is>
          <t>Commerce City</t>
        </is>
      </c>
      <c r="F70" s="703" t="inlineStr">
        <is>
          <t>CO</t>
        </is>
      </c>
      <c r="G70" s="703" t="inlineStr">
        <is>
          <t>Industrial</t>
        </is>
      </c>
      <c r="H70" s="703"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703" t="inlineStr">
        <is>
          <t>NNN landlord expenses only; from AXG Whse Expenses PSF.xlsx (R0118875)</t>
        </is>
      </c>
      <c r="AN70">
        <f>IF(AND($B70=Subj_OccCode,Subj_BldgSF&gt;0,ABS($J70-Subj_BldgSF)&lt;=Subj_BldgSF*Subj_SizeTol),ABS($J70-Subj_BldgSF),NA())</f>
        <v/>
      </c>
      <c r="AO70">
        <f>IF(ISNA(AN70),NA(),AN70+ROW()/10000000)</f>
        <v/>
      </c>
    </row>
    <row r="71">
      <c r="A71" s="703" t="inlineStr">
        <is>
          <t>P032</t>
        </is>
      </c>
      <c r="B71" s="695" t="n">
        <v>407</v>
      </c>
      <c r="C71" s="703" t="inlineStr">
        <is>
          <t>R0118875</t>
        </is>
      </c>
      <c r="D71" s="703" t="inlineStr">
        <is>
          <t>Majestic Commercenter (R0118875)</t>
        </is>
      </c>
      <c r="E71" s="703" t="inlineStr">
        <is>
          <t>Commerce City</t>
        </is>
      </c>
      <c r="F71" s="703" t="inlineStr">
        <is>
          <t>CO</t>
        </is>
      </c>
      <c r="G71" s="703" t="inlineStr">
        <is>
          <t>Industrial</t>
        </is>
      </c>
      <c r="H71" s="703"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703" t="inlineStr">
        <is>
          <t>NNN landlord expenses only; from AXG Whse Expenses PSF.xlsx (R0118875)</t>
        </is>
      </c>
      <c r="AN71">
        <f>IF(AND($B71=Subj_OccCode,Subj_BldgSF&gt;0,ABS($J71-Subj_BldgSF)&lt;=Subj_BldgSF*Subj_SizeTol),ABS($J71-Subj_BldgSF),NA())</f>
        <v/>
      </c>
      <c r="AO71">
        <f>IF(ISNA(AN71),NA(),AN71+ROW()/10000000)</f>
        <v/>
      </c>
    </row>
    <row r="72">
      <c r="A72" s="703" t="inlineStr">
        <is>
          <t>P033</t>
        </is>
      </c>
      <c r="B72" s="695" t="n">
        <v>407</v>
      </c>
      <c r="C72" s="703" t="inlineStr">
        <is>
          <t>R0132031</t>
        </is>
      </c>
      <c r="D72" s="703" t="inlineStr">
        <is>
          <t>Majestic Commercenter (R0132031)</t>
        </is>
      </c>
      <c r="E72" s="703" t="inlineStr">
        <is>
          <t>Commerce City</t>
        </is>
      </c>
      <c r="F72" s="703" t="inlineStr">
        <is>
          <t>CO</t>
        </is>
      </c>
      <c r="G72" s="703" t="inlineStr">
        <is>
          <t>Industrial</t>
        </is>
      </c>
      <c r="H72" s="703"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703" t="inlineStr">
        <is>
          <t>NNN landlord expenses only; from AXG Whse Expenses PSF.xlsx (R0132031)</t>
        </is>
      </c>
      <c r="AN72">
        <f>IF(AND($B72=Subj_OccCode,Subj_BldgSF&gt;0,ABS($J72-Subj_BldgSF)&lt;=Subj_BldgSF*Subj_SizeTol),ABS($J72-Subj_BldgSF),NA())</f>
        <v/>
      </c>
      <c r="AO72">
        <f>IF(ISNA(AN72),NA(),AN72+ROW()/10000000)</f>
        <v/>
      </c>
    </row>
    <row r="73">
      <c r="A73" s="703" t="inlineStr">
        <is>
          <t>P033</t>
        </is>
      </c>
      <c r="B73" s="695" t="n">
        <v>407</v>
      </c>
      <c r="C73" s="703" t="inlineStr">
        <is>
          <t>R0132031</t>
        </is>
      </c>
      <c r="D73" s="703" t="inlineStr">
        <is>
          <t>Majestic Commercenter (R0132031)</t>
        </is>
      </c>
      <c r="E73" s="703" t="inlineStr">
        <is>
          <t>Commerce City</t>
        </is>
      </c>
      <c r="F73" s="703" t="inlineStr">
        <is>
          <t>CO</t>
        </is>
      </c>
      <c r="G73" s="703" t="inlineStr">
        <is>
          <t>Industrial</t>
        </is>
      </c>
      <c r="H73" s="703"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703" t="inlineStr">
        <is>
          <t>NNN landlord expenses only; from AXG Whse Expenses PSF.xlsx (R0132031)</t>
        </is>
      </c>
      <c r="AN73">
        <f>IF(AND($B73=Subj_OccCode,Subj_BldgSF&gt;0,ABS($J73-Subj_BldgSF)&lt;=Subj_BldgSF*Subj_SizeTol),ABS($J73-Subj_BldgSF),NA())</f>
        <v/>
      </c>
      <c r="AO73">
        <f>IF(ISNA(AN73),NA(),AN73+ROW()/10000000)</f>
        <v/>
      </c>
    </row>
    <row r="74">
      <c r="A74" s="703" t="inlineStr">
        <is>
          <t>P034</t>
        </is>
      </c>
      <c r="B74" s="695" t="n">
        <v>407</v>
      </c>
      <c r="C74" s="703" t="inlineStr">
        <is>
          <t>R0172865</t>
        </is>
      </c>
      <c r="D74" s="703" t="inlineStr">
        <is>
          <t>Majestic Commercenter (R0172865)</t>
        </is>
      </c>
      <c r="E74" s="703" t="inlineStr">
        <is>
          <t>Commerce City</t>
        </is>
      </c>
      <c r="F74" s="703" t="inlineStr">
        <is>
          <t>CO</t>
        </is>
      </c>
      <c r="G74" s="703" t="inlineStr">
        <is>
          <t>Industrial</t>
        </is>
      </c>
      <c r="H74" s="703"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703" t="inlineStr">
        <is>
          <t>NNN landlord expenses only; from AXG Whse Expenses PSF.xlsx (R0172865)</t>
        </is>
      </c>
      <c r="AN74">
        <f>IF(AND($B74=Subj_OccCode,Subj_BldgSF&gt;0,ABS($J74-Subj_BldgSF)&lt;=Subj_BldgSF*Subj_SizeTol),ABS($J74-Subj_BldgSF),NA())</f>
        <v/>
      </c>
      <c r="AO74">
        <f>IF(ISNA(AN74),NA(),AN74+ROW()/10000000)</f>
        <v/>
      </c>
    </row>
    <row r="75">
      <c r="A75" s="703" t="inlineStr">
        <is>
          <t>P034</t>
        </is>
      </c>
      <c r="B75" s="695" t="n">
        <v>407</v>
      </c>
      <c r="C75" s="703" t="inlineStr">
        <is>
          <t>R0172865</t>
        </is>
      </c>
      <c r="D75" s="703" t="inlineStr">
        <is>
          <t>Majestic Commercenter (R0172865)</t>
        </is>
      </c>
      <c r="E75" s="703" t="inlineStr">
        <is>
          <t>Commerce City</t>
        </is>
      </c>
      <c r="F75" s="703" t="inlineStr">
        <is>
          <t>CO</t>
        </is>
      </c>
      <c r="G75" s="703" t="inlineStr">
        <is>
          <t>Industrial</t>
        </is>
      </c>
      <c r="H75" s="703"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703" t="inlineStr">
        <is>
          <t>NNN landlord expenses only; from AXG Whse Expenses PSF.xlsx (R0172865)</t>
        </is>
      </c>
      <c r="AN75">
        <f>IF(AND($B75=Subj_OccCode,Subj_BldgSF&gt;0,ABS($J75-Subj_BldgSF)&lt;=Subj_BldgSF*Subj_SizeTol),ABS($J75-Subj_BldgSF),NA())</f>
        <v/>
      </c>
      <c r="AO75">
        <f>IF(ISNA(AN75),NA(),AN75+ROW()/10000000)</f>
        <v/>
      </c>
    </row>
    <row r="76">
      <c r="A76" s="703" t="inlineStr">
        <is>
          <t>P035</t>
        </is>
      </c>
      <c r="B76" s="695" t="n">
        <v>407</v>
      </c>
      <c r="C76" s="703" t="inlineStr">
        <is>
          <t>R0172867</t>
        </is>
      </c>
      <c r="D76" s="703" t="inlineStr">
        <is>
          <t>Majestic Commercenter (R0172867)</t>
        </is>
      </c>
      <c r="E76" s="703" t="inlineStr">
        <is>
          <t>Commerce City</t>
        </is>
      </c>
      <c r="F76" s="703" t="inlineStr">
        <is>
          <t>CO</t>
        </is>
      </c>
      <c r="G76" s="703" t="inlineStr">
        <is>
          <t>Industrial</t>
        </is>
      </c>
      <c r="H76" s="703"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703" t="inlineStr">
        <is>
          <t>NNN landlord expenses only; from AXG Whse Expenses PSF.xlsx (R0172867)</t>
        </is>
      </c>
      <c r="AN76">
        <f>IF(AND($B76=Subj_OccCode,Subj_BldgSF&gt;0,ABS($J76-Subj_BldgSF)&lt;=Subj_BldgSF*Subj_SizeTol),ABS($J76-Subj_BldgSF),NA())</f>
        <v/>
      </c>
      <c r="AO76">
        <f>IF(ISNA(AN76),NA(),AN76+ROW()/10000000)</f>
        <v/>
      </c>
    </row>
    <row r="77">
      <c r="A77" s="703" t="inlineStr">
        <is>
          <t>P035</t>
        </is>
      </c>
      <c r="B77" s="695" t="n">
        <v>407</v>
      </c>
      <c r="C77" s="703" t="inlineStr">
        <is>
          <t>R0172867</t>
        </is>
      </c>
      <c r="D77" s="703" t="inlineStr">
        <is>
          <t>Majestic Commercenter (R0172867)</t>
        </is>
      </c>
      <c r="E77" s="703" t="inlineStr">
        <is>
          <t>Commerce City</t>
        </is>
      </c>
      <c r="F77" s="703" t="inlineStr">
        <is>
          <t>CO</t>
        </is>
      </c>
      <c r="G77" s="703" t="inlineStr">
        <is>
          <t>Industrial</t>
        </is>
      </c>
      <c r="H77" s="703"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703" t="inlineStr">
        <is>
          <t>NNN landlord expenses only; from AXG Whse Expenses PSF.xlsx (R0172867)</t>
        </is>
      </c>
      <c r="AN77">
        <f>IF(AND($B77=Subj_OccCode,Subj_BldgSF&gt;0,ABS($J77-Subj_BldgSF)&lt;=Subj_BldgSF*Subj_SizeTol),ABS($J77-Subj_BldgSF),NA())</f>
        <v/>
      </c>
      <c r="AO77">
        <f>IF(ISNA(AN77),NA(),AN77+ROW()/10000000)</f>
        <v/>
      </c>
    </row>
    <row r="78">
      <c r="A78" s="703" t="inlineStr">
        <is>
          <t>P036</t>
        </is>
      </c>
      <c r="B78" s="695" t="n">
        <v>407</v>
      </c>
      <c r="C78" s="703" t="inlineStr">
        <is>
          <t>R0172868</t>
        </is>
      </c>
      <c r="D78" s="703" t="inlineStr">
        <is>
          <t>Majestic Commercenter (R0172868)</t>
        </is>
      </c>
      <c r="E78" s="703" t="inlineStr">
        <is>
          <t>Commerce City</t>
        </is>
      </c>
      <c r="F78" s="703" t="inlineStr">
        <is>
          <t>CO</t>
        </is>
      </c>
      <c r="G78" s="703" t="inlineStr">
        <is>
          <t>Industrial</t>
        </is>
      </c>
      <c r="H78" s="703"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703" t="inlineStr">
        <is>
          <t>NNN landlord expenses only; from AXG Whse Expenses PSF.xlsx (R0172868)</t>
        </is>
      </c>
      <c r="AN78">
        <f>IF(AND($B78=Subj_OccCode,Subj_BldgSF&gt;0,ABS($J78-Subj_BldgSF)&lt;=Subj_BldgSF*Subj_SizeTol),ABS($J78-Subj_BldgSF),NA())</f>
        <v/>
      </c>
      <c r="AO78">
        <f>IF(ISNA(AN78),NA(),AN78+ROW()/10000000)</f>
        <v/>
      </c>
    </row>
    <row r="79">
      <c r="A79" s="703" t="inlineStr">
        <is>
          <t>P036</t>
        </is>
      </c>
      <c r="B79" s="695" t="n">
        <v>407</v>
      </c>
      <c r="C79" s="703" t="inlineStr">
        <is>
          <t>R0172868</t>
        </is>
      </c>
      <c r="D79" s="703" t="inlineStr">
        <is>
          <t>Majestic Commercenter (R0172868)</t>
        </is>
      </c>
      <c r="E79" s="703" t="inlineStr">
        <is>
          <t>Commerce City</t>
        </is>
      </c>
      <c r="F79" s="703" t="inlineStr">
        <is>
          <t>CO</t>
        </is>
      </c>
      <c r="G79" s="703" t="inlineStr">
        <is>
          <t>Industrial</t>
        </is>
      </c>
      <c r="H79" s="703"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703" t="inlineStr">
        <is>
          <t>NNN landlord expenses only; from AXG Whse Expenses PSF.xlsx (R0172868)</t>
        </is>
      </c>
      <c r="AN79">
        <f>IF(AND($B79=Subj_OccCode,Subj_BldgSF&gt;0,ABS($J79-Subj_BldgSF)&lt;=Subj_BldgSF*Subj_SizeTol),ABS($J79-Subj_BldgSF),NA())</f>
        <v/>
      </c>
      <c r="AO79">
        <f>IF(ISNA(AN79),NA(),AN79+ROW()/10000000)</f>
        <v/>
      </c>
    </row>
    <row r="80">
      <c r="A80" s="703" t="inlineStr">
        <is>
          <t>P037</t>
        </is>
      </c>
      <c r="B80" s="695" t="n">
        <v>407</v>
      </c>
      <c r="C80" s="703" t="inlineStr">
        <is>
          <t>R0145680</t>
        </is>
      </c>
      <c r="D80" s="703" t="inlineStr">
        <is>
          <t>Majestic Commercenter (R0145680)</t>
        </is>
      </c>
      <c r="E80" s="703" t="inlineStr">
        <is>
          <t>Commerce City</t>
        </is>
      </c>
      <c r="F80" s="703" t="inlineStr">
        <is>
          <t>CO</t>
        </is>
      </c>
      <c r="G80" s="703" t="inlineStr">
        <is>
          <t>Industrial</t>
        </is>
      </c>
      <c r="H80" s="703"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703" t="inlineStr">
        <is>
          <t>NNN landlord expenses only; from AXG Whse Expenses PSF.xlsx (R0145680)</t>
        </is>
      </c>
      <c r="AN80">
        <f>IF(AND($B80=Subj_OccCode,Subj_BldgSF&gt;0,ABS($J80-Subj_BldgSF)&lt;=Subj_BldgSF*Subj_SizeTol),ABS($J80-Subj_BldgSF),NA())</f>
        <v/>
      </c>
      <c r="AO80">
        <f>IF(ISNA(AN80),NA(),AN80+ROW()/10000000)</f>
        <v/>
      </c>
    </row>
    <row r="81">
      <c r="A81" s="703" t="inlineStr">
        <is>
          <t>P037</t>
        </is>
      </c>
      <c r="B81" s="695" t="n">
        <v>407</v>
      </c>
      <c r="C81" s="703" t="inlineStr">
        <is>
          <t>R0145680</t>
        </is>
      </c>
      <c r="D81" s="703" t="inlineStr">
        <is>
          <t>Majestic Commercenter (R0145680)</t>
        </is>
      </c>
      <c r="E81" s="703" t="inlineStr">
        <is>
          <t>Commerce City</t>
        </is>
      </c>
      <c r="F81" s="703" t="inlineStr">
        <is>
          <t>CO</t>
        </is>
      </c>
      <c r="G81" s="703" t="inlineStr">
        <is>
          <t>Industrial</t>
        </is>
      </c>
      <c r="H81" s="703"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703" t="inlineStr">
        <is>
          <t>NNN landlord expenses only; from AXG Whse Expenses PSF.xlsx (R0145680)</t>
        </is>
      </c>
      <c r="AN81">
        <f>IF(AND($B81=Subj_OccCode,Subj_BldgSF&gt;0,ABS($J81-Subj_BldgSF)&lt;=Subj_BldgSF*Subj_SizeTol),ABS($J81-Subj_BldgSF),NA())</f>
        <v/>
      </c>
      <c r="AO81">
        <f>IF(ISNA(AN81),NA(),AN81+ROW()/10000000)</f>
        <v/>
      </c>
    </row>
    <row r="82">
      <c r="A82" s="703" t="inlineStr">
        <is>
          <t>P038</t>
        </is>
      </c>
      <c r="B82" s="695" t="n">
        <v>584</v>
      </c>
      <c r="C82" s="703" t="inlineStr">
        <is>
          <t>R0181787</t>
        </is>
      </c>
      <c r="D82" s="703" t="inlineStr">
        <is>
          <t>Majestic Commercenter (R0181787)</t>
        </is>
      </c>
      <c r="E82" s="703" t="inlineStr">
        <is>
          <t>Commerce City</t>
        </is>
      </c>
      <c r="F82" s="703" t="inlineStr">
        <is>
          <t>CO</t>
        </is>
      </c>
      <c r="G82" s="703" t="inlineStr">
        <is>
          <t>Industrial</t>
        </is>
      </c>
      <c r="H82" s="703"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703" t="inlineStr">
        <is>
          <t>NNN landlord expenses only; from AXG Whse Expenses PSF.xlsx (R0181787)</t>
        </is>
      </c>
      <c r="AN82">
        <f>IF(AND($B82=Subj_OccCode,Subj_BldgSF&gt;0,ABS($J82-Subj_BldgSF)&lt;=Subj_BldgSF*Subj_SizeTol),ABS($J82-Subj_BldgSF),NA())</f>
        <v/>
      </c>
      <c r="AO82">
        <f>IF(ISNA(AN82),NA(),AN82+ROW()/10000000)</f>
        <v/>
      </c>
    </row>
    <row r="83">
      <c r="A83" s="703" t="inlineStr">
        <is>
          <t>P038</t>
        </is>
      </c>
      <c r="B83" s="695" t="n">
        <v>584</v>
      </c>
      <c r="C83" s="703" t="inlineStr">
        <is>
          <t>R0181787</t>
        </is>
      </c>
      <c r="D83" s="703" t="inlineStr">
        <is>
          <t>Majestic Commercenter (R0181787)</t>
        </is>
      </c>
      <c r="E83" s="703" t="inlineStr">
        <is>
          <t>Commerce City</t>
        </is>
      </c>
      <c r="F83" s="703" t="inlineStr">
        <is>
          <t>CO</t>
        </is>
      </c>
      <c r="G83" s="703" t="inlineStr">
        <is>
          <t>Industrial</t>
        </is>
      </c>
      <c r="H83" s="703"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703" t="inlineStr">
        <is>
          <t>NNN landlord expenses only; from AXG Whse Expenses PSF.xlsx (R0181787)</t>
        </is>
      </c>
      <c r="AN83">
        <f>IF(AND($B83=Subj_OccCode,Subj_BldgSF&gt;0,ABS($J83-Subj_BldgSF)&lt;=Subj_BldgSF*Subj_SizeTol),ABS($J83-Subj_BldgSF),NA())</f>
        <v/>
      </c>
      <c r="AO83">
        <f>IF(ISNA(AN83),NA(),AN83+ROW()/10000000)</f>
        <v/>
      </c>
    </row>
    <row r="84">
      <c r="A84" s="703" t="inlineStr">
        <is>
          <t>P039</t>
        </is>
      </c>
      <c r="B84" s="695" t="n">
        <v>584</v>
      </c>
      <c r="C84" s="703" t="inlineStr">
        <is>
          <t>R0191101</t>
        </is>
      </c>
      <c r="D84" s="703" t="inlineStr">
        <is>
          <t>Majestic Commercenter (R0191101)</t>
        </is>
      </c>
      <c r="E84" s="703" t="inlineStr">
        <is>
          <t>Commerce City</t>
        </is>
      </c>
      <c r="F84" s="703" t="inlineStr">
        <is>
          <t>CO</t>
        </is>
      </c>
      <c r="G84" s="703" t="inlineStr">
        <is>
          <t>Industrial</t>
        </is>
      </c>
      <c r="H84" s="703"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703" t="inlineStr">
        <is>
          <t>NNN landlord expenses only; from AXG Whse Expenses PSF.xlsx (R0191101)</t>
        </is>
      </c>
      <c r="AN84">
        <f>IF(AND($B84=Subj_OccCode,Subj_BldgSF&gt;0,ABS($J84-Subj_BldgSF)&lt;=Subj_BldgSF*Subj_SizeTol),ABS($J84-Subj_BldgSF),NA())</f>
        <v/>
      </c>
      <c r="AO84">
        <f>IF(ISNA(AN84),NA(),AN84+ROW()/10000000)</f>
        <v/>
      </c>
    </row>
    <row r="85">
      <c r="A85" s="703" t="inlineStr">
        <is>
          <t>P039</t>
        </is>
      </c>
      <c r="B85" s="695" t="n">
        <v>584</v>
      </c>
      <c r="C85" s="703" t="inlineStr">
        <is>
          <t>R0191101</t>
        </is>
      </c>
      <c r="D85" s="703" t="inlineStr">
        <is>
          <t>Majestic Commercenter (R0191101)</t>
        </is>
      </c>
      <c r="E85" s="703" t="inlineStr">
        <is>
          <t>Commerce City</t>
        </is>
      </c>
      <c r="F85" s="703" t="inlineStr">
        <is>
          <t>CO</t>
        </is>
      </c>
      <c r="G85" s="703" t="inlineStr">
        <is>
          <t>Industrial</t>
        </is>
      </c>
      <c r="H85" s="703"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703" t="inlineStr">
        <is>
          <t>NNN landlord expenses only; from AXG Whse Expenses PSF.xlsx (R0191101)</t>
        </is>
      </c>
      <c r="AN85">
        <f>IF(AND($B85=Subj_OccCode,Subj_BldgSF&gt;0,ABS($J85-Subj_BldgSF)&lt;=Subj_BldgSF*Subj_SizeTol),ABS($J85-Subj_BldgSF),NA())</f>
        <v/>
      </c>
      <c r="AO85">
        <f>IF(ISNA(AN85),NA(),AN85+ROW()/10000000)</f>
        <v/>
      </c>
    </row>
    <row r="86">
      <c r="A86" s="703" t="inlineStr">
        <is>
          <t>P040</t>
        </is>
      </c>
      <c r="B86" s="695" t="n">
        <v>407</v>
      </c>
      <c r="C86" s="703" t="inlineStr">
        <is>
          <t>R0202874</t>
        </is>
      </c>
      <c r="D86" s="703" t="inlineStr">
        <is>
          <t>900 E 128th Ave</t>
        </is>
      </c>
      <c r="E86" s="703" t="inlineStr">
        <is>
          <t>Henderson</t>
        </is>
      </c>
      <c r="F86" s="703" t="inlineStr">
        <is>
          <t>CO</t>
        </is>
      </c>
      <c r="G86" s="703" t="inlineStr">
        <is>
          <t>Industrial</t>
        </is>
      </c>
      <c r="H86" s="703"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703" t="inlineStr">
        <is>
          <t>Amazon AMZL Site 51812; SF not extracted; RE Tax not broken out in 2021</t>
        </is>
      </c>
      <c r="AN86">
        <f>IF(AND($B86=Subj_OccCode,Subj_BldgSF&gt;0,ABS($J86-Subj_BldgSF)&lt;=Subj_BldgSF*Subj_SizeTol),ABS($J86-Subj_BldgSF),NA())</f>
        <v/>
      </c>
      <c r="AO86">
        <f>IF(ISNA(AN86),NA(),AN86+ROW()/10000000)</f>
        <v/>
      </c>
    </row>
    <row r="87">
      <c r="A87" s="703" t="inlineStr">
        <is>
          <t>P040</t>
        </is>
      </c>
      <c r="B87" s="695" t="n">
        <v>407</v>
      </c>
      <c r="C87" s="703" t="inlineStr">
        <is>
          <t>R0202874</t>
        </is>
      </c>
      <c r="D87" s="703" t="inlineStr">
        <is>
          <t>900 E 128th Ave</t>
        </is>
      </c>
      <c r="E87" s="703" t="inlineStr">
        <is>
          <t>Henderson</t>
        </is>
      </c>
      <c r="F87" s="703" t="inlineStr">
        <is>
          <t>CO</t>
        </is>
      </c>
      <c r="G87" s="703" t="inlineStr">
        <is>
          <t>Industrial</t>
        </is>
      </c>
      <c r="H87" s="703"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703" t="inlineStr">
        <is>
          <t>Amazon AMZL Site 51812; 2022 dominated by RE Tax $1.08M; asset mgmt fee $70k</t>
        </is>
      </c>
      <c r="AN87">
        <f>IF(AND($B87=Subj_OccCode,Subj_BldgSF&gt;0,ABS($J87-Subj_BldgSF)&lt;=Subj_BldgSF*Subj_SizeTol),ABS($J87-Subj_BldgSF),NA())</f>
        <v/>
      </c>
      <c r="AO87">
        <f>IF(ISNA(AN87),NA(),AN87+ROW()/10000000)</f>
        <v/>
      </c>
    </row>
    <row r="88">
      <c r="A88" s="703" t="inlineStr">
        <is>
          <t>P041</t>
        </is>
      </c>
      <c r="B88" s="695" t="n">
        <v>386</v>
      </c>
      <c r="C88" s="703" t="inlineStr">
        <is>
          <t>R0189384</t>
        </is>
      </c>
      <c r="D88" s="703" t="inlineStr">
        <is>
          <t>1101 Colorado Blvd</t>
        </is>
      </c>
      <c r="E88" s="703" t="inlineStr">
        <is>
          <t>Thornton</t>
        </is>
      </c>
      <c r="F88" s="703" t="inlineStr">
        <is>
          <t>CO</t>
        </is>
      </c>
      <c r="G88" s="703" t="inlineStr">
        <is>
          <t>Self-Storage</t>
        </is>
      </c>
      <c r="H88" s="703"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703" t="inlineStr">
        <is>
          <t>Actual SS P&amp;L; mgmt=off-site+on-site combined; admin+adv in Other</t>
        </is>
      </c>
      <c r="AN88">
        <f>IF(AND($B88=Subj_OccCode,Subj_BldgSF&gt;0,ABS($J88-Subj_BldgSF)&lt;=Subj_BldgSF*Subj_SizeTol),ABS($J88-Subj_BldgSF),NA())</f>
        <v/>
      </c>
      <c r="AO88">
        <f>IF(ISNA(AN88),NA(),AN88+ROW()/10000000)</f>
        <v/>
      </c>
    </row>
    <row r="89">
      <c r="A89" s="703" t="inlineStr">
        <is>
          <t>P041</t>
        </is>
      </c>
      <c r="B89" s="695" t="n">
        <v>386</v>
      </c>
      <c r="C89" s="703" t="inlineStr">
        <is>
          <t>R0189384</t>
        </is>
      </c>
      <c r="D89" s="703" t="inlineStr">
        <is>
          <t>1101 Colorado Blvd</t>
        </is>
      </c>
      <c r="E89" s="703" t="inlineStr">
        <is>
          <t>Thornton</t>
        </is>
      </c>
      <c r="F89" s="703" t="inlineStr">
        <is>
          <t>CO</t>
        </is>
      </c>
      <c r="G89" s="703" t="inlineStr">
        <is>
          <t>Self-Storage</t>
        </is>
      </c>
      <c r="H89" s="703"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703" t="inlineStr">
        <is>
          <t>Actual SS P&amp;L; mgmt=off-site+on-site combined; admin+adv in Other</t>
        </is>
      </c>
      <c r="AN89">
        <f>IF(AND($B89=Subj_OccCode,Subj_BldgSF&gt;0,ABS($J89-Subj_BldgSF)&lt;=Subj_BldgSF*Subj_SizeTol),ABS($J89-Subj_BldgSF),NA())</f>
        <v/>
      </c>
      <c r="AO89">
        <f>IF(ISNA(AN89),NA(),AN89+ROW()/10000000)</f>
        <v/>
      </c>
    </row>
    <row r="90">
      <c r="A90" s="703" t="inlineStr">
        <is>
          <t>P041</t>
        </is>
      </c>
      <c r="B90" s="695" t="n">
        <v>386</v>
      </c>
      <c r="C90" s="703" t="inlineStr">
        <is>
          <t>R0189384</t>
        </is>
      </c>
      <c r="D90" s="703" t="inlineStr">
        <is>
          <t>1101 Colorado Blvd</t>
        </is>
      </c>
      <c r="E90" s="703" t="inlineStr">
        <is>
          <t>Thornton</t>
        </is>
      </c>
      <c r="F90" s="703" t="inlineStr">
        <is>
          <t>CO</t>
        </is>
      </c>
      <c r="G90" s="703" t="inlineStr">
        <is>
          <t>Self-Storage</t>
        </is>
      </c>
      <c r="H90" s="703"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703" t="inlineStr">
        <is>
          <t>Actual SS P&amp;L; mgmt=off-site+on-site combined; admin+adv in Other</t>
        </is>
      </c>
      <c r="AN90">
        <f>IF(AND($B90=Subj_OccCode,Subj_BldgSF&gt;0,ABS($J90-Subj_BldgSF)&lt;=Subj_BldgSF*Subj_SizeTol),ABS($J90-Subj_BldgSF),NA())</f>
        <v/>
      </c>
      <c r="AO90">
        <f>IF(ISNA(AN90),NA(),AN90+ROW()/10000000)</f>
        <v/>
      </c>
    </row>
    <row r="91">
      <c r="A91" s="703" t="inlineStr">
        <is>
          <t>P042</t>
        </is>
      </c>
      <c r="B91" s="695" t="n">
        <v>386</v>
      </c>
      <c r="C91" s="703" t="inlineStr">
        <is>
          <t>R0126235</t>
        </is>
      </c>
      <c r="D91" s="703" t="inlineStr">
        <is>
          <t>15024 Laroy Drive</t>
        </is>
      </c>
      <c r="E91" s="703" t="inlineStr">
        <is>
          <t>Northglenn</t>
        </is>
      </c>
      <c r="F91" s="703" t="inlineStr">
        <is>
          <t>CO</t>
        </is>
      </c>
      <c r="G91" s="703" t="inlineStr">
        <is>
          <t>Self-Storage</t>
        </is>
      </c>
      <c r="H91" s="703"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703" t="inlineStr">
        <is>
          <t>Actual SS P&amp;L; mgmt=off-site+on-site combined</t>
        </is>
      </c>
      <c r="AN91">
        <f>IF(AND($B91=Subj_OccCode,Subj_BldgSF&gt;0,ABS($J91-Subj_BldgSF)&lt;=Subj_BldgSF*Subj_SizeTol),ABS($J91-Subj_BldgSF),NA())</f>
        <v/>
      </c>
      <c r="AO91">
        <f>IF(ISNA(AN91),NA(),AN91+ROW()/10000000)</f>
        <v/>
      </c>
    </row>
    <row r="92">
      <c r="A92" s="703" t="inlineStr">
        <is>
          <t>P042</t>
        </is>
      </c>
      <c r="B92" s="695" t="n">
        <v>386</v>
      </c>
      <c r="C92" s="703" t="inlineStr">
        <is>
          <t>R0126235</t>
        </is>
      </c>
      <c r="D92" s="703" t="inlineStr">
        <is>
          <t>15024 Laroy Drive</t>
        </is>
      </c>
      <c r="E92" s="703" t="inlineStr">
        <is>
          <t>Northglenn</t>
        </is>
      </c>
      <c r="F92" s="703" t="inlineStr">
        <is>
          <t>CO</t>
        </is>
      </c>
      <c r="G92" s="703" t="inlineStr">
        <is>
          <t>Self-Storage</t>
        </is>
      </c>
      <c r="H92" s="703"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703" t="inlineStr">
        <is>
          <t>Actual SS P&amp;L; mgmt=off-site+on-site combined</t>
        </is>
      </c>
      <c r="AN92">
        <f>IF(AND($B92=Subj_OccCode,Subj_BldgSF&gt;0,ABS($J92-Subj_BldgSF)&lt;=Subj_BldgSF*Subj_SizeTol),ABS($J92-Subj_BldgSF),NA())</f>
        <v/>
      </c>
      <c r="AO92">
        <f>IF(ISNA(AN92),NA(),AN92+ROW()/10000000)</f>
        <v/>
      </c>
    </row>
    <row r="93">
      <c r="A93" s="703" t="inlineStr">
        <is>
          <t>P042</t>
        </is>
      </c>
      <c r="B93" s="695" t="n">
        <v>386</v>
      </c>
      <c r="C93" s="703" t="inlineStr">
        <is>
          <t>R0126235</t>
        </is>
      </c>
      <c r="D93" s="703" t="inlineStr">
        <is>
          <t>15024 Laroy Drive</t>
        </is>
      </c>
      <c r="E93" s="703" t="inlineStr">
        <is>
          <t>Northglenn</t>
        </is>
      </c>
      <c r="F93" s="703" t="inlineStr">
        <is>
          <t>CO</t>
        </is>
      </c>
      <c r="G93" s="703" t="inlineStr">
        <is>
          <t>Self-Storage</t>
        </is>
      </c>
      <c r="H93" s="703"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703" t="inlineStr">
        <is>
          <t>Actual SS P&amp;L; mgmt=off-site+on-site combined</t>
        </is>
      </c>
      <c r="AN93">
        <f>IF(AND($B93=Subj_OccCode,Subj_BldgSF&gt;0,ABS($J93-Subj_BldgSF)&lt;=Subj_BldgSF*Subj_SizeTol),ABS($J93-Subj_BldgSF),NA())</f>
        <v/>
      </c>
      <c r="AO93">
        <f>IF(ISNA(AN93),NA(),AN93+ROW()/10000000)</f>
        <v/>
      </c>
    </row>
    <row r="94">
      <c r="A94" s="703" t="inlineStr">
        <is>
          <t>P043</t>
        </is>
      </c>
      <c r="B94" s="695" t="n">
        <v>386</v>
      </c>
      <c r="C94" s="703" t="inlineStr">
        <is>
          <t>R0126234</t>
        </is>
      </c>
      <c r="D94" s="703" t="inlineStr">
        <is>
          <t>715 W 112th Ave</t>
        </is>
      </c>
      <c r="E94" s="703" t="inlineStr">
        <is>
          <t>Northglenn</t>
        </is>
      </c>
      <c r="F94" s="703" t="inlineStr">
        <is>
          <t>CO</t>
        </is>
      </c>
      <c r="G94" s="703" t="inlineStr">
        <is>
          <t>Self-Storage</t>
        </is>
      </c>
      <c r="H94" s="703"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703" t="inlineStr">
        <is>
          <t>Actual SS P&amp;L; mgmt=off-site+on-site combined</t>
        </is>
      </c>
      <c r="AN94">
        <f>IF(AND($B94=Subj_OccCode,Subj_BldgSF&gt;0,ABS($J94-Subj_BldgSF)&lt;=Subj_BldgSF*Subj_SizeTol),ABS($J94-Subj_BldgSF),NA())</f>
        <v/>
      </c>
      <c r="AO94">
        <f>IF(ISNA(AN94),NA(),AN94+ROW()/10000000)</f>
        <v/>
      </c>
    </row>
    <row r="95">
      <c r="A95" s="703" t="inlineStr">
        <is>
          <t>P043</t>
        </is>
      </c>
      <c r="B95" s="695" t="n">
        <v>386</v>
      </c>
      <c r="C95" s="703" t="inlineStr">
        <is>
          <t>R0126234</t>
        </is>
      </c>
      <c r="D95" s="703" t="inlineStr">
        <is>
          <t>715 W 112th Ave</t>
        </is>
      </c>
      <c r="E95" s="703" t="inlineStr">
        <is>
          <t>Northglenn</t>
        </is>
      </c>
      <c r="F95" s="703" t="inlineStr">
        <is>
          <t>CO</t>
        </is>
      </c>
      <c r="G95" s="703" t="inlineStr">
        <is>
          <t>Self-Storage</t>
        </is>
      </c>
      <c r="H95" s="703"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703" t="inlineStr">
        <is>
          <t>Actual SS P&amp;L; mgmt=off-site+on-site combined</t>
        </is>
      </c>
      <c r="AN95">
        <f>IF(AND($B95=Subj_OccCode,Subj_BldgSF&gt;0,ABS($J95-Subj_BldgSF)&lt;=Subj_BldgSF*Subj_SizeTol),ABS($J95-Subj_BldgSF),NA())</f>
        <v/>
      </c>
      <c r="AO95">
        <f>IF(ISNA(AN95),NA(),AN95+ROW()/10000000)</f>
        <v/>
      </c>
    </row>
    <row r="96">
      <c r="A96" s="703" t="inlineStr">
        <is>
          <t>P043</t>
        </is>
      </c>
      <c r="B96" s="695" t="n">
        <v>386</v>
      </c>
      <c r="C96" s="703" t="inlineStr">
        <is>
          <t>R0126234</t>
        </is>
      </c>
      <c r="D96" s="703" t="inlineStr">
        <is>
          <t>715 W 112th Ave</t>
        </is>
      </c>
      <c r="E96" s="703" t="inlineStr">
        <is>
          <t>Northglenn</t>
        </is>
      </c>
      <c r="F96" s="703" t="inlineStr">
        <is>
          <t>CO</t>
        </is>
      </c>
      <c r="G96" s="703" t="inlineStr">
        <is>
          <t>Self-Storage</t>
        </is>
      </c>
      <c r="H96" s="703"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703" t="inlineStr">
        <is>
          <t>Actual SS P&amp;L; mgmt=off-site+on-site combined</t>
        </is>
      </c>
      <c r="AN96">
        <f>IF(AND($B96=Subj_OccCode,Subj_BldgSF&gt;0,ABS($J96-Subj_BldgSF)&lt;=Subj_BldgSF*Subj_SizeTol),ABS($J96-Subj_BldgSF),NA())</f>
        <v/>
      </c>
      <c r="AO96">
        <f>IF(ISNA(AN96),NA(),AN96+ROW()/10000000)</f>
        <v/>
      </c>
    </row>
    <row r="97">
      <c r="A97" s="703" t="inlineStr">
        <is>
          <t>P044</t>
        </is>
      </c>
      <c r="B97" s="695" t="n">
        <v>386</v>
      </c>
      <c r="C97" s="703" t="inlineStr">
        <is>
          <t>R0027089/R0178319</t>
        </is>
      </c>
      <c r="D97" s="703" t="inlineStr">
        <is>
          <t>2290 E 120th Ave</t>
        </is>
      </c>
      <c r="E97" s="703" t="inlineStr">
        <is>
          <t>Thornton</t>
        </is>
      </c>
      <c r="F97" s="703" t="inlineStr">
        <is>
          <t>CO</t>
        </is>
      </c>
      <c r="G97" s="703" t="inlineStr">
        <is>
          <t>Self-Storage</t>
        </is>
      </c>
      <c r="H97" s="703"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703" t="inlineStr">
        <is>
          <t>Actual SS P&amp;L; combined parcels R0027089+R0178319; mgmt=off-site+on-site</t>
        </is>
      </c>
      <c r="AN97">
        <f>IF(AND($B97=Subj_OccCode,Subj_BldgSF&gt;0,ABS($J97-Subj_BldgSF)&lt;=Subj_BldgSF*Subj_SizeTol),ABS($J97-Subj_BldgSF),NA())</f>
        <v/>
      </c>
      <c r="AO97">
        <f>IF(ISNA(AN97),NA(),AN97+ROW()/10000000)</f>
        <v/>
      </c>
    </row>
    <row r="98">
      <c r="A98" s="703" t="inlineStr">
        <is>
          <t>P044</t>
        </is>
      </c>
      <c r="B98" s="695" t="n">
        <v>386</v>
      </c>
      <c r="C98" s="703" t="inlineStr">
        <is>
          <t>R0027089/R0178319</t>
        </is>
      </c>
      <c r="D98" s="703" t="inlineStr">
        <is>
          <t>2290 E 120th Ave</t>
        </is>
      </c>
      <c r="E98" s="703" t="inlineStr">
        <is>
          <t>Thornton</t>
        </is>
      </c>
      <c r="F98" s="703" t="inlineStr">
        <is>
          <t>CO</t>
        </is>
      </c>
      <c r="G98" s="703" t="inlineStr">
        <is>
          <t>Self-Storage</t>
        </is>
      </c>
      <c r="H98" s="703"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703" t="inlineStr">
        <is>
          <t>Actual SS P&amp;L; combined parcels R0027089+R0178319; mgmt=off-site+on-site</t>
        </is>
      </c>
      <c r="AN98">
        <f>IF(AND($B98=Subj_OccCode,Subj_BldgSF&gt;0,ABS($J98-Subj_BldgSF)&lt;=Subj_BldgSF*Subj_SizeTol),ABS($J98-Subj_BldgSF),NA())</f>
        <v/>
      </c>
      <c r="AO98">
        <f>IF(ISNA(AN98),NA(),AN98+ROW()/10000000)</f>
        <v/>
      </c>
    </row>
    <row r="99">
      <c r="A99" s="703" t="inlineStr">
        <is>
          <t>P044</t>
        </is>
      </c>
      <c r="B99" s="695" t="n">
        <v>386</v>
      </c>
      <c r="C99" s="703" t="inlineStr">
        <is>
          <t>R0027089/R0178319</t>
        </is>
      </c>
      <c r="D99" s="703" t="inlineStr">
        <is>
          <t>2290 E 120th Ave</t>
        </is>
      </c>
      <c r="E99" s="703" t="inlineStr">
        <is>
          <t>Thornton</t>
        </is>
      </c>
      <c r="F99" s="703" t="inlineStr">
        <is>
          <t>CO</t>
        </is>
      </c>
      <c r="G99" s="703" t="inlineStr">
        <is>
          <t>Self-Storage</t>
        </is>
      </c>
      <c r="H99" s="703"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703" t="inlineStr">
        <is>
          <t>Actual SS P&amp;L; combined parcels R0027089+R0178319; mgmt=off-site+on-site</t>
        </is>
      </c>
      <c r="AN99">
        <f>IF(AND($B99=Subj_OccCode,Subj_BldgSF&gt;0,ABS($J99-Subj_BldgSF)&lt;=Subj_BldgSF*Subj_SizeTol),ABS($J99-Subj_BldgSF),NA())</f>
        <v/>
      </c>
      <c r="AO99">
        <f>IF(ISNA(AN99),NA(),AN99+ROW()/10000000)</f>
        <v/>
      </c>
    </row>
    <row r="100">
      <c r="A100" s="703" t="inlineStr">
        <is>
          <t>P045</t>
        </is>
      </c>
      <c r="B100" s="695" t="n">
        <v>386</v>
      </c>
      <c r="C100" s="703" t="inlineStr">
        <is>
          <t>R0043569</t>
        </is>
      </c>
      <c r="D100" s="703" t="inlineStr">
        <is>
          <t>40131 Quivas St</t>
        </is>
      </c>
      <c r="E100" s="703" t="inlineStr">
        <is>
          <t>Thornton</t>
        </is>
      </c>
      <c r="F100" s="703" t="inlineStr">
        <is>
          <t>CO</t>
        </is>
      </c>
      <c r="G100" s="703" t="inlineStr">
        <is>
          <t>Self-Storage</t>
        </is>
      </c>
      <c r="H100" s="703"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703" t="inlineStr">
        <is>
          <t>Actual FY2024 P&amp;L; mgmt=off-site $42,964+on-site $51,011; RE Tax est from matrix</t>
        </is>
      </c>
      <c r="AN100">
        <f>IF(AND($B100=Subj_OccCode,Subj_BldgSF&gt;0,ABS($J100-Subj_BldgSF)&lt;=Subj_BldgSF*Subj_SizeTol),ABS($J100-Subj_BldgSF),NA())</f>
        <v/>
      </c>
      <c r="AO100">
        <f>IF(ISNA(AN100),NA(),AN100+ROW()/10000000)</f>
        <v/>
      </c>
    </row>
    <row r="101">
      <c r="A101" s="703" t="inlineStr">
        <is>
          <t>P046</t>
        </is>
      </c>
      <c r="B101" s="695" t="n">
        <v>386</v>
      </c>
      <c r="C101" s="703" t="inlineStr">
        <is>
          <t>R0193009</t>
        </is>
      </c>
      <c r="D101" s="703" t="inlineStr">
        <is>
          <t>Address unknown – see R0193009</t>
        </is>
      </c>
      <c r="E101" s="703" t="inlineStr">
        <is>
          <t>Adams County</t>
        </is>
      </c>
      <c r="F101" s="703" t="inlineStr">
        <is>
          <t>CO</t>
        </is>
      </c>
      <c r="G101" s="703" t="inlineStr">
        <is>
          <t>Self-Storage</t>
        </is>
      </c>
      <c r="H101" s="703"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703" t="inlineStr">
        <is>
          <t>AXG SS Expense Matrix; year not specified (~2022/23); R0193009</t>
        </is>
      </c>
      <c r="AN101">
        <f>IF(AND($B101=Subj_OccCode,Subj_BldgSF&gt;0,ABS($J101-Subj_BldgSF)&lt;=Subj_BldgSF*Subj_SizeTol),ABS($J101-Subj_BldgSF),NA())</f>
        <v/>
      </c>
      <c r="AO101">
        <f>IF(ISNA(AN101),NA(),AN101+ROW()/10000000)</f>
        <v/>
      </c>
    </row>
    <row r="102">
      <c r="A102" s="703" t="inlineStr">
        <is>
          <t>P047</t>
        </is>
      </c>
      <c r="B102" s="695" t="n">
        <v>386</v>
      </c>
      <c r="C102" s="703" t="inlineStr">
        <is>
          <t>R0099616</t>
        </is>
      </c>
      <c r="D102" s="703" t="inlineStr">
        <is>
          <t>Address unknown – see R0099616</t>
        </is>
      </c>
      <c r="E102" s="703" t="inlineStr">
        <is>
          <t>Adams County</t>
        </is>
      </c>
      <c r="F102" s="703" t="inlineStr">
        <is>
          <t>CO</t>
        </is>
      </c>
      <c r="G102" s="703" t="inlineStr">
        <is>
          <t>Self-Storage</t>
        </is>
      </c>
      <c r="H102" s="703"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703" t="inlineStr">
        <is>
          <t>AXG SS Expense Matrix; year not specified (~2022/23); R0099616</t>
        </is>
      </c>
      <c r="AN102">
        <f>IF(AND($B102=Subj_OccCode,Subj_BldgSF&gt;0,ABS($J102-Subj_BldgSF)&lt;=Subj_BldgSF*Subj_SizeTol),ABS($J102-Subj_BldgSF),NA())</f>
        <v/>
      </c>
      <c r="AO102">
        <f>IF(ISNA(AN102),NA(),AN102+ROW()/10000000)</f>
        <v/>
      </c>
    </row>
    <row r="103">
      <c r="A103" s="703" t="inlineStr">
        <is>
          <t>P048</t>
        </is>
      </c>
      <c r="B103" s="695" t="n">
        <v>386</v>
      </c>
      <c r="C103" s="703" t="inlineStr">
        <is>
          <t>R0098019</t>
        </is>
      </c>
      <c r="D103" s="703" t="inlineStr">
        <is>
          <t>Address unknown – see R0098019</t>
        </is>
      </c>
      <c r="E103" s="703" t="inlineStr">
        <is>
          <t>Adams County</t>
        </is>
      </c>
      <c r="F103" s="703" t="inlineStr">
        <is>
          <t>CO</t>
        </is>
      </c>
      <c r="G103" s="703" t="inlineStr">
        <is>
          <t>Self-Storage</t>
        </is>
      </c>
      <c r="H103" s="703"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703" t="inlineStr">
        <is>
          <t>AXG SS Expense Matrix; year not specified (~2022/23); R0098019</t>
        </is>
      </c>
      <c r="AN103">
        <f>IF(AND($B103=Subj_OccCode,Subj_BldgSF&gt;0,ABS($J103-Subj_BldgSF)&lt;=Subj_BldgSF*Subj_SizeTol),ABS($J103-Subj_BldgSF),NA())</f>
        <v/>
      </c>
      <c r="AO103">
        <f>IF(ISNA(AN103),NA(),AN103+ROW()/10000000)</f>
        <v/>
      </c>
    </row>
    <row r="104">
      <c r="A104" s="703" t="inlineStr">
        <is>
          <t>P049</t>
        </is>
      </c>
      <c r="B104" s="695" t="n">
        <v>386</v>
      </c>
      <c r="C104" s="703" t="inlineStr">
        <is>
          <t>R0102989</t>
        </is>
      </c>
      <c r="D104" s="703" t="inlineStr">
        <is>
          <t>Address unknown – see R0102989</t>
        </is>
      </c>
      <c r="E104" s="703" t="inlineStr">
        <is>
          <t>Adams County</t>
        </is>
      </c>
      <c r="F104" s="703" t="inlineStr">
        <is>
          <t>CO</t>
        </is>
      </c>
      <c r="G104" s="703" t="inlineStr">
        <is>
          <t>Self-Storage</t>
        </is>
      </c>
      <c r="H104" s="703"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703" t="inlineStr">
        <is>
          <t>AXG SS Expense Matrix; year not specified (~2022/23); R0102989</t>
        </is>
      </c>
      <c r="AN104">
        <f>IF(AND($B104=Subj_OccCode,Subj_BldgSF&gt;0,ABS($J104-Subj_BldgSF)&lt;=Subj_BldgSF*Subj_SizeTol),ABS($J104-Subj_BldgSF),NA())</f>
        <v/>
      </c>
      <c r="AO104">
        <f>IF(ISNA(AN104),NA(),AN104+ROW()/10000000)</f>
        <v/>
      </c>
    </row>
    <row r="105">
      <c r="A105" s="703" t="inlineStr">
        <is>
          <t>P050</t>
        </is>
      </c>
      <c r="B105" s="695" t="n">
        <v>386</v>
      </c>
      <c r="C105" s="703" t="inlineStr">
        <is>
          <t>R0085523</t>
        </is>
      </c>
      <c r="D105" s="703" t="inlineStr">
        <is>
          <t>Address unknown – see R0085523</t>
        </is>
      </c>
      <c r="E105" s="703" t="inlineStr">
        <is>
          <t>Adams County</t>
        </is>
      </c>
      <c r="F105" s="703" t="inlineStr">
        <is>
          <t>CO</t>
        </is>
      </c>
      <c r="G105" s="703" t="inlineStr">
        <is>
          <t>Self-Storage</t>
        </is>
      </c>
      <c r="H105" s="703"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703" t="inlineStr">
        <is>
          <t>AXG SS Expense Matrix; year not specified (~2022/23); R0085523</t>
        </is>
      </c>
      <c r="AN105">
        <f>IF(AND($B105=Subj_OccCode,Subj_BldgSF&gt;0,ABS($J105-Subj_BldgSF)&lt;=Subj_BldgSF*Subj_SizeTol),ABS($J105-Subj_BldgSF),NA())</f>
        <v/>
      </c>
      <c r="AO105">
        <f>IF(ISNA(AN105),NA(),AN105+ROW()/10000000)</f>
        <v/>
      </c>
    </row>
    <row r="106">
      <c r="A106" s="703" t="inlineStr">
        <is>
          <t>P051</t>
        </is>
      </c>
      <c r="B106" s="695" t="n">
        <v>386</v>
      </c>
      <c r="C106" s="703" t="inlineStr">
        <is>
          <t>R0174860</t>
        </is>
      </c>
      <c r="D106" s="703" t="inlineStr">
        <is>
          <t>Address unknown – see R0174860</t>
        </is>
      </c>
      <c r="E106" s="703" t="inlineStr">
        <is>
          <t>Adams County</t>
        </is>
      </c>
      <c r="F106" s="703" t="inlineStr">
        <is>
          <t>CO</t>
        </is>
      </c>
      <c r="G106" s="703" t="inlineStr">
        <is>
          <t>Self-Storage</t>
        </is>
      </c>
      <c r="H106" s="703"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703" t="inlineStr">
        <is>
          <t>AXG SS Expense Matrix; year not specified (~2022/23); R0174860</t>
        </is>
      </c>
      <c r="AN106">
        <f>IF(AND($B106=Subj_OccCode,Subj_BldgSF&gt;0,ABS($J106-Subj_BldgSF)&lt;=Subj_BldgSF*Subj_SizeTol),ABS($J106-Subj_BldgSF),NA())</f>
        <v/>
      </c>
      <c r="AO106">
        <f>IF(ISNA(AN106),NA(),AN106+ROW()/10000000)</f>
        <v/>
      </c>
    </row>
    <row r="107">
      <c r="A107" s="703" t="inlineStr">
        <is>
          <t>P052</t>
        </is>
      </c>
      <c r="B107" s="695" t="n">
        <v>386</v>
      </c>
      <c r="C107" s="703" t="inlineStr">
        <is>
          <t>R0161412</t>
        </is>
      </c>
      <c r="D107" s="703" t="inlineStr">
        <is>
          <t>Address unknown – see R0161412</t>
        </is>
      </c>
      <c r="E107" s="703" t="inlineStr">
        <is>
          <t>Adams County</t>
        </is>
      </c>
      <c r="F107" s="703" t="inlineStr">
        <is>
          <t>CO</t>
        </is>
      </c>
      <c r="G107" s="703" t="inlineStr">
        <is>
          <t>Self-Storage</t>
        </is>
      </c>
      <c r="H107" s="703"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703" t="inlineStr">
        <is>
          <t>AXG SS Expense Matrix; year not specified (~2022/23); R0161412</t>
        </is>
      </c>
      <c r="AN107">
        <f>IF(AND($B107=Subj_OccCode,Subj_BldgSF&gt;0,ABS($J107-Subj_BldgSF)&lt;=Subj_BldgSF*Subj_SizeTol),ABS($J107-Subj_BldgSF),NA())</f>
        <v/>
      </c>
      <c r="AO107">
        <f>IF(ISNA(AN107),NA(),AN107+ROW()/10000000)</f>
        <v/>
      </c>
    </row>
    <row r="108">
      <c r="A108" s="703" t="inlineStr">
        <is>
          <t>P053</t>
        </is>
      </c>
      <c r="B108" s="695" t="n">
        <v>386</v>
      </c>
      <c r="C108" s="703" t="inlineStr">
        <is>
          <t>R0169115</t>
        </is>
      </c>
      <c r="D108" s="703" t="inlineStr">
        <is>
          <t>Address unknown – see R0169115</t>
        </is>
      </c>
      <c r="E108" s="703" t="inlineStr">
        <is>
          <t>Adams County</t>
        </is>
      </c>
      <c r="F108" s="703" t="inlineStr">
        <is>
          <t>CO</t>
        </is>
      </c>
      <c r="G108" s="703" t="inlineStr">
        <is>
          <t>Self-Storage</t>
        </is>
      </c>
      <c r="H108" s="703"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703" t="inlineStr">
        <is>
          <t>AXG SS Expense Matrix; year not specified (~2022/23); R0169115</t>
        </is>
      </c>
      <c r="AN108">
        <f>IF(AND($B108=Subj_OccCode,Subj_BldgSF&gt;0,ABS($J108-Subj_BldgSF)&lt;=Subj_BldgSF*Subj_SizeTol),ABS($J108-Subj_BldgSF),NA())</f>
        <v/>
      </c>
      <c r="AO108">
        <f>IF(ISNA(AN108),NA(),AN108+ROW()/10000000)</f>
        <v/>
      </c>
    </row>
    <row r="109">
      <c r="A109" s="703" t="inlineStr">
        <is>
          <t>P016</t>
        </is>
      </c>
      <c r="B109" s="695" t="n">
        <v>584</v>
      </c>
      <c r="C109" s="703" t="inlineStr">
        <is>
          <t>R0212546/R0212547</t>
        </is>
      </c>
      <c r="D109" s="703" t="inlineStr">
        <is>
          <t>2780 N Tower Rd</t>
        </is>
      </c>
      <c r="E109" s="703" t="inlineStr">
        <is>
          <t>Aurora</t>
        </is>
      </c>
      <c r="F109" s="703" t="inlineStr">
        <is>
          <t>CO</t>
        </is>
      </c>
      <c r="G109" s="703" t="inlineStr">
        <is>
          <t>Industrial</t>
        </is>
      </c>
      <c r="H109" s="703"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703"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row>
    <row r="110">
      <c r="A110" s="703" t="inlineStr">
        <is>
          <t>P016</t>
        </is>
      </c>
      <c r="B110" s="695" t="n">
        <v>584</v>
      </c>
      <c r="C110" s="703" t="inlineStr">
        <is>
          <t>R0212546/R0212547</t>
        </is>
      </c>
      <c r="D110" s="703" t="inlineStr">
        <is>
          <t>2780 N Tower Rd</t>
        </is>
      </c>
      <c r="E110" s="703" t="inlineStr">
        <is>
          <t>Aurora</t>
        </is>
      </c>
      <c r="F110" s="703" t="inlineStr">
        <is>
          <t>CO</t>
        </is>
      </c>
      <c r="G110" s="703" t="inlineStr">
        <is>
          <t>Industrial</t>
        </is>
      </c>
      <c r="H110" s="703"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703"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row>
    <row r="111">
      <c r="A111" s="703" t="inlineStr">
        <is>
          <t>P034</t>
        </is>
      </c>
      <c r="B111" s="695" t="n">
        <v>407</v>
      </c>
      <c r="C111" s="703" t="inlineStr">
        <is>
          <t>R0172865</t>
        </is>
      </c>
      <c r="D111" s="703" t="inlineStr">
        <is>
          <t>Majestic Commercenter (R0172865)</t>
        </is>
      </c>
      <c r="E111" s="703" t="inlineStr">
        <is>
          <t>Commerce City</t>
        </is>
      </c>
      <c r="F111" s="703" t="inlineStr">
        <is>
          <t>CO</t>
        </is>
      </c>
      <c r="G111" s="703" t="inlineStr">
        <is>
          <t>Industrial</t>
        </is>
      </c>
      <c r="H111" s="703"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703" t="inlineStr">
        <is>
          <t>2024 actual 12-month P&amp;L; NOI est. per expense ratio; from 08_2025 Review</t>
        </is>
      </c>
      <c r="AN111">
        <f>IF(AND($B111=Subj_OccCode,Subj_BldgSF&gt;0,ABS($J111-Subj_BldgSF)&lt;=Subj_BldgSF*Subj_SizeTol),ABS($J111-Subj_BldgSF),NA())</f>
        <v/>
      </c>
      <c r="AO111">
        <f>IF(ISNA(AN111),NA(),AN111+ROW()/10000000)</f>
        <v/>
      </c>
    </row>
    <row r="112">
      <c r="A112" s="703" t="inlineStr">
        <is>
          <t>P036</t>
        </is>
      </c>
      <c r="B112" s="695" t="n">
        <v>407</v>
      </c>
      <c r="C112" s="703" t="inlineStr">
        <is>
          <t>R0172868</t>
        </is>
      </c>
      <c r="D112" s="703" t="inlineStr">
        <is>
          <t>Majestic Commercenter (R0172868)</t>
        </is>
      </c>
      <c r="E112" s="703" t="inlineStr">
        <is>
          <t>Commerce City</t>
        </is>
      </c>
      <c r="F112" s="703" t="inlineStr">
        <is>
          <t>CO</t>
        </is>
      </c>
      <c r="G112" s="703" t="inlineStr">
        <is>
          <t>Industrial</t>
        </is>
      </c>
      <c r="H112" s="703"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703" t="inlineStr">
        <is>
          <t>2024 actual 12-month P&amp;L; from 08_2025 Review</t>
        </is>
      </c>
      <c r="AN112">
        <f>IF(AND($B112=Subj_OccCode,Subj_BldgSF&gt;0,ABS($J112-Subj_BldgSF)&lt;=Subj_BldgSF*Subj_SizeTol),ABS($J112-Subj_BldgSF),NA())</f>
        <v/>
      </c>
      <c r="AO112">
        <f>IF(ISNA(AN112),NA(),AN112+ROW()/10000000)</f>
        <v/>
      </c>
    </row>
    <row r="113">
      <c r="A113" s="703" t="inlineStr">
        <is>
          <t>P054</t>
        </is>
      </c>
      <c r="B113" s="695" t="n">
        <v>210</v>
      </c>
      <c r="C113" s="703" t="inlineStr">
        <is>
          <t>R0180551</t>
        </is>
      </c>
      <c r="D113" s="703" t="inlineStr">
        <is>
          <t>1953 N Gun Club Rd</t>
        </is>
      </c>
      <c r="E113" s="703" t="inlineStr">
        <is>
          <t>Aurora</t>
        </is>
      </c>
      <c r="F113" s="703" t="inlineStr">
        <is>
          <t>CO</t>
        </is>
      </c>
      <c r="G113" s="703" t="inlineStr">
        <is>
          <t>Industrial</t>
        </is>
      </c>
      <c r="H113" s="703"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703" t="inlineStr">
        <is>
          <t>Actual accrual; base rent $880k; recovery $1.59M; prior-yr adj included</t>
        </is>
      </c>
      <c r="AN113">
        <f>IF(AND($B113=Subj_OccCode,Subj_BldgSF&gt;0,ABS($J113-Subj_BldgSF)&lt;=Subj_BldgSF*Subj_SizeTol),ABS($J113-Subj_BldgSF),NA())</f>
        <v/>
      </c>
      <c r="AO113">
        <f>IF(ISNA(AN113),NA(),AN113+ROW()/10000000)</f>
        <v/>
      </c>
    </row>
    <row r="114">
      <c r="A114" s="703" t="inlineStr">
        <is>
          <t>P054</t>
        </is>
      </c>
      <c r="B114" s="695" t="n">
        <v>210</v>
      </c>
      <c r="C114" s="703" t="inlineStr">
        <is>
          <t>R0180551</t>
        </is>
      </c>
      <c r="D114" s="703" t="inlineStr">
        <is>
          <t>1953 N Gun Club Rd</t>
        </is>
      </c>
      <c r="E114" s="703" t="inlineStr">
        <is>
          <t>Aurora</t>
        </is>
      </c>
      <c r="F114" s="703" t="inlineStr">
        <is>
          <t>CO</t>
        </is>
      </c>
      <c r="G114" s="703" t="inlineStr">
        <is>
          <t>Industrial</t>
        </is>
      </c>
      <c r="H114" s="703"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703" t="inlineStr">
        <is>
          <t>Actual accrual; base rent $1.09M stepped; recovery $1.62M</t>
        </is>
      </c>
      <c r="AN114">
        <f>IF(AND($B114=Subj_OccCode,Subj_BldgSF&gt;0,ABS($J114-Subj_BldgSF)&lt;=Subj_BldgSF*Subj_SizeTol),ABS($J114-Subj_BldgSF),NA())</f>
        <v/>
      </c>
      <c r="AO114">
        <f>IF(ISNA(AN114),NA(),AN114+ROW()/10000000)</f>
        <v/>
      </c>
    </row>
    <row r="115">
      <c r="A115" s="703" t="inlineStr">
        <is>
          <t>P055</t>
        </is>
      </c>
      <c r="B115" s="695" t="n">
        <v>407</v>
      </c>
      <c r="C115" s="703" t="inlineStr">
        <is>
          <t>R0211072/R0211073/R0211074</t>
        </is>
      </c>
      <c r="D115" s="703" t="inlineStr">
        <is>
          <t>Park 76 Distribution Center</t>
        </is>
      </c>
      <c r="E115" s="703" t="inlineStr">
        <is>
          <t>Aurora</t>
        </is>
      </c>
      <c r="F115" s="703" t="inlineStr">
        <is>
          <t>CO</t>
        </is>
      </c>
      <c r="G115" s="703" t="inlineStr">
        <is>
          <t>Industrial</t>
        </is>
      </c>
      <c r="H115" s="703"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703" t="inlineStr">
        <is>
          <t>3-bldg campus; actual accrual; base rent $1.87M; recovery $992k; prior-yr tax credit ($186k) netted</t>
        </is>
      </c>
      <c r="AN115">
        <f>IF(AND($B115=Subj_OccCode,Subj_BldgSF&gt;0,ABS($J115-Subj_BldgSF)&lt;=Subj_BldgSF*Subj_SizeTol),ABS($J115-Subj_BldgSF),NA())</f>
        <v/>
      </c>
      <c r="AO115">
        <f>IF(ISNA(AN115),NA(),AN115+ROW()/10000000)</f>
        <v/>
      </c>
    </row>
    <row r="116">
      <c r="A116" s="703" t="inlineStr">
        <is>
          <t>P055</t>
        </is>
      </c>
      <c r="B116" s="695" t="n">
        <v>407</v>
      </c>
      <c r="C116" s="703" t="inlineStr">
        <is>
          <t>R0211072/R0211073/R0211074</t>
        </is>
      </c>
      <c r="D116" s="703" t="inlineStr">
        <is>
          <t>Park 76 Distribution Center</t>
        </is>
      </c>
      <c r="E116" s="703" t="inlineStr">
        <is>
          <t>Aurora</t>
        </is>
      </c>
      <c r="F116" s="703" t="inlineStr">
        <is>
          <t>CO</t>
        </is>
      </c>
      <c r="G116" s="703" t="inlineStr">
        <is>
          <t>Industrial</t>
        </is>
      </c>
      <c r="H116" s="703"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703" t="inlineStr">
        <is>
          <t>3-bldg campus; actual accrual; near-stabilized; base rent $2.08M; recovery $1.23M</t>
        </is>
      </c>
      <c r="AN116">
        <f>IF(AND($B116=Subj_OccCode,Subj_BldgSF&gt;0,ABS($J116-Subj_BldgSF)&lt;=Subj_BldgSF*Subj_SizeTol),ABS($J116-Subj_BldgSF),NA())</f>
        <v/>
      </c>
      <c r="AO116">
        <f>IF(ISNA(AN116),NA(),AN116+ROW()/10000000)</f>
        <v/>
      </c>
    </row>
    <row r="117">
      <c r="A117" s="703" t="inlineStr">
        <is>
          <t>P056</t>
        </is>
      </c>
      <c r="B117" s="695" t="n">
        <v>407</v>
      </c>
      <c r="C117" s="703" t="inlineStr">
        <is>
          <t>R0210485</t>
        </is>
      </c>
      <c r="D117" s="703" t="inlineStr">
        <is>
          <t>1101 E 126th Ave (Bldg A)</t>
        </is>
      </c>
      <c r="E117" s="703" t="inlineStr">
        <is>
          <t>Thornton</t>
        </is>
      </c>
      <c r="F117" s="703" t="inlineStr">
        <is>
          <t>CO</t>
        </is>
      </c>
      <c r="G117" s="703" t="inlineStr">
        <is>
          <t>Industrial</t>
        </is>
      </c>
      <c r="H117" s="703"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703" t="inlineStr">
        <is>
          <t>New (YOC ~2022); 2024 near-stabilized; 2023 excluded (lease-up, negative NOI)</t>
        </is>
      </c>
      <c r="AN117">
        <f>IF(AND($B117=Subj_OccCode,Subj_BldgSF&gt;0,ABS($J117-Subj_BldgSF)&lt;=Subj_BldgSF*Subj_SizeTol),ABS($J117-Subj_BldgSF),NA())</f>
        <v/>
      </c>
      <c r="AO117">
        <f>IF(ISNA(AN117),NA(),AN117+ROW()/10000000)</f>
        <v/>
      </c>
    </row>
    <row r="118">
      <c r="A118" s="703" t="inlineStr">
        <is>
          <t>P057</t>
        </is>
      </c>
      <c r="B118" s="695" t="n">
        <v>407</v>
      </c>
      <c r="C118" s="703" t="inlineStr">
        <is>
          <t>R0210486</t>
        </is>
      </c>
      <c r="D118" s="703" t="inlineStr">
        <is>
          <t>12625 Lafayette St (Bldg B)</t>
        </is>
      </c>
      <c r="E118" s="703" t="inlineStr">
        <is>
          <t>Thornton</t>
        </is>
      </c>
      <c r="F118" s="703" t="inlineStr">
        <is>
          <t>CO</t>
        </is>
      </c>
      <c r="G118" s="703" t="inlineStr">
        <is>
          <t>Industrial</t>
        </is>
      </c>
      <c r="H118" s="703"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703" t="inlineStr">
        <is>
          <t>New (YOC ~2022); 2024 near-stabilized; 2023 excluded (lease-up, negative NOI)</t>
        </is>
      </c>
      <c r="AN118">
        <f>IF(AND($B118=Subj_OccCode,Subj_BldgSF&gt;0,ABS($J118-Subj_BldgSF)&lt;=Subj_BldgSF*Subj_SizeTol),ABS($J118-Subj_BldgSF),NA())</f>
        <v/>
      </c>
      <c r="AO118">
        <f>IF(ISNA(AN118),NA(),AN118+ROW()/10000000)</f>
        <v/>
      </c>
    </row>
    <row r="119">
      <c r="A119" s="703" t="inlineStr">
        <is>
          <t>P058</t>
        </is>
      </c>
      <c r="B119" s="695" t="n">
        <v>407</v>
      </c>
      <c r="C119" s="703" t="inlineStr">
        <is>
          <t>R0091934</t>
        </is>
      </c>
      <c r="D119" s="703" t="inlineStr">
        <is>
          <t>350 Park Industrial (5759)</t>
        </is>
      </c>
      <c r="E119" s="703" t="inlineStr">
        <is>
          <t>Aurora</t>
        </is>
      </c>
      <c r="F119" s="703" t="inlineStr">
        <is>
          <t>CO</t>
        </is>
      </c>
      <c r="G119" s="703" t="inlineStr">
        <is>
          <t>Industrial</t>
        </is>
      </c>
      <c r="H119" s="703"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703" t="inlineStr">
        <is>
          <t>Actual accrual; 3 tenants; multi-tenant industrial</t>
        </is>
      </c>
      <c r="AN119">
        <f>IF(AND($B119=Subj_OccCode,Subj_BldgSF&gt;0,ABS($J119-Subj_BldgSF)&lt;=Subj_BldgSF*Subj_SizeTol),ABS($J119-Subj_BldgSF),NA())</f>
        <v/>
      </c>
      <c r="AO119">
        <f>IF(ISNA(AN119),NA(),AN119+ROW()/10000000)</f>
        <v/>
      </c>
    </row>
    <row r="120">
      <c r="A120" s="703" t="inlineStr">
        <is>
          <t>P058</t>
        </is>
      </c>
      <c r="B120" s="695" t="n">
        <v>407</v>
      </c>
      <c r="C120" s="703" t="inlineStr">
        <is>
          <t>R0091934</t>
        </is>
      </c>
      <c r="D120" s="703" t="inlineStr">
        <is>
          <t>350 Park Industrial (5759)</t>
        </is>
      </c>
      <c r="E120" s="703" t="inlineStr">
        <is>
          <t>Aurora</t>
        </is>
      </c>
      <c r="F120" s="703" t="inlineStr">
        <is>
          <t>CO</t>
        </is>
      </c>
      <c r="G120" s="703" t="inlineStr">
        <is>
          <t>Industrial</t>
        </is>
      </c>
      <c r="H120" s="703"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703" t="inlineStr">
        <is>
          <t>Actual accrual; 3 tenants</t>
        </is>
      </c>
      <c r="AN120">
        <f>IF(AND($B120=Subj_OccCode,Subj_BldgSF&gt;0,ABS($J120-Subj_BldgSF)&lt;=Subj_BldgSF*Subj_SizeTol),ABS($J120-Subj_BldgSF),NA())</f>
        <v/>
      </c>
      <c r="AO120">
        <f>IF(ISNA(AN120),NA(),AN120+ROW()/10000000)</f>
        <v/>
      </c>
    </row>
    <row r="121">
      <c r="A121" s="703" t="inlineStr">
        <is>
          <t>P059</t>
        </is>
      </c>
      <c r="B121" s="695" t="n">
        <v>407</v>
      </c>
      <c r="C121" s="703" t="inlineStr">
        <is>
          <t>R0093111</t>
        </is>
      </c>
      <c r="D121" s="703" t="inlineStr">
        <is>
          <t>Industrial Property (R0093111)</t>
        </is>
      </c>
      <c r="E121" s="703" t="inlineStr">
        <is>
          <t>Aurora</t>
        </is>
      </c>
      <c r="F121" s="703" t="inlineStr">
        <is>
          <t>CO</t>
        </is>
      </c>
      <c r="G121" s="703" t="inlineStr">
        <is>
          <t>Industrial</t>
        </is>
      </c>
      <c r="H121" s="703"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703" t="inlineStr">
        <is>
          <t>Actual; RE tax heavy due to NNN recovery; SF not confirmed</t>
        </is>
      </c>
      <c r="AN121">
        <f>IF(AND($B121=Subj_OccCode,Subj_BldgSF&gt;0,ABS($J121-Subj_BldgSF)&lt;=Subj_BldgSF*Subj_SizeTol),ABS($J121-Subj_BldgSF),NA())</f>
        <v/>
      </c>
      <c r="AO121">
        <f>IF(ISNA(AN121),NA(),AN121+ROW()/10000000)</f>
        <v/>
      </c>
    </row>
    <row r="122">
      <c r="A122" s="703" t="inlineStr">
        <is>
          <t>P059</t>
        </is>
      </c>
      <c r="B122" s="695" t="n">
        <v>407</v>
      </c>
      <c r="C122" s="703" t="inlineStr">
        <is>
          <t>R0093111</t>
        </is>
      </c>
      <c r="D122" s="703" t="inlineStr">
        <is>
          <t>Industrial Property (R0093111)</t>
        </is>
      </c>
      <c r="E122" s="703" t="inlineStr">
        <is>
          <t>Aurora</t>
        </is>
      </c>
      <c r="F122" s="703" t="inlineStr">
        <is>
          <t>CO</t>
        </is>
      </c>
      <c r="G122" s="703" t="inlineStr">
        <is>
          <t>Industrial</t>
        </is>
      </c>
      <c r="H122" s="703"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703" t="inlineStr">
        <is>
          <t>2024 summary data; limited line-item detail; SF not confirmed</t>
        </is>
      </c>
      <c r="AN122">
        <f>IF(AND($B122=Subj_OccCode,Subj_BldgSF&gt;0,ABS($J122-Subj_BldgSF)&lt;=Subj_BldgSF*Subj_SizeTol),ABS($J122-Subj_BldgSF),NA())</f>
        <v/>
      </c>
      <c r="AO122">
        <f>IF(ISNA(AN122),NA(),AN122+ROW()/10000000)</f>
        <v/>
      </c>
    </row>
    <row r="123">
      <c r="A123" s="703" t="inlineStr">
        <is>
          <t>P060</t>
        </is>
      </c>
      <c r="B123" s="695" t="n">
        <v>407</v>
      </c>
      <c r="C123" s="703" t="inlineStr">
        <is>
          <t>R0100104</t>
        </is>
      </c>
      <c r="D123" s="703" t="inlineStr">
        <is>
          <t>312 Kew West</t>
        </is>
      </c>
      <c r="E123" s="703" t="inlineStr">
        <is>
          <t>Aurora</t>
        </is>
      </c>
      <c r="F123" s="703" t="inlineStr">
        <is>
          <t>CO</t>
        </is>
      </c>
      <c r="G123" s="703" t="inlineStr">
        <is>
          <t>Industrial</t>
        </is>
      </c>
      <c r="H123" s="703"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703" t="inlineStr">
        <is>
          <t>Actual accrual; SF not confirmed</t>
        </is>
      </c>
      <c r="AN123">
        <f>IF(AND($B123=Subj_OccCode,Subj_BldgSF&gt;0,ABS($J123-Subj_BldgSF)&lt;=Subj_BldgSF*Subj_SizeTol),ABS($J123-Subj_BldgSF),NA())</f>
        <v/>
      </c>
      <c r="AO123">
        <f>IF(ISNA(AN123),NA(),AN123+ROW()/10000000)</f>
        <v/>
      </c>
    </row>
    <row r="124">
      <c r="A124" s="703" t="inlineStr">
        <is>
          <t>P060</t>
        </is>
      </c>
      <c r="B124" s="695" t="n">
        <v>407</v>
      </c>
      <c r="C124" s="703" t="inlineStr">
        <is>
          <t>R0100104</t>
        </is>
      </c>
      <c r="D124" s="703" t="inlineStr">
        <is>
          <t>312 Kew West</t>
        </is>
      </c>
      <c r="E124" s="703" t="inlineStr">
        <is>
          <t>Aurora</t>
        </is>
      </c>
      <c r="F124" s="703" t="inlineStr">
        <is>
          <t>CO</t>
        </is>
      </c>
      <c r="G124" s="703" t="inlineStr">
        <is>
          <t>Industrial</t>
        </is>
      </c>
      <c r="H124" s="703"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703" t="inlineStr">
        <is>
          <t>Actual accrual; SF not confirmed</t>
        </is>
      </c>
      <c r="AN124">
        <f>IF(AND($B124=Subj_OccCode,Subj_BldgSF&gt;0,ABS($J124-Subj_BldgSF)&lt;=Subj_BldgSF*Subj_SizeTol),ABS($J124-Subj_BldgSF),NA())</f>
        <v/>
      </c>
      <c r="AO124">
        <f>IF(ISNA(AN124),NA(),AN124+ROW()/10000000)</f>
        <v/>
      </c>
    </row>
    <row r="125">
      <c r="A125" s="703" t="inlineStr">
        <is>
          <t>P061</t>
        </is>
      </c>
      <c r="B125" s="695" t="n">
        <v>584</v>
      </c>
      <c r="C125" s="703" t="inlineStr">
        <is>
          <t>R0083935</t>
        </is>
      </c>
      <c r="D125" s="703" t="inlineStr">
        <is>
          <t>20101 E 36th Ave</t>
        </is>
      </c>
      <c r="E125" s="703" t="inlineStr">
        <is>
          <t>Aurora</t>
        </is>
      </c>
      <c r="F125" s="703" t="inlineStr">
        <is>
          <t>CO</t>
        </is>
      </c>
      <c r="G125" s="703" t="inlineStr">
        <is>
          <t>Industrial</t>
        </is>
      </c>
      <c r="H125" s="703"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703" t="inlineStr">
        <is>
          <t>NNN; partial data; CBRE income statement; tenant RK Industries; rent $4.47/SF NNN; RE tax recovery ~$860k</t>
        </is>
      </c>
      <c r="AN125">
        <f>IF(AND($B125=Subj_OccCode,Subj_BldgSF&gt;0,ABS($J125-Subj_BldgSF)&lt;=Subj_BldgSF*Subj_SizeTol),ABS($J125-Subj_BldgSF),NA())</f>
        <v/>
      </c>
      <c r="AO125">
        <f>IF(ISNA(AN125),NA(),AN125+ROW()/10000000)</f>
        <v/>
      </c>
    </row>
    <row r="126">
      <c r="A126" s="703" t="inlineStr">
        <is>
          <t>P062</t>
        </is>
      </c>
      <c r="B126" s="695" t="n">
        <v>407</v>
      </c>
      <c r="C126" s="703" t="inlineStr">
        <is>
          <t>R0200721</t>
        </is>
      </c>
      <c r="D126" s="703" t="inlineStr">
        <is>
          <t>3420 N Lisbon St</t>
        </is>
      </c>
      <c r="E126" s="703" t="inlineStr">
        <is>
          <t>Aurora</t>
        </is>
      </c>
      <c r="F126" s="703" t="inlineStr">
        <is>
          <t>CO</t>
        </is>
      </c>
      <c r="G126" s="703" t="inlineStr">
        <is>
          <t>Industrial</t>
        </is>
      </c>
      <c r="H126" s="703"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703" t="inlineStr">
        <is>
          <t>NNN absolute; tenant pays all opex; owner income = rent only; $7.52/SF</t>
        </is>
      </c>
      <c r="AN126">
        <f>IF(AND($B126=Subj_OccCode,Subj_BldgSF&gt;0,ABS($J126-Subj_BldgSF)&lt;=Subj_BldgSF*Subj_SizeTol),ABS($J126-Subj_BldgSF),NA())</f>
        <v/>
      </c>
      <c r="AO126">
        <f>IF(ISNA(AN126),NA(),AN126+ROW()/10000000)</f>
        <v/>
      </c>
    </row>
    <row r="127">
      <c r="A127" s="703" t="inlineStr">
        <is>
          <t>P062</t>
        </is>
      </c>
      <c r="B127" s="695" t="n">
        <v>407</v>
      </c>
      <c r="C127" s="703" t="inlineStr">
        <is>
          <t>R0200721</t>
        </is>
      </c>
      <c r="D127" s="703" t="inlineStr">
        <is>
          <t>3420 N Lisbon St</t>
        </is>
      </c>
      <c r="E127" s="703" t="inlineStr">
        <is>
          <t>Aurora</t>
        </is>
      </c>
      <c r="F127" s="703" t="inlineStr">
        <is>
          <t>CO</t>
        </is>
      </c>
      <c r="G127" s="703" t="inlineStr">
        <is>
          <t>Industrial</t>
        </is>
      </c>
      <c r="H127" s="703"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703" t="inlineStr">
        <is>
          <t>NNN absolute; tenant pays all opex; owner income = rent only; $7.75/SF</t>
        </is>
      </c>
      <c r="AN127">
        <f>IF(AND($B127=Subj_OccCode,Subj_BldgSF&gt;0,ABS($J127-Subj_BldgSF)&lt;=Subj_BldgSF*Subj_SizeTol),ABS($J127-Subj_BldgSF),NA())</f>
        <v/>
      </c>
      <c r="AO127">
        <f>IF(ISNA(AN127),NA(),AN127+ROW()/10000000)</f>
        <v/>
      </c>
    </row>
    <row r="128">
      <c r="A128" s="703" t="inlineStr">
        <is>
          <t>P063</t>
        </is>
      </c>
      <c r="B128" s="695" t="n">
        <v>344</v>
      </c>
      <c r="C128" s="703" t="inlineStr">
        <is>
          <t>R0040581</t>
        </is>
      </c>
      <c r="D128" s="703" t="inlineStr">
        <is>
          <t>2090 E 104th Ave</t>
        </is>
      </c>
      <c r="E128" s="703" t="inlineStr">
        <is>
          <t>Thornton</t>
        </is>
      </c>
      <c r="F128" s="703" t="inlineStr">
        <is>
          <t>CO</t>
        </is>
      </c>
      <c r="G128" s="703" t="inlineStr">
        <is>
          <t>Office</t>
        </is>
      </c>
      <c r="H128" s="703"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703" t="inlineStr">
        <is>
          <t>Office; expenses only; GRI est. ~$228k at $11.56/SF 100% occ</t>
        </is>
      </c>
      <c r="AN128">
        <f>IF(AND($B128=Subj_OccCode,Subj_BldgSF&gt;0,ABS($J128-Subj_BldgSF)&lt;=Subj_BldgSF*Subj_SizeTol),ABS($J128-Subj_BldgSF),NA())</f>
        <v/>
      </c>
      <c r="AO128">
        <f>IF(ISNA(AN128),NA(),AN128+ROW()/10000000)</f>
        <v/>
      </c>
    </row>
    <row r="129">
      <c r="A129" s="703" t="inlineStr">
        <is>
          <t>P063</t>
        </is>
      </c>
      <c r="B129" s="695" t="n">
        <v>344</v>
      </c>
      <c r="C129" s="703" t="inlineStr">
        <is>
          <t>R0040581</t>
        </is>
      </c>
      <c r="D129" s="703" t="inlineStr">
        <is>
          <t>2090 E 104th Ave</t>
        </is>
      </c>
      <c r="E129" s="703" t="inlineStr">
        <is>
          <t>Thornton</t>
        </is>
      </c>
      <c r="F129" s="703" t="inlineStr">
        <is>
          <t>CO</t>
        </is>
      </c>
      <c r="G129" s="703" t="inlineStr">
        <is>
          <t>Office</t>
        </is>
      </c>
      <c r="H129" s="703"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703" t="inlineStr">
        <is>
          <t>Office; expenses only; GRI est. ~$228k</t>
        </is>
      </c>
      <c r="AN129">
        <f>IF(AND($B129=Subj_OccCode,Subj_BldgSF&gt;0,ABS($J129-Subj_BldgSF)&lt;=Subj_BldgSF*Subj_SizeTol),ABS($J129-Subj_BldgSF),NA())</f>
        <v/>
      </c>
      <c r="AO129">
        <f>IF(ISNA(AN129),NA(),AN129+ROW()/10000000)</f>
        <v/>
      </c>
    </row>
    <row r="130">
      <c r="A130" s="703" t="inlineStr">
        <is>
          <t>P064</t>
        </is>
      </c>
      <c r="B130" s="695" t="n">
        <v>344</v>
      </c>
      <c r="C130" s="703" t="inlineStr">
        <is>
          <t>R0050977</t>
        </is>
      </c>
      <c r="D130" s="703" t="inlineStr">
        <is>
          <t>9351 Grant St</t>
        </is>
      </c>
      <c r="E130" s="703" t="inlineStr">
        <is>
          <t>Thornton</t>
        </is>
      </c>
      <c r="F130" s="703" t="inlineStr">
        <is>
          <t>CO</t>
        </is>
      </c>
      <c r="G130" s="703" t="inlineStr">
        <is>
          <t>Office</t>
        </is>
      </c>
      <c r="H130" s="703"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703" t="inlineStr">
        <is>
          <t>Actual P&amp;L; Crown RE Group; RE Tax + Ins combined in $497,852 line; large office property</t>
        </is>
      </c>
      <c r="AN130">
        <f>IF(AND($B130=Subj_OccCode,Subj_BldgSF&gt;0,ABS($J130-Subj_BldgSF)&lt;=Subj_BldgSF*Subj_SizeTol),ABS($J130-Subj_BldgSF),NA())</f>
        <v/>
      </c>
      <c r="AO130">
        <f>IF(ISNA(AN130),NA(),AN130+ROW()/10000000)</f>
        <v/>
      </c>
    </row>
    <row r="131">
      <c r="A131" s="703" t="inlineStr">
        <is>
          <t>P065</t>
        </is>
      </c>
      <c r="B131" s="695" t="n">
        <v>344</v>
      </c>
      <c r="C131" s="703" t="inlineStr">
        <is>
          <t>R0069041</t>
        </is>
      </c>
      <c r="D131" s="703" t="inlineStr">
        <is>
          <t>7475 Dakin St (Turnpike Tower)</t>
        </is>
      </c>
      <c r="E131" s="703" t="inlineStr">
        <is>
          <t>Denver</t>
        </is>
      </c>
      <c r="F131" s="703" t="inlineStr">
        <is>
          <t>CO</t>
        </is>
      </c>
      <c r="G131" s="703" t="inlineStr">
        <is>
          <t>Office</t>
        </is>
      </c>
      <c r="H131" s="703"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703" t="inlineStr">
        <is>
          <t>Actual; 87.7% occ; NNN/Modified leases; RE Tax heavy; approx figures</t>
        </is>
      </c>
      <c r="AN131">
        <f>IF(AND($B131=Subj_OccCode,Subj_BldgSF&gt;0,ABS($J131-Subj_BldgSF)&lt;=Subj_BldgSF*Subj_SizeTol),ABS($J131-Subj_BldgSF),NA())</f>
        <v/>
      </c>
      <c r="AO131">
        <f>IF(ISNA(AN131),NA(),AN131+ROW()/10000000)</f>
        <v/>
      </c>
    </row>
    <row r="132">
      <c r="A132" s="703" t="inlineStr">
        <is>
          <t>P065</t>
        </is>
      </c>
      <c r="B132" s="695" t="n">
        <v>344</v>
      </c>
      <c r="C132" s="703" t="inlineStr">
        <is>
          <t>R0069041</t>
        </is>
      </c>
      <c r="D132" s="703" t="inlineStr">
        <is>
          <t>7475 Dakin St (Turnpike Tower)</t>
        </is>
      </c>
      <c r="E132" s="703" t="inlineStr">
        <is>
          <t>Denver</t>
        </is>
      </c>
      <c r="F132" s="703" t="inlineStr">
        <is>
          <t>CO</t>
        </is>
      </c>
      <c r="G132" s="703" t="inlineStr">
        <is>
          <t>Office</t>
        </is>
      </c>
      <c r="H132" s="703"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703" t="inlineStr">
        <is>
          <t>Actual 2024; approx figures; RE Tax est. ~$262k</t>
        </is>
      </c>
      <c r="AN132">
        <f>IF(AND($B132=Subj_OccCode,Subj_BldgSF&gt;0,ABS($J132-Subj_BldgSF)&lt;=Subj_BldgSF*Subj_SizeTol),ABS($J132-Subj_BldgSF),NA())</f>
        <v/>
      </c>
      <c r="AO132">
        <f>IF(ISNA(AN132),NA(),AN132+ROW()/10000000)</f>
        <v/>
      </c>
    </row>
    <row r="133">
      <c r="A133" s="703" t="inlineStr">
        <is>
          <t>P066</t>
        </is>
      </c>
      <c r="B133" s="695" t="n">
        <v>344</v>
      </c>
      <c r="C133" s="703" t="inlineStr">
        <is>
          <t>R0079409</t>
        </is>
      </c>
      <c r="D133" s="703" t="inlineStr">
        <is>
          <t>6401 E 72nd Ave</t>
        </is>
      </c>
      <c r="E133" s="703" t="inlineStr">
        <is>
          <t>Commerce City</t>
        </is>
      </c>
      <c r="F133" s="703" t="inlineStr">
        <is>
          <t>CO</t>
        </is>
      </c>
      <c r="G133" s="703" t="inlineStr">
        <is>
          <t>Office</t>
        </is>
      </c>
      <c r="H133" s="703"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703" t="inlineStr">
        <is>
          <t>Actual 2023; 9 tenants small multi-tenant office; approx total OPX/NOI</t>
        </is>
      </c>
      <c r="AN133">
        <f>IF(AND($B133=Subj_OccCode,Subj_BldgSF&gt;0,ABS($J133-Subj_BldgSF)&lt;=Subj_BldgSF*Subj_SizeTol),ABS($J133-Subj_BldgSF),NA())</f>
        <v/>
      </c>
      <c r="AO133">
        <f>IF(ISNA(AN133),NA(),AN133+ROW()/10000000)</f>
        <v/>
      </c>
    </row>
    <row r="134">
      <c r="A134" s="703" t="inlineStr">
        <is>
          <t>P067</t>
        </is>
      </c>
      <c r="B134" s="695" t="n">
        <v>344</v>
      </c>
      <c r="C134" s="703" t="inlineStr">
        <is>
          <t>R0189338</t>
        </is>
      </c>
      <c r="D134" s="703" t="inlineStr">
        <is>
          <t>203 Telluride St</t>
        </is>
      </c>
      <c r="E134" s="703" t="inlineStr">
        <is>
          <t>Aurora</t>
        </is>
      </c>
      <c r="F134" s="703" t="inlineStr">
        <is>
          <t>CO</t>
        </is>
      </c>
      <c r="G134" s="703" t="inlineStr">
        <is>
          <t>Office</t>
        </is>
      </c>
      <c r="H134" s="703"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703" t="inlineStr">
        <is>
          <t>Actual 2023; SF not stated; approx total OPX</t>
        </is>
      </c>
      <c r="AN134">
        <f>IF(AND($B134=Subj_OccCode,Subj_BldgSF&gt;0,ABS($J134-Subj_BldgSF)&lt;=Subj_BldgSF*Subj_SizeTol),ABS($J134-Subj_BldgSF),NA())</f>
        <v/>
      </c>
      <c r="AO134">
        <f>IF(ISNA(AN134),NA(),AN134+ROW()/10000000)</f>
        <v/>
      </c>
    </row>
    <row r="135">
      <c r="A135" s="703" t="inlineStr">
        <is>
          <t>P067</t>
        </is>
      </c>
      <c r="B135" s="695" t="n">
        <v>344</v>
      </c>
      <c r="C135" s="703" t="inlineStr">
        <is>
          <t>R0189338</t>
        </is>
      </c>
      <c r="D135" s="703" t="inlineStr">
        <is>
          <t>203 Telluride St</t>
        </is>
      </c>
      <c r="E135" s="703" t="inlineStr">
        <is>
          <t>Aurora</t>
        </is>
      </c>
      <c r="F135" s="703" t="inlineStr">
        <is>
          <t>CO</t>
        </is>
      </c>
      <c r="G135" s="703" t="inlineStr">
        <is>
          <t>Office</t>
        </is>
      </c>
      <c r="H135" s="703"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703" t="inlineStr">
        <is>
          <t>Actual 2024; SF not stated</t>
        </is>
      </c>
      <c r="AN135">
        <f>IF(AND($B135=Subj_OccCode,Subj_BldgSF&gt;0,ABS($J135-Subj_BldgSF)&lt;=Subj_BldgSF*Subj_SizeTol),ABS($J135-Subj_BldgSF),NA())</f>
        <v/>
      </c>
      <c r="AO135">
        <f>IF(ISNA(AN135),NA(),AN135+ROW()/10000000)</f>
        <v/>
      </c>
    </row>
    <row r="136">
      <c r="A136" s="703" t="inlineStr">
        <is>
          <t>P068</t>
        </is>
      </c>
      <c r="B136" s="695" t="n">
        <v>344</v>
      </c>
      <c r="C136" s="703" t="inlineStr">
        <is>
          <t>R0193830</t>
        </is>
      </c>
      <c r="D136" s="703" t="inlineStr">
        <is>
          <t>Justice Center Office Plaza</t>
        </is>
      </c>
      <c r="E136" s="703" t="inlineStr">
        <is>
          <t>Denver</t>
        </is>
      </c>
      <c r="F136" s="703" t="inlineStr">
        <is>
          <t>CO</t>
        </is>
      </c>
      <c r="G136" s="703" t="inlineStr">
        <is>
          <t>Office</t>
        </is>
      </c>
      <c r="H136" s="703"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703" t="inlineStr">
        <is>
          <t>Actual accrual; govt tenants; 100% occ NNN; special assessments in Other</t>
        </is>
      </c>
      <c r="AN136">
        <f>IF(AND($B136=Subj_OccCode,Subj_BldgSF&gt;0,ABS($J136-Subj_BldgSF)&lt;=Subj_BldgSF*Subj_SizeTol),ABS($J136-Subj_BldgSF),NA())</f>
        <v/>
      </c>
      <c r="AO136">
        <f>IF(ISNA(AN136),NA(),AN136+ROW()/10000000)</f>
        <v/>
      </c>
    </row>
    <row r="137">
      <c r="A137" s="703" t="inlineStr">
        <is>
          <t>P068</t>
        </is>
      </c>
      <c r="B137" s="695" t="n">
        <v>344</v>
      </c>
      <c r="C137" s="703" t="inlineStr">
        <is>
          <t>R0193830</t>
        </is>
      </c>
      <c r="D137" s="703" t="inlineStr">
        <is>
          <t>Justice Center Office Plaza</t>
        </is>
      </c>
      <c r="E137" s="703" t="inlineStr">
        <is>
          <t>Denver</t>
        </is>
      </c>
      <c r="F137" s="703" t="inlineStr">
        <is>
          <t>CO</t>
        </is>
      </c>
      <c r="G137" s="703" t="inlineStr">
        <is>
          <t>Office</t>
        </is>
      </c>
      <c r="H137" s="703"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703" t="inlineStr">
        <is>
          <t>Actual accrual; govt tenants; 100% occ NNN; special assessments in Other</t>
        </is>
      </c>
      <c r="AN137">
        <f>IF(AND($B137=Subj_OccCode,Subj_BldgSF&gt;0,ABS($J137-Subj_BldgSF)&lt;=Subj_BldgSF*Subj_SizeTol),ABS($J137-Subj_BldgSF),NA())</f>
        <v/>
      </c>
      <c r="AO137">
        <f>IF(ISNA(AN137),NA(),AN137+ROW()/10000000)</f>
        <v/>
      </c>
    </row>
    <row r="138">
      <c r="A138" s="703" t="inlineStr">
        <is>
          <t>P069</t>
        </is>
      </c>
      <c r="B138" s="695" t="n">
        <v>210</v>
      </c>
      <c r="C138" s="703" t="inlineStr">
        <is>
          <t>R0098223</t>
        </is>
      </c>
      <c r="D138" s="703" t="inlineStr">
        <is>
          <t>Washington Commerce Center</t>
        </is>
      </c>
      <c r="E138" s="703" t="inlineStr">
        <is>
          <t>Commerce City</t>
        </is>
      </c>
      <c r="F138" s="703" t="inlineStr">
        <is>
          <t>CO</t>
        </is>
      </c>
      <c r="G138" s="703" t="inlineStr">
        <is>
          <t>Office/Industrial</t>
        </is>
      </c>
      <c r="H138" s="703"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703" t="inlineStr">
        <is>
          <t>Actual; tenants pay RE tax; high R&amp;M 2023 ($127k major maint); SF est.</t>
        </is>
      </c>
      <c r="AN138">
        <f>IF(AND($B138=Subj_OccCode,Subj_BldgSF&gt;0,ABS($J138-Subj_BldgSF)&lt;=Subj_BldgSF*Subj_SizeTol),ABS($J138-Subj_BldgSF),NA())</f>
        <v/>
      </c>
      <c r="AO138">
        <f>IF(ISNA(AN138),NA(),AN138+ROW()/10000000)</f>
        <v/>
      </c>
    </row>
    <row r="139">
      <c r="A139" s="703" t="inlineStr">
        <is>
          <t>P069</t>
        </is>
      </c>
      <c r="B139" s="695" t="n">
        <v>210</v>
      </c>
      <c r="C139" s="703" t="inlineStr">
        <is>
          <t>R0098223</t>
        </is>
      </c>
      <c r="D139" s="703" t="inlineStr">
        <is>
          <t>Washington Commerce Center</t>
        </is>
      </c>
      <c r="E139" s="703" t="inlineStr">
        <is>
          <t>Commerce City</t>
        </is>
      </c>
      <c r="F139" s="703" t="inlineStr">
        <is>
          <t>CO</t>
        </is>
      </c>
      <c r="G139" s="703" t="inlineStr">
        <is>
          <t>Office/Industrial</t>
        </is>
      </c>
      <c r="H139" s="703"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703" t="inlineStr">
        <is>
          <t>Actual; tenants pay RE tax; lower R&amp;M 2024; SF est.</t>
        </is>
      </c>
      <c r="AN139">
        <f>IF(AND($B139=Subj_OccCode,Subj_BldgSF&gt;0,ABS($J139-Subj_BldgSF)&lt;=Subj_BldgSF*Subj_SizeTol),ABS($J139-Subj_BldgSF),NA())</f>
        <v/>
      </c>
      <c r="AO139">
        <f>IF(ISNA(AN139),NA(),AN139+ROW()/10000000)</f>
        <v/>
      </c>
    </row>
    <row r="140">
      <c r="A140" s="703" t="inlineStr">
        <is>
          <t>P070</t>
        </is>
      </c>
      <c r="B140" s="695" t="n">
        <v>210</v>
      </c>
      <c r="C140" s="703" t="inlineStr">
        <is>
          <t>R0084242</t>
        </is>
      </c>
      <c r="D140" s="703" t="inlineStr">
        <is>
          <t>Upland Dist Ctr I (Bldg 1)</t>
        </is>
      </c>
      <c r="E140" s="703" t="inlineStr">
        <is>
          <t>Aurora</t>
        </is>
      </c>
      <c r="F140" s="703" t="inlineStr">
        <is>
          <t>CO</t>
        </is>
      </c>
      <c r="G140" s="703" t="inlineStr">
        <is>
          <t>Industrial</t>
        </is>
      </c>
      <c r="H140" s="703"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703" t="inlineStr">
        <is>
          <t>Link Logistics actual accrual; security $3,096 in contract; mgmt non-billable</t>
        </is>
      </c>
      <c r="AN140">
        <f>IF(AND($B140=Subj_OccCode,Subj_BldgSF&gt;0,ABS($J140-Subj_BldgSF)&lt;=Subj_BldgSF*Subj_SizeTol),ABS($J140-Subj_BldgSF),NA())</f>
        <v/>
      </c>
      <c r="AO140">
        <f>IF(ISNA(AN140),NA(),AN140+ROW()/10000000)</f>
        <v/>
      </c>
    </row>
    <row r="141">
      <c r="A141" s="703" t="inlineStr">
        <is>
          <t>P070</t>
        </is>
      </c>
      <c r="B141" s="695" t="n">
        <v>210</v>
      </c>
      <c r="C141" s="703" t="inlineStr">
        <is>
          <t>R0084242</t>
        </is>
      </c>
      <c r="D141" s="703" t="inlineStr">
        <is>
          <t>Upland Dist Ctr I (Bldg 1)</t>
        </is>
      </c>
      <c r="E141" s="703" t="inlineStr">
        <is>
          <t>Aurora</t>
        </is>
      </c>
      <c r="F141" s="703" t="inlineStr">
        <is>
          <t>CO</t>
        </is>
      </c>
      <c r="G141" s="703" t="inlineStr">
        <is>
          <t>Industrial</t>
        </is>
      </c>
      <c r="H141" s="703"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703" t="inlineStr">
        <is>
          <t>Link Logistics actual accrual; security $3,871 in contract; mgmt non-billable</t>
        </is>
      </c>
      <c r="AN141">
        <f>IF(AND($B141=Subj_OccCode,Subj_BldgSF&gt;0,ABS($J141-Subj_BldgSF)&lt;=Subj_BldgSF*Subj_SizeTol),ABS($J141-Subj_BldgSF),NA())</f>
        <v/>
      </c>
      <c r="AO141">
        <f>IF(ISNA(AN141),NA(),AN141+ROW()/10000000)</f>
        <v/>
      </c>
    </row>
    <row r="142">
      <c r="A142" s="703" t="inlineStr">
        <is>
          <t>P071</t>
        </is>
      </c>
      <c r="B142" s="695" t="n">
        <v>210</v>
      </c>
      <c r="C142" s="703" t="inlineStr">
        <is>
          <t>R0084243</t>
        </is>
      </c>
      <c r="D142" s="703" t="inlineStr">
        <is>
          <t>Upland Dist Ctr I (Bldg 2)</t>
        </is>
      </c>
      <c r="E142" s="703" t="inlineStr">
        <is>
          <t>Aurora</t>
        </is>
      </c>
      <c r="F142" s="703" t="inlineStr">
        <is>
          <t>CO</t>
        </is>
      </c>
      <c r="G142" s="703" t="inlineStr">
        <is>
          <t>Industrial</t>
        </is>
      </c>
      <c r="H142" s="703"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703" t="inlineStr">
        <is>
          <t>Link Logistics actual accrual</t>
        </is>
      </c>
      <c r="AN142">
        <f>IF(AND($B142=Subj_OccCode,Subj_BldgSF&gt;0,ABS($J142-Subj_BldgSF)&lt;=Subj_BldgSF*Subj_SizeTol),ABS($J142-Subj_BldgSF),NA())</f>
        <v/>
      </c>
      <c r="AO142">
        <f>IF(ISNA(AN142),NA(),AN142+ROW()/10000000)</f>
        <v/>
      </c>
    </row>
    <row r="143">
      <c r="A143" s="703" t="inlineStr">
        <is>
          <t>P071</t>
        </is>
      </c>
      <c r="B143" s="695" t="n">
        <v>210</v>
      </c>
      <c r="C143" s="703" t="inlineStr">
        <is>
          <t>R0084243</t>
        </is>
      </c>
      <c r="D143" s="703" t="inlineStr">
        <is>
          <t>Upland Dist Ctr I (Bldg 2)</t>
        </is>
      </c>
      <c r="E143" s="703" t="inlineStr">
        <is>
          <t>Aurora</t>
        </is>
      </c>
      <c r="F143" s="703" t="inlineStr">
        <is>
          <t>CO</t>
        </is>
      </c>
      <c r="G143" s="703" t="inlineStr">
        <is>
          <t>Industrial</t>
        </is>
      </c>
      <c r="H143" s="703"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703" t="inlineStr">
        <is>
          <t>Link Logistics actual accrual</t>
        </is>
      </c>
      <c r="AN143">
        <f>IF(AND($B143=Subj_OccCode,Subj_BldgSF&gt;0,ABS($J143-Subj_BldgSF)&lt;=Subj_BldgSF*Subj_SizeTol),ABS($J143-Subj_BldgSF),NA())</f>
        <v/>
      </c>
      <c r="AO143">
        <f>IF(ISNA(AN143),NA(),AN143+ROW()/10000000)</f>
        <v/>
      </c>
    </row>
    <row r="144">
      <c r="A144" s="703" t="inlineStr">
        <is>
          <t>P072</t>
        </is>
      </c>
      <c r="B144" s="695" t="n">
        <v>210</v>
      </c>
      <c r="C144" s="703" t="inlineStr">
        <is>
          <t>R0084244</t>
        </is>
      </c>
      <c r="D144" s="703" t="inlineStr">
        <is>
          <t>Upland Dist Ctr I (Bldg 3)</t>
        </is>
      </c>
      <c r="E144" s="703" t="inlineStr">
        <is>
          <t>Aurora</t>
        </is>
      </c>
      <c r="F144" s="703" t="inlineStr">
        <is>
          <t>CO</t>
        </is>
      </c>
      <c r="G144" s="703" t="inlineStr">
        <is>
          <t>Industrial</t>
        </is>
      </c>
      <c r="H144" s="703"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703" t="inlineStr">
        <is>
          <t>Link Logistics 2023 only; large warehouse; notable free rent ($111k) and lease-up period</t>
        </is>
      </c>
      <c r="AN144">
        <f>IF(AND($B144=Subj_OccCode,Subj_BldgSF&gt;0,ABS($J144-Subj_BldgSF)&lt;=Subj_BldgSF*Subj_SizeTol),ABS($J144-Subj_BldgSF),NA())</f>
        <v/>
      </c>
      <c r="AO144">
        <f>IF(ISNA(AN144),NA(),AN144+ROW()/10000000)</f>
        <v/>
      </c>
    </row>
    <row r="145">
      <c r="A145" s="703" t="inlineStr">
        <is>
          <t>P073</t>
        </is>
      </c>
      <c r="B145" s="695" t="n">
        <v>210</v>
      </c>
      <c r="C145" s="703" t="inlineStr">
        <is>
          <t>R0084247</t>
        </is>
      </c>
      <c r="D145" s="703" t="inlineStr">
        <is>
          <t>13802 E 33rd Place</t>
        </is>
      </c>
      <c r="E145" s="703" t="inlineStr">
        <is>
          <t>Aurora</t>
        </is>
      </c>
      <c r="F145" s="703" t="inlineStr">
        <is>
          <t>CO</t>
        </is>
      </c>
      <c r="G145" s="703" t="inlineStr">
        <is>
          <t>Industrial</t>
        </is>
      </c>
      <c r="H145" s="703"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703" t="inlineStr">
        <is>
          <t>Link Logistics actual accrual</t>
        </is>
      </c>
      <c r="AN145">
        <f>IF(AND($B145=Subj_OccCode,Subj_BldgSF&gt;0,ABS($J145-Subj_BldgSF)&lt;=Subj_BldgSF*Subj_SizeTol),ABS($J145-Subj_BldgSF),NA())</f>
        <v/>
      </c>
      <c r="AO145">
        <f>IF(ISNA(AN145),NA(),AN145+ROW()/10000000)</f>
        <v/>
      </c>
    </row>
    <row r="146">
      <c r="A146" s="703" t="inlineStr">
        <is>
          <t>P073</t>
        </is>
      </c>
      <c r="B146" s="695" t="n">
        <v>210</v>
      </c>
      <c r="C146" s="703" t="inlineStr">
        <is>
          <t>R0084247</t>
        </is>
      </c>
      <c r="D146" s="703" t="inlineStr">
        <is>
          <t>13802 E 33rd Place</t>
        </is>
      </c>
      <c r="E146" s="703" t="inlineStr">
        <is>
          <t>Aurora</t>
        </is>
      </c>
      <c r="F146" s="703" t="inlineStr">
        <is>
          <t>CO</t>
        </is>
      </c>
      <c r="G146" s="703" t="inlineStr">
        <is>
          <t>Industrial</t>
        </is>
      </c>
      <c r="H146" s="703"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703" t="inlineStr">
        <is>
          <t>Link Logistics actual accrual</t>
        </is>
      </c>
      <c r="AN146">
        <f>IF(AND($B146=Subj_OccCode,Subj_BldgSF&gt;0,ABS($J146-Subj_BldgSF)&lt;=Subj_BldgSF*Subj_SizeTol),ABS($J146-Subj_BldgSF),NA())</f>
        <v/>
      </c>
      <c r="AO146">
        <f>IF(ISNA(AN146),NA(),AN146+ROW()/10000000)</f>
        <v/>
      </c>
    </row>
    <row r="147">
      <c r="A147" s="703" t="inlineStr">
        <is>
          <t>P074</t>
        </is>
      </c>
      <c r="B147" s="695" t="n">
        <v>210</v>
      </c>
      <c r="C147" s="703" t="inlineStr">
        <is>
          <t>R0084248</t>
        </is>
      </c>
      <c r="D147" s="703" t="inlineStr">
        <is>
          <t>14002 E 33rd Place</t>
        </is>
      </c>
      <c r="E147" s="703" t="inlineStr">
        <is>
          <t>Aurora</t>
        </is>
      </c>
      <c r="F147" s="703" t="inlineStr">
        <is>
          <t>CO</t>
        </is>
      </c>
      <c r="G147" s="703" t="inlineStr">
        <is>
          <t>Industrial</t>
        </is>
      </c>
      <c r="H147" s="703"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703" t="inlineStr">
        <is>
          <t>Link Logistics actual; 2023 RE tax net $53k refund; 2024 normal rate</t>
        </is>
      </c>
      <c r="AN147">
        <f>IF(AND($B147=Subj_OccCode,Subj_BldgSF&gt;0,ABS($J147-Subj_BldgSF)&lt;=Subj_BldgSF*Subj_SizeTol),ABS($J147-Subj_BldgSF),NA())</f>
        <v/>
      </c>
      <c r="AO147">
        <f>IF(ISNA(AN147),NA(),AN147+ROW()/10000000)</f>
        <v/>
      </c>
    </row>
    <row r="148">
      <c r="A148" s="703" t="inlineStr">
        <is>
          <t>P074</t>
        </is>
      </c>
      <c r="B148" s="695" t="n">
        <v>210</v>
      </c>
      <c r="C148" s="703" t="inlineStr">
        <is>
          <t>R0084248</t>
        </is>
      </c>
      <c r="D148" s="703" t="inlineStr">
        <is>
          <t>14002 E 33rd Place</t>
        </is>
      </c>
      <c r="E148" s="703" t="inlineStr">
        <is>
          <t>Aurora</t>
        </is>
      </c>
      <c r="F148" s="703" t="inlineStr">
        <is>
          <t>CO</t>
        </is>
      </c>
      <c r="G148" s="703" t="inlineStr">
        <is>
          <t>Industrial</t>
        </is>
      </c>
      <c r="H148" s="703"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703" t="inlineStr">
        <is>
          <t>Link Logistics actual; 2023 RE tax net $53k refund; 2024 normal rate</t>
        </is>
      </c>
      <c r="AN148">
        <f>IF(AND($B148=Subj_OccCode,Subj_BldgSF&gt;0,ABS($J148-Subj_BldgSF)&lt;=Subj_BldgSF*Subj_SizeTol),ABS($J148-Subj_BldgSF),NA())</f>
        <v/>
      </c>
      <c r="AO148">
        <f>IF(ISNA(AN148),NA(),AN148+ROW()/10000000)</f>
        <v/>
      </c>
    </row>
    <row r="149">
      <c r="A149" s="703" t="inlineStr">
        <is>
          <t>P075</t>
        </is>
      </c>
      <c r="B149" s="695" t="n">
        <v>210</v>
      </c>
      <c r="C149" s="703" t="inlineStr">
        <is>
          <t>R0084250</t>
        </is>
      </c>
      <c r="D149" s="703" t="inlineStr">
        <is>
          <t>3250 Abilene Street</t>
        </is>
      </c>
      <c r="E149" s="703" t="inlineStr">
        <is>
          <t>Aurora</t>
        </is>
      </c>
      <c r="F149" s="703" t="inlineStr">
        <is>
          <t>CO</t>
        </is>
      </c>
      <c r="G149" s="703" t="inlineStr">
        <is>
          <t>Industrial</t>
        </is>
      </c>
      <c r="H149" s="703"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703"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row>
    <row r="150">
      <c r="A150" s="703" t="inlineStr">
        <is>
          <t>P075</t>
        </is>
      </c>
      <c r="B150" s="695" t="n">
        <v>210</v>
      </c>
      <c r="C150" s="703" t="inlineStr">
        <is>
          <t>R0084250</t>
        </is>
      </c>
      <c r="D150" s="703" t="inlineStr">
        <is>
          <t>3250 Abilene Street</t>
        </is>
      </c>
      <c r="E150" s="703" t="inlineStr">
        <is>
          <t>Aurora</t>
        </is>
      </c>
      <c r="F150" s="703" t="inlineStr">
        <is>
          <t>CO</t>
        </is>
      </c>
      <c r="G150" s="703" t="inlineStr">
        <is>
          <t>Industrial</t>
        </is>
      </c>
      <c r="H150" s="703"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703" t="inlineStr">
        <is>
          <t>Link Logistics actual; 2023 stable; 2024 ins inflated by $25k deductible</t>
        </is>
      </c>
      <c r="AN150">
        <f>IF(AND($B150=Subj_OccCode,Subj_BldgSF&gt;0,ABS($J150-Subj_BldgSF)&lt;=Subj_BldgSF*Subj_SizeTol),ABS($J150-Subj_BldgSF),NA())</f>
        <v/>
      </c>
      <c r="AO150">
        <f>IF(ISNA(AN150),NA(),AN150+ROW()/10000000)</f>
        <v/>
      </c>
    </row>
    <row r="151">
      <c r="A151" s="703" t="inlineStr">
        <is>
          <t>P076</t>
        </is>
      </c>
      <c r="B151" s="695" t="n">
        <v>210</v>
      </c>
      <c r="C151" s="703" t="inlineStr">
        <is>
          <t>R0084253</t>
        </is>
      </c>
      <c r="D151" s="703" t="inlineStr">
        <is>
          <t>14509 E 33rd Place</t>
        </is>
      </c>
      <c r="E151" s="703" t="inlineStr">
        <is>
          <t>Aurora</t>
        </is>
      </c>
      <c r="F151" s="703" t="inlineStr">
        <is>
          <t>CO</t>
        </is>
      </c>
      <c r="G151" s="703" t="inlineStr">
        <is>
          <t>Industrial</t>
        </is>
      </c>
      <c r="H151" s="703"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703" t="inlineStr">
        <is>
          <t>Link Logistics actual; 2023 security includes one-time $54k</t>
        </is>
      </c>
      <c r="AN151">
        <f>IF(AND($B151=Subj_OccCode,Subj_BldgSF&gt;0,ABS($J151-Subj_BldgSF)&lt;=Subj_BldgSF*Subj_SizeTol),ABS($J151-Subj_BldgSF),NA())</f>
        <v/>
      </c>
      <c r="AO151">
        <f>IF(ISNA(AN151),NA(),AN151+ROW()/10000000)</f>
        <v/>
      </c>
    </row>
    <row r="152">
      <c r="A152" s="703" t="inlineStr">
        <is>
          <t>P076</t>
        </is>
      </c>
      <c r="B152" s="695" t="n">
        <v>210</v>
      </c>
      <c r="C152" s="703" t="inlineStr">
        <is>
          <t>R0084253</t>
        </is>
      </c>
      <c r="D152" s="703" t="inlineStr">
        <is>
          <t>14509 E 33rd Place</t>
        </is>
      </c>
      <c r="E152" s="703" t="inlineStr">
        <is>
          <t>Aurora</t>
        </is>
      </c>
      <c r="F152" s="703" t="inlineStr">
        <is>
          <t>CO</t>
        </is>
      </c>
      <c r="G152" s="703" t="inlineStr">
        <is>
          <t>Industrial</t>
        </is>
      </c>
      <c r="H152" s="703"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703" t="inlineStr">
        <is>
          <t>Link Logistics actual; 2023 security includes one-time $54k</t>
        </is>
      </c>
      <c r="AN152">
        <f>IF(AND($B152=Subj_OccCode,Subj_BldgSF&gt;0,ABS($J152-Subj_BldgSF)&lt;=Subj_BldgSF*Subj_SizeTol),ABS($J152-Subj_BldgSF),NA())</f>
        <v/>
      </c>
      <c r="AO152">
        <f>IF(ISNA(AN152),NA(),AN152+ROW()/10000000)</f>
        <v/>
      </c>
    </row>
    <row r="153">
      <c r="A153" s="703" t="inlineStr">
        <is>
          <t>P077</t>
        </is>
      </c>
      <c r="B153" s="695" t="n">
        <v>210</v>
      </c>
      <c r="C153" s="703" t="inlineStr">
        <is>
          <t>R0084253</t>
        </is>
      </c>
      <c r="D153" s="703" t="inlineStr">
        <is>
          <t>14704 E 33rd Place</t>
        </is>
      </c>
      <c r="E153" s="703" t="inlineStr">
        <is>
          <t>Aurora</t>
        </is>
      </c>
      <c r="F153" s="703" t="inlineStr">
        <is>
          <t>CO</t>
        </is>
      </c>
      <c r="G153" s="703" t="inlineStr">
        <is>
          <t>Industrial</t>
        </is>
      </c>
      <c r="H153" s="703"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703" t="inlineStr">
        <is>
          <t>Link Logistics 2024; partial vacancy (elec/gas $124k); NOI understated excl vacancy costs</t>
        </is>
      </c>
      <c r="AN153">
        <f>IF(AND($B153=Subj_OccCode,Subj_BldgSF&gt;0,ABS($J153-Subj_BldgSF)&lt;=Subj_BldgSF*Subj_SizeTol),ABS($J153-Subj_BldgSF),NA())</f>
        <v/>
      </c>
      <c r="AO153">
        <f>IF(ISNA(AN153),NA(),AN153+ROW()/10000000)</f>
        <v/>
      </c>
    </row>
    <row r="154">
      <c r="A154" s="703" t="inlineStr">
        <is>
          <t>P078</t>
        </is>
      </c>
      <c r="B154" s="695" t="n">
        <v>210</v>
      </c>
      <c r="C154" s="703" t="inlineStr">
        <is>
          <t>R0084253</t>
        </is>
      </c>
      <c r="D154" s="703" t="inlineStr">
        <is>
          <t>14705 E 33rd Place</t>
        </is>
      </c>
      <c r="E154" s="703" t="inlineStr">
        <is>
          <t>Aurora</t>
        </is>
      </c>
      <c r="F154" s="703" t="inlineStr">
        <is>
          <t>CO</t>
        </is>
      </c>
      <c r="G154" s="703" t="inlineStr">
        <is>
          <t>Industrial</t>
        </is>
      </c>
      <c r="H154" s="703"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703" t="inlineStr">
        <is>
          <t>Link Logistics 2024; partial free rent ($38k); lease-up period</t>
        </is>
      </c>
      <c r="AN154">
        <f>IF(AND($B154=Subj_OccCode,Subj_BldgSF&gt;0,ABS($J154-Subj_BldgSF)&lt;=Subj_BldgSF*Subj_SizeTol),ABS($J154-Subj_BldgSF),NA())</f>
        <v/>
      </c>
      <c r="AO154">
        <f>IF(ISNA(AN154),NA(),AN154+ROW()/10000000)</f>
        <v/>
      </c>
    </row>
    <row r="155">
      <c r="A155" s="703" t="inlineStr">
        <is>
          <t>P079</t>
        </is>
      </c>
      <c r="B155" s="695" t="n">
        <v>584</v>
      </c>
      <c r="C155" s="703" t="inlineStr">
        <is>
          <t>R0086214</t>
        </is>
      </c>
      <c r="D155" s="703" t="inlineStr">
        <is>
          <t>Aurora Warehouse (Polar)</t>
        </is>
      </c>
      <c r="E155" s="703" t="inlineStr">
        <is>
          <t>Aurora</t>
        </is>
      </c>
      <c r="F155" s="703" t="inlineStr">
        <is>
          <t>CO</t>
        </is>
      </c>
      <c r="G155" s="703" t="inlineStr">
        <is>
          <t>Industrial</t>
        </is>
      </c>
      <c r="H155" s="703"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703" t="inlineStr">
        <is>
          <t>Link Logistics; very large – RE tax $2.2-2.4M; minimal CAM (near-absolute NNN); SF not confirmed</t>
        </is>
      </c>
      <c r="AN155">
        <f>IF(AND($B155=Subj_OccCode,Subj_BldgSF&gt;0,ABS($J155-Subj_BldgSF)&lt;=Subj_BldgSF*Subj_SizeTol),ABS($J155-Subj_BldgSF),NA())</f>
        <v/>
      </c>
      <c r="AO155">
        <f>IF(ISNA(AN155),NA(),AN155+ROW()/10000000)</f>
        <v/>
      </c>
    </row>
    <row r="156">
      <c r="A156" s="703" t="inlineStr">
        <is>
          <t>P079</t>
        </is>
      </c>
      <c r="B156" s="695" t="n">
        <v>584</v>
      </c>
      <c r="C156" s="703" t="inlineStr">
        <is>
          <t>R0086214</t>
        </is>
      </c>
      <c r="D156" s="703" t="inlineStr">
        <is>
          <t>Aurora Warehouse (Polar)</t>
        </is>
      </c>
      <c r="E156" s="703" t="inlineStr">
        <is>
          <t>Aurora</t>
        </is>
      </c>
      <c r="F156" s="703" t="inlineStr">
        <is>
          <t>CO</t>
        </is>
      </c>
      <c r="G156" s="703" t="inlineStr">
        <is>
          <t>Industrial</t>
        </is>
      </c>
      <c r="H156" s="703"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703" t="inlineStr">
        <is>
          <t>Link Logistics; very large – RE tax $2.2-2.4M; minimal CAM (near-absolute NNN); SF not confirmed</t>
        </is>
      </c>
      <c r="AN156">
        <f>IF(AND($B156=Subj_OccCode,Subj_BldgSF&gt;0,ABS($J156-Subj_BldgSF)&lt;=Subj_BldgSF*Subj_SizeTol),ABS($J156-Subj_BldgSF),NA())</f>
        <v/>
      </c>
      <c r="AO156">
        <f>IF(ISNA(AN156),NA(),AN156+ROW()/10000000)</f>
        <v/>
      </c>
    </row>
    <row r="157">
      <c r="A157" s="703" t="inlineStr">
        <is>
          <t>P080</t>
        </is>
      </c>
      <c r="B157" s="695" t="n">
        <v>407</v>
      </c>
      <c r="C157" s="703" t="inlineStr">
        <is>
          <t>R0194277</t>
        </is>
      </c>
      <c r="D157" s="703" t="inlineStr">
        <is>
          <t>8251 Quintero St</t>
        </is>
      </c>
      <c r="E157" s="703" t="inlineStr">
        <is>
          <t>Commerce City</t>
        </is>
      </c>
      <c r="F157" s="703" t="inlineStr">
        <is>
          <t>CO</t>
        </is>
      </c>
      <c r="G157" s="703" t="inlineStr">
        <is>
          <t>Industrial</t>
        </is>
      </c>
      <c r="H157" s="703"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703" t="inlineStr">
        <is>
          <t>Becknell Industrial; 2024 EGI/OPX inflated by $967k PY RE tax true-up; normalized NOI ~$2.86M</t>
        </is>
      </c>
      <c r="AN157">
        <f>IF(AND($B157=Subj_OccCode,Subj_BldgSF&gt;0,ABS($J157-Subj_BldgSF)&lt;=Subj_BldgSF*Subj_SizeTol),ABS($J157-Subj_BldgSF),NA())</f>
        <v/>
      </c>
      <c r="AO157">
        <f>IF(ISNA(AN157),NA(),AN157+ROW()/10000000)</f>
        <v/>
      </c>
    </row>
    <row r="158">
      <c r="A158" s="703" t="inlineStr">
        <is>
          <t>P080</t>
        </is>
      </c>
      <c r="B158" s="695" t="n">
        <v>407</v>
      </c>
      <c r="C158" s="703" t="inlineStr">
        <is>
          <t>R0194277</t>
        </is>
      </c>
      <c r="D158" s="703" t="inlineStr">
        <is>
          <t>8251 Quintero St</t>
        </is>
      </c>
      <c r="E158" s="703" t="inlineStr">
        <is>
          <t>Commerce City</t>
        </is>
      </c>
      <c r="F158" s="703" t="inlineStr">
        <is>
          <t>CO</t>
        </is>
      </c>
      <c r="G158" s="703" t="inlineStr">
        <is>
          <t>Industrial</t>
        </is>
      </c>
      <c r="H158" s="703"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703" t="inlineStr">
        <is>
          <t>Becknell Industrial; actual accrual</t>
        </is>
      </c>
      <c r="AN158">
        <f>IF(AND($B158=Subj_OccCode,Subj_BldgSF&gt;0,ABS($J158-Subj_BldgSF)&lt;=Subj_BldgSF*Subj_SizeTol),ABS($J158-Subj_BldgSF),NA())</f>
        <v/>
      </c>
      <c r="AO158">
        <f>IF(ISNA(AN158),NA(),AN158+ROW()/10000000)</f>
        <v/>
      </c>
    </row>
    <row r="159">
      <c r="A159" s="703" t="inlineStr">
        <is>
          <t>P081</t>
        </is>
      </c>
      <c r="B159" s="695" t="n">
        <v>407</v>
      </c>
      <c r="C159" s="703" t="inlineStr">
        <is>
          <t>R0198176</t>
        </is>
      </c>
      <c r="D159" s="703" t="inlineStr">
        <is>
          <t>21800 E 19th Ave</t>
        </is>
      </c>
      <c r="E159" s="703" t="inlineStr">
        <is>
          <t>Aurora</t>
        </is>
      </c>
      <c r="F159" s="703" t="inlineStr">
        <is>
          <t>CO</t>
        </is>
      </c>
      <c r="G159" s="703" t="inlineStr">
        <is>
          <t>Industrial</t>
        </is>
      </c>
      <c r="H159" s="703"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703" t="inlineStr">
        <is>
          <t>Becknell; absolute NNN – tenant pays RE taxes directly; opex = CAM only</t>
        </is>
      </c>
      <c r="AN159">
        <f>IF(AND($B159=Subj_OccCode,Subj_BldgSF&gt;0,ABS($J159-Subj_BldgSF)&lt;=Subj_BldgSF*Subj_SizeTol),ABS($J159-Subj_BldgSF),NA())</f>
        <v/>
      </c>
      <c r="AO159">
        <f>IF(ISNA(AN159),NA(),AN159+ROW()/10000000)</f>
        <v/>
      </c>
    </row>
    <row r="160">
      <c r="A160" s="703" t="inlineStr">
        <is>
          <t>P081</t>
        </is>
      </c>
      <c r="B160" s="695" t="n">
        <v>407</v>
      </c>
      <c r="C160" s="703" t="inlineStr">
        <is>
          <t>R0198176</t>
        </is>
      </c>
      <c r="D160" s="703" t="inlineStr">
        <is>
          <t>21800 E 19th Ave</t>
        </is>
      </c>
      <c r="E160" s="703" t="inlineStr">
        <is>
          <t>Aurora</t>
        </is>
      </c>
      <c r="F160" s="703" t="inlineStr">
        <is>
          <t>CO</t>
        </is>
      </c>
      <c r="G160" s="703" t="inlineStr">
        <is>
          <t>Industrial</t>
        </is>
      </c>
      <c r="H160" s="703"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703" t="inlineStr">
        <is>
          <t>Becknell; absolute NNN – tenant pays RE taxes directly; opex = CAM only</t>
        </is>
      </c>
      <c r="AN160">
        <f>IF(AND($B160=Subj_OccCode,Subj_BldgSF&gt;0,ABS($J160-Subj_BldgSF)&lt;=Subj_BldgSF*Subj_SizeTol),ABS($J160-Subj_BldgSF),NA())</f>
        <v/>
      </c>
      <c r="AO160">
        <f>IF(ISNA(AN160),NA(),AN160+ROW()/10000000)</f>
        <v/>
      </c>
    </row>
    <row r="161">
      <c r="A161" s="703" t="inlineStr">
        <is>
          <t>P082</t>
        </is>
      </c>
      <c r="B161" s="695" t="n">
        <v>407</v>
      </c>
      <c r="C161" s="703" t="inlineStr">
        <is>
          <t>R0201311</t>
        </is>
      </c>
      <c r="D161" s="703" t="inlineStr">
        <is>
          <t>Ascent Commerce Center Bldg I</t>
        </is>
      </c>
      <c r="E161" s="703" t="inlineStr">
        <is>
          <t>Aurora</t>
        </is>
      </c>
      <c r="F161" s="703" t="inlineStr">
        <is>
          <t>CO</t>
        </is>
      </c>
      <c r="G161" s="703" t="inlineStr">
        <is>
          <t>Industrial</t>
        </is>
      </c>
      <c r="H161" s="703"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703" t="inlineStr">
        <is>
          <t>Ambrose; Q4 2024 ONLY (Oct–Dec, 3 months); lease-up/stabilizing; DO NOT use for annual PSF</t>
        </is>
      </c>
      <c r="AN161">
        <f>IF(AND($B161=Subj_OccCode,Subj_BldgSF&gt;0,ABS($J161-Subj_BldgSF)&lt;=Subj_BldgSF*Subj_SizeTol),ABS($J161-Subj_BldgSF),NA())</f>
        <v/>
      </c>
      <c r="AO161">
        <f>IF(ISNA(AN161),NA(),AN161+ROW()/10000000)</f>
        <v/>
      </c>
    </row>
    <row r="162">
      <c r="A162" s="703" t="inlineStr">
        <is>
          <t>P083</t>
        </is>
      </c>
      <c r="B162" s="695" t="n">
        <v>407</v>
      </c>
      <c r="C162" s="703" t="inlineStr">
        <is>
          <t>R0201311</t>
        </is>
      </c>
      <c r="D162" s="703" t="inlineStr">
        <is>
          <t>Ascent Commerce Center Bldg II</t>
        </is>
      </c>
      <c r="E162" s="703" t="inlineStr">
        <is>
          <t>Aurora</t>
        </is>
      </c>
      <c r="F162" s="703" t="inlineStr">
        <is>
          <t>CO</t>
        </is>
      </c>
      <c r="G162" s="703" t="inlineStr">
        <is>
          <t>Industrial</t>
        </is>
      </c>
      <c r="H162" s="703"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703" t="inlineStr">
        <is>
          <t>Ambrose; Q4 2024 ONLY (Oct–Dec, 3 months); lease-up/stabilizing; DO NOT use for annual PSF</t>
        </is>
      </c>
      <c r="AN162">
        <f>IF(AND($B162=Subj_OccCode,Subj_BldgSF&gt;0,ABS($J162-Subj_BldgSF)&lt;=Subj_BldgSF*Subj_SizeTol),ABS($J162-Subj_BldgSF),NA())</f>
        <v/>
      </c>
      <c r="AO162">
        <f>IF(ISNA(AN162),NA(),AN162+ROW()/10000000)</f>
        <v/>
      </c>
    </row>
    <row r="163">
      <c r="A163" s="703" t="inlineStr">
        <is>
          <t>P084</t>
        </is>
      </c>
      <c r="B163" s="695" t="n">
        <v>407</v>
      </c>
      <c r="C163" s="703" t="inlineStr">
        <is>
          <t>R0201311</t>
        </is>
      </c>
      <c r="D163" s="703" t="inlineStr">
        <is>
          <t>Ascent Commerce Center Bldg III</t>
        </is>
      </c>
      <c r="E163" s="703" t="inlineStr">
        <is>
          <t>Aurora</t>
        </is>
      </c>
      <c r="F163" s="703" t="inlineStr">
        <is>
          <t>CO</t>
        </is>
      </c>
      <c r="G163" s="703" t="inlineStr">
        <is>
          <t>Industrial</t>
        </is>
      </c>
      <c r="H163" s="703"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703" t="inlineStr">
        <is>
          <t>Ambrose; Q4 2024 ONLY (Oct–Dec, 3 months); lease-up/stabilizing; DO NOT use for annual PSF</t>
        </is>
      </c>
      <c r="AN163">
        <f>IF(AND($B163=Subj_OccCode,Subj_BldgSF&gt;0,ABS($J163-Subj_BldgSF)&lt;=Subj_BldgSF*Subj_SizeTol),ABS($J163-Subj_BldgSF),NA())</f>
        <v/>
      </c>
      <c r="AO163">
        <f>IF(ISNA(AN163),NA(),AN163+ROW()/10000000)</f>
        <v/>
      </c>
    </row>
    <row r="164">
      <c r="A164" s="703" t="inlineStr">
        <is>
          <t>P085</t>
        </is>
      </c>
      <c r="B164" s="695" t="n">
        <v>210</v>
      </c>
      <c r="C164" s="703" t="inlineStr">
        <is>
          <t>R0093018</t>
        </is>
      </c>
      <c r="D164" s="703" t="inlineStr">
        <is>
          <t>3350 Peoria St</t>
        </is>
      </c>
      <c r="E164" s="703" t="inlineStr">
        <is>
          <t>Denver</t>
        </is>
      </c>
      <c r="F164" s="703" t="inlineStr">
        <is>
          <t>CO</t>
        </is>
      </c>
      <c r="G164" s="703" t="inlineStr">
        <is>
          <t>Industrial</t>
        </is>
      </c>
      <c r="H164" s="703"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703"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row>
    <row r="165">
      <c r="A165" s="703" t="inlineStr">
        <is>
          <t>P086</t>
        </is>
      </c>
      <c r="B165" s="695" t="n">
        <v>406</v>
      </c>
      <c r="C165" s="703" t="inlineStr">
        <is>
          <t>R0210684</t>
        </is>
      </c>
      <c r="D165" s="703" t="inlineStr">
        <is>
          <t>14200 E Moncrieff Place</t>
        </is>
      </c>
      <c r="E165" s="703" t="inlineStr">
        <is>
          <t>Aurora</t>
        </is>
      </c>
      <c r="F165" s="703" t="inlineStr">
        <is>
          <t>CO</t>
        </is>
      </c>
      <c r="G165" s="703" t="inlineStr">
        <is>
          <t>Industrial</t>
        </is>
      </c>
      <c r="H165" s="703"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703" t="inlineStr">
        <is>
          <t>Owner P&amp;L 2023; large industrial 233,808 SF; 1980 YOC; landscape $12,324/snow $32,256 in CAM</t>
        </is>
      </c>
      <c r="AN165">
        <f>IF(AND($B165=Subj_OccCode,Subj_BldgSF&gt;0,ABS($J165-Subj_BldgSF)&lt;=Subj_BldgSF*Subj_SizeTol),ABS($J165-Subj_BldgSF),NA())</f>
        <v/>
      </c>
      <c r="AO165">
        <f>IF(ISNA(AN165),NA(),AN165+ROW()/10000000)</f>
        <v/>
      </c>
    </row>
    <row r="166">
      <c r="A166" s="703" t="inlineStr">
        <is>
          <t>P086</t>
        </is>
      </c>
      <c r="B166" s="695" t="n">
        <v>406</v>
      </c>
      <c r="C166" s="703" t="inlineStr">
        <is>
          <t>R0210684</t>
        </is>
      </c>
      <c r="D166" s="703" t="inlineStr">
        <is>
          <t>14200 E Moncrieff Place</t>
        </is>
      </c>
      <c r="E166" s="703" t="inlineStr">
        <is>
          <t>Aurora</t>
        </is>
      </c>
      <c r="F166" s="703" t="inlineStr">
        <is>
          <t>CO</t>
        </is>
      </c>
      <c r="G166" s="703" t="inlineStr">
        <is>
          <t>Industrial</t>
        </is>
      </c>
      <c r="H166" s="703"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703" t="inlineStr">
        <is>
          <t>Owner P&amp;L 2024; total OPX only – line items not fully detailed for 2024</t>
        </is>
      </c>
      <c r="AN166">
        <f>IF(AND($B166=Subj_OccCode,Subj_BldgSF&gt;0,ABS($J166-Subj_BldgSF)&lt;=Subj_BldgSF*Subj_SizeTol),ABS($J166-Subj_BldgSF),NA())</f>
        <v/>
      </c>
      <c r="AO166">
        <f>IF(ISNA(AN166),NA(),AN166+ROW()/10000000)</f>
        <v/>
      </c>
    </row>
    <row r="167">
      <c r="A167" s="703" t="inlineStr">
        <is>
          <t>P087</t>
        </is>
      </c>
      <c r="B167" s="695" t="n">
        <v>407</v>
      </c>
      <c r="C167" s="703" t="inlineStr">
        <is>
          <t>R0102985</t>
        </is>
      </c>
      <c r="D167" s="703" t="inlineStr">
        <is>
          <t>5861 Tennyson St</t>
        </is>
      </c>
      <c r="E167" s="703" t="inlineStr">
        <is>
          <t>Arvada</t>
        </is>
      </c>
      <c r="F167" s="703" t="inlineStr">
        <is>
          <t>CO</t>
        </is>
      </c>
      <c r="G167" s="703" t="inlineStr">
        <is>
          <t>Industrial</t>
        </is>
      </c>
      <c r="H167" s="703"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703" t="inlineStr">
        <is>
          <t>NNN; landlord expenses only; tenant pays RE taxes; 2023</t>
        </is>
      </c>
      <c r="AN167">
        <f>IF(AND($B167=Subj_OccCode,Subj_BldgSF&gt;0,ABS($J167-Subj_BldgSF)&lt;=Subj_BldgSF*Subj_SizeTol),ABS($J167-Subj_BldgSF),NA())</f>
        <v/>
      </c>
      <c r="AO167">
        <f>IF(ISNA(AN167),NA(),AN167+ROW()/10000000)</f>
        <v/>
      </c>
    </row>
    <row r="168">
      <c r="A168" s="703" t="inlineStr">
        <is>
          <t>P087</t>
        </is>
      </c>
      <c r="B168" s="695" t="n">
        <v>407</v>
      </c>
      <c r="C168" s="703" t="inlineStr">
        <is>
          <t>R0102985</t>
        </is>
      </c>
      <c r="D168" s="703" t="inlineStr">
        <is>
          <t>5861 Tennyson St</t>
        </is>
      </c>
      <c r="E168" s="703" t="inlineStr">
        <is>
          <t>Arvada</t>
        </is>
      </c>
      <c r="F168" s="703" t="inlineStr">
        <is>
          <t>CO</t>
        </is>
      </c>
      <c r="G168" s="703" t="inlineStr">
        <is>
          <t>Industrial</t>
        </is>
      </c>
      <c r="H168" s="703"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703" t="inlineStr">
        <is>
          <t>NNN; landlord expenses only; tenant pays RE taxes; 2024</t>
        </is>
      </c>
      <c r="AN168">
        <f>IF(AND($B168=Subj_OccCode,Subj_BldgSF&gt;0,ABS($J168-Subj_BldgSF)&lt;=Subj_BldgSF*Subj_SizeTol),ABS($J168-Subj_BldgSF),NA())</f>
        <v/>
      </c>
      <c r="AO168">
        <f>IF(ISNA(AN168),NA(),AN168+ROW()/10000000)</f>
        <v/>
      </c>
    </row>
    <row r="169">
      <c r="A169" s="703" t="inlineStr">
        <is>
          <t>P088</t>
        </is>
      </c>
      <c r="B169" s="695" t="n">
        <v>210</v>
      </c>
      <c r="C169" s="703" t="inlineStr">
        <is>
          <t>R0090973</t>
        </is>
      </c>
      <c r="D169" s="703" t="inlineStr">
        <is>
          <t>3975 E 56th Ave</t>
        </is>
      </c>
      <c r="E169" s="703" t="inlineStr">
        <is>
          <t>Commerce City</t>
        </is>
      </c>
      <c r="F169" s="703" t="inlineStr">
        <is>
          <t>CO</t>
        </is>
      </c>
      <c r="G169" s="703" t="inlineStr">
        <is>
          <t>Industrial</t>
        </is>
      </c>
      <c r="H169" s="703"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703" t="inlineStr">
        <is>
          <t>Sand Creek Business Park; owner P&amp;L 2024; limited line-item detail</t>
        </is>
      </c>
      <c r="AN169">
        <f>IF(AND($B169=Subj_OccCode,Subj_BldgSF&gt;0,ABS($J169-Subj_BldgSF)&lt;=Subj_BldgSF*Subj_SizeTol),ABS($J169-Subj_BldgSF),NA())</f>
        <v/>
      </c>
      <c r="AO169">
        <f>IF(ISNA(AN169),NA(),AN169+ROW()/10000000)</f>
        <v/>
      </c>
    </row>
    <row r="170">
      <c r="A170" s="703" t="inlineStr">
        <is>
          <t>P089</t>
        </is>
      </c>
      <c r="B170" s="695" t="n">
        <v>407</v>
      </c>
      <c r="C170" s="703" t="inlineStr">
        <is>
          <t>R0180951</t>
        </is>
      </c>
      <c r="D170" s="703" t="inlineStr">
        <is>
          <t>(Address TBD – R0180951)</t>
        </is>
      </c>
      <c r="E170" s="703" t="inlineStr">
        <is>
          <t>Adams County</t>
        </is>
      </c>
      <c r="F170" s="703" t="inlineStr">
        <is>
          <t>CO</t>
        </is>
      </c>
      <c r="G170" s="703" t="inlineStr">
        <is>
          <t>Industrial</t>
        </is>
      </c>
      <c r="H170" s="703"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703"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row>
    <row r="171">
      <c r="A171" s="703" t="inlineStr">
        <is>
          <t>P089</t>
        </is>
      </c>
      <c r="B171" s="695" t="n">
        <v>407</v>
      </c>
      <c r="C171" s="703" t="inlineStr">
        <is>
          <t>R0180951</t>
        </is>
      </c>
      <c r="D171" s="703" t="inlineStr">
        <is>
          <t>(Address TBD – R0180951)</t>
        </is>
      </c>
      <c r="E171" s="703" t="inlineStr">
        <is>
          <t>Adams County</t>
        </is>
      </c>
      <c r="F171" s="703" t="inlineStr">
        <is>
          <t>CO</t>
        </is>
      </c>
      <c r="G171" s="703" t="inlineStr">
        <is>
          <t>Industrial</t>
        </is>
      </c>
      <c r="H171" s="703"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703" t="inlineStr">
        <is>
          <t>NNN; landlord expenses only from WH Expenses 2026; 2024: RE Tax $532,140/Ins $7,635/Utils $58,541/CAM $64,465</t>
        </is>
      </c>
      <c r="AN171">
        <f>IF(AND($B171=Subj_OccCode,Subj_BldgSF&gt;0,ABS($J171-Subj_BldgSF)&lt;=Subj_BldgSF*Subj_SizeTol),ABS($J171-Subj_BldgSF),NA())</f>
        <v/>
      </c>
      <c r="AO171">
        <f>IF(ISNA(AN171),NA(),AN171+ROW()/10000000)</f>
        <v/>
      </c>
    </row>
    <row r="172">
      <c r="A172" s="703" t="inlineStr">
        <is>
          <t>P090</t>
        </is>
      </c>
      <c r="B172" s="695" t="n">
        <v>407</v>
      </c>
      <c r="C172" s="703" t="inlineStr">
        <is>
          <t>R0110351</t>
        </is>
      </c>
      <c r="D172" s="703" t="inlineStr">
        <is>
          <t>(Address TBD – R0110351)</t>
        </is>
      </c>
      <c r="E172" s="703" t="inlineStr">
        <is>
          <t>Adams County</t>
        </is>
      </c>
      <c r="F172" s="703" t="inlineStr">
        <is>
          <t>CO</t>
        </is>
      </c>
      <c r="G172" s="703" t="inlineStr">
        <is>
          <t>Industrial</t>
        </is>
      </c>
      <c r="H172" s="703"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703" t="inlineStr">
        <is>
          <t>NNN; landlord expenses only from WH Expenses 2026; 2000 YOC; 2023: RE Tax $305,241/Ins $20,559/CAM $18,539</t>
        </is>
      </c>
      <c r="AN172">
        <f>IF(AND($B172=Subj_OccCode,Subj_BldgSF&gt;0,ABS($J172-Subj_BldgSF)&lt;=Subj_BldgSF*Subj_SizeTol),ABS($J172-Subj_BldgSF),NA())</f>
        <v/>
      </c>
      <c r="AO172">
        <f>IF(ISNA(AN172),NA(),AN172+ROW()/10000000)</f>
        <v/>
      </c>
    </row>
    <row r="173">
      <c r="A173" s="703" t="inlineStr">
        <is>
          <t>P090</t>
        </is>
      </c>
      <c r="B173" s="695" t="n">
        <v>407</v>
      </c>
      <c r="C173" s="703" t="inlineStr">
        <is>
          <t>R0110351</t>
        </is>
      </c>
      <c r="D173" s="703" t="inlineStr">
        <is>
          <t>(Address TBD – R0110351)</t>
        </is>
      </c>
      <c r="E173" s="703" t="inlineStr">
        <is>
          <t>Adams County</t>
        </is>
      </c>
      <c r="F173" s="703" t="inlineStr">
        <is>
          <t>CO</t>
        </is>
      </c>
      <c r="G173" s="703" t="inlineStr">
        <is>
          <t>Industrial</t>
        </is>
      </c>
      <c r="H173" s="703"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703" t="inlineStr">
        <is>
          <t>NNN; landlord expenses only from WH Expenses 2026; 2024: RE Tax $331,811/Ins $25,578/CAM $21,372</t>
        </is>
      </c>
      <c r="AN173">
        <f>IF(AND($B173=Subj_OccCode,Subj_BldgSF&gt;0,ABS($J173-Subj_BldgSF)&lt;=Subj_BldgSF*Subj_SizeTol),ABS($J173-Subj_BldgSF),NA())</f>
        <v/>
      </c>
      <c r="AO173">
        <f>IF(ISNA(AN173),NA(),AN173+ROW()/10000000)</f>
        <v/>
      </c>
    </row>
    <row r="174">
      <c r="A174" s="703" t="inlineStr">
        <is>
          <t>P091</t>
        </is>
      </c>
      <c r="B174" s="695" t="n">
        <v>584</v>
      </c>
      <c r="C174" s="703" t="inlineStr">
        <is>
          <t>R0198530</t>
        </is>
      </c>
      <c r="D174" s="703" t="inlineStr">
        <is>
          <t>(Address TBD – R0198530)</t>
        </is>
      </c>
      <c r="E174" s="703" t="inlineStr">
        <is>
          <t>Adams County</t>
        </is>
      </c>
      <c r="F174" s="703" t="inlineStr">
        <is>
          <t>CO</t>
        </is>
      </c>
      <c r="G174" s="703" t="inlineStr">
        <is>
          <t>Industrial</t>
        </is>
      </c>
      <c r="H174" s="703"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703" t="inlineStr">
        <is>
          <t>Mega-warehouse 555,867 SF; NNN; landlord only: RE Tax $2,160,792/Ins $86,084/Mgmt $64,029; 2019 YOC</t>
        </is>
      </c>
      <c r="AN174">
        <f>IF(AND($B174=Subj_OccCode,Subj_BldgSF&gt;0,ABS($J174-Subj_BldgSF)&lt;=Subj_BldgSF*Subj_SizeTol),ABS($J174-Subj_BldgSF),NA())</f>
        <v/>
      </c>
      <c r="AO174">
        <f>IF(ISNA(AN174),NA(),AN174+ROW()/10000000)</f>
        <v/>
      </c>
    </row>
    <row r="175">
      <c r="A175" s="703" t="inlineStr">
        <is>
          <t>P092</t>
        </is>
      </c>
      <c r="B175" s="695" t="n">
        <v>447</v>
      </c>
      <c r="C175" s="703" t="inlineStr">
        <is>
          <t>R0180834</t>
        </is>
      </c>
      <c r="D175" s="703" t="inlineStr">
        <is>
          <t>(Address TBD – R0180834)</t>
        </is>
      </c>
      <c r="E175" s="703" t="inlineStr">
        <is>
          <t>Adams County</t>
        </is>
      </c>
      <c r="F175" s="703" t="inlineStr">
        <is>
          <t>CO</t>
        </is>
      </c>
      <c r="G175" s="703" t="inlineStr">
        <is>
          <t>Industrial</t>
        </is>
      </c>
      <c r="H175" s="703"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703" t="inlineStr">
        <is>
          <t>Cold storage/mega-WH 550,031 SF; NNN; landlord only: RE Tax $2,118,655/Ins $77,117/Mgmt $138,053; 2012 YOC</t>
        </is>
      </c>
      <c r="AN175">
        <f>IF(AND($B175=Subj_OccCode,Subj_BldgSF&gt;0,ABS($J175-Subj_BldgSF)&lt;=Subj_BldgSF*Subj_SizeTol),ABS($J175-Subj_BldgSF),NA())</f>
        <v/>
      </c>
      <c r="AO175">
        <f>IF(ISNA(AN175),NA(),AN175+ROW()/10000000)</f>
        <v/>
      </c>
    </row>
    <row r="176">
      <c r="A176" s="703" t="inlineStr">
        <is>
          <t>P093</t>
        </is>
      </c>
      <c r="B176" s="695" t="n">
        <v>407</v>
      </c>
      <c r="C176" s="703" t="inlineStr">
        <is>
          <t>R0114792</t>
        </is>
      </c>
      <c r="D176" s="703" t="inlineStr">
        <is>
          <t>(Address TBD – R0114792)</t>
        </is>
      </c>
      <c r="E176" s="703" t="inlineStr">
        <is>
          <t>Adams County</t>
        </is>
      </c>
      <c r="F176" s="703" t="inlineStr">
        <is>
          <t>CO</t>
        </is>
      </c>
      <c r="G176" s="703" t="inlineStr">
        <is>
          <t>Industrial</t>
        </is>
      </c>
      <c r="H176" s="703"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703" t="inlineStr">
        <is>
          <t>NNN; landlord only: RE Tax $201,248/Ins $9,589/Mgmt $23,542; 1998 YOC</t>
        </is>
      </c>
      <c r="AN176">
        <f>IF(AND($B176=Subj_OccCode,Subj_BldgSF&gt;0,ABS($J176-Subj_BldgSF)&lt;=Subj_BldgSF*Subj_SizeTol),ABS($J176-Subj_BldgSF),NA())</f>
        <v/>
      </c>
      <c r="AO176">
        <f>IF(ISNA(AN176),NA(),AN176+ROW()/10000000)</f>
        <v/>
      </c>
    </row>
    <row r="177">
      <c r="A177" s="703" t="inlineStr">
        <is>
          <t>P093</t>
        </is>
      </c>
      <c r="B177" s="695" t="n">
        <v>407</v>
      </c>
      <c r="C177" s="703" t="inlineStr">
        <is>
          <t>R0114792</t>
        </is>
      </c>
      <c r="D177" s="703" t="inlineStr">
        <is>
          <t>(Address TBD – R0114792)</t>
        </is>
      </c>
      <c r="E177" s="703" t="inlineStr">
        <is>
          <t>Adams County</t>
        </is>
      </c>
      <c r="F177" s="703" t="inlineStr">
        <is>
          <t>CO</t>
        </is>
      </c>
      <c r="G177" s="703" t="inlineStr">
        <is>
          <t>Industrial</t>
        </is>
      </c>
      <c r="H177" s="703"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703" t="inlineStr">
        <is>
          <t>NNN; landlord only: RE Tax $244,551/Ins $7,536/Mgmt $23,889</t>
        </is>
      </c>
      <c r="AN177">
        <f>IF(AND($B177=Subj_OccCode,Subj_BldgSF&gt;0,ABS($J177-Subj_BldgSF)&lt;=Subj_BldgSF*Subj_SizeTol),ABS($J177-Subj_BldgSF),NA())</f>
        <v/>
      </c>
      <c r="AO177">
        <f>IF(ISNA(AN177),NA(),AN177+ROW()/10000000)</f>
        <v/>
      </c>
    </row>
    <row r="178">
      <c r="A178" s="703" t="inlineStr">
        <is>
          <t>P027</t>
        </is>
      </c>
      <c r="B178" s="695" t="n">
        <v>407</v>
      </c>
      <c r="C178" s="703" t="inlineStr">
        <is>
          <t>R0132030</t>
        </is>
      </c>
      <c r="D178" s="703" t="inlineStr">
        <is>
          <t>(R0132030)</t>
        </is>
      </c>
      <c r="E178" s="703" t="inlineStr">
        <is>
          <t>Adams County</t>
        </is>
      </c>
      <c r="F178" s="703" t="inlineStr">
        <is>
          <t>CO</t>
        </is>
      </c>
      <c r="G178" s="703" t="inlineStr">
        <is>
          <t>Industrial</t>
        </is>
      </c>
      <c r="H178" s="703"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703" t="inlineStr">
        <is>
          <t>NNN; WH Expenses 2026 landlord data: RE Tax $440,287/Ins $26,308/Utils $64,237/Mgmt $48,882/CAM $80,298</t>
        </is>
      </c>
      <c r="AN178">
        <f>IF(AND($B178=Subj_OccCode,Subj_BldgSF&gt;0,ABS($J178-Subj_BldgSF)&lt;=Subj_BldgSF*Subj_SizeTol),ABS($J178-Subj_BldgSF),NA())</f>
        <v/>
      </c>
      <c r="AO178">
        <f>IF(ISNA(AN178),NA(),AN178+ROW()/10000000)</f>
        <v/>
      </c>
    </row>
    <row r="179">
      <c r="A179" s="703" t="inlineStr">
        <is>
          <t>P028</t>
        </is>
      </c>
      <c r="B179" s="695" t="n">
        <v>407</v>
      </c>
      <c r="C179" s="703" t="inlineStr">
        <is>
          <t>R0084040</t>
        </is>
      </c>
      <c r="D179" s="703" t="inlineStr">
        <is>
          <t>(R0084040)</t>
        </is>
      </c>
      <c r="E179" s="703" t="inlineStr">
        <is>
          <t>Adams County</t>
        </is>
      </c>
      <c r="F179" s="703" t="inlineStr">
        <is>
          <t>CO</t>
        </is>
      </c>
      <c r="G179" s="703" t="inlineStr">
        <is>
          <t>Industrial</t>
        </is>
      </c>
      <c r="H179" s="703"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703" t="inlineStr">
        <is>
          <t>NNN; WH Expenses 2026 landlord data: RE Tax $598,274/Ins $24,025/Utils $69,481/Mgmt $65,817/CAM $128,840</t>
        </is>
      </c>
      <c r="AN179">
        <f>IF(AND($B179=Subj_OccCode,Subj_BldgSF&gt;0,ABS($J179-Subj_BldgSF)&lt;=Subj_BldgSF*Subj_SizeTol),ABS($J179-Subj_BldgSF),NA())</f>
        <v/>
      </c>
      <c r="AO179">
        <f>IF(ISNA(AN179),NA(),AN179+ROW()/10000000)</f>
        <v/>
      </c>
    </row>
    <row r="180">
      <c r="A180" s="703" t="inlineStr">
        <is>
          <t>P034</t>
        </is>
      </c>
      <c r="B180" s="695" t="n">
        <v>407</v>
      </c>
      <c r="C180" s="703" t="inlineStr">
        <is>
          <t>R0172865</t>
        </is>
      </c>
      <c r="D180" s="703" t="inlineStr">
        <is>
          <t>(R0172865)</t>
        </is>
      </c>
      <c r="E180" s="703" t="inlineStr">
        <is>
          <t>Adams County</t>
        </is>
      </c>
      <c r="F180" s="703" t="inlineStr">
        <is>
          <t>CO</t>
        </is>
      </c>
      <c r="G180" s="703" t="inlineStr">
        <is>
          <t>Industrial</t>
        </is>
      </c>
      <c r="H180" s="703"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703" t="inlineStr">
        <is>
          <t>NNN; WH Expenses 2026 landlord data: RE Tax $564,450/Ins $30,832/Utils $101,924/Mgmt $71,321/CAM $127,177</t>
        </is>
      </c>
      <c r="AN180">
        <f>IF(AND($B180=Subj_OccCode,Subj_BldgSF&gt;0,ABS($J180-Subj_BldgSF)&lt;=Subj_BldgSF*Subj_SizeTol),ABS($J180-Subj_BldgSF),NA())</f>
        <v/>
      </c>
      <c r="AO180">
        <f>IF(ISNA(AN180),NA(),AN180+ROW()/10000000)</f>
        <v/>
      </c>
    </row>
    <row r="181">
      <c r="A181" s="703" t="inlineStr">
        <is>
          <t>P036</t>
        </is>
      </c>
      <c r="B181" s="695" t="n">
        <v>407</v>
      </c>
      <c r="C181" s="703" t="inlineStr">
        <is>
          <t>R0172868</t>
        </is>
      </c>
      <c r="D181" s="703" t="inlineStr">
        <is>
          <t>(R0172868)</t>
        </is>
      </c>
      <c r="E181" s="703" t="inlineStr">
        <is>
          <t>Adams County</t>
        </is>
      </c>
      <c r="F181" s="703" t="inlineStr">
        <is>
          <t>CO</t>
        </is>
      </c>
      <c r="G181" s="703" t="inlineStr">
        <is>
          <t>Industrial</t>
        </is>
      </c>
      <c r="H181" s="703"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703" t="inlineStr">
        <is>
          <t>NNN; WH Expenses 2026 landlord data: RE Tax $608,209/Ins $30,594/Mgmt $36,085/CAM $95,792</t>
        </is>
      </c>
      <c r="AN181">
        <f>IF(AND($B181=Subj_OccCode,Subj_BldgSF&gt;0,ABS($J181-Subj_BldgSF)&lt;=Subj_BldgSF*Subj_SizeTol),ABS($J181-Subj_BldgSF),NA())</f>
        <v/>
      </c>
      <c r="AO181">
        <f>IF(ISNA(AN181),NA(),AN181+ROW()/10000000)</f>
        <v/>
      </c>
    </row>
    <row r="182">
      <c r="A182" s="703" t="inlineStr">
        <is>
          <t>P061</t>
        </is>
      </c>
      <c r="B182" s="695" t="n">
        <v>584</v>
      </c>
      <c r="C182" s="703" t="inlineStr">
        <is>
          <t>R0083935</t>
        </is>
      </c>
      <c r="D182" s="703" t="inlineStr">
        <is>
          <t>(R0083935)</t>
        </is>
      </c>
      <c r="E182" s="703" t="inlineStr">
        <is>
          <t>Adams County</t>
        </is>
      </c>
      <c r="F182" s="703" t="inlineStr">
        <is>
          <t>CO</t>
        </is>
      </c>
      <c r="G182" s="703" t="inlineStr">
        <is>
          <t>Industrial</t>
        </is>
      </c>
      <c r="H182" s="703"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703"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row>
    <row r="183">
      <c r="A183" s="703" t="inlineStr">
        <is>
          <t>P069</t>
        </is>
      </c>
      <c r="B183" s="695" t="n">
        <v>210</v>
      </c>
      <c r="C183" s="703" t="inlineStr">
        <is>
          <t>R0098223</t>
        </is>
      </c>
      <c r="D183" s="703" t="inlineStr">
        <is>
          <t>(R0098223)</t>
        </is>
      </c>
      <c r="E183" s="703" t="inlineStr">
        <is>
          <t>Adams County</t>
        </is>
      </c>
      <c r="F183" s="703" t="inlineStr">
        <is>
          <t>CO</t>
        </is>
      </c>
      <c r="G183" s="703" t="inlineStr">
        <is>
          <t>Industrial</t>
        </is>
      </c>
      <c r="H183" s="703"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703" t="inlineStr">
        <is>
          <t>CORRECTED: previous entry had wrong NOI ($76,629). Correct 2023 NOI = $951,113 per WH Expenses 2026</t>
        </is>
      </c>
      <c r="AN183">
        <f>IF(AND($B183=Subj_OccCode,Subj_BldgSF&gt;0,ABS($J183-Subj_BldgSF)&lt;=Subj_BldgSF*Subj_SizeTol),ABS($J183-Subj_BldgSF),NA())</f>
        <v/>
      </c>
      <c r="AO183">
        <f>IF(ISNA(AN183),NA(),AN183+ROW()/10000000)</f>
        <v/>
      </c>
    </row>
    <row r="184">
      <c r="A184" s="703" t="inlineStr">
        <is>
          <t>P069</t>
        </is>
      </c>
      <c r="B184" s="695" t="n">
        <v>210</v>
      </c>
      <c r="C184" s="703" t="inlineStr">
        <is>
          <t>R0098223</t>
        </is>
      </c>
      <c r="D184" s="703" t="inlineStr">
        <is>
          <t>(R0098223)</t>
        </is>
      </c>
      <c r="E184" s="703" t="inlineStr">
        <is>
          <t>Adams County</t>
        </is>
      </c>
      <c r="F184" s="703" t="inlineStr">
        <is>
          <t>CO</t>
        </is>
      </c>
      <c r="G184" s="703" t="inlineStr">
        <is>
          <t>Industrial</t>
        </is>
      </c>
      <c r="H184" s="703"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703" t="inlineStr">
        <is>
          <t>New 2024 row from WH Expenses 2026; NOI $1,005,999</t>
        </is>
      </c>
      <c r="AN184">
        <f>IF(AND($B184=Subj_OccCode,Subj_BldgSF&gt;0,ABS($J184-Subj_BldgSF)&lt;=Subj_BldgSF*Subj_SizeTol),ABS($J184-Subj_BldgSF),NA())</f>
        <v/>
      </c>
      <c r="AO184">
        <f>IF(ISNA(AN184),NA(),AN184+ROW()/10000000)</f>
        <v/>
      </c>
    </row>
    <row r="185">
      <c r="A185" s="703" t="inlineStr">
        <is>
          <t>P094</t>
        </is>
      </c>
      <c r="B185" s="695" t="n">
        <v>407</v>
      </c>
      <c r="C185" s="703" t="inlineStr">
        <is>
          <t>R0104122</t>
        </is>
      </c>
      <c r="D185" s="703" t="inlineStr">
        <is>
          <t>550 W 53rd Pl</t>
        </is>
      </c>
      <c r="E185" s="703" t="inlineStr">
        <is>
          <t>Denver</t>
        </is>
      </c>
      <c r="F185" s="703" t="inlineStr">
        <is>
          <t>CO</t>
        </is>
      </c>
      <c r="G185" s="703" t="inlineStr">
        <is>
          <t>Industrial</t>
        </is>
      </c>
      <c r="H185" s="703"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703"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row>
    <row r="186">
      <c r="A186" s="703" t="inlineStr">
        <is>
          <t>P095</t>
        </is>
      </c>
      <c r="B186" s="695" t="n">
        <v>386</v>
      </c>
      <c r="C186" s="703" t="inlineStr">
        <is>
          <t>R0086010</t>
        </is>
      </c>
      <c r="D186" s="703" t="inlineStr">
        <is>
          <t>15413 E 18th Ave</t>
        </is>
      </c>
      <c r="E186" s="703" t="inlineStr">
        <is>
          <t>Aurora</t>
        </is>
      </c>
      <c r="F186" s="703" t="inlineStr">
        <is>
          <t>CO</t>
        </is>
      </c>
      <c r="G186" s="703" t="inlineStr">
        <is>
          <t>Self-Storage</t>
        </is>
      </c>
      <c r="H186" s="703"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703"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row>
    <row r="187">
      <c r="A187" s="703" t="inlineStr">
        <is>
          <t>P096</t>
        </is>
      </c>
      <c r="B187" s="695" t="n">
        <v>407</v>
      </c>
      <c r="C187" s="703" t="inlineStr">
        <is>
          <t>R0083917</t>
        </is>
      </c>
      <c r="D187" s="703" t="inlineStr">
        <is>
          <t>14701 E 38th Ave</t>
        </is>
      </c>
      <c r="E187" s="703" t="inlineStr">
        <is>
          <t>Aurora</t>
        </is>
      </c>
      <c r="F187" s="703" t="inlineStr">
        <is>
          <t>CO</t>
        </is>
      </c>
      <c r="G187" s="703" t="inlineStr">
        <is>
          <t>Industrial</t>
        </is>
      </c>
      <c r="H187" s="703"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703"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row>
    <row r="188">
      <c r="A188" s="703" t="inlineStr">
        <is>
          <t>P097</t>
        </is>
      </c>
      <c r="B188" s="695" t="n">
        <v>210</v>
      </c>
      <c r="C188" s="703" t="inlineStr">
        <is>
          <t>R0137586</t>
        </is>
      </c>
      <c r="D188" s="703" t="inlineStr">
        <is>
          <t>7273-7285 E 96th Ave</t>
        </is>
      </c>
      <c r="E188" s="703" t="inlineStr">
        <is>
          <t>Commerce City</t>
        </is>
      </c>
      <c r="F188" s="703" t="inlineStr">
        <is>
          <t>CO</t>
        </is>
      </c>
      <c r="G188" s="703" t="inlineStr">
        <is>
          <t>Industrial</t>
        </is>
      </c>
      <c r="H188" s="703"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703" t="inlineStr">
        <is>
          <t>I&amp;E Survey 2023; modified lease; 57,200 SF; total expenses approx (excludes RE taxes not reported)</t>
        </is>
      </c>
      <c r="AN188">
        <f>IF(AND($B188=Subj_OccCode,Subj_BldgSF&gt;0,ABS($J188-Subj_BldgSF)&lt;=Subj_BldgSF*Subj_SizeTol),ABS($J188-Subj_BldgSF),NA())</f>
        <v/>
      </c>
      <c r="AO188">
        <f>IF(ISNA(AN188),NA(),AN188+ROW()/10000000)</f>
        <v/>
      </c>
    </row>
    <row r="189">
      <c r="A189" s="703" t="inlineStr">
        <is>
          <t>P098</t>
        </is>
      </c>
      <c r="B189" s="695" t="n">
        <v>210</v>
      </c>
      <c r="C189" s="703" t="inlineStr">
        <is>
          <t>R0187010</t>
        </is>
      </c>
      <c r="D189" s="703" t="inlineStr">
        <is>
          <t>8020 Steele St</t>
        </is>
      </c>
      <c r="E189" s="703" t="inlineStr">
        <is>
          <t>Denver</t>
        </is>
      </c>
      <c r="F189" s="703" t="inlineStr">
        <is>
          <t>CO</t>
        </is>
      </c>
      <c r="G189" s="703" t="inlineStr">
        <is>
          <t>Industrial</t>
        </is>
      </c>
      <c r="H189" s="703"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703"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row>
    <row r="190">
      <c r="A190" s="703" t="inlineStr">
        <is>
          <t>P099</t>
        </is>
      </c>
      <c r="B190" s="695" t="n">
        <v>210</v>
      </c>
      <c r="C190" s="703" t="inlineStr">
        <is>
          <t>R0111914</t>
        </is>
      </c>
      <c r="D190" s="703" t="inlineStr">
        <is>
          <t>1963 Jasper St</t>
        </is>
      </c>
      <c r="E190" s="703" t="inlineStr">
        <is>
          <t>Aurora</t>
        </is>
      </c>
      <c r="F190" s="703" t="inlineStr">
        <is>
          <t>CO</t>
        </is>
      </c>
      <c r="G190" s="703" t="inlineStr">
        <is>
          <t>Industrial</t>
        </is>
      </c>
      <c r="H190" s="703"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703" t="inlineStr">
        <is>
          <t>I&amp;E Survey 2024; gross lease (tenant pays gas/elec); approx NOI = GRI minus owner expenses; 33,574 SF</t>
        </is>
      </c>
      <c r="AN190">
        <f>IF(AND($B190=Subj_OccCode,Subj_BldgSF&gt;0,ABS($J190-Subj_BldgSF)&lt;=Subj_BldgSF*Subj_SizeTol),ABS($J190-Subj_BldgSF),NA())</f>
        <v/>
      </c>
      <c r="AO190">
        <f>IF(ISNA(AN190),NA(),AN190+ROW()/10000000)</f>
        <v/>
      </c>
    </row>
    <row r="191">
      <c r="A191" s="703" t="inlineStr">
        <is>
          <t>P100</t>
        </is>
      </c>
      <c r="B191" s="695" t="n">
        <v>1332</v>
      </c>
      <c r="C191" s="703" t="inlineStr">
        <is>
          <t>R0111965</t>
        </is>
      </c>
      <c r="D191" s="703" t="inlineStr">
        <is>
          <t>12101 Grant St</t>
        </is>
      </c>
      <c r="E191" s="703" t="inlineStr">
        <is>
          <t>Thornton</t>
        </is>
      </c>
      <c r="F191" s="703" t="inlineStr">
        <is>
          <t>CO</t>
        </is>
      </c>
      <c r="G191" s="703" t="inlineStr">
        <is>
          <t>Hospitality</t>
        </is>
      </c>
      <c r="H191" s="703"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703"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row>
    <row r="192">
      <c r="A192" s="703" t="inlineStr">
        <is>
          <t>P101</t>
        </is>
      </c>
      <c r="B192" s="695" t="n">
        <v>332</v>
      </c>
      <c r="C192" s="703" t="inlineStr">
        <is>
          <t>R0202410</t>
        </is>
      </c>
      <c r="D192" s="703" t="inlineStr">
        <is>
          <t>2556 Oswego St</t>
        </is>
      </c>
      <c r="E192" s="703" t="inlineStr">
        <is>
          <t>Aurora</t>
        </is>
      </c>
      <c r="F192" s="703" t="inlineStr">
        <is>
          <t>CO</t>
        </is>
      </c>
      <c r="G192" s="703" t="inlineStr">
        <is>
          <t>Hospitality</t>
        </is>
      </c>
      <c r="H192" s="703"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703"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row>
    <row r="193">
      <c r="A193" s="703" t="inlineStr">
        <is>
          <t>P102</t>
        </is>
      </c>
      <c r="B193" s="695" t="n">
        <v>332</v>
      </c>
      <c r="C193" s="703" t="inlineStr">
        <is>
          <t>R0024498</t>
        </is>
      </c>
      <c r="D193" s="703" t="inlineStr">
        <is>
          <t>83 E 120th Ave</t>
        </is>
      </c>
      <c r="E193" s="703" t="inlineStr">
        <is>
          <t>Thornton</t>
        </is>
      </c>
      <c r="F193" s="703" t="inlineStr">
        <is>
          <t>CO</t>
        </is>
      </c>
      <c r="G193" s="703" t="inlineStr">
        <is>
          <t>Hospitality</t>
        </is>
      </c>
      <c r="H193" s="703"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703"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row>
    <row r="194">
      <c r="A194" s="703" t="inlineStr">
        <is>
          <t>P103</t>
        </is>
      </c>
      <c r="B194" s="695" t="n">
        <v>407</v>
      </c>
      <c r="C194" s="703" t="inlineStr">
        <is>
          <t>R0075212</t>
        </is>
      </c>
      <c r="D194" s="703" t="inlineStr">
        <is>
          <t>10500 Havana Ct</t>
        </is>
      </c>
      <c r="E194" s="703" t="inlineStr">
        <is>
          <t>Commerce City</t>
        </is>
      </c>
      <c r="F194" s="703" t="inlineStr">
        <is>
          <t>CO</t>
        </is>
      </c>
      <c r="G194" s="703" t="inlineStr">
        <is>
          <t>Industrial</t>
        </is>
      </c>
      <c r="H194" s="703"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703" t="inlineStr">
        <is>
          <t>I&amp;E Survey 2024; NNN lease; owner-reported; 30,000 SF; no NOI computed (no EGI reported)</t>
        </is>
      </c>
      <c r="AN194">
        <f>IF(AND($B194=Subj_OccCode,Subj_BldgSF&gt;0,ABS($J194-Subj_BldgSF)&lt;=Subj_BldgSF*Subj_SizeTol),ABS($J194-Subj_BldgSF),NA())</f>
        <v/>
      </c>
      <c r="AO194">
        <f>IF(ISNA(AN194),NA(),AN194+ROW()/10000000)</f>
        <v/>
      </c>
    </row>
    <row r="195">
      <c r="A195" s="703" t="inlineStr">
        <is>
          <t>P089</t>
        </is>
      </c>
      <c r="B195" s="695" t="n">
        <v>407</v>
      </c>
      <c r="C195" s="703" t="inlineStr">
        <is>
          <t>R0180951</t>
        </is>
      </c>
      <c r="D195" s="703" t="inlineStr">
        <is>
          <t>21200 E 36th Dr</t>
        </is>
      </c>
      <c r="E195" s="703" t="inlineStr">
        <is>
          <t>Aurora</t>
        </is>
      </c>
      <c r="F195" s="703" t="inlineStr">
        <is>
          <t>CO</t>
        </is>
      </c>
      <c r="G195" s="703" t="inlineStr">
        <is>
          <t>Industrial</t>
        </is>
      </c>
      <c r="H195" s="703"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703"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row>
    <row r="196">
      <c r="A196" t="inlineStr">
        <is>
          <t>P104</t>
        </is>
      </c>
      <c r="B196" s="695" t="n">
        <v>210</v>
      </c>
      <c r="C196" t="inlineStr">
        <is>
          <t>R0226379</t>
        </is>
      </c>
      <c r="D196" t="inlineStr">
        <is>
          <t>26100 E 68th Ave</t>
        </is>
      </c>
      <c r="E196" t="inlineStr">
        <is>
          <t>Aurora</t>
        </is>
      </c>
      <c r="F196" t="inlineStr">
        <is>
          <t>CO</t>
        </is>
      </c>
      <c r="G196" t="inlineStr">
        <is>
          <t>Industrial</t>
        </is>
      </c>
      <c r="H196"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row>
    <row r="197">
      <c r="A197" t="inlineStr">
        <is>
          <t>P104</t>
        </is>
      </c>
      <c r="B197" s="695" t="n">
        <v>210</v>
      </c>
      <c r="C197" t="inlineStr">
        <is>
          <t>R0226379</t>
        </is>
      </c>
      <c r="D197" t="inlineStr">
        <is>
          <t>26100 E 68th Ave</t>
        </is>
      </c>
      <c r="E197" t="inlineStr">
        <is>
          <t>Aurora</t>
        </is>
      </c>
      <c r="F197" t="inlineStr">
        <is>
          <t>CO</t>
        </is>
      </c>
      <c r="G197" t="inlineStr">
        <is>
          <t>Industrial</t>
        </is>
      </c>
      <c r="H197"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row>
  </sheetData>
  <mergeCells count="2">
    <mergeCell ref="A2:AH2"/>
    <mergeCell ref="A1:AH1"/>
  </mergeCells>
  <pageMargins left="0.75" right="0.75" top="1" bottom="1" header="0.5" footer="0.5"/>
</worksheet>
</file>

<file path=xl/worksheets/sheet17.xml><?xml version="1.0" encoding="utf-8"?>
<worksheet xmlns="http://schemas.openxmlformats.org/spreadsheetml/2006/main">
  <sheetPr>
    <tabColor rgb="007030A0"/>
    <outlinePr summaryBelow="1" summaryRight="1"/>
    <pageSetUpPr/>
  </sheetPr>
  <dimension ref="A1:AM19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12" customWidth="1" min="12" max="12"/>
    <col width="9" customWidth="1" min="13" max="13"/>
    <col width="11.28515625" customWidth="1" min="14" max="14"/>
    <col width="9" customWidth="1" min="15" max="15"/>
    <col width="45" customWidth="1" min="39" max="39"/>
  </cols>
  <sheetData>
    <row r="1" ht="20.1" customHeight="1">
      <c r="A1" s="715" t="inlineStr">
        <is>
          <t>COMMERCIAL PROPERTY EXPENSE DATABASE - PSF SUMMARY  ($/SF)</t>
        </is>
      </c>
    </row>
    <row r="2" ht="14.1" customHeight="1">
      <c r="A2" s="716" t="inlineStr">
        <is>
          <t>Figures in $/SF of building area  |  Rows with no BldgSF show raw dollar amounts flagged [NO SF]  |  Text/ID fields copied from Expense Database</t>
        </is>
      </c>
    </row>
    <row r="3" ht="32.1" customHeight="1">
      <c r="A3" s="717" t="inlineStr">
        <is>
          <t>Prop ID</t>
        </is>
      </c>
      <c r="B3" s="693" t="inlineStr">
        <is>
          <t>Occ Code</t>
        </is>
      </c>
      <c r="C3" s="717" t="inlineStr">
        <is>
          <t>Account #</t>
        </is>
      </c>
      <c r="D3" s="717" t="inlineStr">
        <is>
          <t>Address</t>
        </is>
      </c>
      <c r="E3" s="717" t="inlineStr">
        <is>
          <t>City</t>
        </is>
      </c>
      <c r="F3" s="717" t="inlineStr">
        <is>
          <t>State</t>
        </is>
      </c>
      <c r="G3" s="717" t="inlineStr">
        <is>
          <t>Prop Type</t>
        </is>
      </c>
      <c r="H3" s="717" t="inlineStr">
        <is>
          <t>Subtype</t>
        </is>
      </c>
      <c r="I3" s="717" t="inlineStr">
        <is>
          <t>Year Built</t>
        </is>
      </c>
      <c r="J3" s="717" t="inlineStr">
        <is>
          <t>Bldg SF</t>
        </is>
      </c>
      <c r="K3" s="717" t="inlineStr">
        <is>
          <t>Year</t>
        </is>
      </c>
      <c r="L3" s="717" t="inlineStr">
        <is>
          <t>Gross Rental Income</t>
        </is>
      </c>
      <c r="M3" s="717" t="inlineStr">
        <is>
          <t>Other Income</t>
        </is>
      </c>
      <c r="N3" s="717" t="inlineStr">
        <is>
          <t>EGI</t>
        </is>
      </c>
      <c r="O3" s="717" t="inlineStr">
        <is>
          <t>Insurance</t>
        </is>
      </c>
      <c r="P3" s="717" t="inlineStr">
        <is>
          <t>Mgmt/Admin</t>
        </is>
      </c>
      <c r="Q3" s="717" t="inlineStr">
        <is>
          <t>Plumbing R&amp;M</t>
        </is>
      </c>
      <c r="R3" s="717" t="inlineStr">
        <is>
          <t>Electrical R&amp;M</t>
        </is>
      </c>
      <c r="S3" s="717" t="inlineStr">
        <is>
          <t>Exterior R&amp;M</t>
        </is>
      </c>
      <c r="T3" s="717" t="inlineStr">
        <is>
          <t>Fire/Life Safety R&amp;M</t>
        </is>
      </c>
      <c r="U3" s="717" t="inlineStr">
        <is>
          <t>HVAC R&amp;M</t>
        </is>
      </c>
      <c r="V3" s="717" t="inlineStr">
        <is>
          <t>Interior Unit R&amp;M</t>
        </is>
      </c>
      <c r="W3" s="717" t="inlineStr">
        <is>
          <t>Interior Common R&amp;M</t>
        </is>
      </c>
      <c r="X3" s="717" t="inlineStr">
        <is>
          <t>General Maint &amp; Repairs</t>
        </is>
      </c>
      <c r="Y3" s="717" t="inlineStr">
        <is>
          <t>Total R&amp;M</t>
        </is>
      </c>
      <c r="Z3" s="717" t="inlineStr">
        <is>
          <t>Trash</t>
        </is>
      </c>
      <c r="AA3" s="717" t="inlineStr">
        <is>
          <t>Landscape</t>
        </is>
      </c>
      <c r="AB3" s="717" t="inlineStr">
        <is>
          <t>Snow Removal</t>
        </is>
      </c>
      <c r="AC3" s="717" t="inlineStr">
        <is>
          <t>Total Contract Svcs</t>
        </is>
      </c>
      <c r="AD3" s="717" t="inlineStr">
        <is>
          <t>Water &amp; Sewer</t>
        </is>
      </c>
      <c r="AE3" s="717" t="inlineStr">
        <is>
          <t>Electric</t>
        </is>
      </c>
      <c r="AF3" s="717" t="inlineStr">
        <is>
          <t>Total Utilities</t>
        </is>
      </c>
      <c r="AG3" s="717" t="inlineStr">
        <is>
          <t>Other/Admin (Misc)</t>
        </is>
      </c>
      <c r="AH3" s="717" t="inlineStr">
        <is>
          <t>Total OPX excl RE Taxes</t>
        </is>
      </c>
      <c r="AI3" s="717" t="inlineStr">
        <is>
          <t>Real Estate Taxes</t>
        </is>
      </c>
      <c r="AJ3" s="717" t="inlineStr">
        <is>
          <t>Total OPX incl RE Taxes</t>
        </is>
      </c>
      <c r="AK3" s="717" t="inlineStr">
        <is>
          <t>NOI</t>
        </is>
      </c>
      <c r="AL3" s="717" t="inlineStr">
        <is>
          <t>CapEx (non-op)</t>
        </is>
      </c>
      <c r="AM3" s="717" t="inlineStr">
        <is>
          <t>Notes</t>
        </is>
      </c>
    </row>
    <row r="4" ht="14.1" customHeight="1">
      <c r="A4" s="718" t="inlineStr">
        <is>
          <t>P001</t>
        </is>
      </c>
      <c r="B4" s="695" t="n">
        <v>407</v>
      </c>
      <c r="C4" s="718" t="inlineStr">
        <is>
          <t>R0157664</t>
        </is>
      </c>
      <c r="D4" s="718" t="inlineStr">
        <is>
          <t>6045 E. 76th Avenue</t>
        </is>
      </c>
      <c r="E4" s="718" t="inlineStr">
        <is>
          <t>Commerce City</t>
        </is>
      </c>
      <c r="F4" s="718" t="inlineStr">
        <is>
          <t>CO</t>
        </is>
      </c>
      <c r="G4" s="718" t="inlineStr">
        <is>
          <t>Light Industrial</t>
        </is>
      </c>
      <c r="H4" s="718" t="inlineStr">
        <is>
          <t>Distribution Warehouse</t>
        </is>
      </c>
      <c r="I4" s="719" t="n">
        <v>1988</v>
      </c>
      <c r="J4" s="719" t="n">
        <v>21000</v>
      </c>
      <c r="K4" s="719" t="n">
        <v>2021</v>
      </c>
      <c r="L4" s="720" t="n">
        <v>13.465</v>
      </c>
      <c r="M4" s="720" t="n">
        <v>0.3034</v>
      </c>
      <c r="N4" s="720" t="n">
        <v>13.7684</v>
      </c>
      <c r="O4" s="720" t="n">
        <v>0.233</v>
      </c>
      <c r="P4" s="720" t="n">
        <v>0</v>
      </c>
      <c r="Q4" s="720" t="n">
        <v>0.0545</v>
      </c>
      <c r="R4" s="720" t="n">
        <v>0</v>
      </c>
      <c r="S4" s="720" t="n">
        <v>0.0095</v>
      </c>
      <c r="T4" s="720" t="n">
        <v>0</v>
      </c>
      <c r="U4" s="720" t="n">
        <v>0.0133</v>
      </c>
      <c r="V4" s="720" t="n">
        <v>0.0403</v>
      </c>
      <c r="W4" s="720" t="n">
        <v>0.1392</v>
      </c>
      <c r="X4" s="720" t="n">
        <v>0</v>
      </c>
      <c r="Y4" s="720" t="n">
        <v>0.2567</v>
      </c>
      <c r="Z4" s="720" t="n">
        <v>0.3195</v>
      </c>
      <c r="AA4" s="720" t="n">
        <v>0.1845</v>
      </c>
      <c r="AB4" s="720" t="n">
        <v>0.0414</v>
      </c>
      <c r="AC4" s="720" t="n">
        <v>0.5455</v>
      </c>
      <c r="AD4" s="720" t="n">
        <v>0.1593</v>
      </c>
      <c r="AE4" s="720" t="n">
        <v>0.0309</v>
      </c>
      <c r="AF4" s="720" t="n">
        <v>0.1901</v>
      </c>
      <c r="AG4" s="720" t="n">
        <v>0.0363</v>
      </c>
      <c r="AH4" s="720" t="n">
        <v>1.2626</v>
      </c>
      <c r="AI4" s="720" t="n">
        <v>2.2983</v>
      </c>
      <c r="AJ4" s="720" t="n">
        <v>3.5609</v>
      </c>
      <c r="AK4" s="720" t="n">
        <v>10.2075</v>
      </c>
      <c r="AL4" s="720" t="n">
        <v>0.1258</v>
      </c>
      <c r="AM4" s="721" t="inlineStr">
        <is>
          <t>2021: other income = damages $2,392 + misc $3,863 + interest $117</t>
        </is>
      </c>
    </row>
    <row r="5" ht="14.1" customHeight="1">
      <c r="A5" s="696" t="inlineStr">
        <is>
          <t>P001</t>
        </is>
      </c>
      <c r="B5" s="695" t="n">
        <v>407</v>
      </c>
      <c r="C5" s="696" t="inlineStr">
        <is>
          <t>R0157664</t>
        </is>
      </c>
      <c r="D5" s="696" t="inlineStr">
        <is>
          <t>6045 E. 76th Avenue</t>
        </is>
      </c>
      <c r="E5" s="696" t="inlineStr">
        <is>
          <t>Commerce City</t>
        </is>
      </c>
      <c r="F5" s="696" t="inlineStr">
        <is>
          <t>CO</t>
        </is>
      </c>
      <c r="G5" s="696" t="inlineStr">
        <is>
          <t>Light Industrial</t>
        </is>
      </c>
      <c r="H5" s="696"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724" t="inlineStr">
        <is>
          <t>2022: other income = damages $500 + misc $2,500; CapEx unit interior</t>
        </is>
      </c>
    </row>
    <row r="6" ht="14.1" customHeight="1">
      <c r="A6" s="718" t="inlineStr">
        <is>
          <t>P001</t>
        </is>
      </c>
      <c r="B6" s="695" t="n">
        <v>407</v>
      </c>
      <c r="C6" s="718" t="inlineStr">
        <is>
          <t>R0157664</t>
        </is>
      </c>
      <c r="D6" s="718" t="inlineStr">
        <is>
          <t>6045 E. 76th Avenue</t>
        </is>
      </c>
      <c r="E6" s="718" t="inlineStr">
        <is>
          <t>Commerce City</t>
        </is>
      </c>
      <c r="F6" s="718" t="inlineStr">
        <is>
          <t>CO</t>
        </is>
      </c>
      <c r="G6" s="718" t="inlineStr">
        <is>
          <t>Light Industrial</t>
        </is>
      </c>
      <c r="H6" s="718" t="inlineStr">
        <is>
          <t>Distribution Warehouse</t>
        </is>
      </c>
      <c r="I6" s="719" t="n">
        <v>1988</v>
      </c>
      <c r="J6" s="719" t="n">
        <v>21000</v>
      </c>
      <c r="K6" s="719" t="n">
        <v>2023</v>
      </c>
      <c r="L6" s="720" t="n">
        <v>12.2</v>
      </c>
      <c r="M6" s="720" t="n">
        <v>0</v>
      </c>
      <c r="N6" s="720" t="n">
        <v>12.2</v>
      </c>
      <c r="O6" s="720" t="n">
        <v>0.2794</v>
      </c>
      <c r="P6" s="720" t="n">
        <v>0.0381</v>
      </c>
      <c r="Q6" s="720" t="n">
        <v>0.0521</v>
      </c>
      <c r="R6" s="720" t="n">
        <v>0.0471</v>
      </c>
      <c r="S6" s="720" t="n">
        <v>0</v>
      </c>
      <c r="T6" s="720" t="n">
        <v>0.1843</v>
      </c>
      <c r="U6" s="720" t="n">
        <v>0.0229</v>
      </c>
      <c r="V6" s="720" t="n">
        <v>0.0294</v>
      </c>
      <c r="W6" s="720" t="n">
        <v>0</v>
      </c>
      <c r="X6" s="720" t="n">
        <v>0.0229</v>
      </c>
      <c r="Y6" s="720" t="n">
        <v>0.3587</v>
      </c>
      <c r="Z6" s="720" t="n">
        <v>0.4553</v>
      </c>
      <c r="AA6" s="720" t="n">
        <v>0.1048</v>
      </c>
      <c r="AB6" s="720" t="n">
        <v>0.1333</v>
      </c>
      <c r="AC6" s="720" t="n">
        <v>0.6934</v>
      </c>
      <c r="AD6" s="720" t="n">
        <v>0.3387</v>
      </c>
      <c r="AE6" s="720" t="n">
        <v>0.0362</v>
      </c>
      <c r="AF6" s="720" t="n">
        <v>0.3749</v>
      </c>
      <c r="AG6" s="720" t="n">
        <v>0.0285</v>
      </c>
      <c r="AH6" s="720" t="n">
        <v>1.5216</v>
      </c>
      <c r="AI6" s="720" t="n">
        <v>2.8565</v>
      </c>
      <c r="AJ6" s="720" t="n">
        <v>4.378</v>
      </c>
      <c r="AK6" s="720" t="n">
        <v>7.822</v>
      </c>
      <c r="AL6" s="720" t="n">
        <v>0</v>
      </c>
      <c r="AM6" s="721" t="n"/>
    </row>
    <row r="7" ht="14.1" customHeight="1">
      <c r="A7" s="696" t="inlineStr">
        <is>
          <t>P001</t>
        </is>
      </c>
      <c r="B7" s="695" t="n">
        <v>407</v>
      </c>
      <c r="C7" s="696" t="inlineStr">
        <is>
          <t>R0157664</t>
        </is>
      </c>
      <c r="D7" s="696" t="inlineStr">
        <is>
          <t>6045 E. 76th Avenue</t>
        </is>
      </c>
      <c r="E7" s="696" t="inlineStr">
        <is>
          <t>Commerce City</t>
        </is>
      </c>
      <c r="F7" s="696" t="inlineStr">
        <is>
          <t>CO</t>
        </is>
      </c>
      <c r="G7" s="696" t="inlineStr">
        <is>
          <t>Light Industrial</t>
        </is>
      </c>
      <c r="H7" s="696"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725" t="inlineStr">
        <is>
          <t>P002</t>
        </is>
      </c>
      <c r="B8" s="695" t="n">
        <v>344</v>
      </c>
      <c r="C8" s="725" t="inlineStr">
        <is>
          <t>Unknown</t>
        </is>
      </c>
      <c r="D8" s="725" t="inlineStr">
        <is>
          <t>13659 E. 104th Ave</t>
        </is>
      </c>
      <c r="E8" s="725" t="inlineStr">
        <is>
          <t>Adams County</t>
        </is>
      </c>
      <c r="F8" s="725" t="inlineStr">
        <is>
          <t>CO</t>
        </is>
      </c>
      <c r="G8" s="725" t="inlineStr">
        <is>
          <t>Office/Commercial</t>
        </is>
      </c>
      <c r="H8" s="725" t="inlineStr">
        <is>
          <t>Multi-tenant</t>
        </is>
      </c>
      <c r="I8" s="726" t="n"/>
      <c r="J8" s="726" t="n"/>
      <c r="K8" s="726" t="n">
        <v>2023</v>
      </c>
      <c r="L8" s="725" t="n"/>
      <c r="M8" s="725" t="n"/>
      <c r="N8" s="727" t="n">
        <v>258808</v>
      </c>
      <c r="O8" s="727" t="n">
        <v>3292</v>
      </c>
      <c r="P8" s="727" t="n">
        <v>18539</v>
      </c>
      <c r="Q8" s="725" t="n"/>
      <c r="R8" s="725" t="n"/>
      <c r="S8" s="725" t="n"/>
      <c r="T8" s="725" t="n"/>
      <c r="U8" s="725" t="n"/>
      <c r="V8" s="725" t="n"/>
      <c r="W8" s="725" t="n"/>
      <c r="X8" s="727" t="n">
        <v>24750</v>
      </c>
      <c r="Y8" s="727" t="n">
        <v>24750</v>
      </c>
      <c r="Z8" s="725" t="n"/>
      <c r="AA8" s="727" t="n">
        <v>13331</v>
      </c>
      <c r="AB8" s="725" t="n"/>
      <c r="AC8" s="727" t="n">
        <v>13331</v>
      </c>
      <c r="AD8" s="725" t="n"/>
      <c r="AE8" s="725" t="n"/>
      <c r="AF8" s="727" t="n">
        <v>3990</v>
      </c>
      <c r="AG8" s="727" t="n">
        <v>11264</v>
      </c>
      <c r="AH8" s="727" t="n">
        <v>75327</v>
      </c>
      <c r="AI8" s="727" t="n">
        <v>51707</v>
      </c>
      <c r="AJ8" s="727" t="n">
        <v>127034</v>
      </c>
      <c r="AK8" s="727" t="n">
        <v>131774</v>
      </c>
      <c r="AL8" s="725" t="n"/>
      <c r="AM8" s="728" t="inlineStr">
        <is>
          <t>[NO SF] Insurance: $3,292; Mgmt fee $13,242 + asset mgmt $5,297; Professional svcs $11,264; actuals from BAA operating statement</t>
        </is>
      </c>
    </row>
    <row r="9" ht="14.1" customHeight="1">
      <c r="A9" s="725" t="inlineStr">
        <is>
          <t>P002</t>
        </is>
      </c>
      <c r="B9" s="695" t="n">
        <v>344</v>
      </c>
      <c r="C9" s="725" t="inlineStr">
        <is>
          <t>Unknown</t>
        </is>
      </c>
      <c r="D9" s="725" t="inlineStr">
        <is>
          <t>13659 E. 104th Ave</t>
        </is>
      </c>
      <c r="E9" s="725" t="inlineStr">
        <is>
          <t>Adams County</t>
        </is>
      </c>
      <c r="F9" s="725" t="inlineStr">
        <is>
          <t>CO</t>
        </is>
      </c>
      <c r="G9" s="725" t="inlineStr">
        <is>
          <t>Office/Commercial</t>
        </is>
      </c>
      <c r="H9" s="725" t="inlineStr">
        <is>
          <t>Multi-tenant</t>
        </is>
      </c>
      <c r="I9" s="726" t="n"/>
      <c r="J9" s="726" t="n"/>
      <c r="K9" s="726" t="n">
        <v>2024</v>
      </c>
      <c r="L9" s="725" t="n"/>
      <c r="M9" s="725" t="n"/>
      <c r="N9" s="727" t="n">
        <v>264959</v>
      </c>
      <c r="O9" s="727" t="n">
        <v>7442</v>
      </c>
      <c r="P9" s="727" t="n">
        <v>18228</v>
      </c>
      <c r="Q9" s="725" t="n"/>
      <c r="R9" s="725" t="n"/>
      <c r="S9" s="725" t="n"/>
      <c r="T9" s="725" t="n"/>
      <c r="U9" s="725" t="n"/>
      <c r="V9" s="725" t="n"/>
      <c r="W9" s="725" t="n"/>
      <c r="X9" s="727" t="n">
        <v>37394</v>
      </c>
      <c r="Y9" s="727" t="n">
        <v>37394</v>
      </c>
      <c r="Z9" s="725" t="n"/>
      <c r="AA9" s="727" t="n">
        <v>11888</v>
      </c>
      <c r="AB9" s="725" t="n"/>
      <c r="AC9" s="727" t="n">
        <v>11888</v>
      </c>
      <c r="AD9" s="725" t="n"/>
      <c r="AE9" s="725" t="n"/>
      <c r="AF9" s="727" t="n">
        <v>5290</v>
      </c>
      <c r="AG9" s="727" t="n">
        <v>13341</v>
      </c>
      <c r="AH9" s="727" t="n">
        <v>93583</v>
      </c>
      <c r="AI9" s="727" t="n">
        <v>44649</v>
      </c>
      <c r="AJ9" s="727" t="n">
        <v>138232</v>
      </c>
      <c r="AK9" s="727" t="n">
        <v>126727</v>
      </c>
      <c r="AL9" s="725" t="n"/>
      <c r="AM9" s="728" t="inlineStr">
        <is>
          <t>[NO SF] Insurance $7,442; Mgmt fee $13,020 + asset mgmt $5,208; Prof svcs $13,341; Utilities: gas/elec $1,091 + water/sewer $4,199</t>
        </is>
      </c>
    </row>
    <row r="10" ht="14.1" customHeight="1">
      <c r="A10" s="725" t="inlineStr">
        <is>
          <t>P003</t>
        </is>
      </c>
      <c r="B10" s="695" t="n">
        <v>344</v>
      </c>
      <c r="C10" s="725" t="inlineStr">
        <is>
          <t>R0024063</t>
        </is>
      </c>
      <c r="D10" s="725" t="inlineStr">
        <is>
          <t>Park Centre - Wells Fargo Bldg</t>
        </is>
      </c>
      <c r="E10" s="725" t="inlineStr">
        <is>
          <t>Westminster</t>
        </is>
      </c>
      <c r="F10" s="725" t="inlineStr">
        <is>
          <t>CO</t>
        </is>
      </c>
      <c r="G10" s="725" t="inlineStr">
        <is>
          <t>Office</t>
        </is>
      </c>
      <c r="H10" s="725" t="inlineStr">
        <is>
          <t>Class B Multi-tenant</t>
        </is>
      </c>
      <c r="I10" s="726" t="n"/>
      <c r="J10" s="726" t="n">
        <v>49479</v>
      </c>
      <c r="K10" s="726" t="n">
        <v>2023</v>
      </c>
      <c r="L10" s="729" t="n">
        <v>20.5729</v>
      </c>
      <c r="M10" s="729" t="n">
        <v>1.8912</v>
      </c>
      <c r="N10" s="729" t="n">
        <v>22.4641</v>
      </c>
      <c r="O10" s="725" t="n"/>
      <c r="P10" s="725" t="n"/>
      <c r="Q10" s="725" t="n"/>
      <c r="R10" s="725" t="n"/>
      <c r="S10" s="725" t="n"/>
      <c r="T10" s="725" t="n"/>
      <c r="U10" s="725" t="n"/>
      <c r="V10" s="725" t="n"/>
      <c r="W10" s="725" t="n"/>
      <c r="X10" s="725" t="n"/>
      <c r="Y10" s="725" t="n"/>
      <c r="Z10" s="725" t="n"/>
      <c r="AA10" s="725" t="n"/>
      <c r="AB10" s="725" t="n"/>
      <c r="AC10" s="725" t="n"/>
      <c r="AD10" s="725" t="n"/>
      <c r="AE10" s="725" t="n"/>
      <c r="AF10" s="725" t="n"/>
      <c r="AG10" s="725" t="n"/>
      <c r="AH10" s="729" t="n">
        <v>9.165100000000001</v>
      </c>
      <c r="AI10" s="729" t="n">
        <v>3.7364</v>
      </c>
      <c r="AJ10" s="729" t="n">
        <v>12.9015</v>
      </c>
      <c r="AK10" s="729" t="n">
        <v>9.5626</v>
      </c>
      <c r="AL10" s="725" t="n"/>
      <c r="AM10" s="728" t="inlineStr">
        <is>
          <t>Westfield managed; recoveries $49,658 + other $43,917 = $93,575; OpEx BT per PROFORMA REVISED.xlsx</t>
        </is>
      </c>
    </row>
    <row r="11" ht="14.1" customHeight="1">
      <c r="A11" s="725" t="inlineStr">
        <is>
          <t>P003</t>
        </is>
      </c>
      <c r="B11" s="695" t="n">
        <v>344</v>
      </c>
      <c r="C11" s="725" t="inlineStr">
        <is>
          <t>R0024063</t>
        </is>
      </c>
      <c r="D11" s="725" t="inlineStr">
        <is>
          <t>Park Centre - Wells Fargo Bldg</t>
        </is>
      </c>
      <c r="E11" s="725" t="inlineStr">
        <is>
          <t>Westminster</t>
        </is>
      </c>
      <c r="F11" s="725" t="inlineStr">
        <is>
          <t>CO</t>
        </is>
      </c>
      <c r="G11" s="725" t="inlineStr">
        <is>
          <t>Office</t>
        </is>
      </c>
      <c r="H11" s="725" t="inlineStr">
        <is>
          <t>Class B Multi-tenant</t>
        </is>
      </c>
      <c r="I11" s="726" t="n"/>
      <c r="J11" s="726" t="n">
        <v>49479</v>
      </c>
      <c r="K11" s="726" t="n">
        <v>2024</v>
      </c>
      <c r="L11" s="729" t="n">
        <v>19.0796</v>
      </c>
      <c r="M11" s="729" t="n">
        <v>1.5757</v>
      </c>
      <c r="N11" s="729" t="n">
        <v>20.6553</v>
      </c>
      <c r="O11" s="725" t="n"/>
      <c r="P11" s="725" t="n"/>
      <c r="Q11" s="725" t="n"/>
      <c r="R11" s="725" t="n"/>
      <c r="S11" s="725" t="n"/>
      <c r="T11" s="725" t="n"/>
      <c r="U11" s="725" t="n"/>
      <c r="V11" s="725" t="n"/>
      <c r="W11" s="725" t="n"/>
      <c r="X11" s="725" t="n"/>
      <c r="Y11" s="725" t="n"/>
      <c r="Z11" s="725" t="n"/>
      <c r="AA11" s="725" t="n"/>
      <c r="AB11" s="725" t="n"/>
      <c r="AC11" s="725" t="n"/>
      <c r="AD11" s="725" t="n"/>
      <c r="AE11" s="725" t="n"/>
      <c r="AF11" s="725" t="n"/>
      <c r="AG11" s="725" t="n"/>
      <c r="AH11" s="729" t="n">
        <v>9.867599999999999</v>
      </c>
      <c r="AI11" s="729" t="n">
        <v>3.6292</v>
      </c>
      <c r="AJ11" s="729" t="n">
        <v>13.4968</v>
      </c>
      <c r="AK11" s="729" t="n">
        <v>7.1585</v>
      </c>
      <c r="AL11" s="725" t="n"/>
      <c r="AM11" s="728" t="inlineStr">
        <is>
          <t>Recoveries $21,696 + other $56,266; OpEx BT per PROFORMA REVISED.xlsx; NOI decline reflects higher vacancy</t>
        </is>
      </c>
    </row>
    <row r="12" ht="14.1" customHeight="1">
      <c r="A12" s="718" t="inlineStr">
        <is>
          <t>P004</t>
        </is>
      </c>
      <c r="B12" s="695" t="n">
        <v>412</v>
      </c>
      <c r="C12" s="718" t="inlineStr">
        <is>
          <t>R0050221</t>
        </is>
      </c>
      <c r="D12" s="718" t="inlineStr">
        <is>
          <t>8860 Federal Blvd</t>
        </is>
      </c>
      <c r="E12" s="718" t="inlineStr">
        <is>
          <t>Adams County</t>
        </is>
      </c>
      <c r="F12" s="718" t="inlineStr">
        <is>
          <t>CO</t>
        </is>
      </c>
      <c r="G12" s="718" t="inlineStr">
        <is>
          <t>Retail</t>
        </is>
      </c>
      <c r="H12" s="718" t="inlineStr">
        <is>
          <t>Strip/Multi-tenant</t>
        </is>
      </c>
      <c r="I12" s="719" t="n"/>
      <c r="J12" s="719" t="n">
        <v>65850</v>
      </c>
      <c r="K12" s="719" t="n">
        <v>2023</v>
      </c>
      <c r="L12" s="718" t="n"/>
      <c r="M12" s="718" t="n"/>
      <c r="N12" s="720" t="n">
        <v>8.6678</v>
      </c>
      <c r="O12" s="718" t="n"/>
      <c r="P12" s="718" t="n"/>
      <c r="Q12" s="718" t="n"/>
      <c r="R12" s="718" t="n"/>
      <c r="S12" s="718" t="n"/>
      <c r="T12" s="718" t="n"/>
      <c r="U12" s="718" t="n"/>
      <c r="V12" s="718" t="n"/>
      <c r="W12" s="718" t="n"/>
      <c r="X12" s="718" t="n"/>
      <c r="Y12" s="718" t="n"/>
      <c r="Z12" s="718" t="n"/>
      <c r="AA12" s="718" t="n"/>
      <c r="AB12" s="718" t="n"/>
      <c r="AC12" s="718" t="n"/>
      <c r="AD12" s="718" t="n"/>
      <c r="AE12" s="718" t="n"/>
      <c r="AF12" s="718" t="n"/>
      <c r="AG12" s="718" t="n"/>
      <c r="AH12" s="718" t="n"/>
      <c r="AI12" s="720" t="n">
        <v>1.1238</v>
      </c>
      <c r="AJ12" s="720" t="n">
        <v>4.0992</v>
      </c>
      <c r="AK12" s="720" t="n">
        <v>4.5686</v>
      </c>
      <c r="AL12" s="718" t="n"/>
      <c r="AM12" s="721" t="inlineStr">
        <is>
          <t>RE Tax estimated ~$74k (2023 not detailed); Total OpEx per actuals submission; NOI confirmed</t>
        </is>
      </c>
    </row>
    <row r="13" ht="14.1" customHeight="1">
      <c r="A13" s="696" t="inlineStr">
        <is>
          <t>P004</t>
        </is>
      </c>
      <c r="B13" s="695" t="n">
        <v>412</v>
      </c>
      <c r="C13" s="696" t="inlineStr">
        <is>
          <t>R0050221</t>
        </is>
      </c>
      <c r="D13" s="696" t="inlineStr">
        <is>
          <t>8860 Federal Blvd</t>
        </is>
      </c>
      <c r="E13" s="696" t="inlineStr">
        <is>
          <t>Adams County</t>
        </is>
      </c>
      <c r="F13" s="696" t="inlineStr">
        <is>
          <t>CO</t>
        </is>
      </c>
      <c r="G13" s="696" t="inlineStr">
        <is>
          <t>Retail</t>
        </is>
      </c>
      <c r="H13" s="696"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724" t="inlineStr">
        <is>
          <t>Detailed 2024 actuals; R&amp;M includes CAM component $261; insurance unusually high at $51,223; drainage/lighting included in Other</t>
        </is>
      </c>
    </row>
    <row r="14" ht="14.1" customHeight="1">
      <c r="A14" s="725" t="inlineStr">
        <is>
          <t>P005</t>
        </is>
      </c>
      <c r="B14" s="695" t="n">
        <v>344</v>
      </c>
      <c r="C14" s="725" t="inlineStr">
        <is>
          <t>R0050977</t>
        </is>
      </c>
      <c r="D14" s="725" t="inlineStr">
        <is>
          <t>9351 Grant St (Horizon Terrace)</t>
        </is>
      </c>
      <c r="E14" s="725" t="inlineStr">
        <is>
          <t>Thornton</t>
        </is>
      </c>
      <c r="F14" s="725" t="inlineStr">
        <is>
          <t>CO</t>
        </is>
      </c>
      <c r="G14" s="725" t="inlineStr">
        <is>
          <t>Office</t>
        </is>
      </c>
      <c r="H14" s="725" t="inlineStr">
        <is>
          <t>Class B Multi-story</t>
        </is>
      </c>
      <c r="I14" s="726" t="n"/>
      <c r="J14" s="726" t="n">
        <v>91646</v>
      </c>
      <c r="K14" s="726" t="n">
        <v>2023</v>
      </c>
      <c r="L14" s="729" t="n">
        <v>21.9536</v>
      </c>
      <c r="M14" s="729" t="n">
        <v>2.4799</v>
      </c>
      <c r="N14" s="729" t="n">
        <v>24.4335</v>
      </c>
      <c r="O14" s="729" t="n">
        <v>0.2665</v>
      </c>
      <c r="P14" s="729" t="n">
        <v>1.4405</v>
      </c>
      <c r="Q14" s="725" t="n"/>
      <c r="R14" s="725" t="n"/>
      <c r="S14" s="725" t="n"/>
      <c r="T14" s="725" t="n"/>
      <c r="U14" s="725" t="n"/>
      <c r="V14" s="725" t="n"/>
      <c r="W14" s="725" t="n"/>
      <c r="X14" s="729" t="n">
        <v>1.5772</v>
      </c>
      <c r="Y14" s="729" t="n">
        <v>1.5772</v>
      </c>
      <c r="Z14" s="725" t="n"/>
      <c r="AA14" s="729" t="n">
        <v>1.1869</v>
      </c>
      <c r="AB14" s="729" t="n">
        <v>0.7112000000000001</v>
      </c>
      <c r="AC14" s="729" t="n">
        <v>2.9825</v>
      </c>
      <c r="AD14" s="729" t="n">
        <v>0.1611</v>
      </c>
      <c r="AE14" s="729" t="n">
        <v>2.4615</v>
      </c>
      <c r="AF14" s="729" t="n">
        <v>2.6226</v>
      </c>
      <c r="AG14" s="729" t="n">
        <v>0.3593</v>
      </c>
      <c r="AH14" s="729" t="n">
        <v>9.229100000000001</v>
      </c>
      <c r="AI14" s="729" t="n">
        <v>4.0592</v>
      </c>
      <c r="AJ14" s="729" t="n">
        <v>13.2884</v>
      </c>
      <c r="AK14" s="729" t="n">
        <v>11.1451</v>
      </c>
      <c r="AL14" s="725" t="n"/>
      <c r="AM14" s="728" t="inlineStr">
        <is>
          <t>Full-service office: janitorial $164,559 in contract total; security/life safety $29,726 in Other; landscape incl snow $65,183; 2023 actuals confirmed</t>
        </is>
      </c>
    </row>
    <row r="15" ht="14.1" customHeight="1">
      <c r="A15" s="725" t="inlineStr">
        <is>
          <t>P005</t>
        </is>
      </c>
      <c r="B15" s="695" t="n">
        <v>344</v>
      </c>
      <c r="C15" s="725" t="inlineStr">
        <is>
          <t>R0050977</t>
        </is>
      </c>
      <c r="D15" s="725" t="inlineStr">
        <is>
          <t>9351 Grant St (Horizon Terrace)</t>
        </is>
      </c>
      <c r="E15" s="725" t="inlineStr">
        <is>
          <t>Thornton</t>
        </is>
      </c>
      <c r="F15" s="725" t="inlineStr">
        <is>
          <t>CO</t>
        </is>
      </c>
      <c r="G15" s="725" t="inlineStr">
        <is>
          <t>Office</t>
        </is>
      </c>
      <c r="H15" s="725" t="inlineStr">
        <is>
          <t>Class B Multi-story</t>
        </is>
      </c>
      <c r="I15" s="726" t="n"/>
      <c r="J15" s="726" t="n">
        <v>91646</v>
      </c>
      <c r="K15" s="726" t="n">
        <v>2024</v>
      </c>
      <c r="L15" s="729" t="n">
        <v>22.3966</v>
      </c>
      <c r="M15" s="729" t="n">
        <v>2.9417</v>
      </c>
      <c r="N15" s="729" t="n">
        <v>25.3383</v>
      </c>
      <c r="O15" s="729" t="n">
        <v>0.2648</v>
      </c>
      <c r="P15" s="729" t="n">
        <v>1.6305</v>
      </c>
      <c r="Q15" s="725" t="n"/>
      <c r="R15" s="725" t="n"/>
      <c r="S15" s="725" t="n"/>
      <c r="T15" s="725" t="n"/>
      <c r="U15" s="725" t="n"/>
      <c r="V15" s="725" t="n"/>
      <c r="W15" s="725" t="n"/>
      <c r="X15" s="729" t="n">
        <v>1.6418</v>
      </c>
      <c r="Y15" s="729" t="n">
        <v>1.6418</v>
      </c>
      <c r="Z15" s="725" t="n"/>
      <c r="AA15" s="729" t="n">
        <v>1.1913</v>
      </c>
      <c r="AB15" s="725" t="n"/>
      <c r="AC15" s="729" t="n">
        <v>2.8658</v>
      </c>
      <c r="AD15" s="725" t="n"/>
      <c r="AE15" s="725" t="n"/>
      <c r="AF15" s="729" t="n">
        <v>2.5334</v>
      </c>
      <c r="AG15" s="729" t="n">
        <v>0.4083</v>
      </c>
      <c r="AH15" s="729" t="n">
        <v>9.3445</v>
      </c>
      <c r="AI15" s="729" t="n">
        <v>4.5128</v>
      </c>
      <c r="AJ15" s="729" t="n">
        <v>13.8574</v>
      </c>
      <c r="AK15" s="729" t="n">
        <v>11.4809</v>
      </c>
      <c r="AL15" s="725" t="n"/>
      <c r="AM15" s="728" t="inlineStr">
        <is>
          <t>2024 actuals; janitorial $153,462 in contract total; security $32,603 in Other; sales/use tax $4,813 in Other</t>
        </is>
      </c>
    </row>
    <row r="16" ht="14.1" customHeight="1">
      <c r="A16" s="725" t="inlineStr">
        <is>
          <t>P006</t>
        </is>
      </c>
      <c r="B16" s="695" t="n">
        <v>210</v>
      </c>
      <c r="C16" s="725" t="inlineStr">
        <is>
          <t>R0062937</t>
        </is>
      </c>
      <c r="D16" s="725" t="inlineStr">
        <is>
          <t>8670 Wolff Ct (Sheridan Park 8)</t>
        </is>
      </c>
      <c r="E16" s="725" t="inlineStr">
        <is>
          <t>Westminster</t>
        </is>
      </c>
      <c r="F16" s="725" t="inlineStr">
        <is>
          <t>CO</t>
        </is>
      </c>
      <c r="G16" s="725" t="inlineStr">
        <is>
          <t>Office/Flex</t>
        </is>
      </c>
      <c r="H16" s="725" t="inlineStr">
        <is>
          <t>Multi-tenant</t>
        </is>
      </c>
      <c r="I16" s="726" t="n"/>
      <c r="J16" s="726" t="n">
        <v>37078</v>
      </c>
      <c r="K16" s="726" t="n">
        <v>2020</v>
      </c>
      <c r="L16" s="725" t="n"/>
      <c r="M16" s="725" t="n"/>
      <c r="N16" s="725" t="n"/>
      <c r="O16" s="729" t="n">
        <v>0.1558</v>
      </c>
      <c r="P16" s="729" t="n">
        <v>0.5259</v>
      </c>
      <c r="Q16" s="725" t="n"/>
      <c r="R16" s="725" t="n"/>
      <c r="S16" s="725" t="n"/>
      <c r="T16" s="725" t="n"/>
      <c r="U16" s="725" t="n"/>
      <c r="V16" s="725" t="n"/>
      <c r="W16" s="725" t="n"/>
      <c r="X16" s="725" t="n"/>
      <c r="Y16" s="725" t="n"/>
      <c r="Z16" s="725" t="n"/>
      <c r="AA16" s="725" t="n"/>
      <c r="AB16" s="725" t="n"/>
      <c r="AC16" s="729" t="n">
        <v>3.6056</v>
      </c>
      <c r="AD16" s="725" t="n"/>
      <c r="AE16" s="725" t="n"/>
      <c r="AF16" s="729" t="n">
        <v>3.1372</v>
      </c>
      <c r="AG16" s="725" t="n"/>
      <c r="AH16" s="729" t="n">
        <v>7.4245</v>
      </c>
      <c r="AI16" s="729" t="n">
        <v>2.3924</v>
      </c>
      <c r="AJ16" s="729" t="n">
        <v>9.8169</v>
      </c>
      <c r="AK16" s="725" t="n"/>
      <c r="AL16" s="725" t="n"/>
      <c r="AM16" s="728" t="inlineStr">
        <is>
          <t>Income not available; expense-only from DYCO CAM history; CAM in contract total</t>
        </is>
      </c>
    </row>
    <row r="17" ht="14.1" customHeight="1">
      <c r="A17" s="725" t="inlineStr">
        <is>
          <t>P006</t>
        </is>
      </c>
      <c r="B17" s="695" t="n">
        <v>210</v>
      </c>
      <c r="C17" s="725" t="inlineStr">
        <is>
          <t>R0062937</t>
        </is>
      </c>
      <c r="D17" s="725" t="inlineStr">
        <is>
          <t>8670 Wolff Ct (Sheridan Park 8)</t>
        </is>
      </c>
      <c r="E17" s="725" t="inlineStr">
        <is>
          <t>Westminster</t>
        </is>
      </c>
      <c r="F17" s="725" t="inlineStr">
        <is>
          <t>CO</t>
        </is>
      </c>
      <c r="G17" s="725" t="inlineStr">
        <is>
          <t>Office/Flex</t>
        </is>
      </c>
      <c r="H17" s="725" t="inlineStr">
        <is>
          <t>Multi-tenant</t>
        </is>
      </c>
      <c r="I17" s="726" t="n"/>
      <c r="J17" s="726" t="n">
        <v>37078</v>
      </c>
      <c r="K17" s="726" t="n">
        <v>2021</v>
      </c>
      <c r="L17" s="725" t="n"/>
      <c r="M17" s="725" t="n"/>
      <c r="N17" s="725" t="n"/>
      <c r="O17" s="729" t="n">
        <v>0.1841</v>
      </c>
      <c r="P17" s="729" t="n">
        <v>0.4855</v>
      </c>
      <c r="Q17" s="725" t="n"/>
      <c r="R17" s="725" t="n"/>
      <c r="S17" s="725" t="n"/>
      <c r="T17" s="725" t="n"/>
      <c r="U17" s="725" t="n"/>
      <c r="V17" s="725" t="n"/>
      <c r="W17" s="725" t="n"/>
      <c r="X17" s="725" t="n"/>
      <c r="Y17" s="725" t="n"/>
      <c r="Z17" s="725" t="n"/>
      <c r="AA17" s="725" t="n"/>
      <c r="AB17" s="725" t="n"/>
      <c r="AC17" s="729" t="n">
        <v>2.8189</v>
      </c>
      <c r="AD17" s="725" t="n"/>
      <c r="AE17" s="725" t="n"/>
      <c r="AF17" s="729" t="n">
        <v>2.9359</v>
      </c>
      <c r="AG17" s="725" t="n"/>
      <c r="AH17" s="729" t="n">
        <v>6.4243</v>
      </c>
      <c r="AI17" s="729" t="n">
        <v>2.2709</v>
      </c>
      <c r="AJ17" s="729" t="n">
        <v>8.6952</v>
      </c>
      <c r="AK17" s="725" t="n"/>
      <c r="AL17" s="725" t="n"/>
      <c r="AM17" s="728" t="inlineStr">
        <is>
          <t>Income not available; expense-only from DYCO CAM history</t>
        </is>
      </c>
    </row>
    <row r="18" ht="14.1" customHeight="1">
      <c r="A18" s="725" t="inlineStr">
        <is>
          <t>P006</t>
        </is>
      </c>
      <c r="B18" s="695" t="n">
        <v>210</v>
      </c>
      <c r="C18" s="725" t="inlineStr">
        <is>
          <t>R0062937</t>
        </is>
      </c>
      <c r="D18" s="725" t="inlineStr">
        <is>
          <t>8670 Wolff Ct (Sheridan Park 8)</t>
        </is>
      </c>
      <c r="E18" s="725" t="inlineStr">
        <is>
          <t>Westminster</t>
        </is>
      </c>
      <c r="F18" s="725" t="inlineStr">
        <is>
          <t>CO</t>
        </is>
      </c>
      <c r="G18" s="725" t="inlineStr">
        <is>
          <t>Office/Flex</t>
        </is>
      </c>
      <c r="H18" s="725" t="inlineStr">
        <is>
          <t>Multi-tenant</t>
        </is>
      </c>
      <c r="I18" s="726" t="n"/>
      <c r="J18" s="726" t="n">
        <v>37078</v>
      </c>
      <c r="K18" s="726" t="n">
        <v>2022</v>
      </c>
      <c r="L18" s="725" t="n"/>
      <c r="M18" s="725" t="n"/>
      <c r="N18" s="725" t="n"/>
      <c r="O18" s="729" t="n">
        <v>0.2122</v>
      </c>
      <c r="P18" s="729" t="n">
        <v>0.5651</v>
      </c>
      <c r="Q18" s="725" t="n"/>
      <c r="R18" s="725" t="n"/>
      <c r="S18" s="725" t="n"/>
      <c r="T18" s="725" t="n"/>
      <c r="U18" s="725" t="n"/>
      <c r="V18" s="725" t="n"/>
      <c r="W18" s="725" t="n"/>
      <c r="X18" s="725" t="n"/>
      <c r="Y18" s="725" t="n"/>
      <c r="Z18" s="725" t="n"/>
      <c r="AA18" s="725" t="n"/>
      <c r="AB18" s="725" t="n"/>
      <c r="AC18" s="729" t="n">
        <v>3.0261</v>
      </c>
      <c r="AD18" s="725" t="n"/>
      <c r="AE18" s="725" t="n"/>
      <c r="AF18" s="729" t="n">
        <v>3.0198</v>
      </c>
      <c r="AG18" s="725" t="n"/>
      <c r="AH18" s="729" t="n">
        <v>6.8231</v>
      </c>
      <c r="AI18" s="729" t="n">
        <v>3.6987</v>
      </c>
      <c r="AJ18" s="729" t="n">
        <v>10.5219</v>
      </c>
      <c r="AK18" s="725" t="n"/>
      <c r="AL18" s="725" t="n"/>
      <c r="AM18" s="728" t="inlineStr">
        <is>
          <t>Income not available; expense-only from DYCO CAM history; RE Tax jumped from $84k to $137k (reval year)</t>
        </is>
      </c>
    </row>
    <row r="19" ht="14.1" customHeight="1">
      <c r="A19" s="725" t="inlineStr">
        <is>
          <t>P006</t>
        </is>
      </c>
      <c r="B19" s="695" t="n">
        <v>210</v>
      </c>
      <c r="C19" s="725" t="inlineStr">
        <is>
          <t>R0062937</t>
        </is>
      </c>
      <c r="D19" s="725" t="inlineStr">
        <is>
          <t>8670 Wolff Ct (Sheridan Park 8)</t>
        </is>
      </c>
      <c r="E19" s="725" t="inlineStr">
        <is>
          <t>Westminster</t>
        </is>
      </c>
      <c r="F19" s="725" t="inlineStr">
        <is>
          <t>CO</t>
        </is>
      </c>
      <c r="G19" s="725" t="inlineStr">
        <is>
          <t>Office/Flex</t>
        </is>
      </c>
      <c r="H19" s="725" t="inlineStr">
        <is>
          <t>Multi-tenant</t>
        </is>
      </c>
      <c r="I19" s="726" t="n"/>
      <c r="J19" s="726" t="n">
        <v>37078</v>
      </c>
      <c r="K19" s="726" t="n">
        <v>2023</v>
      </c>
      <c r="L19" s="725" t="n"/>
      <c r="M19" s="725" t="n"/>
      <c r="N19" s="725" t="n"/>
      <c r="O19" s="729" t="n">
        <v>0.2334</v>
      </c>
      <c r="P19" s="729" t="n">
        <v>0.4855</v>
      </c>
      <c r="Q19" s="725" t="n"/>
      <c r="R19" s="725" t="n"/>
      <c r="S19" s="725" t="n"/>
      <c r="T19" s="725" t="n"/>
      <c r="U19" s="725" t="n"/>
      <c r="V19" s="725" t="n"/>
      <c r="W19" s="725" t="n"/>
      <c r="X19" s="725" t="n"/>
      <c r="Y19" s="725" t="n"/>
      <c r="Z19" s="725" t="n"/>
      <c r="AA19" s="725" t="n"/>
      <c r="AB19" s="725" t="n"/>
      <c r="AC19" s="729" t="n">
        <v>3.1419</v>
      </c>
      <c r="AD19" s="725" t="n"/>
      <c r="AE19" s="725" t="n"/>
      <c r="AF19" s="729" t="n">
        <v>3.018</v>
      </c>
      <c r="AG19" s="725" t="n"/>
      <c r="AH19" s="729" t="n">
        <v>6.8788</v>
      </c>
      <c r="AI19" s="729" t="n">
        <v>3.554</v>
      </c>
      <c r="AJ19" s="729" t="n">
        <v>10.4328</v>
      </c>
      <c r="AK19" s="725" t="n"/>
      <c r="AL19" s="725" t="n"/>
      <c r="AM19" s="728" t="inlineStr">
        <is>
          <t>Income not available; 2023 YTD annualized per DYCO</t>
        </is>
      </c>
    </row>
    <row r="20" ht="14.1" customHeight="1">
      <c r="A20" s="725" t="inlineStr">
        <is>
          <t>P006</t>
        </is>
      </c>
      <c r="B20" s="695" t="n">
        <v>210</v>
      </c>
      <c r="C20" s="725" t="inlineStr">
        <is>
          <t>R0062937</t>
        </is>
      </c>
      <c r="D20" s="725" t="inlineStr">
        <is>
          <t>8670 Wolff Ct (Sheridan Park 8)</t>
        </is>
      </c>
      <c r="E20" s="725" t="inlineStr">
        <is>
          <t>Westminster</t>
        </is>
      </c>
      <c r="F20" s="725" t="inlineStr">
        <is>
          <t>CO</t>
        </is>
      </c>
      <c r="G20" s="725" t="inlineStr">
        <is>
          <t>Office/Flex</t>
        </is>
      </c>
      <c r="H20" s="725" t="inlineStr">
        <is>
          <t>Multi-tenant</t>
        </is>
      </c>
      <c r="I20" s="726" t="n"/>
      <c r="J20" s="726" t="n">
        <v>37078</v>
      </c>
      <c r="K20" s="726" t="n">
        <v>2024</v>
      </c>
      <c r="L20" s="725" t="n"/>
      <c r="M20" s="725" t="n"/>
      <c r="N20" s="725" t="n"/>
      <c r="O20" s="729" t="n">
        <v>0.2334</v>
      </c>
      <c r="P20" s="729" t="n">
        <v>0.5826</v>
      </c>
      <c r="Q20" s="725" t="n"/>
      <c r="R20" s="725" t="n"/>
      <c r="S20" s="725" t="n"/>
      <c r="T20" s="725" t="n"/>
      <c r="U20" s="725" t="n"/>
      <c r="V20" s="725" t="n"/>
      <c r="W20" s="725" t="n"/>
      <c r="X20" s="725" t="n"/>
      <c r="Y20" s="725" t="n"/>
      <c r="Z20" s="725" t="n"/>
      <c r="AA20" s="725" t="n"/>
      <c r="AB20" s="725" t="n"/>
      <c r="AC20" s="729" t="n">
        <v>3.7703</v>
      </c>
      <c r="AD20" s="725" t="n"/>
      <c r="AE20" s="725" t="n"/>
      <c r="AF20" s="729" t="n">
        <v>3.6217</v>
      </c>
      <c r="AG20" s="725" t="n"/>
      <c r="AH20" s="729" t="n">
        <v>8.2079</v>
      </c>
      <c r="AI20" s="729" t="n">
        <v>3.554</v>
      </c>
      <c r="AJ20" s="729" t="n">
        <v>11.7619</v>
      </c>
      <c r="AK20" s="725" t="n"/>
      <c r="AL20" s="725" t="n"/>
      <c r="AM20" s="728" t="inlineStr">
        <is>
          <t>Income not available; 2024 actuals per DYCO CAM history</t>
        </is>
      </c>
    </row>
    <row r="21" ht="14.1" customHeight="1">
      <c r="A21" s="725" t="inlineStr">
        <is>
          <t>P007</t>
        </is>
      </c>
      <c r="B21" s="695" t="n">
        <v>341</v>
      </c>
      <c r="C21" s="725" t="inlineStr">
        <is>
          <t>R0062944</t>
        </is>
      </c>
      <c r="D21" s="725" t="inlineStr">
        <is>
          <t>8787 (medical office complex)</t>
        </is>
      </c>
      <c r="E21" s="725" t="inlineStr">
        <is>
          <t>Adams County</t>
        </is>
      </c>
      <c r="F21" s="725" t="inlineStr">
        <is>
          <t>CO</t>
        </is>
      </c>
      <c r="G21" s="725" t="inlineStr">
        <is>
          <t>Medical Office</t>
        </is>
      </c>
      <c r="H21" s="725" t="inlineStr">
        <is>
          <t>Multi-tenant</t>
        </is>
      </c>
      <c r="I21" s="726" t="n"/>
      <c r="J21" s="726" t="n">
        <v>19430</v>
      </c>
      <c r="K21" s="726" t="n">
        <v>2023</v>
      </c>
      <c r="L21" s="725" t="n"/>
      <c r="M21" s="725" t="n"/>
      <c r="N21" s="729" t="n">
        <v>20.2681</v>
      </c>
      <c r="O21" s="729" t="n">
        <v>0.4882</v>
      </c>
      <c r="P21" s="729" t="n">
        <v>0.525</v>
      </c>
      <c r="Q21" s="725" t="n"/>
      <c r="R21" s="725" t="n"/>
      <c r="S21" s="725" t="n"/>
      <c r="T21" s="725" t="n"/>
      <c r="U21" s="729" t="n">
        <v>1.1125</v>
      </c>
      <c r="V21" s="725" t="n"/>
      <c r="W21" s="725" t="n"/>
      <c r="X21" s="729" t="n">
        <v>1.365</v>
      </c>
      <c r="Y21" s="729" t="n">
        <v>1.365</v>
      </c>
      <c r="Z21" s="729" t="n">
        <v>0.1046</v>
      </c>
      <c r="AA21" s="729" t="n">
        <v>0.6014</v>
      </c>
      <c r="AB21" s="729" t="n">
        <v>0.3262</v>
      </c>
      <c r="AC21" s="729" t="n">
        <v>1.0322</v>
      </c>
      <c r="AD21" s="729" t="n">
        <v>0.3942</v>
      </c>
      <c r="AE21" s="729" t="n">
        <v>1.9391</v>
      </c>
      <c r="AF21" s="729" t="n">
        <v>2.3333</v>
      </c>
      <c r="AG21" s="729" t="n">
        <v>0.9338</v>
      </c>
      <c r="AH21" s="729" t="n">
        <v>7.7898</v>
      </c>
      <c r="AI21" s="729" t="n">
        <v>2.7482</v>
      </c>
      <c r="AJ21" s="729" t="n">
        <v>10.5379</v>
      </c>
      <c r="AK21" s="729" t="n">
        <v>9.7302</v>
      </c>
      <c r="AL21" s="725" t="n"/>
      <c r="AM21" s="728" t="inlineStr">
        <is>
          <t>HVAC maint $21,615 included in R&amp;M; janitorial $16,418 in Other; professional svcs $1,726 in Other; 2023 actuals</t>
        </is>
      </c>
    </row>
    <row r="22" ht="14.1" customHeight="1">
      <c r="A22" s="725" t="inlineStr">
        <is>
          <t>P007</t>
        </is>
      </c>
      <c r="B22" s="695" t="n">
        <v>341</v>
      </c>
      <c r="C22" s="725" t="inlineStr">
        <is>
          <t>R0062944</t>
        </is>
      </c>
      <c r="D22" s="725" t="inlineStr">
        <is>
          <t>8787 (medical office complex)</t>
        </is>
      </c>
      <c r="E22" s="725" t="inlineStr">
        <is>
          <t>Adams County</t>
        </is>
      </c>
      <c r="F22" s="725" t="inlineStr">
        <is>
          <t>CO</t>
        </is>
      </c>
      <c r="G22" s="725" t="inlineStr">
        <is>
          <t>Medical Office</t>
        </is>
      </c>
      <c r="H22" s="725" t="inlineStr">
        <is>
          <t>Multi-tenant</t>
        </is>
      </c>
      <c r="I22" s="726" t="n"/>
      <c r="J22" s="726" t="n">
        <v>19430</v>
      </c>
      <c r="K22" s="726" t="n">
        <v>2024</v>
      </c>
      <c r="L22" s="725" t="n"/>
      <c r="M22" s="725" t="n"/>
      <c r="N22" s="729" t="n">
        <v>20.0976</v>
      </c>
      <c r="O22" s="729" t="n">
        <v>0.7185</v>
      </c>
      <c r="P22" s="729" t="n">
        <v>1.9878</v>
      </c>
      <c r="Q22" s="725" t="n"/>
      <c r="R22" s="725" t="n"/>
      <c r="S22" s="725" t="n"/>
      <c r="T22" s="725" t="n"/>
      <c r="U22" s="729" t="n">
        <v>0.6725</v>
      </c>
      <c r="V22" s="725" t="n"/>
      <c r="W22" s="725" t="n"/>
      <c r="X22" s="729" t="n">
        <v>1.3296</v>
      </c>
      <c r="Y22" s="729" t="n">
        <v>1.3296</v>
      </c>
      <c r="Z22" s="729" t="n">
        <v>0.1008</v>
      </c>
      <c r="AA22" s="729" t="n">
        <v>0.8078</v>
      </c>
      <c r="AB22" s="729" t="n">
        <v>0.3029</v>
      </c>
      <c r="AC22" s="729" t="n">
        <v>1.2115</v>
      </c>
      <c r="AD22" s="729" t="n">
        <v>0.3305</v>
      </c>
      <c r="AE22" s="729" t="n">
        <v>1.7022</v>
      </c>
      <c r="AF22" s="729" t="n">
        <v>2.0327</v>
      </c>
      <c r="AG22" s="729" t="n">
        <v>0.8246</v>
      </c>
      <c r="AH22" s="729" t="n">
        <v>8.777100000000001</v>
      </c>
      <c r="AI22" s="729" t="n">
        <v>3.2527</v>
      </c>
      <c r="AJ22" s="729" t="n">
        <v>12.0299</v>
      </c>
      <c r="AK22" s="729" t="n">
        <v>8.0678</v>
      </c>
      <c r="AL22" s="725" t="n"/>
      <c r="AM22" s="728" t="inlineStr">
        <is>
          <t>Mgmt = CAM portion $10,600 + non-CAM $28,022; janitorial $16,022 in Other; HVAC $13,067 in R&amp;M; 2024 actuals</t>
        </is>
      </c>
    </row>
    <row r="23" ht="14.1" customHeight="1">
      <c r="A23" s="696" t="inlineStr">
        <is>
          <t>P008</t>
        </is>
      </c>
      <c r="B23" s="695" t="n">
        <v>210</v>
      </c>
      <c r="C23" s="696" t="inlineStr">
        <is>
          <t>R0070622</t>
        </is>
      </c>
      <c r="D23" s="696" t="inlineStr">
        <is>
          <t>460-550 E. 76th Ave (WPC Corporate)</t>
        </is>
      </c>
      <c r="E23" s="696" t="inlineStr">
        <is>
          <t>Adams County</t>
        </is>
      </c>
      <c r="F23" s="696" t="inlineStr">
        <is>
          <t>CO</t>
        </is>
      </c>
      <c r="G23" s="696" t="inlineStr">
        <is>
          <t>Industrial</t>
        </is>
      </c>
      <c r="H23" s="696"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724" t="inlineStr">
        <is>
          <t>2024 only; total OPX derived (EGI - NOI); limited line-item detail from scanned actuals; large multi-tenant industrial complex</t>
        </is>
      </c>
    </row>
    <row r="24" ht="14.1" customHeight="1">
      <c r="A24" s="718" t="inlineStr">
        <is>
          <t>P009</t>
        </is>
      </c>
      <c r="B24" s="695" t="n">
        <v>407</v>
      </c>
      <c r="C24" s="718" t="inlineStr">
        <is>
          <t>R0075212</t>
        </is>
      </c>
      <c r="D24" s="718" t="inlineStr">
        <is>
          <t>10500 Havana Court</t>
        </is>
      </c>
      <c r="E24" s="718" t="inlineStr">
        <is>
          <t>Adams County</t>
        </is>
      </c>
      <c r="F24" s="718" t="inlineStr">
        <is>
          <t>CO</t>
        </is>
      </c>
      <c r="G24" s="718" t="inlineStr">
        <is>
          <t>Industrial</t>
        </is>
      </c>
      <c r="H24" s="718" t="inlineStr">
        <is>
          <t>NNN Single-tenant</t>
        </is>
      </c>
      <c r="I24" s="719" t="n"/>
      <c r="J24" s="719" t="n"/>
      <c r="K24" s="719" t="n">
        <v>2023</v>
      </c>
      <c r="L24" s="718" t="n"/>
      <c r="M24" s="718" t="n"/>
      <c r="N24" s="730" t="n">
        <v>332759</v>
      </c>
      <c r="O24" s="730" t="n">
        <v>22784</v>
      </c>
      <c r="P24" s="730" t="n">
        <v>4000</v>
      </c>
      <c r="Q24" s="718" t="n"/>
      <c r="R24" s="718" t="n"/>
      <c r="S24" s="718" t="n"/>
      <c r="T24" s="718" t="n"/>
      <c r="U24" s="718" t="n"/>
      <c r="V24" s="718" t="n"/>
      <c r="W24" s="718" t="n"/>
      <c r="X24" s="730" t="n">
        <v>12804</v>
      </c>
      <c r="Y24" s="730" t="n">
        <v>12804</v>
      </c>
      <c r="Z24" s="718" t="n"/>
      <c r="AA24" s="730" t="n">
        <v>6910</v>
      </c>
      <c r="AB24" s="730" t="n">
        <v>1800</v>
      </c>
      <c r="AC24" s="730" t="n">
        <v>8710</v>
      </c>
      <c r="AD24" s="730" t="n">
        <v>2209</v>
      </c>
      <c r="AE24" s="730" t="n">
        <v>1956</v>
      </c>
      <c r="AF24" s="730" t="n">
        <v>4165</v>
      </c>
      <c r="AG24" s="730" t="n">
        <v>8397</v>
      </c>
      <c r="AH24" s="730" t="n">
        <v>127005</v>
      </c>
      <c r="AI24" s="730" t="n">
        <v>60552</v>
      </c>
      <c r="AJ24" s="730" t="n">
        <v>187557</v>
      </c>
      <c r="AK24" s="730" t="n">
        <v>265550</v>
      </c>
      <c r="AL24" s="718" t="n"/>
      <c r="AM24" s="721"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696" t="inlineStr">
        <is>
          <t>10500 Havana Court</t>
        </is>
      </c>
      <c r="E25" s="696" t="inlineStr">
        <is>
          <t>Adams County</t>
        </is>
      </c>
      <c r="F25" s="696" t="inlineStr">
        <is>
          <t>CO</t>
        </is>
      </c>
      <c r="G25" s="696" t="inlineStr">
        <is>
          <t>Industrial</t>
        </is>
      </c>
      <c r="H25" s="696"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724" t="inlineStr">
        <is>
          <t>[NO SF] NNN; depreciation ($52,109) and mortgage interest ($58,574) excluded from NOI; Other includes acctg, dues, inspections; 2024 actuals</t>
        </is>
      </c>
    </row>
    <row r="26" ht="14.1" customHeight="1">
      <c r="A26" s="718" t="inlineStr">
        <is>
          <t>P010</t>
        </is>
      </c>
      <c r="B26" s="695" t="n">
        <v>210</v>
      </c>
      <c r="C26" s="718" t="inlineStr">
        <is>
          <t>R0098225</t>
        </is>
      </c>
      <c r="D26" s="718" t="inlineStr">
        <is>
          <t>Broadway Business Center (7040B Broadway)</t>
        </is>
      </c>
      <c r="E26" s="718" t="inlineStr">
        <is>
          <t>Denver</t>
        </is>
      </c>
      <c r="F26" s="718" t="inlineStr">
        <is>
          <t>CO</t>
        </is>
      </c>
      <c r="G26" s="718" t="inlineStr">
        <is>
          <t>Flex/Industrial</t>
        </is>
      </c>
      <c r="H26" s="718" t="inlineStr">
        <is>
          <t>Multi-tenant CAM</t>
        </is>
      </c>
      <c r="I26" s="719" t="n"/>
      <c r="J26" s="719" t="n">
        <v>105000</v>
      </c>
      <c r="K26" s="719" t="n">
        <v>2023</v>
      </c>
      <c r="L26" s="720" t="n">
        <v>7.0284</v>
      </c>
      <c r="M26" s="720" t="n">
        <v>4.8451</v>
      </c>
      <c r="N26" s="720" t="n">
        <v>11.8736</v>
      </c>
      <c r="O26" s="720" t="n">
        <v>0.4657</v>
      </c>
      <c r="P26" s="720" t="n">
        <v>0.9933999999999999</v>
      </c>
      <c r="Q26" s="718" t="n"/>
      <c r="R26" s="718" t="n"/>
      <c r="S26" s="718" t="n"/>
      <c r="T26" s="718" t="n"/>
      <c r="U26" s="718" t="n"/>
      <c r="V26" s="718" t="n"/>
      <c r="W26" s="718" t="n"/>
      <c r="X26" s="720" t="n">
        <v>0.6328</v>
      </c>
      <c r="Y26" s="720" t="n">
        <v>0.6328</v>
      </c>
      <c r="Z26" s="720" t="n">
        <v>0.4669</v>
      </c>
      <c r="AA26" s="720" t="n">
        <v>0.2172</v>
      </c>
      <c r="AB26" s="720" t="n">
        <v>0.5585</v>
      </c>
      <c r="AC26" s="720" t="n">
        <v>1.2425</v>
      </c>
      <c r="AD26" s="720" t="n">
        <v>0.5097</v>
      </c>
      <c r="AE26" s="718" t="n"/>
      <c r="AF26" s="720" t="n">
        <v>0.7223000000000001</v>
      </c>
      <c r="AG26" s="718" t="n"/>
      <c r="AH26" s="720" t="n">
        <v>4.6141</v>
      </c>
      <c r="AI26" s="720" t="n">
        <v>2.1859</v>
      </c>
      <c r="AJ26" s="720" t="n">
        <v>6.8</v>
      </c>
      <c r="AK26" s="720" t="n">
        <v>5.0762</v>
      </c>
      <c r="AL26" s="718" t="n"/>
      <c r="AM26" s="721"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696" t="inlineStr">
        <is>
          <t>Broadway Business Center (7040B Broadway)</t>
        </is>
      </c>
      <c r="E27" s="696" t="inlineStr">
        <is>
          <t>Denver</t>
        </is>
      </c>
      <c r="F27" s="696" t="inlineStr">
        <is>
          <t>CO</t>
        </is>
      </c>
      <c r="G27" s="696" t="inlineStr">
        <is>
          <t>Flex/Industrial</t>
        </is>
      </c>
      <c r="H27" s="696"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724" t="inlineStr">
        <is>
          <t>2024 RE Tax inflated by $111,314 prior-yr catchup; normalized tax ~$425k; parking lot $52,328 in snow/contract; NOI estimated</t>
        </is>
      </c>
    </row>
    <row r="28" ht="14.1" customHeight="1">
      <c r="A28" s="718" t="inlineStr">
        <is>
          <t>P011</t>
        </is>
      </c>
      <c r="B28" s="695" t="n">
        <v>210</v>
      </c>
      <c r="C28" s="718" t="inlineStr">
        <is>
          <t>R0103767</t>
        </is>
      </c>
      <c r="D28" s="718" t="inlineStr">
        <is>
          <t>5650 Washington St (Washington Business Park)</t>
        </is>
      </c>
      <c r="E28" s="718" t="inlineStr">
        <is>
          <t>Adams County</t>
        </is>
      </c>
      <c r="F28" s="718" t="inlineStr">
        <is>
          <t>CO</t>
        </is>
      </c>
      <c r="G28" s="718" t="inlineStr">
        <is>
          <t>Industrial/Flex</t>
        </is>
      </c>
      <c r="H28" s="718" t="inlineStr">
        <is>
          <t>Multi-tenant</t>
        </is>
      </c>
      <c r="I28" s="719" t="n"/>
      <c r="J28" s="719" t="n"/>
      <c r="K28" s="719" t="n">
        <v>2022</v>
      </c>
      <c r="L28" s="718" t="n"/>
      <c r="M28" s="718" t="n"/>
      <c r="N28" s="730" t="n">
        <v>502006</v>
      </c>
      <c r="O28" s="730" t="n">
        <v>16872</v>
      </c>
      <c r="P28" s="730" t="n">
        <v>54025</v>
      </c>
      <c r="Q28" s="718" t="n"/>
      <c r="R28" s="718" t="n"/>
      <c r="S28" s="718" t="n"/>
      <c r="T28" s="718" t="n"/>
      <c r="U28" s="718" t="n"/>
      <c r="V28" s="718" t="n"/>
      <c r="W28" s="718" t="n"/>
      <c r="X28" s="730" t="n">
        <v>71762</v>
      </c>
      <c r="Y28" s="730" t="n">
        <v>71762</v>
      </c>
      <c r="Z28" s="718" t="n"/>
      <c r="AA28" s="730" t="n">
        <v>6528</v>
      </c>
      <c r="AB28" s="718" t="n"/>
      <c r="AC28" s="730" t="n">
        <v>6528</v>
      </c>
      <c r="AD28" s="730" t="n">
        <v>4858</v>
      </c>
      <c r="AE28" s="730" t="n">
        <v>525</v>
      </c>
      <c r="AF28" s="730" t="n">
        <v>5383</v>
      </c>
      <c r="AG28" s="718" t="n"/>
      <c r="AH28" s="730" t="n">
        <v>209625</v>
      </c>
      <c r="AI28" s="730" t="n">
        <v>64792</v>
      </c>
      <c r="AJ28" s="730" t="n">
        <v>274417</v>
      </c>
      <c r="AK28" s="730" t="n">
        <v>227649</v>
      </c>
      <c r="AL28" s="718" t="n"/>
      <c r="AM28" s="721"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696" t="inlineStr">
        <is>
          <t>5650 Washington St (Washington Business Park)</t>
        </is>
      </c>
      <c r="E29" s="696" t="inlineStr">
        <is>
          <t>Adams County</t>
        </is>
      </c>
      <c r="F29" s="696" t="inlineStr">
        <is>
          <t>CO</t>
        </is>
      </c>
      <c r="G29" s="696" t="inlineStr">
        <is>
          <t>Industrial/Flex</t>
        </is>
      </c>
      <c r="H29" s="696"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724" t="inlineStr">
        <is>
          <t>[NO SF] No mgmt fee in 2023; R&amp;M higher due to building repairs; gas negligible per statement; 2023 actuals</t>
        </is>
      </c>
    </row>
    <row r="30" ht="14.1" customHeight="1">
      <c r="A30" s="718" t="inlineStr">
        <is>
          <t>P011</t>
        </is>
      </c>
      <c r="B30" s="695" t="n">
        <v>210</v>
      </c>
      <c r="C30" s="718" t="inlineStr">
        <is>
          <t>R0103767</t>
        </is>
      </c>
      <c r="D30" s="718" t="inlineStr">
        <is>
          <t>5650 Washington St (Washington Business Park)</t>
        </is>
      </c>
      <c r="E30" s="718" t="inlineStr">
        <is>
          <t>Adams County</t>
        </is>
      </c>
      <c r="F30" s="718" t="inlineStr">
        <is>
          <t>CO</t>
        </is>
      </c>
      <c r="G30" s="718" t="inlineStr">
        <is>
          <t>Industrial/Flex</t>
        </is>
      </c>
      <c r="H30" s="718" t="inlineStr">
        <is>
          <t>Multi-tenant</t>
        </is>
      </c>
      <c r="I30" s="719" t="n"/>
      <c r="J30" s="719" t="n"/>
      <c r="K30" s="719" t="n">
        <v>2024</v>
      </c>
      <c r="L30" s="718" t="n"/>
      <c r="M30" s="718" t="n"/>
      <c r="N30" s="730" t="n">
        <v>517234</v>
      </c>
      <c r="O30" s="730" t="n">
        <v>20795</v>
      </c>
      <c r="P30" s="718" t="n"/>
      <c r="Q30" s="718" t="n"/>
      <c r="R30" s="718" t="n"/>
      <c r="S30" s="718" t="n"/>
      <c r="T30" s="718" t="n"/>
      <c r="U30" s="718" t="n"/>
      <c r="V30" s="718" t="n"/>
      <c r="W30" s="718" t="n"/>
      <c r="X30" s="730" t="n">
        <v>32385</v>
      </c>
      <c r="Y30" s="730" t="n">
        <v>32385</v>
      </c>
      <c r="Z30" s="718" t="n"/>
      <c r="AA30" s="730" t="n">
        <v>4814</v>
      </c>
      <c r="AB30" s="718" t="n"/>
      <c r="AC30" s="730" t="n">
        <v>4814</v>
      </c>
      <c r="AD30" s="730" t="n">
        <v>5690</v>
      </c>
      <c r="AE30" s="718" t="n"/>
      <c r="AF30" s="730" t="n">
        <v>5690</v>
      </c>
      <c r="AG30" s="718" t="n"/>
      <c r="AH30" s="718" t="n"/>
      <c r="AI30" s="718" t="n"/>
      <c r="AJ30" s="730" t="n">
        <v>331645</v>
      </c>
      <c r="AK30" s="730" t="n">
        <v>185389</v>
      </c>
      <c r="AL30" s="718" t="n"/>
      <c r="AM30" s="721" t="inlineStr">
        <is>
          <t>[NO SF] RE Tax not separately identified in 2024 column of operating stmt; total OPX from actuals; NOI confirmed</t>
        </is>
      </c>
    </row>
    <row r="31" ht="14.1" customHeight="1">
      <c r="A31" s="725" t="inlineStr">
        <is>
          <t>P012</t>
        </is>
      </c>
      <c r="B31" s="695" t="n">
        <v>344</v>
      </c>
      <c r="C31" s="725" t="inlineStr">
        <is>
          <t>R0124385</t>
        </is>
      </c>
      <c r="D31" s="725" t="inlineStr">
        <is>
          <t>Unknown (Tax District 555)</t>
        </is>
      </c>
      <c r="E31" s="725" t="inlineStr">
        <is>
          <t>Adams County</t>
        </is>
      </c>
      <c r="F31" s="725" t="inlineStr">
        <is>
          <t>CO</t>
        </is>
      </c>
      <c r="G31" s="725" t="inlineStr">
        <is>
          <t>Office</t>
        </is>
      </c>
      <c r="H31" s="725" t="inlineStr">
        <is>
          <t>Multi-tenant</t>
        </is>
      </c>
      <c r="I31" s="726" t="n"/>
      <c r="J31" s="726" t="n">
        <v>20170</v>
      </c>
      <c r="K31" s="726" t="n">
        <v>2023</v>
      </c>
      <c r="L31" s="725" t="n"/>
      <c r="M31" s="725" t="n"/>
      <c r="N31" s="729" t="n">
        <v>13.6708</v>
      </c>
      <c r="O31" s="725" t="n"/>
      <c r="P31" s="725" t="n"/>
      <c r="Q31" s="725" t="n"/>
      <c r="R31" s="725" t="n"/>
      <c r="S31" s="725" t="n"/>
      <c r="T31" s="725" t="n"/>
      <c r="U31" s="725" t="n"/>
      <c r="V31" s="725" t="n"/>
      <c r="W31" s="725" t="n"/>
      <c r="X31" s="725" t="n"/>
      <c r="Y31" s="725" t="n"/>
      <c r="Z31" s="725" t="n"/>
      <c r="AA31" s="725" t="n"/>
      <c r="AB31" s="725" t="n"/>
      <c r="AC31" s="725" t="n"/>
      <c r="AD31" s="725" t="n"/>
      <c r="AE31" s="725" t="n"/>
      <c r="AF31" s="725" t="n"/>
      <c r="AG31" s="725" t="n"/>
      <c r="AH31" s="729" t="n">
        <v>5.3592</v>
      </c>
      <c r="AI31" s="729" t="n">
        <v>2.2399</v>
      </c>
      <c r="AJ31" s="729" t="n">
        <v>7.5992</v>
      </c>
      <c r="AK31" s="729" t="n">
        <v>8.3116</v>
      </c>
      <c r="AL31" s="725" t="n"/>
      <c r="AM31" s="728" t="inlineStr">
        <is>
          <t>Limited line-item detail; totals from PROFORMA BASIS FOR OFFER.xlsx actuals section</t>
        </is>
      </c>
    </row>
    <row r="32" ht="14.1" customHeight="1">
      <c r="A32" s="725" t="inlineStr">
        <is>
          <t>P012</t>
        </is>
      </c>
      <c r="B32" s="695" t="n">
        <v>344</v>
      </c>
      <c r="C32" s="725" t="inlineStr">
        <is>
          <t>R0124385</t>
        </is>
      </c>
      <c r="D32" s="725" t="inlineStr">
        <is>
          <t>Unknown (Tax District 555)</t>
        </is>
      </c>
      <c r="E32" s="725" t="inlineStr">
        <is>
          <t>Adams County</t>
        </is>
      </c>
      <c r="F32" s="725" t="inlineStr">
        <is>
          <t>CO</t>
        </is>
      </c>
      <c r="G32" s="725" t="inlineStr">
        <is>
          <t>Office</t>
        </is>
      </c>
      <c r="H32" s="725" t="inlineStr">
        <is>
          <t>Multi-tenant</t>
        </is>
      </c>
      <c r="I32" s="726" t="n"/>
      <c r="J32" s="726" t="n">
        <v>20170</v>
      </c>
      <c r="K32" s="726" t="n">
        <v>2024</v>
      </c>
      <c r="L32" s="725" t="n"/>
      <c r="M32" s="725" t="n"/>
      <c r="N32" s="729" t="n">
        <v>14.802</v>
      </c>
      <c r="O32" s="725" t="n"/>
      <c r="P32" s="725" t="n"/>
      <c r="Q32" s="725" t="n"/>
      <c r="R32" s="725" t="n"/>
      <c r="S32" s="725" t="n"/>
      <c r="T32" s="725" t="n"/>
      <c r="U32" s="725" t="n"/>
      <c r="V32" s="725" t="n"/>
      <c r="W32" s="725" t="n"/>
      <c r="X32" s="725" t="n"/>
      <c r="Y32" s="725" t="n"/>
      <c r="Z32" s="725" t="n"/>
      <c r="AA32" s="725" t="n"/>
      <c r="AB32" s="725" t="n"/>
      <c r="AC32" s="725" t="n"/>
      <c r="AD32" s="725" t="n"/>
      <c r="AE32" s="725" t="n"/>
      <c r="AF32" s="725" t="n"/>
      <c r="AG32" s="725" t="n"/>
      <c r="AH32" s="729" t="n">
        <v>6.3208</v>
      </c>
      <c r="AI32" s="729" t="n">
        <v>2.1665</v>
      </c>
      <c r="AJ32" s="729" t="n">
        <v>9.1814</v>
      </c>
      <c r="AK32" s="729" t="n">
        <v>8.481199999999999</v>
      </c>
      <c r="AL32" s="725" t="n"/>
      <c r="AM32" s="728" t="inlineStr">
        <is>
          <t>CapEx $14,000 non-recurring excluded from OPX; limited line-item detail</t>
        </is>
      </c>
    </row>
    <row r="33" ht="14.1" customHeight="1">
      <c r="A33" s="725" t="inlineStr">
        <is>
          <t>P013</t>
        </is>
      </c>
      <c r="B33" s="695" t="n">
        <v>353</v>
      </c>
      <c r="C33" s="725" t="inlineStr">
        <is>
          <t>R0169176</t>
        </is>
      </c>
      <c r="D33" s="725" t="inlineStr">
        <is>
          <t>Unknown (new const., opened Oct 2023)</t>
        </is>
      </c>
      <c r="E33" s="725" t="inlineStr">
        <is>
          <t>Adams County</t>
        </is>
      </c>
      <c r="F33" s="725" t="inlineStr">
        <is>
          <t>CO</t>
        </is>
      </c>
      <c r="G33" s="725" t="inlineStr">
        <is>
          <t>Retail/Office</t>
        </is>
      </c>
      <c r="H33" s="725" t="inlineStr">
        <is>
          <t>Multi-tenant</t>
        </is>
      </c>
      <c r="I33" s="726" t="n">
        <v>2023</v>
      </c>
      <c r="J33" s="726" t="n"/>
      <c r="K33" s="726" t="n">
        <v>2023</v>
      </c>
      <c r="L33" s="727" t="n">
        <v>270793</v>
      </c>
      <c r="M33" s="727" t="n">
        <v>258323</v>
      </c>
      <c r="N33" s="727" t="n">
        <v>524533</v>
      </c>
      <c r="O33" s="727" t="n">
        <v>16865</v>
      </c>
      <c r="P33" s="727" t="n">
        <v>26496</v>
      </c>
      <c r="Q33" s="725" t="n"/>
      <c r="R33" s="725" t="n"/>
      <c r="S33" s="725" t="n"/>
      <c r="T33" s="725" t="n"/>
      <c r="U33" s="725" t="n"/>
      <c r="V33" s="725" t="n"/>
      <c r="W33" s="725" t="n"/>
      <c r="X33" s="727" t="n">
        <v>50972</v>
      </c>
      <c r="Y33" s="727" t="n">
        <v>50972</v>
      </c>
      <c r="Z33" s="725" t="n"/>
      <c r="AA33" s="727" t="n">
        <v>7543</v>
      </c>
      <c r="AB33" s="725" t="n"/>
      <c r="AC33" s="727" t="n">
        <v>7543</v>
      </c>
      <c r="AD33" s="727" t="n">
        <v>4602</v>
      </c>
      <c r="AE33" s="727" t="n">
        <v>51467</v>
      </c>
      <c r="AF33" s="727" t="n">
        <v>56069</v>
      </c>
      <c r="AG33" s="725" t="n"/>
      <c r="AH33" s="727" t="n">
        <v>157946</v>
      </c>
      <c r="AI33" s="727" t="n">
        <v>125577</v>
      </c>
      <c r="AJ33" s="727" t="n">
        <v>283523</v>
      </c>
      <c r="AK33" s="727" t="n">
        <v>241009</v>
      </c>
      <c r="AL33" s="725" t="n"/>
      <c r="AM33" s="728" t="inlineStr">
        <is>
          <t>[NO SF] 2023 partial year (opened Oct 2023); RE Tax high for new construction; gas $3,877 + elec $47,590 in utilities</t>
        </is>
      </c>
    </row>
    <row r="34" ht="14.1" customHeight="1">
      <c r="A34" s="725" t="inlineStr">
        <is>
          <t>P013</t>
        </is>
      </c>
      <c r="B34" s="695" t="n">
        <v>353</v>
      </c>
      <c r="C34" s="725" t="inlineStr">
        <is>
          <t>R0169176</t>
        </is>
      </c>
      <c r="D34" s="725" t="inlineStr">
        <is>
          <t>Unknown (new const., opened Oct 2023)</t>
        </is>
      </c>
      <c r="E34" s="725" t="inlineStr">
        <is>
          <t>Adams County</t>
        </is>
      </c>
      <c r="F34" s="725" t="inlineStr">
        <is>
          <t>CO</t>
        </is>
      </c>
      <c r="G34" s="725" t="inlineStr">
        <is>
          <t>Retail/Office</t>
        </is>
      </c>
      <c r="H34" s="725" t="inlineStr">
        <is>
          <t>Multi-tenant</t>
        </is>
      </c>
      <c r="I34" s="726" t="n">
        <v>2023</v>
      </c>
      <c r="J34" s="726" t="n"/>
      <c r="K34" s="726" t="n">
        <v>2024</v>
      </c>
      <c r="L34" s="727" t="n">
        <v>260040</v>
      </c>
      <c r="M34" s="727" t="n">
        <v>337015</v>
      </c>
      <c r="N34" s="727" t="n">
        <v>597056</v>
      </c>
      <c r="O34" s="727" t="n">
        <v>12437</v>
      </c>
      <c r="P34" s="727" t="n">
        <v>26717</v>
      </c>
      <c r="Q34" s="725" t="n"/>
      <c r="R34" s="725" t="n"/>
      <c r="S34" s="725" t="n"/>
      <c r="T34" s="725" t="n"/>
      <c r="U34" s="725" t="n"/>
      <c r="V34" s="725" t="n"/>
      <c r="W34" s="725" t="n"/>
      <c r="X34" s="727" t="n">
        <v>36931</v>
      </c>
      <c r="Y34" s="727" t="n">
        <v>36931</v>
      </c>
      <c r="Z34" s="725" t="n"/>
      <c r="AA34" s="727" t="n">
        <v>27159</v>
      </c>
      <c r="AB34" s="725" t="n"/>
      <c r="AC34" s="727" t="n">
        <v>27159</v>
      </c>
      <c r="AD34" s="727" t="n">
        <v>5043</v>
      </c>
      <c r="AE34" s="727" t="n">
        <v>54230</v>
      </c>
      <c r="AF34" s="727" t="n">
        <v>59273</v>
      </c>
      <c r="AG34" s="725" t="n"/>
      <c r="AH34" s="727" t="n">
        <v>162518</v>
      </c>
      <c r="AI34" s="727" t="n">
        <v>156074</v>
      </c>
      <c r="AJ34" s="727" t="n">
        <v>318592</v>
      </c>
      <c r="AK34" s="727" t="n">
        <v>278464</v>
      </c>
      <c r="AL34" s="725" t="n"/>
      <c r="AM34" s="72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696" t="inlineStr">
        <is>
          <t>Amazon DEN7 Distribution Center</t>
        </is>
      </c>
      <c r="E35" s="696" t="inlineStr">
        <is>
          <t>Aurora</t>
        </is>
      </c>
      <c r="F35" s="696" t="inlineStr">
        <is>
          <t>CO</t>
        </is>
      </c>
      <c r="G35" s="696" t="inlineStr">
        <is>
          <t>Industrial/Distribution</t>
        </is>
      </c>
      <c r="H35" s="696"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724" t="inlineStr">
        <is>
          <t>NNN ? expenses = LL CAM billed to Amazon tenant; RE Tax $1.617M dominates; base rent $3.12M; 2023 CAM reconciliation</t>
        </is>
      </c>
    </row>
    <row r="36" ht="14.1" customHeight="1">
      <c r="A36" s="718" t="inlineStr">
        <is>
          <t>P014</t>
        </is>
      </c>
      <c r="B36" s="695" t="n">
        <v>407</v>
      </c>
      <c r="C36" s="718" t="inlineStr">
        <is>
          <t>R0198530</t>
        </is>
      </c>
      <c r="D36" s="718" t="inlineStr">
        <is>
          <t>Amazon DEN7 Distribution Center</t>
        </is>
      </c>
      <c r="E36" s="718" t="inlineStr">
        <is>
          <t>Aurora</t>
        </is>
      </c>
      <c r="F36" s="718" t="inlineStr">
        <is>
          <t>CO</t>
        </is>
      </c>
      <c r="G36" s="718" t="inlineStr">
        <is>
          <t>Industrial/Distribution</t>
        </is>
      </c>
      <c r="H36" s="718" t="inlineStr">
        <is>
          <t>Single-tenant NNN</t>
        </is>
      </c>
      <c r="I36" s="719" t="n"/>
      <c r="J36" s="719" t="n">
        <v>555840</v>
      </c>
      <c r="K36" s="719" t="n">
        <v>2024</v>
      </c>
      <c r="L36" s="720" t="n">
        <v>5.7597</v>
      </c>
      <c r="M36" s="718" t="n"/>
      <c r="N36" s="720" t="n">
        <v>5.7597</v>
      </c>
      <c r="O36" s="720" t="n">
        <v>0.1616</v>
      </c>
      <c r="P36" s="720" t="n">
        <v>0.1152</v>
      </c>
      <c r="Q36" s="718" t="n"/>
      <c r="R36" s="718" t="n"/>
      <c r="S36" s="718" t="n"/>
      <c r="T36" s="718" t="n"/>
      <c r="U36" s="718" t="n"/>
      <c r="V36" s="718" t="n"/>
      <c r="W36" s="718" t="n"/>
      <c r="X36" s="718" t="n"/>
      <c r="Y36" s="718" t="n"/>
      <c r="Z36" s="718" t="n"/>
      <c r="AA36" s="718" t="n"/>
      <c r="AB36" s="720" t="n">
        <v>0.0038</v>
      </c>
      <c r="AC36" s="720" t="n">
        <v>0.0314</v>
      </c>
      <c r="AD36" s="718" t="n"/>
      <c r="AE36" s="718" t="n"/>
      <c r="AF36" s="720" t="n">
        <v>0.0036</v>
      </c>
      <c r="AG36" s="718" t="n"/>
      <c r="AH36" s="720" t="n">
        <v>0.2783</v>
      </c>
      <c r="AI36" s="720" t="n">
        <v>3.8893</v>
      </c>
      <c r="AJ36" s="720" t="n">
        <v>4.1677</v>
      </c>
      <c r="AK36" s="718" t="n"/>
      <c r="AL36" s="718" t="n"/>
      <c r="AM36" s="721" t="inlineStr">
        <is>
          <t>NNN; RE Tax $2.162M = $3.89/SF reflecting Adams County assessment increase (+34% YOY); 2024 CAM reconciliation</t>
        </is>
      </c>
    </row>
    <row r="37" ht="14.1" customHeight="1">
      <c r="A37" s="696" t="inlineStr">
        <is>
          <t>P015</t>
        </is>
      </c>
      <c r="B37" s="695" t="n">
        <v>407</v>
      </c>
      <c r="C37" s="696" t="inlineStr">
        <is>
          <t>R0180894</t>
        </is>
      </c>
      <c r="D37" s="696" t="inlineStr">
        <is>
          <t>1910 N Gun Club Rd</t>
        </is>
      </c>
      <c r="E37" s="696" t="inlineStr">
        <is>
          <t>Aurora</t>
        </is>
      </c>
      <c r="F37" s="696" t="inlineStr">
        <is>
          <t>CO</t>
        </is>
      </c>
      <c r="G37" s="696" t="inlineStr">
        <is>
          <t>Industrial</t>
        </is>
      </c>
      <c r="H37" s="696"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724" t="inlineStr">
        <is>
          <t>Actual accrual; security $159,500 in Other</t>
        </is>
      </c>
    </row>
    <row r="38" ht="14.1" customHeight="1">
      <c r="A38" s="718" t="inlineStr">
        <is>
          <t>P015</t>
        </is>
      </c>
      <c r="B38" s="695" t="n">
        <v>407</v>
      </c>
      <c r="C38" s="718" t="inlineStr">
        <is>
          <t>R0180894</t>
        </is>
      </c>
      <c r="D38" s="718" t="inlineStr">
        <is>
          <t>1910 N Gun Club Rd</t>
        </is>
      </c>
      <c r="E38" s="718" t="inlineStr">
        <is>
          <t>Aurora</t>
        </is>
      </c>
      <c r="F38" s="718" t="inlineStr">
        <is>
          <t>CO</t>
        </is>
      </c>
      <c r="G38" s="718" t="inlineStr">
        <is>
          <t>Industrial</t>
        </is>
      </c>
      <c r="H38" s="718" t="inlineStr">
        <is>
          <t>Distribution Warehouse Multi-Tenant NNN</t>
        </is>
      </c>
      <c r="I38" s="719" t="n">
        <v>2019</v>
      </c>
      <c r="J38" s="719" t="n">
        <v>163386</v>
      </c>
      <c r="K38" s="719" t="n">
        <v>2024</v>
      </c>
      <c r="L38" s="720" t="n">
        <v>13.1836</v>
      </c>
      <c r="M38" s="718" t="n"/>
      <c r="N38" s="720" t="n">
        <v>13.1836</v>
      </c>
      <c r="O38" s="720" t="n">
        <v>0.2943</v>
      </c>
      <c r="P38" s="720" t="n">
        <v>0.4581</v>
      </c>
      <c r="Q38" s="718" t="n"/>
      <c r="R38" s="718" t="n"/>
      <c r="S38" s="718" t="n"/>
      <c r="T38" s="718" t="n"/>
      <c r="U38" s="718" t="n"/>
      <c r="V38" s="718" t="n"/>
      <c r="W38" s="718" t="n"/>
      <c r="X38" s="718" t="n"/>
      <c r="Y38" s="720" t="n">
        <v>0.0322</v>
      </c>
      <c r="Z38" s="718" t="n"/>
      <c r="AA38" s="720" t="n">
        <v>0.0822</v>
      </c>
      <c r="AB38" s="720" t="n">
        <v>0.2856</v>
      </c>
      <c r="AC38" s="718" t="n"/>
      <c r="AD38" s="718" t="n"/>
      <c r="AE38" s="718" t="n"/>
      <c r="AF38" s="720" t="n">
        <v>0.3299</v>
      </c>
      <c r="AG38" s="720" t="n">
        <v>0.8113</v>
      </c>
      <c r="AH38" s="720" t="n">
        <v>2.4145</v>
      </c>
      <c r="AI38" s="720" t="n">
        <v>5.5843</v>
      </c>
      <c r="AJ38" s="720" t="n">
        <v>7.9988</v>
      </c>
      <c r="AK38" s="720" t="n">
        <v>5.1848</v>
      </c>
      <c r="AL38" s="718" t="n"/>
      <c r="AM38" s="721" t="inlineStr">
        <is>
          <t>Actual accrual; security $132,552 in Other</t>
        </is>
      </c>
    </row>
    <row r="39" ht="14.1" customHeight="1">
      <c r="A39" s="696" t="inlineStr">
        <is>
          <t>P016</t>
        </is>
      </c>
      <c r="B39" s="695" t="n">
        <v>584</v>
      </c>
      <c r="C39" s="696" t="inlineStr">
        <is>
          <t>R0212546/R0212547</t>
        </is>
      </c>
      <c r="D39" s="696" t="inlineStr">
        <is>
          <t>2780 N Tower Rd</t>
        </is>
      </c>
      <c r="E39" s="696" t="inlineStr">
        <is>
          <t>Aurora</t>
        </is>
      </c>
      <c r="F39" s="696" t="inlineStr">
        <is>
          <t>CO</t>
        </is>
      </c>
      <c r="G39" s="696" t="inlineStr">
        <is>
          <t>Industrial</t>
        </is>
      </c>
      <c r="H39" s="696"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724" t="inlineStr">
        <is>
          <t>County proforma only; limited line-item detail available</t>
        </is>
      </c>
    </row>
    <row r="40" ht="14.1" customHeight="1">
      <c r="A40" s="718" t="inlineStr">
        <is>
          <t>P017</t>
        </is>
      </c>
      <c r="B40" s="695" t="n">
        <v>210</v>
      </c>
      <c r="C40" s="718" t="inlineStr">
        <is>
          <t>R0098098</t>
        </is>
      </c>
      <c r="D40" s="718" t="inlineStr">
        <is>
          <t>1445 E 68th Ave</t>
        </is>
      </c>
      <c r="E40" s="718" t="inlineStr">
        <is>
          <t>Denver</t>
        </is>
      </c>
      <c r="F40" s="718" t="inlineStr">
        <is>
          <t>CO</t>
        </is>
      </c>
      <c r="G40" s="718" t="inlineStr">
        <is>
          <t>Industrial</t>
        </is>
      </c>
      <c r="H40" s="718" t="inlineStr">
        <is>
          <t>Industrial Office Mix</t>
        </is>
      </c>
      <c r="I40" s="719" t="n">
        <v>1972</v>
      </c>
      <c r="J40" s="719" t="n">
        <v>63348</v>
      </c>
      <c r="K40" s="719" t="n">
        <v>2024</v>
      </c>
      <c r="L40" s="718" t="n"/>
      <c r="M40" s="718" t="n"/>
      <c r="N40" s="718" t="n"/>
      <c r="O40" s="718" t="n"/>
      <c r="P40" s="718" t="n"/>
      <c r="Q40" s="718" t="n"/>
      <c r="R40" s="718" t="n"/>
      <c r="S40" s="718" t="n"/>
      <c r="T40" s="718" t="n"/>
      <c r="U40" s="718" t="n"/>
      <c r="V40" s="718" t="n"/>
      <c r="W40" s="718" t="n"/>
      <c r="X40" s="718" t="n"/>
      <c r="Y40" s="718" t="n"/>
      <c r="Z40" s="718" t="n"/>
      <c r="AA40" s="718" t="n"/>
      <c r="AB40" s="718" t="n"/>
      <c r="AC40" s="718" t="n"/>
      <c r="AD40" s="718" t="n"/>
      <c r="AE40" s="718" t="n"/>
      <c r="AF40" s="718" t="n"/>
      <c r="AG40" s="718" t="n"/>
      <c r="AH40" s="718" t="n"/>
      <c r="AI40" s="718" t="n"/>
      <c r="AJ40" s="718" t="n"/>
      <c r="AK40" s="718" t="n"/>
      <c r="AL40" s="718" t="n"/>
      <c r="AM40" s="721" t="inlineStr">
        <is>
          <t>County proforma 2024; YOC 1972/2006/2023 additions</t>
        </is>
      </c>
    </row>
    <row r="41" ht="14.1" customHeight="1">
      <c r="A41" s="696" t="inlineStr">
        <is>
          <t>P018</t>
        </is>
      </c>
      <c r="B41" s="695" t="n">
        <v>406</v>
      </c>
      <c r="C41" s="696" t="inlineStr">
        <is>
          <t>R0103783</t>
        </is>
      </c>
      <c r="D41" s="696" t="inlineStr">
        <is>
          <t>2031 E 58th Ave</t>
        </is>
      </c>
      <c r="E41" s="696" t="inlineStr">
        <is>
          <t>Denver</t>
        </is>
      </c>
      <c r="F41" s="696" t="inlineStr">
        <is>
          <t>CO</t>
        </is>
      </c>
      <c r="G41" s="696" t="inlineStr">
        <is>
          <t>Industrial</t>
        </is>
      </c>
      <c r="H41" s="696"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724" t="inlineStr">
        <is>
          <t>NNN billed charges; EGI = base rent + NNN pass-throughs</t>
        </is>
      </c>
    </row>
    <row r="42" ht="14.1" customHeight="1">
      <c r="A42" s="718" t="inlineStr">
        <is>
          <t>P018</t>
        </is>
      </c>
      <c r="B42" s="695" t="n">
        <v>406</v>
      </c>
      <c r="C42" s="718" t="inlineStr">
        <is>
          <t>R0103783</t>
        </is>
      </c>
      <c r="D42" s="718" t="inlineStr">
        <is>
          <t>2031 E 58th Ave</t>
        </is>
      </c>
      <c r="E42" s="718" t="inlineStr">
        <is>
          <t>Denver</t>
        </is>
      </c>
      <c r="F42" s="718" t="inlineStr">
        <is>
          <t>CO</t>
        </is>
      </c>
      <c r="G42" s="718" t="inlineStr">
        <is>
          <t>Industrial</t>
        </is>
      </c>
      <c r="H42" s="718" t="inlineStr">
        <is>
          <t>Storage Warehouse / Mod Office NNN</t>
        </is>
      </c>
      <c r="I42" s="719" t="n">
        <v>2004</v>
      </c>
      <c r="J42" s="719" t="n">
        <v>18720</v>
      </c>
      <c r="K42" s="719" t="n">
        <v>2023</v>
      </c>
      <c r="L42" s="720" t="n">
        <v>13.0298</v>
      </c>
      <c r="M42" s="718" t="n"/>
      <c r="N42" s="720" t="n">
        <v>15.7619</v>
      </c>
      <c r="O42" s="720" t="n">
        <v>0.2061</v>
      </c>
      <c r="P42" s="718" t="n"/>
      <c r="Q42" s="718" t="n"/>
      <c r="R42" s="718" t="n"/>
      <c r="S42" s="718" t="n"/>
      <c r="T42" s="718" t="n"/>
      <c r="U42" s="718" t="n"/>
      <c r="V42" s="718" t="n"/>
      <c r="W42" s="718" t="n"/>
      <c r="X42" s="718" t="n"/>
      <c r="Y42" s="718" t="n"/>
      <c r="Z42" s="718" t="n"/>
      <c r="AA42" s="718" t="n"/>
      <c r="AB42" s="718" t="n"/>
      <c r="AC42" s="720" t="n">
        <v>0.1296</v>
      </c>
      <c r="AD42" s="718" t="n"/>
      <c r="AE42" s="718" t="n"/>
      <c r="AF42" s="718" t="n"/>
      <c r="AG42" s="718" t="n"/>
      <c r="AH42" s="720" t="n">
        <v>0.3357</v>
      </c>
      <c r="AI42" s="720" t="n">
        <v>2.3964</v>
      </c>
      <c r="AJ42" s="720" t="n">
        <v>2.7321</v>
      </c>
      <c r="AK42" s="720" t="n">
        <v>13.0298</v>
      </c>
      <c r="AL42" s="718" t="n"/>
      <c r="AM42" s="721" t="inlineStr">
        <is>
          <t>NNN billed charges; EGI = base rent + NNN pass-throughs</t>
        </is>
      </c>
    </row>
    <row r="43" ht="14.1" customHeight="1">
      <c r="A43" s="696" t="inlineStr">
        <is>
          <t>P019</t>
        </is>
      </c>
      <c r="B43" s="695" t="n">
        <v>407</v>
      </c>
      <c r="C43" s="696" t="inlineStr">
        <is>
          <t>R0210402/R0210403</t>
        </is>
      </c>
      <c r="D43" s="696" t="inlineStr">
        <is>
          <t>17190 E 85th Ave</t>
        </is>
      </c>
      <c r="E43" s="696" t="inlineStr">
        <is>
          <t>Commerce City</t>
        </is>
      </c>
      <c r="F43" s="696" t="inlineStr">
        <is>
          <t>CO</t>
        </is>
      </c>
      <c r="G43" s="696" t="inlineStr">
        <is>
          <t>Industrial</t>
        </is>
      </c>
      <c r="H43" s="696"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724" t="inlineStr">
        <is>
          <t>Petitioner proforma 2024/25; limited line-item detail</t>
        </is>
      </c>
    </row>
    <row r="44" ht="14.1" customHeight="1">
      <c r="A44" s="718" t="inlineStr">
        <is>
          <t>P020</t>
        </is>
      </c>
      <c r="B44" s="695" t="n">
        <v>584</v>
      </c>
      <c r="C44" s="718" t="inlineStr">
        <is>
          <t>R0209679</t>
        </is>
      </c>
      <c r="D44" s="718" t="inlineStr">
        <is>
          <t>17501 E 84th Ave</t>
        </is>
      </c>
      <c r="E44" s="718" t="inlineStr">
        <is>
          <t>Commerce City</t>
        </is>
      </c>
      <c r="F44" s="718" t="inlineStr">
        <is>
          <t>CO</t>
        </is>
      </c>
      <c r="G44" s="718" t="inlineStr">
        <is>
          <t>Industrial</t>
        </is>
      </c>
      <c r="H44" s="718" t="inlineStr">
        <is>
          <t>Mega Warehouse / Distribution Center NNN (Lowe's)</t>
        </is>
      </c>
      <c r="I44" s="719" t="n">
        <v>2021</v>
      </c>
      <c r="J44" s="719" t="n">
        <v>999780</v>
      </c>
      <c r="K44" s="719" t="n">
        <v>2023</v>
      </c>
      <c r="L44" s="720" t="n">
        <v>12.3992</v>
      </c>
      <c r="M44" s="718" t="n"/>
      <c r="N44" s="720" t="n">
        <v>12.3992</v>
      </c>
      <c r="O44" s="720" t="n">
        <v>0.1505</v>
      </c>
      <c r="P44" s="720" t="n">
        <v>0.1005</v>
      </c>
      <c r="Q44" s="718" t="n"/>
      <c r="R44" s="718" t="n"/>
      <c r="S44" s="718" t="n"/>
      <c r="T44" s="718" t="n"/>
      <c r="U44" s="718" t="n"/>
      <c r="V44" s="718" t="n"/>
      <c r="W44" s="718" t="n"/>
      <c r="X44" s="718" t="n"/>
      <c r="Y44" s="720" t="n">
        <v>0.0533</v>
      </c>
      <c r="Z44" s="718" t="n"/>
      <c r="AA44" s="720" t="n">
        <v>0.0508</v>
      </c>
      <c r="AB44" s="720" t="n">
        <v>0.1178</v>
      </c>
      <c r="AC44" s="718" t="n"/>
      <c r="AD44" s="718" t="n"/>
      <c r="AE44" s="718" t="n"/>
      <c r="AF44" s="718" t="n"/>
      <c r="AG44" s="720" t="n">
        <v>0.008399999999999999</v>
      </c>
      <c r="AH44" s="720" t="n">
        <v>1.355</v>
      </c>
      <c r="AI44" s="720" t="n">
        <v>4.9234</v>
      </c>
      <c r="AJ44" s="720" t="n">
        <v>8.2796</v>
      </c>
      <c r="AK44" s="720" t="n">
        <v>4.1196</v>
      </c>
      <c r="AL44" s="718" t="n"/>
      <c r="AM44" s="721" t="inlineStr">
        <is>
          <t>Actual accrual; 2023 NOI inflated ~$2.8M by prior-yr RE tax adj; security in Other</t>
        </is>
      </c>
    </row>
    <row r="45" ht="14.1" customHeight="1">
      <c r="A45" s="696" t="inlineStr">
        <is>
          <t>P020</t>
        </is>
      </c>
      <c r="B45" s="695" t="n">
        <v>584</v>
      </c>
      <c r="C45" s="696" t="inlineStr">
        <is>
          <t>R0209679</t>
        </is>
      </c>
      <c r="D45" s="696" t="inlineStr">
        <is>
          <t>17501 E 84th Ave</t>
        </is>
      </c>
      <c r="E45" s="696" t="inlineStr">
        <is>
          <t>Commerce City</t>
        </is>
      </c>
      <c r="F45" s="696" t="inlineStr">
        <is>
          <t>CO</t>
        </is>
      </c>
      <c r="G45" s="696" t="inlineStr">
        <is>
          <t>Industrial</t>
        </is>
      </c>
      <c r="H45" s="696"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724" t="inlineStr">
        <is>
          <t>Actual accrual; security $30,799 in Other</t>
        </is>
      </c>
    </row>
    <row r="46" ht="14.1" customHeight="1">
      <c r="A46" s="718" t="inlineStr">
        <is>
          <t>P021</t>
        </is>
      </c>
      <c r="B46" s="695" t="n">
        <v>210</v>
      </c>
      <c r="C46" s="718" t="inlineStr">
        <is>
          <t>R0091931</t>
        </is>
      </c>
      <c r="D46" s="718" t="inlineStr">
        <is>
          <t>6300 E. 58th Ave</t>
        </is>
      </c>
      <c r="E46" s="718" t="inlineStr">
        <is>
          <t>Commerce City</t>
        </is>
      </c>
      <c r="F46" s="718" t="inlineStr">
        <is>
          <t>CO</t>
        </is>
      </c>
      <c r="G46" s="718" t="inlineStr">
        <is>
          <t>Industrial</t>
        </is>
      </c>
      <c r="H46" s="718" t="inlineStr">
        <is>
          <t>Multi-Tenant Industrial/Flex</t>
        </is>
      </c>
      <c r="I46" s="719" t="n">
        <v>1999</v>
      </c>
      <c r="J46" s="719" t="n">
        <v>90000</v>
      </c>
      <c r="K46" s="719" t="n">
        <v>2023</v>
      </c>
      <c r="L46" s="720" t="n">
        <v>10.5459</v>
      </c>
      <c r="M46" s="718" t="n"/>
      <c r="N46" s="720" t="n">
        <v>13.7594</v>
      </c>
      <c r="O46" s="720" t="n">
        <v>0.176</v>
      </c>
      <c r="P46" s="720" t="n">
        <v>0.516</v>
      </c>
      <c r="Q46" s="720" t="n">
        <v>0.0441</v>
      </c>
      <c r="R46" s="718" t="n"/>
      <c r="S46" s="720" t="n">
        <v>0.3032</v>
      </c>
      <c r="T46" s="720" t="n">
        <v>0.0731</v>
      </c>
      <c r="U46" s="718" t="n"/>
      <c r="V46" s="718" t="n"/>
      <c r="W46" s="718" t="n"/>
      <c r="X46" s="720" t="n">
        <v>0.2579</v>
      </c>
      <c r="Y46" s="720" t="n">
        <v>0.6783</v>
      </c>
      <c r="Z46" s="720" t="n">
        <v>0.0103</v>
      </c>
      <c r="AA46" s="720" t="n">
        <v>0.0531</v>
      </c>
      <c r="AB46" s="720" t="n">
        <v>0.1252</v>
      </c>
      <c r="AC46" s="720" t="n">
        <v>0.1886</v>
      </c>
      <c r="AD46" s="720" t="n">
        <v>0.1574</v>
      </c>
      <c r="AE46" s="720" t="n">
        <v>0.0621</v>
      </c>
      <c r="AF46" s="720" t="n">
        <v>0.2196</v>
      </c>
      <c r="AG46" s="718" t="n"/>
      <c r="AH46" s="720" t="n">
        <v>1.8054</v>
      </c>
      <c r="AI46" s="720" t="n">
        <v>3.1511</v>
      </c>
      <c r="AJ46" s="720" t="n">
        <v>4.9565</v>
      </c>
      <c r="AK46" s="720" t="n">
        <v>8.802899999999999</v>
      </c>
      <c r="AL46" s="718" t="n"/>
      <c r="AM46" s="721" t="inlineStr">
        <is>
          <t>Actual accrual; parking sweep in Trash; admin fees in Mgmt</t>
        </is>
      </c>
    </row>
    <row r="47" ht="14.1" customHeight="1">
      <c r="A47" s="696" t="inlineStr">
        <is>
          <t>P021</t>
        </is>
      </c>
      <c r="B47" s="695" t="n">
        <v>210</v>
      </c>
      <c r="C47" s="696" t="inlineStr">
        <is>
          <t>R0091931</t>
        </is>
      </c>
      <c r="D47" s="696" t="inlineStr">
        <is>
          <t>6300 E. 58th Ave</t>
        </is>
      </c>
      <c r="E47" s="696" t="inlineStr">
        <is>
          <t>Commerce City</t>
        </is>
      </c>
      <c r="F47" s="696" t="inlineStr">
        <is>
          <t>CO</t>
        </is>
      </c>
      <c r="G47" s="696" t="inlineStr">
        <is>
          <t>Industrial</t>
        </is>
      </c>
      <c r="H47" s="696"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724" t="inlineStr">
        <is>
          <t>Actual accrual; snow $14,953 also listed under ext R&amp;M; security/admin in ext maint</t>
        </is>
      </c>
    </row>
    <row r="48" ht="14.1" customHeight="1">
      <c r="A48" s="718" t="inlineStr">
        <is>
          <t>P022</t>
        </is>
      </c>
      <c r="B48" s="695" t="n">
        <v>210</v>
      </c>
      <c r="C48" s="718" t="inlineStr">
        <is>
          <t>R0111559</t>
        </is>
      </c>
      <c r="D48" s="718" t="inlineStr">
        <is>
          <t>3590 N. Himalaya Rd (Bldg 6)</t>
        </is>
      </c>
      <c r="E48" s="718" t="inlineStr">
        <is>
          <t>Aurora</t>
        </is>
      </c>
      <c r="F48" s="718" t="inlineStr">
        <is>
          <t>CO</t>
        </is>
      </c>
      <c r="G48" s="718" t="inlineStr">
        <is>
          <t>Industrial</t>
        </is>
      </c>
      <c r="H48" s="718" t="inlineStr">
        <is>
          <t>Multi-Tenant Industrial/Flex NNN</t>
        </is>
      </c>
      <c r="I48" s="719" t="n"/>
      <c r="J48" s="719" t="n"/>
      <c r="K48" s="719" t="n">
        <v>2024</v>
      </c>
      <c r="L48" s="730" t="n">
        <v>548918</v>
      </c>
      <c r="M48" s="718" t="n"/>
      <c r="N48" s="730" t="n">
        <v>766859</v>
      </c>
      <c r="O48" s="730" t="n">
        <v>23025</v>
      </c>
      <c r="P48" s="718" t="n"/>
      <c r="Q48" s="718" t="n"/>
      <c r="R48" s="718" t="n"/>
      <c r="S48" s="718" t="n"/>
      <c r="T48" s="718" t="n"/>
      <c r="U48" s="718" t="n"/>
      <c r="V48" s="718" t="n"/>
      <c r="W48" s="718" t="n"/>
      <c r="X48" s="718" t="n"/>
      <c r="Y48" s="718" t="n"/>
      <c r="Z48" s="718" t="n"/>
      <c r="AA48" s="718" t="n"/>
      <c r="AB48" s="718" t="n"/>
      <c r="AC48" s="718" t="n"/>
      <c r="AD48" s="730" t="n">
        <v>7986</v>
      </c>
      <c r="AE48" s="730" t="n">
        <v>33669</v>
      </c>
      <c r="AF48" s="730" t="n">
        <v>41655</v>
      </c>
      <c r="AG48" s="718" t="n"/>
      <c r="AH48" s="718" t="n"/>
      <c r="AI48" s="730" t="n">
        <v>129107</v>
      </c>
      <c r="AJ48" s="730" t="n">
        <v>250157</v>
      </c>
      <c r="AK48" s="730" t="n">
        <v>374789</v>
      </c>
      <c r="AL48" s="718" t="n"/>
      <c r="AM48" s="721" t="inlineStr">
        <is>
          <t>[NO SF] 2024 only – 2023 was transitional vacancy year; SF not confirmed; approx figures</t>
        </is>
      </c>
    </row>
    <row r="49" ht="14.1" customHeight="1">
      <c r="A49" s="696" t="inlineStr">
        <is>
          <t>P023</t>
        </is>
      </c>
      <c r="B49" s="695" t="n">
        <v>407</v>
      </c>
      <c r="C49" s="696" t="inlineStr">
        <is>
          <t>R0191098</t>
        </is>
      </c>
      <c r="D49" s="696" t="inlineStr">
        <is>
          <t>19754 E. 35th Dr (Bldg 4)</t>
        </is>
      </c>
      <c r="E49" s="696" t="inlineStr">
        <is>
          <t>Aurora</t>
        </is>
      </c>
      <c r="F49" s="696" t="inlineStr">
        <is>
          <t>CO</t>
        </is>
      </c>
      <c r="G49" s="696" t="inlineStr">
        <is>
          <t>Industrial</t>
        </is>
      </c>
      <c r="H49" s="696"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724" t="inlineStr">
        <is>
          <t>NNN; tenant pays most R&amp;M directly; Quality Custom Distribution lease thru 12/31/2029</t>
        </is>
      </c>
    </row>
    <row r="50" ht="14.1" customHeight="1">
      <c r="A50" s="718" t="inlineStr">
        <is>
          <t>P023</t>
        </is>
      </c>
      <c r="B50" s="695" t="n">
        <v>407</v>
      </c>
      <c r="C50" s="718" t="inlineStr">
        <is>
          <t>R0191098</t>
        </is>
      </c>
      <c r="D50" s="718" t="inlineStr">
        <is>
          <t>19754 E. 35th Dr (Bldg 4)</t>
        </is>
      </c>
      <c r="E50" s="718" t="inlineStr">
        <is>
          <t>Aurora</t>
        </is>
      </c>
      <c r="F50" s="718" t="inlineStr">
        <is>
          <t>CO</t>
        </is>
      </c>
      <c r="G50" s="718" t="inlineStr">
        <is>
          <t>Industrial</t>
        </is>
      </c>
      <c r="H50" s="718" t="inlineStr">
        <is>
          <t>Single-Tenant Industrial NNN</t>
        </is>
      </c>
      <c r="I50" s="719" t="n"/>
      <c r="J50" s="719" t="n">
        <v>155033</v>
      </c>
      <c r="K50" s="719" t="n">
        <v>2024</v>
      </c>
      <c r="L50" s="720" t="n">
        <v>6.5223</v>
      </c>
      <c r="M50" s="718" t="n"/>
      <c r="N50" s="720" t="n">
        <v>6.5223</v>
      </c>
      <c r="O50" s="720" t="n">
        <v>0.183</v>
      </c>
      <c r="P50" s="720" t="n">
        <v>0.1894</v>
      </c>
      <c r="Q50" s="718" t="n"/>
      <c r="R50" s="718" t="n"/>
      <c r="S50" s="718" t="n"/>
      <c r="T50" s="718" t="n"/>
      <c r="U50" s="718" t="n"/>
      <c r="V50" s="718" t="n"/>
      <c r="W50" s="718" t="n"/>
      <c r="X50" s="718" t="n"/>
      <c r="Y50" s="718" t="n"/>
      <c r="Z50" s="718" t="n"/>
      <c r="AA50" s="718" t="n"/>
      <c r="AB50" s="718" t="n"/>
      <c r="AC50" s="718" t="n"/>
      <c r="AD50" s="720" t="n">
        <v>0.2365</v>
      </c>
      <c r="AE50" s="720" t="n">
        <v>0.1764</v>
      </c>
      <c r="AF50" s="720" t="n">
        <v>0.4129</v>
      </c>
      <c r="AG50" s="718" t="n"/>
      <c r="AH50" s="720" t="n">
        <v>1.7082</v>
      </c>
      <c r="AI50" s="720" t="n">
        <v>0.7799</v>
      </c>
      <c r="AJ50" s="720" t="n">
        <v>2.4881</v>
      </c>
      <c r="AK50" s="720" t="n">
        <v>4.0342</v>
      </c>
      <c r="AL50" s="718" t="n"/>
      <c r="AM50" s="721" t="inlineStr">
        <is>
          <t>NNN; tenant pays most R&amp;M directly</t>
        </is>
      </c>
    </row>
    <row r="51" ht="14.1" customHeight="1">
      <c r="A51" s="696" t="inlineStr">
        <is>
          <t>P024</t>
        </is>
      </c>
      <c r="B51" s="695" t="n">
        <v>407</v>
      </c>
      <c r="C51" s="696" t="inlineStr">
        <is>
          <t>R0111560</t>
        </is>
      </c>
      <c r="D51" s="696" t="inlineStr">
        <is>
          <t>20320 E. 36th Dr (Bldg 7)</t>
        </is>
      </c>
      <c r="E51" s="696" t="inlineStr">
        <is>
          <t>Aurora</t>
        </is>
      </c>
      <c r="F51" s="696" t="inlineStr">
        <is>
          <t>CO</t>
        </is>
      </c>
      <c r="G51" s="696" t="inlineStr">
        <is>
          <t>Industrial</t>
        </is>
      </c>
      <c r="H51" s="696"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724" t="inlineStr">
        <is>
          <t>FedEx NNN thru 4/30/2024; tenant pays nearly all expenses; 2024 excluded (lease expiry vacancy)</t>
        </is>
      </c>
    </row>
    <row r="52" ht="14.1" customHeight="1">
      <c r="A52" s="718" t="inlineStr">
        <is>
          <t>P025</t>
        </is>
      </c>
      <c r="B52" s="695" t="n">
        <v>210</v>
      </c>
      <c r="C52" s="718" t="inlineStr">
        <is>
          <t>R0191099</t>
        </is>
      </c>
      <c r="D52" s="718" t="inlineStr">
        <is>
          <t>3559 N. Himalaya Rd (Bldg 5)</t>
        </is>
      </c>
      <c r="E52" s="718" t="inlineStr">
        <is>
          <t>Aurora</t>
        </is>
      </c>
      <c r="F52" s="718" t="inlineStr">
        <is>
          <t>CO</t>
        </is>
      </c>
      <c r="G52" s="718" t="inlineStr">
        <is>
          <t>Industrial</t>
        </is>
      </c>
      <c r="H52" s="718" t="inlineStr">
        <is>
          <t>Multi-Tenant Industrial NNN</t>
        </is>
      </c>
      <c r="I52" s="719" t="n"/>
      <c r="J52" s="719" t="n">
        <v>159047</v>
      </c>
      <c r="K52" s="719" t="n">
        <v>2023</v>
      </c>
      <c r="L52" s="718" t="n"/>
      <c r="M52" s="718" t="n"/>
      <c r="N52" s="720" t="n">
        <v>13.4944</v>
      </c>
      <c r="O52" s="718" t="n"/>
      <c r="P52" s="720" t="n">
        <v>0.0367</v>
      </c>
      <c r="Q52" s="718" t="n"/>
      <c r="R52" s="718" t="n"/>
      <c r="S52" s="718" t="n"/>
      <c r="T52" s="718" t="n"/>
      <c r="U52" s="718" t="n"/>
      <c r="V52" s="718" t="n"/>
      <c r="W52" s="718" t="n"/>
      <c r="X52" s="718" t="n"/>
      <c r="Y52" s="718" t="n"/>
      <c r="Z52" s="718" t="n"/>
      <c r="AA52" s="718" t="n"/>
      <c r="AB52" s="720" t="n">
        <v>0.0177</v>
      </c>
      <c r="AC52" s="718" t="n"/>
      <c r="AD52" s="718" t="n"/>
      <c r="AE52" s="718" t="n"/>
      <c r="AF52" s="718" t="n"/>
      <c r="AG52" s="718" t="n"/>
      <c r="AH52" s="718" t="n"/>
      <c r="AI52" s="718" t="n"/>
      <c r="AJ52" s="720" t="n">
        <v>6.3824</v>
      </c>
      <c r="AK52" s="720" t="n">
        <v>7.112</v>
      </c>
      <c r="AL52" s="718" t="n"/>
      <c r="AM52" s="721" t="inlineStr">
        <is>
          <t>Multi-tenant NNN; limited expense detail available; approx figures</t>
        </is>
      </c>
    </row>
    <row r="53" ht="14.1" customHeight="1">
      <c r="A53" s="696" t="inlineStr">
        <is>
          <t>P025</t>
        </is>
      </c>
      <c r="B53" s="695" t="n">
        <v>210</v>
      </c>
      <c r="C53" s="696" t="inlineStr">
        <is>
          <t>R0191099</t>
        </is>
      </c>
      <c r="D53" s="696" t="inlineStr">
        <is>
          <t>3559 N. Himalaya Rd (Bldg 5)</t>
        </is>
      </c>
      <c r="E53" s="696" t="inlineStr">
        <is>
          <t>Aurora</t>
        </is>
      </c>
      <c r="F53" s="696" t="inlineStr">
        <is>
          <t>CO</t>
        </is>
      </c>
      <c r="G53" s="696" t="inlineStr">
        <is>
          <t>Industrial</t>
        </is>
      </c>
      <c r="H53" s="696"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724" t="inlineStr">
        <is>
          <t>Multi-tenant NNN; limited expense detail available; approx figures</t>
        </is>
      </c>
    </row>
    <row r="54" ht="14.1" customHeight="1">
      <c r="A54" s="718" t="inlineStr">
        <is>
          <t>P026</t>
        </is>
      </c>
      <c r="B54" s="695" t="n">
        <v>406</v>
      </c>
      <c r="C54" s="718" t="inlineStr">
        <is>
          <t>R0092667</t>
        </is>
      </c>
      <c r="D54" s="718" t="inlineStr">
        <is>
          <t>4901 Locust St</t>
        </is>
      </c>
      <c r="E54" s="718" t="inlineStr">
        <is>
          <t>Commerce City</t>
        </is>
      </c>
      <c r="F54" s="718" t="inlineStr">
        <is>
          <t>CO</t>
        </is>
      </c>
      <c r="G54" s="718" t="inlineStr">
        <is>
          <t>Industrial</t>
        </is>
      </c>
      <c r="H54" s="718" t="inlineStr">
        <is>
          <t>Industrial Warehouse</t>
        </is>
      </c>
      <c r="I54" s="719" t="n"/>
      <c r="J54" s="719" t="n">
        <v>29512</v>
      </c>
      <c r="K54" s="719" t="n">
        <v>2024</v>
      </c>
      <c r="L54" s="718" t="n"/>
      <c r="M54" s="718" t="n"/>
      <c r="N54" s="720" t="n">
        <v>14.2131</v>
      </c>
      <c r="O54" s="720" t="n">
        <v>0.15</v>
      </c>
      <c r="P54" s="720" t="n">
        <v>0.3553</v>
      </c>
      <c r="Q54" s="718" t="n"/>
      <c r="R54" s="718" t="n"/>
      <c r="S54" s="718" t="n"/>
      <c r="T54" s="718" t="n"/>
      <c r="U54" s="718" t="n"/>
      <c r="V54" s="718" t="n"/>
      <c r="W54" s="718" t="n"/>
      <c r="X54" s="720" t="n">
        <v>0.55</v>
      </c>
      <c r="Y54" s="720" t="n">
        <v>0.55</v>
      </c>
      <c r="Z54" s="718" t="n"/>
      <c r="AA54" s="718" t="n"/>
      <c r="AB54" s="718" t="n"/>
      <c r="AC54" s="718" t="n"/>
      <c r="AD54" s="718" t="n"/>
      <c r="AE54" s="718" t="n"/>
      <c r="AF54" s="720" t="n">
        <v>0.25</v>
      </c>
      <c r="AG54" s="720" t="n">
        <v>0.5</v>
      </c>
      <c r="AH54" s="720" t="n">
        <v>2.0053</v>
      </c>
      <c r="AI54" s="720" t="n">
        <v>3.315</v>
      </c>
      <c r="AJ54" s="720" t="n">
        <v>5.3203</v>
      </c>
      <c r="AK54" s="720" t="n">
        <v>8.892799999999999</v>
      </c>
      <c r="AL54" s="720" t="n">
        <v>0.2</v>
      </c>
      <c r="AM54" s="721" t="inlineStr">
        <is>
          <t>Newmark stabilized proforma 6/30/2024; cap rate 7.00%; not actual historical</t>
        </is>
      </c>
    </row>
    <row r="55" ht="14.1" customHeight="1">
      <c r="A55" s="696" t="inlineStr">
        <is>
          <t>P022</t>
        </is>
      </c>
      <c r="B55" s="695" t="n">
        <v>210</v>
      </c>
      <c r="C55" s="696" t="inlineStr">
        <is>
          <t>R0111559</t>
        </is>
      </c>
      <c r="D55" s="696" t="inlineStr">
        <is>
          <t>3590 N. Himalaya Rd (Bldg 6)</t>
        </is>
      </c>
      <c r="E55" s="696" t="inlineStr">
        <is>
          <t>Aurora</t>
        </is>
      </c>
      <c r="F55" s="696" t="inlineStr">
        <is>
          <t>CO</t>
        </is>
      </c>
      <c r="G55" s="696" t="inlineStr">
        <is>
          <t>Industrial</t>
        </is>
      </c>
      <c r="H55" s="696"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724" t="inlineStr">
        <is>
          <t>NNN landlord expenses only; from AXG Whse Expenses PSF.xlsx</t>
        </is>
      </c>
    </row>
    <row r="56" ht="14.1" customHeight="1">
      <c r="A56" s="718" t="inlineStr">
        <is>
          <t>P022</t>
        </is>
      </c>
      <c r="B56" s="695" t="n">
        <v>210</v>
      </c>
      <c r="C56" s="718" t="inlineStr">
        <is>
          <t>R0111559</t>
        </is>
      </c>
      <c r="D56" s="718" t="inlineStr">
        <is>
          <t>3590 N. Himalaya Rd (Bldg 6)</t>
        </is>
      </c>
      <c r="E56" s="718" t="inlineStr">
        <is>
          <t>Aurora</t>
        </is>
      </c>
      <c r="F56" s="718" t="inlineStr">
        <is>
          <t>CO</t>
        </is>
      </c>
      <c r="G56" s="718" t="inlineStr">
        <is>
          <t>Industrial</t>
        </is>
      </c>
      <c r="H56" s="718" t="inlineStr">
        <is>
          <t>Multi-Tenant Industrial/Flex NNN</t>
        </is>
      </c>
      <c r="I56" s="719" t="n">
        <v>1998</v>
      </c>
      <c r="J56" s="719" t="n">
        <v>123603</v>
      </c>
      <c r="K56" s="719" t="n">
        <v>2022</v>
      </c>
      <c r="L56" s="718" t="n"/>
      <c r="M56" s="718" t="n"/>
      <c r="N56" s="718" t="n"/>
      <c r="O56" s="720" t="n">
        <v>0.0893</v>
      </c>
      <c r="P56" s="720" t="n">
        <v>0.3221</v>
      </c>
      <c r="Q56" s="718" t="n"/>
      <c r="R56" s="718" t="n"/>
      <c r="S56" s="718" t="n"/>
      <c r="T56" s="718" t="n"/>
      <c r="U56" s="718" t="n"/>
      <c r="V56" s="718" t="n"/>
      <c r="W56" s="718" t="n"/>
      <c r="X56" s="718" t="n"/>
      <c r="Y56" s="718" t="n"/>
      <c r="Z56" s="718" t="n"/>
      <c r="AA56" s="718" t="n"/>
      <c r="AB56" s="718" t="n"/>
      <c r="AC56" s="720" t="n">
        <v>0.7439</v>
      </c>
      <c r="AD56" s="718" t="n"/>
      <c r="AE56" s="718" t="n"/>
      <c r="AF56" s="720" t="n">
        <v>0.3112</v>
      </c>
      <c r="AG56" s="718" t="n"/>
      <c r="AH56" s="720" t="n">
        <v>1.4664</v>
      </c>
      <c r="AI56" s="720" t="n">
        <v>2.5796</v>
      </c>
      <c r="AJ56" s="720" t="n">
        <v>4.046</v>
      </c>
      <c r="AK56" s="718" t="n"/>
      <c r="AL56" s="718" t="n"/>
      <c r="AM56" s="721" t="inlineStr">
        <is>
          <t>NNN landlord expenses only; from AXG Whse Expenses PSF.xlsx</t>
        </is>
      </c>
    </row>
    <row r="57" ht="14.1" customHeight="1">
      <c r="A57" s="696" t="inlineStr">
        <is>
          <t>P024</t>
        </is>
      </c>
      <c r="B57" s="695" t="n">
        <v>407</v>
      </c>
      <c r="C57" s="696" t="inlineStr">
        <is>
          <t>R0111560</t>
        </is>
      </c>
      <c r="D57" s="696" t="inlineStr">
        <is>
          <t>20320 E. 36th Dr (Bldg 7)</t>
        </is>
      </c>
      <c r="E57" s="696" t="inlineStr">
        <is>
          <t>Aurora</t>
        </is>
      </c>
      <c r="F57" s="696" t="inlineStr">
        <is>
          <t>CO</t>
        </is>
      </c>
      <c r="G57" s="696" t="inlineStr">
        <is>
          <t>Industrial</t>
        </is>
      </c>
      <c r="H57" s="696"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724" t="inlineStr">
        <is>
          <t>NNN landlord expenses only; from AXG Whse Expenses PSF.xlsx</t>
        </is>
      </c>
    </row>
    <row r="58" ht="14.1" customHeight="1">
      <c r="A58" s="718" t="inlineStr">
        <is>
          <t>P024</t>
        </is>
      </c>
      <c r="B58" s="695" t="n">
        <v>407</v>
      </c>
      <c r="C58" s="718" t="inlineStr">
        <is>
          <t>R0111560</t>
        </is>
      </c>
      <c r="D58" s="718" t="inlineStr">
        <is>
          <t>20320 E. 36th Dr (Bldg 7)</t>
        </is>
      </c>
      <c r="E58" s="718" t="inlineStr">
        <is>
          <t>Aurora</t>
        </is>
      </c>
      <c r="F58" s="718" t="inlineStr">
        <is>
          <t>CO</t>
        </is>
      </c>
      <c r="G58" s="718" t="inlineStr">
        <is>
          <t>Industrial</t>
        </is>
      </c>
      <c r="H58" s="718" t="inlineStr">
        <is>
          <t>Single-Tenant Industrial NNN</t>
        </is>
      </c>
      <c r="I58" s="719" t="n">
        <v>1998</v>
      </c>
      <c r="J58" s="719" t="n">
        <v>199962</v>
      </c>
      <c r="K58" s="719" t="n">
        <v>2020</v>
      </c>
      <c r="L58" s="718" t="n"/>
      <c r="M58" s="718" t="n"/>
      <c r="N58" s="718" t="n"/>
      <c r="O58" s="720" t="n">
        <v>0.0484</v>
      </c>
      <c r="P58" s="720" t="n">
        <v>0.1332</v>
      </c>
      <c r="Q58" s="718" t="n"/>
      <c r="R58" s="718" t="n"/>
      <c r="S58" s="718" t="n"/>
      <c r="T58" s="718" t="n"/>
      <c r="U58" s="718" t="n"/>
      <c r="V58" s="718" t="n"/>
      <c r="W58" s="718" t="n"/>
      <c r="X58" s="718" t="n"/>
      <c r="Y58" s="718" t="n"/>
      <c r="Z58" s="718" t="n"/>
      <c r="AA58" s="718" t="n"/>
      <c r="AB58" s="718" t="n"/>
      <c r="AC58" s="720" t="n">
        <v>0.7242</v>
      </c>
      <c r="AD58" s="718" t="n"/>
      <c r="AE58" s="718" t="n"/>
      <c r="AF58" s="718" t="n"/>
      <c r="AG58" s="718" t="n"/>
      <c r="AH58" s="720" t="n">
        <v>0.9058</v>
      </c>
      <c r="AI58" s="720" t="n">
        <v>2.0784</v>
      </c>
      <c r="AJ58" s="720" t="n">
        <v>2.9841</v>
      </c>
      <c r="AK58" s="718" t="n"/>
      <c r="AL58" s="718" t="n"/>
      <c r="AM58" s="721" t="inlineStr">
        <is>
          <t>NNN landlord expenses only; from AXG Whse Expenses PSF.xlsx</t>
        </is>
      </c>
    </row>
    <row r="59" ht="14.1" customHeight="1">
      <c r="A59" s="696" t="inlineStr">
        <is>
          <t>P025</t>
        </is>
      </c>
      <c r="B59" s="695" t="n">
        <v>210</v>
      </c>
      <c r="C59" s="696" t="inlineStr">
        <is>
          <t>R0191099</t>
        </is>
      </c>
      <c r="D59" s="696" t="inlineStr">
        <is>
          <t>3559 N. Himalaya Rd (Bldg 5)</t>
        </is>
      </c>
      <c r="E59" s="696" t="inlineStr">
        <is>
          <t>Aurora</t>
        </is>
      </c>
      <c r="F59" s="696" t="inlineStr">
        <is>
          <t>CO</t>
        </is>
      </c>
      <c r="G59" s="696" t="inlineStr">
        <is>
          <t>Industrial</t>
        </is>
      </c>
      <c r="H59" s="696"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724" t="inlineStr">
        <is>
          <t>NNN landlord expenses only; from AXG Whse Expenses PSF.xlsx</t>
        </is>
      </c>
    </row>
    <row r="60" ht="14.1" customHeight="1">
      <c r="A60" s="718" t="inlineStr">
        <is>
          <t>P025</t>
        </is>
      </c>
      <c r="B60" s="695" t="n">
        <v>210</v>
      </c>
      <c r="C60" s="718" t="inlineStr">
        <is>
          <t>R0191099</t>
        </is>
      </c>
      <c r="D60" s="718" t="inlineStr">
        <is>
          <t>3559 N. Himalaya Rd (Bldg 5)</t>
        </is>
      </c>
      <c r="E60" s="718" t="inlineStr">
        <is>
          <t>Aurora</t>
        </is>
      </c>
      <c r="F60" s="718" t="inlineStr">
        <is>
          <t>CO</t>
        </is>
      </c>
      <c r="G60" s="718" t="inlineStr">
        <is>
          <t>Industrial</t>
        </is>
      </c>
      <c r="H60" s="718" t="inlineStr">
        <is>
          <t>Multi-Tenant Industrial NNN</t>
        </is>
      </c>
      <c r="I60" s="719" t="n">
        <v>2017</v>
      </c>
      <c r="J60" s="719" t="n">
        <v>159047</v>
      </c>
      <c r="K60" s="719" t="n">
        <v>2022</v>
      </c>
      <c r="L60" s="718" t="n"/>
      <c r="M60" s="718" t="n"/>
      <c r="N60" s="718" t="n"/>
      <c r="O60" s="720" t="n">
        <v>0.1017</v>
      </c>
      <c r="P60" s="720" t="n">
        <v>0.3102</v>
      </c>
      <c r="Q60" s="718" t="n"/>
      <c r="R60" s="718" t="n"/>
      <c r="S60" s="718" t="n"/>
      <c r="T60" s="718" t="n"/>
      <c r="U60" s="718" t="n"/>
      <c r="V60" s="718" t="n"/>
      <c r="W60" s="718" t="n"/>
      <c r="X60" s="718" t="n"/>
      <c r="Y60" s="718" t="n"/>
      <c r="Z60" s="718" t="n"/>
      <c r="AA60" s="718" t="n"/>
      <c r="AB60" s="718" t="n"/>
      <c r="AC60" s="720" t="n">
        <v>0.3353</v>
      </c>
      <c r="AD60" s="718" t="n"/>
      <c r="AE60" s="718" t="n"/>
      <c r="AF60" s="720" t="n">
        <v>0.3232</v>
      </c>
      <c r="AG60" s="718" t="n"/>
      <c r="AH60" s="720" t="n">
        <v>1.0704</v>
      </c>
      <c r="AI60" s="720" t="n">
        <v>2.9479</v>
      </c>
      <c r="AJ60" s="720" t="n">
        <v>4.0183</v>
      </c>
      <c r="AK60" s="718" t="n"/>
      <c r="AL60" s="718" t="n"/>
      <c r="AM60" s="721" t="inlineStr">
        <is>
          <t>NNN landlord expenses only; from AXG Whse Expenses PSF.xlsx</t>
        </is>
      </c>
    </row>
    <row r="61" ht="14.1" customHeight="1">
      <c r="A61" s="696" t="inlineStr">
        <is>
          <t>P027</t>
        </is>
      </c>
      <c r="B61" s="695" t="n">
        <v>407</v>
      </c>
      <c r="C61" s="696" t="inlineStr">
        <is>
          <t>R0132030</t>
        </is>
      </c>
      <c r="D61" s="696" t="inlineStr">
        <is>
          <t>Majestic Commercenter (R0132030)</t>
        </is>
      </c>
      <c r="E61" s="696" t="inlineStr">
        <is>
          <t>Commerce City</t>
        </is>
      </c>
      <c r="F61" s="696" t="inlineStr">
        <is>
          <t>CO</t>
        </is>
      </c>
      <c r="G61" s="696" t="inlineStr">
        <is>
          <t>Industrial</t>
        </is>
      </c>
      <c r="H61" s="696"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724" t="inlineStr">
        <is>
          <t>NNN landlord expenses only; from AXG Whse Expenses PSF.xlsx (R0132030)</t>
        </is>
      </c>
    </row>
    <row r="62" ht="14.1" customHeight="1">
      <c r="A62" s="718" t="inlineStr">
        <is>
          <t>P027</t>
        </is>
      </c>
      <c r="B62" s="695" t="n">
        <v>407</v>
      </c>
      <c r="C62" s="718" t="inlineStr">
        <is>
          <t>R0132030</t>
        </is>
      </c>
      <c r="D62" s="718" t="inlineStr">
        <is>
          <t>Majestic Commercenter (R0132030)</t>
        </is>
      </c>
      <c r="E62" s="718" t="inlineStr">
        <is>
          <t>Commerce City</t>
        </is>
      </c>
      <c r="F62" s="718" t="inlineStr">
        <is>
          <t>CO</t>
        </is>
      </c>
      <c r="G62" s="718" t="inlineStr">
        <is>
          <t>Industrial</t>
        </is>
      </c>
      <c r="H62" s="718" t="inlineStr">
        <is>
          <t>Warehouse NNN</t>
        </is>
      </c>
      <c r="I62" s="719" t="n">
        <v>2001</v>
      </c>
      <c r="J62" s="719" t="n">
        <v>200094</v>
      </c>
      <c r="K62" s="719" t="n">
        <v>2022</v>
      </c>
      <c r="L62" s="718" t="n"/>
      <c r="M62" s="718" t="n"/>
      <c r="N62" s="718" t="n"/>
      <c r="O62" s="720" t="n">
        <v>0.0761</v>
      </c>
      <c r="P62" s="720" t="n">
        <v>0.2474</v>
      </c>
      <c r="Q62" s="718" t="n"/>
      <c r="R62" s="718" t="n"/>
      <c r="S62" s="718" t="n"/>
      <c r="T62" s="718" t="n"/>
      <c r="U62" s="718" t="n"/>
      <c r="V62" s="718" t="n"/>
      <c r="W62" s="718" t="n"/>
      <c r="X62" s="718" t="n"/>
      <c r="Y62" s="718" t="n"/>
      <c r="Z62" s="718" t="n"/>
      <c r="AA62" s="718" t="n"/>
      <c r="AB62" s="718" t="n"/>
      <c r="AC62" s="720" t="n">
        <v>0.49</v>
      </c>
      <c r="AD62" s="718" t="n"/>
      <c r="AE62" s="718" t="n"/>
      <c r="AF62" s="720" t="n">
        <v>0.3539</v>
      </c>
      <c r="AG62" s="718" t="n"/>
      <c r="AH62" s="720" t="n">
        <v>1.1674</v>
      </c>
      <c r="AI62" s="720" t="n">
        <v>2.2575</v>
      </c>
      <c r="AJ62" s="720" t="n">
        <v>3.4249</v>
      </c>
      <c r="AK62" s="718" t="n"/>
      <c r="AL62" s="718" t="n"/>
      <c r="AM62" s="721" t="inlineStr">
        <is>
          <t>NNN landlord expenses only; from AXG Whse Expenses PSF.xlsx (R0132030)</t>
        </is>
      </c>
    </row>
    <row r="63" ht="14.1" customHeight="1">
      <c r="A63" s="696" t="inlineStr">
        <is>
          <t>P028</t>
        </is>
      </c>
      <c r="B63" s="695" t="n">
        <v>407</v>
      </c>
      <c r="C63" s="696" t="inlineStr">
        <is>
          <t>R0084040</t>
        </is>
      </c>
      <c r="D63" s="696" t="inlineStr">
        <is>
          <t>Majestic Commercenter (R0084040)</t>
        </is>
      </c>
      <c r="E63" s="696" t="inlineStr">
        <is>
          <t>Commerce City</t>
        </is>
      </c>
      <c r="F63" s="696" t="inlineStr">
        <is>
          <t>CO</t>
        </is>
      </c>
      <c r="G63" s="696" t="inlineStr">
        <is>
          <t>Industrial</t>
        </is>
      </c>
      <c r="H63" s="696"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724" t="inlineStr">
        <is>
          <t>NNN landlord expenses only; from AXG Whse Expenses PSF.xlsx (R0084040)</t>
        </is>
      </c>
    </row>
    <row r="64" ht="14.1" customHeight="1">
      <c r="A64" s="718" t="inlineStr">
        <is>
          <t>P028</t>
        </is>
      </c>
      <c r="B64" s="695" t="n">
        <v>407</v>
      </c>
      <c r="C64" s="718" t="inlineStr">
        <is>
          <t>R0084040</t>
        </is>
      </c>
      <c r="D64" s="718" t="inlineStr">
        <is>
          <t>Majestic Commercenter (R0084040)</t>
        </is>
      </c>
      <c r="E64" s="718" t="inlineStr">
        <is>
          <t>Commerce City</t>
        </is>
      </c>
      <c r="F64" s="718" t="inlineStr">
        <is>
          <t>CO</t>
        </is>
      </c>
      <c r="G64" s="718" t="inlineStr">
        <is>
          <t>Industrial</t>
        </is>
      </c>
      <c r="H64" s="718" t="inlineStr">
        <is>
          <t>Warehouse NNN</t>
        </is>
      </c>
      <c r="I64" s="719" t="n">
        <v>1997</v>
      </c>
      <c r="J64" s="719" t="n">
        <v>177736</v>
      </c>
      <c r="K64" s="719" t="n">
        <v>2022</v>
      </c>
      <c r="L64" s="718" t="n"/>
      <c r="M64" s="718" t="n"/>
      <c r="N64" s="718" t="n"/>
      <c r="O64" s="720" t="n">
        <v>0.07829999999999999</v>
      </c>
      <c r="P64" s="720" t="n">
        <v>0.3114</v>
      </c>
      <c r="Q64" s="718" t="n"/>
      <c r="R64" s="718" t="n"/>
      <c r="S64" s="718" t="n"/>
      <c r="T64" s="718" t="n"/>
      <c r="U64" s="718" t="n"/>
      <c r="V64" s="718" t="n"/>
      <c r="W64" s="718" t="n"/>
      <c r="X64" s="718" t="n"/>
      <c r="Y64" s="718" t="n"/>
      <c r="Z64" s="718" t="n"/>
      <c r="AA64" s="718" t="n"/>
      <c r="AB64" s="718" t="n"/>
      <c r="AC64" s="720" t="n">
        <v>0.6591</v>
      </c>
      <c r="AD64" s="718" t="n"/>
      <c r="AE64" s="718" t="n"/>
      <c r="AF64" s="720" t="n">
        <v>0.3559</v>
      </c>
      <c r="AG64" s="718" t="n"/>
      <c r="AH64" s="720" t="n">
        <v>1.4047</v>
      </c>
      <c r="AI64" s="720" t="n">
        <v>2.8511</v>
      </c>
      <c r="AJ64" s="720" t="n">
        <v>4.2558</v>
      </c>
      <c r="AK64" s="718" t="n"/>
      <c r="AL64" s="718" t="n"/>
      <c r="AM64" s="721" t="inlineStr">
        <is>
          <t>NNN landlord expenses only; from AXG Whse Expenses PSF.xlsx (R0084040)</t>
        </is>
      </c>
    </row>
    <row r="65" ht="14.1" customHeight="1">
      <c r="A65" s="696" t="inlineStr">
        <is>
          <t>P029</t>
        </is>
      </c>
      <c r="B65" s="695" t="n">
        <v>407</v>
      </c>
      <c r="C65" s="696" t="inlineStr">
        <is>
          <t>R0084041</t>
        </is>
      </c>
      <c r="D65" s="696" t="inlineStr">
        <is>
          <t>Majestic Commercenter (R0084041)</t>
        </is>
      </c>
      <c r="E65" s="696" t="inlineStr">
        <is>
          <t>Commerce City</t>
        </is>
      </c>
      <c r="F65" s="696" t="inlineStr">
        <is>
          <t>CO</t>
        </is>
      </c>
      <c r="G65" s="696" t="inlineStr">
        <is>
          <t>Industrial</t>
        </is>
      </c>
      <c r="H65" s="696"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724" t="inlineStr">
        <is>
          <t>NNN landlord expenses only; from AXG Whse Expenses PSF.xlsx (R0084041)</t>
        </is>
      </c>
    </row>
    <row r="66" ht="14.1" customHeight="1">
      <c r="A66" s="718" t="inlineStr">
        <is>
          <t>P029</t>
        </is>
      </c>
      <c r="B66" s="695" t="n">
        <v>407</v>
      </c>
      <c r="C66" s="718" t="inlineStr">
        <is>
          <t>R0084041</t>
        </is>
      </c>
      <c r="D66" s="718" t="inlineStr">
        <is>
          <t>Majestic Commercenter (R0084041)</t>
        </is>
      </c>
      <c r="E66" s="718" t="inlineStr">
        <is>
          <t>Commerce City</t>
        </is>
      </c>
      <c r="F66" s="718" t="inlineStr">
        <is>
          <t>CO</t>
        </is>
      </c>
      <c r="G66" s="718" t="inlineStr">
        <is>
          <t>Industrial</t>
        </is>
      </c>
      <c r="H66" s="718" t="inlineStr">
        <is>
          <t>Warehouse NNN</t>
        </is>
      </c>
      <c r="I66" s="719" t="n">
        <v>1997</v>
      </c>
      <c r="J66" s="719" t="n">
        <v>200371</v>
      </c>
      <c r="K66" s="719" t="n">
        <v>2022</v>
      </c>
      <c r="L66" s="718" t="n"/>
      <c r="M66" s="718" t="n"/>
      <c r="N66" s="718" t="n"/>
      <c r="O66" s="720" t="n">
        <v>0.073</v>
      </c>
      <c r="P66" s="720" t="n">
        <v>0.1496</v>
      </c>
      <c r="Q66" s="718" t="n"/>
      <c r="R66" s="718" t="n"/>
      <c r="S66" s="718" t="n"/>
      <c r="T66" s="718" t="n"/>
      <c r="U66" s="718" t="n"/>
      <c r="V66" s="718" t="n"/>
      <c r="W66" s="718" t="n"/>
      <c r="X66" s="718" t="n"/>
      <c r="Y66" s="718" t="n"/>
      <c r="Z66" s="718" t="n"/>
      <c r="AA66" s="718" t="n"/>
      <c r="AB66" s="718" t="n"/>
      <c r="AC66" s="720" t="n">
        <v>0.5187</v>
      </c>
      <c r="AD66" s="718" t="n"/>
      <c r="AE66" s="718" t="n"/>
      <c r="AF66" s="718" t="n"/>
      <c r="AG66" s="718" t="n"/>
      <c r="AH66" s="720" t="n">
        <v>0.7413</v>
      </c>
      <c r="AI66" s="720" t="n">
        <v>2.5893</v>
      </c>
      <c r="AJ66" s="720" t="n">
        <v>3.3306</v>
      </c>
      <c r="AK66" s="718" t="n"/>
      <c r="AL66" s="718" t="n"/>
      <c r="AM66" s="721" t="inlineStr">
        <is>
          <t>NNN landlord expenses only; from AXG Whse Expenses PSF.xlsx (R0084041)</t>
        </is>
      </c>
    </row>
    <row r="67" ht="14.1" customHeight="1">
      <c r="A67" s="696" t="inlineStr">
        <is>
          <t>P030</t>
        </is>
      </c>
      <c r="B67" s="695" t="n">
        <v>584</v>
      </c>
      <c r="C67" s="696" t="inlineStr">
        <is>
          <t>R0217015</t>
        </is>
      </c>
      <c r="D67" s="696" t="inlineStr">
        <is>
          <t>Majestic Commercenter (R0217015)</t>
        </is>
      </c>
      <c r="E67" s="696" t="inlineStr">
        <is>
          <t>Commerce City</t>
        </is>
      </c>
      <c r="F67" s="696" t="inlineStr">
        <is>
          <t>CO</t>
        </is>
      </c>
      <c r="G67" s="696" t="inlineStr">
        <is>
          <t>Industrial</t>
        </is>
      </c>
      <c r="H67" s="696"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724" t="inlineStr">
        <is>
          <t>NNN landlord expenses only; from AXG Whse Expenses PSF.xlsx (R0217015)</t>
        </is>
      </c>
    </row>
    <row r="68" ht="14.1" customHeight="1">
      <c r="A68" s="718" t="inlineStr">
        <is>
          <t>P031</t>
        </is>
      </c>
      <c r="B68" s="695" t="n">
        <v>407</v>
      </c>
      <c r="C68" s="718" t="inlineStr">
        <is>
          <t>R0111562</t>
        </is>
      </c>
      <c r="D68" s="718" t="inlineStr">
        <is>
          <t>Majestic Commercenter (R0111562)</t>
        </is>
      </c>
      <c r="E68" s="718" t="inlineStr">
        <is>
          <t>Commerce City</t>
        </is>
      </c>
      <c r="F68" s="718" t="inlineStr">
        <is>
          <t>CO</t>
        </is>
      </c>
      <c r="G68" s="718" t="inlineStr">
        <is>
          <t>Industrial</t>
        </is>
      </c>
      <c r="H68" s="718" t="inlineStr">
        <is>
          <t>Warehouse NNN</t>
        </is>
      </c>
      <c r="I68" s="719" t="n">
        <v>2000</v>
      </c>
      <c r="J68" s="719" t="n">
        <v>149175</v>
      </c>
      <c r="K68" s="719" t="n">
        <v>2019</v>
      </c>
      <c r="L68" s="718" t="n"/>
      <c r="M68" s="718" t="n"/>
      <c r="N68" s="718" t="n"/>
      <c r="O68" s="720" t="n">
        <v>0.0437</v>
      </c>
      <c r="P68" s="720" t="n">
        <v>0.1522</v>
      </c>
      <c r="Q68" s="718" t="n"/>
      <c r="R68" s="718" t="n"/>
      <c r="S68" s="718" t="n"/>
      <c r="T68" s="718" t="n"/>
      <c r="U68" s="718" t="n"/>
      <c r="V68" s="718" t="n"/>
      <c r="W68" s="718" t="n"/>
      <c r="X68" s="718" t="n"/>
      <c r="Y68" s="718" t="n"/>
      <c r="Z68" s="718" t="n"/>
      <c r="AA68" s="718" t="n"/>
      <c r="AB68" s="718" t="n"/>
      <c r="AC68" s="720" t="n">
        <v>0.6822</v>
      </c>
      <c r="AD68" s="718" t="n"/>
      <c r="AE68" s="718" t="n"/>
      <c r="AF68" s="718" t="n"/>
      <c r="AG68" s="718" t="n"/>
      <c r="AH68" s="720" t="n">
        <v>0.8781</v>
      </c>
      <c r="AI68" s="720" t="n">
        <v>1.8902</v>
      </c>
      <c r="AJ68" s="720" t="n">
        <v>2.7683</v>
      </c>
      <c r="AK68" s="718" t="n"/>
      <c r="AL68" s="718" t="n"/>
      <c r="AM68" s="721" t="inlineStr">
        <is>
          <t>NNN landlord expenses only; from AXG Whse Expenses PSF.xlsx (R0111562)</t>
        </is>
      </c>
    </row>
    <row r="69" ht="14.1" customHeight="1">
      <c r="A69" s="696" t="inlineStr">
        <is>
          <t>P031</t>
        </is>
      </c>
      <c r="B69" s="695" t="n">
        <v>407</v>
      </c>
      <c r="C69" s="696" t="inlineStr">
        <is>
          <t>R0111562</t>
        </is>
      </c>
      <c r="D69" s="696" t="inlineStr">
        <is>
          <t>Majestic Commercenter (R0111562)</t>
        </is>
      </c>
      <c r="E69" s="696" t="inlineStr">
        <is>
          <t>Commerce City</t>
        </is>
      </c>
      <c r="F69" s="696" t="inlineStr">
        <is>
          <t>CO</t>
        </is>
      </c>
      <c r="G69" s="696" t="inlineStr">
        <is>
          <t>Industrial</t>
        </is>
      </c>
      <c r="H69" s="696"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724" t="inlineStr">
        <is>
          <t>NNN landlord expenses only; from AXG Whse Expenses PSF.xlsx (R0111562)</t>
        </is>
      </c>
    </row>
    <row r="70" ht="14.1" customHeight="1">
      <c r="A70" s="718" t="inlineStr">
        <is>
          <t>P032</t>
        </is>
      </c>
      <c r="B70" s="695" t="n">
        <v>407</v>
      </c>
      <c r="C70" s="718" t="inlineStr">
        <is>
          <t>R0118875</t>
        </is>
      </c>
      <c r="D70" s="718" t="inlineStr">
        <is>
          <t>Majestic Commercenter (R0118875)</t>
        </is>
      </c>
      <c r="E70" s="718" t="inlineStr">
        <is>
          <t>Commerce City</t>
        </is>
      </c>
      <c r="F70" s="718" t="inlineStr">
        <is>
          <t>CO</t>
        </is>
      </c>
      <c r="G70" s="718" t="inlineStr">
        <is>
          <t>Industrial</t>
        </is>
      </c>
      <c r="H70" s="718" t="inlineStr">
        <is>
          <t>Warehouse NNN</t>
        </is>
      </c>
      <c r="I70" s="719" t="n">
        <v>1999</v>
      </c>
      <c r="J70" s="719" t="n">
        <v>279640</v>
      </c>
      <c r="K70" s="719" t="n">
        <v>2021</v>
      </c>
      <c r="L70" s="718" t="n"/>
      <c r="M70" s="718" t="n"/>
      <c r="N70" s="718" t="n"/>
      <c r="O70" s="720" t="n">
        <v>0.0881</v>
      </c>
      <c r="P70" s="720" t="n">
        <v>0.2248</v>
      </c>
      <c r="Q70" s="718" t="n"/>
      <c r="R70" s="718" t="n"/>
      <c r="S70" s="718" t="n"/>
      <c r="T70" s="718" t="n"/>
      <c r="U70" s="718" t="n"/>
      <c r="V70" s="718" t="n"/>
      <c r="W70" s="718" t="n"/>
      <c r="X70" s="718" t="n"/>
      <c r="Y70" s="718" t="n"/>
      <c r="Z70" s="718" t="n"/>
      <c r="AA70" s="718" t="n"/>
      <c r="AB70" s="718" t="n"/>
      <c r="AC70" s="720" t="n">
        <v>0.3589</v>
      </c>
      <c r="AD70" s="718" t="n"/>
      <c r="AE70" s="718" t="n"/>
      <c r="AF70" s="718" t="n"/>
      <c r="AG70" s="718" t="n"/>
      <c r="AH70" s="720" t="n">
        <v>0.6718</v>
      </c>
      <c r="AI70" s="720" t="n">
        <v>2.2918</v>
      </c>
      <c r="AJ70" s="720" t="n">
        <v>2.9636</v>
      </c>
      <c r="AK70" s="718" t="n"/>
      <c r="AL70" s="718" t="n"/>
      <c r="AM70" s="721" t="inlineStr">
        <is>
          <t>NNN landlord expenses only; from AXG Whse Expenses PSF.xlsx (R0118875)</t>
        </is>
      </c>
    </row>
    <row r="71" ht="14.1" customHeight="1">
      <c r="A71" s="696" t="inlineStr">
        <is>
          <t>P032</t>
        </is>
      </c>
      <c r="B71" s="695" t="n">
        <v>407</v>
      </c>
      <c r="C71" s="696" t="inlineStr">
        <is>
          <t>R0118875</t>
        </is>
      </c>
      <c r="D71" s="696" t="inlineStr">
        <is>
          <t>Majestic Commercenter (R0118875)</t>
        </is>
      </c>
      <c r="E71" s="696" t="inlineStr">
        <is>
          <t>Commerce City</t>
        </is>
      </c>
      <c r="F71" s="696" t="inlineStr">
        <is>
          <t>CO</t>
        </is>
      </c>
      <c r="G71" s="696" t="inlineStr">
        <is>
          <t>Industrial</t>
        </is>
      </c>
      <c r="H71" s="696"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724" t="inlineStr">
        <is>
          <t>NNN landlord expenses only; from AXG Whse Expenses PSF.xlsx (R0118875)</t>
        </is>
      </c>
    </row>
    <row r="72" ht="14.1" customHeight="1">
      <c r="A72" s="718" t="inlineStr">
        <is>
          <t>P033</t>
        </is>
      </c>
      <c r="B72" s="695" t="n">
        <v>407</v>
      </c>
      <c r="C72" s="718" t="inlineStr">
        <is>
          <t>R0132031</t>
        </is>
      </c>
      <c r="D72" s="718" t="inlineStr">
        <is>
          <t>Majestic Commercenter (R0132031)</t>
        </is>
      </c>
      <c r="E72" s="718" t="inlineStr">
        <is>
          <t>Commerce City</t>
        </is>
      </c>
      <c r="F72" s="718" t="inlineStr">
        <is>
          <t>CO</t>
        </is>
      </c>
      <c r="G72" s="718" t="inlineStr">
        <is>
          <t>Industrial</t>
        </is>
      </c>
      <c r="H72" s="718" t="inlineStr">
        <is>
          <t>Warehouse NNN</t>
        </is>
      </c>
      <c r="I72" s="719" t="n">
        <v>2002</v>
      </c>
      <c r="J72" s="719" t="n">
        <v>280098</v>
      </c>
      <c r="K72" s="719" t="n">
        <v>2021</v>
      </c>
      <c r="L72" s="718" t="n"/>
      <c r="M72" s="718" t="n"/>
      <c r="N72" s="718" t="n"/>
      <c r="O72" s="720" t="n">
        <v>0.0713</v>
      </c>
      <c r="P72" s="720" t="n">
        <v>0.231</v>
      </c>
      <c r="Q72" s="718" t="n"/>
      <c r="R72" s="718" t="n"/>
      <c r="S72" s="718" t="n"/>
      <c r="T72" s="718" t="n"/>
      <c r="U72" s="718" t="n"/>
      <c r="V72" s="718" t="n"/>
      <c r="W72" s="718" t="n"/>
      <c r="X72" s="718" t="n"/>
      <c r="Y72" s="718" t="n"/>
      <c r="Z72" s="718" t="n"/>
      <c r="AA72" s="718" t="n"/>
      <c r="AB72" s="718" t="n"/>
      <c r="AC72" s="720" t="n">
        <v>0.2633</v>
      </c>
      <c r="AD72" s="718" t="n"/>
      <c r="AE72" s="718" t="n"/>
      <c r="AF72" s="720" t="n">
        <v>0.3067</v>
      </c>
      <c r="AG72" s="718" t="n"/>
      <c r="AH72" s="720" t="n">
        <v>0.8723</v>
      </c>
      <c r="AI72" s="720" t="n">
        <v>2.2816</v>
      </c>
      <c r="AJ72" s="720" t="n">
        <v>3.1539</v>
      </c>
      <c r="AK72" s="718" t="n"/>
      <c r="AL72" s="718" t="n"/>
      <c r="AM72" s="721" t="inlineStr">
        <is>
          <t>NNN landlord expenses only; from AXG Whse Expenses PSF.xlsx (R0132031)</t>
        </is>
      </c>
    </row>
    <row r="73" ht="14.1" customHeight="1">
      <c r="A73" s="696" t="inlineStr">
        <is>
          <t>P033</t>
        </is>
      </c>
      <c r="B73" s="695" t="n">
        <v>407</v>
      </c>
      <c r="C73" s="696" t="inlineStr">
        <is>
          <t>R0132031</t>
        </is>
      </c>
      <c r="D73" s="696" t="inlineStr">
        <is>
          <t>Majestic Commercenter (R0132031)</t>
        </is>
      </c>
      <c r="E73" s="696" t="inlineStr">
        <is>
          <t>Commerce City</t>
        </is>
      </c>
      <c r="F73" s="696" t="inlineStr">
        <is>
          <t>CO</t>
        </is>
      </c>
      <c r="G73" s="696" t="inlineStr">
        <is>
          <t>Industrial</t>
        </is>
      </c>
      <c r="H73" s="696"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724" t="inlineStr">
        <is>
          <t>NNN landlord expenses only; from AXG Whse Expenses PSF.xlsx (R0132031)</t>
        </is>
      </c>
    </row>
    <row r="74" ht="14.1" customHeight="1">
      <c r="A74" s="718" t="inlineStr">
        <is>
          <t>P034</t>
        </is>
      </c>
      <c r="B74" s="695" t="n">
        <v>407</v>
      </c>
      <c r="C74" s="718" t="inlineStr">
        <is>
          <t>R0172865</t>
        </is>
      </c>
      <c r="D74" s="718" t="inlineStr">
        <is>
          <t>Majestic Commercenter (R0172865)</t>
        </is>
      </c>
      <c r="E74" s="718" t="inlineStr">
        <is>
          <t>Commerce City</t>
        </is>
      </c>
      <c r="F74" s="718" t="inlineStr">
        <is>
          <t>CO</t>
        </is>
      </c>
      <c r="G74" s="718" t="inlineStr">
        <is>
          <t>Industrial</t>
        </is>
      </c>
      <c r="H74" s="718" t="inlineStr">
        <is>
          <t>Warehouse NNN</t>
        </is>
      </c>
      <c r="I74" s="719" t="n">
        <v>2008</v>
      </c>
      <c r="J74" s="719" t="n">
        <v>215461</v>
      </c>
      <c r="K74" s="719" t="n">
        <v>2021</v>
      </c>
      <c r="L74" s="718" t="n"/>
      <c r="M74" s="718" t="n"/>
      <c r="N74" s="718" t="n"/>
      <c r="O74" s="720" t="n">
        <v>0.0809</v>
      </c>
      <c r="P74" s="720" t="n">
        <v>0.3054</v>
      </c>
      <c r="Q74" s="718" t="n"/>
      <c r="R74" s="718" t="n"/>
      <c r="S74" s="718" t="n"/>
      <c r="T74" s="718" t="n"/>
      <c r="U74" s="718" t="n"/>
      <c r="V74" s="718" t="n"/>
      <c r="W74" s="718" t="n"/>
      <c r="X74" s="718" t="n"/>
      <c r="Y74" s="718" t="n"/>
      <c r="Z74" s="718" t="n"/>
      <c r="AA74" s="718" t="n"/>
      <c r="AB74" s="718" t="n"/>
      <c r="AC74" s="720" t="n">
        <v>0.4686</v>
      </c>
      <c r="AD74" s="718" t="n"/>
      <c r="AE74" s="718" t="n"/>
      <c r="AF74" s="720" t="n">
        <v>0.3395</v>
      </c>
      <c r="AG74" s="718" t="n"/>
      <c r="AH74" s="720" t="n">
        <v>1.1944</v>
      </c>
      <c r="AI74" s="720" t="n">
        <v>2.8499</v>
      </c>
      <c r="AJ74" s="720" t="n">
        <v>4.0443</v>
      </c>
      <c r="AK74" s="718" t="n"/>
      <c r="AL74" s="718" t="n"/>
      <c r="AM74" s="721" t="inlineStr">
        <is>
          <t>NNN landlord expenses only; from AXG Whse Expenses PSF.xlsx (R0172865)</t>
        </is>
      </c>
    </row>
    <row r="75" ht="14.1" customHeight="1">
      <c r="A75" s="696" t="inlineStr">
        <is>
          <t>P034</t>
        </is>
      </c>
      <c r="B75" s="695" t="n">
        <v>407</v>
      </c>
      <c r="C75" s="696" t="inlineStr">
        <is>
          <t>R0172865</t>
        </is>
      </c>
      <c r="D75" s="696" t="inlineStr">
        <is>
          <t>Majestic Commercenter (R0172865)</t>
        </is>
      </c>
      <c r="E75" s="696" t="inlineStr">
        <is>
          <t>Commerce City</t>
        </is>
      </c>
      <c r="F75" s="696" t="inlineStr">
        <is>
          <t>CO</t>
        </is>
      </c>
      <c r="G75" s="696" t="inlineStr">
        <is>
          <t>Industrial</t>
        </is>
      </c>
      <c r="H75" s="696"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724" t="inlineStr">
        <is>
          <t>NNN landlord expenses only; from AXG Whse Expenses PSF.xlsx (R0172865)</t>
        </is>
      </c>
    </row>
    <row r="76" ht="14.1" customHeight="1">
      <c r="A76" s="718" t="inlineStr">
        <is>
          <t>P035</t>
        </is>
      </c>
      <c r="B76" s="695" t="n">
        <v>407</v>
      </c>
      <c r="C76" s="718" t="inlineStr">
        <is>
          <t>R0172867</t>
        </is>
      </c>
      <c r="D76" s="718" t="inlineStr">
        <is>
          <t>Majestic Commercenter (R0172867)</t>
        </is>
      </c>
      <c r="E76" s="718" t="inlineStr">
        <is>
          <t>Commerce City</t>
        </is>
      </c>
      <c r="F76" s="718" t="inlineStr">
        <is>
          <t>CO</t>
        </is>
      </c>
      <c r="G76" s="718" t="inlineStr">
        <is>
          <t>Industrial</t>
        </is>
      </c>
      <c r="H76" s="718" t="inlineStr">
        <is>
          <t>Warehouse NNN</t>
        </is>
      </c>
      <c r="I76" s="719" t="n">
        <v>2007</v>
      </c>
      <c r="J76" s="719" t="n">
        <v>215560</v>
      </c>
      <c r="K76" s="719" t="n">
        <v>2021</v>
      </c>
      <c r="L76" s="718" t="n"/>
      <c r="M76" s="718" t="n"/>
      <c r="N76" s="718" t="n"/>
      <c r="O76" s="720" t="n">
        <v>0.0975</v>
      </c>
      <c r="P76" s="720" t="n">
        <v>0.2429</v>
      </c>
      <c r="Q76" s="718" t="n"/>
      <c r="R76" s="718" t="n"/>
      <c r="S76" s="718" t="n"/>
      <c r="T76" s="718" t="n"/>
      <c r="U76" s="718" t="n"/>
      <c r="V76" s="718" t="n"/>
      <c r="W76" s="718" t="n"/>
      <c r="X76" s="718" t="n"/>
      <c r="Y76" s="718" t="n"/>
      <c r="Z76" s="718" t="n"/>
      <c r="AA76" s="718" t="n"/>
      <c r="AB76" s="718" t="n"/>
      <c r="AC76" s="720" t="n">
        <v>0.2979</v>
      </c>
      <c r="AD76" s="718" t="n"/>
      <c r="AE76" s="718" t="n"/>
      <c r="AF76" s="720" t="n">
        <v>0.3114</v>
      </c>
      <c r="AG76" s="718" t="n"/>
      <c r="AH76" s="720" t="n">
        <v>0.9497</v>
      </c>
      <c r="AI76" s="720" t="n">
        <v>2.4921</v>
      </c>
      <c r="AJ76" s="720" t="n">
        <v>3.4419</v>
      </c>
      <c r="AK76" s="718" t="n"/>
      <c r="AL76" s="718" t="n"/>
      <c r="AM76" s="721" t="inlineStr">
        <is>
          <t>NNN landlord expenses only; from AXG Whse Expenses PSF.xlsx (R0172867)</t>
        </is>
      </c>
    </row>
    <row r="77" ht="14.1" customHeight="1">
      <c r="A77" s="696" t="inlineStr">
        <is>
          <t>P035</t>
        </is>
      </c>
      <c r="B77" s="695" t="n">
        <v>407</v>
      </c>
      <c r="C77" s="696" t="inlineStr">
        <is>
          <t>R0172867</t>
        </is>
      </c>
      <c r="D77" s="696" t="inlineStr">
        <is>
          <t>Majestic Commercenter (R0172867)</t>
        </is>
      </c>
      <c r="E77" s="696" t="inlineStr">
        <is>
          <t>Commerce City</t>
        </is>
      </c>
      <c r="F77" s="696" t="inlineStr">
        <is>
          <t>CO</t>
        </is>
      </c>
      <c r="G77" s="696" t="inlineStr">
        <is>
          <t>Industrial</t>
        </is>
      </c>
      <c r="H77" s="696"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724" t="inlineStr">
        <is>
          <t>NNN landlord expenses only; from AXG Whse Expenses PSF.xlsx (R0172867)</t>
        </is>
      </c>
    </row>
    <row r="78" ht="14.1" customHeight="1">
      <c r="A78" s="718" t="inlineStr">
        <is>
          <t>P036</t>
        </is>
      </c>
      <c r="B78" s="695" t="n">
        <v>407</v>
      </c>
      <c r="C78" s="718" t="inlineStr">
        <is>
          <t>R0172868</t>
        </is>
      </c>
      <c r="D78" s="718" t="inlineStr">
        <is>
          <t>Majestic Commercenter (R0172868)</t>
        </is>
      </c>
      <c r="E78" s="718" t="inlineStr">
        <is>
          <t>Commerce City</t>
        </is>
      </c>
      <c r="F78" s="718" t="inlineStr">
        <is>
          <t>CO</t>
        </is>
      </c>
      <c r="G78" s="718" t="inlineStr">
        <is>
          <t>Industrial</t>
        </is>
      </c>
      <c r="H78" s="718" t="inlineStr">
        <is>
          <t>Warehouse NNN</t>
        </is>
      </c>
      <c r="I78" s="719" t="n">
        <v>2007</v>
      </c>
      <c r="J78" s="719" t="n">
        <v>202091</v>
      </c>
      <c r="K78" s="719" t="n">
        <v>2021</v>
      </c>
      <c r="L78" s="718" t="n"/>
      <c r="M78" s="718" t="n"/>
      <c r="N78" s="718" t="n"/>
      <c r="O78" s="720" t="n">
        <v>0.0863</v>
      </c>
      <c r="P78" s="720" t="n">
        <v>0.1541</v>
      </c>
      <c r="Q78" s="718" t="n"/>
      <c r="R78" s="718" t="n"/>
      <c r="S78" s="718" t="n"/>
      <c r="T78" s="718" t="n"/>
      <c r="U78" s="718" t="n"/>
      <c r="V78" s="718" t="n"/>
      <c r="W78" s="718" t="n"/>
      <c r="X78" s="718" t="n"/>
      <c r="Y78" s="718" t="n"/>
      <c r="Z78" s="718" t="n"/>
      <c r="AA78" s="718" t="n"/>
      <c r="AB78" s="718" t="n"/>
      <c r="AC78" s="720" t="n">
        <v>0.4114</v>
      </c>
      <c r="AD78" s="718" t="n"/>
      <c r="AE78" s="718" t="n"/>
      <c r="AF78" s="718" t="n"/>
      <c r="AG78" s="718" t="n"/>
      <c r="AH78" s="720" t="n">
        <v>0.6518</v>
      </c>
      <c r="AI78" s="720" t="n">
        <v>2.4692</v>
      </c>
      <c r="AJ78" s="720" t="n">
        <v>3.121</v>
      </c>
      <c r="AK78" s="718" t="n"/>
      <c r="AL78" s="718" t="n"/>
      <c r="AM78" s="721" t="inlineStr">
        <is>
          <t>NNN landlord expenses only; from AXG Whse Expenses PSF.xlsx (R0172868)</t>
        </is>
      </c>
    </row>
    <row r="79" ht="14.1" customHeight="1">
      <c r="A79" s="696" t="inlineStr">
        <is>
          <t>P036</t>
        </is>
      </c>
      <c r="B79" s="695" t="n">
        <v>407</v>
      </c>
      <c r="C79" s="696" t="inlineStr">
        <is>
          <t>R0172868</t>
        </is>
      </c>
      <c r="D79" s="696" t="inlineStr">
        <is>
          <t>Majestic Commercenter (R0172868)</t>
        </is>
      </c>
      <c r="E79" s="696" t="inlineStr">
        <is>
          <t>Commerce City</t>
        </is>
      </c>
      <c r="F79" s="696" t="inlineStr">
        <is>
          <t>CO</t>
        </is>
      </c>
      <c r="G79" s="696" t="inlineStr">
        <is>
          <t>Industrial</t>
        </is>
      </c>
      <c r="H79" s="696"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724" t="inlineStr">
        <is>
          <t>NNN landlord expenses only; from AXG Whse Expenses PSF.xlsx (R0172868)</t>
        </is>
      </c>
    </row>
    <row r="80" ht="14.1" customHeight="1">
      <c r="A80" s="718" t="inlineStr">
        <is>
          <t>P037</t>
        </is>
      </c>
      <c r="B80" s="695" t="n">
        <v>407</v>
      </c>
      <c r="C80" s="718" t="inlineStr">
        <is>
          <t>R0145680</t>
        </is>
      </c>
      <c r="D80" s="718" t="inlineStr">
        <is>
          <t>Majestic Commercenter (R0145680)</t>
        </is>
      </c>
      <c r="E80" s="718" t="inlineStr">
        <is>
          <t>Commerce City</t>
        </is>
      </c>
      <c r="F80" s="718" t="inlineStr">
        <is>
          <t>CO</t>
        </is>
      </c>
      <c r="G80" s="718" t="inlineStr">
        <is>
          <t>Industrial</t>
        </is>
      </c>
      <c r="H80" s="718" t="inlineStr">
        <is>
          <t>Warehouse NNN</t>
        </is>
      </c>
      <c r="I80" s="719" t="n">
        <v>2001</v>
      </c>
      <c r="J80" s="719" t="n">
        <v>150027</v>
      </c>
      <c r="K80" s="719" t="n">
        <v>2021</v>
      </c>
      <c r="L80" s="718" t="n"/>
      <c r="M80" s="718" t="n"/>
      <c r="N80" s="718" t="n"/>
      <c r="O80" s="720" t="n">
        <v>0.0779</v>
      </c>
      <c r="P80" s="720" t="n">
        <v>0.2768</v>
      </c>
      <c r="Q80" s="718" t="n"/>
      <c r="R80" s="718" t="n"/>
      <c r="S80" s="718" t="n"/>
      <c r="T80" s="718" t="n"/>
      <c r="U80" s="718" t="n"/>
      <c r="V80" s="718" t="n"/>
      <c r="W80" s="718" t="n"/>
      <c r="X80" s="718" t="n"/>
      <c r="Y80" s="718" t="n"/>
      <c r="Z80" s="718" t="n"/>
      <c r="AA80" s="718" t="n"/>
      <c r="AB80" s="718" t="n"/>
      <c r="AC80" s="720" t="n">
        <v>0.3322</v>
      </c>
      <c r="AD80" s="718" t="n"/>
      <c r="AE80" s="718" t="n"/>
      <c r="AF80" s="718" t="n"/>
      <c r="AG80" s="718" t="n"/>
      <c r="AH80" s="720" t="n">
        <v>0.6868</v>
      </c>
      <c r="AI80" s="720" t="n">
        <v>2.8525</v>
      </c>
      <c r="AJ80" s="720" t="n">
        <v>3.5393</v>
      </c>
      <c r="AK80" s="718" t="n"/>
      <c r="AL80" s="718" t="n"/>
      <c r="AM80" s="721" t="inlineStr">
        <is>
          <t>NNN landlord expenses only; from AXG Whse Expenses PSF.xlsx (R0145680)</t>
        </is>
      </c>
    </row>
    <row r="81" ht="14.1" customHeight="1">
      <c r="A81" s="696" t="inlineStr">
        <is>
          <t>P037</t>
        </is>
      </c>
      <c r="B81" s="695" t="n">
        <v>407</v>
      </c>
      <c r="C81" s="696" t="inlineStr">
        <is>
          <t>R0145680</t>
        </is>
      </c>
      <c r="D81" s="696" t="inlineStr">
        <is>
          <t>Majestic Commercenter (R0145680)</t>
        </is>
      </c>
      <c r="E81" s="696" t="inlineStr">
        <is>
          <t>Commerce City</t>
        </is>
      </c>
      <c r="F81" s="696" t="inlineStr">
        <is>
          <t>CO</t>
        </is>
      </c>
      <c r="G81" s="696" t="inlineStr">
        <is>
          <t>Industrial</t>
        </is>
      </c>
      <c r="H81" s="696"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724" t="inlineStr">
        <is>
          <t>NNN landlord expenses only; from AXG Whse Expenses PSF.xlsx (R0145680)</t>
        </is>
      </c>
    </row>
    <row r="82" ht="14.1" customHeight="1">
      <c r="A82" s="718" t="inlineStr">
        <is>
          <t>P038</t>
        </is>
      </c>
      <c r="B82" s="695" t="n">
        <v>584</v>
      </c>
      <c r="C82" s="718" t="inlineStr">
        <is>
          <t>R0181787</t>
        </is>
      </c>
      <c r="D82" s="718" t="inlineStr">
        <is>
          <t>Majestic Commercenter (R0181787)</t>
        </is>
      </c>
      <c r="E82" s="718" t="inlineStr">
        <is>
          <t>Commerce City</t>
        </is>
      </c>
      <c r="F82" s="718" t="inlineStr">
        <is>
          <t>CO</t>
        </is>
      </c>
      <c r="G82" s="718" t="inlineStr">
        <is>
          <t>Industrial</t>
        </is>
      </c>
      <c r="H82" s="718" t="inlineStr">
        <is>
          <t>Warehouse NNN</t>
        </is>
      </c>
      <c r="I82" s="719" t="n">
        <v>2013</v>
      </c>
      <c r="J82" s="719" t="n">
        <v>500358</v>
      </c>
      <c r="K82" s="719" t="n">
        <v>2021</v>
      </c>
      <c r="L82" s="718" t="n"/>
      <c r="M82" s="718" t="n"/>
      <c r="N82" s="718" t="n"/>
      <c r="O82" s="720" t="n">
        <v>0.0743</v>
      </c>
      <c r="P82" s="720" t="n">
        <v>0.2354</v>
      </c>
      <c r="Q82" s="718" t="n"/>
      <c r="R82" s="718" t="n"/>
      <c r="S82" s="718" t="n"/>
      <c r="T82" s="718" t="n"/>
      <c r="U82" s="718" t="n"/>
      <c r="V82" s="718" t="n"/>
      <c r="W82" s="718" t="n"/>
      <c r="X82" s="718" t="n"/>
      <c r="Y82" s="718" t="n"/>
      <c r="Z82" s="718" t="n"/>
      <c r="AA82" s="718" t="n"/>
      <c r="AB82" s="718" t="n"/>
      <c r="AC82" s="720" t="n">
        <v>0.3128</v>
      </c>
      <c r="AD82" s="718" t="n"/>
      <c r="AE82" s="718" t="n"/>
      <c r="AF82" s="720" t="n">
        <v>0.2341</v>
      </c>
      <c r="AG82" s="718" t="n"/>
      <c r="AH82" s="720" t="n">
        <v>0.8566</v>
      </c>
      <c r="AI82" s="720" t="n">
        <v>2.2838</v>
      </c>
      <c r="AJ82" s="720" t="n">
        <v>3.1403</v>
      </c>
      <c r="AK82" s="718" t="n"/>
      <c r="AL82" s="718" t="n"/>
      <c r="AM82" s="721" t="inlineStr">
        <is>
          <t>NNN landlord expenses only; from AXG Whse Expenses PSF.xlsx (R0181787)</t>
        </is>
      </c>
    </row>
    <row r="83" ht="14.1" customHeight="1">
      <c r="A83" s="696" t="inlineStr">
        <is>
          <t>P038</t>
        </is>
      </c>
      <c r="B83" s="695" t="n">
        <v>584</v>
      </c>
      <c r="C83" s="696" t="inlineStr">
        <is>
          <t>R0181787</t>
        </is>
      </c>
      <c r="D83" s="696" t="inlineStr">
        <is>
          <t>Majestic Commercenter (R0181787)</t>
        </is>
      </c>
      <c r="E83" s="696" t="inlineStr">
        <is>
          <t>Commerce City</t>
        </is>
      </c>
      <c r="F83" s="696" t="inlineStr">
        <is>
          <t>CO</t>
        </is>
      </c>
      <c r="G83" s="696" t="inlineStr">
        <is>
          <t>Industrial</t>
        </is>
      </c>
      <c r="H83" s="696"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724" t="inlineStr">
        <is>
          <t>NNN landlord expenses only; from AXG Whse Expenses PSF.xlsx (R0181787)</t>
        </is>
      </c>
    </row>
    <row r="84" ht="14.1" customHeight="1">
      <c r="A84" s="718" t="inlineStr">
        <is>
          <t>P039</t>
        </is>
      </c>
      <c r="B84" s="695" t="n">
        <v>584</v>
      </c>
      <c r="C84" s="718" t="inlineStr">
        <is>
          <t>R0191101</t>
        </is>
      </c>
      <c r="D84" s="718" t="inlineStr">
        <is>
          <t>Majestic Commercenter (R0191101)</t>
        </is>
      </c>
      <c r="E84" s="718" t="inlineStr">
        <is>
          <t>Commerce City</t>
        </is>
      </c>
      <c r="F84" s="718" t="inlineStr">
        <is>
          <t>CO</t>
        </is>
      </c>
      <c r="G84" s="718" t="inlineStr">
        <is>
          <t>Industrial</t>
        </is>
      </c>
      <c r="H84" s="718" t="inlineStr">
        <is>
          <t>Warehouse NNN</t>
        </is>
      </c>
      <c r="I84" s="719" t="n">
        <v>2017</v>
      </c>
      <c r="J84" s="719" t="n">
        <v>522120</v>
      </c>
      <c r="K84" s="719" t="n">
        <v>2021</v>
      </c>
      <c r="L84" s="718" t="n"/>
      <c r="M84" s="718" t="n"/>
      <c r="N84" s="718" t="n"/>
      <c r="O84" s="720" t="n">
        <v>0.0822</v>
      </c>
      <c r="P84" s="720" t="n">
        <v>0.2582</v>
      </c>
      <c r="Q84" s="718" t="n"/>
      <c r="R84" s="718" t="n"/>
      <c r="S84" s="718" t="n"/>
      <c r="T84" s="718" t="n"/>
      <c r="U84" s="718" t="n"/>
      <c r="V84" s="718" t="n"/>
      <c r="W84" s="718" t="n"/>
      <c r="X84" s="718" t="n"/>
      <c r="Y84" s="718" t="n"/>
      <c r="Z84" s="718" t="n"/>
      <c r="AA84" s="718" t="n"/>
      <c r="AB84" s="718" t="n"/>
      <c r="AC84" s="720" t="n">
        <v>0.2825</v>
      </c>
      <c r="AD84" s="718" t="n"/>
      <c r="AE84" s="718" t="n"/>
      <c r="AF84" s="720" t="n">
        <v>0.1793</v>
      </c>
      <c r="AG84" s="718" t="n"/>
      <c r="AH84" s="720" t="n">
        <v>0.8022</v>
      </c>
      <c r="AI84" s="720" t="n">
        <v>2.1785</v>
      </c>
      <c r="AJ84" s="720" t="n">
        <v>2.9807</v>
      </c>
      <c r="AK84" s="718" t="n"/>
      <c r="AL84" s="718" t="n"/>
      <c r="AM84" s="721" t="inlineStr">
        <is>
          <t>NNN landlord expenses only; from AXG Whse Expenses PSF.xlsx (R0191101)</t>
        </is>
      </c>
    </row>
    <row r="85" ht="14.1" customHeight="1">
      <c r="A85" s="696" t="inlineStr">
        <is>
          <t>P039</t>
        </is>
      </c>
      <c r="B85" s="695" t="n">
        <v>584</v>
      </c>
      <c r="C85" s="696" t="inlineStr">
        <is>
          <t>R0191101</t>
        </is>
      </c>
      <c r="D85" s="696" t="inlineStr">
        <is>
          <t>Majestic Commercenter (R0191101)</t>
        </is>
      </c>
      <c r="E85" s="696" t="inlineStr">
        <is>
          <t>Commerce City</t>
        </is>
      </c>
      <c r="F85" s="696" t="inlineStr">
        <is>
          <t>CO</t>
        </is>
      </c>
      <c r="G85" s="696" t="inlineStr">
        <is>
          <t>Industrial</t>
        </is>
      </c>
      <c r="H85" s="696"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724" t="inlineStr">
        <is>
          <t>NNN landlord expenses only; from AXG Whse Expenses PSF.xlsx (R0191101)</t>
        </is>
      </c>
    </row>
    <row r="86" ht="14.1" customHeight="1">
      <c r="A86" s="718" t="inlineStr">
        <is>
          <t>P040</t>
        </is>
      </c>
      <c r="B86" s="695" t="n">
        <v>407</v>
      </c>
      <c r="C86" s="718" t="inlineStr">
        <is>
          <t>R0202874</t>
        </is>
      </c>
      <c r="D86" s="718" t="inlineStr">
        <is>
          <t>900 E 128th Ave</t>
        </is>
      </c>
      <c r="E86" s="718" t="inlineStr">
        <is>
          <t>Henderson</t>
        </is>
      </c>
      <c r="F86" s="718" t="inlineStr">
        <is>
          <t>CO</t>
        </is>
      </c>
      <c r="G86" s="718" t="inlineStr">
        <is>
          <t>Industrial</t>
        </is>
      </c>
      <c r="H86" s="718" t="inlineStr">
        <is>
          <t>Last-Mile Distribution NNN</t>
        </is>
      </c>
      <c r="I86" s="719" t="n"/>
      <c r="J86" s="719" t="n"/>
      <c r="K86" s="719" t="n">
        <v>2021</v>
      </c>
      <c r="L86" s="730" t="n">
        <v>2633716</v>
      </c>
      <c r="M86" s="718" t="n"/>
      <c r="N86" s="730" t="n">
        <v>3256403</v>
      </c>
      <c r="O86" s="730" t="n">
        <v>56624</v>
      </c>
      <c r="P86" s="718" t="n"/>
      <c r="Q86" s="730" t="n">
        <v>300</v>
      </c>
      <c r="R86" s="718" t="n"/>
      <c r="S86" s="718" t="n"/>
      <c r="T86" s="718" t="n"/>
      <c r="U86" s="718" t="n"/>
      <c r="V86" s="718" t="n"/>
      <c r="W86" s="718" t="n"/>
      <c r="X86" s="730" t="n">
        <v>29535</v>
      </c>
      <c r="Y86" s="730" t="n">
        <v>30138</v>
      </c>
      <c r="Z86" s="718" t="n"/>
      <c r="AA86" s="730" t="n">
        <v>54136</v>
      </c>
      <c r="AB86" s="730" t="n">
        <v>127274</v>
      </c>
      <c r="AC86" s="718" t="n"/>
      <c r="AD86" s="718" t="n"/>
      <c r="AE86" s="718" t="n"/>
      <c r="AF86" s="730" t="n">
        <v>18748</v>
      </c>
      <c r="AG86" s="718" t="n"/>
      <c r="AH86" s="730" t="n">
        <v>731951</v>
      </c>
      <c r="AI86" s="718" t="n"/>
      <c r="AJ86" s="718" t="n"/>
      <c r="AK86" s="730" t="n">
        <v>2524452</v>
      </c>
      <c r="AL86" s="718" t="n"/>
      <c r="AM86" s="721" t="inlineStr">
        <is>
          <t>[NO SF] Amazon AMZL Site 51812; SF not extracted; RE Tax not broken out in 2021</t>
        </is>
      </c>
    </row>
    <row r="87" ht="14.1" customHeight="1">
      <c r="A87" s="696" t="inlineStr">
        <is>
          <t>P040</t>
        </is>
      </c>
      <c r="B87" s="695" t="n">
        <v>407</v>
      </c>
      <c r="C87" s="696" t="inlineStr">
        <is>
          <t>R0202874</t>
        </is>
      </c>
      <c r="D87" s="696" t="inlineStr">
        <is>
          <t>900 E 128th Ave</t>
        </is>
      </c>
      <c r="E87" s="696" t="inlineStr">
        <is>
          <t>Henderson</t>
        </is>
      </c>
      <c r="F87" s="696" t="inlineStr">
        <is>
          <t>CO</t>
        </is>
      </c>
      <c r="G87" s="696" t="inlineStr">
        <is>
          <t>Industrial</t>
        </is>
      </c>
      <c r="H87" s="696"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724" t="inlineStr">
        <is>
          <t>[NO SF] Amazon AMZL Site 51812; 2022 dominated by RE Tax $1.08M; asset mgmt fee $70k</t>
        </is>
      </c>
    </row>
    <row r="88" ht="14.1" customHeight="1">
      <c r="A88" s="732" t="inlineStr">
        <is>
          <t>P041</t>
        </is>
      </c>
      <c r="B88" s="695" t="n">
        <v>386</v>
      </c>
      <c r="C88" s="732" t="inlineStr">
        <is>
          <t>R0189384</t>
        </is>
      </c>
      <c r="D88" s="732" t="inlineStr">
        <is>
          <t>1101 Colorado Blvd</t>
        </is>
      </c>
      <c r="E88" s="732" t="inlineStr">
        <is>
          <t>Thornton</t>
        </is>
      </c>
      <c r="F88" s="732" t="inlineStr">
        <is>
          <t>CO</t>
        </is>
      </c>
      <c r="G88" s="732" t="inlineStr">
        <is>
          <t>Self-Storage</t>
        </is>
      </c>
      <c r="H88" s="732" t="inlineStr">
        <is>
          <t>Climate-Controlled</t>
        </is>
      </c>
      <c r="I88" s="733" t="n"/>
      <c r="J88" s="733" t="n">
        <v>65766</v>
      </c>
      <c r="K88" s="733" t="n">
        <v>2021</v>
      </c>
      <c r="L88" s="732" t="n"/>
      <c r="M88" s="732" t="n"/>
      <c r="N88" s="734" t="n">
        <v>13.3807</v>
      </c>
      <c r="O88" s="732" t="n"/>
      <c r="P88" s="732" t="n"/>
      <c r="Q88" s="732" t="n"/>
      <c r="R88" s="732" t="n"/>
      <c r="S88" s="732" t="n"/>
      <c r="T88" s="732" t="n"/>
      <c r="U88" s="732" t="n"/>
      <c r="V88" s="732" t="n"/>
      <c r="W88" s="732" t="n"/>
      <c r="X88" s="732" t="n"/>
      <c r="Y88" s="732" t="n"/>
      <c r="Z88" s="732" t="n"/>
      <c r="AA88" s="732" t="n"/>
      <c r="AB88" s="732" t="n"/>
      <c r="AC88" s="732" t="n"/>
      <c r="AD88" s="732" t="n"/>
      <c r="AE88" s="732" t="n"/>
      <c r="AF88" s="732" t="n"/>
      <c r="AG88" s="732" t="n"/>
      <c r="AH88" s="732" t="n"/>
      <c r="AI88" s="732" t="n"/>
      <c r="AJ88" s="734" t="n">
        <v>6.3574</v>
      </c>
      <c r="AK88" s="734" t="n">
        <v>7.0233</v>
      </c>
      <c r="AL88" s="732" t="n"/>
      <c r="AM88" s="735" t="inlineStr">
        <is>
          <t>Actual SS P&amp;L; mgmt=off-site+on-site combined; admin+adv in Other</t>
        </is>
      </c>
    </row>
    <row r="89" ht="14.1" customHeight="1">
      <c r="A89" s="732" t="inlineStr">
        <is>
          <t>P041</t>
        </is>
      </c>
      <c r="B89" s="695" t="n">
        <v>386</v>
      </c>
      <c r="C89" s="732" t="inlineStr">
        <is>
          <t>R0189384</t>
        </is>
      </c>
      <c r="D89" s="732" t="inlineStr">
        <is>
          <t>1101 Colorado Blvd</t>
        </is>
      </c>
      <c r="E89" s="732" t="inlineStr">
        <is>
          <t>Thornton</t>
        </is>
      </c>
      <c r="F89" s="732" t="inlineStr">
        <is>
          <t>CO</t>
        </is>
      </c>
      <c r="G89" s="732" t="inlineStr">
        <is>
          <t>Self-Storage</t>
        </is>
      </c>
      <c r="H89" s="732" t="inlineStr">
        <is>
          <t>Climate-Controlled</t>
        </is>
      </c>
      <c r="I89" s="733" t="n"/>
      <c r="J89" s="733" t="n">
        <v>65766</v>
      </c>
      <c r="K89" s="733" t="n">
        <v>2022</v>
      </c>
      <c r="L89" s="732" t="n"/>
      <c r="M89" s="732" t="n"/>
      <c r="N89" s="734" t="n">
        <v>14.0623</v>
      </c>
      <c r="O89" s="732" t="n"/>
      <c r="P89" s="732" t="n"/>
      <c r="Q89" s="732" t="n"/>
      <c r="R89" s="732" t="n"/>
      <c r="S89" s="732" t="n"/>
      <c r="T89" s="732" t="n"/>
      <c r="U89" s="732" t="n"/>
      <c r="V89" s="732" t="n"/>
      <c r="W89" s="732" t="n"/>
      <c r="X89" s="732" t="n"/>
      <c r="Y89" s="732" t="n"/>
      <c r="Z89" s="732" t="n"/>
      <c r="AA89" s="732" t="n"/>
      <c r="AB89" s="732" t="n"/>
      <c r="AC89" s="732" t="n"/>
      <c r="AD89" s="732" t="n"/>
      <c r="AE89" s="732" t="n"/>
      <c r="AF89" s="732" t="n"/>
      <c r="AG89" s="732" t="n"/>
      <c r="AH89" s="732" t="n"/>
      <c r="AI89" s="732" t="n"/>
      <c r="AJ89" s="734" t="n">
        <v>6.9302</v>
      </c>
      <c r="AK89" s="734" t="n">
        <v>7.1322</v>
      </c>
      <c r="AL89" s="732" t="n"/>
      <c r="AM89" s="735" t="inlineStr">
        <is>
          <t>Actual SS P&amp;L; mgmt=off-site+on-site combined; admin+adv in Other</t>
        </is>
      </c>
    </row>
    <row r="90" ht="14.1" customHeight="1">
      <c r="A90" s="732" t="inlineStr">
        <is>
          <t>P041</t>
        </is>
      </c>
      <c r="B90" s="695" t="n">
        <v>386</v>
      </c>
      <c r="C90" s="732" t="inlineStr">
        <is>
          <t>R0189384</t>
        </is>
      </c>
      <c r="D90" s="732" t="inlineStr">
        <is>
          <t>1101 Colorado Blvd</t>
        </is>
      </c>
      <c r="E90" s="732" t="inlineStr">
        <is>
          <t>Thornton</t>
        </is>
      </c>
      <c r="F90" s="732" t="inlineStr">
        <is>
          <t>CO</t>
        </is>
      </c>
      <c r="G90" s="732" t="inlineStr">
        <is>
          <t>Self-Storage</t>
        </is>
      </c>
      <c r="H90" s="732" t="inlineStr">
        <is>
          <t>Climate-Controlled</t>
        </is>
      </c>
      <c r="I90" s="733" t="n"/>
      <c r="J90" s="733" t="n">
        <v>65766</v>
      </c>
      <c r="K90" s="733" t="n">
        <v>2023</v>
      </c>
      <c r="L90" s="732" t="n"/>
      <c r="M90" s="732" t="n"/>
      <c r="N90" s="734" t="n">
        <v>14.16</v>
      </c>
      <c r="O90" s="734" t="n">
        <v>0.6306</v>
      </c>
      <c r="P90" s="734" t="n">
        <v>1.5829</v>
      </c>
      <c r="Q90" s="732" t="n"/>
      <c r="R90" s="732" t="n"/>
      <c r="S90" s="732" t="n"/>
      <c r="T90" s="732" t="n"/>
      <c r="U90" s="732" t="n"/>
      <c r="V90" s="732" t="n"/>
      <c r="W90" s="732" t="n"/>
      <c r="X90" s="732" t="n"/>
      <c r="Y90" s="734" t="n">
        <v>0.2367</v>
      </c>
      <c r="Z90" s="732" t="n"/>
      <c r="AA90" s="732" t="n"/>
      <c r="AB90" s="732" t="n"/>
      <c r="AC90" s="732" t="n"/>
      <c r="AD90" s="732" t="n"/>
      <c r="AE90" s="732" t="n"/>
      <c r="AF90" s="734" t="n">
        <v>0.5644</v>
      </c>
      <c r="AG90" s="732" t="n"/>
      <c r="AH90" s="734" t="n">
        <v>4.479</v>
      </c>
      <c r="AI90" s="734" t="n">
        <v>2.7358</v>
      </c>
      <c r="AJ90" s="734" t="n">
        <v>7.2147</v>
      </c>
      <c r="AK90" s="734" t="n">
        <v>7.1427</v>
      </c>
      <c r="AL90" s="732" t="n"/>
      <c r="AM90" s="735" t="inlineStr">
        <is>
          <t>Actual SS P&amp;L; mgmt=off-site+on-site combined; admin+adv in Other</t>
        </is>
      </c>
    </row>
    <row r="91" ht="14.1" customHeight="1">
      <c r="A91" s="732" t="inlineStr">
        <is>
          <t>P042</t>
        </is>
      </c>
      <c r="B91" s="695" t="n">
        <v>386</v>
      </c>
      <c r="C91" s="732" t="inlineStr">
        <is>
          <t>R0126235</t>
        </is>
      </c>
      <c r="D91" s="732" t="inlineStr">
        <is>
          <t>15024 Laroy Drive</t>
        </is>
      </c>
      <c r="E91" s="732" t="inlineStr">
        <is>
          <t>Northglenn</t>
        </is>
      </c>
      <c r="F91" s="732" t="inlineStr">
        <is>
          <t>CO</t>
        </is>
      </c>
      <c r="G91" s="732" t="inlineStr">
        <is>
          <t>Self-Storage</t>
        </is>
      </c>
      <c r="H91" s="732" t="inlineStr">
        <is>
          <t>Climate-Controlled</t>
        </is>
      </c>
      <c r="I91" s="733" t="n"/>
      <c r="J91" s="733" t="n">
        <v>79950</v>
      </c>
      <c r="K91" s="733" t="n">
        <v>2021</v>
      </c>
      <c r="L91" s="732" t="n"/>
      <c r="M91" s="732" t="n"/>
      <c r="N91" s="734" t="n">
        <v>11.9617</v>
      </c>
      <c r="O91" s="732" t="n"/>
      <c r="P91" s="732" t="n"/>
      <c r="Q91" s="732" t="n"/>
      <c r="R91" s="732" t="n"/>
      <c r="S91" s="732" t="n"/>
      <c r="T91" s="732" t="n"/>
      <c r="U91" s="732" t="n"/>
      <c r="V91" s="732" t="n"/>
      <c r="W91" s="732" t="n"/>
      <c r="X91" s="732" t="n"/>
      <c r="Y91" s="732" t="n"/>
      <c r="Z91" s="732" t="n"/>
      <c r="AA91" s="732" t="n"/>
      <c r="AB91" s="732" t="n"/>
      <c r="AC91" s="732" t="n"/>
      <c r="AD91" s="732" t="n"/>
      <c r="AE91" s="732" t="n"/>
      <c r="AF91" s="732" t="n"/>
      <c r="AG91" s="732" t="n"/>
      <c r="AH91" s="732" t="n"/>
      <c r="AI91" s="732" t="n"/>
      <c r="AJ91" s="734" t="n">
        <v>6.0239</v>
      </c>
      <c r="AK91" s="734" t="n">
        <v>6.4381</v>
      </c>
      <c r="AL91" s="732" t="n"/>
      <c r="AM91" s="735" t="inlineStr">
        <is>
          <t>Actual SS P&amp;L; mgmt=off-site+on-site combined</t>
        </is>
      </c>
    </row>
    <row r="92" ht="14.1" customHeight="1">
      <c r="A92" s="732" t="inlineStr">
        <is>
          <t>P042</t>
        </is>
      </c>
      <c r="B92" s="695" t="n">
        <v>386</v>
      </c>
      <c r="C92" s="732" t="inlineStr">
        <is>
          <t>R0126235</t>
        </is>
      </c>
      <c r="D92" s="732" t="inlineStr">
        <is>
          <t>15024 Laroy Drive</t>
        </is>
      </c>
      <c r="E92" s="732" t="inlineStr">
        <is>
          <t>Northglenn</t>
        </is>
      </c>
      <c r="F92" s="732" t="inlineStr">
        <is>
          <t>CO</t>
        </is>
      </c>
      <c r="G92" s="732" t="inlineStr">
        <is>
          <t>Self-Storage</t>
        </is>
      </c>
      <c r="H92" s="732" t="inlineStr">
        <is>
          <t>Climate-Controlled</t>
        </is>
      </c>
      <c r="I92" s="733" t="n"/>
      <c r="J92" s="733" t="n">
        <v>79950</v>
      </c>
      <c r="K92" s="733" t="n">
        <v>2022</v>
      </c>
      <c r="L92" s="732" t="n"/>
      <c r="M92" s="732" t="n"/>
      <c r="N92" s="734" t="n">
        <v>12.7321</v>
      </c>
      <c r="O92" s="732" t="n"/>
      <c r="P92" s="732" t="n"/>
      <c r="Q92" s="732" t="n"/>
      <c r="R92" s="732" t="n"/>
      <c r="S92" s="732" t="n"/>
      <c r="T92" s="732" t="n"/>
      <c r="U92" s="732" t="n"/>
      <c r="V92" s="732" t="n"/>
      <c r="W92" s="732" t="n"/>
      <c r="X92" s="732" t="n"/>
      <c r="Y92" s="732" t="n"/>
      <c r="Z92" s="732" t="n"/>
      <c r="AA92" s="732" t="n"/>
      <c r="AB92" s="732" t="n"/>
      <c r="AC92" s="732" t="n"/>
      <c r="AD92" s="732" t="n"/>
      <c r="AE92" s="732" t="n"/>
      <c r="AF92" s="732" t="n"/>
      <c r="AG92" s="732" t="n"/>
      <c r="AH92" s="732" t="n"/>
      <c r="AI92" s="732" t="n"/>
      <c r="AJ92" s="734" t="n">
        <v>5.4064</v>
      </c>
      <c r="AK92" s="734" t="n">
        <v>7.3257</v>
      </c>
      <c r="AL92" s="732" t="n"/>
      <c r="AM92" s="735" t="inlineStr">
        <is>
          <t>Actual SS P&amp;L; mgmt=off-site+on-site combined</t>
        </is>
      </c>
    </row>
    <row r="93" ht="14.1" customHeight="1">
      <c r="A93" s="732" t="inlineStr">
        <is>
          <t>P042</t>
        </is>
      </c>
      <c r="B93" s="695" t="n">
        <v>386</v>
      </c>
      <c r="C93" s="732" t="inlineStr">
        <is>
          <t>R0126235</t>
        </is>
      </c>
      <c r="D93" s="732" t="inlineStr">
        <is>
          <t>15024 Laroy Drive</t>
        </is>
      </c>
      <c r="E93" s="732" t="inlineStr">
        <is>
          <t>Northglenn</t>
        </is>
      </c>
      <c r="F93" s="732" t="inlineStr">
        <is>
          <t>CO</t>
        </is>
      </c>
      <c r="G93" s="732" t="inlineStr">
        <is>
          <t>Self-Storage</t>
        </is>
      </c>
      <c r="H93" s="732" t="inlineStr">
        <is>
          <t>Climate-Controlled</t>
        </is>
      </c>
      <c r="I93" s="733" t="n"/>
      <c r="J93" s="733" t="n">
        <v>79950</v>
      </c>
      <c r="K93" s="733" t="n">
        <v>2023</v>
      </c>
      <c r="L93" s="732" t="n"/>
      <c r="M93" s="732" t="n"/>
      <c r="N93" s="734" t="n">
        <v>11.94</v>
      </c>
      <c r="O93" s="734" t="n">
        <v>0.5105</v>
      </c>
      <c r="P93" s="734" t="n">
        <v>1.3574</v>
      </c>
      <c r="Q93" s="732" t="n"/>
      <c r="R93" s="732" t="n"/>
      <c r="S93" s="732" t="n"/>
      <c r="T93" s="732" t="n"/>
      <c r="U93" s="732" t="n"/>
      <c r="V93" s="732" t="n"/>
      <c r="W93" s="732" t="n"/>
      <c r="X93" s="732" t="n"/>
      <c r="Y93" s="734" t="n">
        <v>0.301</v>
      </c>
      <c r="Z93" s="732" t="n"/>
      <c r="AA93" s="732" t="n"/>
      <c r="AB93" s="732" t="n"/>
      <c r="AC93" s="732" t="n"/>
      <c r="AD93" s="732" t="n"/>
      <c r="AE93" s="732" t="n"/>
      <c r="AF93" s="734" t="n">
        <v>0.2587</v>
      </c>
      <c r="AG93" s="732" t="n"/>
      <c r="AH93" s="734" t="n">
        <v>3.4355</v>
      </c>
      <c r="AI93" s="734" t="n">
        <v>3.061</v>
      </c>
      <c r="AJ93" s="734" t="n">
        <v>6.4964</v>
      </c>
      <c r="AK93" s="734" t="n">
        <v>5.4436</v>
      </c>
      <c r="AL93" s="732" t="n"/>
      <c r="AM93" s="735" t="inlineStr">
        <is>
          <t>Actual SS P&amp;L; mgmt=off-site+on-site combined</t>
        </is>
      </c>
    </row>
    <row r="94" ht="14.1" customHeight="1">
      <c r="A94" s="732" t="inlineStr">
        <is>
          <t>P043</t>
        </is>
      </c>
      <c r="B94" s="695" t="n">
        <v>386</v>
      </c>
      <c r="C94" s="732" t="inlineStr">
        <is>
          <t>R0126234</t>
        </is>
      </c>
      <c r="D94" s="732" t="inlineStr">
        <is>
          <t>715 W 112th Ave</t>
        </is>
      </c>
      <c r="E94" s="732" t="inlineStr">
        <is>
          <t>Northglenn</t>
        </is>
      </c>
      <c r="F94" s="732" t="inlineStr">
        <is>
          <t>CO</t>
        </is>
      </c>
      <c r="G94" s="732" t="inlineStr">
        <is>
          <t>Self-Storage</t>
        </is>
      </c>
      <c r="H94" s="732" t="inlineStr">
        <is>
          <t>Drive-Up/Drop-Off</t>
        </is>
      </c>
      <c r="I94" s="733" t="n"/>
      <c r="J94" s="733" t="n">
        <v>83756</v>
      </c>
      <c r="K94" s="733" t="n">
        <v>2021</v>
      </c>
      <c r="L94" s="732" t="n"/>
      <c r="M94" s="732" t="n"/>
      <c r="N94" s="734" t="n">
        <v>9.7278</v>
      </c>
      <c r="O94" s="732" t="n"/>
      <c r="P94" s="732" t="n"/>
      <c r="Q94" s="732" t="n"/>
      <c r="R94" s="732" t="n"/>
      <c r="S94" s="732" t="n"/>
      <c r="T94" s="732" t="n"/>
      <c r="U94" s="732" t="n"/>
      <c r="V94" s="732" t="n"/>
      <c r="W94" s="732" t="n"/>
      <c r="X94" s="732" t="n"/>
      <c r="Y94" s="732" t="n"/>
      <c r="Z94" s="732" t="n"/>
      <c r="AA94" s="732" t="n"/>
      <c r="AB94" s="732" t="n"/>
      <c r="AC94" s="732" t="n"/>
      <c r="AD94" s="732" t="n"/>
      <c r="AE94" s="732" t="n"/>
      <c r="AF94" s="732" t="n"/>
      <c r="AG94" s="732" t="n"/>
      <c r="AH94" s="732" t="n"/>
      <c r="AI94" s="732" t="n"/>
      <c r="AJ94" s="734" t="n">
        <v>5.2127</v>
      </c>
      <c r="AK94" s="734" t="n">
        <v>4.5151</v>
      </c>
      <c r="AL94" s="732" t="n"/>
      <c r="AM94" s="735" t="inlineStr">
        <is>
          <t>Actual SS P&amp;L; mgmt=off-site+on-site combined</t>
        </is>
      </c>
    </row>
    <row r="95" ht="14.1" customHeight="1">
      <c r="A95" s="732" t="inlineStr">
        <is>
          <t>P043</t>
        </is>
      </c>
      <c r="B95" s="695" t="n">
        <v>386</v>
      </c>
      <c r="C95" s="732" t="inlineStr">
        <is>
          <t>R0126234</t>
        </is>
      </c>
      <c r="D95" s="732" t="inlineStr">
        <is>
          <t>715 W 112th Ave</t>
        </is>
      </c>
      <c r="E95" s="732" t="inlineStr">
        <is>
          <t>Northglenn</t>
        </is>
      </c>
      <c r="F95" s="732" t="inlineStr">
        <is>
          <t>CO</t>
        </is>
      </c>
      <c r="G95" s="732" t="inlineStr">
        <is>
          <t>Self-Storage</t>
        </is>
      </c>
      <c r="H95" s="732" t="inlineStr">
        <is>
          <t>Drive-Up/Drop-Off</t>
        </is>
      </c>
      <c r="I95" s="733" t="n"/>
      <c r="J95" s="733" t="n">
        <v>83756</v>
      </c>
      <c r="K95" s="733" t="n">
        <v>2022</v>
      </c>
      <c r="L95" s="732" t="n"/>
      <c r="M95" s="732" t="n"/>
      <c r="N95" s="734" t="n">
        <v>11.7102</v>
      </c>
      <c r="O95" s="732" t="n"/>
      <c r="P95" s="732" t="n"/>
      <c r="Q95" s="732" t="n"/>
      <c r="R95" s="732" t="n"/>
      <c r="S95" s="732" t="n"/>
      <c r="T95" s="732" t="n"/>
      <c r="U95" s="732" t="n"/>
      <c r="V95" s="732" t="n"/>
      <c r="W95" s="732" t="n"/>
      <c r="X95" s="732" t="n"/>
      <c r="Y95" s="732" t="n"/>
      <c r="Z95" s="732" t="n"/>
      <c r="AA95" s="732" t="n"/>
      <c r="AB95" s="732" t="n"/>
      <c r="AC95" s="732" t="n"/>
      <c r="AD95" s="732" t="n"/>
      <c r="AE95" s="732" t="n"/>
      <c r="AF95" s="732" t="n"/>
      <c r="AG95" s="732" t="n"/>
      <c r="AH95" s="732" t="n"/>
      <c r="AI95" s="732" t="n"/>
      <c r="AJ95" s="734" t="n">
        <v>5.4426</v>
      </c>
      <c r="AK95" s="734" t="n">
        <v>6.2675</v>
      </c>
      <c r="AL95" s="732" t="n"/>
      <c r="AM95" s="735" t="inlineStr">
        <is>
          <t>Actual SS P&amp;L; mgmt=off-site+on-site combined</t>
        </is>
      </c>
    </row>
    <row r="96" ht="14.1" customHeight="1">
      <c r="A96" s="732" t="inlineStr">
        <is>
          <t>P043</t>
        </is>
      </c>
      <c r="B96" s="695" t="n">
        <v>386</v>
      </c>
      <c r="C96" s="732" t="inlineStr">
        <is>
          <t>R0126234</t>
        </is>
      </c>
      <c r="D96" s="732" t="inlineStr">
        <is>
          <t>715 W 112th Ave</t>
        </is>
      </c>
      <c r="E96" s="732" t="inlineStr">
        <is>
          <t>Northglenn</t>
        </is>
      </c>
      <c r="F96" s="732" t="inlineStr">
        <is>
          <t>CO</t>
        </is>
      </c>
      <c r="G96" s="732" t="inlineStr">
        <is>
          <t>Self-Storage</t>
        </is>
      </c>
      <c r="H96" s="732" t="inlineStr">
        <is>
          <t>Drive-Up/Drop-Off</t>
        </is>
      </c>
      <c r="I96" s="733" t="n"/>
      <c r="J96" s="733" t="n">
        <v>83756</v>
      </c>
      <c r="K96" s="733" t="n">
        <v>2023</v>
      </c>
      <c r="L96" s="732" t="n"/>
      <c r="M96" s="732" t="n"/>
      <c r="N96" s="734" t="n">
        <v>12.0821</v>
      </c>
      <c r="O96" s="734" t="n">
        <v>0.5624</v>
      </c>
      <c r="P96" s="734" t="n">
        <v>1.3342</v>
      </c>
      <c r="Q96" s="732" t="n"/>
      <c r="R96" s="732" t="n"/>
      <c r="S96" s="732" t="n"/>
      <c r="T96" s="732" t="n"/>
      <c r="U96" s="732" t="n"/>
      <c r="V96" s="732" t="n"/>
      <c r="W96" s="732" t="n"/>
      <c r="X96" s="732" t="n"/>
      <c r="Y96" s="734" t="n">
        <v>0.1222</v>
      </c>
      <c r="Z96" s="732" t="n"/>
      <c r="AA96" s="732" t="n"/>
      <c r="AB96" s="732" t="n"/>
      <c r="AC96" s="732" t="n"/>
      <c r="AD96" s="732" t="n"/>
      <c r="AE96" s="732" t="n"/>
      <c r="AF96" s="734" t="n">
        <v>0.1904</v>
      </c>
      <c r="AG96" s="732" t="n"/>
      <c r="AH96" s="734" t="n">
        <v>3.0787</v>
      </c>
      <c r="AI96" s="734" t="n">
        <v>2.42</v>
      </c>
      <c r="AJ96" s="734" t="n">
        <v>5.4986</v>
      </c>
      <c r="AK96" s="734" t="n">
        <v>6.5859</v>
      </c>
      <c r="AL96" s="732" t="n"/>
      <c r="AM96" s="735" t="inlineStr">
        <is>
          <t>Actual SS P&amp;L; mgmt=off-site+on-site combined</t>
        </is>
      </c>
    </row>
    <row r="97" ht="14.1" customHeight="1">
      <c r="A97" s="732" t="inlineStr">
        <is>
          <t>P044</t>
        </is>
      </c>
      <c r="B97" s="695" t="n">
        <v>386</v>
      </c>
      <c r="C97" s="732" t="inlineStr">
        <is>
          <t>R0027089/R0178319</t>
        </is>
      </c>
      <c r="D97" s="732" t="inlineStr">
        <is>
          <t>2290 E 120th Ave</t>
        </is>
      </c>
      <c r="E97" s="732" t="inlineStr">
        <is>
          <t>Thornton</t>
        </is>
      </c>
      <c r="F97" s="732" t="inlineStr">
        <is>
          <t>CO</t>
        </is>
      </c>
      <c r="G97" s="732" t="inlineStr">
        <is>
          <t>Self-Storage</t>
        </is>
      </c>
      <c r="H97" s="732" t="inlineStr">
        <is>
          <t>Drive-Up/Drop-Off</t>
        </is>
      </c>
      <c r="I97" s="733" t="n"/>
      <c r="J97" s="733" t="n">
        <v>71909</v>
      </c>
      <c r="K97" s="733" t="n">
        <v>2021</v>
      </c>
      <c r="L97" s="732" t="n"/>
      <c r="M97" s="732" t="n"/>
      <c r="N97" s="734" t="n">
        <v>11.6457</v>
      </c>
      <c r="O97" s="732" t="n"/>
      <c r="P97" s="732" t="n"/>
      <c r="Q97" s="732" t="n"/>
      <c r="R97" s="732" t="n"/>
      <c r="S97" s="732" t="n"/>
      <c r="T97" s="732" t="n"/>
      <c r="U97" s="732" t="n"/>
      <c r="V97" s="732" t="n"/>
      <c r="W97" s="732" t="n"/>
      <c r="X97" s="732" t="n"/>
      <c r="Y97" s="732" t="n"/>
      <c r="Z97" s="732" t="n"/>
      <c r="AA97" s="732" t="n"/>
      <c r="AB97" s="732" t="n"/>
      <c r="AC97" s="732" t="n"/>
      <c r="AD97" s="732" t="n"/>
      <c r="AE97" s="732" t="n"/>
      <c r="AF97" s="732" t="n"/>
      <c r="AG97" s="732" t="n"/>
      <c r="AH97" s="732" t="n"/>
      <c r="AI97" s="732" t="n"/>
      <c r="AJ97" s="734" t="n">
        <v>6.1981</v>
      </c>
      <c r="AK97" s="734" t="n">
        <v>5.4476</v>
      </c>
      <c r="AL97" s="732" t="n"/>
      <c r="AM97" s="735" t="inlineStr">
        <is>
          <t>Actual SS P&amp;L; combined parcels R0027089+R0178319; mgmt=off-site+on-site</t>
        </is>
      </c>
    </row>
    <row r="98" ht="14.1" customHeight="1">
      <c r="A98" s="732" t="inlineStr">
        <is>
          <t>P044</t>
        </is>
      </c>
      <c r="B98" s="695" t="n">
        <v>386</v>
      </c>
      <c r="C98" s="732" t="inlineStr">
        <is>
          <t>R0027089/R0178319</t>
        </is>
      </c>
      <c r="D98" s="732" t="inlineStr">
        <is>
          <t>2290 E 120th Ave</t>
        </is>
      </c>
      <c r="E98" s="732" t="inlineStr">
        <is>
          <t>Thornton</t>
        </is>
      </c>
      <c r="F98" s="732" t="inlineStr">
        <is>
          <t>CO</t>
        </is>
      </c>
      <c r="G98" s="732" t="inlineStr">
        <is>
          <t>Self-Storage</t>
        </is>
      </c>
      <c r="H98" s="732" t="inlineStr">
        <is>
          <t>Drive-Up/Drop-Off</t>
        </is>
      </c>
      <c r="I98" s="733" t="n"/>
      <c r="J98" s="733" t="n">
        <v>71909</v>
      </c>
      <c r="K98" s="733" t="n">
        <v>2022</v>
      </c>
      <c r="L98" s="732" t="n"/>
      <c r="M98" s="732" t="n"/>
      <c r="N98" s="734" t="n">
        <v>13.1494</v>
      </c>
      <c r="O98" s="732" t="n"/>
      <c r="P98" s="732" t="n"/>
      <c r="Q98" s="732" t="n"/>
      <c r="R98" s="732" t="n"/>
      <c r="S98" s="732" t="n"/>
      <c r="T98" s="732" t="n"/>
      <c r="U98" s="732" t="n"/>
      <c r="V98" s="732" t="n"/>
      <c r="W98" s="732" t="n"/>
      <c r="X98" s="732" t="n"/>
      <c r="Y98" s="732" t="n"/>
      <c r="Z98" s="732" t="n"/>
      <c r="AA98" s="732" t="n"/>
      <c r="AB98" s="732" t="n"/>
      <c r="AC98" s="732" t="n"/>
      <c r="AD98" s="732" t="n"/>
      <c r="AE98" s="732" t="n"/>
      <c r="AF98" s="732" t="n"/>
      <c r="AG98" s="732" t="n"/>
      <c r="AH98" s="732" t="n"/>
      <c r="AI98" s="732" t="n"/>
      <c r="AJ98" s="734" t="n">
        <v>6.1981</v>
      </c>
      <c r="AK98" s="734" t="n">
        <v>6.4846</v>
      </c>
      <c r="AL98" s="732" t="n"/>
      <c r="AM98" s="735" t="inlineStr">
        <is>
          <t>Actual SS P&amp;L; combined parcels R0027089+R0178319; mgmt=off-site+on-site</t>
        </is>
      </c>
    </row>
    <row r="99" ht="14.1" customHeight="1">
      <c r="A99" s="732" t="inlineStr">
        <is>
          <t>P044</t>
        </is>
      </c>
      <c r="B99" s="695" t="n">
        <v>386</v>
      </c>
      <c r="C99" s="732" t="inlineStr">
        <is>
          <t>R0027089/R0178319</t>
        </is>
      </c>
      <c r="D99" s="732" t="inlineStr">
        <is>
          <t>2290 E 120th Ave</t>
        </is>
      </c>
      <c r="E99" s="732" t="inlineStr">
        <is>
          <t>Thornton</t>
        </is>
      </c>
      <c r="F99" s="732" t="inlineStr">
        <is>
          <t>CO</t>
        </is>
      </c>
      <c r="G99" s="732" t="inlineStr">
        <is>
          <t>Self-Storage</t>
        </is>
      </c>
      <c r="H99" s="732" t="inlineStr">
        <is>
          <t>Drive-Up/Drop-Off</t>
        </is>
      </c>
      <c r="I99" s="733" t="n"/>
      <c r="J99" s="733" t="n">
        <v>71909</v>
      </c>
      <c r="K99" s="733" t="n">
        <v>2023</v>
      </c>
      <c r="L99" s="732" t="n"/>
      <c r="M99" s="732" t="n"/>
      <c r="N99" s="734" t="n">
        <v>13.6392</v>
      </c>
      <c r="O99" s="734" t="n">
        <v>0.6036</v>
      </c>
      <c r="P99" s="734" t="n">
        <v>1.9706</v>
      </c>
      <c r="Q99" s="732" t="n"/>
      <c r="R99" s="732" t="n"/>
      <c r="S99" s="732" t="n"/>
      <c r="T99" s="732" t="n"/>
      <c r="U99" s="732" t="n"/>
      <c r="V99" s="732" t="n"/>
      <c r="W99" s="732" t="n"/>
      <c r="X99" s="732" t="n"/>
      <c r="Y99" s="734" t="n">
        <v>0.248</v>
      </c>
      <c r="Z99" s="732" t="n"/>
      <c r="AA99" s="732" t="n"/>
      <c r="AB99" s="732" t="n"/>
      <c r="AC99" s="732" t="n"/>
      <c r="AD99" s="732" t="n"/>
      <c r="AE99" s="732" t="n"/>
      <c r="AF99" s="734" t="n">
        <v>0.298</v>
      </c>
      <c r="AG99" s="732" t="n"/>
      <c r="AH99" s="734" t="n">
        <v>4.1574</v>
      </c>
      <c r="AI99" s="734" t="n">
        <v>2.5917</v>
      </c>
      <c r="AJ99" s="734" t="n">
        <v>6.7491</v>
      </c>
      <c r="AK99" s="734" t="n">
        <v>6.8462</v>
      </c>
      <c r="AL99" s="732" t="n"/>
      <c r="AM99" s="735" t="inlineStr">
        <is>
          <t>Actual SS P&amp;L; combined parcels R0027089+R0178319; mgmt=off-site+on-site</t>
        </is>
      </c>
    </row>
    <row r="100" ht="14.1" customHeight="1">
      <c r="A100" s="732" t="inlineStr">
        <is>
          <t>P045</t>
        </is>
      </c>
      <c r="B100" s="695" t="n">
        <v>386</v>
      </c>
      <c r="C100" s="732" t="inlineStr">
        <is>
          <t>R0043569</t>
        </is>
      </c>
      <c r="D100" s="732" t="inlineStr">
        <is>
          <t>40131 Quivas St</t>
        </is>
      </c>
      <c r="E100" s="732" t="inlineStr">
        <is>
          <t>Thornton</t>
        </is>
      </c>
      <c r="F100" s="732" t="inlineStr">
        <is>
          <t>CO</t>
        </is>
      </c>
      <c r="G100" s="732" t="inlineStr">
        <is>
          <t>Self-Storage</t>
        </is>
      </c>
      <c r="H100" s="732" t="inlineStr">
        <is>
          <t>Drive-Up/Drop-Off</t>
        </is>
      </c>
      <c r="I100" s="733" t="n"/>
      <c r="J100" s="733" t="n">
        <v>41900</v>
      </c>
      <c r="K100" s="733" t="n">
        <v>2024</v>
      </c>
      <c r="L100" s="732" t="n"/>
      <c r="M100" s="732" t="n"/>
      <c r="N100" s="734" t="n">
        <v>17.1375</v>
      </c>
      <c r="O100" s="734" t="n">
        <v>0.4543</v>
      </c>
      <c r="P100" s="734" t="n">
        <v>2.2428</v>
      </c>
      <c r="Q100" s="732" t="n"/>
      <c r="R100" s="732" t="n"/>
      <c r="S100" s="732" t="n"/>
      <c r="T100" s="732" t="n"/>
      <c r="U100" s="732" t="n"/>
      <c r="V100" s="732" t="n"/>
      <c r="W100" s="732" t="n"/>
      <c r="X100" s="732" t="n"/>
      <c r="Y100" s="734" t="n">
        <v>0.2809</v>
      </c>
      <c r="Z100" s="732" t="n"/>
      <c r="AA100" s="732" t="n"/>
      <c r="AB100" s="732" t="n"/>
      <c r="AC100" s="732" t="n"/>
      <c r="AD100" s="732" t="n"/>
      <c r="AE100" s="732" t="n"/>
      <c r="AF100" s="734" t="n">
        <v>0.1293</v>
      </c>
      <c r="AG100" s="732" t="n"/>
      <c r="AH100" s="734" t="n">
        <v>4.9831</v>
      </c>
      <c r="AI100" s="734" t="n">
        <v>4.213</v>
      </c>
      <c r="AJ100" s="734" t="n">
        <v>9.196</v>
      </c>
      <c r="AK100" s="734" t="n">
        <v>7.9414</v>
      </c>
      <c r="AL100" s="732" t="n"/>
      <c r="AM100" s="735" t="inlineStr">
        <is>
          <t>Actual FY2024 P&amp;L; mgmt=off-site $42,964+on-site $51,011; RE Tax est from matrix</t>
        </is>
      </c>
    </row>
    <row r="101" ht="14.1" customHeight="1">
      <c r="A101" s="732" t="inlineStr">
        <is>
          <t>P046</t>
        </is>
      </c>
      <c r="B101" s="695" t="n">
        <v>386</v>
      </c>
      <c r="C101" s="732" t="inlineStr">
        <is>
          <t>R0193009</t>
        </is>
      </c>
      <c r="D101" s="732" t="inlineStr">
        <is>
          <t>Address unknown – see R0193009</t>
        </is>
      </c>
      <c r="E101" s="732" t="inlineStr">
        <is>
          <t>Adams County</t>
        </is>
      </c>
      <c r="F101" s="732" t="inlineStr">
        <is>
          <t>CO</t>
        </is>
      </c>
      <c r="G101" s="732" t="inlineStr">
        <is>
          <t>Self-Storage</t>
        </is>
      </c>
      <c r="H101" s="732" t="inlineStr">
        <is>
          <t>Climate-Controlled</t>
        </is>
      </c>
      <c r="I101" s="733" t="n"/>
      <c r="J101" s="733" t="n">
        <v>94736</v>
      </c>
      <c r="K101" s="733" t="n"/>
      <c r="L101" s="732" t="n"/>
      <c r="M101" s="732" t="n"/>
      <c r="N101" s="734" t="n">
        <v>16.7</v>
      </c>
      <c r="O101" s="734" t="n">
        <v>0.4183</v>
      </c>
      <c r="P101" s="734" t="n">
        <v>1.7666</v>
      </c>
      <c r="Q101" s="732" t="n"/>
      <c r="R101" s="732" t="n"/>
      <c r="S101" s="732" t="n"/>
      <c r="T101" s="732" t="n"/>
      <c r="U101" s="732" t="n"/>
      <c r="V101" s="732" t="n"/>
      <c r="W101" s="732" t="n"/>
      <c r="X101" s="732" t="n"/>
      <c r="Y101" s="734" t="n">
        <v>0.4073</v>
      </c>
      <c r="Z101" s="732" t="n"/>
      <c r="AA101" s="732" t="n"/>
      <c r="AB101" s="732" t="n"/>
      <c r="AC101" s="732" t="n"/>
      <c r="AD101" s="732" t="n"/>
      <c r="AE101" s="732" t="n"/>
      <c r="AF101" s="734" t="n">
        <v>0.207</v>
      </c>
      <c r="AG101" s="732" t="n"/>
      <c r="AH101" s="734" t="n">
        <v>3.6866</v>
      </c>
      <c r="AI101" s="734" t="n">
        <v>4.474</v>
      </c>
      <c r="AJ101" s="734" t="n">
        <v>8.160600000000001</v>
      </c>
      <c r="AK101" s="734" t="n">
        <v>8.539400000000001</v>
      </c>
      <c r="AL101" s="732" t="n"/>
      <c r="AM101" s="735" t="inlineStr">
        <is>
          <t>AXG SS Expense Matrix; year not specified (~2022/23); R0193009</t>
        </is>
      </c>
    </row>
    <row r="102" ht="14.1" customHeight="1">
      <c r="A102" s="732" t="inlineStr">
        <is>
          <t>P047</t>
        </is>
      </c>
      <c r="B102" s="695" t="n">
        <v>386</v>
      </c>
      <c r="C102" s="732" t="inlineStr">
        <is>
          <t>R0099616</t>
        </is>
      </c>
      <c r="D102" s="732" t="inlineStr">
        <is>
          <t>Address unknown – see R0099616</t>
        </is>
      </c>
      <c r="E102" s="732" t="inlineStr">
        <is>
          <t>Adams County</t>
        </is>
      </c>
      <c r="F102" s="732" t="inlineStr">
        <is>
          <t>CO</t>
        </is>
      </c>
      <c r="G102" s="732" t="inlineStr">
        <is>
          <t>Self-Storage</t>
        </is>
      </c>
      <c r="H102" s="732" t="inlineStr">
        <is>
          <t>Drive-Up/Drop-Off</t>
        </is>
      </c>
      <c r="I102" s="733" t="n"/>
      <c r="J102" s="733" t="n">
        <v>73500</v>
      </c>
      <c r="K102" s="733" t="n"/>
      <c r="L102" s="732" t="n"/>
      <c r="M102" s="732" t="n"/>
      <c r="N102" s="734" t="n">
        <v>11.3518</v>
      </c>
      <c r="O102" s="734" t="n">
        <v>0.2504</v>
      </c>
      <c r="P102" s="734" t="n">
        <v>0.8845</v>
      </c>
      <c r="Q102" s="732" t="n"/>
      <c r="R102" s="732" t="n"/>
      <c r="S102" s="732" t="n"/>
      <c r="T102" s="732" t="n"/>
      <c r="U102" s="732" t="n"/>
      <c r="V102" s="732" t="n"/>
      <c r="W102" s="732" t="n"/>
      <c r="X102" s="732" t="n"/>
      <c r="Y102" s="734" t="n">
        <v>0.3368</v>
      </c>
      <c r="Z102" s="732" t="n"/>
      <c r="AA102" s="732" t="n"/>
      <c r="AB102" s="732" t="n"/>
      <c r="AC102" s="732" t="n"/>
      <c r="AD102" s="732" t="n"/>
      <c r="AE102" s="732" t="n"/>
      <c r="AF102" s="734" t="n">
        <v>0.2348</v>
      </c>
      <c r="AG102" s="732" t="n"/>
      <c r="AH102" s="734" t="n">
        <v>2.7024</v>
      </c>
      <c r="AI102" s="734" t="n">
        <v>2.144</v>
      </c>
      <c r="AJ102" s="734" t="n">
        <v>4.8463</v>
      </c>
      <c r="AK102" s="734" t="n">
        <v>6.5055</v>
      </c>
      <c r="AL102" s="732" t="n"/>
      <c r="AM102" s="735" t="inlineStr">
        <is>
          <t>AXG SS Expense Matrix; year not specified (~2022/23); R0099616</t>
        </is>
      </c>
    </row>
    <row r="103" ht="14.1" customHeight="1">
      <c r="A103" s="732" t="inlineStr">
        <is>
          <t>P048</t>
        </is>
      </c>
      <c r="B103" s="695" t="n">
        <v>386</v>
      </c>
      <c r="C103" s="732" t="inlineStr">
        <is>
          <t>R0098019</t>
        </is>
      </c>
      <c r="D103" s="732" t="inlineStr">
        <is>
          <t>Address unknown – see R0098019</t>
        </is>
      </c>
      <c r="E103" s="732" t="inlineStr">
        <is>
          <t>Adams County</t>
        </is>
      </c>
      <c r="F103" s="732" t="inlineStr">
        <is>
          <t>CO</t>
        </is>
      </c>
      <c r="G103" s="732" t="inlineStr">
        <is>
          <t>Self-Storage</t>
        </is>
      </c>
      <c r="H103" s="732" t="inlineStr">
        <is>
          <t>Drive-Up/Drop-Off</t>
        </is>
      </c>
      <c r="I103" s="733" t="n"/>
      <c r="J103" s="733" t="n">
        <v>44975</v>
      </c>
      <c r="K103" s="733" t="n"/>
      <c r="L103" s="732" t="n"/>
      <c r="M103" s="732" t="n"/>
      <c r="N103" s="734" t="n">
        <v>13.0923</v>
      </c>
      <c r="O103" s="734" t="n">
        <v>0.4933</v>
      </c>
      <c r="P103" s="734" t="n">
        <v>0.8561</v>
      </c>
      <c r="Q103" s="732" t="n"/>
      <c r="R103" s="732" t="n"/>
      <c r="S103" s="732" t="n"/>
      <c r="T103" s="732" t="n"/>
      <c r="U103" s="732" t="n"/>
      <c r="V103" s="732" t="n"/>
      <c r="W103" s="732" t="n"/>
      <c r="X103" s="732" t="n"/>
      <c r="Y103" s="734" t="n">
        <v>0.8597</v>
      </c>
      <c r="Z103" s="732" t="n"/>
      <c r="AA103" s="732" t="n"/>
      <c r="AB103" s="732" t="n"/>
      <c r="AC103" s="732" t="n"/>
      <c r="AD103" s="732" t="n"/>
      <c r="AE103" s="732" t="n"/>
      <c r="AF103" s="734" t="n">
        <v>0.6947</v>
      </c>
      <c r="AG103" s="732" t="n"/>
      <c r="AH103" s="734" t="n">
        <v>3.1997</v>
      </c>
      <c r="AI103" s="734" t="n">
        <v>2.8576</v>
      </c>
      <c r="AJ103" s="734" t="n">
        <v>6.0573</v>
      </c>
      <c r="AK103" s="734" t="n">
        <v>7.035</v>
      </c>
      <c r="AL103" s="732" t="n"/>
      <c r="AM103" s="735" t="inlineStr">
        <is>
          <t>AXG SS Expense Matrix; year not specified (~2022/23); R0098019</t>
        </is>
      </c>
    </row>
    <row r="104" ht="14.1" customHeight="1">
      <c r="A104" s="732" t="inlineStr">
        <is>
          <t>P049</t>
        </is>
      </c>
      <c r="B104" s="695" t="n">
        <v>386</v>
      </c>
      <c r="C104" s="732" t="inlineStr">
        <is>
          <t>R0102989</t>
        </is>
      </c>
      <c r="D104" s="732" t="inlineStr">
        <is>
          <t>Address unknown – see R0102989</t>
        </is>
      </c>
      <c r="E104" s="732" t="inlineStr">
        <is>
          <t>Adams County</t>
        </is>
      </c>
      <c r="F104" s="732" t="inlineStr">
        <is>
          <t>CO</t>
        </is>
      </c>
      <c r="G104" s="732" t="inlineStr">
        <is>
          <t>Self-Storage</t>
        </is>
      </c>
      <c r="H104" s="732" t="inlineStr">
        <is>
          <t>Climate-Controlled</t>
        </is>
      </c>
      <c r="I104" s="733" t="n"/>
      <c r="J104" s="733" t="n">
        <v>94797</v>
      </c>
      <c r="K104" s="733" t="n"/>
      <c r="L104" s="732" t="n"/>
      <c r="M104" s="732" t="n"/>
      <c r="N104" s="734" t="n">
        <v>12.4952</v>
      </c>
      <c r="O104" s="734" t="n">
        <v>0.2668</v>
      </c>
      <c r="P104" s="734" t="n">
        <v>2.1805</v>
      </c>
      <c r="Q104" s="732" t="n"/>
      <c r="R104" s="732" t="n"/>
      <c r="S104" s="732" t="n"/>
      <c r="T104" s="732" t="n"/>
      <c r="U104" s="732" t="n"/>
      <c r="V104" s="732" t="n"/>
      <c r="W104" s="732" t="n"/>
      <c r="X104" s="732" t="n"/>
      <c r="Y104" s="734" t="n">
        <v>0.3013</v>
      </c>
      <c r="Z104" s="732" t="n"/>
      <c r="AA104" s="732" t="n"/>
      <c r="AB104" s="732" t="n"/>
      <c r="AC104" s="732" t="n"/>
      <c r="AD104" s="732" t="n"/>
      <c r="AE104" s="732" t="n"/>
      <c r="AF104" s="734" t="n">
        <v>0.5221</v>
      </c>
      <c r="AG104" s="732" t="n"/>
      <c r="AH104" s="734" t="n">
        <v>4.5787</v>
      </c>
      <c r="AI104" s="734" t="n">
        <v>2.7378</v>
      </c>
      <c r="AJ104" s="734" t="n">
        <v>7.3165</v>
      </c>
      <c r="AK104" s="734" t="n">
        <v>5.1786</v>
      </c>
      <c r="AL104" s="732" t="n"/>
      <c r="AM104" s="735" t="inlineStr">
        <is>
          <t>AXG SS Expense Matrix; year not specified (~2022/23); R0102989</t>
        </is>
      </c>
    </row>
    <row r="105" ht="14.1" customHeight="1">
      <c r="A105" s="732" t="inlineStr">
        <is>
          <t>P050</t>
        </is>
      </c>
      <c r="B105" s="695" t="n">
        <v>386</v>
      </c>
      <c r="C105" s="732" t="inlineStr">
        <is>
          <t>R0085523</t>
        </is>
      </c>
      <c r="D105" s="732" t="inlineStr">
        <is>
          <t>Address unknown – see R0085523</t>
        </is>
      </c>
      <c r="E105" s="732" t="inlineStr">
        <is>
          <t>Adams County</t>
        </is>
      </c>
      <c r="F105" s="732" t="inlineStr">
        <is>
          <t>CO</t>
        </is>
      </c>
      <c r="G105" s="732" t="inlineStr">
        <is>
          <t>Self-Storage</t>
        </is>
      </c>
      <c r="H105" s="732" t="inlineStr">
        <is>
          <t>Drive-Up/Drop-Off</t>
        </is>
      </c>
      <c r="I105" s="733" t="n"/>
      <c r="J105" s="733" t="n">
        <v>39525</v>
      </c>
      <c r="K105" s="733" t="n"/>
      <c r="L105" s="732" t="n"/>
      <c r="M105" s="732" t="n"/>
      <c r="N105" s="734" t="n">
        <v>13.7122</v>
      </c>
      <c r="O105" s="734" t="n">
        <v>0.2102</v>
      </c>
      <c r="P105" s="734" t="n">
        <v>2.3853</v>
      </c>
      <c r="Q105" s="732" t="n"/>
      <c r="R105" s="732" t="n"/>
      <c r="S105" s="732" t="n"/>
      <c r="T105" s="732" t="n"/>
      <c r="U105" s="732" t="n"/>
      <c r="V105" s="732" t="n"/>
      <c r="W105" s="732" t="n"/>
      <c r="X105" s="732" t="n"/>
      <c r="Y105" s="734" t="n">
        <v>0.5387</v>
      </c>
      <c r="Z105" s="732" t="n"/>
      <c r="AA105" s="732" t="n"/>
      <c r="AB105" s="732" t="n"/>
      <c r="AC105" s="732" t="n"/>
      <c r="AD105" s="732" t="n"/>
      <c r="AE105" s="732" t="n"/>
      <c r="AF105" s="734" t="n">
        <v>0.4172</v>
      </c>
      <c r="AG105" s="732" t="n"/>
      <c r="AH105" s="734" t="n">
        <v>3.7856</v>
      </c>
      <c r="AI105" s="734" t="n">
        <v>5.2913</v>
      </c>
      <c r="AJ105" s="734" t="n">
        <v>9.0769</v>
      </c>
      <c r="AK105" s="734" t="n">
        <v>4.6352</v>
      </c>
      <c r="AL105" s="732" t="n"/>
      <c r="AM105" s="735" t="inlineStr">
        <is>
          <t>AXG SS Expense Matrix; year not specified (~2022/23); R0085523</t>
        </is>
      </c>
    </row>
    <row r="106" ht="14.1" customHeight="1">
      <c r="A106" s="732" t="inlineStr">
        <is>
          <t>P051</t>
        </is>
      </c>
      <c r="B106" s="695" t="n">
        <v>386</v>
      </c>
      <c r="C106" s="732" t="inlineStr">
        <is>
          <t>R0174860</t>
        </is>
      </c>
      <c r="D106" s="732" t="inlineStr">
        <is>
          <t>Address unknown – see R0174860</t>
        </is>
      </c>
      <c r="E106" s="732" t="inlineStr">
        <is>
          <t>Adams County</t>
        </is>
      </c>
      <c r="F106" s="732" t="inlineStr">
        <is>
          <t>CO</t>
        </is>
      </c>
      <c r="G106" s="732" t="inlineStr">
        <is>
          <t>Self-Storage</t>
        </is>
      </c>
      <c r="H106" s="732" t="inlineStr">
        <is>
          <t>Drive-Up/Drop-Off (containers)</t>
        </is>
      </c>
      <c r="I106" s="733" t="n"/>
      <c r="J106" s="733" t="n">
        <v>45980</v>
      </c>
      <c r="K106" s="733" t="n"/>
      <c r="L106" s="732" t="n"/>
      <c r="M106" s="732" t="n"/>
      <c r="N106" s="734" t="n">
        <v>14.0604</v>
      </c>
      <c r="O106" s="734" t="n">
        <v>0.1085</v>
      </c>
      <c r="P106" s="734" t="n">
        <v>1.5224</v>
      </c>
      <c r="Q106" s="732" t="n"/>
      <c r="R106" s="732" t="n"/>
      <c r="S106" s="732" t="n"/>
      <c r="T106" s="732" t="n"/>
      <c r="U106" s="732" t="n"/>
      <c r="V106" s="732" t="n"/>
      <c r="W106" s="732" t="n"/>
      <c r="X106" s="732" t="n"/>
      <c r="Y106" s="734" t="n">
        <v>0.261</v>
      </c>
      <c r="Z106" s="732" t="n"/>
      <c r="AA106" s="732" t="n"/>
      <c r="AB106" s="732" t="n"/>
      <c r="AC106" s="732" t="n"/>
      <c r="AD106" s="732" t="n"/>
      <c r="AE106" s="732" t="n"/>
      <c r="AF106" s="734" t="n">
        <v>0.2604</v>
      </c>
      <c r="AG106" s="732" t="n"/>
      <c r="AH106" s="734" t="n">
        <v>3.1926</v>
      </c>
      <c r="AI106" s="734" t="n">
        <v>1.806</v>
      </c>
      <c r="AJ106" s="734" t="n">
        <v>4.9986</v>
      </c>
      <c r="AK106" s="734" t="n">
        <v>9.0617</v>
      </c>
      <c r="AL106" s="732" t="n"/>
      <c r="AM106" s="735" t="inlineStr">
        <is>
          <t>AXG SS Expense Matrix; year not specified (~2022/23); R0174860</t>
        </is>
      </c>
    </row>
    <row r="107" ht="14.1" customHeight="1">
      <c r="A107" s="732" t="inlineStr">
        <is>
          <t>P052</t>
        </is>
      </c>
      <c r="B107" s="695" t="n">
        <v>386</v>
      </c>
      <c r="C107" s="732" t="inlineStr">
        <is>
          <t>R0161412</t>
        </is>
      </c>
      <c r="D107" s="732" t="inlineStr">
        <is>
          <t>Address unknown – see R0161412</t>
        </is>
      </c>
      <c r="E107" s="732" t="inlineStr">
        <is>
          <t>Adams County</t>
        </is>
      </c>
      <c r="F107" s="732" t="inlineStr">
        <is>
          <t>CO</t>
        </is>
      </c>
      <c r="G107" s="732" t="inlineStr">
        <is>
          <t>Self-Storage</t>
        </is>
      </c>
      <c r="H107" s="732" t="inlineStr">
        <is>
          <t>Drive-Up/Drop-Off</t>
        </is>
      </c>
      <c r="I107" s="733" t="n"/>
      <c r="J107" s="733" t="n">
        <v>88043</v>
      </c>
      <c r="K107" s="733" t="n"/>
      <c r="L107" s="732" t="n"/>
      <c r="M107" s="732" t="n"/>
      <c r="N107" s="734" t="n">
        <v>13.7047</v>
      </c>
      <c r="O107" s="734" t="n">
        <v>0.1417</v>
      </c>
      <c r="P107" s="734" t="n">
        <v>2.0341</v>
      </c>
      <c r="Q107" s="732" t="n"/>
      <c r="R107" s="732" t="n"/>
      <c r="S107" s="732" t="n"/>
      <c r="T107" s="732" t="n"/>
      <c r="U107" s="732" t="n"/>
      <c r="V107" s="732" t="n"/>
      <c r="W107" s="732" t="n"/>
      <c r="X107" s="732" t="n"/>
      <c r="Y107" s="734" t="n">
        <v>0.2303</v>
      </c>
      <c r="Z107" s="732" t="n"/>
      <c r="AA107" s="732" t="n"/>
      <c r="AB107" s="732" t="n"/>
      <c r="AC107" s="732" t="n"/>
      <c r="AD107" s="732" t="n"/>
      <c r="AE107" s="732" t="n"/>
      <c r="AF107" s="734" t="n">
        <v>0.1926</v>
      </c>
      <c r="AG107" s="732" t="n"/>
      <c r="AH107" s="734" t="n">
        <v>3.2267</v>
      </c>
      <c r="AI107" s="734" t="n">
        <v>4.424</v>
      </c>
      <c r="AJ107" s="734" t="n">
        <v>7.6507</v>
      </c>
      <c r="AK107" s="734" t="n">
        <v>6.054</v>
      </c>
      <c r="AL107" s="732" t="n"/>
      <c r="AM107" s="735" t="inlineStr">
        <is>
          <t>AXG SS Expense Matrix; year not specified (~2022/23); R0161412</t>
        </is>
      </c>
    </row>
    <row r="108" ht="14.1" customHeight="1">
      <c r="A108" s="732" t="inlineStr">
        <is>
          <t>P053</t>
        </is>
      </c>
      <c r="B108" s="695" t="n">
        <v>386</v>
      </c>
      <c r="C108" s="732" t="inlineStr">
        <is>
          <t>R0169115</t>
        </is>
      </c>
      <c r="D108" s="732" t="inlineStr">
        <is>
          <t>Address unknown – see R0169115</t>
        </is>
      </c>
      <c r="E108" s="732" t="inlineStr">
        <is>
          <t>Adams County</t>
        </is>
      </c>
      <c r="F108" s="732" t="inlineStr">
        <is>
          <t>CO</t>
        </is>
      </c>
      <c r="G108" s="732" t="inlineStr">
        <is>
          <t>Self-Storage</t>
        </is>
      </c>
      <c r="H108" s="732" t="inlineStr">
        <is>
          <t>Drive-Up/Drop-Off</t>
        </is>
      </c>
      <c r="I108" s="733" t="n"/>
      <c r="J108" s="733" t="n">
        <v>41764</v>
      </c>
      <c r="K108" s="733" t="n"/>
      <c r="L108" s="732" t="n"/>
      <c r="M108" s="732" t="n"/>
      <c r="N108" s="734" t="n">
        <v>18.8527</v>
      </c>
      <c r="O108" s="734" t="n">
        <v>0.2311</v>
      </c>
      <c r="P108" s="734" t="n">
        <v>1.995</v>
      </c>
      <c r="Q108" s="732" t="n"/>
      <c r="R108" s="732" t="n"/>
      <c r="S108" s="732" t="n"/>
      <c r="T108" s="732" t="n"/>
      <c r="U108" s="732" t="n"/>
      <c r="V108" s="732" t="n"/>
      <c r="W108" s="732" t="n"/>
      <c r="X108" s="732" t="n"/>
      <c r="Y108" s="734" t="n">
        <v>0.6139</v>
      </c>
      <c r="Z108" s="732" t="n"/>
      <c r="AA108" s="732" t="n"/>
      <c r="AB108" s="732" t="n"/>
      <c r="AC108" s="732" t="n"/>
      <c r="AD108" s="732" t="n"/>
      <c r="AE108" s="732" t="n"/>
      <c r="AF108" s="734" t="n">
        <v>0.3821</v>
      </c>
      <c r="AG108" s="732" t="n"/>
      <c r="AH108" s="734" t="n">
        <v>4.6124</v>
      </c>
      <c r="AI108" s="734" t="n">
        <v>4.8634</v>
      </c>
      <c r="AJ108" s="734" t="n">
        <v>9.4758</v>
      </c>
      <c r="AK108" s="734" t="n">
        <v>9.376899999999999</v>
      </c>
      <c r="AL108" s="732" t="n"/>
      <c r="AM108" s="735" t="inlineStr">
        <is>
          <t>AXG SS Expense Matrix; year not specified (~2022/23); R0169115</t>
        </is>
      </c>
    </row>
    <row r="109" ht="14.1" customHeight="1">
      <c r="A109" s="696" t="inlineStr">
        <is>
          <t>P016</t>
        </is>
      </c>
      <c r="B109" s="695" t="n">
        <v>584</v>
      </c>
      <c r="C109" s="696" t="inlineStr">
        <is>
          <t>R0212546/R0212547</t>
        </is>
      </c>
      <c r="D109" s="696" t="inlineStr">
        <is>
          <t>2780 N Tower Rd</t>
        </is>
      </c>
      <c r="E109" s="696" t="inlineStr">
        <is>
          <t>Aurora</t>
        </is>
      </c>
      <c r="F109" s="696" t="inlineStr">
        <is>
          <t>CO</t>
        </is>
      </c>
      <c r="G109" s="696" t="inlineStr">
        <is>
          <t>Industrial</t>
        </is>
      </c>
      <c r="H109" s="696"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724" t="inlineStr">
        <is>
          <t>Absolute NNN; tenant pays ALL RE tax, ins, CAM; owner opex = admin only (excl D&amp;A $456k); supersedes proforma row</t>
        </is>
      </c>
    </row>
    <row r="110" ht="14.1" customHeight="1">
      <c r="A110" s="718" t="inlineStr">
        <is>
          <t>P016</t>
        </is>
      </c>
      <c r="B110" s="695" t="n">
        <v>584</v>
      </c>
      <c r="C110" s="718" t="inlineStr">
        <is>
          <t>R0212546/R0212547</t>
        </is>
      </c>
      <c r="D110" s="718" t="inlineStr">
        <is>
          <t>2780 N Tower Rd</t>
        </is>
      </c>
      <c r="E110" s="718" t="inlineStr">
        <is>
          <t>Aurora</t>
        </is>
      </c>
      <c r="F110" s="718" t="inlineStr">
        <is>
          <t>CO</t>
        </is>
      </c>
      <c r="G110" s="718" t="inlineStr">
        <is>
          <t>Industrial</t>
        </is>
      </c>
      <c r="H110" s="718" t="inlineStr">
        <is>
          <t>Mega Warehouse NNN</t>
        </is>
      </c>
      <c r="I110" s="719" t="n">
        <v>1983</v>
      </c>
      <c r="J110" s="719" t="n">
        <v>377729</v>
      </c>
      <c r="K110" s="719" t="n">
        <v>2024</v>
      </c>
      <c r="L110" s="720" t="n">
        <v>8.067600000000001</v>
      </c>
      <c r="M110" s="718" t="n"/>
      <c r="N110" s="720" t="n">
        <v>8.067600000000001</v>
      </c>
      <c r="O110" s="718" t="n"/>
      <c r="P110" s="720" t="n">
        <v>0.0106</v>
      </c>
      <c r="Q110" s="718" t="n"/>
      <c r="R110" s="718" t="n"/>
      <c r="S110" s="718" t="n"/>
      <c r="T110" s="718" t="n"/>
      <c r="U110" s="718" t="n"/>
      <c r="V110" s="718" t="n"/>
      <c r="W110" s="718" t="n"/>
      <c r="X110" s="718" t="n"/>
      <c r="Y110" s="718" t="n"/>
      <c r="Z110" s="718" t="n"/>
      <c r="AA110" s="718" t="n"/>
      <c r="AB110" s="718" t="n"/>
      <c r="AC110" s="718" t="n"/>
      <c r="AD110" s="718" t="n"/>
      <c r="AE110" s="718" t="n"/>
      <c r="AF110" s="718" t="n"/>
      <c r="AG110" s="720" t="n">
        <v>0.06850000000000001</v>
      </c>
      <c r="AH110" s="720" t="n">
        <v>0.1558</v>
      </c>
      <c r="AI110" s="720" t="n">
        <v>0</v>
      </c>
      <c r="AJ110" s="720" t="n">
        <v>0.1558</v>
      </c>
      <c r="AK110" s="720" t="n">
        <v>7.9118</v>
      </c>
      <c r="AL110" s="718" t="n"/>
      <c r="AM110" s="721" t="inlineStr">
        <is>
          <t>Absolute NNN; tenant pays ALL RE tax, ins, CAM; owner opex = admin only (excl D&amp;A $456k); supersedes proforma row</t>
        </is>
      </c>
    </row>
    <row r="111" ht="14.1" customHeight="1">
      <c r="A111" s="696" t="inlineStr">
        <is>
          <t>P034</t>
        </is>
      </c>
      <c r="B111" s="695" t="n">
        <v>407</v>
      </c>
      <c r="C111" s="696" t="inlineStr">
        <is>
          <t>R0172865</t>
        </is>
      </c>
      <c r="D111" s="696" t="inlineStr">
        <is>
          <t>Majestic Commercenter (R0172865)</t>
        </is>
      </c>
      <c r="E111" s="696" t="inlineStr">
        <is>
          <t>Commerce City</t>
        </is>
      </c>
      <c r="F111" s="696" t="inlineStr">
        <is>
          <t>CO</t>
        </is>
      </c>
      <c r="G111" s="696" t="inlineStr">
        <is>
          <t>Industrial</t>
        </is>
      </c>
      <c r="H111" s="696"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724" t="inlineStr">
        <is>
          <t>2024 actual 12-month P&amp;L; NOI est. per expense ratio; from 08_2025 Review</t>
        </is>
      </c>
    </row>
    <row r="112" ht="14.1" customHeight="1">
      <c r="A112" s="718" t="inlineStr">
        <is>
          <t>P036</t>
        </is>
      </c>
      <c r="B112" s="695" t="n">
        <v>407</v>
      </c>
      <c r="C112" s="718" t="inlineStr">
        <is>
          <t>R0172868</t>
        </is>
      </c>
      <c r="D112" s="718" t="inlineStr">
        <is>
          <t>Majestic Commercenter (R0172868)</t>
        </is>
      </c>
      <c r="E112" s="718" t="inlineStr">
        <is>
          <t>Commerce City</t>
        </is>
      </c>
      <c r="F112" s="718" t="inlineStr">
        <is>
          <t>CO</t>
        </is>
      </c>
      <c r="G112" s="718" t="inlineStr">
        <is>
          <t>Industrial</t>
        </is>
      </c>
      <c r="H112" s="718" t="inlineStr">
        <is>
          <t>Warehouse NNN</t>
        </is>
      </c>
      <c r="I112" s="719" t="n">
        <v>2007</v>
      </c>
      <c r="J112" s="719" t="n">
        <v>202091</v>
      </c>
      <c r="K112" s="719" t="n">
        <v>2024</v>
      </c>
      <c r="L112" s="718" t="n"/>
      <c r="M112" s="718" t="n"/>
      <c r="N112" s="720" t="n">
        <v>5.233</v>
      </c>
      <c r="O112" s="718" t="n"/>
      <c r="P112" s="718" t="n"/>
      <c r="Q112" s="718" t="n"/>
      <c r="R112" s="718" t="n"/>
      <c r="S112" s="718" t="n"/>
      <c r="T112" s="718" t="n"/>
      <c r="U112" s="718" t="n"/>
      <c r="V112" s="718" t="n"/>
      <c r="W112" s="718" t="n"/>
      <c r="X112" s="718" t="n"/>
      <c r="Y112" s="718" t="n"/>
      <c r="Z112" s="718" t="n"/>
      <c r="AA112" s="718" t="n"/>
      <c r="AB112" s="718" t="n"/>
      <c r="AC112" s="718" t="n"/>
      <c r="AD112" s="718" t="n"/>
      <c r="AE112" s="718" t="n"/>
      <c r="AF112" s="718" t="n"/>
      <c r="AG112" s="718" t="n"/>
      <c r="AH112" s="720" t="n">
        <v>3.5731</v>
      </c>
      <c r="AI112" s="718" t="n"/>
      <c r="AJ112" s="720" t="n">
        <v>3.5731</v>
      </c>
      <c r="AK112" s="720" t="n">
        <v>1.6599</v>
      </c>
      <c r="AL112" s="718" t="n"/>
      <c r="AM112" s="721" t="inlineStr">
        <is>
          <t>2024 actual 12-month P&amp;L; from 08_2025 Review</t>
        </is>
      </c>
    </row>
    <row r="113" ht="14.1" customHeight="1">
      <c r="A113" s="696" t="inlineStr">
        <is>
          <t>P054</t>
        </is>
      </c>
      <c r="B113" s="695" t="n">
        <v>210</v>
      </c>
      <c r="C113" s="696" t="inlineStr">
        <is>
          <t>R0180551</t>
        </is>
      </c>
      <c r="D113" s="696" t="inlineStr">
        <is>
          <t>1953 N Gun Club Rd</t>
        </is>
      </c>
      <c r="E113" s="696" t="inlineStr">
        <is>
          <t>Aurora</t>
        </is>
      </c>
      <c r="F113" s="696" t="inlineStr">
        <is>
          <t>CO</t>
        </is>
      </c>
      <c r="G113" s="696" t="inlineStr">
        <is>
          <t>Industrial</t>
        </is>
      </c>
      <c r="H113" s="696"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724" t="inlineStr">
        <is>
          <t>[NO SF] Actual accrual; base rent $880k; recovery $1.59M; prior-yr adj included</t>
        </is>
      </c>
    </row>
    <row r="114" ht="14.1" customHeight="1">
      <c r="A114" s="718" t="inlineStr">
        <is>
          <t>P054</t>
        </is>
      </c>
      <c r="B114" s="695" t="n">
        <v>210</v>
      </c>
      <c r="C114" s="718" t="inlineStr">
        <is>
          <t>R0180551</t>
        </is>
      </c>
      <c r="D114" s="718" t="inlineStr">
        <is>
          <t>1953 N Gun Club Rd</t>
        </is>
      </c>
      <c r="E114" s="718" t="inlineStr">
        <is>
          <t>Aurora</t>
        </is>
      </c>
      <c r="F114" s="718" t="inlineStr">
        <is>
          <t>CO</t>
        </is>
      </c>
      <c r="G114" s="718" t="inlineStr">
        <is>
          <t>Industrial</t>
        </is>
      </c>
      <c r="H114" s="718" t="inlineStr">
        <is>
          <t>Multi-Tenant Industrial/Office NNN</t>
        </is>
      </c>
      <c r="I114" s="719" t="n"/>
      <c r="J114" s="719" t="n"/>
      <c r="K114" s="719" t="n">
        <v>2024</v>
      </c>
      <c r="L114" s="718" t="n"/>
      <c r="M114" s="718" t="n"/>
      <c r="N114" s="730" t="n">
        <v>2720117</v>
      </c>
      <c r="O114" s="730" t="n">
        <v>53324</v>
      </c>
      <c r="P114" s="730" t="n">
        <v>85426</v>
      </c>
      <c r="Q114" s="718" t="n"/>
      <c r="R114" s="718" t="n"/>
      <c r="S114" s="730" t="n">
        <v>10052</v>
      </c>
      <c r="T114" s="730" t="n">
        <v>12752</v>
      </c>
      <c r="U114" s="718" t="n"/>
      <c r="V114" s="718" t="n"/>
      <c r="W114" s="718" t="n"/>
      <c r="X114" s="730" t="n">
        <v>789</v>
      </c>
      <c r="Y114" s="730" t="n">
        <v>23593</v>
      </c>
      <c r="Z114" s="718" t="n"/>
      <c r="AA114" s="730" t="n">
        <v>16126</v>
      </c>
      <c r="AB114" s="730" t="n">
        <v>57314</v>
      </c>
      <c r="AC114" s="730" t="n">
        <v>73440</v>
      </c>
      <c r="AD114" s="730" t="n">
        <v>21725</v>
      </c>
      <c r="AE114" s="718" t="n"/>
      <c r="AF114" s="730" t="n">
        <v>21725</v>
      </c>
      <c r="AG114" s="730" t="n">
        <v>2601</v>
      </c>
      <c r="AH114" s="730" t="n">
        <v>265585</v>
      </c>
      <c r="AI114" s="730" t="n">
        <v>1331347</v>
      </c>
      <c r="AJ114" s="730" t="n">
        <v>1596932</v>
      </c>
      <c r="AK114" s="730" t="n">
        <v>1123184</v>
      </c>
      <c r="AL114" s="718" t="n"/>
      <c r="AM114" s="721" t="inlineStr">
        <is>
          <t>[NO SF] Actual accrual; base rent $1.09M stepped; recovery $1.62M</t>
        </is>
      </c>
    </row>
    <row r="115" ht="14.1" customHeight="1">
      <c r="A115" s="696" t="inlineStr">
        <is>
          <t>P055</t>
        </is>
      </c>
      <c r="B115" s="695" t="n">
        <v>407</v>
      </c>
      <c r="C115" s="696" t="inlineStr">
        <is>
          <t>R0211072/R0211073/R0211074</t>
        </is>
      </c>
      <c r="D115" s="696" t="inlineStr">
        <is>
          <t>Park 76 Distribution Center</t>
        </is>
      </c>
      <c r="E115" s="696" t="inlineStr">
        <is>
          <t>Aurora</t>
        </is>
      </c>
      <c r="F115" s="696" t="inlineStr">
        <is>
          <t>CO</t>
        </is>
      </c>
      <c r="G115" s="696" t="inlineStr">
        <is>
          <t>Industrial</t>
        </is>
      </c>
      <c r="H115" s="696"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724" t="inlineStr">
        <is>
          <t>[NO SF] 3-bldg campus; actual accrual; base rent $1.87M; recovery $992k; prior-yr tax credit ($186k) netted</t>
        </is>
      </c>
    </row>
    <row r="116" ht="14.1" customHeight="1">
      <c r="A116" s="718" t="inlineStr">
        <is>
          <t>P055</t>
        </is>
      </c>
      <c r="B116" s="695" t="n">
        <v>407</v>
      </c>
      <c r="C116" s="718" t="inlineStr">
        <is>
          <t>R0211072/R0211073/R0211074</t>
        </is>
      </c>
      <c r="D116" s="718" t="inlineStr">
        <is>
          <t>Park 76 Distribution Center</t>
        </is>
      </c>
      <c r="E116" s="718" t="inlineStr">
        <is>
          <t>Aurora</t>
        </is>
      </c>
      <c r="F116" s="718" t="inlineStr">
        <is>
          <t>CO</t>
        </is>
      </c>
      <c r="G116" s="718" t="inlineStr">
        <is>
          <t>Industrial</t>
        </is>
      </c>
      <c r="H116" s="718" t="inlineStr">
        <is>
          <t>Industrial Warehouse NNN</t>
        </is>
      </c>
      <c r="I116" s="719" t="n"/>
      <c r="J116" s="719" t="n"/>
      <c r="K116" s="719" t="n">
        <v>2024</v>
      </c>
      <c r="L116" s="730" t="n">
        <v>2075908</v>
      </c>
      <c r="M116" s="718" t="n"/>
      <c r="N116" s="730" t="n">
        <v>3348615</v>
      </c>
      <c r="O116" s="730" t="n">
        <v>35750</v>
      </c>
      <c r="P116" s="730" t="n">
        <v>200286</v>
      </c>
      <c r="Q116" s="718" t="n"/>
      <c r="R116" s="718" t="n"/>
      <c r="S116" s="730" t="n">
        <v>22119</v>
      </c>
      <c r="T116" s="730" t="n">
        <v>33962</v>
      </c>
      <c r="U116" s="718" t="n"/>
      <c r="V116" s="718" t="n"/>
      <c r="W116" s="718" t="n"/>
      <c r="X116" s="730" t="n">
        <v>3333</v>
      </c>
      <c r="Y116" s="730" t="n">
        <v>59414</v>
      </c>
      <c r="Z116" s="718" t="n"/>
      <c r="AA116" s="730" t="n">
        <v>26689</v>
      </c>
      <c r="AB116" s="730" t="n">
        <v>56296</v>
      </c>
      <c r="AC116" s="730" t="n">
        <v>82985</v>
      </c>
      <c r="AD116" s="718" t="n"/>
      <c r="AE116" s="718" t="n"/>
      <c r="AF116" s="730" t="n">
        <v>34195</v>
      </c>
      <c r="AG116" s="730" t="n">
        <v>4284</v>
      </c>
      <c r="AH116" s="730" t="n">
        <v>341787</v>
      </c>
      <c r="AI116" s="730" t="n">
        <v>989805</v>
      </c>
      <c r="AJ116" s="730" t="n">
        <v>1331592</v>
      </c>
      <c r="AK116" s="730" t="n">
        <v>2017023</v>
      </c>
      <c r="AL116" s="718" t="n"/>
      <c r="AM116" s="721" t="inlineStr">
        <is>
          <t>[NO SF] 3-bldg campus; actual accrual; near-stabilized; base rent $2.08M; recovery $1.23M</t>
        </is>
      </c>
    </row>
    <row r="117" ht="14.1" customHeight="1">
      <c r="A117" s="696" t="inlineStr">
        <is>
          <t>P056</t>
        </is>
      </c>
      <c r="B117" s="695" t="n">
        <v>407</v>
      </c>
      <c r="C117" s="696" t="inlineStr">
        <is>
          <t>R0210485</t>
        </is>
      </c>
      <c r="D117" s="696" t="inlineStr">
        <is>
          <t>1101 E 126th Ave (Bldg A)</t>
        </is>
      </c>
      <c r="E117" s="696" t="inlineStr">
        <is>
          <t>Thornton</t>
        </is>
      </c>
      <c r="F117" s="696" t="inlineStr">
        <is>
          <t>CO</t>
        </is>
      </c>
      <c r="G117" s="696" t="inlineStr">
        <is>
          <t>Industrial</t>
        </is>
      </c>
      <c r="H117" s="696"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724" t="inlineStr">
        <is>
          <t>[NO SF] New (YOC ~2022); 2024 near-stabilized; 2023 excluded (lease-up, negative NOI)</t>
        </is>
      </c>
    </row>
    <row r="118" ht="14.1" customHeight="1">
      <c r="A118" s="718" t="inlineStr">
        <is>
          <t>P057</t>
        </is>
      </c>
      <c r="B118" s="695" t="n">
        <v>407</v>
      </c>
      <c r="C118" s="718" t="inlineStr">
        <is>
          <t>R0210486</t>
        </is>
      </c>
      <c r="D118" s="718" t="inlineStr">
        <is>
          <t>12625 Lafayette St (Bldg B)</t>
        </is>
      </c>
      <c r="E118" s="718" t="inlineStr">
        <is>
          <t>Thornton</t>
        </is>
      </c>
      <c r="F118" s="718" t="inlineStr">
        <is>
          <t>CO</t>
        </is>
      </c>
      <c r="G118" s="718" t="inlineStr">
        <is>
          <t>Industrial</t>
        </is>
      </c>
      <c r="H118" s="718" t="inlineStr">
        <is>
          <t>Industrial Warehouse NNN</t>
        </is>
      </c>
      <c r="I118" s="719" t="n">
        <v>2022</v>
      </c>
      <c r="J118" s="719" t="n"/>
      <c r="K118" s="719" t="n">
        <v>2024</v>
      </c>
      <c r="L118" s="730" t="n">
        <v>898845</v>
      </c>
      <c r="M118" s="718" t="n"/>
      <c r="N118" s="730" t="n">
        <v>1373599</v>
      </c>
      <c r="O118" s="730" t="n">
        <v>21888</v>
      </c>
      <c r="P118" s="730" t="n">
        <v>72220</v>
      </c>
      <c r="Q118" s="718" t="n"/>
      <c r="R118" s="718" t="n"/>
      <c r="S118" s="718" t="n"/>
      <c r="T118" s="730" t="n">
        <v>8438</v>
      </c>
      <c r="U118" s="718" t="n"/>
      <c r="V118" s="718" t="n"/>
      <c r="W118" s="718" t="n"/>
      <c r="X118" s="730" t="n">
        <v>5773</v>
      </c>
      <c r="Y118" s="730" t="n">
        <v>14211</v>
      </c>
      <c r="Z118" s="718" t="n"/>
      <c r="AA118" s="730" t="n">
        <v>21287</v>
      </c>
      <c r="AB118" s="730" t="n">
        <v>29625</v>
      </c>
      <c r="AC118" s="730" t="n">
        <v>50912</v>
      </c>
      <c r="AD118" s="718" t="n"/>
      <c r="AE118" s="718" t="n"/>
      <c r="AF118" s="730" t="n">
        <v>51235</v>
      </c>
      <c r="AG118" s="718" t="n"/>
      <c r="AH118" s="730" t="n">
        <v>209004</v>
      </c>
      <c r="AI118" s="730" t="n">
        <v>762465</v>
      </c>
      <c r="AJ118" s="730" t="n">
        <v>971469</v>
      </c>
      <c r="AK118" s="730" t="n">
        <v>402131</v>
      </c>
      <c r="AL118" s="718" t="n"/>
      <c r="AM118" s="721" t="inlineStr">
        <is>
          <t>[NO SF] New (YOC ~2022); 2024 near-stabilized; 2023 excluded (lease-up, negative NOI)</t>
        </is>
      </c>
    </row>
    <row r="119" ht="14.1" customHeight="1">
      <c r="A119" s="696" t="inlineStr">
        <is>
          <t>P058</t>
        </is>
      </c>
      <c r="B119" s="695" t="n">
        <v>407</v>
      </c>
      <c r="C119" s="696" t="inlineStr">
        <is>
          <t>R0091934</t>
        </is>
      </c>
      <c r="D119" s="696" t="inlineStr">
        <is>
          <t>350 Park Industrial (5759)</t>
        </is>
      </c>
      <c r="E119" s="696" t="inlineStr">
        <is>
          <t>Aurora</t>
        </is>
      </c>
      <c r="F119" s="696" t="inlineStr">
        <is>
          <t>CO</t>
        </is>
      </c>
      <c r="G119" s="696" t="inlineStr">
        <is>
          <t>Industrial</t>
        </is>
      </c>
      <c r="H119" s="696"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724" t="inlineStr">
        <is>
          <t>Actual accrual; 3 tenants; multi-tenant industrial</t>
        </is>
      </c>
    </row>
    <row r="120" ht="14.1" customHeight="1">
      <c r="A120" s="718" t="inlineStr">
        <is>
          <t>P058</t>
        </is>
      </c>
      <c r="B120" s="695" t="n">
        <v>407</v>
      </c>
      <c r="C120" s="718" t="inlineStr">
        <is>
          <t>R0091934</t>
        </is>
      </c>
      <c r="D120" s="718" t="inlineStr">
        <is>
          <t>350 Park Industrial (5759)</t>
        </is>
      </c>
      <c r="E120" s="718" t="inlineStr">
        <is>
          <t>Aurora</t>
        </is>
      </c>
      <c r="F120" s="718" t="inlineStr">
        <is>
          <t>CO</t>
        </is>
      </c>
      <c r="G120" s="718" t="inlineStr">
        <is>
          <t>Industrial</t>
        </is>
      </c>
      <c r="H120" s="718" t="inlineStr">
        <is>
          <t>Multi-Tenant Industrial 407</t>
        </is>
      </c>
      <c r="I120" s="719" t="n">
        <v>1995</v>
      </c>
      <c r="J120" s="719" t="n">
        <v>32600</v>
      </c>
      <c r="K120" s="719" t="n">
        <v>2024</v>
      </c>
      <c r="L120" s="720" t="n">
        <v>9.582700000000001</v>
      </c>
      <c r="M120" s="718" t="n"/>
      <c r="N120" s="720" t="n">
        <v>15.2757</v>
      </c>
      <c r="O120" s="720" t="n">
        <v>0.1809</v>
      </c>
      <c r="P120" s="720" t="n">
        <v>0.5698</v>
      </c>
      <c r="Q120" s="720" t="n">
        <v>0.0384</v>
      </c>
      <c r="R120" s="718" t="n"/>
      <c r="S120" s="720" t="n">
        <v>0.2311</v>
      </c>
      <c r="T120" s="720" t="n">
        <v>0.0375</v>
      </c>
      <c r="U120" s="718" t="n"/>
      <c r="V120" s="718" t="n"/>
      <c r="W120" s="718" t="n"/>
      <c r="X120" s="720" t="n">
        <v>0.223</v>
      </c>
      <c r="Y120" s="720" t="n">
        <v>0.53</v>
      </c>
      <c r="Z120" s="720" t="n">
        <v>0.0422</v>
      </c>
      <c r="AA120" s="718" t="n"/>
      <c r="AB120" s="718" t="n"/>
      <c r="AC120" s="720" t="n">
        <v>0.0422</v>
      </c>
      <c r="AD120" s="720" t="n">
        <v>0.2095</v>
      </c>
      <c r="AE120" s="718" t="n"/>
      <c r="AF120" s="720" t="n">
        <v>0.2095</v>
      </c>
      <c r="AG120" s="720" t="n">
        <v>0.7716</v>
      </c>
      <c r="AH120" s="720" t="n">
        <v>2.124</v>
      </c>
      <c r="AI120" s="720" t="n">
        <v>3.247</v>
      </c>
      <c r="AJ120" s="720" t="n">
        <v>5.279</v>
      </c>
      <c r="AK120" s="720" t="n">
        <v>9.996700000000001</v>
      </c>
      <c r="AL120" s="718" t="n"/>
      <c r="AM120" s="721" t="inlineStr">
        <is>
          <t>Actual accrual; 3 tenants</t>
        </is>
      </c>
    </row>
    <row r="121" ht="14.1" customHeight="1">
      <c r="A121" s="696" t="inlineStr">
        <is>
          <t>P059</t>
        </is>
      </c>
      <c r="B121" s="695" t="n">
        <v>407</v>
      </c>
      <c r="C121" s="696" t="inlineStr">
        <is>
          <t>R0093111</t>
        </is>
      </c>
      <c r="D121" s="696" t="inlineStr">
        <is>
          <t>Industrial Property (R0093111)</t>
        </is>
      </c>
      <c r="E121" s="696" t="inlineStr">
        <is>
          <t>Aurora</t>
        </is>
      </c>
      <c r="F121" s="696" t="inlineStr">
        <is>
          <t>CO</t>
        </is>
      </c>
      <c r="G121" s="696" t="inlineStr">
        <is>
          <t>Industrial</t>
        </is>
      </c>
      <c r="H121" s="696"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724" t="inlineStr">
        <is>
          <t>[NO SF] Actual; RE tax heavy due to NNN recovery; SF not confirmed</t>
        </is>
      </c>
    </row>
    <row r="122" ht="14.1" customHeight="1">
      <c r="A122" s="718" t="inlineStr">
        <is>
          <t>P059</t>
        </is>
      </c>
      <c r="B122" s="695" t="n">
        <v>407</v>
      </c>
      <c r="C122" s="718" t="inlineStr">
        <is>
          <t>R0093111</t>
        </is>
      </c>
      <c r="D122" s="718" t="inlineStr">
        <is>
          <t>Industrial Property (R0093111)</t>
        </is>
      </c>
      <c r="E122" s="718" t="inlineStr">
        <is>
          <t>Aurora</t>
        </is>
      </c>
      <c r="F122" s="718" t="inlineStr">
        <is>
          <t>CO</t>
        </is>
      </c>
      <c r="G122" s="718" t="inlineStr">
        <is>
          <t>Industrial</t>
        </is>
      </c>
      <c r="H122" s="718" t="inlineStr">
        <is>
          <t>Multi-Tenant Industrial 407</t>
        </is>
      </c>
      <c r="I122" s="719" t="n"/>
      <c r="J122" s="719" t="n"/>
      <c r="K122" s="719" t="n">
        <v>2024</v>
      </c>
      <c r="L122" s="730" t="n">
        <v>343350</v>
      </c>
      <c r="M122" s="718" t="n"/>
      <c r="N122" s="730" t="n">
        <v>632272</v>
      </c>
      <c r="O122" s="730" t="n">
        <v>9737</v>
      </c>
      <c r="P122" s="718" t="n"/>
      <c r="Q122" s="718" t="n"/>
      <c r="R122" s="718" t="n"/>
      <c r="S122" s="718" t="n"/>
      <c r="T122" s="718" t="n"/>
      <c r="U122" s="718" t="n"/>
      <c r="V122" s="718" t="n"/>
      <c r="W122" s="718" t="n"/>
      <c r="X122" s="718" t="n"/>
      <c r="Y122" s="718" t="n"/>
      <c r="Z122" s="718" t="n"/>
      <c r="AA122" s="718" t="n"/>
      <c r="AB122" s="718" t="n"/>
      <c r="AC122" s="718" t="n"/>
      <c r="AD122" s="718" t="n"/>
      <c r="AE122" s="718" t="n"/>
      <c r="AF122" s="718" t="n"/>
      <c r="AG122" s="718" t="n"/>
      <c r="AH122" s="730" t="n">
        <v>119649</v>
      </c>
      <c r="AI122" s="730" t="n">
        <v>159461</v>
      </c>
      <c r="AJ122" s="730" t="n">
        <v>279110</v>
      </c>
      <c r="AK122" s="730" t="n">
        <v>353163</v>
      </c>
      <c r="AL122" s="718" t="n"/>
      <c r="AM122" s="721" t="inlineStr">
        <is>
          <t>[NO SF] 2024 summary data; limited line-item detail; SF not confirmed</t>
        </is>
      </c>
    </row>
    <row r="123" ht="14.1" customHeight="1">
      <c r="A123" s="696" t="inlineStr">
        <is>
          <t>P060</t>
        </is>
      </c>
      <c r="B123" s="695" t="n">
        <v>407</v>
      </c>
      <c r="C123" s="696" t="inlineStr">
        <is>
          <t>R0100104</t>
        </is>
      </c>
      <c r="D123" s="696" t="inlineStr">
        <is>
          <t>312 Kew West</t>
        </is>
      </c>
      <c r="E123" s="696" t="inlineStr">
        <is>
          <t>Aurora</t>
        </is>
      </c>
      <c r="F123" s="696" t="inlineStr">
        <is>
          <t>CO</t>
        </is>
      </c>
      <c r="G123" s="696" t="inlineStr">
        <is>
          <t>Industrial</t>
        </is>
      </c>
      <c r="H123" s="696"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724" t="inlineStr">
        <is>
          <t>[NO SF] Actual accrual; SF not confirmed</t>
        </is>
      </c>
    </row>
    <row r="124" ht="14.1" customHeight="1">
      <c r="A124" s="718" t="inlineStr">
        <is>
          <t>P060</t>
        </is>
      </c>
      <c r="B124" s="695" t="n">
        <v>407</v>
      </c>
      <c r="C124" s="718" t="inlineStr">
        <is>
          <t>R0100104</t>
        </is>
      </c>
      <c r="D124" s="718" t="inlineStr">
        <is>
          <t>312 Kew West</t>
        </is>
      </c>
      <c r="E124" s="718" t="inlineStr">
        <is>
          <t>Aurora</t>
        </is>
      </c>
      <c r="F124" s="718" t="inlineStr">
        <is>
          <t>CO</t>
        </is>
      </c>
      <c r="G124" s="718" t="inlineStr">
        <is>
          <t>Industrial</t>
        </is>
      </c>
      <c r="H124" s="718" t="inlineStr">
        <is>
          <t>Multi-Tenant Industrial 407</t>
        </is>
      </c>
      <c r="I124" s="719" t="n"/>
      <c r="J124" s="719" t="n"/>
      <c r="K124" s="719" t="n">
        <v>2024</v>
      </c>
      <c r="L124" s="730" t="n">
        <v>239823</v>
      </c>
      <c r="M124" s="718" t="n"/>
      <c r="N124" s="730" t="n">
        <v>375845</v>
      </c>
      <c r="O124" s="730" t="n">
        <v>7287</v>
      </c>
      <c r="P124" s="730" t="n">
        <v>18575</v>
      </c>
      <c r="Q124" s="730" t="n">
        <v>816</v>
      </c>
      <c r="R124" s="718" t="n"/>
      <c r="S124" s="730" t="n">
        <v>25607</v>
      </c>
      <c r="T124" s="730" t="n">
        <v>7834</v>
      </c>
      <c r="U124" s="718" t="n"/>
      <c r="V124" s="718" t="n"/>
      <c r="W124" s="718" t="n"/>
      <c r="X124" s="730" t="n">
        <v>8752</v>
      </c>
      <c r="Y124" s="730" t="n">
        <v>42009</v>
      </c>
      <c r="Z124" s="730" t="n">
        <v>2982</v>
      </c>
      <c r="AA124" s="730" t="n">
        <v>2720</v>
      </c>
      <c r="AB124" s="730" t="n">
        <v>10994</v>
      </c>
      <c r="AC124" s="730" t="n">
        <v>16696</v>
      </c>
      <c r="AD124" s="730" t="n">
        <v>4502</v>
      </c>
      <c r="AE124" s="718" t="n"/>
      <c r="AF124" s="730" t="n">
        <v>4502</v>
      </c>
      <c r="AG124" s="718" t="n"/>
      <c r="AH124" s="730" t="n">
        <v>69570</v>
      </c>
      <c r="AI124" s="730" t="n">
        <v>102524</v>
      </c>
      <c r="AJ124" s="730" t="n">
        <v>172094</v>
      </c>
      <c r="AK124" s="730" t="n">
        <v>203752</v>
      </c>
      <c r="AL124" s="718" t="n"/>
      <c r="AM124" s="721" t="inlineStr">
        <is>
          <t>[NO SF] Actual accrual; SF not confirmed</t>
        </is>
      </c>
    </row>
    <row r="125" ht="14.1" customHeight="1">
      <c r="A125" s="696" t="inlineStr">
        <is>
          <t>P061</t>
        </is>
      </c>
      <c r="B125" s="695" t="n">
        <v>584</v>
      </c>
      <c r="C125" s="696" t="inlineStr">
        <is>
          <t>R0083935</t>
        </is>
      </c>
      <c r="D125" s="696" t="inlineStr">
        <is>
          <t>20101 E 36th Ave</t>
        </is>
      </c>
      <c r="E125" s="696" t="inlineStr">
        <is>
          <t>Aurora</t>
        </is>
      </c>
      <c r="F125" s="696" t="inlineStr">
        <is>
          <t>CO</t>
        </is>
      </c>
      <c r="G125" s="696" t="inlineStr">
        <is>
          <t>Industrial</t>
        </is>
      </c>
      <c r="H125" s="696"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724" t="inlineStr">
        <is>
          <t>NNN; partial data; CBRE income statement; tenant RK Industries; rent $4.47/SF NNN; RE tax recovery ~$860k</t>
        </is>
      </c>
    </row>
    <row r="126" ht="14.1" customHeight="1">
      <c r="A126" s="718" t="inlineStr">
        <is>
          <t>P062</t>
        </is>
      </c>
      <c r="B126" s="695" t="n">
        <v>407</v>
      </c>
      <c r="C126" s="718" t="inlineStr">
        <is>
          <t>R0200721</t>
        </is>
      </c>
      <c r="D126" s="718" t="inlineStr">
        <is>
          <t>3420 N Lisbon St</t>
        </is>
      </c>
      <c r="E126" s="718" t="inlineStr">
        <is>
          <t>Aurora</t>
        </is>
      </c>
      <c r="F126" s="718" t="inlineStr">
        <is>
          <t>CO</t>
        </is>
      </c>
      <c r="G126" s="718" t="inlineStr">
        <is>
          <t>Industrial</t>
        </is>
      </c>
      <c r="H126" s="718" t="inlineStr">
        <is>
          <t>Single-Tenant Industrial NNN</t>
        </is>
      </c>
      <c r="I126" s="719" t="n">
        <v>2019</v>
      </c>
      <c r="J126" s="719" t="n">
        <v>36212</v>
      </c>
      <c r="K126" s="719" t="n">
        <v>2023</v>
      </c>
      <c r="L126" s="720" t="n">
        <v>7.519</v>
      </c>
      <c r="M126" s="718" t="n"/>
      <c r="N126" s="720" t="n">
        <v>7.519</v>
      </c>
      <c r="O126" s="718" t="n"/>
      <c r="P126" s="718" t="n"/>
      <c r="Q126" s="718" t="n"/>
      <c r="R126" s="718" t="n"/>
      <c r="S126" s="718" t="n"/>
      <c r="T126" s="718" t="n"/>
      <c r="U126" s="718" t="n"/>
      <c r="V126" s="718" t="n"/>
      <c r="W126" s="718" t="n"/>
      <c r="X126" s="718" t="n"/>
      <c r="Y126" s="718" t="n"/>
      <c r="Z126" s="718" t="n"/>
      <c r="AA126" s="718" t="n"/>
      <c r="AB126" s="718" t="n"/>
      <c r="AC126" s="718" t="n"/>
      <c r="AD126" s="718" t="n"/>
      <c r="AE126" s="718" t="n"/>
      <c r="AF126" s="718" t="n"/>
      <c r="AG126" s="718" t="n"/>
      <c r="AH126" s="718" t="n"/>
      <c r="AI126" s="718" t="n"/>
      <c r="AJ126" s="718" t="n"/>
      <c r="AK126" s="718" t="n"/>
      <c r="AL126" s="718" t="n"/>
      <c r="AM126" s="721" t="inlineStr">
        <is>
          <t>NNN absolute; tenant pays all opex; owner income = rent only; $7.52/SF</t>
        </is>
      </c>
    </row>
    <row r="127" ht="14.1" customHeight="1">
      <c r="A127" s="696" t="inlineStr">
        <is>
          <t>P062</t>
        </is>
      </c>
      <c r="B127" s="695" t="n">
        <v>407</v>
      </c>
      <c r="C127" s="696" t="inlineStr">
        <is>
          <t>R0200721</t>
        </is>
      </c>
      <c r="D127" s="696" t="inlineStr">
        <is>
          <t>3420 N Lisbon St</t>
        </is>
      </c>
      <c r="E127" s="696" t="inlineStr">
        <is>
          <t>Aurora</t>
        </is>
      </c>
      <c r="F127" s="696" t="inlineStr">
        <is>
          <t>CO</t>
        </is>
      </c>
      <c r="G127" s="696" t="inlineStr">
        <is>
          <t>Industrial</t>
        </is>
      </c>
      <c r="H127" s="696"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724" t="inlineStr">
        <is>
          <t>NNN absolute; tenant pays all opex; owner income = rent only; $7.75/SF</t>
        </is>
      </c>
    </row>
    <row r="128" ht="14.1" customHeight="1">
      <c r="A128" s="725" t="inlineStr">
        <is>
          <t>P063</t>
        </is>
      </c>
      <c r="B128" s="695" t="n">
        <v>344</v>
      </c>
      <c r="C128" s="725" t="inlineStr">
        <is>
          <t>R0040581</t>
        </is>
      </c>
      <c r="D128" s="725" t="inlineStr">
        <is>
          <t>2090 E 104th Ave</t>
        </is>
      </c>
      <c r="E128" s="725" t="inlineStr">
        <is>
          <t>Thornton</t>
        </is>
      </c>
      <c r="F128" s="725" t="inlineStr">
        <is>
          <t>CO</t>
        </is>
      </c>
      <c r="G128" s="725" t="inlineStr">
        <is>
          <t>Office</t>
        </is>
      </c>
      <c r="H128" s="725" t="inlineStr">
        <is>
          <t>Multi-Tenant Office</t>
        </is>
      </c>
      <c r="I128" s="726" t="n"/>
      <c r="J128" s="726" t="n">
        <v>19764</v>
      </c>
      <c r="K128" s="726" t="n">
        <v>2023</v>
      </c>
      <c r="L128" s="725" t="n"/>
      <c r="M128" s="725" t="n"/>
      <c r="N128" s="725" t="n"/>
      <c r="O128" s="729" t="n">
        <v>0.1585</v>
      </c>
      <c r="P128" s="729" t="n">
        <v>0.4648</v>
      </c>
      <c r="Q128" s="725" t="n"/>
      <c r="R128" s="725" t="n"/>
      <c r="S128" s="725" t="n"/>
      <c r="T128" s="725" t="n"/>
      <c r="U128" s="725" t="n"/>
      <c r="V128" s="725" t="n"/>
      <c r="W128" s="725" t="n"/>
      <c r="X128" s="729" t="n">
        <v>2.4351</v>
      </c>
      <c r="Y128" s="729" t="n">
        <v>2.4351</v>
      </c>
      <c r="Z128" s="725" t="n"/>
      <c r="AA128" s="729" t="n">
        <v>0.4976</v>
      </c>
      <c r="AB128" s="725" t="n"/>
      <c r="AC128" s="729" t="n">
        <v>0.4976</v>
      </c>
      <c r="AD128" s="725" t="n"/>
      <c r="AE128" s="725" t="n"/>
      <c r="AF128" s="729" t="n">
        <v>1.8998</v>
      </c>
      <c r="AG128" s="729" t="n">
        <v>0.4171</v>
      </c>
      <c r="AH128" s="729" t="n">
        <v>6.7472</v>
      </c>
      <c r="AI128" s="729" t="n">
        <v>2.0601</v>
      </c>
      <c r="AJ128" s="729" t="n">
        <v>8.8073</v>
      </c>
      <c r="AK128" s="729" t="n">
        <v>2.7531</v>
      </c>
      <c r="AL128" s="725" t="n"/>
      <c r="AM128" s="728" t="inlineStr">
        <is>
          <t>Office; expenses only; GRI est. ~$228k at $11.56/SF 100% occ</t>
        </is>
      </c>
    </row>
    <row r="129" ht="14.1" customHeight="1">
      <c r="A129" s="725" t="inlineStr">
        <is>
          <t>P063</t>
        </is>
      </c>
      <c r="B129" s="695" t="n">
        <v>344</v>
      </c>
      <c r="C129" s="725" t="inlineStr">
        <is>
          <t>R0040581</t>
        </is>
      </c>
      <c r="D129" s="725" t="inlineStr">
        <is>
          <t>2090 E 104th Ave</t>
        </is>
      </c>
      <c r="E129" s="725" t="inlineStr">
        <is>
          <t>Thornton</t>
        </is>
      </c>
      <c r="F129" s="725" t="inlineStr">
        <is>
          <t>CO</t>
        </is>
      </c>
      <c r="G129" s="725" t="inlineStr">
        <is>
          <t>Office</t>
        </is>
      </c>
      <c r="H129" s="725" t="inlineStr">
        <is>
          <t>Multi-Tenant Office</t>
        </is>
      </c>
      <c r="I129" s="726" t="n"/>
      <c r="J129" s="726" t="n">
        <v>19764</v>
      </c>
      <c r="K129" s="726" t="n">
        <v>2024</v>
      </c>
      <c r="L129" s="725" t="n"/>
      <c r="M129" s="725" t="n"/>
      <c r="N129" s="725" t="n"/>
      <c r="O129" s="729" t="n">
        <v>0.5652</v>
      </c>
      <c r="P129" s="729" t="n">
        <v>0.4554</v>
      </c>
      <c r="Q129" s="725" t="n"/>
      <c r="R129" s="725" t="n"/>
      <c r="S129" s="725" t="n"/>
      <c r="T129" s="725" t="n"/>
      <c r="U129" s="725" t="n"/>
      <c r="V129" s="725" t="n"/>
      <c r="W129" s="725" t="n"/>
      <c r="X129" s="729" t="n">
        <v>2.4623</v>
      </c>
      <c r="Y129" s="729" t="n">
        <v>2.4623</v>
      </c>
      <c r="Z129" s="725" t="n"/>
      <c r="AA129" s="729" t="n">
        <v>0.5888</v>
      </c>
      <c r="AB129" s="725" t="n"/>
      <c r="AC129" s="729" t="n">
        <v>0.5888</v>
      </c>
      <c r="AD129" s="725" t="n"/>
      <c r="AE129" s="725" t="n"/>
      <c r="AF129" s="729" t="n">
        <v>2.4159</v>
      </c>
      <c r="AG129" s="729" t="n">
        <v>0.3126</v>
      </c>
      <c r="AH129" s="729" t="n">
        <v>6.8005</v>
      </c>
      <c r="AI129" s="729" t="n">
        <v>2.0271</v>
      </c>
      <c r="AJ129" s="729" t="n">
        <v>8.8276</v>
      </c>
      <c r="AK129" s="729" t="n">
        <v>2.7328</v>
      </c>
      <c r="AL129" s="725" t="n"/>
      <c r="AM129" s="728" t="inlineStr">
        <is>
          <t>Office; expenses only; GRI est. ~$228k</t>
        </is>
      </c>
    </row>
    <row r="130" ht="14.1" customHeight="1">
      <c r="A130" s="725" t="inlineStr">
        <is>
          <t>P064</t>
        </is>
      </c>
      <c r="B130" s="695" t="n">
        <v>344</v>
      </c>
      <c r="C130" s="725" t="inlineStr">
        <is>
          <t>R0050977</t>
        </is>
      </c>
      <c r="D130" s="725" t="inlineStr">
        <is>
          <t>9351 Grant St</t>
        </is>
      </c>
      <c r="E130" s="725" t="inlineStr">
        <is>
          <t>Thornton</t>
        </is>
      </c>
      <c r="F130" s="725" t="inlineStr">
        <is>
          <t>CO</t>
        </is>
      </c>
      <c r="G130" s="725" t="inlineStr">
        <is>
          <t>Office</t>
        </is>
      </c>
      <c r="H130" s="725" t="inlineStr">
        <is>
          <t>Multi-Tenant Office</t>
        </is>
      </c>
      <c r="I130" s="726" t="n"/>
      <c r="J130" s="726" t="n"/>
      <c r="K130" s="726" t="n">
        <v>2023</v>
      </c>
      <c r="L130" s="727" t="n">
        <v>2011958</v>
      </c>
      <c r="M130" s="725" t="n"/>
      <c r="N130" s="727" t="n">
        <v>2239234</v>
      </c>
      <c r="O130" s="725" t="n"/>
      <c r="P130" s="725" t="n"/>
      <c r="Q130" s="725" t="n"/>
      <c r="R130" s="725" t="n"/>
      <c r="S130" s="725" t="n"/>
      <c r="T130" s="725" t="n"/>
      <c r="U130" s="725" t="n"/>
      <c r="V130" s="725" t="n"/>
      <c r="W130" s="725" t="n"/>
      <c r="X130" s="727" t="n">
        <v>144543</v>
      </c>
      <c r="Y130" s="727" t="n">
        <v>144543</v>
      </c>
      <c r="Z130" s="725" t="n"/>
      <c r="AA130" s="725" t="n"/>
      <c r="AB130" s="725" t="n"/>
      <c r="AC130" s="725" t="n"/>
      <c r="AD130" s="725" t="n"/>
      <c r="AE130" s="725" t="n"/>
      <c r="AF130" s="727" t="n">
        <v>240350</v>
      </c>
      <c r="AG130" s="727" t="n">
        <v>279549</v>
      </c>
      <c r="AH130" s="727" t="n">
        <v>719555</v>
      </c>
      <c r="AI130" s="727" t="n">
        <v>497852</v>
      </c>
      <c r="AJ130" s="727" t="n">
        <v>1217407</v>
      </c>
      <c r="AK130" s="727" t="n">
        <v>1021827</v>
      </c>
      <c r="AL130" s="725" t="n"/>
      <c r="AM130" s="728" t="inlineStr">
        <is>
          <t>[NO SF] Actual P&amp;L; Crown RE Group; RE Tax + Ins combined in $497,852 line; large office property</t>
        </is>
      </c>
    </row>
    <row r="131" ht="14.1" customHeight="1">
      <c r="A131" s="725" t="inlineStr">
        <is>
          <t>P065</t>
        </is>
      </c>
      <c r="B131" s="695" t="n">
        <v>344</v>
      </c>
      <c r="C131" s="725" t="inlineStr">
        <is>
          <t>R0069041</t>
        </is>
      </c>
      <c r="D131" s="725" t="inlineStr">
        <is>
          <t>7475 Dakin St (Turnpike Tower)</t>
        </is>
      </c>
      <c r="E131" s="725" t="inlineStr">
        <is>
          <t>Denver</t>
        </is>
      </c>
      <c r="F131" s="725" t="inlineStr">
        <is>
          <t>CO</t>
        </is>
      </c>
      <c r="G131" s="725" t="inlineStr">
        <is>
          <t>Office</t>
        </is>
      </c>
      <c r="H131" s="725" t="inlineStr">
        <is>
          <t>Multi-Tenant Office</t>
        </is>
      </c>
      <c r="I131" s="726" t="n"/>
      <c r="J131" s="726" t="n">
        <v>114843</v>
      </c>
      <c r="K131" s="726" t="n">
        <v>2023</v>
      </c>
      <c r="L131" s="725" t="n"/>
      <c r="M131" s="725" t="n"/>
      <c r="N131" s="729" t="n">
        <v>5.3899</v>
      </c>
      <c r="O131" s="725" t="n"/>
      <c r="P131" s="725" t="n"/>
      <c r="Q131" s="725" t="n"/>
      <c r="R131" s="725" t="n"/>
      <c r="S131" s="725" t="n"/>
      <c r="T131" s="725" t="n"/>
      <c r="U131" s="725" t="n"/>
      <c r="V131" s="725" t="n"/>
      <c r="W131" s="725" t="n"/>
      <c r="X131" s="725" t="n"/>
      <c r="Y131" s="725" t="n"/>
      <c r="Z131" s="725" t="n"/>
      <c r="AA131" s="729" t="n">
        <v>0.0873</v>
      </c>
      <c r="AB131" s="725" t="n"/>
      <c r="AC131" s="725" t="n"/>
      <c r="AD131" s="725" t="n"/>
      <c r="AE131" s="725" t="n"/>
      <c r="AF131" s="725" t="n"/>
      <c r="AG131" s="725" t="n"/>
      <c r="AH131" s="729" t="n">
        <v>2.6434</v>
      </c>
      <c r="AI131" s="729" t="n">
        <v>2.2851</v>
      </c>
      <c r="AJ131" s="729" t="n">
        <v>4.9285</v>
      </c>
      <c r="AK131" s="729" t="n">
        <v>0.4627</v>
      </c>
      <c r="AL131" s="725" t="n"/>
      <c r="AM131" s="728" t="inlineStr">
        <is>
          <t>Actual; 87.7% occ; NNN/Modified leases; RE Tax heavy; approx figures</t>
        </is>
      </c>
    </row>
    <row r="132" ht="14.1" customHeight="1">
      <c r="A132" s="725" t="inlineStr">
        <is>
          <t>P065</t>
        </is>
      </c>
      <c r="B132" s="695" t="n">
        <v>344</v>
      </c>
      <c r="C132" s="725" t="inlineStr">
        <is>
          <t>R0069041</t>
        </is>
      </c>
      <c r="D132" s="725" t="inlineStr">
        <is>
          <t>7475 Dakin St (Turnpike Tower)</t>
        </is>
      </c>
      <c r="E132" s="725" t="inlineStr">
        <is>
          <t>Denver</t>
        </is>
      </c>
      <c r="F132" s="725" t="inlineStr">
        <is>
          <t>CO</t>
        </is>
      </c>
      <c r="G132" s="725" t="inlineStr">
        <is>
          <t>Office</t>
        </is>
      </c>
      <c r="H132" s="725" t="inlineStr">
        <is>
          <t>Multi-Tenant Office</t>
        </is>
      </c>
      <c r="I132" s="726" t="n"/>
      <c r="J132" s="726" t="n">
        <v>114843</v>
      </c>
      <c r="K132" s="726" t="n">
        <v>2024</v>
      </c>
      <c r="L132" s="725" t="n"/>
      <c r="M132" s="725" t="n"/>
      <c r="N132" s="729" t="n">
        <v>11.7878</v>
      </c>
      <c r="O132" s="725" t="n"/>
      <c r="P132" s="725" t="n"/>
      <c r="Q132" s="725" t="n"/>
      <c r="R132" s="725" t="n"/>
      <c r="S132" s="725" t="n"/>
      <c r="T132" s="725" t="n"/>
      <c r="U132" s="725" t="n"/>
      <c r="V132" s="725" t="n"/>
      <c r="W132" s="725" t="n"/>
      <c r="X132" s="725" t="n"/>
      <c r="Y132" s="725" t="n"/>
      <c r="Z132" s="725" t="n"/>
      <c r="AA132" s="725" t="n"/>
      <c r="AB132" s="725" t="n"/>
      <c r="AC132" s="725" t="n"/>
      <c r="AD132" s="725" t="n"/>
      <c r="AE132" s="725" t="n"/>
      <c r="AF132" s="725" t="n"/>
      <c r="AG132" s="725" t="n"/>
      <c r="AH132" s="729" t="n">
        <v>8.9252</v>
      </c>
      <c r="AI132" s="725" t="n"/>
      <c r="AJ132" s="729" t="n">
        <v>11.2066</v>
      </c>
      <c r="AK132" s="729" t="n">
        <v>0.5806</v>
      </c>
      <c r="AL132" s="725" t="n"/>
      <c r="AM132" s="728" t="inlineStr">
        <is>
          <t>Actual 2024; approx figures; RE Tax est. ~$262k</t>
        </is>
      </c>
    </row>
    <row r="133" ht="14.1" customHeight="1">
      <c r="A133" s="725" t="inlineStr">
        <is>
          <t>P066</t>
        </is>
      </c>
      <c r="B133" s="695" t="n">
        <v>344</v>
      </c>
      <c r="C133" s="725" t="inlineStr">
        <is>
          <t>R0079409</t>
        </is>
      </c>
      <c r="D133" s="725" t="inlineStr">
        <is>
          <t>6401 E 72nd Ave</t>
        </is>
      </c>
      <c r="E133" s="725" t="inlineStr">
        <is>
          <t>Commerce City</t>
        </is>
      </c>
      <c r="F133" s="725" t="inlineStr">
        <is>
          <t>CO</t>
        </is>
      </c>
      <c r="G133" s="725" t="inlineStr">
        <is>
          <t>Office</t>
        </is>
      </c>
      <c r="H133" s="725" t="inlineStr">
        <is>
          <t>Multi-Tenant Office</t>
        </is>
      </c>
      <c r="I133" s="726" t="n"/>
      <c r="J133" s="726" t="n">
        <v>8218</v>
      </c>
      <c r="K133" s="726" t="n">
        <v>2023</v>
      </c>
      <c r="L133" s="729" t="n">
        <v>11.7637</v>
      </c>
      <c r="M133" s="725" t="n"/>
      <c r="N133" s="729" t="n">
        <v>13.2835</v>
      </c>
      <c r="O133" s="729" t="n">
        <v>0.2901</v>
      </c>
      <c r="P133" s="729" t="n">
        <v>0.6571</v>
      </c>
      <c r="Q133" s="725" t="n"/>
      <c r="R133" s="725" t="n"/>
      <c r="S133" s="725" t="n"/>
      <c r="T133" s="725" t="n"/>
      <c r="U133" s="725" t="n"/>
      <c r="V133" s="725" t="n"/>
      <c r="W133" s="725" t="n"/>
      <c r="X133" s="729" t="n">
        <v>2.2109</v>
      </c>
      <c r="Y133" s="729" t="n">
        <v>2.2109</v>
      </c>
      <c r="Z133" s="725" t="n"/>
      <c r="AA133" s="725" t="n"/>
      <c r="AB133" s="725" t="n"/>
      <c r="AC133" s="725" t="n"/>
      <c r="AD133" s="725" t="n"/>
      <c r="AE133" s="725" t="n"/>
      <c r="AF133" s="729" t="n">
        <v>1.5784</v>
      </c>
      <c r="AG133" s="729" t="n">
        <v>0.4882</v>
      </c>
      <c r="AH133" s="729" t="n">
        <v>4.8338</v>
      </c>
      <c r="AI133" s="729" t="n">
        <v>1.9805</v>
      </c>
      <c r="AJ133" s="729" t="n">
        <v>6.8143</v>
      </c>
      <c r="AK133" s="729" t="n">
        <v>6.4493</v>
      </c>
      <c r="AL133" s="725" t="n"/>
      <c r="AM133" s="728" t="inlineStr">
        <is>
          <t>Actual 2023; 9 tenants small multi-tenant office; approx total OPX/NOI</t>
        </is>
      </c>
    </row>
    <row r="134" ht="14.1" customHeight="1">
      <c r="A134" s="725" t="inlineStr">
        <is>
          <t>P067</t>
        </is>
      </c>
      <c r="B134" s="695" t="n">
        <v>344</v>
      </c>
      <c r="C134" s="725" t="inlineStr">
        <is>
          <t>R0189338</t>
        </is>
      </c>
      <c r="D134" s="725" t="inlineStr">
        <is>
          <t>203 Telluride St</t>
        </is>
      </c>
      <c r="E134" s="725" t="inlineStr">
        <is>
          <t>Aurora</t>
        </is>
      </c>
      <c r="F134" s="725" t="inlineStr">
        <is>
          <t>CO</t>
        </is>
      </c>
      <c r="G134" s="725" t="inlineStr">
        <is>
          <t>Office</t>
        </is>
      </c>
      <c r="H134" s="725" t="inlineStr">
        <is>
          <t>Multi-Tenant Office</t>
        </is>
      </c>
      <c r="I134" s="726" t="n"/>
      <c r="J134" s="726" t="n"/>
      <c r="K134" s="726" t="n">
        <v>2023</v>
      </c>
      <c r="L134" s="727" t="n">
        <v>326779</v>
      </c>
      <c r="M134" s="725" t="n"/>
      <c r="N134" s="727" t="n">
        <v>315661</v>
      </c>
      <c r="O134" s="725" t="n"/>
      <c r="P134" s="725" t="n"/>
      <c r="Q134" s="725" t="n"/>
      <c r="R134" s="725" t="n"/>
      <c r="S134" s="725" t="n"/>
      <c r="T134" s="725" t="n"/>
      <c r="U134" s="725" t="n"/>
      <c r="V134" s="725" t="n"/>
      <c r="W134" s="725" t="n"/>
      <c r="X134" s="725" t="n"/>
      <c r="Y134" s="725" t="n"/>
      <c r="Z134" s="725" t="n"/>
      <c r="AA134" s="727" t="n">
        <v>16009</v>
      </c>
      <c r="AB134" s="725" t="n"/>
      <c r="AC134" s="725" t="n"/>
      <c r="AD134" s="725" t="n"/>
      <c r="AE134" s="725" t="n"/>
      <c r="AF134" s="725" t="n"/>
      <c r="AG134" s="725" t="n"/>
      <c r="AH134" s="727" t="n">
        <v>78034</v>
      </c>
      <c r="AI134" s="727" t="n">
        <v>66966</v>
      </c>
      <c r="AJ134" s="727" t="n">
        <v>145000</v>
      </c>
      <c r="AK134" s="727" t="n">
        <v>170661</v>
      </c>
      <c r="AL134" s="725" t="n"/>
      <c r="AM134" s="728" t="inlineStr">
        <is>
          <t>[NO SF] Actual 2023; SF not stated; approx total OPX</t>
        </is>
      </c>
    </row>
    <row r="135" ht="14.1" customHeight="1">
      <c r="A135" s="725" t="inlineStr">
        <is>
          <t>P067</t>
        </is>
      </c>
      <c r="B135" s="695" t="n">
        <v>344</v>
      </c>
      <c r="C135" s="725" t="inlineStr">
        <is>
          <t>R0189338</t>
        </is>
      </c>
      <c r="D135" s="725" t="inlineStr">
        <is>
          <t>203 Telluride St</t>
        </is>
      </c>
      <c r="E135" s="725" t="inlineStr">
        <is>
          <t>Aurora</t>
        </is>
      </c>
      <c r="F135" s="725" t="inlineStr">
        <is>
          <t>CO</t>
        </is>
      </c>
      <c r="G135" s="725" t="inlineStr">
        <is>
          <t>Office</t>
        </is>
      </c>
      <c r="H135" s="725" t="inlineStr">
        <is>
          <t>Multi-Tenant Office</t>
        </is>
      </c>
      <c r="I135" s="726" t="n"/>
      <c r="J135" s="726" t="n"/>
      <c r="K135" s="726" t="n">
        <v>2024</v>
      </c>
      <c r="L135" s="727" t="n">
        <v>357674</v>
      </c>
      <c r="M135" s="725" t="n"/>
      <c r="N135" s="727" t="n">
        <v>335977</v>
      </c>
      <c r="O135" s="727" t="n">
        <v>9791</v>
      </c>
      <c r="P135" s="727" t="n">
        <v>7884</v>
      </c>
      <c r="Q135" s="725" t="n"/>
      <c r="R135" s="725" t="n"/>
      <c r="S135" s="725" t="n"/>
      <c r="T135" s="725" t="n"/>
      <c r="U135" s="725" t="n"/>
      <c r="V135" s="725" t="n"/>
      <c r="W135" s="725" t="n"/>
      <c r="X135" s="727" t="n">
        <v>41510</v>
      </c>
      <c r="Y135" s="727" t="n">
        <v>41510</v>
      </c>
      <c r="Z135" s="725" t="n"/>
      <c r="AA135" s="727" t="n">
        <v>12092</v>
      </c>
      <c r="AB135" s="725" t="n"/>
      <c r="AC135" s="725" t="n"/>
      <c r="AD135" s="725" t="n"/>
      <c r="AE135" s="725" t="n"/>
      <c r="AF135" s="727" t="n">
        <v>9302</v>
      </c>
      <c r="AG135" s="727" t="n">
        <v>10772</v>
      </c>
      <c r="AH135" s="727" t="n">
        <v>109544</v>
      </c>
      <c r="AI135" s="727" t="n">
        <v>68307</v>
      </c>
      <c r="AJ135" s="727" t="n">
        <v>177851</v>
      </c>
      <c r="AK135" s="727" t="n">
        <v>158126</v>
      </c>
      <c r="AL135" s="725" t="n"/>
      <c r="AM135" s="728" t="inlineStr">
        <is>
          <t>[NO SF] Actual 2024; SF not stated</t>
        </is>
      </c>
    </row>
    <row r="136" ht="14.1" customHeight="1">
      <c r="A136" s="725" t="inlineStr">
        <is>
          <t>P068</t>
        </is>
      </c>
      <c r="B136" s="695" t="n">
        <v>344</v>
      </c>
      <c r="C136" s="725" t="inlineStr">
        <is>
          <t>R0193830</t>
        </is>
      </c>
      <c r="D136" s="725" t="inlineStr">
        <is>
          <t>Justice Center Office Plaza</t>
        </is>
      </c>
      <c r="E136" s="725" t="inlineStr">
        <is>
          <t>Denver</t>
        </is>
      </c>
      <c r="F136" s="725" t="inlineStr">
        <is>
          <t>CO</t>
        </is>
      </c>
      <c r="G136" s="725" t="inlineStr">
        <is>
          <t>Office</t>
        </is>
      </c>
      <c r="H136" s="725" t="inlineStr">
        <is>
          <t>Multi-Tenant Office NNN</t>
        </is>
      </c>
      <c r="I136" s="726" t="n"/>
      <c r="J136" s="726" t="n">
        <v>41979</v>
      </c>
      <c r="K136" s="726" t="n">
        <v>2023</v>
      </c>
      <c r="L136" s="729" t="n">
        <v>23.2395</v>
      </c>
      <c r="M136" s="725" t="n"/>
      <c r="N136" s="729" t="n">
        <v>32.1906</v>
      </c>
      <c r="O136" s="729" t="n">
        <v>0.7301</v>
      </c>
      <c r="P136" s="729" t="n">
        <v>2.0601</v>
      </c>
      <c r="Q136" s="725" t="n"/>
      <c r="R136" s="725" t="n"/>
      <c r="S136" s="725" t="n"/>
      <c r="T136" s="725" t="n"/>
      <c r="U136" s="725" t="n"/>
      <c r="V136" s="725" t="n"/>
      <c r="W136" s="725" t="n"/>
      <c r="X136" s="729" t="n">
        <v>3.2415</v>
      </c>
      <c r="Y136" s="729" t="n">
        <v>3.2415</v>
      </c>
      <c r="Z136" s="725" t="n"/>
      <c r="AA136" s="725" t="n"/>
      <c r="AB136" s="725" t="n"/>
      <c r="AC136" s="725" t="n"/>
      <c r="AD136" s="725" t="n"/>
      <c r="AE136" s="725" t="n"/>
      <c r="AF136" s="729" t="n">
        <v>3.4458</v>
      </c>
      <c r="AG136" s="729" t="n">
        <v>0.5937</v>
      </c>
      <c r="AH136" s="729" t="n">
        <v>10.0688</v>
      </c>
      <c r="AI136" s="729" t="n">
        <v>2.0543</v>
      </c>
      <c r="AJ136" s="729" t="n">
        <v>12.123</v>
      </c>
      <c r="AK136" s="729" t="n">
        <v>20.0676</v>
      </c>
      <c r="AL136" s="725" t="n"/>
      <c r="AM136" s="728" t="inlineStr">
        <is>
          <t>Actual accrual; govt tenants; 100% occ NNN; special assessments in Other</t>
        </is>
      </c>
    </row>
    <row r="137" ht="14.1" customHeight="1">
      <c r="A137" s="725" t="inlineStr">
        <is>
          <t>P068</t>
        </is>
      </c>
      <c r="B137" s="695" t="n">
        <v>344</v>
      </c>
      <c r="C137" s="725" t="inlineStr">
        <is>
          <t>R0193830</t>
        </is>
      </c>
      <c r="D137" s="725" t="inlineStr">
        <is>
          <t>Justice Center Office Plaza</t>
        </is>
      </c>
      <c r="E137" s="725" t="inlineStr">
        <is>
          <t>Denver</t>
        </is>
      </c>
      <c r="F137" s="725" t="inlineStr">
        <is>
          <t>CO</t>
        </is>
      </c>
      <c r="G137" s="725" t="inlineStr">
        <is>
          <t>Office</t>
        </is>
      </c>
      <c r="H137" s="725" t="inlineStr">
        <is>
          <t>Multi-Tenant Office NNN</t>
        </is>
      </c>
      <c r="I137" s="726" t="n"/>
      <c r="J137" s="726" t="n">
        <v>41979</v>
      </c>
      <c r="K137" s="726" t="n">
        <v>2024</v>
      </c>
      <c r="L137" s="729" t="n">
        <v>20.4556</v>
      </c>
      <c r="M137" s="725" t="n"/>
      <c r="N137" s="729" t="n">
        <v>33.188</v>
      </c>
      <c r="O137" s="729" t="n">
        <v>0.8289</v>
      </c>
      <c r="P137" s="729" t="n">
        <v>2.1306</v>
      </c>
      <c r="Q137" s="725" t="n"/>
      <c r="R137" s="725" t="n"/>
      <c r="S137" s="725" t="n"/>
      <c r="T137" s="725" t="n"/>
      <c r="U137" s="725" t="n"/>
      <c r="V137" s="725" t="n"/>
      <c r="W137" s="725" t="n"/>
      <c r="X137" s="729" t="n">
        <v>2.7757</v>
      </c>
      <c r="Y137" s="729" t="n">
        <v>2.7757</v>
      </c>
      <c r="Z137" s="725" t="n"/>
      <c r="AA137" s="725" t="n"/>
      <c r="AB137" s="725" t="n"/>
      <c r="AC137" s="725" t="n"/>
      <c r="AD137" s="725" t="n"/>
      <c r="AE137" s="725" t="n"/>
      <c r="AF137" s="729" t="n">
        <v>3.5734</v>
      </c>
      <c r="AG137" s="729" t="n">
        <v>0.7077</v>
      </c>
      <c r="AH137" s="729" t="n">
        <v>10.1354</v>
      </c>
      <c r="AI137" s="729" t="n">
        <v>2.0662</v>
      </c>
      <c r="AJ137" s="729" t="n">
        <v>12.2016</v>
      </c>
      <c r="AK137" s="729" t="n">
        <v>20.9864</v>
      </c>
      <c r="AL137" s="725" t="n"/>
      <c r="AM137" s="728" t="inlineStr">
        <is>
          <t>Actual accrual; govt tenants; 100% occ NNN; special assessments in Other</t>
        </is>
      </c>
    </row>
    <row r="138" ht="14.1" customHeight="1">
      <c r="A138" s="725" t="inlineStr">
        <is>
          <t>P069</t>
        </is>
      </c>
      <c r="B138" s="695" t="n">
        <v>210</v>
      </c>
      <c r="C138" s="725" t="inlineStr">
        <is>
          <t>R0098223</t>
        </is>
      </c>
      <c r="D138" s="725" t="inlineStr">
        <is>
          <t>Washington Commerce Center</t>
        </is>
      </c>
      <c r="E138" s="725" t="inlineStr">
        <is>
          <t>Commerce City</t>
        </is>
      </c>
      <c r="F138" s="725" t="inlineStr">
        <is>
          <t>CO</t>
        </is>
      </c>
      <c r="G138" s="725" t="inlineStr">
        <is>
          <t>Office/Industrial</t>
        </is>
      </c>
      <c r="H138" s="725" t="inlineStr">
        <is>
          <t>Multi-Tenant Office/Industrial</t>
        </is>
      </c>
      <c r="I138" s="726" t="n"/>
      <c r="J138" s="726" t="n">
        <v>278538</v>
      </c>
      <c r="K138" s="726" t="n">
        <v>2023</v>
      </c>
      <c r="L138" s="729" t="n">
        <v>5.8736</v>
      </c>
      <c r="M138" s="725" t="n"/>
      <c r="N138" s="729" t="n">
        <v>5.7822</v>
      </c>
      <c r="O138" s="729" t="n">
        <v>0.0183</v>
      </c>
      <c r="P138" s="729" t="n">
        <v>0.0788</v>
      </c>
      <c r="Q138" s="725" t="n"/>
      <c r="R138" s="725" t="n"/>
      <c r="S138" s="725" t="n"/>
      <c r="T138" s="725" t="n"/>
      <c r="U138" s="725" t="n"/>
      <c r="V138" s="725" t="n"/>
      <c r="W138" s="725" t="n"/>
      <c r="X138" s="729" t="n">
        <v>0.9203</v>
      </c>
      <c r="Y138" s="729" t="n">
        <v>0.9203</v>
      </c>
      <c r="Z138" s="725" t="n"/>
      <c r="AA138" s="729" t="n">
        <v>0.2083</v>
      </c>
      <c r="AB138" s="729" t="n">
        <v>0.0116</v>
      </c>
      <c r="AC138" s="729" t="n">
        <v>0.2199</v>
      </c>
      <c r="AD138" s="725" t="n"/>
      <c r="AE138" s="725" t="n"/>
      <c r="AF138" s="729" t="n">
        <v>0.1146</v>
      </c>
      <c r="AG138" s="725" t="n"/>
      <c r="AH138" s="729" t="n">
        <v>1.3485</v>
      </c>
      <c r="AI138" s="729" t="n">
        <v>0</v>
      </c>
      <c r="AJ138" s="729" t="n">
        <v>1.3485</v>
      </c>
      <c r="AK138" s="729" t="n">
        <v>0.2751</v>
      </c>
      <c r="AL138" s="725" t="n"/>
      <c r="AM138" s="728" t="inlineStr">
        <is>
          <t>Actual; tenants pay RE tax; high R&amp;M 2023 ($127k major maint); SF est.</t>
        </is>
      </c>
    </row>
    <row r="139" ht="14.1" customHeight="1">
      <c r="A139" s="725" t="inlineStr">
        <is>
          <t>P069</t>
        </is>
      </c>
      <c r="B139" s="695" t="n">
        <v>210</v>
      </c>
      <c r="C139" s="725" t="inlineStr">
        <is>
          <t>R0098223</t>
        </is>
      </c>
      <c r="D139" s="725" t="inlineStr">
        <is>
          <t>Washington Commerce Center</t>
        </is>
      </c>
      <c r="E139" s="725" t="inlineStr">
        <is>
          <t>Commerce City</t>
        </is>
      </c>
      <c r="F139" s="725" t="inlineStr">
        <is>
          <t>CO</t>
        </is>
      </c>
      <c r="G139" s="725" t="inlineStr">
        <is>
          <t>Office/Industrial</t>
        </is>
      </c>
      <c r="H139" s="725" t="inlineStr">
        <is>
          <t>Multi-Tenant Office/Industrial</t>
        </is>
      </c>
      <c r="I139" s="726" t="n"/>
      <c r="J139" s="726" t="n">
        <v>278538</v>
      </c>
      <c r="K139" s="726" t="n">
        <v>2024</v>
      </c>
      <c r="L139" s="729" t="n">
        <v>5.4604</v>
      </c>
      <c r="M139" s="725" t="n"/>
      <c r="N139" s="729" t="n">
        <v>5.4604</v>
      </c>
      <c r="O139" s="729" t="n">
        <v>0.032</v>
      </c>
      <c r="P139" s="729" t="n">
        <v>0.09180000000000001</v>
      </c>
      <c r="Q139" s="725" t="n"/>
      <c r="R139" s="725" t="n"/>
      <c r="S139" s="725" t="n"/>
      <c r="T139" s="725" t="n"/>
      <c r="U139" s="725" t="n"/>
      <c r="V139" s="725" t="n"/>
      <c r="W139" s="725" t="n"/>
      <c r="X139" s="729" t="n">
        <v>0.4497</v>
      </c>
      <c r="Y139" s="729" t="n">
        <v>0.4497</v>
      </c>
      <c r="Z139" s="725" t="n"/>
      <c r="AA139" s="729" t="n">
        <v>0.2083</v>
      </c>
      <c r="AB139" s="729" t="n">
        <v>0.0357</v>
      </c>
      <c r="AC139" s="729" t="n">
        <v>0.2441</v>
      </c>
      <c r="AD139" s="725" t="n"/>
      <c r="AE139" s="725" t="n"/>
      <c r="AF139" s="729" t="n">
        <v>0.1146</v>
      </c>
      <c r="AG139" s="725" t="n"/>
      <c r="AH139" s="729" t="n">
        <v>0.9322</v>
      </c>
      <c r="AI139" s="729" t="n">
        <v>0</v>
      </c>
      <c r="AJ139" s="729" t="n">
        <v>0.9322</v>
      </c>
      <c r="AK139" s="729" t="n">
        <v>0.3374</v>
      </c>
      <c r="AL139" s="725" t="n"/>
      <c r="AM139" s="728" t="inlineStr">
        <is>
          <t>Actual; tenants pay RE tax; lower R&amp;M 2024; SF est.</t>
        </is>
      </c>
    </row>
    <row r="140" ht="14.1" customHeight="1">
      <c r="A140" s="718" t="inlineStr">
        <is>
          <t>P070</t>
        </is>
      </c>
      <c r="B140" s="695" t="n">
        <v>210</v>
      </c>
      <c r="C140" s="718" t="inlineStr">
        <is>
          <t>R0084242</t>
        </is>
      </c>
      <c r="D140" s="718" t="inlineStr">
        <is>
          <t>Upland Dist Ctr I (Bldg 1)</t>
        </is>
      </c>
      <c r="E140" s="718" t="inlineStr">
        <is>
          <t>Aurora</t>
        </is>
      </c>
      <c r="F140" s="718" t="inlineStr">
        <is>
          <t>CO</t>
        </is>
      </c>
      <c r="G140" s="718" t="inlineStr">
        <is>
          <t>Industrial</t>
        </is>
      </c>
      <c r="H140" s="718" t="inlineStr">
        <is>
          <t>Multi-Tenant Industrial NNN</t>
        </is>
      </c>
      <c r="I140" s="719" t="n"/>
      <c r="J140" s="719" t="n"/>
      <c r="K140" s="719" t="n">
        <v>2024</v>
      </c>
      <c r="L140" s="730" t="n">
        <v>693913</v>
      </c>
      <c r="M140" s="718" t="n"/>
      <c r="N140" s="730" t="n">
        <v>1038740</v>
      </c>
      <c r="O140" s="730" t="n">
        <v>10142</v>
      </c>
      <c r="P140" s="730" t="n">
        <v>11589</v>
      </c>
      <c r="Q140" s="718" t="n"/>
      <c r="R140" s="718" t="n"/>
      <c r="S140" s="730" t="n">
        <v>10801</v>
      </c>
      <c r="T140" s="730" t="n">
        <v>2121</v>
      </c>
      <c r="U140" s="718" t="n"/>
      <c r="V140" s="718" t="n"/>
      <c r="W140" s="718" t="n"/>
      <c r="X140" s="730" t="n">
        <v>1602</v>
      </c>
      <c r="Y140" s="730" t="n">
        <v>14524</v>
      </c>
      <c r="Z140" s="718" t="n"/>
      <c r="AA140" s="730" t="n">
        <v>10822</v>
      </c>
      <c r="AB140" s="730" t="n">
        <v>32162</v>
      </c>
      <c r="AC140" s="730" t="n">
        <v>3096</v>
      </c>
      <c r="AD140" s="730" t="n">
        <v>10863</v>
      </c>
      <c r="AE140" s="718" t="n"/>
      <c r="AF140" s="730" t="n">
        <v>10863</v>
      </c>
      <c r="AG140" s="718" t="n"/>
      <c r="AH140" s="730" t="n">
        <v>103843</v>
      </c>
      <c r="AI140" s="730" t="n">
        <v>285245</v>
      </c>
      <c r="AJ140" s="730" t="n">
        <v>389088</v>
      </c>
      <c r="AK140" s="730" t="n">
        <v>649652</v>
      </c>
      <c r="AL140" s="718" t="n"/>
      <c r="AM140" s="721" t="inlineStr">
        <is>
          <t>[NO SF] Link Logistics actual accrual; security $3,096 in contract; mgmt non-billable</t>
        </is>
      </c>
    </row>
    <row r="141" ht="14.1" customHeight="1">
      <c r="A141" s="696" t="inlineStr">
        <is>
          <t>P070</t>
        </is>
      </c>
      <c r="B141" s="695" t="n">
        <v>210</v>
      </c>
      <c r="C141" s="696" t="inlineStr">
        <is>
          <t>R0084242</t>
        </is>
      </c>
      <c r="D141" s="696" t="inlineStr">
        <is>
          <t>Upland Dist Ctr I (Bldg 1)</t>
        </is>
      </c>
      <c r="E141" s="696" t="inlineStr">
        <is>
          <t>Aurora</t>
        </is>
      </c>
      <c r="F141" s="696" t="inlineStr">
        <is>
          <t>CO</t>
        </is>
      </c>
      <c r="G141" s="696" t="inlineStr">
        <is>
          <t>Industrial</t>
        </is>
      </c>
      <c r="H141" s="696"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724" t="inlineStr">
        <is>
          <t>[NO SF] Link Logistics actual accrual; security $3,871 in contract; mgmt non-billable</t>
        </is>
      </c>
    </row>
    <row r="142" ht="14.1" customHeight="1">
      <c r="A142" s="718" t="inlineStr">
        <is>
          <t>P071</t>
        </is>
      </c>
      <c r="B142" s="695" t="n">
        <v>210</v>
      </c>
      <c r="C142" s="718" t="inlineStr">
        <is>
          <t>R0084243</t>
        </is>
      </c>
      <c r="D142" s="718" t="inlineStr">
        <is>
          <t>Upland Dist Ctr I (Bldg 2)</t>
        </is>
      </c>
      <c r="E142" s="718" t="inlineStr">
        <is>
          <t>Aurora</t>
        </is>
      </c>
      <c r="F142" s="718" t="inlineStr">
        <is>
          <t>CO</t>
        </is>
      </c>
      <c r="G142" s="718" t="inlineStr">
        <is>
          <t>Industrial</t>
        </is>
      </c>
      <c r="H142" s="718" t="inlineStr">
        <is>
          <t>Multi-Tenant Industrial NNN</t>
        </is>
      </c>
      <c r="I142" s="719" t="n"/>
      <c r="J142" s="719" t="n"/>
      <c r="K142" s="719" t="n">
        <v>2024</v>
      </c>
      <c r="L142" s="730" t="n">
        <v>559154</v>
      </c>
      <c r="M142" s="718" t="n"/>
      <c r="N142" s="730" t="n">
        <v>904777</v>
      </c>
      <c r="O142" s="730" t="n">
        <v>9318</v>
      </c>
      <c r="P142" s="730" t="n">
        <v>8966</v>
      </c>
      <c r="Q142" s="718" t="n"/>
      <c r="R142" s="718" t="n"/>
      <c r="S142" s="730" t="n">
        <v>5962</v>
      </c>
      <c r="T142" s="730" t="n">
        <v>2221</v>
      </c>
      <c r="U142" s="730" t="n">
        <v>2465</v>
      </c>
      <c r="V142" s="718" t="n"/>
      <c r="W142" s="718" t="n"/>
      <c r="X142" s="730" t="n">
        <v>1589</v>
      </c>
      <c r="Y142" s="730" t="n">
        <v>12237</v>
      </c>
      <c r="Z142" s="718" t="n"/>
      <c r="AA142" s="730" t="n">
        <v>11302</v>
      </c>
      <c r="AB142" s="730" t="n">
        <v>32413</v>
      </c>
      <c r="AC142" s="730" t="n">
        <v>3096</v>
      </c>
      <c r="AD142" s="730" t="n">
        <v>23773</v>
      </c>
      <c r="AE142" s="718" t="n"/>
      <c r="AF142" s="730" t="n">
        <v>23773</v>
      </c>
      <c r="AG142" s="718" t="n"/>
      <c r="AH142" s="730" t="n">
        <v>130296</v>
      </c>
      <c r="AI142" s="730" t="n">
        <v>265848</v>
      </c>
      <c r="AJ142" s="730" t="n">
        <v>396144</v>
      </c>
      <c r="AK142" s="730" t="n">
        <v>508633</v>
      </c>
      <c r="AL142" s="718" t="n"/>
      <c r="AM142" s="721" t="inlineStr">
        <is>
          <t>[NO SF] Link Logistics actual accrual</t>
        </is>
      </c>
    </row>
    <row r="143" ht="14.1" customHeight="1">
      <c r="A143" s="696" t="inlineStr">
        <is>
          <t>P071</t>
        </is>
      </c>
      <c r="B143" s="695" t="n">
        <v>210</v>
      </c>
      <c r="C143" s="696" t="inlineStr">
        <is>
          <t>R0084243</t>
        </is>
      </c>
      <c r="D143" s="696" t="inlineStr">
        <is>
          <t>Upland Dist Ctr I (Bldg 2)</t>
        </is>
      </c>
      <c r="E143" s="696" t="inlineStr">
        <is>
          <t>Aurora</t>
        </is>
      </c>
      <c r="F143" s="696" t="inlineStr">
        <is>
          <t>CO</t>
        </is>
      </c>
      <c r="G143" s="696" t="inlineStr">
        <is>
          <t>Industrial</t>
        </is>
      </c>
      <c r="H143" s="696"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724" t="inlineStr">
        <is>
          <t>[NO SF] Link Logistics actual accrual</t>
        </is>
      </c>
    </row>
    <row r="144" ht="14.1" customHeight="1">
      <c r="A144" s="718" t="inlineStr">
        <is>
          <t>P072</t>
        </is>
      </c>
      <c r="B144" s="695" t="n">
        <v>210</v>
      </c>
      <c r="C144" s="718" t="inlineStr">
        <is>
          <t>R0084244</t>
        </is>
      </c>
      <c r="D144" s="718" t="inlineStr">
        <is>
          <t>Upland Dist Ctr I (Bldg 3)</t>
        </is>
      </c>
      <c r="E144" s="718" t="inlineStr">
        <is>
          <t>Aurora</t>
        </is>
      </c>
      <c r="F144" s="718" t="inlineStr">
        <is>
          <t>CO</t>
        </is>
      </c>
      <c r="G144" s="718" t="inlineStr">
        <is>
          <t>Industrial</t>
        </is>
      </c>
      <c r="H144" s="718" t="inlineStr">
        <is>
          <t>Multi-Tenant Industrial NNN</t>
        </is>
      </c>
      <c r="I144" s="719" t="n"/>
      <c r="J144" s="719" t="n"/>
      <c r="K144" s="719" t="n">
        <v>2023</v>
      </c>
      <c r="L144" s="730" t="n">
        <v>633240</v>
      </c>
      <c r="M144" s="718" t="n"/>
      <c r="N144" s="730" t="n">
        <v>1026818</v>
      </c>
      <c r="O144" s="730" t="n">
        <v>6101</v>
      </c>
      <c r="P144" s="730" t="n">
        <v>8518</v>
      </c>
      <c r="Q144" s="718" t="n"/>
      <c r="R144" s="718" t="n"/>
      <c r="S144" s="730" t="n">
        <v>32990</v>
      </c>
      <c r="T144" s="730" t="n">
        <v>1965</v>
      </c>
      <c r="U144" s="718" t="n"/>
      <c r="V144" s="718" t="n"/>
      <c r="W144" s="718" t="n"/>
      <c r="X144" s="730" t="n">
        <v>1498</v>
      </c>
      <c r="Y144" s="730" t="n">
        <v>34453</v>
      </c>
      <c r="Z144" s="718" t="n"/>
      <c r="AA144" s="730" t="n">
        <v>11861</v>
      </c>
      <c r="AB144" s="730" t="n">
        <v>15620</v>
      </c>
      <c r="AC144" s="730" t="n">
        <v>3871</v>
      </c>
      <c r="AD144" s="730" t="n">
        <v>5672</v>
      </c>
      <c r="AE144" s="730" t="n">
        <v>3430</v>
      </c>
      <c r="AF144" s="730" t="n">
        <v>9102</v>
      </c>
      <c r="AG144" s="718" t="n"/>
      <c r="AH144" s="730" t="n">
        <v>107544</v>
      </c>
      <c r="AI144" s="730" t="n">
        <v>284308</v>
      </c>
      <c r="AJ144" s="730" t="n">
        <v>391852</v>
      </c>
      <c r="AK144" s="730" t="n">
        <v>634966</v>
      </c>
      <c r="AL144" s="718" t="n"/>
      <c r="AM144" s="721" t="inlineStr">
        <is>
          <t>[NO SF] Link Logistics 2023 only; large warehouse; notable free rent ($111k) and lease-up period</t>
        </is>
      </c>
    </row>
    <row r="145" ht="14.1" customHeight="1">
      <c r="A145" s="696" t="inlineStr">
        <is>
          <t>P073</t>
        </is>
      </c>
      <c r="B145" s="695" t="n">
        <v>210</v>
      </c>
      <c r="C145" s="696" t="inlineStr">
        <is>
          <t>R0084247</t>
        </is>
      </c>
      <c r="D145" s="696" t="inlineStr">
        <is>
          <t>13802 E 33rd Place</t>
        </is>
      </c>
      <c r="E145" s="696" t="inlineStr">
        <is>
          <t>Aurora</t>
        </is>
      </c>
      <c r="F145" s="696" t="inlineStr">
        <is>
          <t>CO</t>
        </is>
      </c>
      <c r="G145" s="696" t="inlineStr">
        <is>
          <t>Industrial</t>
        </is>
      </c>
      <c r="H145" s="696"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724" t="inlineStr">
        <is>
          <t>[NO SF] Link Logistics actual accrual</t>
        </is>
      </c>
    </row>
    <row r="146" ht="14.1" customHeight="1">
      <c r="A146" s="718" t="inlineStr">
        <is>
          <t>P073</t>
        </is>
      </c>
      <c r="B146" s="695" t="n">
        <v>210</v>
      </c>
      <c r="C146" s="718" t="inlineStr">
        <is>
          <t>R0084247</t>
        </is>
      </c>
      <c r="D146" s="718" t="inlineStr">
        <is>
          <t>13802 E 33rd Place</t>
        </is>
      </c>
      <c r="E146" s="718" t="inlineStr">
        <is>
          <t>Aurora</t>
        </is>
      </c>
      <c r="F146" s="718" t="inlineStr">
        <is>
          <t>CO</t>
        </is>
      </c>
      <c r="G146" s="718" t="inlineStr">
        <is>
          <t>Industrial</t>
        </is>
      </c>
      <c r="H146" s="718" t="inlineStr">
        <is>
          <t>Multi-Tenant Industrial NNN</t>
        </is>
      </c>
      <c r="I146" s="719" t="n"/>
      <c r="J146" s="719" t="n"/>
      <c r="K146" s="719" t="n">
        <v>2023</v>
      </c>
      <c r="L146" s="730" t="n">
        <v>394581</v>
      </c>
      <c r="M146" s="718" t="n"/>
      <c r="N146" s="730" t="n">
        <v>671481</v>
      </c>
      <c r="O146" s="730" t="n">
        <v>6075</v>
      </c>
      <c r="P146" s="730" t="n">
        <v>5987</v>
      </c>
      <c r="Q146" s="718" t="n"/>
      <c r="R146" s="718" t="n"/>
      <c r="S146" s="730" t="n">
        <v>7762</v>
      </c>
      <c r="T146" s="730" t="n">
        <v>1575</v>
      </c>
      <c r="U146" s="718" t="n"/>
      <c r="V146" s="718" t="n"/>
      <c r="W146" s="718" t="n"/>
      <c r="X146" s="730" t="n">
        <v>1452</v>
      </c>
      <c r="Y146" s="730" t="n">
        <v>10789</v>
      </c>
      <c r="Z146" s="718" t="n"/>
      <c r="AA146" s="730" t="n">
        <v>11249</v>
      </c>
      <c r="AB146" s="730" t="n">
        <v>12318</v>
      </c>
      <c r="AC146" s="730" t="n">
        <v>6967</v>
      </c>
      <c r="AD146" s="730" t="n">
        <v>11424</v>
      </c>
      <c r="AE146" s="730" t="n">
        <v>1898</v>
      </c>
      <c r="AF146" s="730" t="n">
        <v>13322</v>
      </c>
      <c r="AG146" s="718" t="n"/>
      <c r="AH146" s="730" t="n">
        <v>37127</v>
      </c>
      <c r="AI146" s="730" t="n">
        <v>204497</v>
      </c>
      <c r="AJ146" s="730" t="n">
        <v>241624</v>
      </c>
      <c r="AK146" s="730" t="n">
        <v>429857</v>
      </c>
      <c r="AL146" s="718" t="n"/>
      <c r="AM146" s="721" t="inlineStr">
        <is>
          <t>[NO SF] Link Logistics actual accrual</t>
        </is>
      </c>
    </row>
    <row r="147" ht="14.1" customHeight="1">
      <c r="A147" s="696" t="inlineStr">
        <is>
          <t>P074</t>
        </is>
      </c>
      <c r="B147" s="695" t="n">
        <v>210</v>
      </c>
      <c r="C147" s="696" t="inlineStr">
        <is>
          <t>R0084248</t>
        </is>
      </c>
      <c r="D147" s="696" t="inlineStr">
        <is>
          <t>14002 E 33rd Place</t>
        </is>
      </c>
      <c r="E147" s="696" t="inlineStr">
        <is>
          <t>Aurora</t>
        </is>
      </c>
      <c r="F147" s="696" t="inlineStr">
        <is>
          <t>CO</t>
        </is>
      </c>
      <c r="G147" s="696" t="inlineStr">
        <is>
          <t>Industrial</t>
        </is>
      </c>
      <c r="H147" s="696"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724" t="inlineStr">
        <is>
          <t>[NO SF] Link Logistics actual; 2023 RE tax net $53k refund; 2024 normal rate</t>
        </is>
      </c>
    </row>
    <row r="148" ht="14.1" customHeight="1">
      <c r="A148" s="718" t="inlineStr">
        <is>
          <t>P074</t>
        </is>
      </c>
      <c r="B148" s="695" t="n">
        <v>210</v>
      </c>
      <c r="C148" s="718" t="inlineStr">
        <is>
          <t>R0084248</t>
        </is>
      </c>
      <c r="D148" s="718" t="inlineStr">
        <is>
          <t>14002 E 33rd Place</t>
        </is>
      </c>
      <c r="E148" s="718" t="inlineStr">
        <is>
          <t>Aurora</t>
        </is>
      </c>
      <c r="F148" s="718" t="inlineStr">
        <is>
          <t>CO</t>
        </is>
      </c>
      <c r="G148" s="718" t="inlineStr">
        <is>
          <t>Industrial</t>
        </is>
      </c>
      <c r="H148" s="718" t="inlineStr">
        <is>
          <t>Multi-Tenant Industrial NNN</t>
        </is>
      </c>
      <c r="I148" s="719" t="n"/>
      <c r="J148" s="719" t="n"/>
      <c r="K148" s="719" t="n">
        <v>2023</v>
      </c>
      <c r="L148" s="730" t="n">
        <v>345583</v>
      </c>
      <c r="M148" s="718" t="n"/>
      <c r="N148" s="730" t="n">
        <v>582999</v>
      </c>
      <c r="O148" s="730" t="n">
        <v>6051</v>
      </c>
      <c r="P148" s="730" t="n">
        <v>6115</v>
      </c>
      <c r="Q148" s="718" t="n"/>
      <c r="R148" s="718" t="n"/>
      <c r="S148" s="730" t="n">
        <v>4932</v>
      </c>
      <c r="T148" s="730" t="n">
        <v>1822</v>
      </c>
      <c r="U148" s="718" t="n"/>
      <c r="V148" s="718" t="n"/>
      <c r="W148" s="718" t="n"/>
      <c r="X148" s="730" t="n">
        <v>1452</v>
      </c>
      <c r="Y148" s="730" t="n">
        <v>8206</v>
      </c>
      <c r="Z148" s="718" t="n"/>
      <c r="AA148" s="730" t="n">
        <v>6275</v>
      </c>
      <c r="AB148" s="730" t="n">
        <v>13573</v>
      </c>
      <c r="AC148" s="730" t="n">
        <v>6967</v>
      </c>
      <c r="AD148" s="730" t="n">
        <v>11933</v>
      </c>
      <c r="AE148" s="718" t="n"/>
      <c r="AF148" s="730" t="n">
        <v>11933</v>
      </c>
      <c r="AG148" s="718" t="n"/>
      <c r="AH148" s="730" t="n">
        <v>71541</v>
      </c>
      <c r="AI148" s="730" t="n">
        <v>162088</v>
      </c>
      <c r="AJ148" s="730" t="n">
        <v>233629</v>
      </c>
      <c r="AK148" s="730" t="n">
        <v>349370</v>
      </c>
      <c r="AL148" s="718" t="n"/>
      <c r="AM148" s="721" t="inlineStr">
        <is>
          <t>[NO SF] Link Logistics actual; 2023 RE tax net $53k refund; 2024 normal rate</t>
        </is>
      </c>
    </row>
    <row r="149" ht="14.1" customHeight="1">
      <c r="A149" s="696" t="inlineStr">
        <is>
          <t>P075</t>
        </is>
      </c>
      <c r="B149" s="695" t="n">
        <v>210</v>
      </c>
      <c r="C149" s="696" t="inlineStr">
        <is>
          <t>R0084250</t>
        </is>
      </c>
      <c r="D149" s="696" t="inlineStr">
        <is>
          <t>3250 Abilene Street</t>
        </is>
      </c>
      <c r="E149" s="696" t="inlineStr">
        <is>
          <t>Aurora</t>
        </is>
      </c>
      <c r="F149" s="696" t="inlineStr">
        <is>
          <t>CO</t>
        </is>
      </c>
      <c r="G149" s="696" t="inlineStr">
        <is>
          <t>Industrial</t>
        </is>
      </c>
      <c r="H149" s="696"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724" t="inlineStr">
        <is>
          <t>[NO SF] Link Logistics actual; 2024 tenant turnover – NOI depressed; base rent $787k→$407k; 2024 ins inflated by $25k deductible</t>
        </is>
      </c>
    </row>
    <row r="150" ht="14.1" customHeight="1">
      <c r="A150" s="718" t="inlineStr">
        <is>
          <t>P075</t>
        </is>
      </c>
      <c r="B150" s="695" t="n">
        <v>210</v>
      </c>
      <c r="C150" s="718" t="inlineStr">
        <is>
          <t>R0084250</t>
        </is>
      </c>
      <c r="D150" s="718" t="inlineStr">
        <is>
          <t>3250 Abilene Street</t>
        </is>
      </c>
      <c r="E150" s="718" t="inlineStr">
        <is>
          <t>Aurora</t>
        </is>
      </c>
      <c r="F150" s="718" t="inlineStr">
        <is>
          <t>CO</t>
        </is>
      </c>
      <c r="G150" s="718" t="inlineStr">
        <is>
          <t>Industrial</t>
        </is>
      </c>
      <c r="H150" s="718" t="inlineStr">
        <is>
          <t>Multi-Tenant Industrial NNN</t>
        </is>
      </c>
      <c r="I150" s="719" t="n"/>
      <c r="J150" s="719" t="n"/>
      <c r="K150" s="719" t="n">
        <v>2023</v>
      </c>
      <c r="L150" s="730" t="n">
        <v>787792</v>
      </c>
      <c r="M150" s="718" t="n"/>
      <c r="N150" s="730" t="n">
        <v>1333856</v>
      </c>
      <c r="O150" s="730" t="n">
        <v>12351</v>
      </c>
      <c r="P150" s="730" t="n">
        <v>13140</v>
      </c>
      <c r="Q150" s="718" t="n"/>
      <c r="R150" s="718" t="n"/>
      <c r="S150" s="730" t="n">
        <v>10370</v>
      </c>
      <c r="T150" s="730" t="n">
        <v>3061</v>
      </c>
      <c r="U150" s="730" t="n">
        <v>0</v>
      </c>
      <c r="V150" s="718" t="n"/>
      <c r="W150" s="718" t="n"/>
      <c r="X150" s="730" t="n">
        <v>1572</v>
      </c>
      <c r="Y150" s="730" t="n">
        <v>15003</v>
      </c>
      <c r="Z150" s="718" t="n"/>
      <c r="AA150" s="730" t="n">
        <v>24879</v>
      </c>
      <c r="AB150" s="730" t="n">
        <v>16871</v>
      </c>
      <c r="AC150" s="730" t="n">
        <v>7678</v>
      </c>
      <c r="AD150" s="730" t="n">
        <v>12785</v>
      </c>
      <c r="AE150" s="718" t="n"/>
      <c r="AF150" s="730" t="n">
        <v>12785</v>
      </c>
      <c r="AG150" s="718" t="n"/>
      <c r="AH150" s="730" t="n">
        <v>123031</v>
      </c>
      <c r="AI150" s="730" t="n">
        <v>409295</v>
      </c>
      <c r="AJ150" s="730" t="n">
        <v>532326</v>
      </c>
      <c r="AK150" s="730" t="n">
        <v>801530</v>
      </c>
      <c r="AL150" s="718" t="n"/>
      <c r="AM150" s="721" t="inlineStr">
        <is>
          <t>[NO SF] Link Logistics actual; 2023 stable; 2024 ins inflated by $25k deductible</t>
        </is>
      </c>
    </row>
    <row r="151" ht="14.1" customHeight="1">
      <c r="A151" s="696" t="inlineStr">
        <is>
          <t>P076</t>
        </is>
      </c>
      <c r="B151" s="695" t="n">
        <v>210</v>
      </c>
      <c r="C151" s="696" t="inlineStr">
        <is>
          <t>R0084253</t>
        </is>
      </c>
      <c r="D151" s="696" t="inlineStr">
        <is>
          <t>14509 E 33rd Place</t>
        </is>
      </c>
      <c r="E151" s="696" t="inlineStr">
        <is>
          <t>Aurora</t>
        </is>
      </c>
      <c r="F151" s="696" t="inlineStr">
        <is>
          <t>CO</t>
        </is>
      </c>
      <c r="G151" s="696" t="inlineStr">
        <is>
          <t>Industrial</t>
        </is>
      </c>
      <c r="H151" s="696"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724" t="inlineStr">
        <is>
          <t>[NO SF] Link Logistics actual; 2023 security includes one-time $54k</t>
        </is>
      </c>
    </row>
    <row r="152" ht="14.1" customHeight="1">
      <c r="A152" s="718" t="inlineStr">
        <is>
          <t>P076</t>
        </is>
      </c>
      <c r="B152" s="695" t="n">
        <v>210</v>
      </c>
      <c r="C152" s="718" t="inlineStr">
        <is>
          <t>R0084253</t>
        </is>
      </c>
      <c r="D152" s="718" t="inlineStr">
        <is>
          <t>14509 E 33rd Place</t>
        </is>
      </c>
      <c r="E152" s="718" t="inlineStr">
        <is>
          <t>Aurora</t>
        </is>
      </c>
      <c r="F152" s="718" t="inlineStr">
        <is>
          <t>CO</t>
        </is>
      </c>
      <c r="G152" s="718" t="inlineStr">
        <is>
          <t>Industrial</t>
        </is>
      </c>
      <c r="H152" s="718" t="inlineStr">
        <is>
          <t>Multi-Tenant Industrial NNN</t>
        </is>
      </c>
      <c r="I152" s="719" t="n"/>
      <c r="J152" s="719" t="n"/>
      <c r="K152" s="719" t="n">
        <v>2023</v>
      </c>
      <c r="L152" s="730" t="n">
        <v>932587</v>
      </c>
      <c r="M152" s="718" t="n"/>
      <c r="N152" s="730" t="n">
        <v>1610926</v>
      </c>
      <c r="O152" s="730" t="n">
        <v>12903</v>
      </c>
      <c r="P152" s="730" t="n">
        <v>15271</v>
      </c>
      <c r="Q152" s="718" t="n"/>
      <c r="R152" s="718" t="n"/>
      <c r="S152" s="730" t="n">
        <v>16438</v>
      </c>
      <c r="T152" s="730" t="n">
        <v>17000</v>
      </c>
      <c r="U152" s="718" t="n"/>
      <c r="V152" s="718" t="n"/>
      <c r="W152" s="718" t="n"/>
      <c r="X152" s="730" t="n">
        <v>1572</v>
      </c>
      <c r="Y152" s="730" t="n">
        <v>35010</v>
      </c>
      <c r="Z152" s="718" t="n"/>
      <c r="AA152" s="730" t="n">
        <v>11941</v>
      </c>
      <c r="AB152" s="730" t="n">
        <v>21409</v>
      </c>
      <c r="AC152" s="730" t="n">
        <v>54490</v>
      </c>
      <c r="AD152" s="730" t="n">
        <v>34733</v>
      </c>
      <c r="AE152" s="730" t="n">
        <v>1638</v>
      </c>
      <c r="AF152" s="730" t="n">
        <v>36371</v>
      </c>
      <c r="AG152" s="718" t="n"/>
      <c r="AH152" s="730" t="n">
        <v>211012</v>
      </c>
      <c r="AI152" s="730" t="n">
        <v>441491</v>
      </c>
      <c r="AJ152" s="730" t="n">
        <v>652503</v>
      </c>
      <c r="AK152" s="730" t="n">
        <v>958423</v>
      </c>
      <c r="AL152" s="718" t="n"/>
      <c r="AM152" s="721" t="inlineStr">
        <is>
          <t>[NO SF] Link Logistics actual; 2023 security includes one-time $54k</t>
        </is>
      </c>
    </row>
    <row r="153" ht="14.1" customHeight="1">
      <c r="A153" s="696" t="inlineStr">
        <is>
          <t>P077</t>
        </is>
      </c>
      <c r="B153" s="695" t="n">
        <v>210</v>
      </c>
      <c r="C153" s="696" t="inlineStr">
        <is>
          <t>R0084253</t>
        </is>
      </c>
      <c r="D153" s="696" t="inlineStr">
        <is>
          <t>14704 E 33rd Place</t>
        </is>
      </c>
      <c r="E153" s="696" t="inlineStr">
        <is>
          <t>Aurora</t>
        </is>
      </c>
      <c r="F153" s="696" t="inlineStr">
        <is>
          <t>CO</t>
        </is>
      </c>
      <c r="G153" s="696" t="inlineStr">
        <is>
          <t>Industrial</t>
        </is>
      </c>
      <c r="H153" s="696"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724" t="inlineStr">
        <is>
          <t>[NO SF] Link Logistics 2024; partial vacancy (elec/gas $124k); NOI understated excl vacancy costs</t>
        </is>
      </c>
    </row>
    <row r="154" ht="14.1" customHeight="1">
      <c r="A154" s="718" t="inlineStr">
        <is>
          <t>P078</t>
        </is>
      </c>
      <c r="B154" s="695" t="n">
        <v>210</v>
      </c>
      <c r="C154" s="718" t="inlineStr">
        <is>
          <t>R0084253</t>
        </is>
      </c>
      <c r="D154" s="718" t="inlineStr">
        <is>
          <t>14705 E 33rd Place</t>
        </is>
      </c>
      <c r="E154" s="718" t="inlineStr">
        <is>
          <t>Aurora</t>
        </is>
      </c>
      <c r="F154" s="718" t="inlineStr">
        <is>
          <t>CO</t>
        </is>
      </c>
      <c r="G154" s="718" t="inlineStr">
        <is>
          <t>Industrial</t>
        </is>
      </c>
      <c r="H154" s="718" t="inlineStr">
        <is>
          <t>Multi-Tenant Industrial NNN</t>
        </is>
      </c>
      <c r="I154" s="719" t="n"/>
      <c r="J154" s="719" t="n"/>
      <c r="K154" s="719" t="n">
        <v>2024</v>
      </c>
      <c r="L154" s="730" t="n">
        <v>436928</v>
      </c>
      <c r="M154" s="718" t="n"/>
      <c r="N154" s="730" t="n">
        <v>714461</v>
      </c>
      <c r="O154" s="730" t="n">
        <v>6456</v>
      </c>
      <c r="P154" s="730" t="n">
        <v>6962</v>
      </c>
      <c r="Q154" s="718" t="n"/>
      <c r="R154" s="718" t="n"/>
      <c r="S154" s="730" t="n">
        <v>6889</v>
      </c>
      <c r="T154" s="730" t="n">
        <v>1125</v>
      </c>
      <c r="U154" s="730" t="n">
        <v>285</v>
      </c>
      <c r="V154" s="718" t="n"/>
      <c r="W154" s="718" t="n"/>
      <c r="X154" s="730" t="n">
        <v>1546</v>
      </c>
      <c r="Y154" s="730" t="n">
        <v>9845</v>
      </c>
      <c r="Z154" s="718" t="n"/>
      <c r="AA154" s="730" t="n">
        <v>6931</v>
      </c>
      <c r="AB154" s="730" t="n">
        <v>27052</v>
      </c>
      <c r="AC154" s="730" t="n">
        <v>5705</v>
      </c>
      <c r="AD154" s="718" t="n"/>
      <c r="AE154" s="730" t="n">
        <v>929</v>
      </c>
      <c r="AF154" s="730" t="n">
        <v>929</v>
      </c>
      <c r="AG154" s="718" t="n"/>
      <c r="AH154" s="730" t="n">
        <v>77944</v>
      </c>
      <c r="AI154" s="730" t="n">
        <v>188633</v>
      </c>
      <c r="AJ154" s="730" t="n">
        <v>266577</v>
      </c>
      <c r="AK154" s="730" t="n">
        <v>447884</v>
      </c>
      <c r="AL154" s="718" t="n"/>
      <c r="AM154" s="721" t="inlineStr">
        <is>
          <t>[NO SF] Link Logistics 2024; partial free rent ($38k); lease-up period</t>
        </is>
      </c>
    </row>
    <row r="155" ht="14.1" customHeight="1">
      <c r="A155" s="696" t="inlineStr">
        <is>
          <t>P079</t>
        </is>
      </c>
      <c r="B155" s="695" t="n">
        <v>584</v>
      </c>
      <c r="C155" s="696" t="inlineStr">
        <is>
          <t>R0086214</t>
        </is>
      </c>
      <c r="D155" s="696" t="inlineStr">
        <is>
          <t>Aurora Warehouse (Polar)</t>
        </is>
      </c>
      <c r="E155" s="696" t="inlineStr">
        <is>
          <t>Aurora</t>
        </is>
      </c>
      <c r="F155" s="696" t="inlineStr">
        <is>
          <t>CO</t>
        </is>
      </c>
      <c r="G155" s="696" t="inlineStr">
        <is>
          <t>Industrial</t>
        </is>
      </c>
      <c r="H155" s="696"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724" t="inlineStr">
        <is>
          <t>[NO SF] Link Logistics; very large – RE tax $2.2-2.4M; minimal CAM (near-absolute NNN); SF not confirmed</t>
        </is>
      </c>
    </row>
    <row r="156" ht="14.1" customHeight="1">
      <c r="A156" s="718" t="inlineStr">
        <is>
          <t>P079</t>
        </is>
      </c>
      <c r="B156" s="695" t="n">
        <v>584</v>
      </c>
      <c r="C156" s="718" t="inlineStr">
        <is>
          <t>R0086214</t>
        </is>
      </c>
      <c r="D156" s="718" t="inlineStr">
        <is>
          <t>Aurora Warehouse (Polar)</t>
        </is>
      </c>
      <c r="E156" s="718" t="inlineStr">
        <is>
          <t>Aurora</t>
        </is>
      </c>
      <c r="F156" s="718" t="inlineStr">
        <is>
          <t>CO</t>
        </is>
      </c>
      <c r="G156" s="718" t="inlineStr">
        <is>
          <t>Industrial</t>
        </is>
      </c>
      <c r="H156" s="718" t="inlineStr">
        <is>
          <t>Mega Warehouse NNN</t>
        </is>
      </c>
      <c r="I156" s="719" t="n"/>
      <c r="J156" s="719" t="n"/>
      <c r="K156" s="719" t="n">
        <v>2023</v>
      </c>
      <c r="L156" s="730" t="n">
        <v>3679986</v>
      </c>
      <c r="M156" s="718" t="n"/>
      <c r="N156" s="730" t="n">
        <v>6546351</v>
      </c>
      <c r="O156" s="730" t="n">
        <v>60105</v>
      </c>
      <c r="P156" s="730" t="n">
        <v>54144</v>
      </c>
      <c r="Q156" s="718" t="n"/>
      <c r="R156" s="718" t="n"/>
      <c r="S156" s="718" t="n"/>
      <c r="T156" s="718" t="n"/>
      <c r="U156" s="718" t="n"/>
      <c r="V156" s="718" t="n"/>
      <c r="W156" s="718" t="n"/>
      <c r="X156" s="730" t="n">
        <v>4184</v>
      </c>
      <c r="Y156" s="730" t="n">
        <v>4184</v>
      </c>
      <c r="Z156" s="718" t="n"/>
      <c r="AA156" s="718" t="n"/>
      <c r="AB156" s="718" t="n"/>
      <c r="AC156" s="718" t="n"/>
      <c r="AD156" s="718" t="n"/>
      <c r="AE156" s="718" t="n"/>
      <c r="AF156" s="718" t="n"/>
      <c r="AG156" s="718" t="n"/>
      <c r="AH156" s="730" t="n">
        <v>101213</v>
      </c>
      <c r="AI156" s="730" t="n">
        <v>2175995</v>
      </c>
      <c r="AJ156" s="730" t="n">
        <v>2277208</v>
      </c>
      <c r="AK156" s="730" t="n">
        <v>4269143</v>
      </c>
      <c r="AL156" s="718" t="n"/>
      <c r="AM156" s="721" t="inlineStr">
        <is>
          <t>[NO SF] Link Logistics; very large – RE tax $2.2-2.4M; minimal CAM (near-absolute NNN); SF not confirmed</t>
        </is>
      </c>
    </row>
    <row r="157" ht="14.1" customHeight="1">
      <c r="A157" s="696" t="inlineStr">
        <is>
          <t>P080</t>
        </is>
      </c>
      <c r="B157" s="695" t="n">
        <v>407</v>
      </c>
      <c r="C157" s="696" t="inlineStr">
        <is>
          <t>R0194277</t>
        </is>
      </c>
      <c r="D157" s="696" t="inlineStr">
        <is>
          <t>8251 Quintero St</t>
        </is>
      </c>
      <c r="E157" s="696" t="inlineStr">
        <is>
          <t>Commerce City</t>
        </is>
      </c>
      <c r="F157" s="696" t="inlineStr">
        <is>
          <t>CO</t>
        </is>
      </c>
      <c r="G157" s="696" t="inlineStr">
        <is>
          <t>Industrial</t>
        </is>
      </c>
      <c r="H157" s="696"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724" t="inlineStr">
        <is>
          <t>[NO SF] Becknell Industrial; 2024 EGI/OPX inflated by $967k PY RE tax true-up; normalized NOI ~$2.86M</t>
        </is>
      </c>
    </row>
    <row r="158" ht="14.1" customHeight="1">
      <c r="A158" s="718" t="inlineStr">
        <is>
          <t>P080</t>
        </is>
      </c>
      <c r="B158" s="695" t="n">
        <v>407</v>
      </c>
      <c r="C158" s="718" t="inlineStr">
        <is>
          <t>R0194277</t>
        </is>
      </c>
      <c r="D158" s="718" t="inlineStr">
        <is>
          <t>8251 Quintero St</t>
        </is>
      </c>
      <c r="E158" s="718" t="inlineStr">
        <is>
          <t>Commerce City</t>
        </is>
      </c>
      <c r="F158" s="718" t="inlineStr">
        <is>
          <t>CO</t>
        </is>
      </c>
      <c r="G158" s="718" t="inlineStr">
        <is>
          <t>Industrial</t>
        </is>
      </c>
      <c r="H158" s="718" t="inlineStr">
        <is>
          <t>Industrial Warehouse NNN</t>
        </is>
      </c>
      <c r="I158" s="719" t="n"/>
      <c r="J158" s="719" t="n"/>
      <c r="K158" s="719" t="n">
        <v>2023</v>
      </c>
      <c r="L158" s="730" t="n">
        <v>2897673</v>
      </c>
      <c r="M158" s="718" t="n"/>
      <c r="N158" s="730" t="n">
        <v>5335437</v>
      </c>
      <c r="O158" s="730" t="n">
        <v>29390</v>
      </c>
      <c r="P158" s="730" t="n">
        <v>83488</v>
      </c>
      <c r="Q158" s="718" t="n"/>
      <c r="R158" s="718" t="n"/>
      <c r="S158" s="730" t="n">
        <v>35137</v>
      </c>
      <c r="T158" s="718" t="n"/>
      <c r="U158" s="718" t="n"/>
      <c r="V158" s="718" t="n"/>
      <c r="W158" s="718" t="n"/>
      <c r="X158" s="718" t="n"/>
      <c r="Y158" s="730" t="n">
        <v>35137</v>
      </c>
      <c r="Z158" s="718" t="n"/>
      <c r="AA158" s="730" t="n">
        <v>33419</v>
      </c>
      <c r="AB158" s="730" t="n">
        <v>151223</v>
      </c>
      <c r="AC158" s="718" t="n"/>
      <c r="AD158" s="730" t="n">
        <v>24034</v>
      </c>
      <c r="AE158" s="718" t="n"/>
      <c r="AF158" s="730" t="n">
        <v>24034</v>
      </c>
      <c r="AG158" s="718" t="n"/>
      <c r="AH158" s="730" t="n">
        <v>541522</v>
      </c>
      <c r="AI158" s="730" t="n">
        <v>2045093</v>
      </c>
      <c r="AJ158" s="730" t="n">
        <v>2586615</v>
      </c>
      <c r="AK158" s="730" t="n">
        <v>2748822</v>
      </c>
      <c r="AL158" s="718" t="n"/>
      <c r="AM158" s="721" t="inlineStr">
        <is>
          <t>[NO SF] Becknell Industrial; actual accrual</t>
        </is>
      </c>
    </row>
    <row r="159" ht="14.1" customHeight="1">
      <c r="A159" s="696" t="inlineStr">
        <is>
          <t>P081</t>
        </is>
      </c>
      <c r="B159" s="695" t="n">
        <v>407</v>
      </c>
      <c r="C159" s="696" t="inlineStr">
        <is>
          <t>R0198176</t>
        </is>
      </c>
      <c r="D159" s="696" t="inlineStr">
        <is>
          <t>21800 E 19th Ave</t>
        </is>
      </c>
      <c r="E159" s="696" t="inlineStr">
        <is>
          <t>Aurora</t>
        </is>
      </c>
      <c r="F159" s="696" t="inlineStr">
        <is>
          <t>CO</t>
        </is>
      </c>
      <c r="G159" s="696" t="inlineStr">
        <is>
          <t>Industrial</t>
        </is>
      </c>
      <c r="H159" s="696"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724" t="inlineStr">
        <is>
          <t>[NO SF] Becknell; absolute NNN – tenant pays RE taxes directly; opex = CAM only</t>
        </is>
      </c>
    </row>
    <row r="160" ht="14.1" customHeight="1">
      <c r="A160" s="718" t="inlineStr">
        <is>
          <t>P081</t>
        </is>
      </c>
      <c r="B160" s="695" t="n">
        <v>407</v>
      </c>
      <c r="C160" s="718" t="inlineStr">
        <is>
          <t>R0198176</t>
        </is>
      </c>
      <c r="D160" s="718" t="inlineStr">
        <is>
          <t>21800 E 19th Ave</t>
        </is>
      </c>
      <c r="E160" s="718" t="inlineStr">
        <is>
          <t>Aurora</t>
        </is>
      </c>
      <c r="F160" s="718" t="inlineStr">
        <is>
          <t>CO</t>
        </is>
      </c>
      <c r="G160" s="718" t="inlineStr">
        <is>
          <t>Industrial</t>
        </is>
      </c>
      <c r="H160" s="718" t="inlineStr">
        <is>
          <t>Industrial Warehouse NNN</t>
        </is>
      </c>
      <c r="I160" s="719" t="n"/>
      <c r="J160" s="719" t="n"/>
      <c r="K160" s="719" t="n">
        <v>2023</v>
      </c>
      <c r="L160" s="730" t="n">
        <v>1458685</v>
      </c>
      <c r="M160" s="718" t="n"/>
      <c r="N160" s="730" t="n">
        <v>1647477</v>
      </c>
      <c r="O160" s="730" t="n">
        <v>15865</v>
      </c>
      <c r="P160" s="730" t="n">
        <v>43761</v>
      </c>
      <c r="Q160" s="718" t="n"/>
      <c r="R160" s="718" t="n"/>
      <c r="S160" s="730" t="n">
        <v>12850</v>
      </c>
      <c r="T160" s="718" t="n"/>
      <c r="U160" s="718" t="n"/>
      <c r="V160" s="718" t="n"/>
      <c r="W160" s="718" t="n"/>
      <c r="X160" s="718" t="n"/>
      <c r="Y160" s="730" t="n">
        <v>12850</v>
      </c>
      <c r="Z160" s="718" t="n"/>
      <c r="AA160" s="730" t="n">
        <v>31555</v>
      </c>
      <c r="AB160" s="730" t="n">
        <v>112261</v>
      </c>
      <c r="AC160" s="718" t="n"/>
      <c r="AD160" s="718" t="n"/>
      <c r="AE160" s="718" t="n"/>
      <c r="AF160" s="718" t="n"/>
      <c r="AG160" s="718" t="n"/>
      <c r="AH160" s="730" t="n">
        <v>238940</v>
      </c>
      <c r="AI160" s="730" t="n">
        <v>0</v>
      </c>
      <c r="AJ160" s="730" t="n">
        <v>238940</v>
      </c>
      <c r="AK160" s="730" t="n">
        <v>1408537</v>
      </c>
      <c r="AL160" s="718" t="n"/>
      <c r="AM160" s="721" t="inlineStr">
        <is>
          <t>[NO SF] Becknell; absolute NNN – tenant pays RE taxes directly; opex = CAM only</t>
        </is>
      </c>
    </row>
    <row r="161" ht="14.1" customHeight="1">
      <c r="A161" s="696" t="inlineStr">
        <is>
          <t>P082</t>
        </is>
      </c>
      <c r="B161" s="695" t="n">
        <v>407</v>
      </c>
      <c r="C161" s="696" t="inlineStr">
        <is>
          <t>R0201311</t>
        </is>
      </c>
      <c r="D161" s="696" t="inlineStr">
        <is>
          <t>Ascent Commerce Center Bldg I</t>
        </is>
      </c>
      <c r="E161" s="696" t="inlineStr">
        <is>
          <t>Aurora</t>
        </is>
      </c>
      <c r="F161" s="696" t="inlineStr">
        <is>
          <t>CO</t>
        </is>
      </c>
      <c r="G161" s="696" t="inlineStr">
        <is>
          <t>Industrial</t>
        </is>
      </c>
      <c r="H161" s="696"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724" t="inlineStr">
        <is>
          <t>[NO SF] Ambrose; Q4 2024 ONLY (Oct–Dec, 3 months); lease-up/stabilizing; DO NOT use for annual PSF</t>
        </is>
      </c>
    </row>
    <row r="162" ht="14.1" customHeight="1">
      <c r="A162" s="718" t="inlineStr">
        <is>
          <t>P083</t>
        </is>
      </c>
      <c r="B162" s="695" t="n">
        <v>407</v>
      </c>
      <c r="C162" s="718" t="inlineStr">
        <is>
          <t>R0201311</t>
        </is>
      </c>
      <c r="D162" s="718" t="inlineStr">
        <is>
          <t>Ascent Commerce Center Bldg II</t>
        </is>
      </c>
      <c r="E162" s="718" t="inlineStr">
        <is>
          <t>Aurora</t>
        </is>
      </c>
      <c r="F162" s="718" t="inlineStr">
        <is>
          <t>CO</t>
        </is>
      </c>
      <c r="G162" s="718" t="inlineStr">
        <is>
          <t>Industrial</t>
        </is>
      </c>
      <c r="H162" s="718" t="inlineStr">
        <is>
          <t>Industrial Warehouse NNN</t>
        </is>
      </c>
      <c r="I162" s="719" t="n"/>
      <c r="J162" s="719" t="n"/>
      <c r="K162" s="719" t="n">
        <v>2024</v>
      </c>
      <c r="L162" s="730" t="n">
        <v>143974</v>
      </c>
      <c r="M162" s="718" t="n"/>
      <c r="N162" s="730" t="n">
        <v>314952</v>
      </c>
      <c r="O162" s="730" t="n">
        <v>375</v>
      </c>
      <c r="P162" s="730" t="n">
        <v>6224</v>
      </c>
      <c r="Q162" s="718" t="n"/>
      <c r="R162" s="718" t="n"/>
      <c r="S162" s="730" t="n">
        <v>13434</v>
      </c>
      <c r="T162" s="718" t="n"/>
      <c r="U162" s="718" t="n"/>
      <c r="V162" s="718" t="n"/>
      <c r="W162" s="718" t="n"/>
      <c r="X162" s="718" t="n"/>
      <c r="Y162" s="730" t="n">
        <v>13434</v>
      </c>
      <c r="Z162" s="718" t="n"/>
      <c r="AA162" s="730" t="n">
        <v>1877</v>
      </c>
      <c r="AB162" s="730" t="n">
        <v>25288</v>
      </c>
      <c r="AC162" s="718" t="n"/>
      <c r="AD162" s="730" t="n">
        <v>104</v>
      </c>
      <c r="AE162" s="730" t="n">
        <v>11552</v>
      </c>
      <c r="AF162" s="730" t="n">
        <v>11656</v>
      </c>
      <c r="AG162" s="718" t="n"/>
      <c r="AH162" s="730" t="n">
        <v>70908</v>
      </c>
      <c r="AI162" s="730" t="n">
        <v>203797</v>
      </c>
      <c r="AJ162" s="730" t="n">
        <v>274705</v>
      </c>
      <c r="AK162" s="730" t="n">
        <v>22624</v>
      </c>
      <c r="AL162" s="718" t="n"/>
      <c r="AM162" s="721" t="inlineStr">
        <is>
          <t>[NO SF] Ambrose; Q4 2024 ONLY (Oct–Dec, 3 months); lease-up/stabilizing; DO NOT use for annual PSF</t>
        </is>
      </c>
    </row>
    <row r="163" ht="14.1" customHeight="1">
      <c r="A163" s="696" t="inlineStr">
        <is>
          <t>P084</t>
        </is>
      </c>
      <c r="B163" s="695" t="n">
        <v>407</v>
      </c>
      <c r="C163" s="696" t="inlineStr">
        <is>
          <t>R0201311</t>
        </is>
      </c>
      <c r="D163" s="696" t="inlineStr">
        <is>
          <t>Ascent Commerce Center Bldg III</t>
        </is>
      </c>
      <c r="E163" s="696" t="inlineStr">
        <is>
          <t>Aurora</t>
        </is>
      </c>
      <c r="F163" s="696" t="inlineStr">
        <is>
          <t>CO</t>
        </is>
      </c>
      <c r="G163" s="696" t="inlineStr">
        <is>
          <t>Industrial</t>
        </is>
      </c>
      <c r="H163" s="696"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724" t="inlineStr">
        <is>
          <t>[NO SF] Ambrose; Q4 2024 ONLY (Oct–Dec, 3 months); lease-up/stabilizing; DO NOT use for annual PSF</t>
        </is>
      </c>
    </row>
    <row r="164" ht="14.1" customHeight="1">
      <c r="A164" s="718" t="inlineStr">
        <is>
          <t>P085</t>
        </is>
      </c>
      <c r="B164" s="695" t="n">
        <v>210</v>
      </c>
      <c r="C164" s="718" t="inlineStr">
        <is>
          <t>R0093018</t>
        </is>
      </c>
      <c r="D164" s="718" t="inlineStr">
        <is>
          <t>3350 Peoria St</t>
        </is>
      </c>
      <c r="E164" s="718" t="inlineStr">
        <is>
          <t>Denver</t>
        </is>
      </c>
      <c r="F164" s="718" t="inlineStr">
        <is>
          <t>CO</t>
        </is>
      </c>
      <c r="G164" s="718" t="inlineStr">
        <is>
          <t>Industrial</t>
        </is>
      </c>
      <c r="H164" s="718" t="inlineStr">
        <is>
          <t>Office/Industrial Flex</t>
        </is>
      </c>
      <c r="I164" s="719" t="n"/>
      <c r="J164" s="719" t="n">
        <v>33057</v>
      </c>
      <c r="K164" s="719" t="n">
        <v>2024</v>
      </c>
      <c r="L164" s="718" t="n"/>
      <c r="M164" s="718" t="n"/>
      <c r="N164" s="720" t="n">
        <v>11.7474</v>
      </c>
      <c r="O164" s="720" t="n">
        <v>0.8464</v>
      </c>
      <c r="P164" s="720" t="n">
        <v>0.4718</v>
      </c>
      <c r="Q164" s="718" t="n"/>
      <c r="R164" s="718" t="n"/>
      <c r="S164" s="718" t="n"/>
      <c r="T164" s="718" t="n"/>
      <c r="U164" s="720" t="n">
        <v>0.2489</v>
      </c>
      <c r="V164" s="718" t="n"/>
      <c r="W164" s="718" t="n"/>
      <c r="X164" s="720" t="n">
        <v>2.7614</v>
      </c>
      <c r="Y164" s="718" t="n"/>
      <c r="Z164" s="718" t="n"/>
      <c r="AA164" s="720" t="n">
        <v>0.1383</v>
      </c>
      <c r="AB164" s="720" t="n">
        <v>0.07580000000000001</v>
      </c>
      <c r="AC164" s="720" t="n">
        <v>1.6023</v>
      </c>
      <c r="AD164" s="718" t="n"/>
      <c r="AE164" s="718" t="n"/>
      <c r="AF164" s="720" t="n">
        <v>1.6128</v>
      </c>
      <c r="AG164" s="718" t="n"/>
      <c r="AH164" s="720" t="n">
        <v>7.4837</v>
      </c>
      <c r="AI164" s="718" t="n"/>
      <c r="AJ164" s="720" t="n">
        <v>7.4837</v>
      </c>
      <c r="AK164" s="720" t="n">
        <v>4.2637</v>
      </c>
      <c r="AL164" s="718" t="n"/>
      <c r="AM164" s="721"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696" t="inlineStr">
        <is>
          <t>14200 E Moncrieff Place</t>
        </is>
      </c>
      <c r="E165" s="696" t="inlineStr">
        <is>
          <t>Aurora</t>
        </is>
      </c>
      <c r="F165" s="696" t="inlineStr">
        <is>
          <t>CO</t>
        </is>
      </c>
      <c r="G165" s="696" t="inlineStr">
        <is>
          <t>Industrial</t>
        </is>
      </c>
      <c r="H165" s="696"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724" t="inlineStr">
        <is>
          <t>Owner P&amp;L 2023; large industrial 233,808 SF; 1980 YOC; landscape $12,324/snow $32,256 in CAM</t>
        </is>
      </c>
    </row>
    <row r="166" ht="14.1" customHeight="1">
      <c r="A166" s="718" t="inlineStr">
        <is>
          <t>P086</t>
        </is>
      </c>
      <c r="B166" s="695" t="n">
        <v>406</v>
      </c>
      <c r="C166" s="718" t="inlineStr">
        <is>
          <t>R0210684</t>
        </is>
      </c>
      <c r="D166" s="718" t="inlineStr">
        <is>
          <t>14200 E Moncrieff Place</t>
        </is>
      </c>
      <c r="E166" s="718" t="inlineStr">
        <is>
          <t>Aurora</t>
        </is>
      </c>
      <c r="F166" s="718" t="inlineStr">
        <is>
          <t>CO</t>
        </is>
      </c>
      <c r="G166" s="718" t="inlineStr">
        <is>
          <t>Industrial</t>
        </is>
      </c>
      <c r="H166" s="718" t="inlineStr">
        <is>
          <t>Industrial Warehouse</t>
        </is>
      </c>
      <c r="I166" s="719" t="n">
        <v>1980</v>
      </c>
      <c r="J166" s="719" t="n">
        <v>233808</v>
      </c>
      <c r="K166" s="719" t="n">
        <v>2024</v>
      </c>
      <c r="L166" s="718" t="n"/>
      <c r="M166" s="718" t="n"/>
      <c r="N166" s="720" t="n">
        <v>8.7334</v>
      </c>
      <c r="O166" s="718" t="n"/>
      <c r="P166" s="718" t="n"/>
      <c r="Q166" s="718" t="n"/>
      <c r="R166" s="718" t="n"/>
      <c r="S166" s="718" t="n"/>
      <c r="T166" s="718" t="n"/>
      <c r="U166" s="718" t="n"/>
      <c r="V166" s="718" t="n"/>
      <c r="W166" s="718" t="n"/>
      <c r="X166" s="718" t="n"/>
      <c r="Y166" s="718" t="n"/>
      <c r="Z166" s="718" t="n"/>
      <c r="AA166" s="718" t="n"/>
      <c r="AB166" s="718" t="n"/>
      <c r="AC166" s="718" t="n"/>
      <c r="AD166" s="718" t="n"/>
      <c r="AE166" s="718" t="n"/>
      <c r="AF166" s="718" t="n"/>
      <c r="AG166" s="718" t="n"/>
      <c r="AH166" s="718" t="n"/>
      <c r="AI166" s="718" t="n"/>
      <c r="AJ166" s="720" t="n">
        <v>3.5718</v>
      </c>
      <c r="AK166" s="720" t="n">
        <v>5.1616</v>
      </c>
      <c r="AL166" s="718" t="n"/>
      <c r="AM166" s="721" t="inlineStr">
        <is>
          <t>Owner P&amp;L 2024; total OPX only – line items not fully detailed for 2024</t>
        </is>
      </c>
    </row>
    <row r="167" ht="14.1" customHeight="1">
      <c r="A167" s="696" t="inlineStr">
        <is>
          <t>P087</t>
        </is>
      </c>
      <c r="B167" s="695" t="n">
        <v>407</v>
      </c>
      <c r="C167" s="696" t="inlineStr">
        <is>
          <t>R0102985</t>
        </is>
      </c>
      <c r="D167" s="696" t="inlineStr">
        <is>
          <t>5861 Tennyson St</t>
        </is>
      </c>
      <c r="E167" s="696" t="inlineStr">
        <is>
          <t>Arvada</t>
        </is>
      </c>
      <c r="F167" s="696" t="inlineStr">
        <is>
          <t>CO</t>
        </is>
      </c>
      <c r="G167" s="696" t="inlineStr">
        <is>
          <t>Industrial</t>
        </is>
      </c>
      <c r="H167" s="696"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724" t="inlineStr">
        <is>
          <t>NNN; landlord expenses only; tenant pays RE taxes; 2023</t>
        </is>
      </c>
    </row>
    <row r="168" ht="14.1" customHeight="1">
      <c r="A168" s="718" t="inlineStr">
        <is>
          <t>P087</t>
        </is>
      </c>
      <c r="B168" s="695" t="n">
        <v>407</v>
      </c>
      <c r="C168" s="718" t="inlineStr">
        <is>
          <t>R0102985</t>
        </is>
      </c>
      <c r="D168" s="718" t="inlineStr">
        <is>
          <t>5861 Tennyson St</t>
        </is>
      </c>
      <c r="E168" s="718" t="inlineStr">
        <is>
          <t>Arvada</t>
        </is>
      </c>
      <c r="F168" s="718" t="inlineStr">
        <is>
          <t>CO</t>
        </is>
      </c>
      <c r="G168" s="718" t="inlineStr">
        <is>
          <t>Industrial</t>
        </is>
      </c>
      <c r="H168" s="718" t="inlineStr">
        <is>
          <t>Industrial NNN</t>
        </is>
      </c>
      <c r="I168" s="719" t="n">
        <v>2000</v>
      </c>
      <c r="J168" s="719" t="n">
        <v>80640</v>
      </c>
      <c r="K168" s="719" t="n">
        <v>2024</v>
      </c>
      <c r="L168" s="720" t="n">
        <v>6.3625</v>
      </c>
      <c r="M168" s="718" t="n"/>
      <c r="N168" s="718" t="n"/>
      <c r="O168" s="718" t="n"/>
      <c r="P168" s="718" t="n"/>
      <c r="Q168" s="718" t="n"/>
      <c r="R168" s="718" t="n"/>
      <c r="S168" s="718" t="n"/>
      <c r="T168" s="718" t="n"/>
      <c r="U168" s="718" t="n"/>
      <c r="V168" s="718" t="n"/>
      <c r="W168" s="718" t="n"/>
      <c r="X168" s="718" t="n"/>
      <c r="Y168" s="718" t="n"/>
      <c r="Z168" s="718" t="n"/>
      <c r="AA168" s="718" t="n"/>
      <c r="AB168" s="718" t="n"/>
      <c r="AC168" s="718" t="n"/>
      <c r="AD168" s="718" t="n"/>
      <c r="AE168" s="718" t="n"/>
      <c r="AF168" s="718" t="n"/>
      <c r="AG168" s="718" t="n"/>
      <c r="AH168" s="720" t="n">
        <v>0.1921</v>
      </c>
      <c r="AI168" s="718" t="n"/>
      <c r="AJ168" s="720" t="n">
        <v>0.1921</v>
      </c>
      <c r="AK168" s="720" t="n">
        <v>6.1704</v>
      </c>
      <c r="AL168" s="718" t="n"/>
      <c r="AM168" s="721" t="inlineStr">
        <is>
          <t>NNN; landlord expenses only; tenant pays RE taxes; 2024</t>
        </is>
      </c>
    </row>
    <row r="169" ht="14.1" customHeight="1">
      <c r="A169" s="696" t="inlineStr">
        <is>
          <t>P088</t>
        </is>
      </c>
      <c r="B169" s="695" t="n">
        <v>210</v>
      </c>
      <c r="C169" s="696" t="inlineStr">
        <is>
          <t>R0090973</t>
        </is>
      </c>
      <c r="D169" s="696" t="inlineStr">
        <is>
          <t>3975 E 56th Ave</t>
        </is>
      </c>
      <c r="E169" s="696" t="inlineStr">
        <is>
          <t>Commerce City</t>
        </is>
      </c>
      <c r="F169" s="696" t="inlineStr">
        <is>
          <t>CO</t>
        </is>
      </c>
      <c r="G169" s="696" t="inlineStr">
        <is>
          <t>Industrial</t>
        </is>
      </c>
      <c r="H169" s="696"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724" t="inlineStr">
        <is>
          <t>Sand Creek Business Park; owner P&amp;L 2024; limited line-item detail</t>
        </is>
      </c>
    </row>
    <row r="170" ht="14.1" customHeight="1">
      <c r="A170" s="718" t="inlineStr">
        <is>
          <t>P089</t>
        </is>
      </c>
      <c r="B170" s="695" t="n">
        <v>407</v>
      </c>
      <c r="C170" s="718" t="inlineStr">
        <is>
          <t>R0180951</t>
        </is>
      </c>
      <c r="D170" s="718" t="inlineStr">
        <is>
          <t>(Address TBD – R0180951)</t>
        </is>
      </c>
      <c r="E170" s="718" t="inlineStr">
        <is>
          <t>Adams County</t>
        </is>
      </c>
      <c r="F170" s="718" t="inlineStr">
        <is>
          <t>CO</t>
        </is>
      </c>
      <c r="G170" s="718" t="inlineStr">
        <is>
          <t>Industrial</t>
        </is>
      </c>
      <c r="H170" s="718" t="inlineStr">
        <is>
          <t>Industrial NNN</t>
        </is>
      </c>
      <c r="I170" s="719" t="n">
        <v>2016</v>
      </c>
      <c r="J170" s="719" t="n">
        <v>122106</v>
      </c>
      <c r="K170" s="719" t="n">
        <v>2023</v>
      </c>
      <c r="L170" s="718" t="n"/>
      <c r="M170" s="718" t="n"/>
      <c r="N170" s="718" t="n"/>
      <c r="O170" s="720" t="n">
        <v>0.0609</v>
      </c>
      <c r="P170" s="718" t="n"/>
      <c r="Q170" s="718" t="n"/>
      <c r="R170" s="718" t="n"/>
      <c r="S170" s="718" t="n"/>
      <c r="T170" s="718" t="n"/>
      <c r="U170" s="718" t="n"/>
      <c r="V170" s="718" t="n"/>
      <c r="W170" s="718" t="n"/>
      <c r="X170" s="718" t="n"/>
      <c r="Y170" s="718" t="n"/>
      <c r="Z170" s="718" t="n"/>
      <c r="AA170" s="718" t="n"/>
      <c r="AB170" s="718" t="n"/>
      <c r="AC170" s="720" t="n">
        <v>0.415</v>
      </c>
      <c r="AD170" s="720" t="n">
        <v>0.4794</v>
      </c>
      <c r="AE170" s="718" t="n"/>
      <c r="AF170" s="720" t="n">
        <v>0.4794</v>
      </c>
      <c r="AG170" s="718" t="n"/>
      <c r="AH170" s="718" t="n"/>
      <c r="AI170" s="720" t="n">
        <v>3.233</v>
      </c>
      <c r="AJ170" s="720" t="n">
        <v>4.1884</v>
      </c>
      <c r="AK170" s="718" t="n"/>
      <c r="AL170" s="718" t="n"/>
      <c r="AM170" s="721" t="inlineStr">
        <is>
          <t>NNN; landlord expenses only from WH Expenses 2026; 2016 YOC; 2023: RE Tax $394,774/Ins $7,435/Utils $58,541/CAM $50,680</t>
        </is>
      </c>
    </row>
    <row r="171" ht="14.1" customHeight="1">
      <c r="A171" s="696" t="inlineStr">
        <is>
          <t>P089</t>
        </is>
      </c>
      <c r="B171" s="695" t="n">
        <v>407</v>
      </c>
      <c r="C171" s="696" t="inlineStr">
        <is>
          <t>R0180951</t>
        </is>
      </c>
      <c r="D171" s="696" t="inlineStr">
        <is>
          <t>(Address TBD – R0180951)</t>
        </is>
      </c>
      <c r="E171" s="696" t="inlineStr">
        <is>
          <t>Adams County</t>
        </is>
      </c>
      <c r="F171" s="696" t="inlineStr">
        <is>
          <t>CO</t>
        </is>
      </c>
      <c r="G171" s="696" t="inlineStr">
        <is>
          <t>Industrial</t>
        </is>
      </c>
      <c r="H171" s="696"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724" t="inlineStr">
        <is>
          <t>NNN; landlord expenses only from WH Expenses 2026; 2024: RE Tax $532,140/Ins $7,635/Utils $58,541/CAM $64,465</t>
        </is>
      </c>
    </row>
    <row r="172" ht="14.1" customHeight="1">
      <c r="A172" s="718" t="inlineStr">
        <is>
          <t>P090</t>
        </is>
      </c>
      <c r="B172" s="695" t="n">
        <v>407</v>
      </c>
      <c r="C172" s="718" t="inlineStr">
        <is>
          <t>R0110351</t>
        </is>
      </c>
      <c r="D172" s="718" t="inlineStr">
        <is>
          <t>(Address TBD – R0110351)</t>
        </is>
      </c>
      <c r="E172" s="718" t="inlineStr">
        <is>
          <t>Adams County</t>
        </is>
      </c>
      <c r="F172" s="718" t="inlineStr">
        <is>
          <t>CO</t>
        </is>
      </c>
      <c r="G172" s="718" t="inlineStr">
        <is>
          <t>Industrial</t>
        </is>
      </c>
      <c r="H172" s="718" t="inlineStr">
        <is>
          <t>Industrial NNN</t>
        </is>
      </c>
      <c r="I172" s="719" t="n">
        <v>2000</v>
      </c>
      <c r="J172" s="719" t="n">
        <v>85200</v>
      </c>
      <c r="K172" s="719" t="n">
        <v>2023</v>
      </c>
      <c r="L172" s="718" t="n"/>
      <c r="M172" s="718" t="n"/>
      <c r="N172" s="718" t="n"/>
      <c r="O172" s="720" t="n">
        <v>0.2413</v>
      </c>
      <c r="P172" s="718" t="n"/>
      <c r="Q172" s="718" t="n"/>
      <c r="R172" s="718" t="n"/>
      <c r="S172" s="718" t="n"/>
      <c r="T172" s="718" t="n"/>
      <c r="U172" s="718" t="n"/>
      <c r="V172" s="718" t="n"/>
      <c r="W172" s="718" t="n"/>
      <c r="X172" s="718" t="n"/>
      <c r="Y172" s="718" t="n"/>
      <c r="Z172" s="718" t="n"/>
      <c r="AA172" s="718" t="n"/>
      <c r="AB172" s="718" t="n"/>
      <c r="AC172" s="720" t="n">
        <v>0.2176</v>
      </c>
      <c r="AD172" s="718" t="n"/>
      <c r="AE172" s="718" t="n"/>
      <c r="AF172" s="718" t="n"/>
      <c r="AG172" s="718" t="n"/>
      <c r="AH172" s="718" t="n"/>
      <c r="AI172" s="720" t="n">
        <v>3.5826</v>
      </c>
      <c r="AJ172" s="720" t="n">
        <v>4.0415</v>
      </c>
      <c r="AK172" s="718" t="n"/>
      <c r="AL172" s="718" t="n"/>
      <c r="AM172" s="721" t="inlineStr">
        <is>
          <t>NNN; landlord expenses only from WH Expenses 2026; 2000 YOC; 2023: RE Tax $305,241/Ins $20,559/CAM $18,539</t>
        </is>
      </c>
    </row>
    <row r="173" ht="14.1" customHeight="1">
      <c r="A173" s="696" t="inlineStr">
        <is>
          <t>P090</t>
        </is>
      </c>
      <c r="B173" s="695" t="n">
        <v>407</v>
      </c>
      <c r="C173" s="696" t="inlineStr">
        <is>
          <t>R0110351</t>
        </is>
      </c>
      <c r="D173" s="696" t="inlineStr">
        <is>
          <t>(Address TBD – R0110351)</t>
        </is>
      </c>
      <c r="E173" s="696" t="inlineStr">
        <is>
          <t>Adams County</t>
        </is>
      </c>
      <c r="F173" s="696" t="inlineStr">
        <is>
          <t>CO</t>
        </is>
      </c>
      <c r="G173" s="696" t="inlineStr">
        <is>
          <t>Industrial</t>
        </is>
      </c>
      <c r="H173" s="696"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724" t="inlineStr">
        <is>
          <t>NNN; landlord expenses only from WH Expenses 2026; 2024: RE Tax $331,811/Ins $25,578/CAM $21,372</t>
        </is>
      </c>
    </row>
    <row r="174" ht="14.1" customHeight="1">
      <c r="A174" s="718" t="inlineStr">
        <is>
          <t>P091</t>
        </is>
      </c>
      <c r="B174" s="695" t="n">
        <v>584</v>
      </c>
      <c r="C174" s="718" t="inlineStr">
        <is>
          <t>R0198530</t>
        </is>
      </c>
      <c r="D174" s="718" t="inlineStr">
        <is>
          <t>(Address TBD – R0198530)</t>
        </is>
      </c>
      <c r="E174" s="718" t="inlineStr">
        <is>
          <t>Adams County</t>
        </is>
      </c>
      <c r="F174" s="718" t="inlineStr">
        <is>
          <t>CO</t>
        </is>
      </c>
      <c r="G174" s="718" t="inlineStr">
        <is>
          <t>Industrial</t>
        </is>
      </c>
      <c r="H174" s="718" t="inlineStr">
        <is>
          <t>Industrial Mega-Warehouse NNN</t>
        </is>
      </c>
      <c r="I174" s="719" t="n">
        <v>2019</v>
      </c>
      <c r="J174" s="719" t="n">
        <v>555867</v>
      </c>
      <c r="K174" s="719" t="n">
        <v>2024</v>
      </c>
      <c r="L174" s="718" t="n"/>
      <c r="M174" s="718" t="n"/>
      <c r="N174" s="718" t="n"/>
      <c r="O174" s="720" t="n">
        <v>0.1549</v>
      </c>
      <c r="P174" s="720" t="n">
        <v>0.1152</v>
      </c>
      <c r="Q174" s="718" t="n"/>
      <c r="R174" s="718" t="n"/>
      <c r="S174" s="718" t="n"/>
      <c r="T174" s="718" t="n"/>
      <c r="U174" s="718" t="n"/>
      <c r="V174" s="718" t="n"/>
      <c r="W174" s="718" t="n"/>
      <c r="X174" s="718" t="n"/>
      <c r="Y174" s="718" t="n"/>
      <c r="Z174" s="718" t="n"/>
      <c r="AA174" s="718" t="n"/>
      <c r="AB174" s="718" t="n"/>
      <c r="AC174" s="718" t="n"/>
      <c r="AD174" s="718" t="n"/>
      <c r="AE174" s="718" t="n"/>
      <c r="AF174" s="718" t="n"/>
      <c r="AG174" s="718" t="n"/>
      <c r="AH174" s="718" t="n"/>
      <c r="AI174" s="720" t="n">
        <v>3.8872</v>
      </c>
      <c r="AJ174" s="720" t="n">
        <v>4.1573</v>
      </c>
      <c r="AK174" s="718" t="n"/>
      <c r="AL174" s="718" t="n"/>
      <c r="AM174" s="721" t="inlineStr">
        <is>
          <t>Mega-warehouse 555,867 SF; NNN; landlord only: RE Tax $2,160,792/Ins $86,084/Mgmt $64,029; 2019 YOC</t>
        </is>
      </c>
    </row>
    <row r="175" ht="14.1" customHeight="1">
      <c r="A175" s="696" t="inlineStr">
        <is>
          <t>P092</t>
        </is>
      </c>
      <c r="B175" s="695" t="n">
        <v>447</v>
      </c>
      <c r="C175" s="696" t="inlineStr">
        <is>
          <t>R0180834</t>
        </is>
      </c>
      <c r="D175" s="696" t="inlineStr">
        <is>
          <t>(Address TBD – R0180834)</t>
        </is>
      </c>
      <c r="E175" s="696" t="inlineStr">
        <is>
          <t>Adams County</t>
        </is>
      </c>
      <c r="F175" s="696" t="inlineStr">
        <is>
          <t>CO</t>
        </is>
      </c>
      <c r="G175" s="696" t="inlineStr">
        <is>
          <t>Industrial</t>
        </is>
      </c>
      <c r="H175" s="696"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724" t="inlineStr">
        <is>
          <t>Cold storage/mega-WH 550,031 SF; NNN; landlord only: RE Tax $2,118,655/Ins $77,117/Mgmt $138,053; 2012 YOC</t>
        </is>
      </c>
    </row>
    <row r="176" ht="14.1" customHeight="1">
      <c r="A176" s="718" t="inlineStr">
        <is>
          <t>P093</t>
        </is>
      </c>
      <c r="B176" s="695" t="n">
        <v>407</v>
      </c>
      <c r="C176" s="718" t="inlineStr">
        <is>
          <t>R0114792</t>
        </is>
      </c>
      <c r="D176" s="718" t="inlineStr">
        <is>
          <t>(Address TBD – R0114792)</t>
        </is>
      </c>
      <c r="E176" s="718" t="inlineStr">
        <is>
          <t>Adams County</t>
        </is>
      </c>
      <c r="F176" s="718" t="inlineStr">
        <is>
          <t>CO</t>
        </is>
      </c>
      <c r="G176" s="718" t="inlineStr">
        <is>
          <t>Industrial</t>
        </is>
      </c>
      <c r="H176" s="718" t="inlineStr">
        <is>
          <t>Industrial NNN</t>
        </is>
      </c>
      <c r="I176" s="719" t="n">
        <v>1998</v>
      </c>
      <c r="J176" s="719" t="n">
        <v>64501</v>
      </c>
      <c r="K176" s="719" t="n">
        <v>2023</v>
      </c>
      <c r="L176" s="718" t="n"/>
      <c r="M176" s="718" t="n"/>
      <c r="N176" s="718" t="n"/>
      <c r="O176" s="720" t="n">
        <v>0.1487</v>
      </c>
      <c r="P176" s="720" t="n">
        <v>0.365</v>
      </c>
      <c r="Q176" s="718" t="n"/>
      <c r="R176" s="718" t="n"/>
      <c r="S176" s="718" t="n"/>
      <c r="T176" s="718" t="n"/>
      <c r="U176" s="718" t="n"/>
      <c r="V176" s="718" t="n"/>
      <c r="W176" s="718" t="n"/>
      <c r="X176" s="718" t="n"/>
      <c r="Y176" s="718" t="n"/>
      <c r="Z176" s="718" t="n"/>
      <c r="AA176" s="718" t="n"/>
      <c r="AB176" s="718" t="n"/>
      <c r="AC176" s="718" t="n"/>
      <c r="AD176" s="718" t="n"/>
      <c r="AE176" s="718" t="n"/>
      <c r="AF176" s="718" t="n"/>
      <c r="AG176" s="718" t="n"/>
      <c r="AH176" s="718" t="n"/>
      <c r="AI176" s="720" t="n">
        <v>3.1201</v>
      </c>
      <c r="AJ176" s="720" t="n">
        <v>3.6337</v>
      </c>
      <c r="AK176" s="718" t="n"/>
      <c r="AL176" s="718" t="n"/>
      <c r="AM176" s="721" t="inlineStr">
        <is>
          <t>NNN; landlord only: RE Tax $201,248/Ins $9,589/Mgmt $23,542; 1998 YOC</t>
        </is>
      </c>
    </row>
    <row r="177" ht="14.1" customHeight="1">
      <c r="A177" s="696" t="inlineStr">
        <is>
          <t>P093</t>
        </is>
      </c>
      <c r="B177" s="695" t="n">
        <v>407</v>
      </c>
      <c r="C177" s="696" t="inlineStr">
        <is>
          <t>R0114792</t>
        </is>
      </c>
      <c r="D177" s="696" t="inlineStr">
        <is>
          <t>(Address TBD – R0114792)</t>
        </is>
      </c>
      <c r="E177" s="696" t="inlineStr">
        <is>
          <t>Adams County</t>
        </is>
      </c>
      <c r="F177" s="696" t="inlineStr">
        <is>
          <t>CO</t>
        </is>
      </c>
      <c r="G177" s="696" t="inlineStr">
        <is>
          <t>Industrial</t>
        </is>
      </c>
      <c r="H177" s="696"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724" t="inlineStr">
        <is>
          <t>NNN; landlord only: RE Tax $244,551/Ins $7,536/Mgmt $23,889</t>
        </is>
      </c>
    </row>
    <row r="178" ht="14.1" customHeight="1">
      <c r="A178" s="718" t="inlineStr">
        <is>
          <t>P027</t>
        </is>
      </c>
      <c r="B178" s="695" t="n">
        <v>407</v>
      </c>
      <c r="C178" s="718" t="inlineStr">
        <is>
          <t>R0132030</t>
        </is>
      </c>
      <c r="D178" s="718" t="inlineStr">
        <is>
          <t>(R0132030)</t>
        </is>
      </c>
      <c r="E178" s="718" t="inlineStr">
        <is>
          <t>Adams County</t>
        </is>
      </c>
      <c r="F178" s="718" t="inlineStr">
        <is>
          <t>CO</t>
        </is>
      </c>
      <c r="G178" s="718" t="inlineStr">
        <is>
          <t>Industrial</t>
        </is>
      </c>
      <c r="H178" s="718" t="inlineStr">
        <is>
          <t>Industrial NNN</t>
        </is>
      </c>
      <c r="I178" s="719" t="n"/>
      <c r="J178" s="719" t="n">
        <v>200094</v>
      </c>
      <c r="K178" s="719" t="n">
        <v>2024</v>
      </c>
      <c r="L178" s="718" t="n"/>
      <c r="M178" s="718" t="n"/>
      <c r="N178" s="718" t="n"/>
      <c r="O178" s="720" t="n">
        <v>0.1315</v>
      </c>
      <c r="P178" s="720" t="n">
        <v>0.2443</v>
      </c>
      <c r="Q178" s="718" t="n"/>
      <c r="R178" s="718" t="n"/>
      <c r="S178" s="718" t="n"/>
      <c r="T178" s="718" t="n"/>
      <c r="U178" s="718" t="n"/>
      <c r="V178" s="718" t="n"/>
      <c r="W178" s="718" t="n"/>
      <c r="X178" s="718" t="n"/>
      <c r="Y178" s="718" t="n"/>
      <c r="Z178" s="718" t="n"/>
      <c r="AA178" s="718" t="n"/>
      <c r="AB178" s="718" t="n"/>
      <c r="AC178" s="720" t="n">
        <v>0.4013</v>
      </c>
      <c r="AD178" s="720" t="n">
        <v>0.321</v>
      </c>
      <c r="AE178" s="718" t="n"/>
      <c r="AF178" s="720" t="n">
        <v>0.321</v>
      </c>
      <c r="AG178" s="718" t="n"/>
      <c r="AH178" s="718" t="n"/>
      <c r="AI178" s="720" t="n">
        <v>2.2004</v>
      </c>
      <c r="AJ178" s="720" t="n">
        <v>3.297</v>
      </c>
      <c r="AK178" s="718" t="n"/>
      <c r="AL178" s="718" t="n"/>
      <c r="AM178" s="721" t="inlineStr">
        <is>
          <t>NNN; WH Expenses 2026 landlord data: RE Tax $440,287/Ins $26,308/Utils $64,237/Mgmt $48,882/CAM $80,298</t>
        </is>
      </c>
    </row>
    <row r="179" ht="14.1" customHeight="1">
      <c r="A179" s="696" t="inlineStr">
        <is>
          <t>P028</t>
        </is>
      </c>
      <c r="B179" s="695" t="n">
        <v>407</v>
      </c>
      <c r="C179" s="696" t="inlineStr">
        <is>
          <t>R0084040</t>
        </is>
      </c>
      <c r="D179" s="696" t="inlineStr">
        <is>
          <t>(R0084040)</t>
        </is>
      </c>
      <c r="E179" s="696" t="inlineStr">
        <is>
          <t>Adams County</t>
        </is>
      </c>
      <c r="F179" s="696" t="inlineStr">
        <is>
          <t>CO</t>
        </is>
      </c>
      <c r="G179" s="696" t="inlineStr">
        <is>
          <t>Industrial</t>
        </is>
      </c>
      <c r="H179" s="696"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724" t="inlineStr">
        <is>
          <t>[NO SF] NNN; WH Expenses 2026 landlord data: RE Tax $598,274/Ins $24,025/Utils $69,481/Mgmt $65,817/CAM $128,840</t>
        </is>
      </c>
    </row>
    <row r="180" ht="14.1" customHeight="1">
      <c r="A180" s="718" t="inlineStr">
        <is>
          <t>P034</t>
        </is>
      </c>
      <c r="B180" s="695" t="n">
        <v>407</v>
      </c>
      <c r="C180" s="718" t="inlineStr">
        <is>
          <t>R0172865</t>
        </is>
      </c>
      <c r="D180" s="718" t="inlineStr">
        <is>
          <t>(R0172865)</t>
        </is>
      </c>
      <c r="E180" s="718" t="inlineStr">
        <is>
          <t>Adams County</t>
        </is>
      </c>
      <c r="F180" s="718" t="inlineStr">
        <is>
          <t>CO</t>
        </is>
      </c>
      <c r="G180" s="718" t="inlineStr">
        <is>
          <t>Industrial</t>
        </is>
      </c>
      <c r="H180" s="718" t="inlineStr">
        <is>
          <t>Industrial NNN</t>
        </is>
      </c>
      <c r="I180" s="719" t="n"/>
      <c r="J180" s="719" t="n">
        <v>215461</v>
      </c>
      <c r="K180" s="719" t="n">
        <v>2024</v>
      </c>
      <c r="L180" s="718" t="n"/>
      <c r="M180" s="718" t="n"/>
      <c r="N180" s="718" t="n"/>
      <c r="O180" s="720" t="n">
        <v>0.1431</v>
      </c>
      <c r="P180" s="720" t="n">
        <v>0.331</v>
      </c>
      <c r="Q180" s="718" t="n"/>
      <c r="R180" s="718" t="n"/>
      <c r="S180" s="718" t="n"/>
      <c r="T180" s="718" t="n"/>
      <c r="U180" s="718" t="n"/>
      <c r="V180" s="718" t="n"/>
      <c r="W180" s="718" t="n"/>
      <c r="X180" s="718" t="n"/>
      <c r="Y180" s="718" t="n"/>
      <c r="Z180" s="718" t="n"/>
      <c r="AA180" s="718" t="n"/>
      <c r="AB180" s="718" t="n"/>
      <c r="AC180" s="720" t="n">
        <v>0.5903</v>
      </c>
      <c r="AD180" s="720" t="n">
        <v>0.4731</v>
      </c>
      <c r="AE180" s="718" t="n"/>
      <c r="AF180" s="720" t="n">
        <v>0.4731</v>
      </c>
      <c r="AG180" s="718" t="n"/>
      <c r="AH180" s="718" t="n"/>
      <c r="AI180" s="720" t="n">
        <v>2.6197</v>
      </c>
      <c r="AJ180" s="720" t="n">
        <v>4.1572</v>
      </c>
      <c r="AK180" s="718" t="n"/>
      <c r="AL180" s="718" t="n"/>
      <c r="AM180" s="721" t="inlineStr">
        <is>
          <t>NNN; WH Expenses 2026 landlord data: RE Tax $564,450/Ins $30,832/Utils $101,924/Mgmt $71,321/CAM $127,177</t>
        </is>
      </c>
    </row>
    <row r="181" ht="14.1" customHeight="1">
      <c r="A181" s="696" t="inlineStr">
        <is>
          <t>P036</t>
        </is>
      </c>
      <c r="B181" s="695" t="n">
        <v>407</v>
      </c>
      <c r="C181" s="696" t="inlineStr">
        <is>
          <t>R0172868</t>
        </is>
      </c>
      <c r="D181" s="696" t="inlineStr">
        <is>
          <t>(R0172868)</t>
        </is>
      </c>
      <c r="E181" s="696" t="inlineStr">
        <is>
          <t>Adams County</t>
        </is>
      </c>
      <c r="F181" s="696" t="inlineStr">
        <is>
          <t>CO</t>
        </is>
      </c>
      <c r="G181" s="696" t="inlineStr">
        <is>
          <t>Industrial</t>
        </is>
      </c>
      <c r="H181" s="696"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724" t="inlineStr">
        <is>
          <t>NNN; WH Expenses 2026 landlord data: RE Tax $608,209/Ins $30,594/Mgmt $36,085/CAM $95,792</t>
        </is>
      </c>
    </row>
    <row r="182" ht="14.1" customHeight="1">
      <c r="A182" s="718" t="inlineStr">
        <is>
          <t>P061</t>
        </is>
      </c>
      <c r="B182" s="695" t="n">
        <v>584</v>
      </c>
      <c r="C182" s="718" t="inlineStr">
        <is>
          <t>R0083935</t>
        </is>
      </c>
      <c r="D182" s="718" t="inlineStr">
        <is>
          <t>(R0083935)</t>
        </is>
      </c>
      <c r="E182" s="718" t="inlineStr">
        <is>
          <t>Adams County</t>
        </is>
      </c>
      <c r="F182" s="718" t="inlineStr">
        <is>
          <t>CO</t>
        </is>
      </c>
      <c r="G182" s="718" t="inlineStr">
        <is>
          <t>Industrial</t>
        </is>
      </c>
      <c r="H182" s="718" t="inlineStr">
        <is>
          <t>Industrial NNN</t>
        </is>
      </c>
      <c r="I182" s="719" t="n"/>
      <c r="J182" s="719" t="n">
        <v>277690</v>
      </c>
      <c r="K182" s="719" t="n">
        <v>2024</v>
      </c>
      <c r="L182" s="718" t="n"/>
      <c r="M182" s="718" t="n"/>
      <c r="N182" s="718" t="n"/>
      <c r="O182" s="720" t="n">
        <v>0.2911</v>
      </c>
      <c r="P182" s="720" t="n">
        <v>0.6228</v>
      </c>
      <c r="Q182" s="718" t="n"/>
      <c r="R182" s="718" t="n"/>
      <c r="S182" s="718" t="n"/>
      <c r="T182" s="718" t="n"/>
      <c r="U182" s="718" t="n"/>
      <c r="V182" s="718" t="n"/>
      <c r="W182" s="718" t="n"/>
      <c r="X182" s="718" t="n"/>
      <c r="Y182" s="718" t="n"/>
      <c r="Z182" s="718" t="n"/>
      <c r="AA182" s="718" t="n"/>
      <c r="AB182" s="718" t="n"/>
      <c r="AC182" s="720" t="n">
        <v>1.0179</v>
      </c>
      <c r="AD182" s="720" t="n">
        <v>0.7056</v>
      </c>
      <c r="AE182" s="718" t="n"/>
      <c r="AF182" s="720" t="n">
        <v>0.7056</v>
      </c>
      <c r="AG182" s="718" t="n"/>
      <c r="AH182" s="718" t="n"/>
      <c r="AI182" s="720" t="n">
        <v>2.8384</v>
      </c>
      <c r="AJ182" s="720" t="n">
        <v>5.4758</v>
      </c>
      <c r="AK182" s="718" t="n"/>
      <c r="AL182" s="718" t="n"/>
      <c r="AM182" s="721"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696" t="inlineStr">
        <is>
          <t>(R0098223)</t>
        </is>
      </c>
      <c r="E183" s="696" t="inlineStr">
        <is>
          <t>Adams County</t>
        </is>
      </c>
      <c r="F183" s="696" t="inlineStr">
        <is>
          <t>CO</t>
        </is>
      </c>
      <c r="G183" s="696" t="inlineStr">
        <is>
          <t>Industrial</t>
        </is>
      </c>
      <c r="H183" s="696"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724" t="inlineStr">
        <is>
          <t>[NO SF] CORRECTED: previous entry had wrong NOI ($76,629). Correct 2023 NOI = $951,113 per WH Expenses 2026</t>
        </is>
      </c>
    </row>
    <row r="184" ht="14.1" customHeight="1">
      <c r="A184" s="718" t="inlineStr">
        <is>
          <t>P069</t>
        </is>
      </c>
      <c r="B184" s="695" t="n">
        <v>210</v>
      </c>
      <c r="C184" s="718" t="inlineStr">
        <is>
          <t>R0098223</t>
        </is>
      </c>
      <c r="D184" s="718" t="inlineStr">
        <is>
          <t>(R0098223)</t>
        </is>
      </c>
      <c r="E184" s="718" t="inlineStr">
        <is>
          <t>Adams County</t>
        </is>
      </c>
      <c r="F184" s="718" t="inlineStr">
        <is>
          <t>CO</t>
        </is>
      </c>
      <c r="G184" s="718" t="inlineStr">
        <is>
          <t>Industrial</t>
        </is>
      </c>
      <c r="H184" s="718" t="inlineStr">
        <is>
          <t>Industrial</t>
        </is>
      </c>
      <c r="I184" s="719" t="n"/>
      <c r="J184" s="719" t="n"/>
      <c r="K184" s="719" t="n">
        <v>2024</v>
      </c>
      <c r="L184" s="718" t="n"/>
      <c r="M184" s="718" t="n"/>
      <c r="N184" s="718" t="n"/>
      <c r="O184" s="718" t="n"/>
      <c r="P184" s="718" t="n"/>
      <c r="Q184" s="718" t="n"/>
      <c r="R184" s="718" t="n"/>
      <c r="S184" s="718" t="n"/>
      <c r="T184" s="718" t="n"/>
      <c r="U184" s="718" t="n"/>
      <c r="V184" s="718" t="n"/>
      <c r="W184" s="718" t="n"/>
      <c r="X184" s="718" t="n"/>
      <c r="Y184" s="718" t="n"/>
      <c r="Z184" s="718" t="n"/>
      <c r="AA184" s="718" t="n"/>
      <c r="AB184" s="718" t="n"/>
      <c r="AC184" s="718" t="n"/>
      <c r="AD184" s="718" t="n"/>
      <c r="AE184" s="718" t="n"/>
      <c r="AF184" s="718" t="n"/>
      <c r="AG184" s="718" t="n"/>
      <c r="AH184" s="718" t="n"/>
      <c r="AI184" s="718" t="n"/>
      <c r="AJ184" s="718" t="n"/>
      <c r="AK184" s="730" t="n">
        <v>1005999</v>
      </c>
      <c r="AL184" s="718" t="n"/>
      <c r="AM184" s="721" t="inlineStr">
        <is>
          <t>[NO SF] New 2024 row from WH Expenses 2026; NOI $1,005,999</t>
        </is>
      </c>
    </row>
    <row r="185" ht="14.1" customHeight="1">
      <c r="A185" s="696" t="inlineStr">
        <is>
          <t>P094</t>
        </is>
      </c>
      <c r="B185" s="695" t="n">
        <v>407</v>
      </c>
      <c r="C185" s="696" t="inlineStr">
        <is>
          <t>R0104122</t>
        </is>
      </c>
      <c r="D185" s="696" t="inlineStr">
        <is>
          <t>550 W 53rd Pl</t>
        </is>
      </c>
      <c r="E185" s="696" t="inlineStr">
        <is>
          <t>Denver</t>
        </is>
      </c>
      <c r="F185" s="696" t="inlineStr">
        <is>
          <t>CO</t>
        </is>
      </c>
      <c r="G185" s="696" t="inlineStr">
        <is>
          <t>Industrial</t>
        </is>
      </c>
      <c r="H185" s="696"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724" t="inlineStr">
        <is>
          <t>Appraiser income approach (CBOE 2024 abatement); market rent $6.50/SF; vac 6%; OPX 5% + reserves 3%; 6.00% OAR; value $11,985,000</t>
        </is>
      </c>
    </row>
    <row r="186" ht="14.1" customHeight="1">
      <c r="A186" s="732" t="inlineStr">
        <is>
          <t>P095</t>
        </is>
      </c>
      <c r="B186" s="695" t="n">
        <v>386</v>
      </c>
      <c r="C186" s="732" t="inlineStr">
        <is>
          <t>R0086010</t>
        </is>
      </c>
      <c r="D186" s="732" t="inlineStr">
        <is>
          <t>15413 E 18th Ave</t>
        </is>
      </c>
      <c r="E186" s="732" t="inlineStr">
        <is>
          <t>Aurora</t>
        </is>
      </c>
      <c r="F186" s="732" t="inlineStr">
        <is>
          <t>CO</t>
        </is>
      </c>
      <c r="G186" s="732" t="inlineStr">
        <is>
          <t>Self-Storage</t>
        </is>
      </c>
      <c r="H186" s="732" t="inlineStr">
        <is>
          <t>Self-Storage</t>
        </is>
      </c>
      <c r="I186" s="733" t="n">
        <v>1984</v>
      </c>
      <c r="J186" s="733" t="n">
        <v>63989</v>
      </c>
      <c r="K186" s="733" t="n">
        <v>2024</v>
      </c>
      <c r="L186" s="734" t="n">
        <v>15.0547</v>
      </c>
      <c r="M186" s="734" t="n">
        <v>0.1953</v>
      </c>
      <c r="N186" s="734" t="n">
        <v>12.9919</v>
      </c>
      <c r="O186" s="732" t="n"/>
      <c r="P186" s="732" t="n"/>
      <c r="Q186" s="732" t="n"/>
      <c r="R186" s="732" t="n"/>
      <c r="S186" s="732" t="n"/>
      <c r="T186" s="732" t="n"/>
      <c r="U186" s="732" t="n"/>
      <c r="V186" s="732" t="n"/>
      <c r="W186" s="732" t="n"/>
      <c r="X186" s="732" t="n"/>
      <c r="Y186" s="732" t="n"/>
      <c r="Z186" s="732" t="n"/>
      <c r="AA186" s="732" t="n"/>
      <c r="AB186" s="732" t="n"/>
      <c r="AC186" s="732" t="n"/>
      <c r="AD186" s="732" t="n"/>
      <c r="AE186" s="732" t="n"/>
      <c r="AF186" s="732" t="n"/>
      <c r="AG186" s="732" t="n"/>
      <c r="AH186" s="734" t="n">
        <v>2.5984</v>
      </c>
      <c r="AI186" s="732" t="n"/>
      <c r="AJ186" s="734" t="n">
        <v>3.118</v>
      </c>
      <c r="AK186" s="734" t="n">
        <v>9.873799999999999</v>
      </c>
      <c r="AL186" s="734" t="n">
        <v>0.5197000000000001</v>
      </c>
      <c r="AM186" s="735"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696" t="inlineStr">
        <is>
          <t>14701 E 38th Ave</t>
        </is>
      </c>
      <c r="E187" s="696" t="inlineStr">
        <is>
          <t>Aurora</t>
        </is>
      </c>
      <c r="F187" s="696" t="inlineStr">
        <is>
          <t>CO</t>
        </is>
      </c>
      <c r="G187" s="696" t="inlineStr">
        <is>
          <t>Industrial</t>
        </is>
      </c>
      <c r="H187" s="696"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724" t="inlineStr">
        <is>
          <t>I&amp;E Survey 2024; owner-user; CAUTION: expenses likely include non-RE business costs (mgmt $452k + utils $372k very high); 117,280 SF</t>
        </is>
      </c>
    </row>
    <row r="188" ht="14.1" customHeight="1">
      <c r="A188" s="718" t="inlineStr">
        <is>
          <t>P097</t>
        </is>
      </c>
      <c r="B188" s="695" t="n">
        <v>210</v>
      </c>
      <c r="C188" s="718" t="inlineStr">
        <is>
          <t>R0137586</t>
        </is>
      </c>
      <c r="D188" s="718" t="inlineStr">
        <is>
          <t>7273-7285 E 96th Ave</t>
        </is>
      </c>
      <c r="E188" s="718" t="inlineStr">
        <is>
          <t>Commerce City</t>
        </is>
      </c>
      <c r="F188" s="718" t="inlineStr">
        <is>
          <t>CO</t>
        </is>
      </c>
      <c r="G188" s="718" t="inlineStr">
        <is>
          <t>Industrial</t>
        </is>
      </c>
      <c r="H188" s="718" t="inlineStr">
        <is>
          <t>Multi-Tenant Industrial</t>
        </is>
      </c>
      <c r="I188" s="719" t="n"/>
      <c r="J188" s="719" t="n">
        <v>57200</v>
      </c>
      <c r="K188" s="719" t="n">
        <v>2023</v>
      </c>
      <c r="L188" s="720" t="n">
        <v>14.0542</v>
      </c>
      <c r="M188" s="718" t="n"/>
      <c r="N188" s="718" t="n"/>
      <c r="O188" s="720" t="n">
        <v>0.2194</v>
      </c>
      <c r="P188" s="720" t="n">
        <v>0.9815</v>
      </c>
      <c r="Q188" s="718" t="n"/>
      <c r="R188" s="718" t="n"/>
      <c r="S188" s="718" t="n"/>
      <c r="T188" s="718" t="n"/>
      <c r="U188" s="718" t="n"/>
      <c r="V188" s="718" t="n"/>
      <c r="W188" s="718" t="n"/>
      <c r="X188" s="720" t="n">
        <v>0.6945</v>
      </c>
      <c r="Y188" s="720" t="n">
        <v>0.6945</v>
      </c>
      <c r="Z188" s="720" t="n">
        <v>0.3918</v>
      </c>
      <c r="AA188" s="720" t="n">
        <v>0.0257</v>
      </c>
      <c r="AB188" s="718" t="n"/>
      <c r="AC188" s="720" t="n">
        <v>0.4175</v>
      </c>
      <c r="AD188" s="718" t="n"/>
      <c r="AE188" s="720" t="n">
        <v>0.1169</v>
      </c>
      <c r="AF188" s="720" t="n">
        <v>0.1169</v>
      </c>
      <c r="AG188" s="718" t="n"/>
      <c r="AH188" s="720" t="n">
        <v>2.4266</v>
      </c>
      <c r="AI188" s="718" t="n"/>
      <c r="AJ188" s="720" t="n">
        <v>2.4266</v>
      </c>
      <c r="AK188" s="718" t="n"/>
      <c r="AL188" s="718" t="n"/>
      <c r="AM188" s="721" t="inlineStr">
        <is>
          <t>I&amp;E Survey 2023; modified lease; 57,200 SF; total expenses approx (excludes RE taxes not reported)</t>
        </is>
      </c>
    </row>
    <row r="189" ht="14.1" customHeight="1">
      <c r="A189" s="696" t="inlineStr">
        <is>
          <t>P098</t>
        </is>
      </c>
      <c r="B189" s="695" t="n">
        <v>210</v>
      </c>
      <c r="C189" s="696" t="inlineStr">
        <is>
          <t>R0187010</t>
        </is>
      </c>
      <c r="D189" s="696" t="inlineStr">
        <is>
          <t>8020 Steele St</t>
        </is>
      </c>
      <c r="E189" s="696" t="inlineStr">
        <is>
          <t>Denver</t>
        </is>
      </c>
      <c r="F189" s="696" t="inlineStr">
        <is>
          <t>CO</t>
        </is>
      </c>
      <c r="G189" s="696" t="inlineStr">
        <is>
          <t>Industrial</t>
        </is>
      </c>
      <c r="H189" s="696"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724" t="inlineStr">
        <is>
          <t>I&amp;E Survey 2024; modified gross; owner pays ins/R&amp;M/mgmt only; tenant pays utils/trash; 70,000 SF; partial expense data</t>
        </is>
      </c>
    </row>
    <row r="190" ht="14.1" customHeight="1">
      <c r="A190" s="718" t="inlineStr">
        <is>
          <t>P099</t>
        </is>
      </c>
      <c r="B190" s="695" t="n">
        <v>210</v>
      </c>
      <c r="C190" s="718" t="inlineStr">
        <is>
          <t>R0111914</t>
        </is>
      </c>
      <c r="D190" s="718" t="inlineStr">
        <is>
          <t>1963 Jasper St</t>
        </is>
      </c>
      <c r="E190" s="718" t="inlineStr">
        <is>
          <t>Aurora</t>
        </is>
      </c>
      <c r="F190" s="718" t="inlineStr">
        <is>
          <t>CO</t>
        </is>
      </c>
      <c r="G190" s="718" t="inlineStr">
        <is>
          <t>Industrial</t>
        </is>
      </c>
      <c r="H190" s="718" t="inlineStr">
        <is>
          <t>Multi-Tenant Industrial Gross</t>
        </is>
      </c>
      <c r="I190" s="719" t="n"/>
      <c r="J190" s="719" t="n">
        <v>33574</v>
      </c>
      <c r="K190" s="719" t="n">
        <v>2024</v>
      </c>
      <c r="L190" s="720" t="n">
        <v>9.829000000000001</v>
      </c>
      <c r="M190" s="718" t="n"/>
      <c r="N190" s="720" t="n">
        <v>9.829000000000001</v>
      </c>
      <c r="O190" s="720" t="n">
        <v>0.2475</v>
      </c>
      <c r="P190" s="720" t="n">
        <v>0.4915</v>
      </c>
      <c r="Q190" s="718" t="n"/>
      <c r="R190" s="718" t="n"/>
      <c r="S190" s="718" t="n"/>
      <c r="T190" s="718" t="n"/>
      <c r="U190" s="718" t="n"/>
      <c r="V190" s="718" t="n"/>
      <c r="W190" s="718" t="n"/>
      <c r="X190" s="720" t="n">
        <v>0.5624</v>
      </c>
      <c r="Y190" s="720" t="n">
        <v>0.5624</v>
      </c>
      <c r="Z190" s="720" t="n">
        <v>0.2949</v>
      </c>
      <c r="AA190" s="720" t="n">
        <v>0.3366</v>
      </c>
      <c r="AB190" s="718" t="n"/>
      <c r="AC190" s="720" t="n">
        <v>0.6314</v>
      </c>
      <c r="AD190" s="718" t="n"/>
      <c r="AE190" s="720" t="n">
        <v>0.3437</v>
      </c>
      <c r="AF190" s="720" t="n">
        <v>0.3437</v>
      </c>
      <c r="AG190" s="718" t="n"/>
      <c r="AH190" s="720" t="n">
        <v>2.2765</v>
      </c>
      <c r="AI190" s="718" t="n"/>
      <c r="AJ190" s="720" t="n">
        <v>2.2765</v>
      </c>
      <c r="AK190" s="720" t="n">
        <v>7.5525</v>
      </c>
      <c r="AL190" s="718" t="n"/>
      <c r="AM190" s="721" t="inlineStr">
        <is>
          <t>I&amp;E Survey 2024; gross lease (tenant pays gas/elec); approx NOI = GRI minus owner expenses; 33,574 SF</t>
        </is>
      </c>
    </row>
    <row r="191" ht="14.1" customHeight="1">
      <c r="A191" s="736" t="inlineStr">
        <is>
          <t>P100</t>
        </is>
      </c>
      <c r="B191" s="695" t="n">
        <v>1332</v>
      </c>
      <c r="C191" s="736" t="inlineStr">
        <is>
          <t>R0111965</t>
        </is>
      </c>
      <c r="D191" s="736" t="inlineStr">
        <is>
          <t>12101 Grant St</t>
        </is>
      </c>
      <c r="E191" s="736" t="inlineStr">
        <is>
          <t>Thornton</t>
        </is>
      </c>
      <c r="F191" s="736" t="inlineStr">
        <is>
          <t>CO</t>
        </is>
      </c>
      <c r="G191" s="736" t="inlineStr">
        <is>
          <t>Hospitality</t>
        </is>
      </c>
      <c r="H191" s="736" t="inlineStr">
        <is>
          <t>Hotel Limited Service</t>
        </is>
      </c>
      <c r="I191" s="737" t="n">
        <v>1998</v>
      </c>
      <c r="J191" s="737" t="n"/>
      <c r="K191" s="737" t="n">
        <v>2024</v>
      </c>
      <c r="L191" s="738" t="n">
        <v>3007421</v>
      </c>
      <c r="M191" s="736" t="n"/>
      <c r="N191" s="738" t="n">
        <v>3007421</v>
      </c>
      <c r="O191" s="738" t="n">
        <v>45111</v>
      </c>
      <c r="P191" s="736" t="n"/>
      <c r="Q191" s="736" t="n"/>
      <c r="R191" s="736" t="n"/>
      <c r="S191" s="736" t="n"/>
      <c r="T191" s="736" t="n"/>
      <c r="U191" s="736" t="n"/>
      <c r="V191" s="736" t="n"/>
      <c r="W191" s="736" t="n"/>
      <c r="X191" s="736" t="n"/>
      <c r="Y191" s="736" t="n"/>
      <c r="Z191" s="736" t="n"/>
      <c r="AA191" s="736" t="n"/>
      <c r="AB191" s="736" t="n"/>
      <c r="AC191" s="736" t="n"/>
      <c r="AD191" s="736" t="n"/>
      <c r="AE191" s="736" t="n"/>
      <c r="AF191" s="736" t="n"/>
      <c r="AG191" s="738" t="n">
        <v>1975907</v>
      </c>
      <c r="AH191" s="738" t="n">
        <v>2143856</v>
      </c>
      <c r="AI191" s="736" t="n"/>
      <c r="AJ191" s="738" t="n">
        <v>2143856</v>
      </c>
      <c r="AK191" s="738" t="n">
        <v>863565</v>
      </c>
      <c r="AL191" s="736" t="n"/>
      <c r="AM191" s="739" t="inlineStr">
        <is>
          <t>[NO SF] Appraiser Rushmore income approach (AXG CBOE 2024); 100 rooms; ADR $115; occ 70%; RevPAR $80.50; loaded cap 11.30%; RE prop value ~$7.49M. Total Revenue breakout: Rooms+F&amp;B+Other</t>
        </is>
      </c>
    </row>
    <row r="192" ht="14.1" customHeight="1">
      <c r="A192" s="736" t="inlineStr">
        <is>
          <t>P101</t>
        </is>
      </c>
      <c r="B192" s="695" t="n">
        <v>332</v>
      </c>
      <c r="C192" s="736" t="inlineStr">
        <is>
          <t>R0202410</t>
        </is>
      </c>
      <c r="D192" s="736" t="inlineStr">
        <is>
          <t>2556 Oswego St</t>
        </is>
      </c>
      <c r="E192" s="736" t="inlineStr">
        <is>
          <t>Aurora</t>
        </is>
      </c>
      <c r="F192" s="736" t="inlineStr">
        <is>
          <t>CO</t>
        </is>
      </c>
      <c r="G192" s="736" t="inlineStr">
        <is>
          <t>Hospitality</t>
        </is>
      </c>
      <c r="H192" s="736" t="inlineStr">
        <is>
          <t>Hotel Full Service</t>
        </is>
      </c>
      <c r="I192" s="737" t="n">
        <v>2023</v>
      </c>
      <c r="J192" s="737" t="n"/>
      <c r="K192" s="737" t="n">
        <v>2024</v>
      </c>
      <c r="L192" s="738" t="n">
        <v>11899487</v>
      </c>
      <c r="M192" s="736" t="n"/>
      <c r="N192" s="738" t="n">
        <v>11899487</v>
      </c>
      <c r="O192" s="738" t="n">
        <v>154693</v>
      </c>
      <c r="P192" s="736" t="n"/>
      <c r="Q192" s="736" t="n"/>
      <c r="R192" s="736" t="n"/>
      <c r="S192" s="736" t="n"/>
      <c r="T192" s="736" t="n"/>
      <c r="U192" s="736" t="n"/>
      <c r="V192" s="736" t="n"/>
      <c r="W192" s="736" t="n"/>
      <c r="X192" s="736" t="n"/>
      <c r="Y192" s="736" t="n"/>
      <c r="Z192" s="736" t="n"/>
      <c r="AA192" s="736" t="n"/>
      <c r="AB192" s="736" t="n"/>
      <c r="AC192" s="736" t="n"/>
      <c r="AD192" s="736" t="n"/>
      <c r="AE192" s="736" t="n"/>
      <c r="AF192" s="736" t="n"/>
      <c r="AG192" s="738" t="n">
        <v>8760469</v>
      </c>
      <c r="AH192" s="738" t="n">
        <v>8915468</v>
      </c>
      <c r="AI192" s="736" t="n"/>
      <c r="AJ192" s="738" t="n">
        <v>9391447</v>
      </c>
      <c r="AK192" s="738" t="n">
        <v>2984019</v>
      </c>
      <c r="AL192" s="738" t="n">
        <v>475979</v>
      </c>
      <c r="AM192" s="739" t="inlineStr">
        <is>
          <t>[NO SF] Appraiser Rushmore income approach (AXG CBOE 2024); 227 rooms; built 2023; ADR $140; occ 70%; RevPAR $98; loaded cap 12.45%; RE value ~$23.47M (less FF&amp;E)</t>
        </is>
      </c>
    </row>
    <row r="193" ht="14.1" customHeight="1">
      <c r="A193" s="736" t="inlineStr">
        <is>
          <t>P102</t>
        </is>
      </c>
      <c r="B193" s="695" t="n">
        <v>332</v>
      </c>
      <c r="C193" s="736" t="inlineStr">
        <is>
          <t>R0024498</t>
        </is>
      </c>
      <c r="D193" s="736" t="inlineStr">
        <is>
          <t>83 E 120th Ave</t>
        </is>
      </c>
      <c r="E193" s="736" t="inlineStr">
        <is>
          <t>Thornton</t>
        </is>
      </c>
      <c r="F193" s="736" t="inlineStr">
        <is>
          <t>CO</t>
        </is>
      </c>
      <c r="G193" s="736" t="inlineStr">
        <is>
          <t>Hospitality</t>
        </is>
      </c>
      <c r="H193" s="736" t="inlineStr">
        <is>
          <t>Hotel Full Service</t>
        </is>
      </c>
      <c r="I193" s="737" t="n">
        <v>1984</v>
      </c>
      <c r="J193" s="737" t="n">
        <v>114796</v>
      </c>
      <c r="K193" s="737" t="n">
        <v>2024</v>
      </c>
      <c r="L193" s="740" t="n">
        <v>66.4378</v>
      </c>
      <c r="M193" s="736" t="n"/>
      <c r="N193" s="740" t="n">
        <v>66.4378</v>
      </c>
      <c r="O193" s="740" t="n">
        <v>0.8637</v>
      </c>
      <c r="P193" s="736" t="n"/>
      <c r="Q193" s="736" t="n"/>
      <c r="R193" s="736" t="n"/>
      <c r="S193" s="736" t="n"/>
      <c r="T193" s="736" t="n"/>
      <c r="U193" s="736" t="n"/>
      <c r="V193" s="736" t="n"/>
      <c r="W193" s="736" t="n"/>
      <c r="X193" s="736" t="n"/>
      <c r="Y193" s="736" t="n"/>
      <c r="Z193" s="736" t="n"/>
      <c r="AA193" s="736" t="n"/>
      <c r="AB193" s="736" t="n"/>
      <c r="AC193" s="736" t="n"/>
      <c r="AD193" s="736" t="n"/>
      <c r="AE193" s="736" t="n"/>
      <c r="AF193" s="736" t="n"/>
      <c r="AG193" s="740" t="n">
        <v>48.7513</v>
      </c>
      <c r="AH193" s="740" t="n">
        <v>51.4075</v>
      </c>
      <c r="AI193" s="736" t="n"/>
      <c r="AJ193" s="740" t="n">
        <v>54.0651</v>
      </c>
      <c r="AK193" s="740" t="n">
        <v>15.0303</v>
      </c>
      <c r="AL193" s="740" t="n">
        <v>2.6575</v>
      </c>
      <c r="AM193" s="739" t="inlineStr">
        <is>
          <t>Appraiser Rushmore income approach (AXG CBOE 2024); 137 rooms; 114,796 SF; 2 bldgs; 1984 YOC; ADR $142; occ 70%; loaded cap 10.56%; RE value $15.78M (less FF&amp;E); STR data: occ ~73%, ADR ~$147-161</t>
        </is>
      </c>
    </row>
    <row r="194" ht="14.1" customHeight="1">
      <c r="A194" s="718" t="inlineStr">
        <is>
          <t>P103</t>
        </is>
      </c>
      <c r="B194" s="695" t="n">
        <v>407</v>
      </c>
      <c r="C194" s="718" t="inlineStr">
        <is>
          <t>R0075212</t>
        </is>
      </c>
      <c r="D194" s="718" t="inlineStr">
        <is>
          <t>10500 Havana Ct</t>
        </is>
      </c>
      <c r="E194" s="718" t="inlineStr">
        <is>
          <t>Commerce City</t>
        </is>
      </c>
      <c r="F194" s="718" t="inlineStr">
        <is>
          <t>CO</t>
        </is>
      </c>
      <c r="G194" s="718" t="inlineStr">
        <is>
          <t>Industrial</t>
        </is>
      </c>
      <c r="H194" s="718" t="inlineStr">
        <is>
          <t>Industrial NNN</t>
        </is>
      </c>
      <c r="I194" s="719" t="n"/>
      <c r="J194" s="719" t="n">
        <v>30000</v>
      </c>
      <c r="K194" s="719" t="n">
        <v>2024</v>
      </c>
      <c r="L194" s="720" t="n">
        <v>8.4</v>
      </c>
      <c r="M194" s="718" t="n"/>
      <c r="N194" s="718" t="n"/>
      <c r="O194" s="720" t="n">
        <v>0.7568</v>
      </c>
      <c r="P194" s="720" t="n">
        <v>0.3167</v>
      </c>
      <c r="Q194" s="718" t="n"/>
      <c r="R194" s="718" t="n"/>
      <c r="S194" s="718" t="n"/>
      <c r="T194" s="718" t="n"/>
      <c r="U194" s="718" t="n"/>
      <c r="V194" s="718" t="n"/>
      <c r="W194" s="718" t="n"/>
      <c r="X194" s="720" t="n">
        <v>0.3647</v>
      </c>
      <c r="Y194" s="720" t="n">
        <v>0.3647</v>
      </c>
      <c r="Z194" s="720" t="n">
        <v>0.1164</v>
      </c>
      <c r="AA194" s="720" t="n">
        <v>0.2303</v>
      </c>
      <c r="AB194" s="718" t="n"/>
      <c r="AC194" s="720" t="n">
        <v>0.3468</v>
      </c>
      <c r="AD194" s="718" t="n"/>
      <c r="AE194" s="720" t="n">
        <v>0.06519999999999999</v>
      </c>
      <c r="AF194" s="720" t="n">
        <v>0.06519999999999999</v>
      </c>
      <c r="AG194" s="718" t="n"/>
      <c r="AH194" s="720" t="n">
        <v>1.8501</v>
      </c>
      <c r="AI194" s="718" t="n"/>
      <c r="AJ194" s="720" t="n">
        <v>1.8501</v>
      </c>
      <c r="AK194" s="718" t="n"/>
      <c r="AL194" s="718" t="n"/>
      <c r="AM194" s="721" t="inlineStr">
        <is>
          <t>I&amp;E Survey 2024; NNN lease; owner-reported; 30,000 SF; no NOI computed (no EGI reported)</t>
        </is>
      </c>
    </row>
    <row r="195" ht="14.1" customHeight="1">
      <c r="A195" s="696" t="inlineStr">
        <is>
          <t>P089</t>
        </is>
      </c>
      <c r="B195" s="695" t="n">
        <v>407</v>
      </c>
      <c r="C195" s="696" t="inlineStr">
        <is>
          <t>R0180951</t>
        </is>
      </c>
      <c r="D195" s="696" t="inlineStr">
        <is>
          <t>21200 E 36th Dr</t>
        </is>
      </c>
      <c r="E195" s="696" t="inlineStr">
        <is>
          <t>Aurora</t>
        </is>
      </c>
      <c r="F195" s="696" t="inlineStr">
        <is>
          <t>CO</t>
        </is>
      </c>
      <c r="G195" s="696" t="inlineStr">
        <is>
          <t>Industrial</t>
        </is>
      </c>
      <c r="H195" s="696"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724" t="inlineStr">
        <is>
          <t>MT.xlsx 2024 survey — DETAIL UPDATE for R0180951; R&amp;M $38,871/Grd Maint $11,809/Snow-Trash $13,785 additional breakdown (matches WH Expenses totals)</t>
        </is>
      </c>
    </row>
    <row r="196" ht="14.1" customHeight="1">
      <c r="A196" s="718" t="inlineStr">
        <is>
          <t>P104</t>
        </is>
      </c>
      <c r="B196" s="695" t="n">
        <v>210</v>
      </c>
      <c r="C196" s="718" t="inlineStr">
        <is>
          <t>R0226379</t>
        </is>
      </c>
      <c r="D196" s="718" t="inlineStr">
        <is>
          <t>26100 E 68th Ave</t>
        </is>
      </c>
      <c r="E196" s="718" t="inlineStr">
        <is>
          <t>Aurora</t>
        </is>
      </c>
      <c r="F196" s="718" t="inlineStr">
        <is>
          <t>CO</t>
        </is>
      </c>
      <c r="G196" s="718" t="inlineStr">
        <is>
          <t>Industrial</t>
        </is>
      </c>
      <c r="H196" s="718" t="inlineStr">
        <is>
          <t>Industrial Multi-Tenant</t>
        </is>
      </c>
      <c r="I196" s="719" t="n"/>
      <c r="J196" s="719" t="n">
        <v>187720</v>
      </c>
      <c r="K196" s="719" t="n">
        <v>2024</v>
      </c>
      <c r="L196" s="720" t="n">
        <v>7.35</v>
      </c>
      <c r="M196" s="720" t="n">
        <v>6.1013</v>
      </c>
      <c r="N196" s="720" t="n">
        <v>13.4512</v>
      </c>
      <c r="O196" s="720" t="n">
        <v>0.9408</v>
      </c>
      <c r="P196" s="720" t="n">
        <v>0.6045</v>
      </c>
      <c r="Q196" s="718" t="n"/>
      <c r="R196" s="718" t="n"/>
      <c r="S196" s="720" t="n">
        <v>0.091</v>
      </c>
      <c r="T196" s="720" t="n">
        <v>0.0133</v>
      </c>
      <c r="U196" s="718" t="n"/>
      <c r="V196" s="720" t="n">
        <v>0.0316</v>
      </c>
      <c r="W196" s="720" t="n">
        <v>0.073</v>
      </c>
      <c r="X196" s="720" t="n">
        <v>0.08649999999999999</v>
      </c>
      <c r="Y196" s="720" t="n">
        <v>0.2954</v>
      </c>
      <c r="Z196" s="718" t="n"/>
      <c r="AA196" s="720" t="n">
        <v>0.0495</v>
      </c>
      <c r="AB196" s="720" t="n">
        <v>0.1714</v>
      </c>
      <c r="AC196" s="720" t="n">
        <v>0.3656</v>
      </c>
      <c r="AD196" s="720" t="n">
        <v>0.1559</v>
      </c>
      <c r="AE196" s="720" t="n">
        <v>0.0609</v>
      </c>
      <c r="AF196" s="720" t="n">
        <v>0.2168</v>
      </c>
      <c r="AG196" s="720" t="n">
        <v>0.0238</v>
      </c>
      <c r="AH196" s="720" t="n">
        <v>3.1568</v>
      </c>
      <c r="AI196" s="720" t="n">
        <v>3.6317</v>
      </c>
      <c r="AJ196" s="720" t="n">
        <v>6.7886</v>
      </c>
      <c r="AK196" s="720" t="n">
        <v>6.6627</v>
      </c>
      <c r="AL196" s="718" t="n"/>
      <c r="AM196" s="721"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696" t="inlineStr">
        <is>
          <t>26100 E 68th Ave</t>
        </is>
      </c>
      <c r="E197" s="696" t="inlineStr">
        <is>
          <t>Aurora</t>
        </is>
      </c>
      <c r="F197" s="696" t="inlineStr">
        <is>
          <t>CO</t>
        </is>
      </c>
      <c r="G197" s="696" t="inlineStr">
        <is>
          <t>Industrial</t>
        </is>
      </c>
      <c r="H197" s="696"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724"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2026-07-10T04:14:34Z</dcterms:modified>
  <cp:lastModifiedBy>Armon Goldanloo</cp:lastModifiedBy>
  <cp:lastPrinted>2021-04-29T19:41:45Z</cp:lastPrinted>
</cp:coreProperties>
</file>