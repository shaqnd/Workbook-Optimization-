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 sheetId="1" state="visible" r:id="rId1"/>
    <sheet name="WO" sheetId="2" state="visible" r:id="rId2"/>
    <sheet name="BAA Market" sheetId="3" state="visible" r:id="rId3"/>
    <sheet name="BAA Rent" sheetId="4" state="visible" r:id="rId4"/>
    <sheet name="Appeal" sheetId="5" state="visible" r:id="rId5"/>
    <sheet name="BOCC" sheetId="6" state="visible" r:id="rId6"/>
    <sheet name="M&amp;S Inputs" sheetId="7" state="visible" r:id="rId7"/>
    <sheet name="Cost Approach" sheetId="8" state="visible" r:id="rId8"/>
    <sheet name="Sales" sheetId="9" state="visible" r:id="rId9"/>
    <sheet name="Income" sheetId="10" state="visible" r:id="rId10"/>
    <sheet name="Codes" sheetId="11" state="visible" r:id="rId11"/>
  </sheets>
  <externalReferences>
    <externalReference r:id="rId12"/>
    <externalReference r:id="rId13"/>
    <externalReference r:id="rId14"/>
    <externalReference r:id="rId1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BC_OCC">'M&amp;S Inputs'!$B$30:$B$289</definedName>
    <definedName name="BC_KEY">'M&amp;S Inputs'!$I$30:$I$289</definedName>
    <definedName name="BC_VALUE">'M&amp;S Inputs'!$H$30:$H$289</definedName>
    <definedName name="BC_CITE">'M&amp;S Inputs'!$M$30:$M$289</definedName>
    <definedName name="OCC_NAME">'M&amp;S Inputs'!$B$293:$B$310</definedName>
    <definedName name="OCC_CODE">'M&amp;S Inputs'!$C$293:$C$310</definedName>
    <definedName name="OCC_SECTION">'M&amp;S Inputs'!$D$293:$D$310</definedName>
    <definedName name="OCC_PAGE">'M&amp;S Inputs'!$E$293:$E$310</definedName>
    <definedName name="OCC_STORY">'M&amp;S Inputs'!$F$293:$F$310</definedName>
    <definedName name="SH14_H">'M&amp;S Inputs'!$C$314:$C$337</definedName>
    <definedName name="SH14_M">'M&amp;S Inputs'!$D$314:$D$337</definedName>
    <definedName name="SH13_H">'M&amp;S Inputs'!$C$340:$C$357</definedName>
    <definedName name="SH13_M">'M&amp;S Inputs'!$D$340:$D$357</definedName>
    <definedName name="SH15_H">'M&amp;S Inputs'!$C$360:$C$374</definedName>
    <definedName name="SH15_M">'M&amp;S Inputs'!$D$360:$D$374</definedName>
    <definedName name="SH11_H">'M&amp;S Inputs'!$C$377:$C$392</definedName>
    <definedName name="SH11_M">'M&amp;S Inputs'!$D$377:$D$392</definedName>
    <definedName name="SPR_HDR">'M&amp;S Inputs'!$C$396:$F$396</definedName>
    <definedName name="SPR14_SF">'M&amp;S Inputs'!$C$398:$C$417</definedName>
    <definedName name="SPR14_VALS">'M&amp;S Inputs'!$D$398:$K$417</definedName>
    <definedName name="SPR13_SF">'M&amp;S Inputs'!$C$420:$C$437</definedName>
    <definedName name="SPR13_VALS">'M&amp;S Inputs'!$D$420:$K$437</definedName>
    <definedName name="SPR15_SF">'M&amp;S Inputs'!$C$440:$C$447</definedName>
    <definedName name="SPR15_VALS">'M&amp;S Inputs'!$D$440:$K$447</definedName>
    <definedName name="CCM_SECTIONHDR">'M&amp;S Inputs'!$D$492:$K$492</definedName>
    <definedName name="CCM_CLASS">'M&amp;S Inputs'!$C$503:$C$507</definedName>
    <definedName name="CCM_VALUES">'M&amp;S Inputs'!$D$503:$K$507</definedName>
    <definedName name="LAM_CLASSHDR">'M&amp;S Inputs'!$C$510:$G$510</definedName>
    <definedName name="LAM_CITY">'M&amp;S Inputs'!$B$511:$B$532</definedName>
    <definedName name="LAM_VALUES">'M&amp;S Inputs'!$C$511:$G$532</definedName>
    <definedName name="DEN_CLASSHDR">'M&amp;S Inputs'!$C$536:$G$536</definedName>
    <definedName name="DEN_LABEL">'M&amp;S Inputs'!$B$537:$B$549</definedName>
    <definedName name="DEN_VALUES">'M&amp;S Inputs'!$C$537:$G$549</definedName>
    <definedName name="LIFE_CLASSHDR">'M&amp;S Inputs'!$D$553:$H$553</definedName>
    <definedName name="LIFE_KEY">'M&amp;S Inputs'!$I$554:$I$623</definedName>
    <definedName name="LIFE_VALUES">'M&amp;S Inputs'!$D$554:$H$623</definedName>
    <definedName name="DEPR_LIFEHDR">'M&amp;S Inputs'!$C$627:$L$627</definedName>
    <definedName name="DEPR_AGE">'M&amp;S Inputs'!$B$628:$B$673</definedName>
    <definedName name="DEPR_VALUES">'M&amp;S Inputs'!$C$628:$L$673</definedName>
    <definedName name="caRCN">'Cost Approach'!$G$51</definedName>
    <definedName name="caRCNDeprec">'Cost Approach'!$G$64</definedName>
    <definedName name="caValue">'Cost Approach'!$G$69</definedName>
    <definedName name="_xlnm.Print_Area" localSheetId="1">'WO'!$A$2:$H$56</definedName>
    <definedName name="_Fill" localSheetId="2" hidden="1">[1]Vertical!#REF!</definedName>
    <definedName name="_Key1" localSheetId="2" hidden="1">[1]Vertical!#REF!</definedName>
    <definedName name="_Key2" localSheetId="2" hidden="1">[1]Vertical!#REF!</definedName>
    <definedName name="_Sort" localSheetId="2" hidden="1">[1]Vertical!#REF!</definedName>
    <definedName name="_Fill" localSheetId="3" hidden="1">#REF!</definedName>
    <definedName name="_Key1" localSheetId="3" hidden="1">#REF!</definedName>
    <definedName name="_Key2" localSheetId="3" hidden="1">#REF!</definedName>
    <definedName name="_Sort" localSheetId="3" hidden="1">#REF!</definedName>
    <definedName name="AdjRent1" localSheetId="3">'BAA Rent'!$G$23:$G$41</definedName>
    <definedName name="Location" localSheetId="3">[3]Codes!$G$1:$H$53</definedName>
    <definedName name="rent1" localSheetId="3">'BAA Rent'!$A$18</definedName>
    <definedName name="rent2" localSheetId="3">'BAA Rent'!$A$22</definedName>
    <definedName name="Subj" localSheetId="3">'BAA Rent'!$A$9</definedName>
    <definedName name="_Key1" localSheetId="4" hidden="1">[2]Sales!#REF!</definedName>
    <definedName name="_Key2" localSheetId="4" hidden="1">[2]Sales!#REF!</definedName>
    <definedName name="_Sort" localSheetId="4" hidden="1">[2]Sales!#REF!</definedName>
    <definedName name="Class" localSheetId="4">[2]Sales!#REF!</definedName>
    <definedName name="RENT" localSheetId="4">[2]Sales!#REF!</definedName>
    <definedName name="Rent_Title" localSheetId="4">[2]Sales!#REF!</definedName>
    <definedName name="SALES" localSheetId="4">[2]Sales!#REF!</definedName>
    <definedName name="SCH" localSheetId="4">[2]Sales!#REF!</definedName>
    <definedName name="_xlnm._FilterDatabase" localSheetId="8" hidden="1">'Sales'!$A$1:$AH$941</definedName>
    <definedName name="_xlnm.Print_Area" localSheetId="8">'Sales'!$A$1:$AC$5</definedName>
    <definedName name="_xlnm._FilterDatabase" localSheetId="9" hidden="1">'Income'!$A$1:$AK$1019</definedName>
    <definedName name="_xlnm.Print_Area" localSheetId="9">'Income'!$A$1:$AK$285</definedName>
  </definedNames>
  <calcPr calcId="191029" fullCalcOnLoad="1"/>
</workbook>
</file>

<file path=xl/styles.xml><?xml version="1.0" encoding="utf-8"?>
<styleSheet xmlns="http://schemas.openxmlformats.org/spreadsheetml/2006/main">
  <numFmts count="16">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s>
  <fonts count="89">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s>
  <fills count="19">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s>
  <borders count="64">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688">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1">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externalLink" Target="/xl/externalLinks/externalLink1.xml" Id="rId12" /><Relationship Type="http://schemas.openxmlformats.org/officeDocument/2006/relationships/externalLink" Target="/xl/externalLinks/externalLink2.xml" Id="rId13" /><Relationship Type="http://schemas.openxmlformats.org/officeDocument/2006/relationships/externalLink" Target="/xl/externalLinks/externalLink3.xml" Id="rId14" /><Relationship Type="http://schemas.openxmlformats.org/officeDocument/2006/relationships/externalLink" Target="/xl/externalLinks/externalLink4.xml" Id="rId15" /><Relationship Type="http://schemas.openxmlformats.org/officeDocument/2006/relationships/styles" Target="styles.xml" Id="rId16" /><Relationship Type="http://schemas.openxmlformats.org/officeDocument/2006/relationships/theme" Target="theme/theme1.xml" Id="rId17" /><Relationship Type="http://schemas.microsoft.com/office/2006/relationships/vbaProject" Target="vbaProject.bin" Id="rId18" /></Relationships>
</file>

<file path=xl/comments/comment1.xml><?xml version="1.0" encoding="utf-8"?>
<comments xmlns="http://schemas.openxmlformats.org/spreadsheetml/2006/main">
  <authors>
    <author>Debra K. Coak</author>
  </authors>
  <commentList>
    <comment ref="B1" authorId="0" shapeId="0">
      <text>
        <t xml:space="preserve">To Save Grid
1)Click Save button
2)Click File SaveAs
    new filename
   </t>
      </text>
    </comment>
  </commentList>
</comments>
</file>

<file path=xl/comments/comment2.xml><?xml version="1.0" encoding="utf-8"?>
<comments xmlns="http://schemas.openxmlformats.org/spreadsheetml/2006/main">
  <authors>
    <author> DEBRA K COAK</author>
  </authors>
  <commentList>
    <comment ref="D23" authorId="0" shapeId="0">
      <text>
        <t xml:space="preserve"> Type adjustment here, use minus sign for deduction
</t>
      </text>
    </comment>
    <comment ref="G24" authorId="0" shapeId="0">
      <text>
        <t xml:space="preserve"> Type adjustment here, use minus sign for deduction
</t>
      </text>
    </comment>
    <comment ref="D28" authorId="0" shapeId="0">
      <text>
        <t xml:space="preserve"> Type adjustment here, use minus sign for deduction
</t>
      </text>
    </comment>
    <comment ref="G29" authorId="0" shapeId="0">
      <text>
        <t xml:space="preserve"> Type adjustment here, use minus sign for deduction
</t>
      </text>
    </comment>
    <comment ref="D33" authorId="0" shapeId="0">
      <text>
        <t xml:space="preserve"> Type adjustment here, use minus sign for deduction
</t>
      </text>
    </comment>
    <comment ref="G34" authorId="0" shapeId="0">
      <text>
        <t xml:space="preserve"> Type adjustment here, use minus sign for deduction
</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3.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4.xml><?xml version="1.0" encoding="utf-8"?>
<comments xmlns="http://schemas.openxmlformats.org/spreadsheetml/2006/main">
  <authors>
    <author> DEBRA K COAK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List>
</comments>
</file>

<file path=xl/comments/comment5.xml><?xml version="1.0" encoding="utf-8"?>
<comments xmlns="http://schemas.openxmlformats.org/spreadsheetml/2006/main">
  <authors>
    <author> DEBRA K COAK</author>
  </authors>
  <commentList>
    <comment ref="H46" authorId="0" shapeId="0">
      <text>
        <t xml:space="preserve"> Check desired box
</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9.xml.rels><Relationships xmlns="http://schemas.openxmlformats.org/package/2006/relationships"><Relationship Type="http://schemas.openxmlformats.org/officeDocument/2006/relationships/vmlDrawing" Target="/xl/drawings/vmlDrawing7.vml" Id="anysvml" /></Relationships>
</file>

<file path=xl/worksheets/_rels/sheet10.xml.rels><Relationships xmlns="http://schemas.openxmlformats.org/package/2006/relationships"><Relationship Type="http://schemas.openxmlformats.org/officeDocument/2006/relationships/vmlDrawing" Target="/xl/drawings/vmlDrawing8.vml" Id="anysvml" /></Relationships>
</file>

<file path=xl/worksheets/sheet1.xml><?xml version="1.0" encoding="utf-8"?>
<worksheet xmlns="http://schemas.openxmlformats.org/spreadsheetml/2006/main">
  <sheetPr codeName="Sheet6">
    <outlinePr summaryBelow="1" summaryRight="1"/>
    <pageSetUpPr/>
  </sheetPr>
  <dimension ref="A1:O8"/>
  <sheetViews>
    <sheetView showGridLines="0" workbookViewId="0">
      <selection activeCell="C21" sqref="C21"/>
    </sheetView>
  </sheetViews>
  <sheetFormatPr baseColWidth="8" defaultColWidth="9.1640625" defaultRowHeight="14.25"/>
  <cols>
    <col width="17.83203125" customWidth="1" style="229" min="1" max="1"/>
    <col width="9.1640625" customWidth="1" style="229" min="2" max="2"/>
    <col width="108.83203125" customWidth="1" style="229" min="3" max="3"/>
    <col width="9.1640625" customWidth="1" style="229" min="4" max="16384"/>
  </cols>
  <sheetData>
    <row r="1">
      <c r="A1" s="230" t="inlineStr">
        <is>
          <t>Click on the tab at the bottom to switch between worksheets</t>
        </is>
      </c>
    </row>
    <row r="2" ht="9" customHeight="1"/>
    <row r="3">
      <c r="A3" s="230" t="inlineStr">
        <is>
          <t>To print all sheets, click printer icon on toolbar.</t>
        </is>
      </c>
    </row>
    <row r="4" ht="9.6" customHeight="1"/>
    <row r="5" ht="40.9" customHeight="1">
      <c r="A5" s="473"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229" t="inlineStr">
        <is>
          <t>Appeal Year</t>
        </is>
      </c>
      <c r="B8" s="237" t="n">
        <v>2021</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2.xml><?xml version="1.0" encoding="utf-8"?>
<worksheet xmlns="http://schemas.openxmlformats.org/spreadsheetml/2006/main">
  <sheetPr codeName="Sheet1" transitionEvaluation="1" transitionEntry="1">
    <outlinePr summaryBelow="1" summaryRight="1"/>
    <pageSetUpPr fitToPage="1"/>
  </sheetPr>
  <dimension ref="A1:H55"/>
  <sheetViews>
    <sheetView showGridLines="0" workbookViewId="0">
      <selection activeCell="D13" sqref="D13"/>
    </sheetView>
  </sheetViews>
  <sheetFormatPr baseColWidth="8" defaultColWidth="9.6640625" defaultRowHeight="10.5"/>
  <cols>
    <col width="6.6640625" customWidth="1" min="1" max="1"/>
    <col width="29.6640625" customWidth="1" min="2" max="2"/>
    <col width="15" customWidth="1" min="3" max="3"/>
    <col width="21.1640625" customWidth="1" min="4" max="4"/>
    <col width="22.6640625" customWidth="1" min="5" max="5"/>
    <col width="26.33203125" customWidth="1" min="6" max="6"/>
    <col width="31.5" customWidth="1" min="7" max="7"/>
    <col width="32.83203125" customWidth="1" min="8" max="8"/>
  </cols>
  <sheetData>
    <row r="1" ht="23.45" customHeight="1">
      <c r="A1" s="5" t="n"/>
      <c r="B1" t="n"/>
      <c r="E1" s="1" t="inlineStr">
        <is>
          <t>y</t>
        </is>
      </c>
    </row>
    <row r="2" ht="25.5" customHeight="1">
      <c r="A2" s="225" t="inlineStr">
        <is>
          <t>MARKET SALES &amp; RENT COMPARABLES</t>
        </is>
      </c>
      <c r="B2" s="225" t="n"/>
      <c r="C2" s="225" t="n"/>
      <c r="D2" s="225" t="n"/>
      <c r="E2" s="225" t="n"/>
      <c r="F2" s="225" t="n"/>
      <c r="G2" s="225" t="n"/>
      <c r="H2" s="225"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8" t="inlineStr">
        <is>
          <t>SUBJECT  PROPERTY  INFORMATION</t>
        </is>
      </c>
      <c r="B7" s="9" t="n"/>
      <c r="C7" s="10" t="n"/>
      <c r="D7" s="10" t="n"/>
      <c r="E7" s="10" t="n"/>
      <c r="F7" s="10" t="n"/>
      <c r="G7" s="10" t="n"/>
      <c r="H7" s="11" t="n"/>
    </row>
    <row r="8" ht="12" customHeight="1">
      <c r="A8" s="12" t="n"/>
      <c r="B8" s="13" t="inlineStr">
        <is>
          <t>Account Number</t>
        </is>
      </c>
      <c r="C8" s="14" t="inlineStr">
        <is>
          <t>Ngbh</t>
        </is>
      </c>
      <c r="D8" s="14" t="inlineStr">
        <is>
          <t xml:space="preserve">Land Area </t>
        </is>
      </c>
      <c r="E8" s="15" t="inlineStr">
        <is>
          <t>Quality</t>
        </is>
      </c>
      <c r="F8" s="14" t="inlineStr">
        <is>
          <t>Rent / Sq Ft</t>
        </is>
      </c>
      <c r="G8" s="14" t="inlineStr">
        <is>
          <t>Subject Sale Information</t>
        </is>
      </c>
      <c r="H8" s="114" t="inlineStr">
        <is>
          <t>Parcel Number</t>
        </is>
      </c>
    </row>
    <row r="9" ht="12" customHeight="1">
      <c r="A9" s="12" t="n"/>
      <c r="B9" s="13" t="inlineStr">
        <is>
          <t>Property Address</t>
        </is>
      </c>
      <c r="C9" s="14" t="inlineStr">
        <is>
          <t>Zone</t>
        </is>
      </c>
      <c r="D9" s="14" t="inlineStr">
        <is>
          <t xml:space="preserve">L : B  Ratio </t>
        </is>
      </c>
      <c r="E9" s="15" t="inlineStr">
        <is>
          <t>Physical Condition</t>
        </is>
      </c>
      <c r="F9" s="14" t="inlineStr">
        <is>
          <t>Vacancy</t>
        </is>
      </c>
      <c r="G9" s="14" t="inlineStr">
        <is>
          <t>Last Sale Date</t>
        </is>
      </c>
      <c r="H9" s="16" t="inlineStr">
        <is>
          <t>Assigned Value / Sq Ft</t>
        </is>
      </c>
    </row>
    <row r="10" ht="12" customHeight="1">
      <c r="A10" s="18" t="n"/>
      <c r="B10" s="19" t="inlineStr">
        <is>
          <t>Property Type</t>
        </is>
      </c>
      <c r="C10" s="20" t="inlineStr">
        <is>
          <t>YOC</t>
        </is>
      </c>
      <c r="D10" s="20" t="inlineStr">
        <is>
          <t xml:space="preserve">Building Area </t>
        </is>
      </c>
      <c r="E10" s="21" t="inlineStr">
        <is>
          <t>Functional Utility</t>
        </is>
      </c>
      <c r="F10" s="20" t="inlineStr">
        <is>
          <t>Expense Ratio</t>
        </is>
      </c>
      <c r="G10" s="20" t="inlineStr">
        <is>
          <t>Last Sale Price</t>
        </is>
      </c>
      <c r="H10" s="22" t="inlineStr">
        <is>
          <t>Assigned Value</t>
        </is>
      </c>
    </row>
    <row r="11" ht="12" customHeight="1">
      <c r="A11" s="12" t="n"/>
      <c r="B11" s="91" t="n"/>
      <c r="C11" s="92" t="n"/>
      <c r="D11" s="93" t="inlineStr">
        <is>
          <t> </t>
        </is>
      </c>
      <c r="E11" s="94" t="n"/>
      <c r="F11" s="516" t="n"/>
      <c r="G11" s="62" t="n"/>
      <c r="H11" s="517" t="n"/>
    </row>
    <row r="12" ht="12" customHeight="1">
      <c r="A12" s="12" t="n"/>
      <c r="B12" s="91" t="n"/>
      <c r="C12" s="92" t="n"/>
      <c r="D12" s="65" t="inlineStr">
        <is>
          <t> </t>
        </is>
      </c>
      <c r="E12" s="94" t="n"/>
      <c r="F12" s="97" t="n"/>
      <c r="G12" s="105" t="n"/>
      <c r="H12" s="518">
        <f>IF(D13=0,0,ROUND(H13/D13,2))</f>
        <v/>
      </c>
    </row>
    <row r="13" ht="12" customHeight="1" thickBot="1">
      <c r="A13" s="23" t="n"/>
      <c r="B13" s="98" t="n"/>
      <c r="C13" s="99" t="n"/>
      <c r="D13" s="100" t="n"/>
      <c r="E13" s="101" t="n"/>
      <c r="F13" s="102" t="n"/>
      <c r="G13" s="519" t="n"/>
      <c r="H13" s="520"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8" t="inlineStr">
        <is>
          <t>MARKET  SALE  COMPARABLES</t>
        </is>
      </c>
      <c r="B16" s="9" t="n"/>
      <c r="C16" s="61" t="n"/>
      <c r="D16" s="61" t="n"/>
      <c r="E16" s="10" t="n"/>
      <c r="F16" s="61" t="n"/>
      <c r="G16" s="61" t="n"/>
      <c r="H16" s="78" t="n"/>
    </row>
    <row r="17" ht="12" customHeight="1">
      <c r="A17" s="24" t="n"/>
      <c r="B17" s="25" t="inlineStr">
        <is>
          <t>Account Number</t>
        </is>
      </c>
      <c r="C17" s="26" t="inlineStr">
        <is>
          <t>Ngbh</t>
        </is>
      </c>
      <c r="D17" s="27" t="inlineStr">
        <is>
          <t xml:space="preserve">Land Area </t>
        </is>
      </c>
      <c r="E17" s="28" t="inlineStr">
        <is>
          <t>Quality</t>
        </is>
      </c>
      <c r="F17" s="27" t="inlineStr">
        <is>
          <t xml:space="preserve">Sale Date </t>
        </is>
      </c>
      <c r="G17" s="29" t="inlineStr">
        <is>
          <t>Adj Sale Price / Sq Ft</t>
        </is>
      </c>
      <c r="H17" s="114" t="inlineStr">
        <is>
          <t>Parcel Number</t>
        </is>
      </c>
    </row>
    <row r="18" ht="12" customHeight="1">
      <c r="A18" s="12" t="n"/>
      <c r="B18" s="30" t="inlineStr">
        <is>
          <t>Property Address</t>
        </is>
      </c>
      <c r="C18" s="31" t="inlineStr">
        <is>
          <t>Zone</t>
        </is>
      </c>
      <c r="D18" s="32" t="inlineStr">
        <is>
          <t xml:space="preserve">L : B  Ratio </t>
        </is>
      </c>
      <c r="E18" s="33" t="inlineStr">
        <is>
          <t>Physical Condition</t>
        </is>
      </c>
      <c r="F18" s="32" t="inlineStr">
        <is>
          <t xml:space="preserve">Sale Price </t>
        </is>
      </c>
      <c r="G18" s="14" t="inlineStr">
        <is>
          <t>Net Adjustments</t>
        </is>
      </c>
      <c r="H18" s="16" t="inlineStr">
        <is>
          <t>Sale Remarks</t>
        </is>
      </c>
    </row>
    <row r="19" ht="12" customHeight="1">
      <c r="A19" s="34" t="inlineStr">
        <is>
          <t>#</t>
        </is>
      </c>
      <c r="B19" s="35" t="inlineStr">
        <is>
          <t>Property Type</t>
        </is>
      </c>
      <c r="C19" s="36" t="inlineStr">
        <is>
          <t>YOC</t>
        </is>
      </c>
      <c r="D19" s="37" t="inlineStr">
        <is>
          <t xml:space="preserve">Building Area </t>
        </is>
      </c>
      <c r="E19" s="38" t="inlineStr">
        <is>
          <t>Functional Utility</t>
        </is>
      </c>
      <c r="F19" s="37" t="inlineStr">
        <is>
          <t xml:space="preserve">Adjusted Sale Price </t>
        </is>
      </c>
      <c r="G19" s="20" t="inlineStr">
        <is>
          <t>Adj Value of Comp / Sq Ft</t>
        </is>
      </c>
      <c r="H19" s="22" t="inlineStr">
        <is>
          <t>Indicated Value of Subject</t>
        </is>
      </c>
    </row>
    <row r="20" ht="12" customHeight="1">
      <c r="A20" s="40" t="n"/>
      <c r="B20" s="41">
        <f>IF(Sales!C2="","",+" "&amp;Sales!C2)</f>
        <v/>
      </c>
      <c r="C20" s="62">
        <f>IF(Sales!F2="","",Sales!F2)</f>
        <v/>
      </c>
      <c r="D20" s="65">
        <f>IF(Sales!S2="","",Sales!S2)</f>
        <v/>
      </c>
      <c r="E20" s="68">
        <f>IF(Sales!R2="","",VLOOKUP(Sales!R2,[0]!GRADE,2))</f>
        <v/>
      </c>
      <c r="F20" s="521">
        <f>IF(Sales!I2="","",Sales!I2)</f>
        <v/>
      </c>
      <c r="G20" s="522">
        <f>IF(Sales!H2="","",Sales!H2)</f>
        <v/>
      </c>
      <c r="H20" s="518">
        <f>IF(Sales!AC2="","",+Sales!AC2)</f>
        <v/>
      </c>
    </row>
    <row r="21" ht="12" customHeight="1">
      <c r="A21" s="42" t="inlineStr">
        <is>
          <t>1</t>
        </is>
      </c>
      <c r="B21" s="41">
        <f>IF(Sales!D2="","",+" "&amp;Sales!D2)</f>
        <v/>
      </c>
      <c r="C21" s="62">
        <f>IF(Sales!P2="","",Sales!P2)</f>
        <v/>
      </c>
      <c r="D21" s="65">
        <f>IF(Sales!T2="","",Sales!T2)</f>
        <v/>
      </c>
      <c r="E21" s="68">
        <f>IF(Sales!U2="","",VLOOKUP(Sales!U2,Codes!$A$12:$B$16,2))</f>
        <v/>
      </c>
      <c r="F21" s="523">
        <f>IF(Sales!Y2="","",Sales!Y2)</f>
        <v/>
      </c>
      <c r="G21" s="75" t="n"/>
      <c r="H21" s="518">
        <f>IF(Sales!AB2="","",Sales!AB2)</f>
        <v/>
      </c>
    </row>
    <row r="22" ht="12" customHeight="1">
      <c r="A22" s="43" t="n"/>
      <c r="B22" s="44">
        <f>IF(Sales!E2="","",+" "&amp;VLOOKUP(Sales!E2,[0]!Class,2))</f>
        <v/>
      </c>
      <c r="C22" s="63">
        <f>IF(Sales!M2="","",Sales!M2)</f>
        <v/>
      </c>
      <c r="D22" s="66">
        <f>IF(Sales!L2="","",Sales!L2)</f>
        <v/>
      </c>
      <c r="E22" s="69">
        <f>IF(Sales!V2="","",VLOOKUP(Sales!V2,Codes!$A$1:$B$5,2))</f>
        <v/>
      </c>
      <c r="F22" s="524">
        <f>IF(Sales!AA2="","",Sales!AA2)</f>
        <v/>
      </c>
      <c r="G22" s="525">
        <f>IF(G20="","",ROUND(G20*(1+G21),2))</f>
        <v/>
      </c>
      <c r="H22" s="526">
        <f>IF(G22="","",ROUND(G22*$D$13,-2))</f>
        <v/>
      </c>
    </row>
    <row r="23" ht="12" customHeight="1">
      <c r="A23" s="40" t="n"/>
      <c r="B23" s="41">
        <f>IF(Sales!C3="","",+" "&amp;Sales!C3)</f>
        <v/>
      </c>
      <c r="C23" s="62">
        <f>IF(Sales!F3="","",Sales!F3)</f>
        <v/>
      </c>
      <c r="D23" s="65">
        <f>IF(Sales!S3="","",Sales!S3)</f>
        <v/>
      </c>
      <c r="E23" s="68">
        <f>IF(Sales!R3="","",VLOOKUP(Sales!R3,[0]!GRADE,2))</f>
        <v/>
      </c>
      <c r="F23" s="521">
        <f>IF(Sales!I3="","",Sales!I3)</f>
        <v/>
      </c>
      <c r="G23" s="522">
        <f>IF(Sales!H3="","",Sales!H3)</f>
        <v/>
      </c>
      <c r="H23" s="518">
        <f>IF(Sales!AC3="","",+Sales!AC3)</f>
        <v/>
      </c>
    </row>
    <row r="24" ht="12" customHeight="1">
      <c r="A24" s="42" t="inlineStr">
        <is>
          <t>2</t>
        </is>
      </c>
      <c r="B24" s="41">
        <f>IF(Sales!D3="","",+" "&amp;Sales!D3)</f>
        <v/>
      </c>
      <c r="C24" s="62">
        <f>IF(Sales!P3="","",Sales!P3)</f>
        <v/>
      </c>
      <c r="D24" s="65">
        <f>IF(Sales!T3="","",Sales!T3)</f>
        <v/>
      </c>
      <c r="E24" s="68">
        <f>IF(Sales!U3="","",VLOOKUP(Sales!U3,Codes!$A$12:$B$16,2))</f>
        <v/>
      </c>
      <c r="F24" s="523">
        <f>IF(Sales!Y3="","",Sales!Y3)</f>
        <v/>
      </c>
      <c r="G24" s="75" t="n"/>
      <c r="H24" s="518">
        <f>IF(Sales!AB3="","",Sales!AB3)</f>
        <v/>
      </c>
    </row>
    <row r="25" ht="12" customHeight="1">
      <c r="A25" s="43" t="n"/>
      <c r="B25" s="44">
        <f>IF(Sales!E3="","",+" "&amp;VLOOKUP(Sales!E3,[0]!Class,2))</f>
        <v/>
      </c>
      <c r="C25" s="63">
        <f>IF(Sales!M3="","",Sales!M3)</f>
        <v/>
      </c>
      <c r="D25" s="66">
        <f>IF(Sales!L3="","",Sales!L3)</f>
        <v/>
      </c>
      <c r="E25" s="69">
        <f>IF(Sales!V3="","",VLOOKUP(Sales!V3,Codes!$A$1:$B$5,2))</f>
        <v/>
      </c>
      <c r="F25" s="524">
        <f>IF(Sales!AA3="","",Sales!AA3)</f>
        <v/>
      </c>
      <c r="G25" s="525">
        <f>IF(G23="","",ROUND(G23*(1+G24),2))</f>
        <v/>
      </c>
      <c r="H25" s="526">
        <f>IF(G25="","",ROUND(G25*$D$13,-2))</f>
        <v/>
      </c>
    </row>
    <row r="26" ht="12" customHeight="1">
      <c r="A26" s="40" t="n"/>
      <c r="B26" s="41">
        <f>IF(Sales!C4="","",+" "&amp;Sales!C4)</f>
        <v/>
      </c>
      <c r="C26" s="62">
        <f>IF(Sales!F4="","",Sales!F4)</f>
        <v/>
      </c>
      <c r="D26" s="65">
        <f>IF(Sales!S4="","",Sales!S4)</f>
        <v/>
      </c>
      <c r="E26" s="68">
        <f>IF(Sales!R4="","",VLOOKUP(Sales!R4,[0]!GRADE,2))</f>
        <v/>
      </c>
      <c r="F26" s="521">
        <f>IF(Sales!I4="","",Sales!I4)</f>
        <v/>
      </c>
      <c r="G26" s="522">
        <f>IF(Sales!H4="","",Sales!H4)</f>
        <v/>
      </c>
      <c r="H26" s="518">
        <f>IF(Sales!AC4="","",+Sales!AC4)</f>
        <v/>
      </c>
    </row>
    <row r="27" ht="12" customHeight="1">
      <c r="A27" s="42" t="inlineStr">
        <is>
          <t>3</t>
        </is>
      </c>
      <c r="B27" s="41">
        <f>IF(Sales!D4="","",+" "&amp;Sales!D4)</f>
        <v/>
      </c>
      <c r="C27" s="62">
        <f>IF(Sales!P4="","",Sales!P4)</f>
        <v/>
      </c>
      <c r="D27" s="65">
        <f>IF(Sales!T4="","",Sales!T4)</f>
        <v/>
      </c>
      <c r="E27" s="68">
        <f>IF(Sales!U4="","",VLOOKUP(Sales!U4,Codes!$A$12:$B$16,2))</f>
        <v/>
      </c>
      <c r="F27" s="523">
        <f>IF(Sales!Y4="","",Sales!Y4)</f>
        <v/>
      </c>
      <c r="G27" s="115" t="n"/>
      <c r="H27" s="518">
        <f>IF(Sales!AB4="","",Sales!AB4)</f>
        <v/>
      </c>
    </row>
    <row r="28" ht="12" customHeight="1" thickBot="1">
      <c r="A28" s="45" t="n"/>
      <c r="B28" s="46">
        <f>IF(Sales!E4="","",+" "&amp;VLOOKUP(Sales!E4,[0]!Class,2))</f>
        <v/>
      </c>
      <c r="C28" s="110">
        <f>IF(Sales!M4="","",Sales!M4)</f>
        <v/>
      </c>
      <c r="D28" s="67">
        <f>IF(Sales!L4="","",Sales!L4)</f>
        <v/>
      </c>
      <c r="E28" s="70">
        <f>IF(Sales!V4="","",VLOOKUP(Sales!V4,Codes!$A$1:$B$5,2))</f>
        <v/>
      </c>
      <c r="F28" s="527">
        <f>IF(Sales!AA4="","",Sales!AA4)</f>
        <v/>
      </c>
      <c r="G28" s="528">
        <f>IF(G26="","",ROUND(G26*(1+G27),2))</f>
        <v/>
      </c>
      <c r="H28" s="529">
        <f>IF(G28="","",ROUND(G28*$D$13,-2))</f>
        <v/>
      </c>
    </row>
    <row r="29" ht="10.15" customHeight="1" thickBot="1" thickTop="1"/>
    <row r="30" ht="15" customHeight="1" thickTop="1">
      <c r="A30" s="58"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8" t="inlineStr">
        <is>
          <t>RENT  COMPARABLE  INFORMATION</t>
        </is>
      </c>
      <c r="B36" s="9" t="n"/>
      <c r="C36" s="10" t="n"/>
      <c r="D36" s="10" t="n"/>
      <c r="E36" s="10" t="n"/>
      <c r="F36" s="10" t="n"/>
      <c r="G36" s="50" t="n"/>
    </row>
    <row r="37" ht="12" customHeight="1">
      <c r="A37" s="51" t="n"/>
      <c r="B37" s="52" t="inlineStr">
        <is>
          <t xml:space="preserve"> Source of Information</t>
        </is>
      </c>
      <c r="C37" s="29" t="inlineStr">
        <is>
          <t>Ngbh</t>
        </is>
      </c>
      <c r="D37" s="29" t="inlineStr">
        <is>
          <t xml:space="preserve">Land Area </t>
        </is>
      </c>
      <c r="E37" s="53" t="inlineStr">
        <is>
          <t>Quality</t>
        </is>
      </c>
      <c r="F37" s="29" t="inlineStr">
        <is>
          <t>Rent / Sq Ft</t>
        </is>
      </c>
      <c r="G37" s="54" t="n"/>
    </row>
    <row r="38" ht="12" customHeight="1">
      <c r="A38" s="40" t="n"/>
      <c r="B38" s="13" t="inlineStr">
        <is>
          <t xml:space="preserve">  Location</t>
        </is>
      </c>
      <c r="C38" s="14" t="inlineStr">
        <is>
          <t>Zone</t>
        </is>
      </c>
      <c r="D38" s="14" t="inlineStr">
        <is>
          <t xml:space="preserve">L : B  Ratio </t>
        </is>
      </c>
      <c r="E38" s="15" t="n"/>
      <c r="F38" s="14" t="inlineStr">
        <is>
          <t>Vacancy</t>
        </is>
      </c>
      <c r="G38" s="55" t="inlineStr">
        <is>
          <t xml:space="preserve">Net Adjustments </t>
        </is>
      </c>
    </row>
    <row r="39" ht="12" customHeight="1">
      <c r="A39" s="56" t="inlineStr">
        <is>
          <t>#</t>
        </is>
      </c>
      <c r="B39" s="19" t="inlineStr">
        <is>
          <t xml:space="preserve"> Property Type</t>
        </is>
      </c>
      <c r="C39" s="20" t="inlineStr">
        <is>
          <t>YOC</t>
        </is>
      </c>
      <c r="D39" s="20" t="inlineStr">
        <is>
          <t xml:space="preserve">Building Area </t>
        </is>
      </c>
      <c r="E39" s="21" t="n"/>
      <c r="F39" s="20" t="inlineStr">
        <is>
          <t>Expense Ratio</t>
        </is>
      </c>
      <c r="G39" s="57" t="inlineStr">
        <is>
          <t xml:space="preserve">Adjusted Rent </t>
        </is>
      </c>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58"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3.xml><?xml version="1.0" encoding="utf-8"?>
<worksheet xmlns="http://schemas.openxmlformats.org/spreadsheetml/2006/main">
  <sheetPr codeName="Sheet5">
    <outlinePr summaryBelow="1" summaryRight="1"/>
    <pageSetUpPr fitToPage="1"/>
  </sheetPr>
  <dimension ref="A1:K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5.6640625" customWidth="1" style="413" min="1" max="1"/>
    <col width="34.5" customWidth="1" style="413" min="2" max="2"/>
    <col width="33.83203125" customWidth="1" style="413" min="3" max="3"/>
    <col width="25" customWidth="1" style="413" min="4" max="4"/>
    <col width="21.33203125" customWidth="1" style="413" min="5" max="5"/>
    <col width="21" customWidth="1" style="413" min="6" max="6"/>
    <col width="8.83203125" customWidth="1" style="413" min="7" max="7"/>
    <col width="13.6640625" bestFit="1" customWidth="1" style="413" min="8" max="8"/>
    <col width="23.1640625" customWidth="1" style="413" min="9" max="9"/>
    <col width="18.1640625" customWidth="1" style="413" min="10" max="10"/>
    <col width="13.6640625" customWidth="1" style="413" min="11" max="16384"/>
  </cols>
  <sheetData>
    <row r="1" ht="26.25" customHeight="1">
      <c r="A1" s="130" t="inlineStr">
        <is>
          <t>IMPROVED MARKET APPROACH</t>
        </is>
      </c>
      <c r="B1" s="412" t="n"/>
      <c r="C1" s="412" t="n"/>
      <c r="D1" s="412" t="n"/>
      <c r="E1" s="412" t="n"/>
      <c r="F1" s="412" t="n"/>
      <c r="G1" s="412" t="n"/>
      <c r="H1" s="412" t="n"/>
      <c r="I1" s="412" t="n"/>
    </row>
    <row r="3" ht="21" customHeight="1" thickBot="1">
      <c r="A3" s="131" t="inlineStr">
        <is>
          <t>SUBJECT</t>
        </is>
      </c>
      <c r="B3" s="131" t="n"/>
      <c r="C3" s="131" t="n"/>
      <c r="D3" s="131" t="n"/>
      <c r="E3" s="131" t="n"/>
      <c r="F3" s="131" t="n"/>
      <c r="G3" s="131" t="n"/>
      <c r="H3" s="131" t="n"/>
      <c r="I3" s="131" t="n"/>
    </row>
    <row r="4" ht="13.5" customHeight="1" thickTop="1">
      <c r="B4" s="414" t="inlineStr">
        <is>
          <t>Account Number</t>
        </is>
      </c>
      <c r="C4" s="414" t="inlineStr">
        <is>
          <t>Grantor</t>
        </is>
      </c>
      <c r="D4" s="415" t="inlineStr">
        <is>
          <t xml:space="preserve">Sale Price </t>
        </is>
      </c>
      <c r="E4" s="415" t="inlineStr">
        <is>
          <t>Location</t>
        </is>
      </c>
      <c r="F4" s="415" t="inlineStr">
        <is>
          <t>Age</t>
        </is>
      </c>
      <c r="G4" s="416" t="n"/>
      <c r="H4" s="417" t="n"/>
      <c r="I4" s="418" t="inlineStr">
        <is>
          <t>Value of the</t>
        </is>
      </c>
    </row>
    <row r="5">
      <c r="B5" s="419" t="inlineStr">
        <is>
          <t>Property Address</t>
        </is>
      </c>
      <c r="C5" s="419" t="inlineStr">
        <is>
          <t>Grantee</t>
        </is>
      </c>
      <c r="D5" s="420" t="inlineStr">
        <is>
          <t>Sale Price  / SF</t>
        </is>
      </c>
      <c r="E5" s="420" t="inlineStr">
        <is>
          <t>Land Size</t>
        </is>
      </c>
      <c r="F5" s="420" t="inlineStr">
        <is>
          <t>Quality</t>
        </is>
      </c>
      <c r="G5" s="421" t="n"/>
      <c r="H5" s="422" t="n"/>
      <c r="I5" s="423" t="inlineStr">
        <is>
          <t xml:space="preserve"> Subject/SF</t>
        </is>
      </c>
    </row>
    <row r="6">
      <c r="B6" s="419" t="inlineStr">
        <is>
          <t>Parcel Number</t>
        </is>
      </c>
      <c r="C6" s="419" t="inlineStr">
        <is>
          <t>Reception Number</t>
        </is>
      </c>
      <c r="D6" s="424" t="inlineStr">
        <is>
          <t>PP/Time/Mkt Cond</t>
        </is>
      </c>
      <c r="E6" s="420" t="inlineStr">
        <is>
          <t>L : B  Ratio</t>
        </is>
      </c>
      <c r="F6" s="424" t="inlineStr">
        <is>
          <t>Phy./Funct Rating</t>
        </is>
      </c>
      <c r="G6" s="425" t="n"/>
      <c r="H6" s="422" t="n"/>
      <c r="I6" s="424" t="inlineStr">
        <is>
          <t>Value</t>
        </is>
      </c>
    </row>
    <row r="7" ht="13.5" customHeight="1" thickBot="1">
      <c r="B7" s="426" t="inlineStr">
        <is>
          <t>Property Type</t>
        </is>
      </c>
      <c r="C7" s="427" t="inlineStr">
        <is>
          <t>Sale Date</t>
        </is>
      </c>
      <c r="D7" s="428" t="inlineStr">
        <is>
          <t>Adj S P  / SF</t>
        </is>
      </c>
      <c r="E7" s="429" t="inlineStr">
        <is>
          <t>Building Size</t>
        </is>
      </c>
      <c r="F7" s="429" t="inlineStr">
        <is>
          <t>Zoning</t>
        </is>
      </c>
      <c r="G7" s="430" t="inlineStr">
        <is>
          <t>Comments</t>
        </is>
      </c>
      <c r="H7" s="431" t="n"/>
      <c r="I7" s="428"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131" t="inlineStr">
        <is>
          <t>COMPARABLE SALE PROPERTIES</t>
        </is>
      </c>
      <c r="B15" s="412" t="n"/>
      <c r="C15" s="412" t="n"/>
      <c r="D15" s="412" t="n"/>
      <c r="E15" s="412" t="n"/>
      <c r="F15" s="412" t="n"/>
      <c r="G15" s="412" t="n"/>
      <c r="H15" s="412" t="n"/>
      <c r="I15" s="412" t="n"/>
    </row>
    <row r="16" ht="13.5" customHeight="1" thickTop="1">
      <c r="B16" s="414" t="inlineStr">
        <is>
          <t>Account Number</t>
        </is>
      </c>
      <c r="C16" s="414" t="inlineStr">
        <is>
          <t>Grantor</t>
        </is>
      </c>
      <c r="D16" s="415" t="inlineStr">
        <is>
          <t xml:space="preserve">Sale Price </t>
        </is>
      </c>
      <c r="E16" s="415" t="inlineStr">
        <is>
          <t>Location</t>
        </is>
      </c>
      <c r="F16" s="415" t="inlineStr">
        <is>
          <t>Age</t>
        </is>
      </c>
      <c r="G16" s="415" t="n"/>
      <c r="H16" s="415" t="n"/>
      <c r="I16" s="415" t="inlineStr">
        <is>
          <t>Indicated Value</t>
        </is>
      </c>
    </row>
    <row r="17">
      <c r="B17" s="419" t="inlineStr">
        <is>
          <t>Property Address</t>
        </is>
      </c>
      <c r="C17" s="419" t="inlineStr">
        <is>
          <t>Grantee</t>
        </is>
      </c>
      <c r="D17" s="420" t="inlineStr">
        <is>
          <t>Sale Price  / SF</t>
        </is>
      </c>
      <c r="E17" s="420" t="inlineStr">
        <is>
          <t>Land Size</t>
        </is>
      </c>
      <c r="F17" s="420" t="inlineStr">
        <is>
          <t>Quality</t>
        </is>
      </c>
      <c r="G17" s="420" t="n"/>
      <c r="H17" s="420" t="inlineStr">
        <is>
          <t>Adjusted</t>
        </is>
      </c>
      <c r="I17" s="423" t="inlineStr">
        <is>
          <t>of the Subject/SF</t>
        </is>
      </c>
    </row>
    <row r="18">
      <c r="B18" s="419" t="inlineStr">
        <is>
          <t>Parcel Number</t>
        </is>
      </c>
      <c r="C18" s="419" t="inlineStr">
        <is>
          <t>Reception Number</t>
        </is>
      </c>
      <c r="D18" s="424" t="inlineStr">
        <is>
          <t>PP/Time/Mkt Cond Adj</t>
        </is>
      </c>
      <c r="E18" s="420" t="inlineStr">
        <is>
          <t>L : B  Ratio</t>
        </is>
      </c>
      <c r="F18" s="424" t="inlineStr">
        <is>
          <t>Phy/Funct Rating</t>
        </is>
      </c>
      <c r="G18" s="424" t="inlineStr">
        <is>
          <t>Net</t>
        </is>
      </c>
      <c r="H18" s="420" t="inlineStr">
        <is>
          <t>Sale</t>
        </is>
      </c>
      <c r="I18" s="424" t="inlineStr">
        <is>
          <t>Indicated Value</t>
        </is>
      </c>
    </row>
    <row r="19" ht="13.5" customHeight="1" thickBot="1">
      <c r="B19" s="426" t="inlineStr">
        <is>
          <t>Property Type</t>
        </is>
      </c>
      <c r="C19" s="427" t="inlineStr">
        <is>
          <t>Sale Date</t>
        </is>
      </c>
      <c r="D19" s="428" t="inlineStr">
        <is>
          <t>Adj S P  / SF</t>
        </is>
      </c>
      <c r="E19" s="429" t="inlineStr">
        <is>
          <t>Building Size/Keys</t>
        </is>
      </c>
      <c r="F19" s="429" t="inlineStr">
        <is>
          <t>Zoning</t>
        </is>
      </c>
      <c r="G19" s="428" t="inlineStr">
        <is>
          <t>Adj.</t>
        </is>
      </c>
      <c r="H19" s="429" t="inlineStr">
        <is>
          <t>Price/SF</t>
        </is>
      </c>
      <c r="I19" s="428" t="inlineStr">
        <is>
          <t>of the Subject</t>
        </is>
      </c>
    </row>
    <row r="20" ht="14.25" customHeight="1" thickBot="1" thickTop="1"/>
    <row r="21" ht="13.5" customHeight="1" thickTop="1">
      <c r="A21" s="482" t="inlineStr">
        <is>
          <t>#1</t>
        </is>
      </c>
      <c r="B21" s="394">
        <f>IF(Sales!C2="","",+" "&amp;Sales!C2)</f>
        <v/>
      </c>
      <c r="C21" s="394">
        <f>IF(Sales!AE$2="","",Sales!AE$2)</f>
        <v/>
      </c>
      <c r="D21" s="547">
        <f>IF(Sales!AA$2="","",Sales!AA$2)</f>
        <v/>
      </c>
      <c r="E21" s="547">
        <f>IF(Sales!F$2="","",Sales!F$2)</f>
        <v/>
      </c>
      <c r="F21" s="396">
        <f>IF(Sales!M$2="","",Sales!M$2)</f>
        <v/>
      </c>
      <c r="G21" s="462" t="n"/>
      <c r="H21" s="396" t="n"/>
      <c r="I21" s="396" t="n"/>
    </row>
    <row r="22">
      <c r="B22" s="397">
        <f>IF(Sales!D$2="","",Sales!D$2)</f>
        <v/>
      </c>
      <c r="C22" s="397">
        <f>IF(Sales!AF$2="","",Sales!AF$2)</f>
        <v/>
      </c>
      <c r="D22" s="548">
        <f>IF(Sales!H$2="","",Sales!H$2)</f>
        <v/>
      </c>
      <c r="E22" s="399">
        <f>IF(Sales!S$2="","",Sales!S$2)</f>
        <v/>
      </c>
      <c r="F22" s="456">
        <f>IF(Sales!R2="","",VLOOKUP(Sales!R2,[0]!GRADE,2))</f>
        <v/>
      </c>
      <c r="G22" s="400" t="n"/>
      <c r="H22" s="400" t="n"/>
      <c r="I22" s="549">
        <f>IF(H24="","",H24)</f>
        <v/>
      </c>
    </row>
    <row r="23">
      <c r="B23" s="397">
        <f>IF(Sales!AC2="","",+Sales!AC2)</f>
        <v/>
      </c>
      <c r="C23" s="402">
        <f>IF(Sales!AD$2="","",Sales!AD$2)</f>
        <v/>
      </c>
      <c r="D23" s="550" t="n"/>
      <c r="E23" s="400">
        <f>IF(Sales!T$2="","",Sales!T$2)</f>
        <v/>
      </c>
      <c r="F23" s="457">
        <f>IF(Sales!V2="","",VLOOKUP(Sales!V2,Codes!$A$12:$B$16,2))</f>
        <v/>
      </c>
      <c r="G23" s="400" t="n"/>
      <c r="H23" s="400" t="n"/>
      <c r="I23" s="400" t="n"/>
    </row>
    <row r="24" ht="13.5" customHeight="1" thickBot="1">
      <c r="B24" s="404">
        <f>IF(Sales!E2="","",+" "&amp;VLOOKUP(Sales!E2,[0]!Class,2))</f>
        <v/>
      </c>
      <c r="C24" s="551">
        <f>IF(Sales!I$2="","",Sales!I$2)</f>
        <v/>
      </c>
      <c r="D24" s="552">
        <f>IF(D21="","",ROUND((D21+D23)/E24,2))</f>
        <v/>
      </c>
      <c r="E24" s="407">
        <f>IF(Sales!L$2="","",Sales!L$2)</f>
        <v/>
      </c>
      <c r="F24" s="408">
        <f>IF(Sales!P$2="","",Sales!P$2)</f>
        <v/>
      </c>
      <c r="G24" s="409" t="n"/>
      <c r="H24" s="553">
        <f>IF(D24="","",ROUND(D24*(1+G24),2))</f>
        <v/>
      </c>
      <c r="I24" s="554">
        <f>IF(E12="","",ROUND(E12*H24,-2))</f>
        <v/>
      </c>
    </row>
    <row r="25" ht="14.25" customHeight="1" thickBot="1" thickTop="1">
      <c r="A25" s="453" t="n"/>
      <c r="G25" s="454" t="n"/>
      <c r="I25" s="555" t="n"/>
    </row>
    <row r="26" ht="13.5" customHeight="1" thickTop="1">
      <c r="A26" s="482" t="inlineStr">
        <is>
          <t>#2</t>
        </is>
      </c>
      <c r="B26" s="394">
        <f>IF(Sales!C3="","",+" "&amp;Sales!C3)</f>
        <v/>
      </c>
      <c r="C26" s="394">
        <f>IF(Sales!AE$3="","",Sales!AE$3)</f>
        <v/>
      </c>
      <c r="D26" s="547">
        <f>IF(Sales!AA$3="","",Sales!AA$3)</f>
        <v/>
      </c>
      <c r="E26" s="547">
        <f>IF(Sales!F$3="","",Sales!F$3)</f>
        <v/>
      </c>
      <c r="F26" s="396">
        <f>IF(Sales!M$3="","",Sales!M$3)</f>
        <v/>
      </c>
      <c r="G26" s="463" t="n"/>
      <c r="H26" s="396" t="n"/>
      <c r="I26" s="396" t="n"/>
    </row>
    <row r="27">
      <c r="B27" s="397">
        <f>IF(Sales!D$3="","",Sales!D$3)</f>
        <v/>
      </c>
      <c r="C27" s="397">
        <f>IF(Sales!AF$3="","",Sales!AF$3)</f>
        <v/>
      </c>
      <c r="D27" s="548">
        <f>IF(Sales!H$3="","",Sales!H$3)</f>
        <v/>
      </c>
      <c r="E27" s="399">
        <f>IF(Sales!S$3="","",Sales!S$3)</f>
        <v/>
      </c>
      <c r="F27" s="400">
        <f>IF(Sales!R3="","",VLOOKUP(Sales!R3,[0]!GRADE,2))</f>
        <v/>
      </c>
      <c r="G27" s="400" t="n"/>
      <c r="H27" s="400" t="n"/>
      <c r="I27" s="549">
        <f>IF(H29="","",H29)</f>
        <v/>
      </c>
    </row>
    <row r="28">
      <c r="B28" s="397">
        <f>IF(Sales!AC3="","",+Sales!AC3)</f>
        <v/>
      </c>
      <c r="C28" s="402">
        <f>IF(Sales!AD$3="","",Sales!AD$3)</f>
        <v/>
      </c>
      <c r="D28" s="550" t="n"/>
      <c r="E28" s="400">
        <f>IF(Sales!T$3="","",Sales!T$3)</f>
        <v/>
      </c>
      <c r="F28" s="400">
        <f>IF(Sales!V3="","",VLOOKUP(Sales!V3,Codes!$A$12:$B$16,2))</f>
        <v/>
      </c>
      <c r="G28" s="400" t="n"/>
      <c r="H28" s="400" t="n"/>
      <c r="I28" s="400" t="n"/>
    </row>
    <row r="29" ht="13.5" customHeight="1" thickBot="1">
      <c r="B29" s="404">
        <f>IF(Sales!E3="","",+" "&amp;VLOOKUP(Sales!E3,[0]!Class,2))</f>
        <v/>
      </c>
      <c r="C29" s="551">
        <f>IF(Sales!I$3="","",Sales!I$3)</f>
        <v/>
      </c>
      <c r="D29" s="552">
        <f>IF(D26="","",ROUND((D26+D28)/E29,2))</f>
        <v/>
      </c>
      <c r="E29" s="407">
        <f>IF(Sales!L$3="","",Sales!L$3)</f>
        <v/>
      </c>
      <c r="F29" s="408">
        <f>IF(Sales!P$3="","",Sales!P$3)</f>
        <v/>
      </c>
      <c r="G29" s="409" t="n"/>
      <c r="H29" s="553">
        <f>IF(D29="","",ROUND(D29*(1+G29),2))</f>
        <v/>
      </c>
      <c r="I29" s="554">
        <f>IF(E12="","",ROUND(E12*H29,-2))</f>
        <v/>
      </c>
    </row>
    <row r="30" ht="14.25" customHeight="1" thickBot="1" thickTop="1">
      <c r="A30" s="453" t="n"/>
      <c r="G30" s="454" t="n"/>
      <c r="I30" s="555" t="n"/>
    </row>
    <row r="31" ht="13.5" customHeight="1" thickTop="1">
      <c r="A31" s="482" t="inlineStr">
        <is>
          <t>#3</t>
        </is>
      </c>
      <c r="B31" s="394">
        <f>IF(Sales!C4="","",+" "&amp;Sales!C4)</f>
        <v/>
      </c>
      <c r="C31" s="394">
        <f>IF(Sales!AE$4="","",Sales!AE$4)</f>
        <v/>
      </c>
      <c r="D31" s="547">
        <f>IF(Sales!AA$4="","",Sales!AA$4)</f>
        <v/>
      </c>
      <c r="E31" s="547">
        <f>IF(Sales!F$4="","",Sales!F$4)</f>
        <v/>
      </c>
      <c r="F31" s="396">
        <f>IF(Sales!M$4="","",Sales!M$4)</f>
        <v/>
      </c>
      <c r="G31" s="462" t="n"/>
      <c r="H31" s="396" t="n"/>
      <c r="I31" s="396" t="n"/>
    </row>
    <row r="32">
      <c r="B32" s="397">
        <f>IF(Sales!D$4="","",Sales!D$4)</f>
        <v/>
      </c>
      <c r="C32" s="397">
        <f>IF(Sales!AF$4="","",Sales!AF$4)</f>
        <v/>
      </c>
      <c r="D32" s="548">
        <f>IF(Sales!H$4="","",Sales!H$4)</f>
        <v/>
      </c>
      <c r="E32" s="399">
        <f>IF(Sales!S$4="","",Sales!S$4)</f>
        <v/>
      </c>
      <c r="F32" s="400">
        <f>IF(Sales!R4="","",VLOOKUP(Sales!R4,[0]!GRADE,2))</f>
        <v/>
      </c>
      <c r="G32" s="400" t="n"/>
      <c r="H32" s="400" t="n"/>
      <c r="I32" s="549">
        <f>IF(H34="","",H34)</f>
        <v/>
      </c>
    </row>
    <row r="33">
      <c r="B33" s="397">
        <f>IF(Sales!AC4="","",+Sales!AC4)</f>
        <v/>
      </c>
      <c r="C33" s="402">
        <f>IF(Sales!AD$4="","",Sales!AD$4)</f>
        <v/>
      </c>
      <c r="D33" s="550" t="n"/>
      <c r="E33" s="400">
        <f>IF(Sales!T$4="","",Sales!T$4)</f>
        <v/>
      </c>
      <c r="F33" s="400">
        <f>IF(Sales!V4="","",VLOOKUP(Sales!V4,Codes!$A$12:$B$16,2))</f>
        <v/>
      </c>
      <c r="G33" s="400" t="n"/>
      <c r="H33" s="400" t="n"/>
      <c r="I33" s="400" t="n"/>
      <c r="K33" s="555" t="n"/>
    </row>
    <row r="34" ht="13.5" customHeight="1" thickBot="1">
      <c r="B34" s="404">
        <f>IF(Sales!E4="","",+" "&amp;VLOOKUP(Sales!E4,[0]!Class,2))</f>
        <v/>
      </c>
      <c r="C34" s="551">
        <f>IF(Sales!I$4="","",Sales!I$4)</f>
        <v/>
      </c>
      <c r="D34" s="552">
        <f>IF(D31="","",ROUND((D31+D33)/E34,2))</f>
        <v/>
      </c>
      <c r="E34" s="407">
        <f>IF(Sales!L$4="","",Sales!L$4)</f>
        <v/>
      </c>
      <c r="F34" s="408">
        <f>IF(Sales!P$4="","",Sales!P$4)</f>
        <v/>
      </c>
      <c r="G34" s="409" t="n"/>
      <c r="H34" s="553">
        <f>IF(D34="","",ROUND(D34*(1+G34),2))</f>
        <v/>
      </c>
      <c r="I34" s="554">
        <f>IF(E12="","",ROUND(E12*H34,-2))</f>
        <v/>
      </c>
    </row>
    <row r="35" ht="14.25" customHeight="1" thickBot="1" thickTop="1">
      <c r="A35" s="453" t="n"/>
      <c r="G35" s="454" t="n"/>
      <c r="I35" s="555" t="n"/>
    </row>
    <row r="36" ht="13.5" customHeight="1" thickTop="1">
      <c r="A36" s="482" t="inlineStr">
        <is>
          <t>#4</t>
        </is>
      </c>
      <c r="B36" s="394">
        <f>IF(Sales!C5="","",+" "&amp;Sales!C5)</f>
        <v/>
      </c>
      <c r="C36" s="394">
        <f>IF(Sales!AE$5="","",Sales!AE$5)</f>
        <v/>
      </c>
      <c r="D36" s="547">
        <f>IF(Sales!AA$5="","",Sales!AA$5)</f>
        <v/>
      </c>
      <c r="E36" s="547">
        <f>IF(Sales!F$5="","",Sales!F$5)</f>
        <v/>
      </c>
      <c r="F36" s="396">
        <f>IF(Sales!M$5="","",Sales!M$5)</f>
        <v/>
      </c>
      <c r="G36" s="396" t="n"/>
      <c r="H36" s="396" t="n"/>
      <c r="I36" s="396" t="n"/>
    </row>
    <row r="37">
      <c r="B37" s="397">
        <f>IF(Sales!D$5="","",Sales!D$5)</f>
        <v/>
      </c>
      <c r="C37" s="397">
        <f>IF(Sales!AF$5="","",Sales!AF$5)</f>
        <v/>
      </c>
      <c r="D37" s="548">
        <f>IF(Sales!H$5="","",Sales!H$5)</f>
        <v/>
      </c>
      <c r="E37" s="399">
        <f>IF(Sales!S$5="","",Sales!S$5)</f>
        <v/>
      </c>
      <c r="F37" s="400">
        <f>IF(Sales!R5="","",VLOOKUP(Sales!R5,[0]!GRADE,2))</f>
        <v/>
      </c>
      <c r="G37" s="400" t="n"/>
      <c r="H37" s="400" t="n"/>
      <c r="I37" s="549">
        <f>IF(H39="","",H39)</f>
        <v/>
      </c>
    </row>
    <row r="38">
      <c r="B38" s="397">
        <f>IF(Sales!AC5="","",+Sales!AC5)</f>
        <v/>
      </c>
      <c r="C38" s="402">
        <f>IF(Sales!AD$5="","",Sales!AD$5)</f>
        <v/>
      </c>
      <c r="D38" s="550" t="n"/>
      <c r="E38" s="400">
        <f>IF(Sales!T$5="","",Sales!T$5)</f>
        <v/>
      </c>
      <c r="F38" s="400">
        <f>IF(Sales!V5="","",VLOOKUP(Sales!V5,Codes!$A$12:$B$16,2))</f>
        <v/>
      </c>
      <c r="G38" s="400" t="n"/>
      <c r="H38" s="400" t="n"/>
      <c r="I38" s="400" t="n"/>
    </row>
    <row r="39" ht="13.5" customHeight="1" thickBot="1">
      <c r="B39" s="404">
        <f>IF(Sales!E5="","",+" "&amp;VLOOKUP(Sales!E5,[0]!Class,2))</f>
        <v/>
      </c>
      <c r="C39" s="551">
        <f>IF(Sales!I$5="","",Sales!I$5)</f>
        <v/>
      </c>
      <c r="D39" s="552">
        <f>IF(D36="","",ROUND((D36+D38)/E39,2))</f>
        <v/>
      </c>
      <c r="E39" s="407">
        <f>IF(Sales!L$5="","",Sales!L$5)</f>
        <v/>
      </c>
      <c r="F39" s="408">
        <f>IF(Sales!P$5="","",Sales!P$5)</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4.xml><?xml version="1.0" encoding="utf-8"?>
<worksheet xmlns="http://schemas.openxmlformats.org/spreadsheetml/2006/main">
  <sheetPr codeName="Sheet11">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32.5" customWidth="1" style="132" min="2" max="2"/>
    <col width="32.5" customWidth="1" style="133" min="3" max="6"/>
    <col width="19.83203125" customWidth="1" style="133" min="7" max="7"/>
    <col width="19.83203125" customWidth="1" style="132" min="8" max="8"/>
    <col width="12.5" customWidth="1" style="132" min="9" max="16384"/>
  </cols>
  <sheetData>
    <row r="1" ht="32.25" customHeight="1">
      <c r="B1" t="n"/>
    </row>
    <row r="2" ht="26.25" customHeight="1">
      <c r="B2" s="267" t="inlineStr">
        <is>
          <t>RENT COMPARABLES</t>
        </is>
      </c>
      <c r="C2" s="134" t="n"/>
      <c r="D2" s="134" t="n"/>
      <c r="E2" s="134" t="n"/>
      <c r="F2" s="134" t="n"/>
      <c r="G2" s="134" t="n"/>
      <c r="H2" s="134" t="n"/>
    </row>
    <row r="4" ht="25.15" customHeight="1" thickBot="1">
      <c r="B4" s="268" t="inlineStr">
        <is>
          <t>SUBJECT</t>
        </is>
      </c>
      <c r="C4" s="135" t="n"/>
      <c r="D4" s="135" t="n"/>
      <c r="E4" s="135" t="n"/>
      <c r="F4" s="135" t="n"/>
      <c r="G4" s="135" t="n"/>
      <c r="H4" s="135" t="n"/>
    </row>
    <row r="5" ht="13.5" customHeight="1" thickTop="1">
      <c r="B5" s="269" t="inlineStr">
        <is>
          <t>Schedule Number</t>
        </is>
      </c>
      <c r="C5" s="270" t="inlineStr">
        <is>
          <t>Rent/Sq.Ft.</t>
        </is>
      </c>
      <c r="D5" s="271" t="inlineStr">
        <is>
          <t>Location</t>
        </is>
      </c>
      <c r="E5" s="271" t="inlineStr">
        <is>
          <t>Age</t>
        </is>
      </c>
      <c r="F5" s="271" t="n"/>
      <c r="G5" s="272" t="n"/>
      <c r="H5" s="273" t="n"/>
    </row>
    <row r="6">
      <c r="B6" s="274" t="inlineStr">
        <is>
          <t>Property Address</t>
        </is>
      </c>
      <c r="C6" s="275" t="inlineStr">
        <is>
          <t>Vacancy</t>
        </is>
      </c>
      <c r="D6" s="276" t="inlineStr">
        <is>
          <t>Land Size</t>
        </is>
      </c>
      <c r="E6" s="276" t="inlineStr">
        <is>
          <t>Quality</t>
        </is>
      </c>
      <c r="F6" s="276" t="n"/>
      <c r="G6" s="277" t="n"/>
      <c r="H6" s="278" t="n"/>
    </row>
    <row r="7">
      <c r="B7" s="274" t="inlineStr">
        <is>
          <t>Property Name</t>
        </is>
      </c>
      <c r="C7" s="276" t="inlineStr">
        <is>
          <t>Expense / Sq. Ft.</t>
        </is>
      </c>
      <c r="D7" s="276" t="inlineStr">
        <is>
          <t>L:B Ratio</t>
        </is>
      </c>
      <c r="E7" s="276" t="inlineStr">
        <is>
          <t>Phy/Funct Rating</t>
        </is>
      </c>
      <c r="F7" s="276" t="n"/>
      <c r="G7" s="277" t="n"/>
      <c r="H7" s="278" t="n"/>
    </row>
    <row r="8" ht="13.5" customHeight="1" thickBot="1">
      <c r="B8" s="279" t="inlineStr">
        <is>
          <t>Property Type</t>
        </is>
      </c>
      <c r="C8" s="280" t="inlineStr">
        <is>
          <t>Expense Ratio</t>
        </is>
      </c>
      <c r="D8" s="281" t="inlineStr">
        <is>
          <t>Building Size</t>
        </is>
      </c>
      <c r="E8" s="281" t="inlineStr">
        <is>
          <t>Zoning</t>
        </is>
      </c>
      <c r="F8" s="281" t="inlineStr">
        <is>
          <t>Other</t>
        </is>
      </c>
      <c r="G8" s="282" t="inlineStr">
        <is>
          <t>Comments</t>
        </is>
      </c>
      <c r="H8" s="283"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B17" s="268" t="inlineStr">
        <is>
          <t>COMPARABLE RENTAL PROPERTIES</t>
        </is>
      </c>
      <c r="C17" s="135" t="n"/>
      <c r="D17" s="135" t="n"/>
      <c r="E17" s="135" t="n"/>
      <c r="F17" s="135" t="n"/>
      <c r="G17" s="135" t="n"/>
      <c r="H17" s="135" t="n"/>
    </row>
    <row r="18" ht="13.5" customHeight="1" thickTop="1">
      <c r="B18" s="269" t="n"/>
      <c r="C18" s="270" t="inlineStr">
        <is>
          <t>Rent/Sq.Ft.</t>
        </is>
      </c>
      <c r="D18" s="271" t="inlineStr">
        <is>
          <t>Location</t>
        </is>
      </c>
      <c r="E18" s="271" t="inlineStr">
        <is>
          <t>Age</t>
        </is>
      </c>
      <c r="F18" s="271" t="n"/>
      <c r="G18" s="271" t="n"/>
      <c r="H18" s="269" t="n"/>
    </row>
    <row r="19">
      <c r="B19" s="274" t="inlineStr">
        <is>
          <t>OFFICE</t>
        </is>
      </c>
      <c r="C19" s="275" t="inlineStr">
        <is>
          <t>Vacancy</t>
        </is>
      </c>
      <c r="D19" s="276" t="inlineStr">
        <is>
          <t>Land Size</t>
        </is>
      </c>
      <c r="E19" s="276" t="inlineStr">
        <is>
          <t>Quality</t>
        </is>
      </c>
      <c r="F19" s="276" t="n"/>
      <c r="G19" s="276" t="n"/>
      <c r="H19" s="275" t="n"/>
    </row>
    <row r="20">
      <c r="B20" s="274" t="inlineStr">
        <is>
          <t>Source</t>
        </is>
      </c>
      <c r="C20" s="276" t="inlineStr">
        <is>
          <t>Expense / Sq. Ft.</t>
        </is>
      </c>
      <c r="D20" s="276" t="inlineStr">
        <is>
          <t>L:B Ratio</t>
        </is>
      </c>
      <c r="E20" s="276" t="inlineStr">
        <is>
          <t>Phy/Funct Rating</t>
        </is>
      </c>
      <c r="F20" s="276" t="n"/>
      <c r="G20" s="275" t="inlineStr">
        <is>
          <t>Net</t>
        </is>
      </c>
      <c r="H20" s="275" t="inlineStr">
        <is>
          <t>Adjusted</t>
        </is>
      </c>
    </row>
    <row r="21" ht="13.5" customHeight="1" thickBot="1">
      <c r="B21" s="279" t="inlineStr">
        <is>
          <t>Property Type</t>
        </is>
      </c>
      <c r="C21" s="280" t="inlineStr">
        <is>
          <t>Expense Ratio</t>
        </is>
      </c>
      <c r="D21" s="281" t="inlineStr">
        <is>
          <t>Building Size</t>
        </is>
      </c>
      <c r="E21" s="281" t="inlineStr">
        <is>
          <t>Zoning</t>
        </is>
      </c>
      <c r="F21" s="281" t="inlineStr">
        <is>
          <t>Other</t>
        </is>
      </c>
      <c r="G21" s="280" t="inlineStr">
        <is>
          <t>Adjustments</t>
        </is>
      </c>
      <c r="H21" s="280"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5.xml><?xml version="1.0" encoding="utf-8"?>
<worksheet xmlns="http://schemas.openxmlformats.org/spreadsheetml/2006/main">
  <sheetPr codeName="Sheet21">
    <outlinePr summaryBelow="1" summaryRight="1"/>
    <pageSetUpPr autoPageBreaks="0"/>
  </sheetPr>
  <dimension ref="A1:L74"/>
  <sheetViews>
    <sheetView zoomScaleNormal="100" zoomScaleSheetLayoutView="75" workbookViewId="0">
      <selection activeCell="E47" sqref="E47"/>
    </sheetView>
  </sheetViews>
  <sheetFormatPr baseColWidth="8" defaultColWidth="12.5" defaultRowHeight="15.75"/>
  <cols>
    <col width="4" customWidth="1" style="162" min="1" max="1"/>
    <col width="9.5" customWidth="1" style="162" min="2" max="2"/>
    <col width="14.83203125" customWidth="1" style="162" min="3" max="3"/>
    <col width="12.83203125" customWidth="1" style="162" min="4" max="4"/>
    <col width="2.1640625" customWidth="1" style="162" min="5" max="5"/>
    <col width="10.1640625" customWidth="1" style="162" min="6" max="6"/>
    <col width="6.6640625" customWidth="1" style="162" min="7" max="7"/>
    <col width="11.6640625" customWidth="1" style="162" min="8" max="8"/>
    <col width="2.1640625" customWidth="1" style="162" min="9" max="9"/>
    <col width="12.1640625" customWidth="1" style="162" min="10" max="10"/>
    <col width="15.5" customWidth="1" style="162" min="11" max="11"/>
    <col width="11.5" customWidth="1" style="162" min="12" max="12"/>
    <col width="12.5" customWidth="1" style="162" min="13" max="16384"/>
  </cols>
  <sheetData>
    <row r="1">
      <c r="D1" t="n"/>
    </row>
    <row r="19">
      <c r="B19" s="162" t="inlineStr">
        <is>
          <t>OFFICE</t>
        </is>
      </c>
    </row>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1)</t>
        </is>
      </c>
      <c r="B72" s="515">
        <f>IF(Sales!D$2="","",Sales!D$2)</f>
        <v/>
      </c>
      <c r="C72" s="515" t="n"/>
      <c r="D72" s="515">
        <f>IF(Sales!C$2="","",Sales!C$2)</f>
        <v/>
      </c>
      <c r="E72" s="515" t="n"/>
      <c r="F72" s="515" t="n"/>
      <c r="G72" s="199">
        <f>IF(Sales!M$2="","",Sales!M$2)</f>
        <v/>
      </c>
      <c r="H72" s="179">
        <f>IF(Sales!L$2="","",Sales!L$2)</f>
        <v/>
      </c>
      <c r="I72" s="179" t="n"/>
      <c r="J72" s="574">
        <f>IF(Sales!I$2="","",Sales!I$2)</f>
        <v/>
      </c>
      <c r="K72" s="575">
        <f>IF(Sales!AA$2="","",Sales!AA$2)</f>
        <v/>
      </c>
      <c r="L72" s="576">
        <f>IF(Sales!H$2="","",Sales!H$2)</f>
        <v/>
      </c>
    </row>
    <row r="73">
      <c r="A73" s="177" t="inlineStr">
        <is>
          <t>2)</t>
        </is>
      </c>
      <c r="B73" s="515">
        <f>IF(Sales!D$3="","",Sales!D$3)</f>
        <v/>
      </c>
      <c r="C73" s="515" t="n"/>
      <c r="D73" s="515">
        <f>IF(Sales!C$3="","",Sales!C$3)</f>
        <v/>
      </c>
      <c r="E73" s="515" t="n"/>
      <c r="F73" s="515" t="n"/>
      <c r="G73" s="199">
        <f>IF(Sales!M$3="","",Sales!M$3)</f>
        <v/>
      </c>
      <c r="H73" s="179">
        <f>IF(Sales!L$3="","",Sales!L$3)</f>
        <v/>
      </c>
      <c r="I73" s="179" t="n"/>
      <c r="J73" s="574">
        <f>IF(Sales!I$3="","",Sales!I$3)</f>
        <v/>
      </c>
      <c r="K73" s="575">
        <f>IF(Sales!AA$3="","",Sales!AA$3)</f>
        <v/>
      </c>
      <c r="L73" s="576">
        <f>IF(Sales!H$3="","",Sales!H$3)</f>
        <v/>
      </c>
    </row>
    <row r="74">
      <c r="A74" s="182" t="inlineStr">
        <is>
          <t>3)</t>
        </is>
      </c>
      <c r="B74" s="183">
        <f>IF(Sales!D$4="","",Sales!D$4)</f>
        <v/>
      </c>
      <c r="C74" s="183" t="n"/>
      <c r="D74" s="183">
        <f>IF(Sales!C$4="","",Sales!C$4)</f>
        <v/>
      </c>
      <c r="E74" s="183" t="n"/>
      <c r="F74" s="183" t="n"/>
      <c r="G74" s="200">
        <f>IF(Sales!M$4="","",Sales!M$4)</f>
        <v/>
      </c>
      <c r="H74" s="184">
        <f>IF(Sales!L$4="","",Sales!L$4)</f>
        <v/>
      </c>
      <c r="I74" s="184" t="n"/>
      <c r="J74" s="577">
        <f>IF(Sales!I$4="","",Sales!I$4)</f>
        <v/>
      </c>
      <c r="K74" s="578">
        <f>IF(Sales!AA$4="","",Sales!AA$4)</f>
        <v/>
      </c>
      <c r="L74" s="579">
        <f>IF(Sales!H$4="","",Sales!H$4)</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6.xml><?xml version="1.0" encoding="utf-8"?>
<worksheet xmlns="http://schemas.openxmlformats.org/spreadsheetml/2006/main">
  <sheetPr codeName="Sheet12">
    <outlinePr summaryBelow="1" summaryRight="1"/>
    <pageSetUpPr fitToPage="1"/>
  </sheetPr>
  <dimension ref="A1:K48"/>
  <sheetViews>
    <sheetView workbookViewId="0">
      <selection activeCell="P15" sqref="P15"/>
    </sheetView>
  </sheetViews>
  <sheetFormatPr baseColWidth="8" defaultColWidth="11.5" defaultRowHeight="12.75"/>
  <cols>
    <col width="3.6640625" customWidth="1" style="203" min="1" max="1"/>
    <col width="8.5" customWidth="1" style="203" min="2" max="2"/>
    <col width="17.6640625" customWidth="1" style="203" min="3" max="3"/>
    <col width="14.33203125" customWidth="1" style="203" min="4" max="4"/>
    <col width="6.83203125" customWidth="1" style="203" min="5" max="5"/>
    <col width="9.5" customWidth="1" style="203" min="6" max="6"/>
    <col width="8.6640625" customWidth="1" style="203" min="7" max="7"/>
    <col width="11" customWidth="1" style="203" min="8" max="8"/>
    <col width="10.6640625" customWidth="1" style="203" min="9" max="9"/>
    <col width="14.5" customWidth="1" style="203" min="10" max="10"/>
    <col width="11.6640625" customWidth="1" style="203" min="11" max="11"/>
    <col width="11.5" customWidth="1" style="203" min="12" max="16384"/>
  </cols>
  <sheetData>
    <row r="1" ht="34.9" customHeight="1">
      <c r="A1" s="201" t="inlineStr">
        <is>
          <t>2021 APPEAL WORKSHEET</t>
        </is>
      </c>
      <c r="B1" s="202" t="n"/>
      <c r="C1" s="202" t="n"/>
      <c r="D1" s="202" t="n"/>
      <c r="E1" s="202" t="n"/>
      <c r="F1" s="202" t="n"/>
      <c r="G1" s="202" t="n"/>
      <c r="H1" s="202" t="n"/>
      <c r="I1" s="202" t="n"/>
      <c r="J1" s="202" t="n"/>
      <c r="K1" s="202" t="n"/>
    </row>
    <row r="2" ht="16.15" customHeight="1">
      <c r="A2" s="203" t="inlineStr">
        <is>
          <t>ACCOUNT NUMBER</t>
        </is>
      </c>
      <c r="D2" s="315" t="inlineStr">
        <is>
          <t> </t>
        </is>
      </c>
      <c r="E2" s="204" t="n"/>
      <c r="F2" s="204" t="n"/>
      <c r="G2" s="204" t="n"/>
      <c r="H2" s="204" t="n"/>
    </row>
    <row r="3" ht="16.15" customHeight="1">
      <c r="A3" s="203" t="inlineStr">
        <is>
          <t>PROPERTY ADDRESS</t>
        </is>
      </c>
      <c r="D3" s="316" t="inlineStr">
        <is>
          <t> </t>
        </is>
      </c>
      <c r="E3" s="205" t="n"/>
      <c r="F3" s="205" t="n"/>
      <c r="G3" s="205" t="n"/>
      <c r="H3" s="205" t="n"/>
    </row>
    <row r="4" ht="16.15" customHeight="1">
      <c r="A4" s="203" t="inlineStr">
        <is>
          <t>PROTEST NUMBER</t>
        </is>
      </c>
      <c r="D4" s="316" t="inlineStr">
        <is>
          <t> </t>
        </is>
      </c>
      <c r="E4" s="205" t="n"/>
      <c r="F4" s="205" t="n"/>
      <c r="G4" s="205" t="n"/>
      <c r="H4" s="205" t="n"/>
    </row>
    <row r="5" ht="16.15" customHeight="1">
      <c r="A5" s="203" t="inlineStr">
        <is>
          <t>PETITIONER'S NAME</t>
        </is>
      </c>
      <c r="D5" s="316" t="inlineStr">
        <is>
          <t> </t>
        </is>
      </c>
      <c r="E5" s="205" t="n"/>
      <c r="F5" s="205" t="n"/>
      <c r="G5" s="205" t="n"/>
      <c r="H5" s="205" t="n"/>
    </row>
    <row r="7" ht="15.75" customHeight="1">
      <c r="A7" s="206"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8" ht="15" customHeight="1">
      <c r="A18" s="319" t="inlineStr">
        <is>
          <t>MARKET RENT COMPARABLES</t>
        </is>
      </c>
      <c r="B18" s="320" t="n"/>
      <c r="C18" s="320" t="n"/>
      <c r="D18" s="321" t="n"/>
      <c r="E18" s="321" t="n"/>
      <c r="F18" s="320" t="n"/>
      <c r="G18" s="320" t="n"/>
      <c r="H18" s="322" t="inlineStr">
        <is>
          <t>BUILDING</t>
        </is>
      </c>
      <c r="I18" s="322" t="n"/>
      <c r="J18" s="322" t="n"/>
      <c r="K18" s="323" t="inlineStr">
        <is>
          <t>EXP</t>
        </is>
      </c>
    </row>
    <row r="19" ht="15" customHeight="1">
      <c r="A19" s="324" t="n"/>
      <c r="B19" s="325" t="inlineStr">
        <is>
          <t>OFFICE</t>
        </is>
      </c>
      <c r="C19" s="326" t="inlineStr">
        <is>
          <t>USE TYPE</t>
        </is>
      </c>
      <c r="D19" s="327" t="n"/>
      <c r="E19" s="327" t="n"/>
      <c r="F19" s="328" t="inlineStr">
        <is>
          <t>ZONE</t>
        </is>
      </c>
      <c r="G19" s="325" t="inlineStr">
        <is>
          <t>YOC</t>
        </is>
      </c>
      <c r="H19" s="329" t="inlineStr">
        <is>
          <t>SQ FT</t>
        </is>
      </c>
      <c r="I19" s="343" t="inlineStr">
        <is>
          <t>RENT</t>
        </is>
      </c>
      <c r="J19" s="343" t="inlineStr">
        <is>
          <t>VACANCY</t>
        </is>
      </c>
      <c r="K19" s="330"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319" t="inlineStr">
        <is>
          <t>MARKET SALE COMPARABLES</t>
        </is>
      </c>
      <c r="B26" s="320" t="n"/>
      <c r="C26" s="320" t="n"/>
      <c r="D26" s="320" t="n"/>
      <c r="E26" s="320" t="n"/>
      <c r="F26" s="320" t="n"/>
      <c r="G26" s="320" t="n"/>
      <c r="H26" s="331" t="inlineStr">
        <is>
          <t>BUILDING</t>
        </is>
      </c>
      <c r="I26" s="331" t="inlineStr">
        <is>
          <t>SALE</t>
        </is>
      </c>
      <c r="J26" s="331" t="inlineStr">
        <is>
          <t>SALE</t>
        </is>
      </c>
      <c r="K26" s="332" t="inlineStr">
        <is>
          <t>S.P./</t>
        </is>
      </c>
    </row>
    <row r="27" ht="15" customHeight="1">
      <c r="A27" s="333" t="n"/>
      <c r="B27" s="334" t="inlineStr">
        <is>
          <t>PROPERTY ADDRESS</t>
        </is>
      </c>
      <c r="C27" s="334" t="n"/>
      <c r="D27" s="334" t="inlineStr">
        <is>
          <t>ACCOUNT NUMBER</t>
        </is>
      </c>
      <c r="E27" s="334" t="n"/>
      <c r="F27" s="334" t="n"/>
      <c r="G27" s="339" t="inlineStr">
        <is>
          <t>YOC</t>
        </is>
      </c>
      <c r="H27" s="335" t="inlineStr">
        <is>
          <t>SQ FT</t>
        </is>
      </c>
      <c r="I27" s="335" t="inlineStr">
        <is>
          <t>DATE</t>
        </is>
      </c>
      <c r="J27" s="335" t="inlineStr">
        <is>
          <t>PRICE</t>
        </is>
      </c>
      <c r="K27" s="336"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1)</t>
        </is>
      </c>
      <c r="B30" s="513">
        <f>IF(Sales!D$2="","",Sales!D$2)</f>
        <v/>
      </c>
      <c r="D30" s="513">
        <f>IF(Sales!C$2="","",Sales!C$2)</f>
        <v/>
      </c>
      <c r="G30" s="341">
        <f>IF(Sales!M$2="","",Sales!M$2)</f>
        <v/>
      </c>
      <c r="H30" s="215">
        <f>IF(Sales!L$2="","",Sales!L$2)</f>
        <v/>
      </c>
      <c r="I30" s="590">
        <f>IF(Sales!I$2="","",Sales!I$2)</f>
        <v/>
      </c>
      <c r="J30" s="591">
        <f>IF(Sales!AA$2="","",Sales!AA$2)</f>
        <v/>
      </c>
      <c r="K30" s="589">
        <f>IF(Sales!H$2="","",Sales!H$2)</f>
        <v/>
      </c>
    </row>
    <row r="31" ht="15" customHeight="1">
      <c r="A31" s="317" t="inlineStr">
        <is>
          <t>2)</t>
        </is>
      </c>
      <c r="B31" s="513">
        <f>IF(Sales!D$3="","",Sales!D$3)</f>
        <v/>
      </c>
      <c r="D31" s="513">
        <f>IF(Sales!C$3="","",Sales!C$3)</f>
        <v/>
      </c>
      <c r="G31" s="341">
        <f>IF(Sales!M$3="","",Sales!M$3)</f>
        <v/>
      </c>
      <c r="H31" s="215">
        <f>IF(Sales!L$3="","",Sales!L$3)</f>
        <v/>
      </c>
      <c r="I31" s="590">
        <f>IF(Sales!I$3="","",Sales!I$3)</f>
        <v/>
      </c>
      <c r="J31" s="591">
        <f>IF(Sales!AA$3="","",Sales!AA$3)</f>
        <v/>
      </c>
      <c r="K31" s="589">
        <f>IF(Sales!H$3="","",Sales!H$3)</f>
        <v/>
      </c>
    </row>
    <row r="32" ht="15" customHeight="1">
      <c r="A32" s="318" t="inlineStr">
        <is>
          <t>3)</t>
        </is>
      </c>
      <c r="B32" s="514">
        <f>IF(Sales!D$4="","",Sales!D$4)</f>
        <v/>
      </c>
      <c r="C32" s="592" t="n"/>
      <c r="D32" s="514">
        <f>IF(Sales!C$4="","",Sales!C$4)</f>
        <v/>
      </c>
      <c r="E32" s="592" t="n"/>
      <c r="F32" s="592" t="n"/>
      <c r="G32" s="342">
        <f>IF(Sales!M$4="","",Sales!M$4)</f>
        <v/>
      </c>
      <c r="H32" s="216">
        <f>IF(Sales!L$4="","",Sales!L$4)</f>
        <v/>
      </c>
      <c r="I32" s="593">
        <f>IF(Sales!I$4="","",Sales!I$4)</f>
        <v/>
      </c>
      <c r="J32" s="594">
        <f>IF(Sales!AA$4="","",Sales!AA$4)</f>
        <v/>
      </c>
      <c r="K32" s="595">
        <f>IF(Sales!H$4="","",Sales!H$4)</f>
        <v/>
      </c>
    </row>
    <row r="34" ht="15.75" customHeight="1">
      <c r="A34" s="224"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4" ht="15.75" customHeight="1">
      <c r="A44" s="206" t="inlineStr">
        <is>
          <t>VALUE ALLOCATION OF SUBJECT PROPERTY:</t>
        </is>
      </c>
    </row>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7.xml><?xml version="1.0" encoding="utf-8"?>
<worksheet xmlns="http://schemas.openxmlformats.org/spreadsheetml/2006/main">
  <sheetPr>
    <outlinePr summaryBelow="1" summaryRight="1"/>
    <pageSetUpPr/>
  </sheetPr>
  <dimension ref="A1:M681"/>
  <sheetViews>
    <sheetView showGridLines="0" workbookViewId="0">
      <selection activeCell="A1" sqref="A1"/>
    </sheetView>
  </sheetViews>
  <sheetFormatPr baseColWidth="8" defaultRowHeight="15"/>
  <cols>
    <col width="2" customWidth="1" min="1" max="1"/>
    <col width="34" customWidth="1" min="2" max="2"/>
    <col width="16" customWidth="1" min="3" max="3"/>
    <col width="10" customWidth="1" min="4" max="4"/>
    <col width="60" customWidth="1" min="5" max="5"/>
    <col width="16" customWidth="1" min="6" max="6"/>
    <col width="10" customWidth="1" min="7" max="7"/>
    <col width="10" customWidth="1" min="8" max="8"/>
  </cols>
  <sheetData>
    <row r="1">
      <c r="B1" s="597" t="inlineStr">
        <is>
          <t>MARSHALL AND SWIFT (MVS) REFERENCE ENGINE -- June 2024 Ed. (Section 99/98 multiplier inserts dated Jan 2025)</t>
        </is>
      </c>
    </row>
    <row r="2" ht="28" customHeight="1">
      <c r="B2" s="598" t="inlineStr">
        <is>
          <t>ALL WORKING INPUTS LIVE ON THE 'COST APPROACH' TAB -- this sheet is locked MVS reference/lookup data only. Go to Cost Approach to value a property.</t>
        </is>
      </c>
    </row>
    <row r="3"/>
    <row r="4">
      <c r="B4" s="599" t="inlineStr">
        <is>
          <t>CURRENT RESULT  (mirrors the 'Cost Approach' tab)</t>
        </is>
      </c>
      <c r="C4" s="599" t="n"/>
      <c r="D4" s="599" t="n"/>
      <c r="E4" s="599" t="n"/>
      <c r="F4" s="599" t="n"/>
    </row>
    <row r="5">
      <c r="B5" s="600" t="inlineStr">
        <is>
          <t>Total Replacement Cost New (RCN)</t>
        </is>
      </c>
      <c r="C5" s="601">
        <f>'Cost Approach'!G51</f>
        <v/>
      </c>
    </row>
    <row r="6">
      <c r="B6" s="600" t="inlineStr">
        <is>
          <t>Depreciated Value of Improvements</t>
        </is>
      </c>
      <c r="C6" s="601">
        <f>'Cost Approach'!G64</f>
        <v/>
      </c>
    </row>
    <row r="7">
      <c r="B7" s="600" t="inlineStr">
        <is>
          <t>Plus: Land Value</t>
        </is>
      </c>
      <c r="C7" s="601">
        <f>'Cost Approach'!G67</f>
        <v/>
      </c>
    </row>
    <row r="8">
      <c r="B8" s="600" t="inlineStr">
        <is>
          <t>INDICATED VALUE BY COST APPROACH</t>
        </is>
      </c>
      <c r="C8" s="601">
        <f>'Cost Approach'!G70</f>
        <v/>
      </c>
    </row>
    <row r="9"/>
    <row r="10"/>
    <row r="11">
      <c r="B11" s="602" t="inlineStr">
        <is>
          <t>MVS QUICK-REFERENCE TABLES -- DO NOT EDIT  (sourced &amp;amp; verified from the licensed MVS June 2024 edition; Sec.99/98 multiplier inserts dated Jan 2025)</t>
        </is>
      </c>
      <c r="C11" s="602" t="n"/>
      <c r="D11" s="602" t="n"/>
      <c r="E11" s="602" t="n"/>
      <c r="F11" s="602" t="n"/>
      <c r="G11" s="602" t="n"/>
      <c r="H11" s="602" t="n"/>
    </row>
    <row r="12"/>
    <row r="13">
      <c r="B13" s="603" t="inlineStr">
        <is>
          <t>REFERENCE 1 -- Class of Construction Indicators (MVS Section 1, pp.4-9)</t>
        </is>
      </c>
      <c r="C13" s="603" t="n"/>
      <c r="D13" s="603" t="n"/>
      <c r="E13" s="603" t="n"/>
      <c r="F13" s="603" t="n"/>
      <c r="G13" s="603" t="n"/>
      <c r="H13" s="603" t="n"/>
    </row>
    <row r="14">
      <c r="B14" s="604" t="inlineStr">
        <is>
          <t>Class</t>
        </is>
      </c>
      <c r="C14" s="604" t="inlineStr">
        <is>
          <t>Frame</t>
        </is>
      </c>
      <c r="D14" s="604" t="inlineStr">
        <is>
          <t>Floor</t>
        </is>
      </c>
      <c r="E14" s="604" t="inlineStr">
        <is>
          <t>Roof</t>
        </is>
      </c>
      <c r="F14" s="604" t="inlineStr">
        <is>
          <t>Walls</t>
        </is>
      </c>
    </row>
    <row r="15" ht="45" customHeight="1">
      <c r="B15" s="605" t="inlineStr">
        <is>
          <t>A</t>
        </is>
      </c>
      <c r="C15" s="605" t="inlineStr">
        <is>
          <t>Structural steel columns and beams, fireproofed with masonry, concrete, plaster, or other noncombustible material.</t>
        </is>
      </c>
      <c r="D15" s="605" t="inlineStr">
        <is>
          <t>Concrete or concrete on steel deck, fireproofed.</t>
        </is>
      </c>
      <c r="E15" s="605" t="inlineStr">
        <is>
          <t>Formed concrete, precast slabs, concrete or gypsum on steel deck, fireproofed.</t>
        </is>
      </c>
      <c r="F15" s="605" t="inlineStr">
        <is>
          <t>Nonbearing curtain walls, masonry, concrete, metal and glass panels, stone, steel studs and masonry, tile or stucco, etc.</t>
        </is>
      </c>
    </row>
    <row r="16" ht="45" customHeight="1">
      <c r="B16" s="605" t="inlineStr">
        <is>
          <t>B</t>
        </is>
      </c>
      <c r="C16" s="605" t="inlineStr">
        <is>
          <t>Reinforced concrete columns and beams.</t>
        </is>
      </c>
      <c r="D16" s="605" t="inlineStr">
        <is>
          <t>Concrete or concrete on steel deck, fireproofed.</t>
        </is>
      </c>
      <c r="E16" s="605" t="inlineStr">
        <is>
          <t>Formed concrete, precast slabs, concrete or gypsum on steel deck, fireproofed.</t>
        </is>
      </c>
      <c r="F16" s="605" t="inlineStr">
        <is>
          <t>Nonbearing curtain walls, masonry, concrete, metal and glass panels, stone, steel studs and masonry, tile or stucco, etc.</t>
        </is>
      </c>
    </row>
    <row r="17" ht="45" customHeight="1">
      <c r="B17" s="605" t="inlineStr">
        <is>
          <t>C</t>
        </is>
      </c>
      <c r="C17" s="605" t="inlineStr">
        <is>
          <t>Masonry or concrete load-bearing walls with or without pilasters. Masonry, concrete or curtain walls with full or partial open steel, wood, or concrete frame.</t>
        </is>
      </c>
      <c r="D17" s="605" t="inlineStr">
        <is>
          <t>Wood or concrete plank on wood or steel floor joists, or concrete slab on grade.</t>
        </is>
      </c>
      <c r="E17" s="605" t="inlineStr">
        <is>
          <t>Wood or steel joists with wood or steel deck. Concrete plank.</t>
        </is>
      </c>
      <c r="F17" s="605" t="inlineStr">
        <is>
          <t>Brick, concrete block, or tile masonry, tilt-up, formed concrete, nonbearing curtain walls.</t>
        </is>
      </c>
    </row>
    <row r="18" ht="45" customHeight="1">
      <c r="B18" s="605" t="inlineStr">
        <is>
          <t>D</t>
        </is>
      </c>
      <c r="C18" s="605" t="inlineStr">
        <is>
          <t>Wood or steel studs in bearing wall, full or partial open wood or steel frame, primarily combustible construction.</t>
        </is>
      </c>
      <c r="D18" s="605" t="inlineStr">
        <is>
          <t>Wood or steel floor joists or concrete slab on grade.</t>
        </is>
      </c>
      <c r="E18" s="605" t="inlineStr">
        <is>
          <t>Wood or steel joists with wood or steel deck.</t>
        </is>
      </c>
      <c r="F18" s="605" t="inlineStr">
        <is>
          <t>Almost any material except bearing or curtain walls of solid masonry or concrete. Generally combustible construction.</t>
        </is>
      </c>
    </row>
    <row r="19" ht="45" customHeight="1">
      <c r="B19" s="605" t="inlineStr">
        <is>
          <t>S</t>
        </is>
      </c>
      <c r="C19" s="605" t="inlineStr">
        <is>
          <t>Metal bents, columns, girders, purlins and girts without fireproofing, incombustible construction.</t>
        </is>
      </c>
      <c r="D19" s="605" t="inlineStr">
        <is>
          <t>Wood or steel deck on steel floor joists, or concrete slab on grade.</t>
        </is>
      </c>
      <c r="E19" s="605" t="inlineStr">
        <is>
          <t>Steel or wood deck on steel joists.</t>
        </is>
      </c>
      <c r="F19" s="605" t="inlineStr">
        <is>
          <t>Metal skin or sandwich panels. Generally incombustible.</t>
        </is>
      </c>
    </row>
    <row r="20"/>
    <row r="21">
      <c r="B21" s="603" t="inlineStr">
        <is>
          <t>REFERENCE 2 -- Quality Tier Definitions (MVS Section 1, pp.10-12)</t>
        </is>
      </c>
      <c r="C21" s="603" t="n"/>
      <c r="D21" s="603" t="n"/>
      <c r="E21" s="603" t="n"/>
      <c r="F21" s="603" t="n"/>
      <c r="G21" s="603" t="n"/>
      <c r="H21" s="603" t="n"/>
    </row>
    <row r="22">
      <c r="B22" s="604" t="inlineStr">
        <is>
          <t>Quality</t>
        </is>
      </c>
      <c r="C22" s="604" t="inlineStr">
        <is>
          <t>Description</t>
        </is>
      </c>
    </row>
    <row r="23" ht="45" customHeight="1">
      <c r="B23" t="inlineStr">
        <is>
          <t>Low Cost</t>
        </is>
      </c>
      <c r="C23" s="605" t="inlineStr">
        <is>
          <t>Constructed to minimum code requirements, little regard for architectural appearance, minimum investment, little ornamentation, minimal/low-quality interior finish.</t>
        </is>
      </c>
    </row>
    <row r="24" ht="45" customHeight="1">
      <c r="B24" t="inlineStr">
        <is>
          <t>Average</t>
        </is>
      </c>
      <c r="C24" s="605" t="inlineStr">
        <is>
          <t>Largest group of buildings constructed (~50% of all buildings). Designed for maximum economic potential without pride-of-ownership amenities. Good standard code construction, simple ornamentation and finishes.</t>
        </is>
      </c>
    </row>
    <row r="25" ht="45" customHeight="1">
      <c r="B25" t="inlineStr">
        <is>
          <t>Good</t>
        </is>
      </c>
      <c r="C25" s="605" t="inlineStr">
        <is>
          <t>Designed for good appearance, comfort and convenience with an element of prestige. Higher-quality ornamental treatment, interiors designed for upper-class rentals, better lighting and mechanical work.</t>
        </is>
      </c>
    </row>
    <row r="26" ht="45" customHeight="1">
      <c r="B26" t="inlineStr">
        <is>
          <t>Excellent</t>
        </is>
      </c>
      <c r="C26" s="605" t="inlineStr">
        <is>
          <t>Prestige buildings. Part of cost is attributable to pride of ownership. Expensive finishes and fixtures; built for established professionals/institutions or high-profile tenants.</t>
        </is>
      </c>
    </row>
    <row r="27"/>
    <row r="28">
      <c r="B28" s="603" t="inlineStr">
        <is>
          <t>REFERENCE 3 -- Occupancy Base Cost Tables (Calculator Method, $/SF)</t>
        </is>
      </c>
      <c r="C28" s="603" t="n"/>
      <c r="D28" s="603" t="n"/>
      <c r="E28" s="603" t="n"/>
      <c r="F28" s="603" t="n"/>
      <c r="G28" s="603" t="n"/>
      <c r="H28" s="603" t="n"/>
    </row>
    <row r="29">
      <c r="B29" s="604" t="inlineStr">
        <is>
          <t>Occupancy Name</t>
        </is>
      </c>
      <c r="C29" s="604" t="inlineStr">
        <is>
          <t>Occ. Code</t>
        </is>
      </c>
      <c r="D29" s="604" t="inlineStr">
        <is>
          <t>Section</t>
        </is>
      </c>
      <c r="E29" s="604" t="inlineStr">
        <is>
          <t>Page</t>
        </is>
      </c>
      <c r="F29" s="604" t="inlineStr">
        <is>
          <t>Class</t>
        </is>
      </c>
      <c r="G29" s="604" t="inlineStr">
        <is>
          <t>Quality</t>
        </is>
      </c>
      <c r="H29" s="604" t="inlineStr">
        <is>
          <t>$/SF</t>
        </is>
      </c>
      <c r="I29" s="604" t="inlineStr">
        <is>
          <t>Lookup Key</t>
        </is>
      </c>
      <c r="J29" s="604" t="inlineStr">
        <is>
          <t>Story Tbl</t>
        </is>
      </c>
      <c r="K29" s="604" t="inlineStr">
        <is>
          <t>Sprinkler Tbl</t>
        </is>
      </c>
      <c r="L29" s="604" t="inlineStr">
        <is>
          <t>Elevator Tbl</t>
        </is>
      </c>
      <c r="M29" s="604" t="inlineStr">
        <is>
          <t>Citation</t>
        </is>
      </c>
    </row>
    <row r="30">
      <c r="B30" t="inlineStr">
        <is>
          <t>Storage Warehouses</t>
        </is>
      </c>
      <c r="C30" t="inlineStr">
        <is>
          <t>406</t>
        </is>
      </c>
      <c r="D30" t="inlineStr">
        <is>
          <t>14</t>
        </is>
      </c>
      <c r="E30" t="inlineStr">
        <is>
          <t>26</t>
        </is>
      </c>
      <c r="F30" t="inlineStr">
        <is>
          <t>A</t>
        </is>
      </c>
      <c r="G30" t="inlineStr">
        <is>
          <t>Good</t>
        </is>
      </c>
      <c r="H30" s="606" t="n">
        <v>137</v>
      </c>
      <c r="I30">
        <f>B30&amp;"~"&amp;F30&amp;"~"&amp;G30</f>
        <v/>
      </c>
      <c r="J30" t="inlineStr">
        <is>
          <t>14</t>
        </is>
      </c>
      <c r="K30" t="inlineStr">
        <is>
          <t>14</t>
        </is>
      </c>
      <c r="L30" t="inlineStr">
        <is>
          <t>14</t>
        </is>
      </c>
      <c r="M30" t="inlineStr">
        <is>
          <t>MVS Sec.14 p.26</t>
        </is>
      </c>
    </row>
    <row r="31">
      <c r="B31" t="inlineStr">
        <is>
          <t>Storage Warehouses</t>
        </is>
      </c>
      <c r="C31" t="inlineStr">
        <is>
          <t>406</t>
        </is>
      </c>
      <c r="D31" t="inlineStr">
        <is>
          <t>14</t>
        </is>
      </c>
      <c r="E31" t="inlineStr">
        <is>
          <t>26</t>
        </is>
      </c>
      <c r="F31" t="inlineStr">
        <is>
          <t>A</t>
        </is>
      </c>
      <c r="G31" t="inlineStr">
        <is>
          <t>Average</t>
        </is>
      </c>
      <c r="H31" s="606" t="n">
        <v>101</v>
      </c>
      <c r="I31">
        <f>B31&amp;"~"&amp;F31&amp;"~"&amp;G31</f>
        <v/>
      </c>
      <c r="J31" t="inlineStr">
        <is>
          <t>14</t>
        </is>
      </c>
      <c r="K31" t="inlineStr">
        <is>
          <t>14</t>
        </is>
      </c>
      <c r="L31" t="inlineStr">
        <is>
          <t>14</t>
        </is>
      </c>
      <c r="M31" t="inlineStr">
        <is>
          <t>MVS Sec.14 p.26</t>
        </is>
      </c>
    </row>
    <row r="32">
      <c r="B32" t="inlineStr">
        <is>
          <t>Storage Warehouses</t>
        </is>
      </c>
      <c r="C32" t="inlineStr">
        <is>
          <t>406</t>
        </is>
      </c>
      <c r="D32" t="inlineStr">
        <is>
          <t>14</t>
        </is>
      </c>
      <c r="E32" t="inlineStr">
        <is>
          <t>26</t>
        </is>
      </c>
      <c r="F32" t="inlineStr">
        <is>
          <t>A</t>
        </is>
      </c>
      <c r="G32" t="inlineStr">
        <is>
          <t>Low Cost</t>
        </is>
      </c>
      <c r="H32" s="606" t="n">
        <v>79.5</v>
      </c>
      <c r="I32">
        <f>B32&amp;"~"&amp;F32&amp;"~"&amp;G32</f>
        <v/>
      </c>
      <c r="J32" t="inlineStr">
        <is>
          <t>14</t>
        </is>
      </c>
      <c r="K32" t="inlineStr">
        <is>
          <t>14</t>
        </is>
      </c>
      <c r="L32" t="inlineStr">
        <is>
          <t>14</t>
        </is>
      </c>
      <c r="M32" t="inlineStr">
        <is>
          <t>MVS Sec.14 p.26</t>
        </is>
      </c>
    </row>
    <row r="33">
      <c r="B33" t="inlineStr">
        <is>
          <t>Storage Warehouses</t>
        </is>
      </c>
      <c r="C33" t="inlineStr">
        <is>
          <t>406</t>
        </is>
      </c>
      <c r="D33" t="inlineStr">
        <is>
          <t>14</t>
        </is>
      </c>
      <c r="E33" t="inlineStr">
        <is>
          <t>26</t>
        </is>
      </c>
      <c r="F33" t="inlineStr">
        <is>
          <t>B</t>
        </is>
      </c>
      <c r="G33" t="inlineStr">
        <is>
          <t>Good</t>
        </is>
      </c>
      <c r="H33" s="606" t="n">
        <v>121</v>
      </c>
      <c r="I33">
        <f>B33&amp;"~"&amp;F33&amp;"~"&amp;G33</f>
        <v/>
      </c>
      <c r="J33" t="inlineStr">
        <is>
          <t>14</t>
        </is>
      </c>
      <c r="K33" t="inlineStr">
        <is>
          <t>14</t>
        </is>
      </c>
      <c r="L33" t="inlineStr">
        <is>
          <t>14</t>
        </is>
      </c>
      <c r="M33" t="inlineStr">
        <is>
          <t>MVS Sec.14 p.26</t>
        </is>
      </c>
    </row>
    <row r="34">
      <c r="B34" t="inlineStr">
        <is>
          <t>Storage Warehouses</t>
        </is>
      </c>
      <c r="C34" t="inlineStr">
        <is>
          <t>406</t>
        </is>
      </c>
      <c r="D34" t="inlineStr">
        <is>
          <t>14</t>
        </is>
      </c>
      <c r="E34" t="inlineStr">
        <is>
          <t>26</t>
        </is>
      </c>
      <c r="F34" t="inlineStr">
        <is>
          <t>B</t>
        </is>
      </c>
      <c r="G34" t="inlineStr">
        <is>
          <t>Average</t>
        </is>
      </c>
      <c r="H34" s="606" t="n">
        <v>88</v>
      </c>
      <c r="I34">
        <f>B34&amp;"~"&amp;F34&amp;"~"&amp;G34</f>
        <v/>
      </c>
      <c r="J34" t="inlineStr">
        <is>
          <t>14</t>
        </is>
      </c>
      <c r="K34" t="inlineStr">
        <is>
          <t>14</t>
        </is>
      </c>
      <c r="L34" t="inlineStr">
        <is>
          <t>14</t>
        </is>
      </c>
      <c r="M34" t="inlineStr">
        <is>
          <t>MVS Sec.14 p.26</t>
        </is>
      </c>
    </row>
    <row r="35">
      <c r="B35" t="inlineStr">
        <is>
          <t>Storage Warehouses</t>
        </is>
      </c>
      <c r="C35" t="inlineStr">
        <is>
          <t>406</t>
        </is>
      </c>
      <c r="D35" t="inlineStr">
        <is>
          <t>14</t>
        </is>
      </c>
      <c r="E35" t="inlineStr">
        <is>
          <t>26</t>
        </is>
      </c>
      <c r="F35" t="inlineStr">
        <is>
          <t>B</t>
        </is>
      </c>
      <c r="G35" t="inlineStr">
        <is>
          <t>Low Cost</t>
        </is>
      </c>
      <c r="H35" s="606" t="n">
        <v>69</v>
      </c>
      <c r="I35">
        <f>B35&amp;"~"&amp;F35&amp;"~"&amp;G35</f>
        <v/>
      </c>
      <c r="J35" t="inlineStr">
        <is>
          <t>14</t>
        </is>
      </c>
      <c r="K35" t="inlineStr">
        <is>
          <t>14</t>
        </is>
      </c>
      <c r="L35" t="inlineStr">
        <is>
          <t>14</t>
        </is>
      </c>
      <c r="M35" t="inlineStr">
        <is>
          <t>MVS Sec.14 p.26</t>
        </is>
      </c>
    </row>
    <row r="36">
      <c r="B36" t="inlineStr">
        <is>
          <t>Storage Warehouses</t>
        </is>
      </c>
      <c r="C36" t="inlineStr">
        <is>
          <t>406</t>
        </is>
      </c>
      <c r="D36" t="inlineStr">
        <is>
          <t>14</t>
        </is>
      </c>
      <c r="E36" t="inlineStr">
        <is>
          <t>26</t>
        </is>
      </c>
      <c r="F36" t="inlineStr">
        <is>
          <t>C</t>
        </is>
      </c>
      <c r="G36" t="inlineStr">
        <is>
          <t>Excellent</t>
        </is>
      </c>
      <c r="H36" s="606" t="n">
        <v>134</v>
      </c>
      <c r="I36">
        <f>B36&amp;"~"&amp;F36&amp;"~"&amp;G36</f>
        <v/>
      </c>
      <c r="J36" t="inlineStr">
        <is>
          <t>14</t>
        </is>
      </c>
      <c r="K36" t="inlineStr">
        <is>
          <t>14</t>
        </is>
      </c>
      <c r="L36" t="inlineStr">
        <is>
          <t>14</t>
        </is>
      </c>
      <c r="M36" t="inlineStr">
        <is>
          <t>MVS Sec.14 p.26</t>
        </is>
      </c>
    </row>
    <row r="37">
      <c r="B37" t="inlineStr">
        <is>
          <t>Storage Warehouses</t>
        </is>
      </c>
      <c r="C37" t="inlineStr">
        <is>
          <t>406</t>
        </is>
      </c>
      <c r="D37" t="inlineStr">
        <is>
          <t>14</t>
        </is>
      </c>
      <c r="E37" t="inlineStr">
        <is>
          <t>26</t>
        </is>
      </c>
      <c r="F37" t="inlineStr">
        <is>
          <t>C</t>
        </is>
      </c>
      <c r="G37" t="inlineStr">
        <is>
          <t>Good</t>
        </is>
      </c>
      <c r="H37" s="606" t="n">
        <v>86.5</v>
      </c>
      <c r="I37">
        <f>B37&amp;"~"&amp;F37&amp;"~"&amp;G37</f>
        <v/>
      </c>
      <c r="J37" t="inlineStr">
        <is>
          <t>14</t>
        </is>
      </c>
      <c r="K37" t="inlineStr">
        <is>
          <t>14</t>
        </is>
      </c>
      <c r="L37" t="inlineStr">
        <is>
          <t>14</t>
        </is>
      </c>
      <c r="M37" t="inlineStr">
        <is>
          <t>MVS Sec.14 p.26</t>
        </is>
      </c>
    </row>
    <row r="38">
      <c r="B38" t="inlineStr">
        <is>
          <t>Storage Warehouses</t>
        </is>
      </c>
      <c r="C38" t="inlineStr">
        <is>
          <t>406</t>
        </is>
      </c>
      <c r="D38" t="inlineStr">
        <is>
          <t>14</t>
        </is>
      </c>
      <c r="E38" t="inlineStr">
        <is>
          <t>26</t>
        </is>
      </c>
      <c r="F38" t="inlineStr">
        <is>
          <t>C</t>
        </is>
      </c>
      <c r="G38" t="inlineStr">
        <is>
          <t>Average</t>
        </is>
      </c>
      <c r="H38" s="606" t="n">
        <v>61</v>
      </c>
      <c r="I38">
        <f>B38&amp;"~"&amp;F38&amp;"~"&amp;G38</f>
        <v/>
      </c>
      <c r="J38" t="inlineStr">
        <is>
          <t>14</t>
        </is>
      </c>
      <c r="K38" t="inlineStr">
        <is>
          <t>14</t>
        </is>
      </c>
      <c r="L38" t="inlineStr">
        <is>
          <t>14</t>
        </is>
      </c>
      <c r="M38" t="inlineStr">
        <is>
          <t>MVS Sec.14 p.26</t>
        </is>
      </c>
    </row>
    <row r="39">
      <c r="B39" t="inlineStr">
        <is>
          <t>Storage Warehouses</t>
        </is>
      </c>
      <c r="C39" t="inlineStr">
        <is>
          <t>406</t>
        </is>
      </c>
      <c r="D39" t="inlineStr">
        <is>
          <t>14</t>
        </is>
      </c>
      <c r="E39" t="inlineStr">
        <is>
          <t>26</t>
        </is>
      </c>
      <c r="F39" t="inlineStr">
        <is>
          <t>C</t>
        </is>
      </c>
      <c r="G39" t="inlineStr">
        <is>
          <t>Low Cost</t>
        </is>
      </c>
      <c r="H39" s="606" t="n">
        <v>43</v>
      </c>
      <c r="I39">
        <f>B39&amp;"~"&amp;F39&amp;"~"&amp;G39</f>
        <v/>
      </c>
      <c r="J39" t="inlineStr">
        <is>
          <t>14</t>
        </is>
      </c>
      <c r="K39" t="inlineStr">
        <is>
          <t>14</t>
        </is>
      </c>
      <c r="L39" t="inlineStr">
        <is>
          <t>14</t>
        </is>
      </c>
      <c r="M39" t="inlineStr">
        <is>
          <t>MVS Sec.14 p.26</t>
        </is>
      </c>
    </row>
    <row r="40">
      <c r="B40" t="inlineStr">
        <is>
          <t>Storage Warehouses</t>
        </is>
      </c>
      <c r="C40" t="inlineStr">
        <is>
          <t>406</t>
        </is>
      </c>
      <c r="D40" t="inlineStr">
        <is>
          <t>14</t>
        </is>
      </c>
      <c r="E40" t="inlineStr">
        <is>
          <t>26</t>
        </is>
      </c>
      <c r="F40" t="inlineStr">
        <is>
          <t>CMILL</t>
        </is>
      </c>
      <c r="G40" t="inlineStr">
        <is>
          <t>Good</t>
        </is>
      </c>
      <c r="H40" s="606" t="n">
        <v>119</v>
      </c>
      <c r="I40">
        <f>B40&amp;"~"&amp;F40&amp;"~"&amp;G40</f>
        <v/>
      </c>
      <c r="J40" t="inlineStr">
        <is>
          <t>14</t>
        </is>
      </c>
      <c r="K40" t="inlineStr">
        <is>
          <t>14</t>
        </is>
      </c>
      <c r="L40" t="inlineStr">
        <is>
          <t>14</t>
        </is>
      </c>
      <c r="M40" t="inlineStr">
        <is>
          <t>MVS Sec.14 p.26</t>
        </is>
      </c>
    </row>
    <row r="41">
      <c r="B41" t="inlineStr">
        <is>
          <t>Storage Warehouses</t>
        </is>
      </c>
      <c r="C41" t="inlineStr">
        <is>
          <t>406</t>
        </is>
      </c>
      <c r="D41" t="inlineStr">
        <is>
          <t>14</t>
        </is>
      </c>
      <c r="E41" t="inlineStr">
        <is>
          <t>26</t>
        </is>
      </c>
      <c r="F41" t="inlineStr">
        <is>
          <t>CMILL</t>
        </is>
      </c>
      <c r="G41" t="inlineStr">
        <is>
          <t>Average</t>
        </is>
      </c>
      <c r="H41" s="606" t="n">
        <v>82</v>
      </c>
      <c r="I41">
        <f>B41&amp;"~"&amp;F41&amp;"~"&amp;G41</f>
        <v/>
      </c>
      <c r="J41" t="inlineStr">
        <is>
          <t>14</t>
        </is>
      </c>
      <c r="K41" t="inlineStr">
        <is>
          <t>14</t>
        </is>
      </c>
      <c r="L41" t="inlineStr">
        <is>
          <t>14</t>
        </is>
      </c>
      <c r="M41" t="inlineStr">
        <is>
          <t>MVS Sec.14 p.26</t>
        </is>
      </c>
    </row>
    <row r="42">
      <c r="B42" t="inlineStr">
        <is>
          <t>Storage Warehouses</t>
        </is>
      </c>
      <c r="C42" t="inlineStr">
        <is>
          <t>406</t>
        </is>
      </c>
      <c r="D42" t="inlineStr">
        <is>
          <t>14</t>
        </is>
      </c>
      <c r="E42" t="inlineStr">
        <is>
          <t>26</t>
        </is>
      </c>
      <c r="F42" t="inlineStr">
        <is>
          <t>D</t>
        </is>
      </c>
      <c r="G42" t="inlineStr">
        <is>
          <t>Good</t>
        </is>
      </c>
      <c r="H42" s="606" t="n">
        <v>78</v>
      </c>
      <c r="I42">
        <f>B42&amp;"~"&amp;F42&amp;"~"&amp;G42</f>
        <v/>
      </c>
      <c r="J42" t="inlineStr">
        <is>
          <t>14</t>
        </is>
      </c>
      <c r="K42" t="inlineStr">
        <is>
          <t>14</t>
        </is>
      </c>
      <c r="L42" t="inlineStr">
        <is>
          <t>14</t>
        </is>
      </c>
      <c r="M42" t="inlineStr">
        <is>
          <t>MVS Sec.14 p.26</t>
        </is>
      </c>
    </row>
    <row r="43">
      <c r="B43" t="inlineStr">
        <is>
          <t>Storage Warehouses</t>
        </is>
      </c>
      <c r="C43" t="inlineStr">
        <is>
          <t>406</t>
        </is>
      </c>
      <c r="D43" t="inlineStr">
        <is>
          <t>14</t>
        </is>
      </c>
      <c r="E43" t="inlineStr">
        <is>
          <t>26</t>
        </is>
      </c>
      <c r="F43" t="inlineStr">
        <is>
          <t>D</t>
        </is>
      </c>
      <c r="G43" t="inlineStr">
        <is>
          <t>Average</t>
        </is>
      </c>
      <c r="H43" s="606" t="n">
        <v>54.5</v>
      </c>
      <c r="I43">
        <f>B43&amp;"~"&amp;F43&amp;"~"&amp;G43</f>
        <v/>
      </c>
      <c r="J43" t="inlineStr">
        <is>
          <t>14</t>
        </is>
      </c>
      <c r="K43" t="inlineStr">
        <is>
          <t>14</t>
        </is>
      </c>
      <c r="L43" t="inlineStr">
        <is>
          <t>14</t>
        </is>
      </c>
      <c r="M43" t="inlineStr">
        <is>
          <t>MVS Sec.14 p.26</t>
        </is>
      </c>
    </row>
    <row r="44">
      <c r="B44" t="inlineStr">
        <is>
          <t>Storage Warehouses</t>
        </is>
      </c>
      <c r="C44" t="inlineStr">
        <is>
          <t>406</t>
        </is>
      </c>
      <c r="D44" t="inlineStr">
        <is>
          <t>14</t>
        </is>
      </c>
      <c r="E44" t="inlineStr">
        <is>
          <t>26</t>
        </is>
      </c>
      <c r="F44" t="inlineStr">
        <is>
          <t>D</t>
        </is>
      </c>
      <c r="G44" t="inlineStr">
        <is>
          <t>Low Cost</t>
        </is>
      </c>
      <c r="H44" s="606" t="n">
        <v>38.75</v>
      </c>
      <c r="I44">
        <f>B44&amp;"~"&amp;F44&amp;"~"&amp;G44</f>
        <v/>
      </c>
      <c r="J44" t="inlineStr">
        <is>
          <t>14</t>
        </is>
      </c>
      <c r="K44" t="inlineStr">
        <is>
          <t>14</t>
        </is>
      </c>
      <c r="L44" t="inlineStr">
        <is>
          <t>14</t>
        </is>
      </c>
      <c r="M44" t="inlineStr">
        <is>
          <t>MVS Sec.14 p.26</t>
        </is>
      </c>
    </row>
    <row r="45">
      <c r="B45" t="inlineStr">
        <is>
          <t>Storage Warehouses</t>
        </is>
      </c>
      <c r="C45" t="inlineStr">
        <is>
          <t>406</t>
        </is>
      </c>
      <c r="D45" t="inlineStr">
        <is>
          <t>14</t>
        </is>
      </c>
      <c r="E45" t="inlineStr">
        <is>
          <t>26</t>
        </is>
      </c>
      <c r="F45" t="inlineStr">
        <is>
          <t>DPOLE</t>
        </is>
      </c>
      <c r="G45" t="inlineStr">
        <is>
          <t>Average</t>
        </is>
      </c>
      <c r="H45" s="606" t="n">
        <v>48</v>
      </c>
      <c r="I45">
        <f>B45&amp;"~"&amp;F45&amp;"~"&amp;G45</f>
        <v/>
      </c>
      <c r="J45" t="inlineStr">
        <is>
          <t>14</t>
        </is>
      </c>
      <c r="K45" t="inlineStr">
        <is>
          <t>14</t>
        </is>
      </c>
      <c r="L45" t="inlineStr">
        <is>
          <t>14</t>
        </is>
      </c>
      <c r="M45" t="inlineStr">
        <is>
          <t>MVS Sec.14 p.26</t>
        </is>
      </c>
    </row>
    <row r="46">
      <c r="B46" t="inlineStr">
        <is>
          <t>Storage Warehouses</t>
        </is>
      </c>
      <c r="C46" t="inlineStr">
        <is>
          <t>406</t>
        </is>
      </c>
      <c r="D46" t="inlineStr">
        <is>
          <t>14</t>
        </is>
      </c>
      <c r="E46" t="inlineStr">
        <is>
          <t>26</t>
        </is>
      </c>
      <c r="F46" t="inlineStr">
        <is>
          <t>DPOLE</t>
        </is>
      </c>
      <c r="G46" t="inlineStr">
        <is>
          <t>Low Cost</t>
        </is>
      </c>
      <c r="H46" s="606" t="n">
        <v>34</v>
      </c>
      <c r="I46">
        <f>B46&amp;"~"&amp;F46&amp;"~"&amp;G46</f>
        <v/>
      </c>
      <c r="J46" t="inlineStr">
        <is>
          <t>14</t>
        </is>
      </c>
      <c r="K46" t="inlineStr">
        <is>
          <t>14</t>
        </is>
      </c>
      <c r="L46" t="inlineStr">
        <is>
          <t>14</t>
        </is>
      </c>
      <c r="M46" t="inlineStr">
        <is>
          <t>MVS Sec.14 p.26</t>
        </is>
      </c>
    </row>
    <row r="47">
      <c r="B47" t="inlineStr">
        <is>
          <t>Storage Warehouses</t>
        </is>
      </c>
      <c r="C47" t="inlineStr">
        <is>
          <t>406</t>
        </is>
      </c>
      <c r="D47" t="inlineStr">
        <is>
          <t>14</t>
        </is>
      </c>
      <c r="E47" t="inlineStr">
        <is>
          <t>26</t>
        </is>
      </c>
      <c r="F47" t="inlineStr">
        <is>
          <t>S</t>
        </is>
      </c>
      <c r="G47" t="inlineStr">
        <is>
          <t>Excellent</t>
        </is>
      </c>
      <c r="H47" s="606" t="n">
        <v>125</v>
      </c>
      <c r="I47">
        <f>B47&amp;"~"&amp;F47&amp;"~"&amp;G47</f>
        <v/>
      </c>
      <c r="J47" t="inlineStr">
        <is>
          <t>14</t>
        </is>
      </c>
      <c r="K47" t="inlineStr">
        <is>
          <t>14</t>
        </is>
      </c>
      <c r="L47" t="inlineStr">
        <is>
          <t>14</t>
        </is>
      </c>
      <c r="M47" t="inlineStr">
        <is>
          <t>MVS Sec.14 p.26</t>
        </is>
      </c>
    </row>
    <row r="48">
      <c r="B48" t="inlineStr">
        <is>
          <t>Storage Warehouses</t>
        </is>
      </c>
      <c r="C48" t="inlineStr">
        <is>
          <t>406</t>
        </is>
      </c>
      <c r="D48" t="inlineStr">
        <is>
          <t>14</t>
        </is>
      </c>
      <c r="E48" t="inlineStr">
        <is>
          <t>26</t>
        </is>
      </c>
      <c r="F48" t="inlineStr">
        <is>
          <t>S</t>
        </is>
      </c>
      <c r="G48" t="inlineStr">
        <is>
          <t>Good</t>
        </is>
      </c>
      <c r="H48" s="606" t="n">
        <v>79.5</v>
      </c>
      <c r="I48">
        <f>B48&amp;"~"&amp;F48&amp;"~"&amp;G48</f>
        <v/>
      </c>
      <c r="J48" t="inlineStr">
        <is>
          <t>14</t>
        </is>
      </c>
      <c r="K48" t="inlineStr">
        <is>
          <t>14</t>
        </is>
      </c>
      <c r="L48" t="inlineStr">
        <is>
          <t>14</t>
        </is>
      </c>
      <c r="M48" t="inlineStr">
        <is>
          <t>MVS Sec.14 p.26</t>
        </is>
      </c>
    </row>
    <row r="49">
      <c r="B49" t="inlineStr">
        <is>
          <t>Storage Warehouses</t>
        </is>
      </c>
      <c r="C49" t="inlineStr">
        <is>
          <t>406</t>
        </is>
      </c>
      <c r="D49" t="inlineStr">
        <is>
          <t>14</t>
        </is>
      </c>
      <c r="E49" t="inlineStr">
        <is>
          <t>26</t>
        </is>
      </c>
      <c r="F49" t="inlineStr">
        <is>
          <t>S</t>
        </is>
      </c>
      <c r="G49" t="inlineStr">
        <is>
          <t>Average</t>
        </is>
      </c>
      <c r="H49" s="606" t="n">
        <v>55.5</v>
      </c>
      <c r="I49">
        <f>B49&amp;"~"&amp;F49&amp;"~"&amp;G49</f>
        <v/>
      </c>
      <c r="J49" t="inlineStr">
        <is>
          <t>14</t>
        </is>
      </c>
      <c r="K49" t="inlineStr">
        <is>
          <t>14</t>
        </is>
      </c>
      <c r="L49" t="inlineStr">
        <is>
          <t>14</t>
        </is>
      </c>
      <c r="M49" t="inlineStr">
        <is>
          <t>MVS Sec.14 p.26</t>
        </is>
      </c>
    </row>
    <row r="50">
      <c r="B50" t="inlineStr">
        <is>
          <t>Storage Warehouses</t>
        </is>
      </c>
      <c r="C50" t="inlineStr">
        <is>
          <t>406</t>
        </is>
      </c>
      <c r="D50" t="inlineStr">
        <is>
          <t>14</t>
        </is>
      </c>
      <c r="E50" t="inlineStr">
        <is>
          <t>26</t>
        </is>
      </c>
      <c r="F50" t="inlineStr">
        <is>
          <t>S</t>
        </is>
      </c>
      <c r="G50" t="inlineStr">
        <is>
          <t>Low Cost</t>
        </is>
      </c>
      <c r="H50" s="606" t="n">
        <v>38.75</v>
      </c>
      <c r="I50">
        <f>B50&amp;"~"&amp;F50&amp;"~"&amp;G50</f>
        <v/>
      </c>
      <c r="J50" t="inlineStr">
        <is>
          <t>14</t>
        </is>
      </c>
      <c r="K50" t="inlineStr">
        <is>
          <t>14</t>
        </is>
      </c>
      <c r="L50" t="inlineStr">
        <is>
          <t>14</t>
        </is>
      </c>
      <c r="M50" t="inlineStr">
        <is>
          <t>MVS Sec.14 p.26</t>
        </is>
      </c>
    </row>
    <row r="51">
      <c r="B51" t="inlineStr">
        <is>
          <t>Distribution Warehouses</t>
        </is>
      </c>
      <c r="C51" t="inlineStr">
        <is>
          <t>407</t>
        </is>
      </c>
      <c r="D51" t="inlineStr">
        <is>
          <t>14</t>
        </is>
      </c>
      <c r="E51" t="inlineStr">
        <is>
          <t>23</t>
        </is>
      </c>
      <c r="F51" t="inlineStr">
        <is>
          <t>A</t>
        </is>
      </c>
      <c r="G51" t="inlineStr">
        <is>
          <t>Good</t>
        </is>
      </c>
      <c r="H51" s="606" t="n">
        <v>161</v>
      </c>
      <c r="I51">
        <f>B51&amp;"~"&amp;F51&amp;"~"&amp;G51</f>
        <v/>
      </c>
      <c r="J51" t="inlineStr">
        <is>
          <t>14</t>
        </is>
      </c>
      <c r="K51" t="inlineStr">
        <is>
          <t>14</t>
        </is>
      </c>
      <c r="L51" t="inlineStr">
        <is>
          <t>14</t>
        </is>
      </c>
      <c r="M51" t="inlineStr">
        <is>
          <t>MVS Sec.14 p.23</t>
        </is>
      </c>
    </row>
    <row r="52">
      <c r="B52" t="inlineStr">
        <is>
          <t>Distribution Warehouses</t>
        </is>
      </c>
      <c r="C52" t="inlineStr">
        <is>
          <t>407</t>
        </is>
      </c>
      <c r="D52" t="inlineStr">
        <is>
          <t>14</t>
        </is>
      </c>
      <c r="E52" t="inlineStr">
        <is>
          <t>23</t>
        </is>
      </c>
      <c r="F52" t="inlineStr">
        <is>
          <t>A</t>
        </is>
      </c>
      <c r="G52" t="inlineStr">
        <is>
          <t>Average</t>
        </is>
      </c>
      <c r="H52" s="606" t="n">
        <v>123</v>
      </c>
      <c r="I52">
        <f>B52&amp;"~"&amp;F52&amp;"~"&amp;G52</f>
        <v/>
      </c>
      <c r="J52" t="inlineStr">
        <is>
          <t>14</t>
        </is>
      </c>
      <c r="K52" t="inlineStr">
        <is>
          <t>14</t>
        </is>
      </c>
      <c r="L52" t="inlineStr">
        <is>
          <t>14</t>
        </is>
      </c>
      <c r="M52" t="inlineStr">
        <is>
          <t>MVS Sec.14 p.23</t>
        </is>
      </c>
    </row>
    <row r="53">
      <c r="B53" t="inlineStr">
        <is>
          <t>Distribution Warehouses</t>
        </is>
      </c>
      <c r="C53" t="inlineStr">
        <is>
          <t>407</t>
        </is>
      </c>
      <c r="D53" t="inlineStr">
        <is>
          <t>14</t>
        </is>
      </c>
      <c r="E53" t="inlineStr">
        <is>
          <t>23</t>
        </is>
      </c>
      <c r="F53" t="inlineStr">
        <is>
          <t>B</t>
        </is>
      </c>
      <c r="G53" t="inlineStr">
        <is>
          <t>Good</t>
        </is>
      </c>
      <c r="H53" s="606" t="n">
        <v>144</v>
      </c>
      <c r="I53">
        <f>B53&amp;"~"&amp;F53&amp;"~"&amp;G53</f>
        <v/>
      </c>
      <c r="J53" t="inlineStr">
        <is>
          <t>14</t>
        </is>
      </c>
      <c r="K53" t="inlineStr">
        <is>
          <t>14</t>
        </is>
      </c>
      <c r="L53" t="inlineStr">
        <is>
          <t>14</t>
        </is>
      </c>
      <c r="M53" t="inlineStr">
        <is>
          <t>MVS Sec.14 p.23</t>
        </is>
      </c>
    </row>
    <row r="54">
      <c r="B54" t="inlineStr">
        <is>
          <t>Distribution Warehouses</t>
        </is>
      </c>
      <c r="C54" t="inlineStr">
        <is>
          <t>407</t>
        </is>
      </c>
      <c r="D54" t="inlineStr">
        <is>
          <t>14</t>
        </is>
      </c>
      <c r="E54" t="inlineStr">
        <is>
          <t>23</t>
        </is>
      </c>
      <c r="F54" t="inlineStr">
        <is>
          <t>B</t>
        </is>
      </c>
      <c r="G54" t="inlineStr">
        <is>
          <t>Average</t>
        </is>
      </c>
      <c r="H54" s="606" t="n">
        <v>108</v>
      </c>
      <c r="I54">
        <f>B54&amp;"~"&amp;F54&amp;"~"&amp;G54</f>
        <v/>
      </c>
      <c r="J54" t="inlineStr">
        <is>
          <t>14</t>
        </is>
      </c>
      <c r="K54" t="inlineStr">
        <is>
          <t>14</t>
        </is>
      </c>
      <c r="L54" t="inlineStr">
        <is>
          <t>14</t>
        </is>
      </c>
      <c r="M54" t="inlineStr">
        <is>
          <t>MVS Sec.14 p.23</t>
        </is>
      </c>
    </row>
    <row r="55">
      <c r="B55" t="inlineStr">
        <is>
          <t>Distribution Warehouses</t>
        </is>
      </c>
      <c r="C55" t="inlineStr">
        <is>
          <t>407</t>
        </is>
      </c>
      <c r="D55" t="inlineStr">
        <is>
          <t>14</t>
        </is>
      </c>
      <c r="E55" t="inlineStr">
        <is>
          <t>23</t>
        </is>
      </c>
      <c r="F55" t="inlineStr">
        <is>
          <t>C</t>
        </is>
      </c>
      <c r="G55" t="inlineStr">
        <is>
          <t>Excellent</t>
        </is>
      </c>
      <c r="H55" s="606" t="n">
        <v>150</v>
      </c>
      <c r="I55">
        <f>B55&amp;"~"&amp;F55&amp;"~"&amp;G55</f>
        <v/>
      </c>
      <c r="J55" t="inlineStr">
        <is>
          <t>14</t>
        </is>
      </c>
      <c r="K55" t="inlineStr">
        <is>
          <t>14</t>
        </is>
      </c>
      <c r="L55" t="inlineStr">
        <is>
          <t>14</t>
        </is>
      </c>
      <c r="M55" t="inlineStr">
        <is>
          <t>MVS Sec.14 p.23</t>
        </is>
      </c>
    </row>
    <row r="56">
      <c r="B56" t="inlineStr">
        <is>
          <t>Distribution Warehouses</t>
        </is>
      </c>
      <c r="C56" t="inlineStr">
        <is>
          <t>407</t>
        </is>
      </c>
      <c r="D56" t="inlineStr">
        <is>
          <t>14</t>
        </is>
      </c>
      <c r="E56" t="inlineStr">
        <is>
          <t>23</t>
        </is>
      </c>
      <c r="F56" t="inlineStr">
        <is>
          <t>C</t>
        </is>
      </c>
      <c r="G56" t="inlineStr">
        <is>
          <t>Good</t>
        </is>
      </c>
      <c r="H56" s="606" t="n">
        <v>103</v>
      </c>
      <c r="I56">
        <f>B56&amp;"~"&amp;F56&amp;"~"&amp;G56</f>
        <v/>
      </c>
      <c r="J56" t="inlineStr">
        <is>
          <t>14</t>
        </is>
      </c>
      <c r="K56" t="inlineStr">
        <is>
          <t>14</t>
        </is>
      </c>
      <c r="L56" t="inlineStr">
        <is>
          <t>14</t>
        </is>
      </c>
      <c r="M56" t="inlineStr">
        <is>
          <t>MVS Sec.14 p.23</t>
        </is>
      </c>
    </row>
    <row r="57">
      <c r="B57" t="inlineStr">
        <is>
          <t>Distribution Warehouses</t>
        </is>
      </c>
      <c r="C57" t="inlineStr">
        <is>
          <t>407</t>
        </is>
      </c>
      <c r="D57" t="inlineStr">
        <is>
          <t>14</t>
        </is>
      </c>
      <c r="E57" t="inlineStr">
        <is>
          <t>23</t>
        </is>
      </c>
      <c r="F57" t="inlineStr">
        <is>
          <t>C</t>
        </is>
      </c>
      <c r="G57" t="inlineStr">
        <is>
          <t>Average</t>
        </is>
      </c>
      <c r="H57" s="606" t="n">
        <v>70.5</v>
      </c>
      <c r="I57">
        <f>B57&amp;"~"&amp;F57&amp;"~"&amp;G57</f>
        <v/>
      </c>
      <c r="J57" t="inlineStr">
        <is>
          <t>14</t>
        </is>
      </c>
      <c r="K57" t="inlineStr">
        <is>
          <t>14</t>
        </is>
      </c>
      <c r="L57" t="inlineStr">
        <is>
          <t>14</t>
        </is>
      </c>
      <c r="M57" t="inlineStr">
        <is>
          <t>MVS Sec.14 p.23</t>
        </is>
      </c>
    </row>
    <row r="58">
      <c r="B58" t="inlineStr">
        <is>
          <t>Distribution Warehouses</t>
        </is>
      </c>
      <c r="C58" t="inlineStr">
        <is>
          <t>407</t>
        </is>
      </c>
      <c r="D58" t="inlineStr">
        <is>
          <t>14</t>
        </is>
      </c>
      <c r="E58" t="inlineStr">
        <is>
          <t>23</t>
        </is>
      </c>
      <c r="F58" t="inlineStr">
        <is>
          <t>C</t>
        </is>
      </c>
      <c r="G58" t="inlineStr">
        <is>
          <t>Low Cost</t>
        </is>
      </c>
      <c r="H58" s="606" t="n">
        <v>50.5</v>
      </c>
      <c r="I58">
        <f>B58&amp;"~"&amp;F58&amp;"~"&amp;G58</f>
        <v/>
      </c>
      <c r="J58" t="inlineStr">
        <is>
          <t>14</t>
        </is>
      </c>
      <c r="K58" t="inlineStr">
        <is>
          <t>14</t>
        </is>
      </c>
      <c r="L58" t="inlineStr">
        <is>
          <t>14</t>
        </is>
      </c>
      <c r="M58" t="inlineStr">
        <is>
          <t>MVS Sec.14 p.23</t>
        </is>
      </c>
    </row>
    <row r="59">
      <c r="B59" t="inlineStr">
        <is>
          <t>Distribution Warehouses</t>
        </is>
      </c>
      <c r="C59" t="inlineStr">
        <is>
          <t>407</t>
        </is>
      </c>
      <c r="D59" t="inlineStr">
        <is>
          <t>14</t>
        </is>
      </c>
      <c r="E59" t="inlineStr">
        <is>
          <t>23</t>
        </is>
      </c>
      <c r="F59" t="inlineStr">
        <is>
          <t>D</t>
        </is>
      </c>
      <c r="G59" t="inlineStr">
        <is>
          <t>Good</t>
        </is>
      </c>
      <c r="H59" s="606" t="n">
        <v>92.5</v>
      </c>
      <c r="I59">
        <f>B59&amp;"~"&amp;F59&amp;"~"&amp;G59</f>
        <v/>
      </c>
      <c r="J59" t="inlineStr">
        <is>
          <t>14</t>
        </is>
      </c>
      <c r="K59" t="inlineStr">
        <is>
          <t>14</t>
        </is>
      </c>
      <c r="L59" t="inlineStr">
        <is>
          <t>14</t>
        </is>
      </c>
      <c r="M59" t="inlineStr">
        <is>
          <t>MVS Sec.14 p.23</t>
        </is>
      </c>
    </row>
    <row r="60">
      <c r="B60" t="inlineStr">
        <is>
          <t>Distribution Warehouses</t>
        </is>
      </c>
      <c r="C60" t="inlineStr">
        <is>
          <t>407</t>
        </is>
      </c>
      <c r="D60" t="inlineStr">
        <is>
          <t>14</t>
        </is>
      </c>
      <c r="E60" t="inlineStr">
        <is>
          <t>23</t>
        </is>
      </c>
      <c r="F60" t="inlineStr">
        <is>
          <t>D</t>
        </is>
      </c>
      <c r="G60" t="inlineStr">
        <is>
          <t>Average</t>
        </is>
      </c>
      <c r="H60" s="606" t="n">
        <v>63</v>
      </c>
      <c r="I60">
        <f>B60&amp;"~"&amp;F60&amp;"~"&amp;G60</f>
        <v/>
      </c>
      <c r="J60" t="inlineStr">
        <is>
          <t>14</t>
        </is>
      </c>
      <c r="K60" t="inlineStr">
        <is>
          <t>14</t>
        </is>
      </c>
      <c r="L60" t="inlineStr">
        <is>
          <t>14</t>
        </is>
      </c>
      <c r="M60" t="inlineStr">
        <is>
          <t>MVS Sec.14 p.23</t>
        </is>
      </c>
    </row>
    <row r="61">
      <c r="B61" t="inlineStr">
        <is>
          <t>Distribution Warehouses</t>
        </is>
      </c>
      <c r="C61" t="inlineStr">
        <is>
          <t>407</t>
        </is>
      </c>
      <c r="D61" t="inlineStr">
        <is>
          <t>14</t>
        </is>
      </c>
      <c r="E61" t="inlineStr">
        <is>
          <t>23</t>
        </is>
      </c>
      <c r="F61" t="inlineStr">
        <is>
          <t>DPOLE</t>
        </is>
      </c>
      <c r="G61" t="inlineStr">
        <is>
          <t>Average</t>
        </is>
      </c>
      <c r="H61" s="606" t="n">
        <v>57</v>
      </c>
      <c r="I61">
        <f>B61&amp;"~"&amp;F61&amp;"~"&amp;G61</f>
        <v/>
      </c>
      <c r="J61" t="inlineStr">
        <is>
          <t>14</t>
        </is>
      </c>
      <c r="K61" t="inlineStr">
        <is>
          <t>14</t>
        </is>
      </c>
      <c r="L61" t="inlineStr">
        <is>
          <t>14</t>
        </is>
      </c>
      <c r="M61" t="inlineStr">
        <is>
          <t>MVS Sec.14 p.23</t>
        </is>
      </c>
    </row>
    <row r="62">
      <c r="B62" t="inlineStr">
        <is>
          <t>Distribution Warehouses</t>
        </is>
      </c>
      <c r="C62" t="inlineStr">
        <is>
          <t>407</t>
        </is>
      </c>
      <c r="D62" t="inlineStr">
        <is>
          <t>14</t>
        </is>
      </c>
      <c r="E62" t="inlineStr">
        <is>
          <t>23</t>
        </is>
      </c>
      <c r="F62" t="inlineStr">
        <is>
          <t>DPOLE</t>
        </is>
      </c>
      <c r="G62" t="inlineStr">
        <is>
          <t>Low Cost</t>
        </is>
      </c>
      <c r="H62" s="606" t="n">
        <v>41.25</v>
      </c>
      <c r="I62">
        <f>B62&amp;"~"&amp;F62&amp;"~"&amp;G62</f>
        <v/>
      </c>
      <c r="J62" t="inlineStr">
        <is>
          <t>14</t>
        </is>
      </c>
      <c r="K62" t="inlineStr">
        <is>
          <t>14</t>
        </is>
      </c>
      <c r="L62" t="inlineStr">
        <is>
          <t>14</t>
        </is>
      </c>
      <c r="M62" t="inlineStr">
        <is>
          <t>MVS Sec.14 p.23</t>
        </is>
      </c>
    </row>
    <row r="63">
      <c r="B63" t="inlineStr">
        <is>
          <t>Distribution Warehouses</t>
        </is>
      </c>
      <c r="C63" t="inlineStr">
        <is>
          <t>407</t>
        </is>
      </c>
      <c r="D63" t="inlineStr">
        <is>
          <t>14</t>
        </is>
      </c>
      <c r="E63" t="inlineStr">
        <is>
          <t>23</t>
        </is>
      </c>
      <c r="F63" t="inlineStr">
        <is>
          <t>S</t>
        </is>
      </c>
      <c r="G63" t="inlineStr">
        <is>
          <t>Excellent</t>
        </is>
      </c>
      <c r="H63" s="606" t="n">
        <v>139</v>
      </c>
      <c r="I63">
        <f>B63&amp;"~"&amp;F63&amp;"~"&amp;G63</f>
        <v/>
      </c>
      <c r="J63" t="inlineStr">
        <is>
          <t>14</t>
        </is>
      </c>
      <c r="K63" t="inlineStr">
        <is>
          <t>14</t>
        </is>
      </c>
      <c r="L63" t="inlineStr">
        <is>
          <t>14</t>
        </is>
      </c>
      <c r="M63" t="inlineStr">
        <is>
          <t>MVS Sec.14 p.23</t>
        </is>
      </c>
    </row>
    <row r="64">
      <c r="B64" t="inlineStr">
        <is>
          <t>Distribution Warehouses</t>
        </is>
      </c>
      <c r="C64" t="inlineStr">
        <is>
          <t>407</t>
        </is>
      </c>
      <c r="D64" t="inlineStr">
        <is>
          <t>14</t>
        </is>
      </c>
      <c r="E64" t="inlineStr">
        <is>
          <t>23</t>
        </is>
      </c>
      <c r="F64" t="inlineStr">
        <is>
          <t>S</t>
        </is>
      </c>
      <c r="G64" t="inlineStr">
        <is>
          <t>Good</t>
        </is>
      </c>
      <c r="H64" s="606" t="n">
        <v>94.5</v>
      </c>
      <c r="I64">
        <f>B64&amp;"~"&amp;F64&amp;"~"&amp;G64</f>
        <v/>
      </c>
      <c r="J64" t="inlineStr">
        <is>
          <t>14</t>
        </is>
      </c>
      <c r="K64" t="inlineStr">
        <is>
          <t>14</t>
        </is>
      </c>
      <c r="L64" t="inlineStr">
        <is>
          <t>14</t>
        </is>
      </c>
      <c r="M64" t="inlineStr">
        <is>
          <t>MVS Sec.14 p.23</t>
        </is>
      </c>
    </row>
    <row r="65">
      <c r="B65" t="inlineStr">
        <is>
          <t>Distribution Warehouses</t>
        </is>
      </c>
      <c r="C65" t="inlineStr">
        <is>
          <t>407</t>
        </is>
      </c>
      <c r="D65" t="inlineStr">
        <is>
          <t>14</t>
        </is>
      </c>
      <c r="E65" t="inlineStr">
        <is>
          <t>23</t>
        </is>
      </c>
      <c r="F65" t="inlineStr">
        <is>
          <t>S</t>
        </is>
      </c>
      <c r="G65" t="inlineStr">
        <is>
          <t>Average</t>
        </is>
      </c>
      <c r="H65" s="606" t="n">
        <v>64</v>
      </c>
      <c r="I65">
        <f>B65&amp;"~"&amp;F65&amp;"~"&amp;G65</f>
        <v/>
      </c>
      <c r="J65" t="inlineStr">
        <is>
          <t>14</t>
        </is>
      </c>
      <c r="K65" t="inlineStr">
        <is>
          <t>14</t>
        </is>
      </c>
      <c r="L65" t="inlineStr">
        <is>
          <t>14</t>
        </is>
      </c>
      <c r="M65" t="inlineStr">
        <is>
          <t>MVS Sec.14 p.23</t>
        </is>
      </c>
    </row>
    <row r="66">
      <c r="B66" t="inlineStr">
        <is>
          <t>Distribution Warehouses</t>
        </is>
      </c>
      <c r="C66" t="inlineStr">
        <is>
          <t>407</t>
        </is>
      </c>
      <c r="D66" t="inlineStr">
        <is>
          <t>14</t>
        </is>
      </c>
      <c r="E66" t="inlineStr">
        <is>
          <t>23</t>
        </is>
      </c>
      <c r="F66" t="inlineStr">
        <is>
          <t>S</t>
        </is>
      </c>
      <c r="G66" t="inlineStr">
        <is>
          <t>Low Cost</t>
        </is>
      </c>
      <c r="H66" s="606" t="n">
        <v>45.5</v>
      </c>
      <c r="I66">
        <f>B66&amp;"~"&amp;F66&amp;"~"&amp;G66</f>
        <v/>
      </c>
      <c r="J66" t="inlineStr">
        <is>
          <t>14</t>
        </is>
      </c>
      <c r="K66" t="inlineStr">
        <is>
          <t>14</t>
        </is>
      </c>
      <c r="L66" t="inlineStr">
        <is>
          <t>14</t>
        </is>
      </c>
      <c r="M66" t="inlineStr">
        <is>
          <t>MVS Sec.14 p.23</t>
        </is>
      </c>
    </row>
    <row r="67">
      <c r="B67" t="inlineStr">
        <is>
          <t>Mini-Warehouses / Self-Storage</t>
        </is>
      </c>
      <c r="C67" t="inlineStr">
        <is>
          <t>386</t>
        </is>
      </c>
      <c r="D67" t="inlineStr">
        <is>
          <t>14</t>
        </is>
      </c>
      <c r="E67" t="inlineStr">
        <is>
          <t>28</t>
        </is>
      </c>
      <c r="F67" t="inlineStr">
        <is>
          <t>C</t>
        </is>
      </c>
      <c r="G67" t="inlineStr">
        <is>
          <t>Good</t>
        </is>
      </c>
      <c r="H67" s="606" t="n">
        <v>68.5</v>
      </c>
      <c r="I67">
        <f>B67&amp;"~"&amp;F67&amp;"~"&amp;G67</f>
        <v/>
      </c>
      <c r="J67" t="inlineStr">
        <is>
          <t>14</t>
        </is>
      </c>
      <c r="K67" t="inlineStr">
        <is>
          <t>14</t>
        </is>
      </c>
      <c r="L67" t="inlineStr">
        <is>
          <t>14</t>
        </is>
      </c>
      <c r="M67" t="inlineStr">
        <is>
          <t>MVS Sec.14 p.28</t>
        </is>
      </c>
    </row>
    <row r="68">
      <c r="B68" t="inlineStr">
        <is>
          <t>Mini-Warehouses / Self-Storage</t>
        </is>
      </c>
      <c r="C68" t="inlineStr">
        <is>
          <t>386</t>
        </is>
      </c>
      <c r="D68" t="inlineStr">
        <is>
          <t>14</t>
        </is>
      </c>
      <c r="E68" t="inlineStr">
        <is>
          <t>28</t>
        </is>
      </c>
      <c r="F68" t="inlineStr">
        <is>
          <t>C</t>
        </is>
      </c>
      <c r="G68" t="inlineStr">
        <is>
          <t>Average</t>
        </is>
      </c>
      <c r="H68" s="606" t="n">
        <v>51</v>
      </c>
      <c r="I68">
        <f>B68&amp;"~"&amp;F68&amp;"~"&amp;G68</f>
        <v/>
      </c>
      <c r="J68" t="inlineStr">
        <is>
          <t>14</t>
        </is>
      </c>
      <c r="K68" t="inlineStr">
        <is>
          <t>14</t>
        </is>
      </c>
      <c r="L68" t="inlineStr">
        <is>
          <t>14</t>
        </is>
      </c>
      <c r="M68" t="inlineStr">
        <is>
          <t>MVS Sec.14 p.28</t>
        </is>
      </c>
    </row>
    <row r="69">
      <c r="B69" t="inlineStr">
        <is>
          <t>Mini-Warehouses / Self-Storage</t>
        </is>
      </c>
      <c r="C69" t="inlineStr">
        <is>
          <t>386</t>
        </is>
      </c>
      <c r="D69" t="inlineStr">
        <is>
          <t>14</t>
        </is>
      </c>
      <c r="E69" t="inlineStr">
        <is>
          <t>28</t>
        </is>
      </c>
      <c r="F69" t="inlineStr">
        <is>
          <t>C</t>
        </is>
      </c>
      <c r="G69" t="inlineStr">
        <is>
          <t>Low Cost</t>
        </is>
      </c>
      <c r="H69" s="606" t="n">
        <v>38.25</v>
      </c>
      <c r="I69">
        <f>B69&amp;"~"&amp;F69&amp;"~"&amp;G69</f>
        <v/>
      </c>
      <c r="J69" t="inlineStr">
        <is>
          <t>14</t>
        </is>
      </c>
      <c r="K69" t="inlineStr">
        <is>
          <t>14</t>
        </is>
      </c>
      <c r="L69" t="inlineStr">
        <is>
          <t>14</t>
        </is>
      </c>
      <c r="M69" t="inlineStr">
        <is>
          <t>MVS Sec.14 p.28</t>
        </is>
      </c>
    </row>
    <row r="70">
      <c r="B70" t="inlineStr">
        <is>
          <t>Mini-Warehouses / Self-Storage</t>
        </is>
      </c>
      <c r="C70" t="inlineStr">
        <is>
          <t>386</t>
        </is>
      </c>
      <c r="D70" t="inlineStr">
        <is>
          <t>14</t>
        </is>
      </c>
      <c r="E70" t="inlineStr">
        <is>
          <t>28</t>
        </is>
      </c>
      <c r="F70" t="inlineStr">
        <is>
          <t>D</t>
        </is>
      </c>
      <c r="G70" t="inlineStr">
        <is>
          <t>Good</t>
        </is>
      </c>
      <c r="H70" s="606" t="n">
        <v>63.5</v>
      </c>
      <c r="I70">
        <f>B70&amp;"~"&amp;F70&amp;"~"&amp;G70</f>
        <v/>
      </c>
      <c r="J70" t="inlineStr">
        <is>
          <t>14</t>
        </is>
      </c>
      <c r="K70" t="inlineStr">
        <is>
          <t>14</t>
        </is>
      </c>
      <c r="L70" t="inlineStr">
        <is>
          <t>14</t>
        </is>
      </c>
      <c r="M70" t="inlineStr">
        <is>
          <t>MVS Sec.14 p.28</t>
        </is>
      </c>
    </row>
    <row r="71">
      <c r="B71" t="inlineStr">
        <is>
          <t>Mini-Warehouses / Self-Storage</t>
        </is>
      </c>
      <c r="C71" t="inlineStr">
        <is>
          <t>386</t>
        </is>
      </c>
      <c r="D71" t="inlineStr">
        <is>
          <t>14</t>
        </is>
      </c>
      <c r="E71" t="inlineStr">
        <is>
          <t>28</t>
        </is>
      </c>
      <c r="F71" t="inlineStr">
        <is>
          <t>D</t>
        </is>
      </c>
      <c r="G71" t="inlineStr">
        <is>
          <t>Average</t>
        </is>
      </c>
      <c r="H71" s="606" t="n">
        <v>47.5</v>
      </c>
      <c r="I71">
        <f>B71&amp;"~"&amp;F71&amp;"~"&amp;G71</f>
        <v/>
      </c>
      <c r="J71" t="inlineStr">
        <is>
          <t>14</t>
        </is>
      </c>
      <c r="K71" t="inlineStr">
        <is>
          <t>14</t>
        </is>
      </c>
      <c r="L71" t="inlineStr">
        <is>
          <t>14</t>
        </is>
      </c>
      <c r="M71" t="inlineStr">
        <is>
          <t>MVS Sec.14 p.28</t>
        </is>
      </c>
    </row>
    <row r="72">
      <c r="B72" t="inlineStr">
        <is>
          <t>Mini-Warehouses / Self-Storage</t>
        </is>
      </c>
      <c r="C72" t="inlineStr">
        <is>
          <t>386</t>
        </is>
      </c>
      <c r="D72" t="inlineStr">
        <is>
          <t>14</t>
        </is>
      </c>
      <c r="E72" t="inlineStr">
        <is>
          <t>28</t>
        </is>
      </c>
      <c r="F72" t="inlineStr">
        <is>
          <t>D</t>
        </is>
      </c>
      <c r="G72" t="inlineStr">
        <is>
          <t>Low Cost</t>
        </is>
      </c>
      <c r="H72" s="606" t="n">
        <v>35.5</v>
      </c>
      <c r="I72">
        <f>B72&amp;"~"&amp;F72&amp;"~"&amp;G72</f>
        <v/>
      </c>
      <c r="J72" t="inlineStr">
        <is>
          <t>14</t>
        </is>
      </c>
      <c r="K72" t="inlineStr">
        <is>
          <t>14</t>
        </is>
      </c>
      <c r="L72" t="inlineStr">
        <is>
          <t>14</t>
        </is>
      </c>
      <c r="M72" t="inlineStr">
        <is>
          <t>MVS Sec.14 p.28</t>
        </is>
      </c>
    </row>
    <row r="73">
      <c r="B73" t="inlineStr">
        <is>
          <t>Mini-Warehouses / Self-Storage</t>
        </is>
      </c>
      <c r="C73" t="inlineStr">
        <is>
          <t>386</t>
        </is>
      </c>
      <c r="D73" t="inlineStr">
        <is>
          <t>14</t>
        </is>
      </c>
      <c r="E73" t="inlineStr">
        <is>
          <t>28</t>
        </is>
      </c>
      <c r="F73" t="inlineStr">
        <is>
          <t>DPOLE</t>
        </is>
      </c>
      <c r="G73" t="inlineStr">
        <is>
          <t>Good</t>
        </is>
      </c>
      <c r="H73" s="606" t="n">
        <v>58.5</v>
      </c>
      <c r="I73">
        <f>B73&amp;"~"&amp;F73&amp;"~"&amp;G73</f>
        <v/>
      </c>
      <c r="J73" t="inlineStr">
        <is>
          <t>14</t>
        </is>
      </c>
      <c r="K73" t="inlineStr">
        <is>
          <t>14</t>
        </is>
      </c>
      <c r="L73" t="inlineStr">
        <is>
          <t>14</t>
        </is>
      </c>
      <c r="M73" t="inlineStr">
        <is>
          <t>MVS Sec.14 p.28</t>
        </is>
      </c>
    </row>
    <row r="74">
      <c r="B74" t="inlineStr">
        <is>
          <t>Mini-Warehouses / Self-Storage</t>
        </is>
      </c>
      <c r="C74" t="inlineStr">
        <is>
          <t>386</t>
        </is>
      </c>
      <c r="D74" t="inlineStr">
        <is>
          <t>14</t>
        </is>
      </c>
      <c r="E74" t="inlineStr">
        <is>
          <t>28</t>
        </is>
      </c>
      <c r="F74" t="inlineStr">
        <is>
          <t>DPOLE</t>
        </is>
      </c>
      <c r="G74" t="inlineStr">
        <is>
          <t>Average</t>
        </is>
      </c>
      <c r="H74" s="606" t="n">
        <v>43.5</v>
      </c>
      <c r="I74">
        <f>B74&amp;"~"&amp;F74&amp;"~"&amp;G74</f>
        <v/>
      </c>
      <c r="J74" t="inlineStr">
        <is>
          <t>14</t>
        </is>
      </c>
      <c r="K74" t="inlineStr">
        <is>
          <t>14</t>
        </is>
      </c>
      <c r="L74" t="inlineStr">
        <is>
          <t>14</t>
        </is>
      </c>
      <c r="M74" t="inlineStr">
        <is>
          <t>MVS Sec.14 p.28</t>
        </is>
      </c>
    </row>
    <row r="75">
      <c r="B75" t="inlineStr">
        <is>
          <t>Mini-Warehouses / Self-Storage</t>
        </is>
      </c>
      <c r="C75" t="inlineStr">
        <is>
          <t>386</t>
        </is>
      </c>
      <c r="D75" t="inlineStr">
        <is>
          <t>14</t>
        </is>
      </c>
      <c r="E75" t="inlineStr">
        <is>
          <t>28</t>
        </is>
      </c>
      <c r="F75" t="inlineStr">
        <is>
          <t>DPOLE</t>
        </is>
      </c>
      <c r="G75" t="inlineStr">
        <is>
          <t>Low Cost</t>
        </is>
      </c>
      <c r="H75" s="606" t="n">
        <v>32.5</v>
      </c>
      <c r="I75">
        <f>B75&amp;"~"&amp;F75&amp;"~"&amp;G75</f>
        <v/>
      </c>
      <c r="J75" t="inlineStr">
        <is>
          <t>14</t>
        </is>
      </c>
      <c r="K75" t="inlineStr">
        <is>
          <t>14</t>
        </is>
      </c>
      <c r="L75" t="inlineStr">
        <is>
          <t>14</t>
        </is>
      </c>
      <c r="M75" t="inlineStr">
        <is>
          <t>MVS Sec.14 p.28</t>
        </is>
      </c>
    </row>
    <row r="76">
      <c r="B76" t="inlineStr">
        <is>
          <t>Mini-Warehouses / Self-Storage</t>
        </is>
      </c>
      <c r="C76" t="inlineStr">
        <is>
          <t>386</t>
        </is>
      </c>
      <c r="D76" t="inlineStr">
        <is>
          <t>14</t>
        </is>
      </c>
      <c r="E76" t="inlineStr">
        <is>
          <t>28</t>
        </is>
      </c>
      <c r="F76" t="inlineStr">
        <is>
          <t>S</t>
        </is>
      </c>
      <c r="G76" t="inlineStr">
        <is>
          <t>Good</t>
        </is>
      </c>
      <c r="H76" s="606" t="n">
        <v>63.5</v>
      </c>
      <c r="I76">
        <f>B76&amp;"~"&amp;F76&amp;"~"&amp;G76</f>
        <v/>
      </c>
      <c r="J76" t="inlineStr">
        <is>
          <t>14</t>
        </is>
      </c>
      <c r="K76" t="inlineStr">
        <is>
          <t>14</t>
        </is>
      </c>
      <c r="L76" t="inlineStr">
        <is>
          <t>14</t>
        </is>
      </c>
      <c r="M76" t="inlineStr">
        <is>
          <t>MVS Sec.14 p.28</t>
        </is>
      </c>
    </row>
    <row r="77">
      <c r="B77" t="inlineStr">
        <is>
          <t>Mini-Warehouses / Self-Storage</t>
        </is>
      </c>
      <c r="C77" t="inlineStr">
        <is>
          <t>386</t>
        </is>
      </c>
      <c r="D77" t="inlineStr">
        <is>
          <t>14</t>
        </is>
      </c>
      <c r="E77" t="inlineStr">
        <is>
          <t>28</t>
        </is>
      </c>
      <c r="F77" t="inlineStr">
        <is>
          <t>S</t>
        </is>
      </c>
      <c r="G77" t="inlineStr">
        <is>
          <t>Average</t>
        </is>
      </c>
      <c r="H77" s="606" t="n">
        <v>47.5</v>
      </c>
      <c r="I77">
        <f>B77&amp;"~"&amp;F77&amp;"~"&amp;G77</f>
        <v/>
      </c>
      <c r="J77" t="inlineStr">
        <is>
          <t>14</t>
        </is>
      </c>
      <c r="K77" t="inlineStr">
        <is>
          <t>14</t>
        </is>
      </c>
      <c r="L77" t="inlineStr">
        <is>
          <t>14</t>
        </is>
      </c>
      <c r="M77" t="inlineStr">
        <is>
          <t>MVS Sec.14 p.28</t>
        </is>
      </c>
    </row>
    <row r="78">
      <c r="B78" t="inlineStr">
        <is>
          <t>Mini-Warehouses / Self-Storage</t>
        </is>
      </c>
      <c r="C78" t="inlineStr">
        <is>
          <t>386</t>
        </is>
      </c>
      <c r="D78" t="inlineStr">
        <is>
          <t>14</t>
        </is>
      </c>
      <c r="E78" t="inlineStr">
        <is>
          <t>28</t>
        </is>
      </c>
      <c r="F78" t="inlineStr">
        <is>
          <t>S</t>
        </is>
      </c>
      <c r="G78" t="inlineStr">
        <is>
          <t>Low Cost</t>
        </is>
      </c>
      <c r="H78" s="606" t="n">
        <v>35.5</v>
      </c>
      <c r="I78">
        <f>B78&amp;"~"&amp;F78&amp;"~"&amp;G78</f>
        <v/>
      </c>
      <c r="J78" t="inlineStr">
        <is>
          <t>14</t>
        </is>
      </c>
      <c r="K78" t="inlineStr">
        <is>
          <t>14</t>
        </is>
      </c>
      <c r="L78" t="inlineStr">
        <is>
          <t>14</t>
        </is>
      </c>
      <c r="M78" t="inlineStr">
        <is>
          <t>MVS Sec.14 p.28</t>
        </is>
      </c>
    </row>
    <row r="79">
      <c r="B79" t="inlineStr">
        <is>
          <t>Mini-Warehouses / Self-Storage</t>
        </is>
      </c>
      <c r="C79" t="inlineStr">
        <is>
          <t>386</t>
        </is>
      </c>
      <c r="D79" t="inlineStr">
        <is>
          <t>14</t>
        </is>
      </c>
      <c r="E79" t="inlineStr">
        <is>
          <t>28</t>
        </is>
      </c>
      <c r="F79" t="inlineStr">
        <is>
          <t>S</t>
        </is>
      </c>
      <c r="G79" t="inlineStr">
        <is>
          <t>Cheap</t>
        </is>
      </c>
      <c r="H79" s="606" t="n">
        <v>26.25</v>
      </c>
      <c r="I79">
        <f>B79&amp;"~"&amp;F79&amp;"~"&amp;G79</f>
        <v/>
      </c>
      <c r="J79" t="inlineStr">
        <is>
          <t>14</t>
        </is>
      </c>
      <c r="K79" t="inlineStr">
        <is>
          <t>14</t>
        </is>
      </c>
      <c r="L79" t="inlineStr">
        <is>
          <t>14</t>
        </is>
      </c>
      <c r="M79" t="inlineStr">
        <is>
          <t>MVS Sec.14 p.28</t>
        </is>
      </c>
    </row>
    <row r="80">
      <c r="B80" t="inlineStr">
        <is>
          <t>Mini-Warehouses, High-Rise</t>
        </is>
      </c>
      <c r="C80" t="inlineStr">
        <is>
          <t>525</t>
        </is>
      </c>
      <c r="D80" t="inlineStr">
        <is>
          <t>14</t>
        </is>
      </c>
      <c r="E80" t="inlineStr">
        <is>
          <t>28</t>
        </is>
      </c>
      <c r="F80" t="inlineStr">
        <is>
          <t>A-B</t>
        </is>
      </c>
      <c r="G80" t="inlineStr">
        <is>
          <t>Average</t>
        </is>
      </c>
      <c r="H80" s="606" t="n">
        <v>94</v>
      </c>
      <c r="I80">
        <f>B80&amp;"~"&amp;F80&amp;"~"&amp;G80</f>
        <v/>
      </c>
      <c r="J80" t="inlineStr">
        <is>
          <t>14</t>
        </is>
      </c>
      <c r="K80" t="inlineStr">
        <is>
          <t>14</t>
        </is>
      </c>
      <c r="L80" t="inlineStr">
        <is>
          <t>14</t>
        </is>
      </c>
      <c r="M80" t="inlineStr">
        <is>
          <t>MVS Sec.14 p.28</t>
        </is>
      </c>
    </row>
    <row r="81">
      <c r="B81" t="inlineStr">
        <is>
          <t>Mini-Warehouses, High-Rise</t>
        </is>
      </c>
      <c r="C81" t="inlineStr">
        <is>
          <t>525</t>
        </is>
      </c>
      <c r="D81" t="inlineStr">
        <is>
          <t>14</t>
        </is>
      </c>
      <c r="E81" t="inlineStr">
        <is>
          <t>28</t>
        </is>
      </c>
      <c r="F81" t="inlineStr">
        <is>
          <t>C</t>
        </is>
      </c>
      <c r="G81" t="inlineStr">
        <is>
          <t>Good</t>
        </is>
      </c>
      <c r="H81" s="606" t="n">
        <v>86.5</v>
      </c>
      <c r="I81">
        <f>B81&amp;"~"&amp;F81&amp;"~"&amp;G81</f>
        <v/>
      </c>
      <c r="J81" t="inlineStr">
        <is>
          <t>14</t>
        </is>
      </c>
      <c r="K81" t="inlineStr">
        <is>
          <t>14</t>
        </is>
      </c>
      <c r="L81" t="inlineStr">
        <is>
          <t>14</t>
        </is>
      </c>
      <c r="M81" t="inlineStr">
        <is>
          <t>MVS Sec.14 p.28</t>
        </is>
      </c>
    </row>
    <row r="82">
      <c r="B82" t="inlineStr">
        <is>
          <t>Mini-Warehouses, High-Rise</t>
        </is>
      </c>
      <c r="C82" t="inlineStr">
        <is>
          <t>525</t>
        </is>
      </c>
      <c r="D82" t="inlineStr">
        <is>
          <t>14</t>
        </is>
      </c>
      <c r="E82" t="inlineStr">
        <is>
          <t>28</t>
        </is>
      </c>
      <c r="F82" t="inlineStr">
        <is>
          <t>C</t>
        </is>
      </c>
      <c r="G82" t="inlineStr">
        <is>
          <t>Average</t>
        </is>
      </c>
      <c r="H82" s="606" t="n">
        <v>66</v>
      </c>
      <c r="I82">
        <f>B82&amp;"~"&amp;F82&amp;"~"&amp;G82</f>
        <v/>
      </c>
      <c r="J82" t="inlineStr">
        <is>
          <t>14</t>
        </is>
      </c>
      <c r="K82" t="inlineStr">
        <is>
          <t>14</t>
        </is>
      </c>
      <c r="L82" t="inlineStr">
        <is>
          <t>14</t>
        </is>
      </c>
      <c r="M82" t="inlineStr">
        <is>
          <t>MVS Sec.14 p.28</t>
        </is>
      </c>
    </row>
    <row r="83">
      <c r="B83" t="inlineStr">
        <is>
          <t>Mini-Warehouses, High-Rise</t>
        </is>
      </c>
      <c r="C83" t="inlineStr">
        <is>
          <t>525</t>
        </is>
      </c>
      <c r="D83" t="inlineStr">
        <is>
          <t>14</t>
        </is>
      </c>
      <c r="E83" t="inlineStr">
        <is>
          <t>28</t>
        </is>
      </c>
      <c r="F83" t="inlineStr">
        <is>
          <t>D</t>
        </is>
      </c>
      <c r="G83" t="inlineStr">
        <is>
          <t>Good</t>
        </is>
      </c>
      <c r="H83" s="606" t="n">
        <v>79.5</v>
      </c>
      <c r="I83">
        <f>B83&amp;"~"&amp;F83&amp;"~"&amp;G83</f>
        <v/>
      </c>
      <c r="J83" t="inlineStr">
        <is>
          <t>14</t>
        </is>
      </c>
      <c r="K83" t="inlineStr">
        <is>
          <t>14</t>
        </is>
      </c>
      <c r="L83" t="inlineStr">
        <is>
          <t>14</t>
        </is>
      </c>
      <c r="M83" t="inlineStr">
        <is>
          <t>MVS Sec.14 p.28</t>
        </is>
      </c>
    </row>
    <row r="84">
      <c r="B84" t="inlineStr">
        <is>
          <t>Mini-Warehouses, High-Rise</t>
        </is>
      </c>
      <c r="C84" t="inlineStr">
        <is>
          <t>525</t>
        </is>
      </c>
      <c r="D84" t="inlineStr">
        <is>
          <t>14</t>
        </is>
      </c>
      <c r="E84" t="inlineStr">
        <is>
          <t>28</t>
        </is>
      </c>
      <c r="F84" t="inlineStr">
        <is>
          <t>S</t>
        </is>
      </c>
      <c r="G84" t="inlineStr">
        <is>
          <t>Good</t>
        </is>
      </c>
      <c r="H84" s="606" t="n">
        <v>81</v>
      </c>
      <c r="I84">
        <f>B84&amp;"~"&amp;F84&amp;"~"&amp;G84</f>
        <v/>
      </c>
      <c r="J84" t="inlineStr">
        <is>
          <t>14</t>
        </is>
      </c>
      <c r="K84" t="inlineStr">
        <is>
          <t>14</t>
        </is>
      </c>
      <c r="L84" t="inlineStr">
        <is>
          <t>14</t>
        </is>
      </c>
      <c r="M84" t="inlineStr">
        <is>
          <t>MVS Sec.14 p.28</t>
        </is>
      </c>
    </row>
    <row r="85">
      <c r="B85" t="inlineStr">
        <is>
          <t>Industrials, Light Manufacturing</t>
        </is>
      </c>
      <c r="C85" t="inlineStr">
        <is>
          <t>494</t>
        </is>
      </c>
      <c r="D85" t="inlineStr">
        <is>
          <t>14</t>
        </is>
      </c>
      <c r="E85" t="inlineStr">
        <is>
          <t>14</t>
        </is>
      </c>
      <c r="F85" t="inlineStr">
        <is>
          <t>A</t>
        </is>
      </c>
      <c r="G85" t="inlineStr">
        <is>
          <t>Average</t>
        </is>
      </c>
      <c r="H85" s="606" t="n">
        <v>122</v>
      </c>
      <c r="I85">
        <f>B85&amp;"~"&amp;F85&amp;"~"&amp;G85</f>
        <v/>
      </c>
      <c r="J85" t="inlineStr">
        <is>
          <t>14</t>
        </is>
      </c>
      <c r="K85" t="inlineStr">
        <is>
          <t>14</t>
        </is>
      </c>
      <c r="L85" t="inlineStr">
        <is>
          <t>14</t>
        </is>
      </c>
      <c r="M85" t="inlineStr">
        <is>
          <t>MVS Sec.14 p.14</t>
        </is>
      </c>
    </row>
    <row r="86">
      <c r="B86" t="inlineStr">
        <is>
          <t>Industrials, Light Manufacturing</t>
        </is>
      </c>
      <c r="C86" t="inlineStr">
        <is>
          <t>494</t>
        </is>
      </c>
      <c r="D86" t="inlineStr">
        <is>
          <t>14</t>
        </is>
      </c>
      <c r="E86" t="inlineStr">
        <is>
          <t>14</t>
        </is>
      </c>
      <c r="F86" t="inlineStr">
        <is>
          <t>A</t>
        </is>
      </c>
      <c r="G86" t="inlineStr">
        <is>
          <t>Low Cost</t>
        </is>
      </c>
      <c r="H86" s="606" t="n">
        <v>84.5</v>
      </c>
      <c r="I86">
        <f>B86&amp;"~"&amp;F86&amp;"~"&amp;G86</f>
        <v/>
      </c>
      <c r="J86" t="inlineStr">
        <is>
          <t>14</t>
        </is>
      </c>
      <c r="K86" t="inlineStr">
        <is>
          <t>14</t>
        </is>
      </c>
      <c r="L86" t="inlineStr">
        <is>
          <t>14</t>
        </is>
      </c>
      <c r="M86" t="inlineStr">
        <is>
          <t>MVS Sec.14 p.14</t>
        </is>
      </c>
    </row>
    <row r="87">
      <c r="B87" t="inlineStr">
        <is>
          <t>Industrials, Light Manufacturing</t>
        </is>
      </c>
      <c r="C87" t="inlineStr">
        <is>
          <t>494</t>
        </is>
      </c>
      <c r="D87" t="inlineStr">
        <is>
          <t>14</t>
        </is>
      </c>
      <c r="E87" t="inlineStr">
        <is>
          <t>14</t>
        </is>
      </c>
      <c r="F87" t="inlineStr">
        <is>
          <t>B</t>
        </is>
      </c>
      <c r="G87" t="inlineStr">
        <is>
          <t>Average</t>
        </is>
      </c>
      <c r="H87" s="606" t="n">
        <v>107</v>
      </c>
      <c r="I87">
        <f>B87&amp;"~"&amp;F87&amp;"~"&amp;G87</f>
        <v/>
      </c>
      <c r="J87" t="inlineStr">
        <is>
          <t>14</t>
        </is>
      </c>
      <c r="K87" t="inlineStr">
        <is>
          <t>14</t>
        </is>
      </c>
      <c r="L87" t="inlineStr">
        <is>
          <t>14</t>
        </is>
      </c>
      <c r="M87" t="inlineStr">
        <is>
          <t>MVS Sec.14 p.14</t>
        </is>
      </c>
    </row>
    <row r="88">
      <c r="B88" t="inlineStr">
        <is>
          <t>Industrials, Light Manufacturing</t>
        </is>
      </c>
      <c r="C88" t="inlineStr">
        <is>
          <t>494</t>
        </is>
      </c>
      <c r="D88" t="inlineStr">
        <is>
          <t>14</t>
        </is>
      </c>
      <c r="E88" t="inlineStr">
        <is>
          <t>14</t>
        </is>
      </c>
      <c r="F88" t="inlineStr">
        <is>
          <t>B</t>
        </is>
      </c>
      <c r="G88" t="inlineStr">
        <is>
          <t>Low Cost</t>
        </is>
      </c>
      <c r="H88" s="606" t="n">
        <v>74</v>
      </c>
      <c r="I88">
        <f>B88&amp;"~"&amp;F88&amp;"~"&amp;G88</f>
        <v/>
      </c>
      <c r="J88" t="inlineStr">
        <is>
          <t>14</t>
        </is>
      </c>
      <c r="K88" t="inlineStr">
        <is>
          <t>14</t>
        </is>
      </c>
      <c r="L88" t="inlineStr">
        <is>
          <t>14</t>
        </is>
      </c>
      <c r="M88" t="inlineStr">
        <is>
          <t>MVS Sec.14 p.14</t>
        </is>
      </c>
    </row>
    <row r="89">
      <c r="B89" t="inlineStr">
        <is>
          <t>Industrials, Light Manufacturing</t>
        </is>
      </c>
      <c r="C89" t="inlineStr">
        <is>
          <t>494</t>
        </is>
      </c>
      <c r="D89" t="inlineStr">
        <is>
          <t>14</t>
        </is>
      </c>
      <c r="E89" t="inlineStr">
        <is>
          <t>14</t>
        </is>
      </c>
      <c r="F89" t="inlineStr">
        <is>
          <t>C</t>
        </is>
      </c>
      <c r="G89" t="inlineStr">
        <is>
          <t>Good</t>
        </is>
      </c>
      <c r="H89" s="606" t="n">
        <v>100</v>
      </c>
      <c r="I89">
        <f>B89&amp;"~"&amp;F89&amp;"~"&amp;G89</f>
        <v/>
      </c>
      <c r="J89" t="inlineStr">
        <is>
          <t>14</t>
        </is>
      </c>
      <c r="K89" t="inlineStr">
        <is>
          <t>14</t>
        </is>
      </c>
      <c r="L89" t="inlineStr">
        <is>
          <t>14</t>
        </is>
      </c>
      <c r="M89" t="inlineStr">
        <is>
          <t>MVS Sec.14 p.14</t>
        </is>
      </c>
    </row>
    <row r="90">
      <c r="B90" t="inlineStr">
        <is>
          <t>Industrials, Light Manufacturing</t>
        </is>
      </c>
      <c r="C90" t="inlineStr">
        <is>
          <t>494</t>
        </is>
      </c>
      <c r="D90" t="inlineStr">
        <is>
          <t>14</t>
        </is>
      </c>
      <c r="E90" t="inlineStr">
        <is>
          <t>14</t>
        </is>
      </c>
      <c r="F90" t="inlineStr">
        <is>
          <t>C</t>
        </is>
      </c>
      <c r="G90" t="inlineStr">
        <is>
          <t>Average</t>
        </is>
      </c>
      <c r="H90" s="606" t="n">
        <v>72</v>
      </c>
      <c r="I90">
        <f>B90&amp;"~"&amp;F90&amp;"~"&amp;G90</f>
        <v/>
      </c>
      <c r="J90" t="inlineStr">
        <is>
          <t>14</t>
        </is>
      </c>
      <c r="K90" t="inlineStr">
        <is>
          <t>14</t>
        </is>
      </c>
      <c r="L90" t="inlineStr">
        <is>
          <t>14</t>
        </is>
      </c>
      <c r="M90" t="inlineStr">
        <is>
          <t>MVS Sec.14 p.14</t>
        </is>
      </c>
    </row>
    <row r="91">
      <c r="B91" t="inlineStr">
        <is>
          <t>Industrials, Light Manufacturing</t>
        </is>
      </c>
      <c r="C91" t="inlineStr">
        <is>
          <t>494</t>
        </is>
      </c>
      <c r="D91" t="inlineStr">
        <is>
          <t>14</t>
        </is>
      </c>
      <c r="E91" t="inlineStr">
        <is>
          <t>14</t>
        </is>
      </c>
      <c r="F91" t="inlineStr">
        <is>
          <t>C</t>
        </is>
      </c>
      <c r="G91" t="inlineStr">
        <is>
          <t>Low Cost</t>
        </is>
      </c>
      <c r="H91" s="606" t="n">
        <v>52.5</v>
      </c>
      <c r="I91">
        <f>B91&amp;"~"&amp;F91&amp;"~"&amp;G91</f>
        <v/>
      </c>
      <c r="J91" t="inlineStr">
        <is>
          <t>14</t>
        </is>
      </c>
      <c r="K91" t="inlineStr">
        <is>
          <t>14</t>
        </is>
      </c>
      <c r="L91" t="inlineStr">
        <is>
          <t>14</t>
        </is>
      </c>
      <c r="M91" t="inlineStr">
        <is>
          <t>MVS Sec.14 p.14</t>
        </is>
      </c>
    </row>
    <row r="92">
      <c r="B92" t="inlineStr">
        <is>
          <t>Industrials, Light Manufacturing</t>
        </is>
      </c>
      <c r="C92" t="inlineStr">
        <is>
          <t>494</t>
        </is>
      </c>
      <c r="D92" t="inlineStr">
        <is>
          <t>14</t>
        </is>
      </c>
      <c r="E92" t="inlineStr">
        <is>
          <t>14</t>
        </is>
      </c>
      <c r="F92" t="inlineStr">
        <is>
          <t>D</t>
        </is>
      </c>
      <c r="G92" t="inlineStr">
        <is>
          <t>Good</t>
        </is>
      </c>
      <c r="H92" s="606" t="n">
        <v>92</v>
      </c>
      <c r="I92">
        <f>B92&amp;"~"&amp;F92&amp;"~"&amp;G92</f>
        <v/>
      </c>
      <c r="J92" t="inlineStr">
        <is>
          <t>14</t>
        </is>
      </c>
      <c r="K92" t="inlineStr">
        <is>
          <t>14</t>
        </is>
      </c>
      <c r="L92" t="inlineStr">
        <is>
          <t>14</t>
        </is>
      </c>
      <c r="M92" t="inlineStr">
        <is>
          <t>MVS Sec.14 p.14</t>
        </is>
      </c>
    </row>
    <row r="93">
      <c r="B93" t="inlineStr">
        <is>
          <t>Industrials, Light Manufacturing</t>
        </is>
      </c>
      <c r="C93" t="inlineStr">
        <is>
          <t>494</t>
        </is>
      </c>
      <c r="D93" t="inlineStr">
        <is>
          <t>14</t>
        </is>
      </c>
      <c r="E93" t="inlineStr">
        <is>
          <t>14</t>
        </is>
      </c>
      <c r="F93" t="inlineStr">
        <is>
          <t>D</t>
        </is>
      </c>
      <c r="G93" t="inlineStr">
        <is>
          <t>Average</t>
        </is>
      </c>
      <c r="H93" s="606" t="n">
        <v>65.5</v>
      </c>
      <c r="I93">
        <f>B93&amp;"~"&amp;F93&amp;"~"&amp;G93</f>
        <v/>
      </c>
      <c r="J93" t="inlineStr">
        <is>
          <t>14</t>
        </is>
      </c>
      <c r="K93" t="inlineStr">
        <is>
          <t>14</t>
        </is>
      </c>
      <c r="L93" t="inlineStr">
        <is>
          <t>14</t>
        </is>
      </c>
      <c r="M93" t="inlineStr">
        <is>
          <t>MVS Sec.14 p.14</t>
        </is>
      </c>
    </row>
    <row r="94">
      <c r="B94" t="inlineStr">
        <is>
          <t>Industrials, Light Manufacturing</t>
        </is>
      </c>
      <c r="C94" t="inlineStr">
        <is>
          <t>494</t>
        </is>
      </c>
      <c r="D94" t="inlineStr">
        <is>
          <t>14</t>
        </is>
      </c>
      <c r="E94" t="inlineStr">
        <is>
          <t>14</t>
        </is>
      </c>
      <c r="F94" t="inlineStr">
        <is>
          <t>D</t>
        </is>
      </c>
      <c r="G94" t="inlineStr">
        <is>
          <t>Low Cost</t>
        </is>
      </c>
      <c r="H94" s="606" t="n">
        <v>47</v>
      </c>
      <c r="I94">
        <f>B94&amp;"~"&amp;F94&amp;"~"&amp;G94</f>
        <v/>
      </c>
      <c r="J94" t="inlineStr">
        <is>
          <t>14</t>
        </is>
      </c>
      <c r="K94" t="inlineStr">
        <is>
          <t>14</t>
        </is>
      </c>
      <c r="L94" t="inlineStr">
        <is>
          <t>14</t>
        </is>
      </c>
      <c r="M94" t="inlineStr">
        <is>
          <t>MVS Sec.14 p.14</t>
        </is>
      </c>
    </row>
    <row r="95">
      <c r="B95" t="inlineStr">
        <is>
          <t>Industrials, Light Manufacturing</t>
        </is>
      </c>
      <c r="C95" t="inlineStr">
        <is>
          <t>494</t>
        </is>
      </c>
      <c r="D95" t="inlineStr">
        <is>
          <t>14</t>
        </is>
      </c>
      <c r="E95" t="inlineStr">
        <is>
          <t>14</t>
        </is>
      </c>
      <c r="F95" t="inlineStr">
        <is>
          <t>DPOLE</t>
        </is>
      </c>
      <c r="G95" t="inlineStr">
        <is>
          <t>Good</t>
        </is>
      </c>
      <c r="H95" s="606" t="n">
        <v>84</v>
      </c>
      <c r="I95">
        <f>B95&amp;"~"&amp;F95&amp;"~"&amp;G95</f>
        <v/>
      </c>
      <c r="J95" t="inlineStr">
        <is>
          <t>14</t>
        </is>
      </c>
      <c r="K95" t="inlineStr">
        <is>
          <t>14</t>
        </is>
      </c>
      <c r="L95" t="inlineStr">
        <is>
          <t>14</t>
        </is>
      </c>
      <c r="M95" t="inlineStr">
        <is>
          <t>MVS Sec.14 p.14</t>
        </is>
      </c>
    </row>
    <row r="96">
      <c r="B96" t="inlineStr">
        <is>
          <t>Industrials, Light Manufacturing</t>
        </is>
      </c>
      <c r="C96" t="inlineStr">
        <is>
          <t>494</t>
        </is>
      </c>
      <c r="D96" t="inlineStr">
        <is>
          <t>14</t>
        </is>
      </c>
      <c r="E96" t="inlineStr">
        <is>
          <t>14</t>
        </is>
      </c>
      <c r="F96" t="inlineStr">
        <is>
          <t>DPOLE</t>
        </is>
      </c>
      <c r="G96" t="inlineStr">
        <is>
          <t>Average</t>
        </is>
      </c>
      <c r="H96" s="606" t="n">
        <v>60.5</v>
      </c>
      <c r="I96">
        <f>B96&amp;"~"&amp;F96&amp;"~"&amp;G96</f>
        <v/>
      </c>
      <c r="J96" t="inlineStr">
        <is>
          <t>14</t>
        </is>
      </c>
      <c r="K96" t="inlineStr">
        <is>
          <t>14</t>
        </is>
      </c>
      <c r="L96" t="inlineStr">
        <is>
          <t>14</t>
        </is>
      </c>
      <c r="M96" t="inlineStr">
        <is>
          <t>MVS Sec.14 p.14</t>
        </is>
      </c>
    </row>
    <row r="97">
      <c r="B97" t="inlineStr">
        <is>
          <t>Industrials, Light Manufacturing</t>
        </is>
      </c>
      <c r="C97" t="inlineStr">
        <is>
          <t>494</t>
        </is>
      </c>
      <c r="D97" t="inlineStr">
        <is>
          <t>14</t>
        </is>
      </c>
      <c r="E97" t="inlineStr">
        <is>
          <t>14</t>
        </is>
      </c>
      <c r="F97" t="inlineStr">
        <is>
          <t>DPOLE</t>
        </is>
      </c>
      <c r="G97" t="inlineStr">
        <is>
          <t>Low Cost</t>
        </is>
      </c>
      <c r="H97" s="606" t="n">
        <v>43.5</v>
      </c>
      <c r="I97">
        <f>B97&amp;"~"&amp;F97&amp;"~"&amp;G97</f>
        <v/>
      </c>
      <c r="J97" t="inlineStr">
        <is>
          <t>14</t>
        </is>
      </c>
      <c r="K97" t="inlineStr">
        <is>
          <t>14</t>
        </is>
      </c>
      <c r="L97" t="inlineStr">
        <is>
          <t>14</t>
        </is>
      </c>
      <c r="M97" t="inlineStr">
        <is>
          <t>MVS Sec.14 p.14</t>
        </is>
      </c>
    </row>
    <row r="98">
      <c r="B98" t="inlineStr">
        <is>
          <t>Industrials, Light Manufacturing</t>
        </is>
      </c>
      <c r="C98" t="inlineStr">
        <is>
          <t>494</t>
        </is>
      </c>
      <c r="D98" t="inlineStr">
        <is>
          <t>14</t>
        </is>
      </c>
      <c r="E98" t="inlineStr">
        <is>
          <t>14</t>
        </is>
      </c>
      <c r="F98" t="inlineStr">
        <is>
          <t>S</t>
        </is>
      </c>
      <c r="G98" t="inlineStr">
        <is>
          <t>Good</t>
        </is>
      </c>
      <c r="H98" s="606" t="n">
        <v>93</v>
      </c>
      <c r="I98">
        <f>B98&amp;"~"&amp;F98&amp;"~"&amp;G98</f>
        <v/>
      </c>
      <c r="J98" t="inlineStr">
        <is>
          <t>14</t>
        </is>
      </c>
      <c r="K98" t="inlineStr">
        <is>
          <t>14</t>
        </is>
      </c>
      <c r="L98" t="inlineStr">
        <is>
          <t>14</t>
        </is>
      </c>
      <c r="M98" t="inlineStr">
        <is>
          <t>MVS Sec.14 p.14</t>
        </is>
      </c>
    </row>
    <row r="99">
      <c r="B99" t="inlineStr">
        <is>
          <t>Industrials, Light Manufacturing</t>
        </is>
      </c>
      <c r="C99" t="inlineStr">
        <is>
          <t>494</t>
        </is>
      </c>
      <c r="D99" t="inlineStr">
        <is>
          <t>14</t>
        </is>
      </c>
      <c r="E99" t="inlineStr">
        <is>
          <t>14</t>
        </is>
      </c>
      <c r="F99" t="inlineStr">
        <is>
          <t>S</t>
        </is>
      </c>
      <c r="G99" t="inlineStr">
        <is>
          <t>Average</t>
        </is>
      </c>
      <c r="H99" s="606" t="n">
        <v>66</v>
      </c>
      <c r="I99">
        <f>B99&amp;"~"&amp;F99&amp;"~"&amp;G99</f>
        <v/>
      </c>
      <c r="J99" t="inlineStr">
        <is>
          <t>14</t>
        </is>
      </c>
      <c r="K99" t="inlineStr">
        <is>
          <t>14</t>
        </is>
      </c>
      <c r="L99" t="inlineStr">
        <is>
          <t>14</t>
        </is>
      </c>
      <c r="M99" t="inlineStr">
        <is>
          <t>MVS Sec.14 p.14</t>
        </is>
      </c>
    </row>
    <row r="100">
      <c r="B100" t="inlineStr">
        <is>
          <t>Industrials, Light Manufacturing</t>
        </is>
      </c>
      <c r="C100" t="inlineStr">
        <is>
          <t>494</t>
        </is>
      </c>
      <c r="D100" t="inlineStr">
        <is>
          <t>14</t>
        </is>
      </c>
      <c r="E100" t="inlineStr">
        <is>
          <t>14</t>
        </is>
      </c>
      <c r="F100" t="inlineStr">
        <is>
          <t>S</t>
        </is>
      </c>
      <c r="G100" t="inlineStr">
        <is>
          <t>Low Cost</t>
        </is>
      </c>
      <c r="H100" s="606" t="n">
        <v>46.75</v>
      </c>
      <c r="I100">
        <f>B100&amp;"~"&amp;F100&amp;"~"&amp;G100</f>
        <v/>
      </c>
      <c r="J100" t="inlineStr">
        <is>
          <t>14</t>
        </is>
      </c>
      <c r="K100" t="inlineStr">
        <is>
          <t>14</t>
        </is>
      </c>
      <c r="L100" t="inlineStr">
        <is>
          <t>14</t>
        </is>
      </c>
      <c r="M100" t="inlineStr">
        <is>
          <t>MVS Sec.14 p.14</t>
        </is>
      </c>
    </row>
    <row r="101">
      <c r="B101" t="inlineStr">
        <is>
          <t>Industrials, Heavy (Process) Manufacturing</t>
        </is>
      </c>
      <c r="C101" t="inlineStr">
        <is>
          <t>495</t>
        </is>
      </c>
      <c r="D101" t="inlineStr">
        <is>
          <t>14</t>
        </is>
      </c>
      <c r="E101" t="inlineStr">
        <is>
          <t>15</t>
        </is>
      </c>
      <c r="F101" t="inlineStr">
        <is>
          <t>A</t>
        </is>
      </c>
      <c r="G101" t="inlineStr">
        <is>
          <t>Excellent</t>
        </is>
      </c>
      <c r="H101" s="606" t="n">
        <v>376</v>
      </c>
      <c r="I101">
        <f>B101&amp;"~"&amp;F101&amp;"~"&amp;G101</f>
        <v/>
      </c>
      <c r="J101" t="inlineStr">
        <is>
          <t>14</t>
        </is>
      </c>
      <c r="K101" t="inlineStr">
        <is>
          <t>14</t>
        </is>
      </c>
      <c r="L101" t="inlineStr">
        <is>
          <t>14</t>
        </is>
      </c>
      <c r="M101" t="inlineStr">
        <is>
          <t>MVS Sec.14 p.15</t>
        </is>
      </c>
    </row>
    <row r="102">
      <c r="B102" t="inlineStr">
        <is>
          <t>Industrials, Heavy (Process) Manufacturing</t>
        </is>
      </c>
      <c r="C102" t="inlineStr">
        <is>
          <t>495</t>
        </is>
      </c>
      <c r="D102" t="inlineStr">
        <is>
          <t>14</t>
        </is>
      </c>
      <c r="E102" t="inlineStr">
        <is>
          <t>15</t>
        </is>
      </c>
      <c r="F102" t="inlineStr">
        <is>
          <t>A</t>
        </is>
      </c>
      <c r="G102" t="inlineStr">
        <is>
          <t>Good</t>
        </is>
      </c>
      <c r="H102" s="606" t="n">
        <v>302</v>
      </c>
      <c r="I102">
        <f>B102&amp;"~"&amp;F102&amp;"~"&amp;G102</f>
        <v/>
      </c>
      <c r="J102" t="inlineStr">
        <is>
          <t>14</t>
        </is>
      </c>
      <c r="K102" t="inlineStr">
        <is>
          <t>14</t>
        </is>
      </c>
      <c r="L102" t="inlineStr">
        <is>
          <t>14</t>
        </is>
      </c>
      <c r="M102" t="inlineStr">
        <is>
          <t>MVS Sec.14 p.15</t>
        </is>
      </c>
    </row>
    <row r="103">
      <c r="B103" t="inlineStr">
        <is>
          <t>Industrials, Heavy (Process) Manufacturing</t>
        </is>
      </c>
      <c r="C103" t="inlineStr">
        <is>
          <t>495</t>
        </is>
      </c>
      <c r="D103" t="inlineStr">
        <is>
          <t>14</t>
        </is>
      </c>
      <c r="E103" t="inlineStr">
        <is>
          <t>15</t>
        </is>
      </c>
      <c r="F103" t="inlineStr">
        <is>
          <t>A</t>
        </is>
      </c>
      <c r="G103" t="inlineStr">
        <is>
          <t>Average</t>
        </is>
      </c>
      <c r="H103" s="606" t="n">
        <v>232</v>
      </c>
      <c r="I103">
        <f>B103&amp;"~"&amp;F103&amp;"~"&amp;G103</f>
        <v/>
      </c>
      <c r="J103" t="inlineStr">
        <is>
          <t>14</t>
        </is>
      </c>
      <c r="K103" t="inlineStr">
        <is>
          <t>14</t>
        </is>
      </c>
      <c r="L103" t="inlineStr">
        <is>
          <t>14</t>
        </is>
      </c>
      <c r="M103" t="inlineStr">
        <is>
          <t>MVS Sec.14 p.15</t>
        </is>
      </c>
    </row>
    <row r="104">
      <c r="B104" t="inlineStr">
        <is>
          <t>Industrials, Heavy (Process) Manufacturing</t>
        </is>
      </c>
      <c r="C104" t="inlineStr">
        <is>
          <t>495</t>
        </is>
      </c>
      <c r="D104" t="inlineStr">
        <is>
          <t>14</t>
        </is>
      </c>
      <c r="E104" t="inlineStr">
        <is>
          <t>15</t>
        </is>
      </c>
      <c r="F104" t="inlineStr">
        <is>
          <t>A</t>
        </is>
      </c>
      <c r="G104" t="inlineStr">
        <is>
          <t>Low Cost</t>
        </is>
      </c>
      <c r="H104" s="606" t="n">
        <v>180</v>
      </c>
      <c r="I104">
        <f>B104&amp;"~"&amp;F104&amp;"~"&amp;G104</f>
        <v/>
      </c>
      <c r="J104" t="inlineStr">
        <is>
          <t>14</t>
        </is>
      </c>
      <c r="K104" t="inlineStr">
        <is>
          <t>14</t>
        </is>
      </c>
      <c r="L104" t="inlineStr">
        <is>
          <t>14</t>
        </is>
      </c>
      <c r="M104" t="inlineStr">
        <is>
          <t>MVS Sec.14 p.15</t>
        </is>
      </c>
    </row>
    <row r="105">
      <c r="B105" t="inlineStr">
        <is>
          <t>Industrials, Heavy (Process) Manufacturing</t>
        </is>
      </c>
      <c r="C105" t="inlineStr">
        <is>
          <t>495</t>
        </is>
      </c>
      <c r="D105" t="inlineStr">
        <is>
          <t>14</t>
        </is>
      </c>
      <c r="E105" t="inlineStr">
        <is>
          <t>15</t>
        </is>
      </c>
      <c r="F105" t="inlineStr">
        <is>
          <t>B</t>
        </is>
      </c>
      <c r="G105" t="inlineStr">
        <is>
          <t>Excellent</t>
        </is>
      </c>
      <c r="H105" s="606" t="n">
        <v>339</v>
      </c>
      <c r="I105">
        <f>B105&amp;"~"&amp;F105&amp;"~"&amp;G105</f>
        <v/>
      </c>
      <c r="J105" t="inlineStr">
        <is>
          <t>14</t>
        </is>
      </c>
      <c r="K105" t="inlineStr">
        <is>
          <t>14</t>
        </is>
      </c>
      <c r="L105" t="inlineStr">
        <is>
          <t>14</t>
        </is>
      </c>
      <c r="M105" t="inlineStr">
        <is>
          <t>MVS Sec.14 p.15</t>
        </is>
      </c>
    </row>
    <row r="106">
      <c r="B106" t="inlineStr">
        <is>
          <t>Industrials, Heavy (Process) Manufacturing</t>
        </is>
      </c>
      <c r="C106" t="inlineStr">
        <is>
          <t>495</t>
        </is>
      </c>
      <c r="D106" t="inlineStr">
        <is>
          <t>14</t>
        </is>
      </c>
      <c r="E106" t="inlineStr">
        <is>
          <t>15</t>
        </is>
      </c>
      <c r="F106" t="inlineStr">
        <is>
          <t>B</t>
        </is>
      </c>
      <c r="G106" t="inlineStr">
        <is>
          <t>Good</t>
        </is>
      </c>
      <c r="H106" s="606" t="n">
        <v>272</v>
      </c>
      <c r="I106">
        <f>B106&amp;"~"&amp;F106&amp;"~"&amp;G106</f>
        <v/>
      </c>
      <c r="J106" t="inlineStr">
        <is>
          <t>14</t>
        </is>
      </c>
      <c r="K106" t="inlineStr">
        <is>
          <t>14</t>
        </is>
      </c>
      <c r="L106" t="inlineStr">
        <is>
          <t>14</t>
        </is>
      </c>
      <c r="M106" t="inlineStr">
        <is>
          <t>MVS Sec.14 p.15</t>
        </is>
      </c>
    </row>
    <row r="107">
      <c r="B107" t="inlineStr">
        <is>
          <t>Industrials, Heavy (Process) Manufacturing</t>
        </is>
      </c>
      <c r="C107" t="inlineStr">
        <is>
          <t>495</t>
        </is>
      </c>
      <c r="D107" t="inlineStr">
        <is>
          <t>14</t>
        </is>
      </c>
      <c r="E107" t="inlineStr">
        <is>
          <t>15</t>
        </is>
      </c>
      <c r="F107" t="inlineStr">
        <is>
          <t>B</t>
        </is>
      </c>
      <c r="G107" t="inlineStr">
        <is>
          <t>Average</t>
        </is>
      </c>
      <c r="H107" s="606" t="n">
        <v>208</v>
      </c>
      <c r="I107">
        <f>B107&amp;"~"&amp;F107&amp;"~"&amp;G107</f>
        <v/>
      </c>
      <c r="J107" t="inlineStr">
        <is>
          <t>14</t>
        </is>
      </c>
      <c r="K107" t="inlineStr">
        <is>
          <t>14</t>
        </is>
      </c>
      <c r="L107" t="inlineStr">
        <is>
          <t>14</t>
        </is>
      </c>
      <c r="M107" t="inlineStr">
        <is>
          <t>MVS Sec.14 p.15</t>
        </is>
      </c>
    </row>
    <row r="108">
      <c r="B108" t="inlineStr">
        <is>
          <t>Industrials, Heavy (Process) Manufacturing</t>
        </is>
      </c>
      <c r="C108" t="inlineStr">
        <is>
          <t>495</t>
        </is>
      </c>
      <c r="D108" t="inlineStr">
        <is>
          <t>14</t>
        </is>
      </c>
      <c r="E108" t="inlineStr">
        <is>
          <t>15</t>
        </is>
      </c>
      <c r="F108" t="inlineStr">
        <is>
          <t>B</t>
        </is>
      </c>
      <c r="G108" t="inlineStr">
        <is>
          <t>Low Cost</t>
        </is>
      </c>
      <c r="H108" s="606" t="n">
        <v>161</v>
      </c>
      <c r="I108">
        <f>B108&amp;"~"&amp;F108&amp;"~"&amp;G108</f>
        <v/>
      </c>
      <c r="J108" t="inlineStr">
        <is>
          <t>14</t>
        </is>
      </c>
      <c r="K108" t="inlineStr">
        <is>
          <t>14</t>
        </is>
      </c>
      <c r="L108" t="inlineStr">
        <is>
          <t>14</t>
        </is>
      </c>
      <c r="M108" t="inlineStr">
        <is>
          <t>MVS Sec.14 p.15</t>
        </is>
      </c>
    </row>
    <row r="109">
      <c r="B109" t="inlineStr">
        <is>
          <t>Industrials, Heavy (Process) Manufacturing</t>
        </is>
      </c>
      <c r="C109" t="inlineStr">
        <is>
          <t>495</t>
        </is>
      </c>
      <c r="D109" t="inlineStr">
        <is>
          <t>14</t>
        </is>
      </c>
      <c r="E109" t="inlineStr">
        <is>
          <t>15</t>
        </is>
      </c>
      <c r="F109" t="inlineStr">
        <is>
          <t>C</t>
        </is>
      </c>
      <c r="G109" t="inlineStr">
        <is>
          <t>Good</t>
        </is>
      </c>
      <c r="H109" s="606" t="n">
        <v>217</v>
      </c>
      <c r="I109">
        <f>B109&amp;"~"&amp;F109&amp;"~"&amp;G109</f>
        <v/>
      </c>
      <c r="J109" t="inlineStr">
        <is>
          <t>14</t>
        </is>
      </c>
      <c r="K109" t="inlineStr">
        <is>
          <t>14</t>
        </is>
      </c>
      <c r="L109" t="inlineStr">
        <is>
          <t>14</t>
        </is>
      </c>
      <c r="M109" t="inlineStr">
        <is>
          <t>MVS Sec.14 p.15</t>
        </is>
      </c>
    </row>
    <row r="110">
      <c r="B110" t="inlineStr">
        <is>
          <t>Industrials, Heavy (Process) Manufacturing</t>
        </is>
      </c>
      <c r="C110" t="inlineStr">
        <is>
          <t>495</t>
        </is>
      </c>
      <c r="D110" t="inlineStr">
        <is>
          <t>14</t>
        </is>
      </c>
      <c r="E110" t="inlineStr">
        <is>
          <t>15</t>
        </is>
      </c>
      <c r="F110" t="inlineStr">
        <is>
          <t>C</t>
        </is>
      </c>
      <c r="G110" t="inlineStr">
        <is>
          <t>Average</t>
        </is>
      </c>
      <c r="H110" s="606" t="n">
        <v>162</v>
      </c>
      <c r="I110">
        <f>B110&amp;"~"&amp;F110&amp;"~"&amp;G110</f>
        <v/>
      </c>
      <c r="J110" t="inlineStr">
        <is>
          <t>14</t>
        </is>
      </c>
      <c r="K110" t="inlineStr">
        <is>
          <t>14</t>
        </is>
      </c>
      <c r="L110" t="inlineStr">
        <is>
          <t>14</t>
        </is>
      </c>
      <c r="M110" t="inlineStr">
        <is>
          <t>MVS Sec.14 p.15</t>
        </is>
      </c>
    </row>
    <row r="111">
      <c r="B111" t="inlineStr">
        <is>
          <t>Industrials, Heavy (Process) Manufacturing</t>
        </is>
      </c>
      <c r="C111" t="inlineStr">
        <is>
          <t>495</t>
        </is>
      </c>
      <c r="D111" t="inlineStr">
        <is>
          <t>14</t>
        </is>
      </c>
      <c r="E111" t="inlineStr">
        <is>
          <t>15</t>
        </is>
      </c>
      <c r="F111" t="inlineStr">
        <is>
          <t>C</t>
        </is>
      </c>
      <c r="G111" t="inlineStr">
        <is>
          <t>Low Cost</t>
        </is>
      </c>
      <c r="H111" s="606" t="n">
        <v>117</v>
      </c>
      <c r="I111">
        <f>B111&amp;"~"&amp;F111&amp;"~"&amp;G111</f>
        <v/>
      </c>
      <c r="J111" t="inlineStr">
        <is>
          <t>14</t>
        </is>
      </c>
      <c r="K111" t="inlineStr">
        <is>
          <t>14</t>
        </is>
      </c>
      <c r="L111" t="inlineStr">
        <is>
          <t>14</t>
        </is>
      </c>
      <c r="M111" t="inlineStr">
        <is>
          <t>MVS Sec.14 p.15</t>
        </is>
      </c>
    </row>
    <row r="112">
      <c r="B112" t="inlineStr">
        <is>
          <t>Industrials, Heavy (Process) Manufacturing</t>
        </is>
      </c>
      <c r="C112" t="inlineStr">
        <is>
          <t>495</t>
        </is>
      </c>
      <c r="D112" t="inlineStr">
        <is>
          <t>14</t>
        </is>
      </c>
      <c r="E112" t="inlineStr">
        <is>
          <t>15</t>
        </is>
      </c>
      <c r="F112" t="inlineStr">
        <is>
          <t>CMILL</t>
        </is>
      </c>
      <c r="G112" t="inlineStr">
        <is>
          <t>Good</t>
        </is>
      </c>
      <c r="H112" s="606" t="n">
        <v>139</v>
      </c>
      <c r="I112">
        <f>B112&amp;"~"&amp;F112&amp;"~"&amp;G112</f>
        <v/>
      </c>
      <c r="J112" t="inlineStr">
        <is>
          <t>14</t>
        </is>
      </c>
      <c r="K112" t="inlineStr">
        <is>
          <t>14</t>
        </is>
      </c>
      <c r="L112" t="inlineStr">
        <is>
          <t>14</t>
        </is>
      </c>
      <c r="M112" t="inlineStr">
        <is>
          <t>MVS Sec.14 p.15</t>
        </is>
      </c>
    </row>
    <row r="113">
      <c r="B113" t="inlineStr">
        <is>
          <t>Industrials, Heavy (Process) Manufacturing</t>
        </is>
      </c>
      <c r="C113" t="inlineStr">
        <is>
          <t>495</t>
        </is>
      </c>
      <c r="D113" t="inlineStr">
        <is>
          <t>14</t>
        </is>
      </c>
      <c r="E113" t="inlineStr">
        <is>
          <t>15</t>
        </is>
      </c>
      <c r="F113" t="inlineStr">
        <is>
          <t>CMILL</t>
        </is>
      </c>
      <c r="G113" t="inlineStr">
        <is>
          <t>Average</t>
        </is>
      </c>
      <c r="H113" s="606" t="n">
        <v>106</v>
      </c>
      <c r="I113">
        <f>B113&amp;"~"&amp;F113&amp;"~"&amp;G113</f>
        <v/>
      </c>
      <c r="J113" t="inlineStr">
        <is>
          <t>14</t>
        </is>
      </c>
      <c r="K113" t="inlineStr">
        <is>
          <t>14</t>
        </is>
      </c>
      <c r="L113" t="inlineStr">
        <is>
          <t>14</t>
        </is>
      </c>
      <c r="M113" t="inlineStr">
        <is>
          <t>MVS Sec.14 p.15</t>
        </is>
      </c>
    </row>
    <row r="114">
      <c r="B114" t="inlineStr">
        <is>
          <t>Industrials, Heavy (Process) Manufacturing</t>
        </is>
      </c>
      <c r="C114" t="inlineStr">
        <is>
          <t>495</t>
        </is>
      </c>
      <c r="D114" t="inlineStr">
        <is>
          <t>14</t>
        </is>
      </c>
      <c r="E114" t="inlineStr">
        <is>
          <t>15</t>
        </is>
      </c>
      <c r="F114" t="inlineStr">
        <is>
          <t>D</t>
        </is>
      </c>
      <c r="G114" t="inlineStr">
        <is>
          <t>Average</t>
        </is>
      </c>
      <c r="H114" s="606" t="n">
        <v>144</v>
      </c>
      <c r="I114">
        <f>B114&amp;"~"&amp;F114&amp;"~"&amp;G114</f>
        <v/>
      </c>
      <c r="J114" t="inlineStr">
        <is>
          <t>14</t>
        </is>
      </c>
      <c r="K114" t="inlineStr">
        <is>
          <t>14</t>
        </is>
      </c>
      <c r="L114" t="inlineStr">
        <is>
          <t>14</t>
        </is>
      </c>
      <c r="M114" t="inlineStr">
        <is>
          <t>MVS Sec.14 p.15</t>
        </is>
      </c>
    </row>
    <row r="115">
      <c r="B115" t="inlineStr">
        <is>
          <t>Industrials, Heavy (Process) Manufacturing</t>
        </is>
      </c>
      <c r="C115" t="inlineStr">
        <is>
          <t>495</t>
        </is>
      </c>
      <c r="D115" t="inlineStr">
        <is>
          <t>14</t>
        </is>
      </c>
      <c r="E115" t="inlineStr">
        <is>
          <t>15</t>
        </is>
      </c>
      <c r="F115" t="inlineStr">
        <is>
          <t>D</t>
        </is>
      </c>
      <c r="G115" t="inlineStr">
        <is>
          <t>Low Cost</t>
        </is>
      </c>
      <c r="H115" s="606" t="n">
        <v>111</v>
      </c>
      <c r="I115">
        <f>B115&amp;"~"&amp;F115&amp;"~"&amp;G115</f>
        <v/>
      </c>
      <c r="J115" t="inlineStr">
        <is>
          <t>14</t>
        </is>
      </c>
      <c r="K115" t="inlineStr">
        <is>
          <t>14</t>
        </is>
      </c>
      <c r="L115" t="inlineStr">
        <is>
          <t>14</t>
        </is>
      </c>
      <c r="M115" t="inlineStr">
        <is>
          <t>MVS Sec.14 p.15</t>
        </is>
      </c>
    </row>
    <row r="116">
      <c r="B116" t="inlineStr">
        <is>
          <t>Industrials, Heavy (Process) Manufacturing</t>
        </is>
      </c>
      <c r="C116" t="inlineStr">
        <is>
          <t>495</t>
        </is>
      </c>
      <c r="D116" t="inlineStr">
        <is>
          <t>14</t>
        </is>
      </c>
      <c r="E116" t="inlineStr">
        <is>
          <t>15</t>
        </is>
      </c>
      <c r="F116" t="inlineStr">
        <is>
          <t>S</t>
        </is>
      </c>
      <c r="G116" t="inlineStr">
        <is>
          <t>Good</t>
        </is>
      </c>
      <c r="H116" s="606" t="n">
        <v>209</v>
      </c>
      <c r="I116">
        <f>B116&amp;"~"&amp;F116&amp;"~"&amp;G116</f>
        <v/>
      </c>
      <c r="J116" t="inlineStr">
        <is>
          <t>14</t>
        </is>
      </c>
      <c r="K116" t="inlineStr">
        <is>
          <t>14</t>
        </is>
      </c>
      <c r="L116" t="inlineStr">
        <is>
          <t>14</t>
        </is>
      </c>
      <c r="M116" t="inlineStr">
        <is>
          <t>MVS Sec.14 p.15</t>
        </is>
      </c>
    </row>
    <row r="117">
      <c r="B117" t="inlineStr">
        <is>
          <t>Industrials, Heavy (Process) Manufacturing</t>
        </is>
      </c>
      <c r="C117" t="inlineStr">
        <is>
          <t>495</t>
        </is>
      </c>
      <c r="D117" t="inlineStr">
        <is>
          <t>14</t>
        </is>
      </c>
      <c r="E117" t="inlineStr">
        <is>
          <t>15</t>
        </is>
      </c>
      <c r="F117" t="inlineStr">
        <is>
          <t>S</t>
        </is>
      </c>
      <c r="G117" t="inlineStr">
        <is>
          <t>Average</t>
        </is>
      </c>
      <c r="H117" s="606" t="n">
        <v>149</v>
      </c>
      <c r="I117">
        <f>B117&amp;"~"&amp;F117&amp;"~"&amp;G117</f>
        <v/>
      </c>
      <c r="J117" t="inlineStr">
        <is>
          <t>14</t>
        </is>
      </c>
      <c r="K117" t="inlineStr">
        <is>
          <t>14</t>
        </is>
      </c>
      <c r="L117" t="inlineStr">
        <is>
          <t>14</t>
        </is>
      </c>
      <c r="M117" t="inlineStr">
        <is>
          <t>MVS Sec.14 p.15</t>
        </is>
      </c>
    </row>
    <row r="118">
      <c r="B118" t="inlineStr">
        <is>
          <t>Industrials, Heavy (Process) Manufacturing</t>
        </is>
      </c>
      <c r="C118" t="inlineStr">
        <is>
          <t>495</t>
        </is>
      </c>
      <c r="D118" t="inlineStr">
        <is>
          <t>14</t>
        </is>
      </c>
      <c r="E118" t="inlineStr">
        <is>
          <t>15</t>
        </is>
      </c>
      <c r="F118" t="inlineStr">
        <is>
          <t>S</t>
        </is>
      </c>
      <c r="G118" t="inlineStr">
        <is>
          <t>Low Cost</t>
        </is>
      </c>
      <c r="H118" s="606" t="n">
        <v>113</v>
      </c>
      <c r="I118">
        <f>B118&amp;"~"&amp;F118&amp;"~"&amp;G118</f>
        <v/>
      </c>
      <c r="J118" t="inlineStr">
        <is>
          <t>14</t>
        </is>
      </c>
      <c r="K118" t="inlineStr">
        <is>
          <t>14</t>
        </is>
      </c>
      <c r="L118" t="inlineStr">
        <is>
          <t>14</t>
        </is>
      </c>
      <c r="M118" t="inlineStr">
        <is>
          <t>MVS Sec.14 p.15</t>
        </is>
      </c>
    </row>
    <row r="119">
      <c r="B119" t="inlineStr">
        <is>
          <t>Service Garages (Commercial/Repair)</t>
        </is>
      </c>
      <c r="C119" t="inlineStr">
        <is>
          <t>528</t>
        </is>
      </c>
      <c r="D119" t="inlineStr">
        <is>
          <t>14</t>
        </is>
      </c>
      <c r="E119" t="inlineStr">
        <is>
          <t>32</t>
        </is>
      </c>
      <c r="F119" t="inlineStr">
        <is>
          <t>A-B</t>
        </is>
      </c>
      <c r="G119" t="inlineStr">
        <is>
          <t>Average</t>
        </is>
      </c>
      <c r="H119" s="606" t="n">
        <v>122</v>
      </c>
      <c r="I119">
        <f>B119&amp;"~"&amp;F119&amp;"~"&amp;G119</f>
        <v/>
      </c>
      <c r="J119" t="inlineStr">
        <is>
          <t>14</t>
        </is>
      </c>
      <c r="K119" t="inlineStr">
        <is>
          <t>14</t>
        </is>
      </c>
      <c r="L119" t="inlineStr">
        <is>
          <t>14</t>
        </is>
      </c>
      <c r="M119" t="inlineStr">
        <is>
          <t>MVS Sec.14 p.32</t>
        </is>
      </c>
    </row>
    <row r="120">
      <c r="B120" t="inlineStr">
        <is>
          <t>Service Garages (Commercial/Repair)</t>
        </is>
      </c>
      <c r="C120" t="inlineStr">
        <is>
          <t>528</t>
        </is>
      </c>
      <c r="D120" t="inlineStr">
        <is>
          <t>14</t>
        </is>
      </c>
      <c r="E120" t="inlineStr">
        <is>
          <t>32</t>
        </is>
      </c>
      <c r="F120" t="inlineStr">
        <is>
          <t>C</t>
        </is>
      </c>
      <c r="G120" t="inlineStr">
        <is>
          <t>Excellent</t>
        </is>
      </c>
      <c r="H120" s="606" t="n">
        <v>156</v>
      </c>
      <c r="I120">
        <f>B120&amp;"~"&amp;F120&amp;"~"&amp;G120</f>
        <v/>
      </c>
      <c r="J120" t="inlineStr">
        <is>
          <t>14</t>
        </is>
      </c>
      <c r="K120" t="inlineStr">
        <is>
          <t>14</t>
        </is>
      </c>
      <c r="L120" t="inlineStr">
        <is>
          <t>14</t>
        </is>
      </c>
      <c r="M120" t="inlineStr">
        <is>
          <t>MVS Sec.14 p.32</t>
        </is>
      </c>
    </row>
    <row r="121">
      <c r="B121" t="inlineStr">
        <is>
          <t>Service Garages (Commercial/Repair)</t>
        </is>
      </c>
      <c r="C121" t="inlineStr">
        <is>
          <t>528</t>
        </is>
      </c>
      <c r="D121" t="inlineStr">
        <is>
          <t>14</t>
        </is>
      </c>
      <c r="E121" t="inlineStr">
        <is>
          <t>32</t>
        </is>
      </c>
      <c r="F121" t="inlineStr">
        <is>
          <t>C</t>
        </is>
      </c>
      <c r="G121" t="inlineStr">
        <is>
          <t>Good</t>
        </is>
      </c>
      <c r="H121" s="606" t="n">
        <v>109</v>
      </c>
      <c r="I121">
        <f>B121&amp;"~"&amp;F121&amp;"~"&amp;G121</f>
        <v/>
      </c>
      <c r="J121" t="inlineStr">
        <is>
          <t>14</t>
        </is>
      </c>
      <c r="K121" t="inlineStr">
        <is>
          <t>14</t>
        </is>
      </c>
      <c r="L121" t="inlineStr">
        <is>
          <t>14</t>
        </is>
      </c>
      <c r="M121" t="inlineStr">
        <is>
          <t>MVS Sec.14 p.32</t>
        </is>
      </c>
    </row>
    <row r="122">
      <c r="B122" t="inlineStr">
        <is>
          <t>Service Garages (Commercial/Repair)</t>
        </is>
      </c>
      <c r="C122" t="inlineStr">
        <is>
          <t>528</t>
        </is>
      </c>
      <c r="D122" t="inlineStr">
        <is>
          <t>14</t>
        </is>
      </c>
      <c r="E122" t="inlineStr">
        <is>
          <t>32</t>
        </is>
      </c>
      <c r="F122" t="inlineStr">
        <is>
          <t>C</t>
        </is>
      </c>
      <c r="G122" t="inlineStr">
        <is>
          <t>Average</t>
        </is>
      </c>
      <c r="H122" s="606" t="n">
        <v>79.5</v>
      </c>
      <c r="I122">
        <f>B122&amp;"~"&amp;F122&amp;"~"&amp;G122</f>
        <v/>
      </c>
      <c r="J122" t="inlineStr">
        <is>
          <t>14</t>
        </is>
      </c>
      <c r="K122" t="inlineStr">
        <is>
          <t>14</t>
        </is>
      </c>
      <c r="L122" t="inlineStr">
        <is>
          <t>14</t>
        </is>
      </c>
      <c r="M122" t="inlineStr">
        <is>
          <t>MVS Sec.14 p.32</t>
        </is>
      </c>
    </row>
    <row r="123">
      <c r="B123" t="inlineStr">
        <is>
          <t>Service Garages (Commercial/Repair)</t>
        </is>
      </c>
      <c r="C123" t="inlineStr">
        <is>
          <t>528</t>
        </is>
      </c>
      <c r="D123" t="inlineStr">
        <is>
          <t>14</t>
        </is>
      </c>
      <c r="E123" t="inlineStr">
        <is>
          <t>32</t>
        </is>
      </c>
      <c r="F123" t="inlineStr">
        <is>
          <t>C</t>
        </is>
      </c>
      <c r="G123" t="inlineStr">
        <is>
          <t>Low Cost</t>
        </is>
      </c>
      <c r="H123" s="606" t="n">
        <v>57.5</v>
      </c>
      <c r="I123">
        <f>B123&amp;"~"&amp;F123&amp;"~"&amp;G123</f>
        <v/>
      </c>
      <c r="J123" t="inlineStr">
        <is>
          <t>14</t>
        </is>
      </c>
      <c r="K123" t="inlineStr">
        <is>
          <t>14</t>
        </is>
      </c>
      <c r="L123" t="inlineStr">
        <is>
          <t>14</t>
        </is>
      </c>
      <c r="M123" t="inlineStr">
        <is>
          <t>MVS Sec.14 p.32</t>
        </is>
      </c>
    </row>
    <row r="124">
      <c r="B124" t="inlineStr">
        <is>
          <t>Service Garages (Commercial/Repair)</t>
        </is>
      </c>
      <c r="C124" t="inlineStr">
        <is>
          <t>528</t>
        </is>
      </c>
      <c r="D124" t="inlineStr">
        <is>
          <t>14</t>
        </is>
      </c>
      <c r="E124" t="inlineStr">
        <is>
          <t>32</t>
        </is>
      </c>
      <c r="F124" t="inlineStr">
        <is>
          <t>D</t>
        </is>
      </c>
      <c r="G124" t="inlineStr">
        <is>
          <t>Good</t>
        </is>
      </c>
      <c r="H124" s="606" t="n">
        <v>96</v>
      </c>
      <c r="I124">
        <f>B124&amp;"~"&amp;F124&amp;"~"&amp;G124</f>
        <v/>
      </c>
      <c r="J124" t="inlineStr">
        <is>
          <t>14</t>
        </is>
      </c>
      <c r="K124" t="inlineStr">
        <is>
          <t>14</t>
        </is>
      </c>
      <c r="L124" t="inlineStr">
        <is>
          <t>14</t>
        </is>
      </c>
      <c r="M124" t="inlineStr">
        <is>
          <t>MVS Sec.14 p.32</t>
        </is>
      </c>
    </row>
    <row r="125">
      <c r="B125" t="inlineStr">
        <is>
          <t>Service Garages (Commercial/Repair)</t>
        </is>
      </c>
      <c r="C125" t="inlineStr">
        <is>
          <t>528</t>
        </is>
      </c>
      <c r="D125" t="inlineStr">
        <is>
          <t>14</t>
        </is>
      </c>
      <c r="E125" t="inlineStr">
        <is>
          <t>32</t>
        </is>
      </c>
      <c r="F125" t="inlineStr">
        <is>
          <t>D</t>
        </is>
      </c>
      <c r="G125" t="inlineStr">
        <is>
          <t>Average</t>
        </is>
      </c>
      <c r="H125" s="606" t="n">
        <v>70.5</v>
      </c>
      <c r="I125">
        <f>B125&amp;"~"&amp;F125&amp;"~"&amp;G125</f>
        <v/>
      </c>
      <c r="J125" t="inlineStr">
        <is>
          <t>14</t>
        </is>
      </c>
      <c r="K125" t="inlineStr">
        <is>
          <t>14</t>
        </is>
      </c>
      <c r="L125" t="inlineStr">
        <is>
          <t>14</t>
        </is>
      </c>
      <c r="M125" t="inlineStr">
        <is>
          <t>MVS Sec.14 p.32</t>
        </is>
      </c>
    </row>
    <row r="126">
      <c r="B126" t="inlineStr">
        <is>
          <t>Service Garages (Commercial/Repair)</t>
        </is>
      </c>
      <c r="C126" t="inlineStr">
        <is>
          <t>528</t>
        </is>
      </c>
      <c r="D126" t="inlineStr">
        <is>
          <t>14</t>
        </is>
      </c>
      <c r="E126" t="inlineStr">
        <is>
          <t>32</t>
        </is>
      </c>
      <c r="F126" t="inlineStr">
        <is>
          <t>D</t>
        </is>
      </c>
      <c r="G126" t="inlineStr">
        <is>
          <t>Low Cost</t>
        </is>
      </c>
      <c r="H126" s="606" t="n">
        <v>52</v>
      </c>
      <c r="I126">
        <f>B126&amp;"~"&amp;F126&amp;"~"&amp;G126</f>
        <v/>
      </c>
      <c r="J126" t="inlineStr">
        <is>
          <t>14</t>
        </is>
      </c>
      <c r="K126" t="inlineStr">
        <is>
          <t>14</t>
        </is>
      </c>
      <c r="L126" t="inlineStr">
        <is>
          <t>14</t>
        </is>
      </c>
      <c r="M126" t="inlineStr">
        <is>
          <t>MVS Sec.14 p.32</t>
        </is>
      </c>
    </row>
    <row r="127">
      <c r="B127" t="inlineStr">
        <is>
          <t>Service Garages (Commercial/Repair)</t>
        </is>
      </c>
      <c r="C127" t="inlineStr">
        <is>
          <t>528</t>
        </is>
      </c>
      <c r="D127" t="inlineStr">
        <is>
          <t>14</t>
        </is>
      </c>
      <c r="E127" t="inlineStr">
        <is>
          <t>32</t>
        </is>
      </c>
      <c r="F127" t="inlineStr">
        <is>
          <t>DPOLE</t>
        </is>
      </c>
      <c r="G127" t="inlineStr">
        <is>
          <t>Average</t>
        </is>
      </c>
      <c r="H127" s="606" t="n">
        <v>62</v>
      </c>
      <c r="I127">
        <f>B127&amp;"~"&amp;F127&amp;"~"&amp;G127</f>
        <v/>
      </c>
      <c r="J127" t="inlineStr">
        <is>
          <t>14</t>
        </is>
      </c>
      <c r="K127" t="inlineStr">
        <is>
          <t>14</t>
        </is>
      </c>
      <c r="L127" t="inlineStr">
        <is>
          <t>14</t>
        </is>
      </c>
      <c r="M127" t="inlineStr">
        <is>
          <t>MVS Sec.14 p.32</t>
        </is>
      </c>
    </row>
    <row r="128">
      <c r="B128" t="inlineStr">
        <is>
          <t>Service Garages (Commercial/Repair)</t>
        </is>
      </c>
      <c r="C128" t="inlineStr">
        <is>
          <t>528</t>
        </is>
      </c>
      <c r="D128" t="inlineStr">
        <is>
          <t>14</t>
        </is>
      </c>
      <c r="E128" t="inlineStr">
        <is>
          <t>32</t>
        </is>
      </c>
      <c r="F128" t="inlineStr">
        <is>
          <t>DPOLE</t>
        </is>
      </c>
      <c r="G128" t="inlineStr">
        <is>
          <t>Low Cost</t>
        </is>
      </c>
      <c r="H128" s="606" t="n">
        <v>45.5</v>
      </c>
      <c r="I128">
        <f>B128&amp;"~"&amp;F128&amp;"~"&amp;G128</f>
        <v/>
      </c>
      <c r="J128" t="inlineStr">
        <is>
          <t>14</t>
        </is>
      </c>
      <c r="K128" t="inlineStr">
        <is>
          <t>14</t>
        </is>
      </c>
      <c r="L128" t="inlineStr">
        <is>
          <t>14</t>
        </is>
      </c>
      <c r="M128" t="inlineStr">
        <is>
          <t>MVS Sec.14 p.32</t>
        </is>
      </c>
    </row>
    <row r="129">
      <c r="B129" t="inlineStr">
        <is>
          <t>Service Garages (Commercial/Repair)</t>
        </is>
      </c>
      <c r="C129" t="inlineStr">
        <is>
          <t>528</t>
        </is>
      </c>
      <c r="D129" t="inlineStr">
        <is>
          <t>14</t>
        </is>
      </c>
      <c r="E129" t="inlineStr">
        <is>
          <t>32</t>
        </is>
      </c>
      <c r="F129" t="inlineStr">
        <is>
          <t>S</t>
        </is>
      </c>
      <c r="G129" t="inlineStr">
        <is>
          <t>Good</t>
        </is>
      </c>
      <c r="H129" s="606" t="n">
        <v>94.5</v>
      </c>
      <c r="I129">
        <f>B129&amp;"~"&amp;F129&amp;"~"&amp;G129</f>
        <v/>
      </c>
      <c r="J129" t="inlineStr">
        <is>
          <t>14</t>
        </is>
      </c>
      <c r="K129" t="inlineStr">
        <is>
          <t>14</t>
        </is>
      </c>
      <c r="L129" t="inlineStr">
        <is>
          <t>14</t>
        </is>
      </c>
      <c r="M129" t="inlineStr">
        <is>
          <t>MVS Sec.14 p.32</t>
        </is>
      </c>
    </row>
    <row r="130">
      <c r="B130" t="inlineStr">
        <is>
          <t>Service Garages (Commercial/Repair)</t>
        </is>
      </c>
      <c r="C130" t="inlineStr">
        <is>
          <t>528</t>
        </is>
      </c>
      <c r="D130" t="inlineStr">
        <is>
          <t>14</t>
        </is>
      </c>
      <c r="E130" t="inlineStr">
        <is>
          <t>32</t>
        </is>
      </c>
      <c r="F130" t="inlineStr">
        <is>
          <t>S</t>
        </is>
      </c>
      <c r="G130" t="inlineStr">
        <is>
          <t>Average</t>
        </is>
      </c>
      <c r="H130" s="606" t="n">
        <v>68</v>
      </c>
      <c r="I130">
        <f>B130&amp;"~"&amp;F130&amp;"~"&amp;G130</f>
        <v/>
      </c>
      <c r="J130" t="inlineStr">
        <is>
          <t>14</t>
        </is>
      </c>
      <c r="K130" t="inlineStr">
        <is>
          <t>14</t>
        </is>
      </c>
      <c r="L130" t="inlineStr">
        <is>
          <t>14</t>
        </is>
      </c>
      <c r="M130" t="inlineStr">
        <is>
          <t>MVS Sec.14 p.32</t>
        </is>
      </c>
    </row>
    <row r="131">
      <c r="B131" t="inlineStr">
        <is>
          <t>Service Garages (Commercial/Repair)</t>
        </is>
      </c>
      <c r="C131" t="inlineStr">
        <is>
          <t>528</t>
        </is>
      </c>
      <c r="D131" t="inlineStr">
        <is>
          <t>14</t>
        </is>
      </c>
      <c r="E131" t="inlineStr">
        <is>
          <t>32</t>
        </is>
      </c>
      <c r="F131" t="inlineStr">
        <is>
          <t>S</t>
        </is>
      </c>
      <c r="G131" t="inlineStr">
        <is>
          <t>Low Cost</t>
        </is>
      </c>
      <c r="H131" s="606" t="n">
        <v>49.5</v>
      </c>
      <c r="I131">
        <f>B131&amp;"~"&amp;F131&amp;"~"&amp;G131</f>
        <v/>
      </c>
      <c r="J131" t="inlineStr">
        <is>
          <t>14</t>
        </is>
      </c>
      <c r="K131" t="inlineStr">
        <is>
          <t>14</t>
        </is>
      </c>
      <c r="L131" t="inlineStr">
        <is>
          <t>14</t>
        </is>
      </c>
      <c r="M131" t="inlineStr">
        <is>
          <t>MVS Sec.14 p.32</t>
        </is>
      </c>
    </row>
    <row r="132">
      <c r="B132" t="inlineStr">
        <is>
          <t>Retail Stores</t>
        </is>
      </c>
      <c r="C132" t="inlineStr">
        <is>
          <t>353</t>
        </is>
      </c>
      <c r="D132" t="inlineStr">
        <is>
          <t>13</t>
        </is>
      </c>
      <c r="E132" t="inlineStr">
        <is>
          <t>26</t>
        </is>
      </c>
      <c r="F132" t="inlineStr">
        <is>
          <t>A</t>
        </is>
      </c>
      <c r="G132" t="inlineStr">
        <is>
          <t>Excellent</t>
        </is>
      </c>
      <c r="H132" s="606" t="n">
        <v>273</v>
      </c>
      <c r="I132">
        <f>B132&amp;"~"&amp;F132&amp;"~"&amp;G132</f>
        <v/>
      </c>
      <c r="J132" t="inlineStr">
        <is>
          <t>13</t>
        </is>
      </c>
      <c r="K132" t="inlineStr">
        <is>
          <t>13</t>
        </is>
      </c>
      <c r="L132" t="inlineStr">
        <is>
          <t>13</t>
        </is>
      </c>
      <c r="M132" t="inlineStr">
        <is>
          <t>MVS Sec.13 p.26</t>
        </is>
      </c>
    </row>
    <row r="133">
      <c r="B133" t="inlineStr">
        <is>
          <t>Retail Stores</t>
        </is>
      </c>
      <c r="C133" t="inlineStr">
        <is>
          <t>353</t>
        </is>
      </c>
      <c r="D133" t="inlineStr">
        <is>
          <t>13</t>
        </is>
      </c>
      <c r="E133" t="inlineStr">
        <is>
          <t>26</t>
        </is>
      </c>
      <c r="F133" t="inlineStr">
        <is>
          <t>A</t>
        </is>
      </c>
      <c r="G133" t="inlineStr">
        <is>
          <t>Good</t>
        </is>
      </c>
      <c r="H133" s="606" t="n">
        <v>205</v>
      </c>
      <c r="I133">
        <f>B133&amp;"~"&amp;F133&amp;"~"&amp;G133</f>
        <v/>
      </c>
      <c r="J133" t="inlineStr">
        <is>
          <t>13</t>
        </is>
      </c>
      <c r="K133" t="inlineStr">
        <is>
          <t>13</t>
        </is>
      </c>
      <c r="L133" t="inlineStr">
        <is>
          <t>13</t>
        </is>
      </c>
      <c r="M133" t="inlineStr">
        <is>
          <t>MVS Sec.13 p.26</t>
        </is>
      </c>
    </row>
    <row r="134">
      <c r="B134" t="inlineStr">
        <is>
          <t>Retail Stores</t>
        </is>
      </c>
      <c r="C134" t="inlineStr">
        <is>
          <t>353</t>
        </is>
      </c>
      <c r="D134" t="inlineStr">
        <is>
          <t>13</t>
        </is>
      </c>
      <c r="E134" t="inlineStr">
        <is>
          <t>26</t>
        </is>
      </c>
      <c r="F134" t="inlineStr">
        <is>
          <t>A</t>
        </is>
      </c>
      <c r="G134" t="inlineStr">
        <is>
          <t>Average</t>
        </is>
      </c>
      <c r="H134" s="606" t="n">
        <v>161</v>
      </c>
      <c r="I134">
        <f>B134&amp;"~"&amp;F134&amp;"~"&amp;G134</f>
        <v/>
      </c>
      <c r="J134" t="inlineStr">
        <is>
          <t>13</t>
        </is>
      </c>
      <c r="K134" t="inlineStr">
        <is>
          <t>13</t>
        </is>
      </c>
      <c r="L134" t="inlineStr">
        <is>
          <t>13</t>
        </is>
      </c>
      <c r="M134" t="inlineStr">
        <is>
          <t>MVS Sec.13 p.26</t>
        </is>
      </c>
    </row>
    <row r="135">
      <c r="B135" t="inlineStr">
        <is>
          <t>Retail Stores</t>
        </is>
      </c>
      <c r="C135" t="inlineStr">
        <is>
          <t>353</t>
        </is>
      </c>
      <c r="D135" t="inlineStr">
        <is>
          <t>13</t>
        </is>
      </c>
      <c r="E135" t="inlineStr">
        <is>
          <t>26</t>
        </is>
      </c>
      <c r="F135" t="inlineStr">
        <is>
          <t>A</t>
        </is>
      </c>
      <c r="G135" t="inlineStr">
        <is>
          <t>Low Cost</t>
        </is>
      </c>
      <c r="H135" s="606" t="n">
        <v>123</v>
      </c>
      <c r="I135">
        <f>B135&amp;"~"&amp;F135&amp;"~"&amp;G135</f>
        <v/>
      </c>
      <c r="J135" t="inlineStr">
        <is>
          <t>13</t>
        </is>
      </c>
      <c r="K135" t="inlineStr">
        <is>
          <t>13</t>
        </is>
      </c>
      <c r="L135" t="inlineStr">
        <is>
          <t>13</t>
        </is>
      </c>
      <c r="M135" t="inlineStr">
        <is>
          <t>MVS Sec.13 p.26</t>
        </is>
      </c>
    </row>
    <row r="136">
      <c r="B136" t="inlineStr">
        <is>
          <t>Retail Stores</t>
        </is>
      </c>
      <c r="C136" t="inlineStr">
        <is>
          <t>353</t>
        </is>
      </c>
      <c r="D136" t="inlineStr">
        <is>
          <t>13</t>
        </is>
      </c>
      <c r="E136" t="inlineStr">
        <is>
          <t>26</t>
        </is>
      </c>
      <c r="F136" t="inlineStr">
        <is>
          <t>B</t>
        </is>
      </c>
      <c r="G136" t="inlineStr">
        <is>
          <t>Excellent</t>
        </is>
      </c>
      <c r="H136" s="606" t="n">
        <v>248</v>
      </c>
      <c r="I136">
        <f>B136&amp;"~"&amp;F136&amp;"~"&amp;G136</f>
        <v/>
      </c>
      <c r="J136" t="inlineStr">
        <is>
          <t>13</t>
        </is>
      </c>
      <c r="K136" t="inlineStr">
        <is>
          <t>13</t>
        </is>
      </c>
      <c r="L136" t="inlineStr">
        <is>
          <t>13</t>
        </is>
      </c>
      <c r="M136" t="inlineStr">
        <is>
          <t>MVS Sec.13 p.26</t>
        </is>
      </c>
    </row>
    <row r="137">
      <c r="B137" t="inlineStr">
        <is>
          <t>Retail Stores</t>
        </is>
      </c>
      <c r="C137" t="inlineStr">
        <is>
          <t>353</t>
        </is>
      </c>
      <c r="D137" t="inlineStr">
        <is>
          <t>13</t>
        </is>
      </c>
      <c r="E137" t="inlineStr">
        <is>
          <t>26</t>
        </is>
      </c>
      <c r="F137" t="inlineStr">
        <is>
          <t>B</t>
        </is>
      </c>
      <c r="G137" t="inlineStr">
        <is>
          <t>Good</t>
        </is>
      </c>
      <c r="H137" s="606" t="n">
        <v>185</v>
      </c>
      <c r="I137">
        <f>B137&amp;"~"&amp;F137&amp;"~"&amp;G137</f>
        <v/>
      </c>
      <c r="J137" t="inlineStr">
        <is>
          <t>13</t>
        </is>
      </c>
      <c r="K137" t="inlineStr">
        <is>
          <t>13</t>
        </is>
      </c>
      <c r="L137" t="inlineStr">
        <is>
          <t>13</t>
        </is>
      </c>
      <c r="M137" t="inlineStr">
        <is>
          <t>MVS Sec.13 p.26</t>
        </is>
      </c>
    </row>
    <row r="138">
      <c r="B138" t="inlineStr">
        <is>
          <t>Retail Stores</t>
        </is>
      </c>
      <c r="C138" t="inlineStr">
        <is>
          <t>353</t>
        </is>
      </c>
      <c r="D138" t="inlineStr">
        <is>
          <t>13</t>
        </is>
      </c>
      <c r="E138" t="inlineStr">
        <is>
          <t>26</t>
        </is>
      </c>
      <c r="F138" t="inlineStr">
        <is>
          <t>B</t>
        </is>
      </c>
      <c r="G138" t="inlineStr">
        <is>
          <t>Average</t>
        </is>
      </c>
      <c r="H138" s="606" t="n">
        <v>145</v>
      </c>
      <c r="I138">
        <f>B138&amp;"~"&amp;F138&amp;"~"&amp;G138</f>
        <v/>
      </c>
      <c r="J138" t="inlineStr">
        <is>
          <t>13</t>
        </is>
      </c>
      <c r="K138" t="inlineStr">
        <is>
          <t>13</t>
        </is>
      </c>
      <c r="L138" t="inlineStr">
        <is>
          <t>13</t>
        </is>
      </c>
      <c r="M138" t="inlineStr">
        <is>
          <t>MVS Sec.13 p.26</t>
        </is>
      </c>
    </row>
    <row r="139">
      <c r="B139" t="inlineStr">
        <is>
          <t>Retail Stores</t>
        </is>
      </c>
      <c r="C139" t="inlineStr">
        <is>
          <t>353</t>
        </is>
      </c>
      <c r="D139" t="inlineStr">
        <is>
          <t>13</t>
        </is>
      </c>
      <c r="E139" t="inlineStr">
        <is>
          <t>26</t>
        </is>
      </c>
      <c r="F139" t="inlineStr">
        <is>
          <t>B</t>
        </is>
      </c>
      <c r="G139" t="inlineStr">
        <is>
          <t>Low Cost</t>
        </is>
      </c>
      <c r="H139" s="606" t="n">
        <v>110</v>
      </c>
      <c r="I139">
        <f>B139&amp;"~"&amp;F139&amp;"~"&amp;G139</f>
        <v/>
      </c>
      <c r="J139" t="inlineStr">
        <is>
          <t>13</t>
        </is>
      </c>
      <c r="K139" t="inlineStr">
        <is>
          <t>13</t>
        </is>
      </c>
      <c r="L139" t="inlineStr">
        <is>
          <t>13</t>
        </is>
      </c>
      <c r="M139" t="inlineStr">
        <is>
          <t>MVS Sec.13 p.26</t>
        </is>
      </c>
    </row>
    <row r="140">
      <c r="B140" t="inlineStr">
        <is>
          <t>Retail Stores</t>
        </is>
      </c>
      <c r="C140" t="inlineStr">
        <is>
          <t>353</t>
        </is>
      </c>
      <c r="D140" t="inlineStr">
        <is>
          <t>13</t>
        </is>
      </c>
      <c r="E140" t="inlineStr">
        <is>
          <t>26</t>
        </is>
      </c>
      <c r="F140" t="inlineStr">
        <is>
          <t>C</t>
        </is>
      </c>
      <c r="G140" t="inlineStr">
        <is>
          <t>Excellent</t>
        </is>
      </c>
      <c r="H140" s="606" t="n">
        <v>208</v>
      </c>
      <c r="I140">
        <f>B140&amp;"~"&amp;F140&amp;"~"&amp;G140</f>
        <v/>
      </c>
      <c r="J140" t="inlineStr">
        <is>
          <t>13</t>
        </is>
      </c>
      <c r="K140" t="inlineStr">
        <is>
          <t>13</t>
        </is>
      </c>
      <c r="L140" t="inlineStr">
        <is>
          <t>13</t>
        </is>
      </c>
      <c r="M140" t="inlineStr">
        <is>
          <t>MVS Sec.13 p.26</t>
        </is>
      </c>
    </row>
    <row r="141">
      <c r="B141" t="inlineStr">
        <is>
          <t>Retail Stores</t>
        </is>
      </c>
      <c r="C141" t="inlineStr">
        <is>
          <t>353</t>
        </is>
      </c>
      <c r="D141" t="inlineStr">
        <is>
          <t>13</t>
        </is>
      </c>
      <c r="E141" t="inlineStr">
        <is>
          <t>26</t>
        </is>
      </c>
      <c r="F141" t="inlineStr">
        <is>
          <t>C</t>
        </is>
      </c>
      <c r="G141" t="inlineStr">
        <is>
          <t>Good</t>
        </is>
      </c>
      <c r="H141" s="606" t="n">
        <v>154</v>
      </c>
      <c r="I141">
        <f>B141&amp;"~"&amp;F141&amp;"~"&amp;G141</f>
        <v/>
      </c>
      <c r="J141" t="inlineStr">
        <is>
          <t>13</t>
        </is>
      </c>
      <c r="K141" t="inlineStr">
        <is>
          <t>13</t>
        </is>
      </c>
      <c r="L141" t="inlineStr">
        <is>
          <t>13</t>
        </is>
      </c>
      <c r="M141" t="inlineStr">
        <is>
          <t>MVS Sec.13 p.26</t>
        </is>
      </c>
    </row>
    <row r="142">
      <c r="B142" t="inlineStr">
        <is>
          <t>Retail Stores</t>
        </is>
      </c>
      <c r="C142" t="inlineStr">
        <is>
          <t>353</t>
        </is>
      </c>
      <c r="D142" t="inlineStr">
        <is>
          <t>13</t>
        </is>
      </c>
      <c r="E142" t="inlineStr">
        <is>
          <t>26</t>
        </is>
      </c>
      <c r="F142" t="inlineStr">
        <is>
          <t>C</t>
        </is>
      </c>
      <c r="G142" t="inlineStr">
        <is>
          <t>Average</t>
        </is>
      </c>
      <c r="H142" s="606" t="n">
        <v>117</v>
      </c>
      <c r="I142">
        <f>B142&amp;"~"&amp;F142&amp;"~"&amp;G142</f>
        <v/>
      </c>
      <c r="J142" t="inlineStr">
        <is>
          <t>13</t>
        </is>
      </c>
      <c r="K142" t="inlineStr">
        <is>
          <t>13</t>
        </is>
      </c>
      <c r="L142" t="inlineStr">
        <is>
          <t>13</t>
        </is>
      </c>
      <c r="M142" t="inlineStr">
        <is>
          <t>MVS Sec.13 p.26</t>
        </is>
      </c>
    </row>
    <row r="143">
      <c r="B143" t="inlineStr">
        <is>
          <t>Retail Stores</t>
        </is>
      </c>
      <c r="C143" t="inlineStr">
        <is>
          <t>353</t>
        </is>
      </c>
      <c r="D143" t="inlineStr">
        <is>
          <t>13</t>
        </is>
      </c>
      <c r="E143" t="inlineStr">
        <is>
          <t>26</t>
        </is>
      </c>
      <c r="F143" t="inlineStr">
        <is>
          <t>C</t>
        </is>
      </c>
      <c r="G143" t="inlineStr">
        <is>
          <t>Low Cost</t>
        </is>
      </c>
      <c r="H143" s="606" t="n">
        <v>84</v>
      </c>
      <c r="I143">
        <f>B143&amp;"~"&amp;F143&amp;"~"&amp;G143</f>
        <v/>
      </c>
      <c r="J143" t="inlineStr">
        <is>
          <t>13</t>
        </is>
      </c>
      <c r="K143" t="inlineStr">
        <is>
          <t>13</t>
        </is>
      </c>
      <c r="L143" t="inlineStr">
        <is>
          <t>13</t>
        </is>
      </c>
      <c r="M143" t="inlineStr">
        <is>
          <t>MVS Sec.13 p.26</t>
        </is>
      </c>
    </row>
    <row r="144">
      <c r="B144" t="inlineStr">
        <is>
          <t>Retail Stores</t>
        </is>
      </c>
      <c r="C144" t="inlineStr">
        <is>
          <t>353</t>
        </is>
      </c>
      <c r="D144" t="inlineStr">
        <is>
          <t>13</t>
        </is>
      </c>
      <c r="E144" t="inlineStr">
        <is>
          <t>26</t>
        </is>
      </c>
      <c r="F144" t="inlineStr">
        <is>
          <t>D</t>
        </is>
      </c>
      <c r="G144" t="inlineStr">
        <is>
          <t>Excellent</t>
        </is>
      </c>
      <c r="H144" s="606" t="n">
        <v>198</v>
      </c>
      <c r="I144">
        <f>B144&amp;"~"&amp;F144&amp;"~"&amp;G144</f>
        <v/>
      </c>
      <c r="J144" t="inlineStr">
        <is>
          <t>13</t>
        </is>
      </c>
      <c r="K144" t="inlineStr">
        <is>
          <t>13</t>
        </is>
      </c>
      <c r="L144" t="inlineStr">
        <is>
          <t>13</t>
        </is>
      </c>
      <c r="M144" t="inlineStr">
        <is>
          <t>MVS Sec.13 p.26</t>
        </is>
      </c>
    </row>
    <row r="145">
      <c r="B145" t="inlineStr">
        <is>
          <t>Retail Stores</t>
        </is>
      </c>
      <c r="C145" t="inlineStr">
        <is>
          <t>353</t>
        </is>
      </c>
      <c r="D145" t="inlineStr">
        <is>
          <t>13</t>
        </is>
      </c>
      <c r="E145" t="inlineStr">
        <is>
          <t>26</t>
        </is>
      </c>
      <c r="F145" t="inlineStr">
        <is>
          <t>D</t>
        </is>
      </c>
      <c r="G145" t="inlineStr">
        <is>
          <t>Good</t>
        </is>
      </c>
      <c r="H145" s="606" t="n">
        <v>145</v>
      </c>
      <c r="I145">
        <f>B145&amp;"~"&amp;F145&amp;"~"&amp;G145</f>
        <v/>
      </c>
      <c r="J145" t="inlineStr">
        <is>
          <t>13</t>
        </is>
      </c>
      <c r="K145" t="inlineStr">
        <is>
          <t>13</t>
        </is>
      </c>
      <c r="L145" t="inlineStr">
        <is>
          <t>13</t>
        </is>
      </c>
      <c r="M145" t="inlineStr">
        <is>
          <t>MVS Sec.13 p.26</t>
        </is>
      </c>
    </row>
    <row r="146">
      <c r="B146" t="inlineStr">
        <is>
          <t>Retail Stores</t>
        </is>
      </c>
      <c r="C146" t="inlineStr">
        <is>
          <t>353</t>
        </is>
      </c>
      <c r="D146" t="inlineStr">
        <is>
          <t>13</t>
        </is>
      </c>
      <c r="E146" t="inlineStr">
        <is>
          <t>26</t>
        </is>
      </c>
      <c r="F146" t="inlineStr">
        <is>
          <t>D</t>
        </is>
      </c>
      <c r="G146" t="inlineStr">
        <is>
          <t>Average</t>
        </is>
      </c>
      <c r="H146" s="606" t="n">
        <v>110</v>
      </c>
      <c r="I146">
        <f>B146&amp;"~"&amp;F146&amp;"~"&amp;G146</f>
        <v/>
      </c>
      <c r="J146" t="inlineStr">
        <is>
          <t>13</t>
        </is>
      </c>
      <c r="K146" t="inlineStr">
        <is>
          <t>13</t>
        </is>
      </c>
      <c r="L146" t="inlineStr">
        <is>
          <t>13</t>
        </is>
      </c>
      <c r="M146" t="inlineStr">
        <is>
          <t>MVS Sec.13 p.26</t>
        </is>
      </c>
    </row>
    <row r="147">
      <c r="B147" t="inlineStr">
        <is>
          <t>Retail Stores</t>
        </is>
      </c>
      <c r="C147" t="inlineStr">
        <is>
          <t>353</t>
        </is>
      </c>
      <c r="D147" t="inlineStr">
        <is>
          <t>13</t>
        </is>
      </c>
      <c r="E147" t="inlineStr">
        <is>
          <t>26</t>
        </is>
      </c>
      <c r="F147" t="inlineStr">
        <is>
          <t>D</t>
        </is>
      </c>
      <c r="G147" t="inlineStr">
        <is>
          <t>Low Cost</t>
        </is>
      </c>
      <c r="H147" s="606" t="n">
        <v>78.5</v>
      </c>
      <c r="I147">
        <f>B147&amp;"~"&amp;F147&amp;"~"&amp;G147</f>
        <v/>
      </c>
      <c r="J147" t="inlineStr">
        <is>
          <t>13</t>
        </is>
      </c>
      <c r="K147" t="inlineStr">
        <is>
          <t>13</t>
        </is>
      </c>
      <c r="L147" t="inlineStr">
        <is>
          <t>13</t>
        </is>
      </c>
      <c r="M147" t="inlineStr">
        <is>
          <t>MVS Sec.13 p.26</t>
        </is>
      </c>
    </row>
    <row r="148">
      <c r="B148" t="inlineStr">
        <is>
          <t>Retail Stores</t>
        </is>
      </c>
      <c r="C148" t="inlineStr">
        <is>
          <t>353</t>
        </is>
      </c>
      <c r="D148" t="inlineStr">
        <is>
          <t>13</t>
        </is>
      </c>
      <c r="E148" t="inlineStr">
        <is>
          <t>26</t>
        </is>
      </c>
      <c r="F148" t="inlineStr">
        <is>
          <t>DPOLE</t>
        </is>
      </c>
      <c r="G148" t="inlineStr">
        <is>
          <t>Low Cost</t>
        </is>
      </c>
      <c r="H148" s="606" t="n">
        <v>73</v>
      </c>
      <c r="I148">
        <f>B148&amp;"~"&amp;F148&amp;"~"&amp;G148</f>
        <v/>
      </c>
      <c r="J148" t="inlineStr">
        <is>
          <t>13</t>
        </is>
      </c>
      <c r="K148" t="inlineStr">
        <is>
          <t>13</t>
        </is>
      </c>
      <c r="L148" t="inlineStr">
        <is>
          <t>13</t>
        </is>
      </c>
      <c r="M148" t="inlineStr">
        <is>
          <t>MVS Sec.13 p.26</t>
        </is>
      </c>
    </row>
    <row r="149">
      <c r="B149" t="inlineStr">
        <is>
          <t>Retail Stores</t>
        </is>
      </c>
      <c r="C149" t="inlineStr">
        <is>
          <t>353</t>
        </is>
      </c>
      <c r="D149" t="inlineStr">
        <is>
          <t>13</t>
        </is>
      </c>
      <c r="E149" t="inlineStr">
        <is>
          <t>26</t>
        </is>
      </c>
      <c r="F149" t="inlineStr">
        <is>
          <t>S</t>
        </is>
      </c>
      <c r="G149" t="inlineStr">
        <is>
          <t>Good</t>
        </is>
      </c>
      <c r="H149" s="606" t="n">
        <v>146</v>
      </c>
      <c r="I149">
        <f>B149&amp;"~"&amp;F149&amp;"~"&amp;G149</f>
        <v/>
      </c>
      <c r="J149" t="inlineStr">
        <is>
          <t>13</t>
        </is>
      </c>
      <c r="K149" t="inlineStr">
        <is>
          <t>13</t>
        </is>
      </c>
      <c r="L149" t="inlineStr">
        <is>
          <t>13</t>
        </is>
      </c>
      <c r="M149" t="inlineStr">
        <is>
          <t>MVS Sec.13 p.26</t>
        </is>
      </c>
    </row>
    <row r="150">
      <c r="B150" t="inlineStr">
        <is>
          <t>Retail Stores</t>
        </is>
      </c>
      <c r="C150" t="inlineStr">
        <is>
          <t>353</t>
        </is>
      </c>
      <c r="D150" t="inlineStr">
        <is>
          <t>13</t>
        </is>
      </c>
      <c r="E150" t="inlineStr">
        <is>
          <t>26</t>
        </is>
      </c>
      <c r="F150" t="inlineStr">
        <is>
          <t>S</t>
        </is>
      </c>
      <c r="G150" t="inlineStr">
        <is>
          <t>Average</t>
        </is>
      </c>
      <c r="H150" s="606" t="n">
        <v>108</v>
      </c>
      <c r="I150">
        <f>B150&amp;"~"&amp;F150&amp;"~"&amp;G150</f>
        <v/>
      </c>
      <c r="J150" t="inlineStr">
        <is>
          <t>13</t>
        </is>
      </c>
      <c r="K150" t="inlineStr">
        <is>
          <t>13</t>
        </is>
      </c>
      <c r="L150" t="inlineStr">
        <is>
          <t>13</t>
        </is>
      </c>
      <c r="M150" t="inlineStr">
        <is>
          <t>MVS Sec.13 p.26</t>
        </is>
      </c>
    </row>
    <row r="151">
      <c r="B151" t="inlineStr">
        <is>
          <t>Retail Stores</t>
        </is>
      </c>
      <c r="C151" t="inlineStr">
        <is>
          <t>353</t>
        </is>
      </c>
      <c r="D151" t="inlineStr">
        <is>
          <t>13</t>
        </is>
      </c>
      <c r="E151" t="inlineStr">
        <is>
          <t>26</t>
        </is>
      </c>
      <c r="F151" t="inlineStr">
        <is>
          <t>S</t>
        </is>
      </c>
      <c r="G151" t="inlineStr">
        <is>
          <t>Low Cost</t>
        </is>
      </c>
      <c r="H151" s="606" t="n">
        <v>76</v>
      </c>
      <c r="I151">
        <f>B151&amp;"~"&amp;F151&amp;"~"&amp;G151</f>
        <v/>
      </c>
      <c r="J151" t="inlineStr">
        <is>
          <t>13</t>
        </is>
      </c>
      <c r="K151" t="inlineStr">
        <is>
          <t>13</t>
        </is>
      </c>
      <c r="L151" t="inlineStr">
        <is>
          <t>13</t>
        </is>
      </c>
      <c r="M151" t="inlineStr">
        <is>
          <t>MVS Sec.13 p.26</t>
        </is>
      </c>
    </row>
    <row r="152">
      <c r="B152" t="inlineStr">
        <is>
          <t>Neighborhood Shopping Centers</t>
        </is>
      </c>
      <c r="C152" t="inlineStr">
        <is>
          <t>412</t>
        </is>
      </c>
      <c r="D152" t="inlineStr">
        <is>
          <t>13</t>
        </is>
      </c>
      <c r="E152" t="inlineStr">
        <is>
          <t>33</t>
        </is>
      </c>
      <c r="F152" t="inlineStr">
        <is>
          <t>C</t>
        </is>
      </c>
      <c r="G152" t="inlineStr">
        <is>
          <t>Good</t>
        </is>
      </c>
      <c r="H152" s="606" t="n">
        <v>152</v>
      </c>
      <c r="I152">
        <f>B152&amp;"~"&amp;F152&amp;"~"&amp;G152</f>
        <v/>
      </c>
      <c r="J152" t="inlineStr">
        <is>
          <t>13</t>
        </is>
      </c>
      <c r="K152" t="inlineStr">
        <is>
          <t>13</t>
        </is>
      </c>
      <c r="L152" t="inlineStr">
        <is>
          <t>13</t>
        </is>
      </c>
      <c r="M152" t="inlineStr">
        <is>
          <t>MVS Sec.13 p.33</t>
        </is>
      </c>
    </row>
    <row r="153">
      <c r="B153" t="inlineStr">
        <is>
          <t>Neighborhood Shopping Centers</t>
        </is>
      </c>
      <c r="C153" t="inlineStr">
        <is>
          <t>412</t>
        </is>
      </c>
      <c r="D153" t="inlineStr">
        <is>
          <t>13</t>
        </is>
      </c>
      <c r="E153" t="inlineStr">
        <is>
          <t>33</t>
        </is>
      </c>
      <c r="F153" t="inlineStr">
        <is>
          <t>C</t>
        </is>
      </c>
      <c r="G153" t="inlineStr">
        <is>
          <t>Average</t>
        </is>
      </c>
      <c r="H153" s="606" t="n">
        <v>127</v>
      </c>
      <c r="I153">
        <f>B153&amp;"~"&amp;F153&amp;"~"&amp;G153</f>
        <v/>
      </c>
      <c r="J153" t="inlineStr">
        <is>
          <t>13</t>
        </is>
      </c>
      <c r="K153" t="inlineStr">
        <is>
          <t>13</t>
        </is>
      </c>
      <c r="L153" t="inlineStr">
        <is>
          <t>13</t>
        </is>
      </c>
      <c r="M153" t="inlineStr">
        <is>
          <t>MVS Sec.13 p.33</t>
        </is>
      </c>
    </row>
    <row r="154">
      <c r="B154" t="inlineStr">
        <is>
          <t>Neighborhood Shopping Centers</t>
        </is>
      </c>
      <c r="C154" t="inlineStr">
        <is>
          <t>412</t>
        </is>
      </c>
      <c r="D154" t="inlineStr">
        <is>
          <t>13</t>
        </is>
      </c>
      <c r="E154" t="inlineStr">
        <is>
          <t>33</t>
        </is>
      </c>
      <c r="F154" t="inlineStr">
        <is>
          <t>C</t>
        </is>
      </c>
      <c r="G154" t="inlineStr">
        <is>
          <t>Low Cost</t>
        </is>
      </c>
      <c r="H154" s="606" t="n">
        <v>100</v>
      </c>
      <c r="I154">
        <f>B154&amp;"~"&amp;F154&amp;"~"&amp;G154</f>
        <v/>
      </c>
      <c r="J154" t="inlineStr">
        <is>
          <t>13</t>
        </is>
      </c>
      <c r="K154" t="inlineStr">
        <is>
          <t>13</t>
        </is>
      </c>
      <c r="L154" t="inlineStr">
        <is>
          <t>13</t>
        </is>
      </c>
      <c r="M154" t="inlineStr">
        <is>
          <t>MVS Sec.13 p.33</t>
        </is>
      </c>
    </row>
    <row r="155">
      <c r="B155" t="inlineStr">
        <is>
          <t>Neighborhood Shopping Centers</t>
        </is>
      </c>
      <c r="C155" t="inlineStr">
        <is>
          <t>412</t>
        </is>
      </c>
      <c r="D155" t="inlineStr">
        <is>
          <t>13</t>
        </is>
      </c>
      <c r="E155" t="inlineStr">
        <is>
          <t>33</t>
        </is>
      </c>
      <c r="F155" t="inlineStr">
        <is>
          <t>CMILL</t>
        </is>
      </c>
      <c r="G155" t="inlineStr">
        <is>
          <t>Average</t>
        </is>
      </c>
      <c r="H155" s="606" t="n">
        <v>145</v>
      </c>
      <c r="I155">
        <f>B155&amp;"~"&amp;F155&amp;"~"&amp;G155</f>
        <v/>
      </c>
      <c r="J155" t="inlineStr">
        <is>
          <t>13</t>
        </is>
      </c>
      <c r="K155" t="inlineStr">
        <is>
          <t>13</t>
        </is>
      </c>
      <c r="L155" t="inlineStr">
        <is>
          <t>13</t>
        </is>
      </c>
      <c r="M155" t="inlineStr">
        <is>
          <t>MVS Sec.13 p.33</t>
        </is>
      </c>
    </row>
    <row r="156">
      <c r="B156" t="inlineStr">
        <is>
          <t>Neighborhood Shopping Centers</t>
        </is>
      </c>
      <c r="C156" t="inlineStr">
        <is>
          <t>412</t>
        </is>
      </c>
      <c r="D156" t="inlineStr">
        <is>
          <t>13</t>
        </is>
      </c>
      <c r="E156" t="inlineStr">
        <is>
          <t>33</t>
        </is>
      </c>
      <c r="F156" t="inlineStr">
        <is>
          <t>D</t>
        </is>
      </c>
      <c r="G156" t="inlineStr">
        <is>
          <t>Good</t>
        </is>
      </c>
      <c r="H156" s="606" t="n">
        <v>143</v>
      </c>
      <c r="I156">
        <f>B156&amp;"~"&amp;F156&amp;"~"&amp;G156</f>
        <v/>
      </c>
      <c r="J156" t="inlineStr">
        <is>
          <t>13</t>
        </is>
      </c>
      <c r="K156" t="inlineStr">
        <is>
          <t>13</t>
        </is>
      </c>
      <c r="L156" t="inlineStr">
        <is>
          <t>13</t>
        </is>
      </c>
      <c r="M156" t="inlineStr">
        <is>
          <t>MVS Sec.13 p.33</t>
        </is>
      </c>
    </row>
    <row r="157">
      <c r="B157" t="inlineStr">
        <is>
          <t>Neighborhood Shopping Centers</t>
        </is>
      </c>
      <c r="C157" t="inlineStr">
        <is>
          <t>412</t>
        </is>
      </c>
      <c r="D157" t="inlineStr">
        <is>
          <t>13</t>
        </is>
      </c>
      <c r="E157" t="inlineStr">
        <is>
          <t>33</t>
        </is>
      </c>
      <c r="F157" t="inlineStr">
        <is>
          <t>D</t>
        </is>
      </c>
      <c r="G157" t="inlineStr">
        <is>
          <t>Average</t>
        </is>
      </c>
      <c r="H157" s="606" t="n">
        <v>119</v>
      </c>
      <c r="I157">
        <f>B157&amp;"~"&amp;F157&amp;"~"&amp;G157</f>
        <v/>
      </c>
      <c r="J157" t="inlineStr">
        <is>
          <t>13</t>
        </is>
      </c>
      <c r="K157" t="inlineStr">
        <is>
          <t>13</t>
        </is>
      </c>
      <c r="L157" t="inlineStr">
        <is>
          <t>13</t>
        </is>
      </c>
      <c r="M157" t="inlineStr">
        <is>
          <t>MVS Sec.13 p.33</t>
        </is>
      </c>
    </row>
    <row r="158">
      <c r="B158" t="inlineStr">
        <is>
          <t>Neighborhood Shopping Centers</t>
        </is>
      </c>
      <c r="C158" t="inlineStr">
        <is>
          <t>412</t>
        </is>
      </c>
      <c r="D158" t="inlineStr">
        <is>
          <t>13</t>
        </is>
      </c>
      <c r="E158" t="inlineStr">
        <is>
          <t>33</t>
        </is>
      </c>
      <c r="F158" t="inlineStr">
        <is>
          <t>D</t>
        </is>
      </c>
      <c r="G158" t="inlineStr">
        <is>
          <t>Low Cost</t>
        </is>
      </c>
      <c r="H158" s="606" t="n">
        <v>93</v>
      </c>
      <c r="I158">
        <f>B158&amp;"~"&amp;F158&amp;"~"&amp;G158</f>
        <v/>
      </c>
      <c r="J158" t="inlineStr">
        <is>
          <t>13</t>
        </is>
      </c>
      <c r="K158" t="inlineStr">
        <is>
          <t>13</t>
        </is>
      </c>
      <c r="L158" t="inlineStr">
        <is>
          <t>13</t>
        </is>
      </c>
      <c r="M158" t="inlineStr">
        <is>
          <t>MVS Sec.13 p.33</t>
        </is>
      </c>
    </row>
    <row r="159">
      <c r="B159" t="inlineStr">
        <is>
          <t>Neighborhood Shopping Centers</t>
        </is>
      </c>
      <c r="C159" t="inlineStr">
        <is>
          <t>412</t>
        </is>
      </c>
      <c r="D159" t="inlineStr">
        <is>
          <t>13</t>
        </is>
      </c>
      <c r="E159" t="inlineStr">
        <is>
          <t>33</t>
        </is>
      </c>
      <c r="F159" t="inlineStr">
        <is>
          <t>DPOLE</t>
        </is>
      </c>
      <c r="G159" t="inlineStr">
        <is>
          <t>Low Cost</t>
        </is>
      </c>
      <c r="H159" s="606" t="n">
        <v>88.5</v>
      </c>
      <c r="I159">
        <f>B159&amp;"~"&amp;F159&amp;"~"&amp;G159</f>
        <v/>
      </c>
      <c r="J159" t="inlineStr">
        <is>
          <t>13</t>
        </is>
      </c>
      <c r="K159" t="inlineStr">
        <is>
          <t>13</t>
        </is>
      </c>
      <c r="L159" t="inlineStr">
        <is>
          <t>13</t>
        </is>
      </c>
      <c r="M159" t="inlineStr">
        <is>
          <t>MVS Sec.13 p.33</t>
        </is>
      </c>
    </row>
    <row r="160">
      <c r="B160" t="inlineStr">
        <is>
          <t>Neighborhood Shopping Centers</t>
        </is>
      </c>
      <c r="C160" t="inlineStr">
        <is>
          <t>412</t>
        </is>
      </c>
      <c r="D160" t="inlineStr">
        <is>
          <t>13</t>
        </is>
      </c>
      <c r="E160" t="inlineStr">
        <is>
          <t>33</t>
        </is>
      </c>
      <c r="F160" t="inlineStr">
        <is>
          <t>S</t>
        </is>
      </c>
      <c r="G160" t="inlineStr">
        <is>
          <t>Average</t>
        </is>
      </c>
      <c r="H160" s="606" t="n">
        <v>116</v>
      </c>
      <c r="I160">
        <f>B160&amp;"~"&amp;F160&amp;"~"&amp;G160</f>
        <v/>
      </c>
      <c r="J160" t="inlineStr">
        <is>
          <t>13</t>
        </is>
      </c>
      <c r="K160" t="inlineStr">
        <is>
          <t>13</t>
        </is>
      </c>
      <c r="L160" t="inlineStr">
        <is>
          <t>13</t>
        </is>
      </c>
      <c r="M160" t="inlineStr">
        <is>
          <t>MVS Sec.13 p.33</t>
        </is>
      </c>
    </row>
    <row r="161">
      <c r="B161" t="inlineStr">
        <is>
          <t>Neighborhood Shopping Centers</t>
        </is>
      </c>
      <c r="C161" t="inlineStr">
        <is>
          <t>412</t>
        </is>
      </c>
      <c r="D161" t="inlineStr">
        <is>
          <t>13</t>
        </is>
      </c>
      <c r="E161" t="inlineStr">
        <is>
          <t>33</t>
        </is>
      </c>
      <c r="F161" t="inlineStr">
        <is>
          <t>S</t>
        </is>
      </c>
      <c r="G161" t="inlineStr">
        <is>
          <t>Low Cost</t>
        </is>
      </c>
      <c r="H161" s="606" t="n">
        <v>91</v>
      </c>
      <c r="I161">
        <f>B161&amp;"~"&amp;F161&amp;"~"&amp;G161</f>
        <v/>
      </c>
      <c r="J161" t="inlineStr">
        <is>
          <t>13</t>
        </is>
      </c>
      <c r="K161" t="inlineStr">
        <is>
          <t>13</t>
        </is>
      </c>
      <c r="L161" t="inlineStr">
        <is>
          <t>13</t>
        </is>
      </c>
      <c r="M161" t="inlineStr">
        <is>
          <t>MVS Sec.13 p.33</t>
        </is>
      </c>
    </row>
    <row r="162">
      <c r="B162" t="inlineStr">
        <is>
          <t>Community Shopping Centers</t>
        </is>
      </c>
      <c r="C162" t="inlineStr">
        <is>
          <t>413</t>
        </is>
      </c>
      <c r="D162" t="inlineStr">
        <is>
          <t>13</t>
        </is>
      </c>
      <c r="E162" t="inlineStr">
        <is>
          <t>34</t>
        </is>
      </c>
      <c r="F162" t="inlineStr">
        <is>
          <t>C</t>
        </is>
      </c>
      <c r="G162" t="inlineStr">
        <is>
          <t>Excellent</t>
        </is>
      </c>
      <c r="H162" s="606" t="n">
        <v>207</v>
      </c>
      <c r="I162">
        <f>B162&amp;"~"&amp;F162&amp;"~"&amp;G162</f>
        <v/>
      </c>
      <c r="J162" t="inlineStr">
        <is>
          <t>13</t>
        </is>
      </c>
      <c r="K162" t="inlineStr">
        <is>
          <t>13</t>
        </is>
      </c>
      <c r="L162" t="inlineStr">
        <is>
          <t>13</t>
        </is>
      </c>
      <c r="M162" t="inlineStr">
        <is>
          <t>MVS Sec.13 p.34</t>
        </is>
      </c>
    </row>
    <row r="163">
      <c r="B163" t="inlineStr">
        <is>
          <t>Community Shopping Centers</t>
        </is>
      </c>
      <c r="C163" t="inlineStr">
        <is>
          <t>413</t>
        </is>
      </c>
      <c r="D163" t="inlineStr">
        <is>
          <t>13</t>
        </is>
      </c>
      <c r="E163" t="inlineStr">
        <is>
          <t>34</t>
        </is>
      </c>
      <c r="F163" t="inlineStr">
        <is>
          <t>C</t>
        </is>
      </c>
      <c r="G163" t="inlineStr">
        <is>
          <t>Good</t>
        </is>
      </c>
      <c r="H163" s="606" t="n">
        <v>169</v>
      </c>
      <c r="I163">
        <f>B163&amp;"~"&amp;F163&amp;"~"&amp;G163</f>
        <v/>
      </c>
      <c r="J163" t="inlineStr">
        <is>
          <t>13</t>
        </is>
      </c>
      <c r="K163" t="inlineStr">
        <is>
          <t>13</t>
        </is>
      </c>
      <c r="L163" t="inlineStr">
        <is>
          <t>13</t>
        </is>
      </c>
      <c r="M163" t="inlineStr">
        <is>
          <t>MVS Sec.13 p.34</t>
        </is>
      </c>
    </row>
    <row r="164">
      <c r="B164" t="inlineStr">
        <is>
          <t>Community Shopping Centers</t>
        </is>
      </c>
      <c r="C164" t="inlineStr">
        <is>
          <t>413</t>
        </is>
      </c>
      <c r="D164" t="inlineStr">
        <is>
          <t>13</t>
        </is>
      </c>
      <c r="E164" t="inlineStr">
        <is>
          <t>34</t>
        </is>
      </c>
      <c r="F164" t="inlineStr">
        <is>
          <t>C</t>
        </is>
      </c>
      <c r="G164" t="inlineStr">
        <is>
          <t>Average</t>
        </is>
      </c>
      <c r="H164" s="606" t="n">
        <v>135</v>
      </c>
      <c r="I164">
        <f>B164&amp;"~"&amp;F164&amp;"~"&amp;G164</f>
        <v/>
      </c>
      <c r="J164" t="inlineStr">
        <is>
          <t>13</t>
        </is>
      </c>
      <c r="K164" t="inlineStr">
        <is>
          <t>13</t>
        </is>
      </c>
      <c r="L164" t="inlineStr">
        <is>
          <t>13</t>
        </is>
      </c>
      <c r="M164" t="inlineStr">
        <is>
          <t>MVS Sec.13 p.34</t>
        </is>
      </c>
    </row>
    <row r="165">
      <c r="B165" t="inlineStr">
        <is>
          <t>Community Shopping Centers</t>
        </is>
      </c>
      <c r="C165" t="inlineStr">
        <is>
          <t>413</t>
        </is>
      </c>
      <c r="D165" t="inlineStr">
        <is>
          <t>13</t>
        </is>
      </c>
      <c r="E165" t="inlineStr">
        <is>
          <t>34</t>
        </is>
      </c>
      <c r="F165" t="inlineStr">
        <is>
          <t>C</t>
        </is>
      </c>
      <c r="G165" t="inlineStr">
        <is>
          <t>Low Cost</t>
        </is>
      </c>
      <c r="H165" s="606" t="n">
        <v>111</v>
      </c>
      <c r="I165">
        <f>B165&amp;"~"&amp;F165&amp;"~"&amp;G165</f>
        <v/>
      </c>
      <c r="J165" t="inlineStr">
        <is>
          <t>13</t>
        </is>
      </c>
      <c r="K165" t="inlineStr">
        <is>
          <t>13</t>
        </is>
      </c>
      <c r="L165" t="inlineStr">
        <is>
          <t>13</t>
        </is>
      </c>
      <c r="M165" t="inlineStr">
        <is>
          <t>MVS Sec.13 p.34</t>
        </is>
      </c>
    </row>
    <row r="166">
      <c r="B166" t="inlineStr">
        <is>
          <t>Community Shopping Centers</t>
        </is>
      </c>
      <c r="C166" t="inlineStr">
        <is>
          <t>413</t>
        </is>
      </c>
      <c r="D166" t="inlineStr">
        <is>
          <t>13</t>
        </is>
      </c>
      <c r="E166" t="inlineStr">
        <is>
          <t>34</t>
        </is>
      </c>
      <c r="F166" t="inlineStr">
        <is>
          <t>D</t>
        </is>
      </c>
      <c r="G166" t="inlineStr">
        <is>
          <t>Excellent</t>
        </is>
      </c>
      <c r="H166" s="606" t="n">
        <v>195</v>
      </c>
      <c r="I166">
        <f>B166&amp;"~"&amp;F166&amp;"~"&amp;G166</f>
        <v/>
      </c>
      <c r="J166" t="inlineStr">
        <is>
          <t>13</t>
        </is>
      </c>
      <c r="K166" t="inlineStr">
        <is>
          <t>13</t>
        </is>
      </c>
      <c r="L166" t="inlineStr">
        <is>
          <t>13</t>
        </is>
      </c>
      <c r="M166" t="inlineStr">
        <is>
          <t>MVS Sec.13 p.34</t>
        </is>
      </c>
    </row>
    <row r="167">
      <c r="B167" t="inlineStr">
        <is>
          <t>Community Shopping Centers</t>
        </is>
      </c>
      <c r="C167" t="inlineStr">
        <is>
          <t>413</t>
        </is>
      </c>
      <c r="D167" t="inlineStr">
        <is>
          <t>13</t>
        </is>
      </c>
      <c r="E167" t="inlineStr">
        <is>
          <t>34</t>
        </is>
      </c>
      <c r="F167" t="inlineStr">
        <is>
          <t>D</t>
        </is>
      </c>
      <c r="G167" t="inlineStr">
        <is>
          <t>Good</t>
        </is>
      </c>
      <c r="H167" s="606" t="n">
        <v>159</v>
      </c>
      <c r="I167">
        <f>B167&amp;"~"&amp;F167&amp;"~"&amp;G167</f>
        <v/>
      </c>
      <c r="J167" t="inlineStr">
        <is>
          <t>13</t>
        </is>
      </c>
      <c r="K167" t="inlineStr">
        <is>
          <t>13</t>
        </is>
      </c>
      <c r="L167" t="inlineStr">
        <is>
          <t>13</t>
        </is>
      </c>
      <c r="M167" t="inlineStr">
        <is>
          <t>MVS Sec.13 p.34</t>
        </is>
      </c>
    </row>
    <row r="168">
      <c r="B168" t="inlineStr">
        <is>
          <t>Community Shopping Centers</t>
        </is>
      </c>
      <c r="C168" t="inlineStr">
        <is>
          <t>413</t>
        </is>
      </c>
      <c r="D168" t="inlineStr">
        <is>
          <t>13</t>
        </is>
      </c>
      <c r="E168" t="inlineStr">
        <is>
          <t>34</t>
        </is>
      </c>
      <c r="F168" t="inlineStr">
        <is>
          <t>D</t>
        </is>
      </c>
      <c r="G168" t="inlineStr">
        <is>
          <t>Average</t>
        </is>
      </c>
      <c r="H168" s="606" t="n">
        <v>126</v>
      </c>
      <c r="I168">
        <f>B168&amp;"~"&amp;F168&amp;"~"&amp;G168</f>
        <v/>
      </c>
      <c r="J168" t="inlineStr">
        <is>
          <t>13</t>
        </is>
      </c>
      <c r="K168" t="inlineStr">
        <is>
          <t>13</t>
        </is>
      </c>
      <c r="L168" t="inlineStr">
        <is>
          <t>13</t>
        </is>
      </c>
      <c r="M168" t="inlineStr">
        <is>
          <t>MVS Sec.13 p.34</t>
        </is>
      </c>
    </row>
    <row r="169">
      <c r="B169" t="inlineStr">
        <is>
          <t>Community Shopping Centers</t>
        </is>
      </c>
      <c r="C169" t="inlineStr">
        <is>
          <t>413</t>
        </is>
      </c>
      <c r="D169" t="inlineStr">
        <is>
          <t>13</t>
        </is>
      </c>
      <c r="E169" t="inlineStr">
        <is>
          <t>34</t>
        </is>
      </c>
      <c r="F169" t="inlineStr">
        <is>
          <t>S</t>
        </is>
      </c>
      <c r="G169" t="inlineStr">
        <is>
          <t>Average</t>
        </is>
      </c>
      <c r="H169" s="606" t="n">
        <v>124</v>
      </c>
      <c r="I169">
        <f>B169&amp;"~"&amp;F169&amp;"~"&amp;G169</f>
        <v/>
      </c>
      <c r="J169" t="inlineStr">
        <is>
          <t>13</t>
        </is>
      </c>
      <c r="K169" t="inlineStr">
        <is>
          <t>13</t>
        </is>
      </c>
      <c r="L169" t="inlineStr">
        <is>
          <t>13</t>
        </is>
      </c>
      <c r="M169" t="inlineStr">
        <is>
          <t>MVS Sec.13 p.34</t>
        </is>
      </c>
    </row>
    <row r="170">
      <c r="B170" t="inlineStr">
        <is>
          <t>Regional Shopping Centers</t>
        </is>
      </c>
      <c r="C170" t="inlineStr">
        <is>
          <t>414</t>
        </is>
      </c>
      <c r="D170" t="inlineStr">
        <is>
          <t>13</t>
        </is>
      </c>
      <c r="E170" t="inlineStr">
        <is>
          <t>35</t>
        </is>
      </c>
      <c r="F170" t="inlineStr">
        <is>
          <t>A-B</t>
        </is>
      </c>
      <c r="G170" t="inlineStr">
        <is>
          <t>Excellent*</t>
        </is>
      </c>
      <c r="H170" s="606" t="n">
        <v>284</v>
      </c>
      <c r="I170">
        <f>B170&amp;"~"&amp;F170&amp;"~"&amp;G170</f>
        <v/>
      </c>
      <c r="J170" t="inlineStr">
        <is>
          <t>13</t>
        </is>
      </c>
      <c r="K170" t="inlineStr">
        <is>
          <t>13</t>
        </is>
      </c>
      <c r="L170" t="inlineStr">
        <is>
          <t>13</t>
        </is>
      </c>
      <c r="M170" t="inlineStr">
        <is>
          <t>MVS Sec.13 p.35</t>
        </is>
      </c>
    </row>
    <row r="171">
      <c r="B171" t="inlineStr">
        <is>
          <t>Regional Shopping Centers</t>
        </is>
      </c>
      <c r="C171" t="inlineStr">
        <is>
          <t>414</t>
        </is>
      </c>
      <c r="D171" t="inlineStr">
        <is>
          <t>13</t>
        </is>
      </c>
      <c r="E171" t="inlineStr">
        <is>
          <t>35</t>
        </is>
      </c>
      <c r="F171" t="inlineStr">
        <is>
          <t>A-B</t>
        </is>
      </c>
      <c r="G171" t="inlineStr">
        <is>
          <t>Good*</t>
        </is>
      </c>
      <c r="H171" s="606" t="n">
        <v>233</v>
      </c>
      <c r="I171">
        <f>B171&amp;"~"&amp;F171&amp;"~"&amp;G171</f>
        <v/>
      </c>
      <c r="J171" t="inlineStr">
        <is>
          <t>13</t>
        </is>
      </c>
      <c r="K171" t="inlineStr">
        <is>
          <t>13</t>
        </is>
      </c>
      <c r="L171" t="inlineStr">
        <is>
          <t>13</t>
        </is>
      </c>
      <c r="M171" t="inlineStr">
        <is>
          <t>MVS Sec.13 p.35</t>
        </is>
      </c>
    </row>
    <row r="172">
      <c r="B172" t="inlineStr">
        <is>
          <t>Regional Shopping Centers</t>
        </is>
      </c>
      <c r="C172" t="inlineStr">
        <is>
          <t>414</t>
        </is>
      </c>
      <c r="D172" t="inlineStr">
        <is>
          <t>13</t>
        </is>
      </c>
      <c r="E172" t="inlineStr">
        <is>
          <t>35</t>
        </is>
      </c>
      <c r="F172" t="inlineStr">
        <is>
          <t>C</t>
        </is>
      </c>
      <c r="G172" t="inlineStr">
        <is>
          <t>Excellent*</t>
        </is>
      </c>
      <c r="H172" s="606" t="n">
        <v>238</v>
      </c>
      <c r="I172">
        <f>B172&amp;"~"&amp;F172&amp;"~"&amp;G172</f>
        <v/>
      </c>
      <c r="J172" t="inlineStr">
        <is>
          <t>13</t>
        </is>
      </c>
      <c r="K172" t="inlineStr">
        <is>
          <t>13</t>
        </is>
      </c>
      <c r="L172" t="inlineStr">
        <is>
          <t>13</t>
        </is>
      </c>
      <c r="M172" t="inlineStr">
        <is>
          <t>MVS Sec.13 p.35</t>
        </is>
      </c>
    </row>
    <row r="173">
      <c r="B173" t="inlineStr">
        <is>
          <t>Regional Shopping Centers</t>
        </is>
      </c>
      <c r="C173" t="inlineStr">
        <is>
          <t>414</t>
        </is>
      </c>
      <c r="D173" t="inlineStr">
        <is>
          <t>13</t>
        </is>
      </c>
      <c r="E173" t="inlineStr">
        <is>
          <t>35</t>
        </is>
      </c>
      <c r="F173" t="inlineStr">
        <is>
          <t>C</t>
        </is>
      </c>
      <c r="G173" t="inlineStr">
        <is>
          <t>Good*</t>
        </is>
      </c>
      <c r="H173" s="606" t="n">
        <v>189</v>
      </c>
      <c r="I173">
        <f>B173&amp;"~"&amp;F173&amp;"~"&amp;G173</f>
        <v/>
      </c>
      <c r="J173" t="inlineStr">
        <is>
          <t>13</t>
        </is>
      </c>
      <c r="K173" t="inlineStr">
        <is>
          <t>13</t>
        </is>
      </c>
      <c r="L173" t="inlineStr">
        <is>
          <t>13</t>
        </is>
      </c>
      <c r="M173" t="inlineStr">
        <is>
          <t>MVS Sec.13 p.35</t>
        </is>
      </c>
    </row>
    <row r="174">
      <c r="B174" t="inlineStr">
        <is>
          <t>Regional Shopping Centers</t>
        </is>
      </c>
      <c r="C174" t="inlineStr">
        <is>
          <t>414</t>
        </is>
      </c>
      <c r="D174" t="inlineStr">
        <is>
          <t>13</t>
        </is>
      </c>
      <c r="E174" t="inlineStr">
        <is>
          <t>35</t>
        </is>
      </c>
      <c r="F174" t="inlineStr">
        <is>
          <t>C</t>
        </is>
      </c>
      <c r="G174" t="inlineStr">
        <is>
          <t>Average</t>
        </is>
      </c>
      <c r="H174" s="606" t="n">
        <v>153</v>
      </c>
      <c r="I174">
        <f>B174&amp;"~"&amp;F174&amp;"~"&amp;G174</f>
        <v/>
      </c>
      <c r="J174" t="inlineStr">
        <is>
          <t>13</t>
        </is>
      </c>
      <c r="K174" t="inlineStr">
        <is>
          <t>13</t>
        </is>
      </c>
      <c r="L174" t="inlineStr">
        <is>
          <t>13</t>
        </is>
      </c>
      <c r="M174" t="inlineStr">
        <is>
          <t>MVS Sec.13 p.35</t>
        </is>
      </c>
    </row>
    <row r="175">
      <c r="B175" t="inlineStr">
        <is>
          <t>Regional Shopping Centers</t>
        </is>
      </c>
      <c r="C175" t="inlineStr">
        <is>
          <t>414</t>
        </is>
      </c>
      <c r="D175" t="inlineStr">
        <is>
          <t>13</t>
        </is>
      </c>
      <c r="E175" t="inlineStr">
        <is>
          <t>35</t>
        </is>
      </c>
      <c r="F175" t="inlineStr">
        <is>
          <t>D</t>
        </is>
      </c>
      <c r="G175" t="inlineStr">
        <is>
          <t>Excellent*</t>
        </is>
      </c>
      <c r="H175" s="606" t="n">
        <v>223</v>
      </c>
      <c r="I175">
        <f>B175&amp;"~"&amp;F175&amp;"~"&amp;G175</f>
        <v/>
      </c>
      <c r="J175" t="inlineStr">
        <is>
          <t>13</t>
        </is>
      </c>
      <c r="K175" t="inlineStr">
        <is>
          <t>13</t>
        </is>
      </c>
      <c r="L175" t="inlineStr">
        <is>
          <t>13</t>
        </is>
      </c>
      <c r="M175" t="inlineStr">
        <is>
          <t>MVS Sec.13 p.35</t>
        </is>
      </c>
    </row>
    <row r="176">
      <c r="B176" t="inlineStr">
        <is>
          <t>Regional Shopping Centers</t>
        </is>
      </c>
      <c r="C176" t="inlineStr">
        <is>
          <t>414</t>
        </is>
      </c>
      <c r="D176" t="inlineStr">
        <is>
          <t>13</t>
        </is>
      </c>
      <c r="E176" t="inlineStr">
        <is>
          <t>35</t>
        </is>
      </c>
      <c r="F176" t="inlineStr">
        <is>
          <t>D</t>
        </is>
      </c>
      <c r="G176" t="inlineStr">
        <is>
          <t>Good*</t>
        </is>
      </c>
      <c r="H176" s="606" t="n">
        <v>176</v>
      </c>
      <c r="I176">
        <f>B176&amp;"~"&amp;F176&amp;"~"&amp;G176</f>
        <v/>
      </c>
      <c r="J176" t="inlineStr">
        <is>
          <t>13</t>
        </is>
      </c>
      <c r="K176" t="inlineStr">
        <is>
          <t>13</t>
        </is>
      </c>
      <c r="L176" t="inlineStr">
        <is>
          <t>13</t>
        </is>
      </c>
      <c r="M176" t="inlineStr">
        <is>
          <t>MVS Sec.13 p.35</t>
        </is>
      </c>
    </row>
    <row r="177">
      <c r="B177" t="inlineStr">
        <is>
          <t>Regional Shopping Centers</t>
        </is>
      </c>
      <c r="C177" t="inlineStr">
        <is>
          <t>414</t>
        </is>
      </c>
      <c r="D177" t="inlineStr">
        <is>
          <t>13</t>
        </is>
      </c>
      <c r="E177" t="inlineStr">
        <is>
          <t>35</t>
        </is>
      </c>
      <c r="F177" t="inlineStr">
        <is>
          <t>D</t>
        </is>
      </c>
      <c r="G177" t="inlineStr">
        <is>
          <t>Average</t>
        </is>
      </c>
      <c r="H177" s="606" t="n">
        <v>142</v>
      </c>
      <c r="I177">
        <f>B177&amp;"~"&amp;F177&amp;"~"&amp;G177</f>
        <v/>
      </c>
      <c r="J177" t="inlineStr">
        <is>
          <t>13</t>
        </is>
      </c>
      <c r="K177" t="inlineStr">
        <is>
          <t>13</t>
        </is>
      </c>
      <c r="L177" t="inlineStr">
        <is>
          <t>13</t>
        </is>
      </c>
      <c r="M177" t="inlineStr">
        <is>
          <t>MVS Sec.13 p.35</t>
        </is>
      </c>
    </row>
    <row r="178">
      <c r="B178" t="inlineStr">
        <is>
          <t>Regional Shopping Centers</t>
        </is>
      </c>
      <c r="C178" t="inlineStr">
        <is>
          <t>414</t>
        </is>
      </c>
      <c r="D178" t="inlineStr">
        <is>
          <t>13</t>
        </is>
      </c>
      <c r="E178" t="inlineStr">
        <is>
          <t>35</t>
        </is>
      </c>
      <c r="F178" t="inlineStr">
        <is>
          <t>S</t>
        </is>
      </c>
      <c r="G178" t="inlineStr">
        <is>
          <t>Average</t>
        </is>
      </c>
      <c r="H178" s="606" t="n">
        <v>142</v>
      </c>
      <c r="I178">
        <f>B178&amp;"~"&amp;F178&amp;"~"&amp;G178</f>
        <v/>
      </c>
      <c r="J178" t="inlineStr">
        <is>
          <t>13</t>
        </is>
      </c>
      <c r="K178" t="inlineStr">
        <is>
          <t>13</t>
        </is>
      </c>
      <c r="L178" t="inlineStr">
        <is>
          <t>13</t>
        </is>
      </c>
      <c r="M178" t="inlineStr">
        <is>
          <t>MVS Sec.13 p.35</t>
        </is>
      </c>
    </row>
    <row r="179">
      <c r="B179" t="inlineStr">
        <is>
          <t>Department Stores</t>
        </is>
      </c>
      <c r="C179" t="inlineStr">
        <is>
          <t>318</t>
        </is>
      </c>
      <c r="D179" t="inlineStr">
        <is>
          <t>13</t>
        </is>
      </c>
      <c r="E179" t="inlineStr">
        <is>
          <t>27</t>
        </is>
      </c>
      <c r="F179" t="inlineStr">
        <is>
          <t>A</t>
        </is>
      </c>
      <c r="G179" t="inlineStr">
        <is>
          <t>Excellent</t>
        </is>
      </c>
      <c r="H179" s="606" t="n">
        <v>317</v>
      </c>
      <c r="I179">
        <f>B179&amp;"~"&amp;F179&amp;"~"&amp;G179</f>
        <v/>
      </c>
      <c r="J179" t="inlineStr">
        <is>
          <t>13</t>
        </is>
      </c>
      <c r="K179" t="inlineStr">
        <is>
          <t>13</t>
        </is>
      </c>
      <c r="L179" t="inlineStr">
        <is>
          <t>13</t>
        </is>
      </c>
      <c r="M179" t="inlineStr">
        <is>
          <t>MVS Sec.13 p.27</t>
        </is>
      </c>
    </row>
    <row r="180">
      <c r="B180" t="inlineStr">
        <is>
          <t>Department Stores</t>
        </is>
      </c>
      <c r="C180" t="inlineStr">
        <is>
          <t>318</t>
        </is>
      </c>
      <c r="D180" t="inlineStr">
        <is>
          <t>13</t>
        </is>
      </c>
      <c r="E180" t="inlineStr">
        <is>
          <t>27</t>
        </is>
      </c>
      <c r="F180" t="inlineStr">
        <is>
          <t>A</t>
        </is>
      </c>
      <c r="G180" t="inlineStr">
        <is>
          <t>Good</t>
        </is>
      </c>
      <c r="H180" s="606" t="n">
        <v>256</v>
      </c>
      <c r="I180">
        <f>B180&amp;"~"&amp;F180&amp;"~"&amp;G180</f>
        <v/>
      </c>
      <c r="J180" t="inlineStr">
        <is>
          <t>13</t>
        </is>
      </c>
      <c r="K180" t="inlineStr">
        <is>
          <t>13</t>
        </is>
      </c>
      <c r="L180" t="inlineStr">
        <is>
          <t>13</t>
        </is>
      </c>
      <c r="M180" t="inlineStr">
        <is>
          <t>MVS Sec.13 p.27</t>
        </is>
      </c>
    </row>
    <row r="181">
      <c r="B181" t="inlineStr">
        <is>
          <t>Department Stores</t>
        </is>
      </c>
      <c r="C181" t="inlineStr">
        <is>
          <t>318</t>
        </is>
      </c>
      <c r="D181" t="inlineStr">
        <is>
          <t>13</t>
        </is>
      </c>
      <c r="E181" t="inlineStr">
        <is>
          <t>27</t>
        </is>
      </c>
      <c r="F181" t="inlineStr">
        <is>
          <t>A</t>
        </is>
      </c>
      <c r="G181" t="inlineStr">
        <is>
          <t>Average</t>
        </is>
      </c>
      <c r="H181" s="606" t="n">
        <v>198</v>
      </c>
      <c r="I181">
        <f>B181&amp;"~"&amp;F181&amp;"~"&amp;G181</f>
        <v/>
      </c>
      <c r="J181" t="inlineStr">
        <is>
          <t>13</t>
        </is>
      </c>
      <c r="K181" t="inlineStr">
        <is>
          <t>13</t>
        </is>
      </c>
      <c r="L181" t="inlineStr">
        <is>
          <t>13</t>
        </is>
      </c>
      <c r="M181" t="inlineStr">
        <is>
          <t>MVS Sec.13 p.27</t>
        </is>
      </c>
    </row>
    <row r="182">
      <c r="B182" t="inlineStr">
        <is>
          <t>Department Stores</t>
        </is>
      </c>
      <c r="C182" t="inlineStr">
        <is>
          <t>318</t>
        </is>
      </c>
      <c r="D182" t="inlineStr">
        <is>
          <t>13</t>
        </is>
      </c>
      <c r="E182" t="inlineStr">
        <is>
          <t>27</t>
        </is>
      </c>
      <c r="F182" t="inlineStr">
        <is>
          <t>B</t>
        </is>
      </c>
      <c r="G182" t="inlineStr">
        <is>
          <t>Excellent</t>
        </is>
      </c>
      <c r="H182" s="606" t="n">
        <v>289</v>
      </c>
      <c r="I182">
        <f>B182&amp;"~"&amp;F182&amp;"~"&amp;G182</f>
        <v/>
      </c>
      <c r="J182" t="inlineStr">
        <is>
          <t>13</t>
        </is>
      </c>
      <c r="K182" t="inlineStr">
        <is>
          <t>13</t>
        </is>
      </c>
      <c r="L182" t="inlineStr">
        <is>
          <t>13</t>
        </is>
      </c>
      <c r="M182" t="inlineStr">
        <is>
          <t>MVS Sec.13 p.27</t>
        </is>
      </c>
    </row>
    <row r="183">
      <c r="B183" t="inlineStr">
        <is>
          <t>Department Stores</t>
        </is>
      </c>
      <c r="C183" t="inlineStr">
        <is>
          <t>318</t>
        </is>
      </c>
      <c r="D183" t="inlineStr">
        <is>
          <t>13</t>
        </is>
      </c>
      <c r="E183" t="inlineStr">
        <is>
          <t>27</t>
        </is>
      </c>
      <c r="F183" t="inlineStr">
        <is>
          <t>B</t>
        </is>
      </c>
      <c r="G183" t="inlineStr">
        <is>
          <t>Good</t>
        </is>
      </c>
      <c r="H183" s="606" t="n">
        <v>233</v>
      </c>
      <c r="I183">
        <f>B183&amp;"~"&amp;F183&amp;"~"&amp;G183</f>
        <v/>
      </c>
      <c r="J183" t="inlineStr">
        <is>
          <t>13</t>
        </is>
      </c>
      <c r="K183" t="inlineStr">
        <is>
          <t>13</t>
        </is>
      </c>
      <c r="L183" t="inlineStr">
        <is>
          <t>13</t>
        </is>
      </c>
      <c r="M183" t="inlineStr">
        <is>
          <t>MVS Sec.13 p.27</t>
        </is>
      </c>
    </row>
    <row r="184">
      <c r="B184" t="inlineStr">
        <is>
          <t>Department Stores</t>
        </is>
      </c>
      <c r="C184" t="inlineStr">
        <is>
          <t>318</t>
        </is>
      </c>
      <c r="D184" t="inlineStr">
        <is>
          <t>13</t>
        </is>
      </c>
      <c r="E184" t="inlineStr">
        <is>
          <t>27</t>
        </is>
      </c>
      <c r="F184" t="inlineStr">
        <is>
          <t>B</t>
        </is>
      </c>
      <c r="G184" t="inlineStr">
        <is>
          <t>Average</t>
        </is>
      </c>
      <c r="H184" s="606" t="n">
        <v>180</v>
      </c>
      <c r="I184">
        <f>B184&amp;"~"&amp;F184&amp;"~"&amp;G184</f>
        <v/>
      </c>
      <c r="J184" t="inlineStr">
        <is>
          <t>13</t>
        </is>
      </c>
      <c r="K184" t="inlineStr">
        <is>
          <t>13</t>
        </is>
      </c>
      <c r="L184" t="inlineStr">
        <is>
          <t>13</t>
        </is>
      </c>
      <c r="M184" t="inlineStr">
        <is>
          <t>MVS Sec.13 p.27</t>
        </is>
      </c>
    </row>
    <row r="185">
      <c r="B185" t="inlineStr">
        <is>
          <t>Department Stores</t>
        </is>
      </c>
      <c r="C185" t="inlineStr">
        <is>
          <t>318</t>
        </is>
      </c>
      <c r="D185" t="inlineStr">
        <is>
          <t>13</t>
        </is>
      </c>
      <c r="E185" t="inlineStr">
        <is>
          <t>27</t>
        </is>
      </c>
      <c r="F185" t="inlineStr">
        <is>
          <t>C</t>
        </is>
      </c>
      <c r="G185" t="inlineStr">
        <is>
          <t>Excellent</t>
        </is>
      </c>
      <c r="H185" s="606" t="n">
        <v>254</v>
      </c>
      <c r="I185">
        <f>B185&amp;"~"&amp;F185&amp;"~"&amp;G185</f>
        <v/>
      </c>
      <c r="J185" t="inlineStr">
        <is>
          <t>13</t>
        </is>
      </c>
      <c r="K185" t="inlineStr">
        <is>
          <t>13</t>
        </is>
      </c>
      <c r="L185" t="inlineStr">
        <is>
          <t>13</t>
        </is>
      </c>
      <c r="M185" t="inlineStr">
        <is>
          <t>MVS Sec.13 p.27</t>
        </is>
      </c>
    </row>
    <row r="186">
      <c r="B186" t="inlineStr">
        <is>
          <t>Department Stores</t>
        </is>
      </c>
      <c r="C186" t="inlineStr">
        <is>
          <t>318</t>
        </is>
      </c>
      <c r="D186" t="inlineStr">
        <is>
          <t>13</t>
        </is>
      </c>
      <c r="E186" t="inlineStr">
        <is>
          <t>27</t>
        </is>
      </c>
      <c r="F186" t="inlineStr">
        <is>
          <t>C</t>
        </is>
      </c>
      <c r="G186" t="inlineStr">
        <is>
          <t>Good</t>
        </is>
      </c>
      <c r="H186" s="606" t="n">
        <v>193</v>
      </c>
      <c r="I186">
        <f>B186&amp;"~"&amp;F186&amp;"~"&amp;G186</f>
        <v/>
      </c>
      <c r="J186" t="inlineStr">
        <is>
          <t>13</t>
        </is>
      </c>
      <c r="K186" t="inlineStr">
        <is>
          <t>13</t>
        </is>
      </c>
      <c r="L186" t="inlineStr">
        <is>
          <t>13</t>
        </is>
      </c>
      <c r="M186" t="inlineStr">
        <is>
          <t>MVS Sec.13 p.27</t>
        </is>
      </c>
    </row>
    <row r="187">
      <c r="B187" t="inlineStr">
        <is>
          <t>Department Stores</t>
        </is>
      </c>
      <c r="C187" t="inlineStr">
        <is>
          <t>318</t>
        </is>
      </c>
      <c r="D187" t="inlineStr">
        <is>
          <t>13</t>
        </is>
      </c>
      <c r="E187" t="inlineStr">
        <is>
          <t>27</t>
        </is>
      </c>
      <c r="F187" t="inlineStr">
        <is>
          <t>C</t>
        </is>
      </c>
      <c r="G187" t="inlineStr">
        <is>
          <t>Average</t>
        </is>
      </c>
      <c r="H187" s="606" t="n">
        <v>154</v>
      </c>
      <c r="I187">
        <f>B187&amp;"~"&amp;F187&amp;"~"&amp;G187</f>
        <v/>
      </c>
      <c r="J187" t="inlineStr">
        <is>
          <t>13</t>
        </is>
      </c>
      <c r="K187" t="inlineStr">
        <is>
          <t>13</t>
        </is>
      </c>
      <c r="L187" t="inlineStr">
        <is>
          <t>13</t>
        </is>
      </c>
      <c r="M187" t="inlineStr">
        <is>
          <t>MVS Sec.13 p.27</t>
        </is>
      </c>
    </row>
    <row r="188">
      <c r="B188" t="inlineStr">
        <is>
          <t>Discount Stores</t>
        </is>
      </c>
      <c r="C188" t="inlineStr">
        <is>
          <t>319</t>
        </is>
      </c>
      <c r="D188" t="inlineStr">
        <is>
          <t>13</t>
        </is>
      </c>
      <c r="E188" t="inlineStr">
        <is>
          <t>28</t>
        </is>
      </c>
      <c r="F188" t="inlineStr">
        <is>
          <t>A-B</t>
        </is>
      </c>
      <c r="G188" t="inlineStr">
        <is>
          <t>Average</t>
        </is>
      </c>
      <c r="H188" s="606" t="n">
        <v>121</v>
      </c>
      <c r="I188">
        <f>B188&amp;"~"&amp;F188&amp;"~"&amp;G188</f>
        <v/>
      </c>
      <c r="J188" t="inlineStr">
        <is>
          <t>13</t>
        </is>
      </c>
      <c r="K188" t="inlineStr">
        <is>
          <t>13</t>
        </is>
      </c>
      <c r="L188" t="inlineStr">
        <is>
          <t>13</t>
        </is>
      </c>
      <c r="M188" t="inlineStr">
        <is>
          <t>MVS Sec.13 p.28</t>
        </is>
      </c>
    </row>
    <row r="189">
      <c r="B189" t="inlineStr">
        <is>
          <t>Discount Stores</t>
        </is>
      </c>
      <c r="C189" t="inlineStr">
        <is>
          <t>319</t>
        </is>
      </c>
      <c r="D189" t="inlineStr">
        <is>
          <t>13</t>
        </is>
      </c>
      <c r="E189" t="inlineStr">
        <is>
          <t>28</t>
        </is>
      </c>
      <c r="F189" t="inlineStr">
        <is>
          <t>C</t>
        </is>
      </c>
      <c r="G189" t="inlineStr">
        <is>
          <t>Good</t>
        </is>
      </c>
      <c r="H189" s="606" t="n">
        <v>118</v>
      </c>
      <c r="I189">
        <f>B189&amp;"~"&amp;F189&amp;"~"&amp;G189</f>
        <v/>
      </c>
      <c r="J189" t="inlineStr">
        <is>
          <t>13</t>
        </is>
      </c>
      <c r="K189" t="inlineStr">
        <is>
          <t>13</t>
        </is>
      </c>
      <c r="L189" t="inlineStr">
        <is>
          <t>13</t>
        </is>
      </c>
      <c r="M189" t="inlineStr">
        <is>
          <t>MVS Sec.13 p.28</t>
        </is>
      </c>
    </row>
    <row r="190">
      <c r="B190" t="inlineStr">
        <is>
          <t>Discount Stores</t>
        </is>
      </c>
      <c r="C190" t="inlineStr">
        <is>
          <t>319</t>
        </is>
      </c>
      <c r="D190" t="inlineStr">
        <is>
          <t>13</t>
        </is>
      </c>
      <c r="E190" t="inlineStr">
        <is>
          <t>28</t>
        </is>
      </c>
      <c r="F190" t="inlineStr">
        <is>
          <t>C</t>
        </is>
      </c>
      <c r="G190" t="inlineStr">
        <is>
          <t>Average</t>
        </is>
      </c>
      <c r="H190" s="606" t="n">
        <v>94</v>
      </c>
      <c r="I190">
        <f>B190&amp;"~"&amp;F190&amp;"~"&amp;G190</f>
        <v/>
      </c>
      <c r="J190" t="inlineStr">
        <is>
          <t>13</t>
        </is>
      </c>
      <c r="K190" t="inlineStr">
        <is>
          <t>13</t>
        </is>
      </c>
      <c r="L190" t="inlineStr">
        <is>
          <t>13</t>
        </is>
      </c>
      <c r="M190" t="inlineStr">
        <is>
          <t>MVS Sec.13 p.28</t>
        </is>
      </c>
    </row>
    <row r="191">
      <c r="B191" t="inlineStr">
        <is>
          <t>Discount Stores</t>
        </is>
      </c>
      <c r="C191" t="inlineStr">
        <is>
          <t>319</t>
        </is>
      </c>
      <c r="D191" t="inlineStr">
        <is>
          <t>13</t>
        </is>
      </c>
      <c r="E191" t="inlineStr">
        <is>
          <t>28</t>
        </is>
      </c>
      <c r="F191" t="inlineStr">
        <is>
          <t>C</t>
        </is>
      </c>
      <c r="G191" t="inlineStr">
        <is>
          <t>Low Cost</t>
        </is>
      </c>
      <c r="H191" s="606" t="n">
        <v>72</v>
      </c>
      <c r="I191">
        <f>B191&amp;"~"&amp;F191&amp;"~"&amp;G191</f>
        <v/>
      </c>
      <c r="J191" t="inlineStr">
        <is>
          <t>13</t>
        </is>
      </c>
      <c r="K191" t="inlineStr">
        <is>
          <t>13</t>
        </is>
      </c>
      <c r="L191" t="inlineStr">
        <is>
          <t>13</t>
        </is>
      </c>
      <c r="M191" t="inlineStr">
        <is>
          <t>MVS Sec.13 p.28</t>
        </is>
      </c>
    </row>
    <row r="192">
      <c r="B192" t="inlineStr">
        <is>
          <t>Discount Stores</t>
        </is>
      </c>
      <c r="C192" t="inlineStr">
        <is>
          <t>319</t>
        </is>
      </c>
      <c r="D192" t="inlineStr">
        <is>
          <t>13</t>
        </is>
      </c>
      <c r="E192" t="inlineStr">
        <is>
          <t>28</t>
        </is>
      </c>
      <c r="F192" t="inlineStr">
        <is>
          <t>D</t>
        </is>
      </c>
      <c r="G192" t="inlineStr">
        <is>
          <t>Good</t>
        </is>
      </c>
      <c r="H192" s="606" t="n">
        <v>111</v>
      </c>
      <c r="I192">
        <f>B192&amp;"~"&amp;F192&amp;"~"&amp;G192</f>
        <v/>
      </c>
      <c r="J192" t="inlineStr">
        <is>
          <t>13</t>
        </is>
      </c>
      <c r="K192" t="inlineStr">
        <is>
          <t>13</t>
        </is>
      </c>
      <c r="L192" t="inlineStr">
        <is>
          <t>13</t>
        </is>
      </c>
      <c r="M192" t="inlineStr">
        <is>
          <t>MVS Sec.13 p.28</t>
        </is>
      </c>
    </row>
    <row r="193">
      <c r="B193" t="inlineStr">
        <is>
          <t>Discount Stores</t>
        </is>
      </c>
      <c r="C193" t="inlineStr">
        <is>
          <t>319</t>
        </is>
      </c>
      <c r="D193" t="inlineStr">
        <is>
          <t>13</t>
        </is>
      </c>
      <c r="E193" t="inlineStr">
        <is>
          <t>28</t>
        </is>
      </c>
      <c r="F193" t="inlineStr">
        <is>
          <t>D</t>
        </is>
      </c>
      <c r="G193" t="inlineStr">
        <is>
          <t>Average</t>
        </is>
      </c>
      <c r="H193" s="606" t="n">
        <v>87</v>
      </c>
      <c r="I193">
        <f>B193&amp;"~"&amp;F193&amp;"~"&amp;G193</f>
        <v/>
      </c>
      <c r="J193" t="inlineStr">
        <is>
          <t>13</t>
        </is>
      </c>
      <c r="K193" t="inlineStr">
        <is>
          <t>13</t>
        </is>
      </c>
      <c r="L193" t="inlineStr">
        <is>
          <t>13</t>
        </is>
      </c>
      <c r="M193" t="inlineStr">
        <is>
          <t>MVS Sec.13 p.28</t>
        </is>
      </c>
    </row>
    <row r="194">
      <c r="B194" t="inlineStr">
        <is>
          <t>Discount Stores</t>
        </is>
      </c>
      <c r="C194" t="inlineStr">
        <is>
          <t>319</t>
        </is>
      </c>
      <c r="D194" t="inlineStr">
        <is>
          <t>13</t>
        </is>
      </c>
      <c r="E194" t="inlineStr">
        <is>
          <t>28</t>
        </is>
      </c>
      <c r="F194" t="inlineStr">
        <is>
          <t>D</t>
        </is>
      </c>
      <c r="G194" t="inlineStr">
        <is>
          <t>Low Cost</t>
        </is>
      </c>
      <c r="H194" s="606" t="n">
        <v>65.5</v>
      </c>
      <c r="I194">
        <f>B194&amp;"~"&amp;F194&amp;"~"&amp;G194</f>
        <v/>
      </c>
      <c r="J194" t="inlineStr">
        <is>
          <t>13</t>
        </is>
      </c>
      <c r="K194" t="inlineStr">
        <is>
          <t>13</t>
        </is>
      </c>
      <c r="L194" t="inlineStr">
        <is>
          <t>13</t>
        </is>
      </c>
      <c r="M194" t="inlineStr">
        <is>
          <t>MVS Sec.13 p.28</t>
        </is>
      </c>
    </row>
    <row r="195">
      <c r="B195" t="inlineStr">
        <is>
          <t>Discount Stores</t>
        </is>
      </c>
      <c r="C195" t="inlineStr">
        <is>
          <t>319</t>
        </is>
      </c>
      <c r="D195" t="inlineStr">
        <is>
          <t>13</t>
        </is>
      </c>
      <c r="E195" t="inlineStr">
        <is>
          <t>28</t>
        </is>
      </c>
      <c r="F195" t="inlineStr">
        <is>
          <t>DPOLE</t>
        </is>
      </c>
      <c r="G195" t="inlineStr">
        <is>
          <t>Low Cost</t>
        </is>
      </c>
      <c r="H195" s="606" t="n">
        <v>59</v>
      </c>
      <c r="I195">
        <f>B195&amp;"~"&amp;F195&amp;"~"&amp;G195</f>
        <v/>
      </c>
      <c r="J195" t="inlineStr">
        <is>
          <t>13</t>
        </is>
      </c>
      <c r="K195" t="inlineStr">
        <is>
          <t>13</t>
        </is>
      </c>
      <c r="L195" t="inlineStr">
        <is>
          <t>13</t>
        </is>
      </c>
      <c r="M195" t="inlineStr">
        <is>
          <t>MVS Sec.13 p.28</t>
        </is>
      </c>
    </row>
    <row r="196">
      <c r="B196" t="inlineStr">
        <is>
          <t>Discount Stores</t>
        </is>
      </c>
      <c r="C196" t="inlineStr">
        <is>
          <t>319</t>
        </is>
      </c>
      <c r="D196" t="inlineStr">
        <is>
          <t>13</t>
        </is>
      </c>
      <c r="E196" t="inlineStr">
        <is>
          <t>28</t>
        </is>
      </c>
      <c r="F196" t="inlineStr">
        <is>
          <t>S</t>
        </is>
      </c>
      <c r="G196" t="inlineStr">
        <is>
          <t>Good</t>
        </is>
      </c>
      <c r="H196" s="606" t="n">
        <v>111</v>
      </c>
      <c r="I196">
        <f>B196&amp;"~"&amp;F196&amp;"~"&amp;G196</f>
        <v/>
      </c>
      <c r="J196" t="inlineStr">
        <is>
          <t>13</t>
        </is>
      </c>
      <c r="K196" t="inlineStr">
        <is>
          <t>13</t>
        </is>
      </c>
      <c r="L196" t="inlineStr">
        <is>
          <t>13</t>
        </is>
      </c>
      <c r="M196" t="inlineStr">
        <is>
          <t>MVS Sec.13 p.28</t>
        </is>
      </c>
    </row>
    <row r="197">
      <c r="B197" t="inlineStr">
        <is>
          <t>Discount Stores</t>
        </is>
      </c>
      <c r="C197" t="inlineStr">
        <is>
          <t>319</t>
        </is>
      </c>
      <c r="D197" t="inlineStr">
        <is>
          <t>13</t>
        </is>
      </c>
      <c r="E197" t="inlineStr">
        <is>
          <t>28</t>
        </is>
      </c>
      <c r="F197" t="inlineStr">
        <is>
          <t>S</t>
        </is>
      </c>
      <c r="G197" t="inlineStr">
        <is>
          <t>Average</t>
        </is>
      </c>
      <c r="H197" s="606" t="n">
        <v>85</v>
      </c>
      <c r="I197">
        <f>B197&amp;"~"&amp;F197&amp;"~"&amp;G197</f>
        <v/>
      </c>
      <c r="J197" t="inlineStr">
        <is>
          <t>13</t>
        </is>
      </c>
      <c r="K197" t="inlineStr">
        <is>
          <t>13</t>
        </is>
      </c>
      <c r="L197" t="inlineStr">
        <is>
          <t>13</t>
        </is>
      </c>
      <c r="M197" t="inlineStr">
        <is>
          <t>MVS Sec.13 p.28</t>
        </is>
      </c>
    </row>
    <row r="198">
      <c r="B198" t="inlineStr">
        <is>
          <t>Discount Stores</t>
        </is>
      </c>
      <c r="C198" t="inlineStr">
        <is>
          <t>319</t>
        </is>
      </c>
      <c r="D198" t="inlineStr">
        <is>
          <t>13</t>
        </is>
      </c>
      <c r="E198" t="inlineStr">
        <is>
          <t>28</t>
        </is>
      </c>
      <c r="F198" t="inlineStr">
        <is>
          <t>S</t>
        </is>
      </c>
      <c r="G198" t="inlineStr">
        <is>
          <t>Low Cost</t>
        </is>
      </c>
      <c r="H198" s="606" t="n">
        <v>63</v>
      </c>
      <c r="I198">
        <f>B198&amp;"~"&amp;F198&amp;"~"&amp;G198</f>
        <v/>
      </c>
      <c r="J198" t="inlineStr">
        <is>
          <t>13</t>
        </is>
      </c>
      <c r="K198" t="inlineStr">
        <is>
          <t>13</t>
        </is>
      </c>
      <c r="L198" t="inlineStr">
        <is>
          <t>13</t>
        </is>
      </c>
      <c r="M198" t="inlineStr">
        <is>
          <t>MVS Sec.13 p.28</t>
        </is>
      </c>
    </row>
    <row r="199">
      <c r="B199" t="inlineStr">
        <is>
          <t>Office Buildings</t>
        </is>
      </c>
      <c r="C199" t="inlineStr">
        <is>
          <t>344</t>
        </is>
      </c>
      <c r="D199" t="inlineStr">
        <is>
          <t>15</t>
        </is>
      </c>
      <c r="E199" t="inlineStr">
        <is>
          <t>17</t>
        </is>
      </c>
      <c r="F199" t="inlineStr">
        <is>
          <t>A</t>
        </is>
      </c>
      <c r="G199" t="inlineStr">
        <is>
          <t>Excellent</t>
        </is>
      </c>
      <c r="H199" s="606" t="n">
        <v>404</v>
      </c>
      <c r="I199">
        <f>B199&amp;"~"&amp;F199&amp;"~"&amp;G199</f>
        <v/>
      </c>
      <c r="J199" t="inlineStr">
        <is>
          <t>15</t>
        </is>
      </c>
      <c r="K199" t="inlineStr">
        <is>
          <t>15</t>
        </is>
      </c>
      <c r="L199" t="inlineStr">
        <is>
          <t>15</t>
        </is>
      </c>
      <c r="M199" t="inlineStr">
        <is>
          <t>MVS Sec.15 p.17</t>
        </is>
      </c>
    </row>
    <row r="200">
      <c r="B200" t="inlineStr">
        <is>
          <t>Office Buildings</t>
        </is>
      </c>
      <c r="C200" t="inlineStr">
        <is>
          <t>344</t>
        </is>
      </c>
      <c r="D200" t="inlineStr">
        <is>
          <t>15</t>
        </is>
      </c>
      <c r="E200" t="inlineStr">
        <is>
          <t>17</t>
        </is>
      </c>
      <c r="F200" t="inlineStr">
        <is>
          <t>A</t>
        </is>
      </c>
      <c r="G200" t="inlineStr">
        <is>
          <t>Good</t>
        </is>
      </c>
      <c r="H200" s="606" t="n">
        <v>320</v>
      </c>
      <c r="I200">
        <f>B200&amp;"~"&amp;F200&amp;"~"&amp;G200</f>
        <v/>
      </c>
      <c r="J200" t="inlineStr">
        <is>
          <t>15</t>
        </is>
      </c>
      <c r="K200" t="inlineStr">
        <is>
          <t>15</t>
        </is>
      </c>
      <c r="L200" t="inlineStr">
        <is>
          <t>15</t>
        </is>
      </c>
      <c r="M200" t="inlineStr">
        <is>
          <t>MVS Sec.15 p.17</t>
        </is>
      </c>
    </row>
    <row r="201">
      <c r="B201" t="inlineStr">
        <is>
          <t>Office Buildings</t>
        </is>
      </c>
      <c r="C201" t="inlineStr">
        <is>
          <t>344</t>
        </is>
      </c>
      <c r="D201" t="inlineStr">
        <is>
          <t>15</t>
        </is>
      </c>
      <c r="E201" t="inlineStr">
        <is>
          <t>17</t>
        </is>
      </c>
      <c r="F201" t="inlineStr">
        <is>
          <t>A</t>
        </is>
      </c>
      <c r="G201" t="inlineStr">
        <is>
          <t>Average</t>
        </is>
      </c>
      <c r="H201" s="606" t="n">
        <v>241</v>
      </c>
      <c r="I201">
        <f>B201&amp;"~"&amp;F201&amp;"~"&amp;G201</f>
        <v/>
      </c>
      <c r="J201" t="inlineStr">
        <is>
          <t>15</t>
        </is>
      </c>
      <c r="K201" t="inlineStr">
        <is>
          <t>15</t>
        </is>
      </c>
      <c r="L201" t="inlineStr">
        <is>
          <t>15</t>
        </is>
      </c>
      <c r="M201" t="inlineStr">
        <is>
          <t>MVS Sec.15 p.17</t>
        </is>
      </c>
    </row>
    <row r="202">
      <c r="B202" t="inlineStr">
        <is>
          <t>Office Buildings</t>
        </is>
      </c>
      <c r="C202" t="inlineStr">
        <is>
          <t>344</t>
        </is>
      </c>
      <c r="D202" t="inlineStr">
        <is>
          <t>15</t>
        </is>
      </c>
      <c r="E202" t="inlineStr">
        <is>
          <t>17</t>
        </is>
      </c>
      <c r="F202" t="inlineStr">
        <is>
          <t>A</t>
        </is>
      </c>
      <c r="G202" t="inlineStr">
        <is>
          <t>Low Cost</t>
        </is>
      </c>
      <c r="H202" s="606" t="n">
        <v>192</v>
      </c>
      <c r="I202">
        <f>B202&amp;"~"&amp;F202&amp;"~"&amp;G202</f>
        <v/>
      </c>
      <c r="J202" t="inlineStr">
        <is>
          <t>15</t>
        </is>
      </c>
      <c r="K202" t="inlineStr">
        <is>
          <t>15</t>
        </is>
      </c>
      <c r="L202" t="inlineStr">
        <is>
          <t>15</t>
        </is>
      </c>
      <c r="M202" t="inlineStr">
        <is>
          <t>MVS Sec.15 p.17</t>
        </is>
      </c>
    </row>
    <row r="203">
      <c r="B203" t="inlineStr">
        <is>
          <t>Office Buildings</t>
        </is>
      </c>
      <c r="C203" t="inlineStr">
        <is>
          <t>344</t>
        </is>
      </c>
      <c r="D203" t="inlineStr">
        <is>
          <t>15</t>
        </is>
      </c>
      <c r="E203" t="inlineStr">
        <is>
          <t>17</t>
        </is>
      </c>
      <c r="F203" t="inlineStr">
        <is>
          <t>B</t>
        </is>
      </c>
      <c r="G203" t="inlineStr">
        <is>
          <t>Excellent</t>
        </is>
      </c>
      <c r="H203" s="606" t="n">
        <v>372</v>
      </c>
      <c r="I203">
        <f>B203&amp;"~"&amp;F203&amp;"~"&amp;G203</f>
        <v/>
      </c>
      <c r="J203" t="inlineStr">
        <is>
          <t>15</t>
        </is>
      </c>
      <c r="K203" t="inlineStr">
        <is>
          <t>15</t>
        </is>
      </c>
      <c r="L203" t="inlineStr">
        <is>
          <t>15</t>
        </is>
      </c>
      <c r="M203" t="inlineStr">
        <is>
          <t>MVS Sec.15 p.17</t>
        </is>
      </c>
    </row>
    <row r="204">
      <c r="B204" t="inlineStr">
        <is>
          <t>Office Buildings</t>
        </is>
      </c>
      <c r="C204" t="inlineStr">
        <is>
          <t>344</t>
        </is>
      </c>
      <c r="D204" t="inlineStr">
        <is>
          <t>15</t>
        </is>
      </c>
      <c r="E204" t="inlineStr">
        <is>
          <t>17</t>
        </is>
      </c>
      <c r="F204" t="inlineStr">
        <is>
          <t>B</t>
        </is>
      </c>
      <c r="G204" t="inlineStr">
        <is>
          <t>Good</t>
        </is>
      </c>
      <c r="H204" s="606" t="n">
        <v>293</v>
      </c>
      <c r="I204">
        <f>B204&amp;"~"&amp;F204&amp;"~"&amp;G204</f>
        <v/>
      </c>
      <c r="J204" t="inlineStr">
        <is>
          <t>15</t>
        </is>
      </c>
      <c r="K204" t="inlineStr">
        <is>
          <t>15</t>
        </is>
      </c>
      <c r="L204" t="inlineStr">
        <is>
          <t>15</t>
        </is>
      </c>
      <c r="M204" t="inlineStr">
        <is>
          <t>MVS Sec.15 p.17</t>
        </is>
      </c>
    </row>
    <row r="205">
      <c r="B205" t="inlineStr">
        <is>
          <t>Office Buildings</t>
        </is>
      </c>
      <c r="C205" t="inlineStr">
        <is>
          <t>344</t>
        </is>
      </c>
      <c r="D205" t="inlineStr">
        <is>
          <t>15</t>
        </is>
      </c>
      <c r="E205" t="inlineStr">
        <is>
          <t>17</t>
        </is>
      </c>
      <c r="F205" t="inlineStr">
        <is>
          <t>B</t>
        </is>
      </c>
      <c r="G205" t="inlineStr">
        <is>
          <t>Average</t>
        </is>
      </c>
      <c r="H205" s="606" t="n">
        <v>219</v>
      </c>
      <c r="I205">
        <f>B205&amp;"~"&amp;F205&amp;"~"&amp;G205</f>
        <v/>
      </c>
      <c r="J205" t="inlineStr">
        <is>
          <t>15</t>
        </is>
      </c>
      <c r="K205" t="inlineStr">
        <is>
          <t>15</t>
        </is>
      </c>
      <c r="L205" t="inlineStr">
        <is>
          <t>15</t>
        </is>
      </c>
      <c r="M205" t="inlineStr">
        <is>
          <t>MVS Sec.15 p.17</t>
        </is>
      </c>
    </row>
    <row r="206">
      <c r="B206" t="inlineStr">
        <is>
          <t>Office Buildings</t>
        </is>
      </c>
      <c r="C206" t="inlineStr">
        <is>
          <t>344</t>
        </is>
      </c>
      <c r="D206" t="inlineStr">
        <is>
          <t>15</t>
        </is>
      </c>
      <c r="E206" t="inlineStr">
        <is>
          <t>17</t>
        </is>
      </c>
      <c r="F206" t="inlineStr">
        <is>
          <t>B</t>
        </is>
      </c>
      <c r="G206" t="inlineStr">
        <is>
          <t>Low Cost</t>
        </is>
      </c>
      <c r="H206" s="606" t="n">
        <v>173</v>
      </c>
      <c r="I206">
        <f>B206&amp;"~"&amp;F206&amp;"~"&amp;G206</f>
        <v/>
      </c>
      <c r="J206" t="inlineStr">
        <is>
          <t>15</t>
        </is>
      </c>
      <c r="K206" t="inlineStr">
        <is>
          <t>15</t>
        </is>
      </c>
      <c r="L206" t="inlineStr">
        <is>
          <t>15</t>
        </is>
      </c>
      <c r="M206" t="inlineStr">
        <is>
          <t>MVS Sec.15 p.17</t>
        </is>
      </c>
    </row>
    <row r="207">
      <c r="B207" t="inlineStr">
        <is>
          <t>Office Buildings</t>
        </is>
      </c>
      <c r="C207" t="inlineStr">
        <is>
          <t>344</t>
        </is>
      </c>
      <c r="D207" t="inlineStr">
        <is>
          <t>15</t>
        </is>
      </c>
      <c r="E207" t="inlineStr">
        <is>
          <t>17</t>
        </is>
      </c>
      <c r="F207" t="inlineStr">
        <is>
          <t>C</t>
        </is>
      </c>
      <c r="G207" t="inlineStr">
        <is>
          <t>Excellent</t>
        </is>
      </c>
      <c r="H207" s="606" t="n">
        <v>317</v>
      </c>
      <c r="I207">
        <f>B207&amp;"~"&amp;F207&amp;"~"&amp;G207</f>
        <v/>
      </c>
      <c r="J207" t="inlineStr">
        <is>
          <t>15</t>
        </is>
      </c>
      <c r="K207" t="inlineStr">
        <is>
          <t>15</t>
        </is>
      </c>
      <c r="L207" t="inlineStr">
        <is>
          <t>15</t>
        </is>
      </c>
      <c r="M207" t="inlineStr">
        <is>
          <t>MVS Sec.15 p.17</t>
        </is>
      </c>
    </row>
    <row r="208">
      <c r="B208" t="inlineStr">
        <is>
          <t>Office Buildings</t>
        </is>
      </c>
      <c r="C208" t="inlineStr">
        <is>
          <t>344</t>
        </is>
      </c>
      <c r="D208" t="inlineStr">
        <is>
          <t>15</t>
        </is>
      </c>
      <c r="E208" t="inlineStr">
        <is>
          <t>17</t>
        </is>
      </c>
      <c r="F208" t="inlineStr">
        <is>
          <t>C</t>
        </is>
      </c>
      <c r="G208" t="inlineStr">
        <is>
          <t>Good</t>
        </is>
      </c>
      <c r="H208" s="606" t="n">
        <v>221</v>
      </c>
      <c r="I208">
        <f>B208&amp;"~"&amp;F208&amp;"~"&amp;G208</f>
        <v/>
      </c>
      <c r="J208" t="inlineStr">
        <is>
          <t>15</t>
        </is>
      </c>
      <c r="K208" t="inlineStr">
        <is>
          <t>15</t>
        </is>
      </c>
      <c r="L208" t="inlineStr">
        <is>
          <t>15</t>
        </is>
      </c>
      <c r="M208" t="inlineStr">
        <is>
          <t>MVS Sec.15 p.17</t>
        </is>
      </c>
    </row>
    <row r="209">
      <c r="B209" t="inlineStr">
        <is>
          <t>Office Buildings</t>
        </is>
      </c>
      <c r="C209" t="inlineStr">
        <is>
          <t>344</t>
        </is>
      </c>
      <c r="D209" t="inlineStr">
        <is>
          <t>15</t>
        </is>
      </c>
      <c r="E209" t="inlineStr">
        <is>
          <t>17</t>
        </is>
      </c>
      <c r="F209" t="inlineStr">
        <is>
          <t>C</t>
        </is>
      </c>
      <c r="G209" t="inlineStr">
        <is>
          <t>Average</t>
        </is>
      </c>
      <c r="H209" s="606" t="n">
        <v>157</v>
      </c>
      <c r="I209">
        <f>B209&amp;"~"&amp;F209&amp;"~"&amp;G209</f>
        <v/>
      </c>
      <c r="J209" t="inlineStr">
        <is>
          <t>15</t>
        </is>
      </c>
      <c r="K209" t="inlineStr">
        <is>
          <t>15</t>
        </is>
      </c>
      <c r="L209" t="inlineStr">
        <is>
          <t>15</t>
        </is>
      </c>
      <c r="M209" t="inlineStr">
        <is>
          <t>MVS Sec.15 p.17</t>
        </is>
      </c>
    </row>
    <row r="210">
      <c r="B210" t="inlineStr">
        <is>
          <t>Office Buildings</t>
        </is>
      </c>
      <c r="C210" t="inlineStr">
        <is>
          <t>344</t>
        </is>
      </c>
      <c r="D210" t="inlineStr">
        <is>
          <t>15</t>
        </is>
      </c>
      <c r="E210" t="inlineStr">
        <is>
          <t>17</t>
        </is>
      </c>
      <c r="F210" t="inlineStr">
        <is>
          <t>C</t>
        </is>
      </c>
      <c r="G210" t="inlineStr">
        <is>
          <t>Low Cost</t>
        </is>
      </c>
      <c r="H210" s="606" t="n">
        <v>106</v>
      </c>
      <c r="I210">
        <f>B210&amp;"~"&amp;F210&amp;"~"&amp;G210</f>
        <v/>
      </c>
      <c r="J210" t="inlineStr">
        <is>
          <t>15</t>
        </is>
      </c>
      <c r="K210" t="inlineStr">
        <is>
          <t>15</t>
        </is>
      </c>
      <c r="L210" t="inlineStr">
        <is>
          <t>15</t>
        </is>
      </c>
      <c r="M210" t="inlineStr">
        <is>
          <t>MVS Sec.15 p.17</t>
        </is>
      </c>
    </row>
    <row r="211">
      <c r="B211" t="inlineStr">
        <is>
          <t>Office Buildings</t>
        </is>
      </c>
      <c r="C211" t="inlineStr">
        <is>
          <t>344</t>
        </is>
      </c>
      <c r="D211" t="inlineStr">
        <is>
          <t>15</t>
        </is>
      </c>
      <c r="E211" t="inlineStr">
        <is>
          <t>17</t>
        </is>
      </c>
      <c r="F211" t="inlineStr">
        <is>
          <t>D</t>
        </is>
      </c>
      <c r="G211" t="inlineStr">
        <is>
          <t>Excellent</t>
        </is>
      </c>
      <c r="H211" s="606" t="n">
        <v>302</v>
      </c>
      <c r="I211">
        <f>B211&amp;"~"&amp;F211&amp;"~"&amp;G211</f>
        <v/>
      </c>
      <c r="J211" t="inlineStr">
        <is>
          <t>15</t>
        </is>
      </c>
      <c r="K211" t="inlineStr">
        <is>
          <t>15</t>
        </is>
      </c>
      <c r="L211" t="inlineStr">
        <is>
          <t>15</t>
        </is>
      </c>
      <c r="M211" t="inlineStr">
        <is>
          <t>MVS Sec.15 p.17</t>
        </is>
      </c>
    </row>
    <row r="212">
      <c r="B212" t="inlineStr">
        <is>
          <t>Office Buildings</t>
        </is>
      </c>
      <c r="C212" t="inlineStr">
        <is>
          <t>344</t>
        </is>
      </c>
      <c r="D212" t="inlineStr">
        <is>
          <t>15</t>
        </is>
      </c>
      <c r="E212" t="inlineStr">
        <is>
          <t>17</t>
        </is>
      </c>
      <c r="F212" t="inlineStr">
        <is>
          <t>D</t>
        </is>
      </c>
      <c r="G212" t="inlineStr">
        <is>
          <t>Good</t>
        </is>
      </c>
      <c r="H212" s="606" t="n">
        <v>210</v>
      </c>
      <c r="I212">
        <f>B212&amp;"~"&amp;F212&amp;"~"&amp;G212</f>
        <v/>
      </c>
      <c r="J212" t="inlineStr">
        <is>
          <t>15</t>
        </is>
      </c>
      <c r="K212" t="inlineStr">
        <is>
          <t>15</t>
        </is>
      </c>
      <c r="L212" t="inlineStr">
        <is>
          <t>15</t>
        </is>
      </c>
      <c r="M212" t="inlineStr">
        <is>
          <t>MVS Sec.15 p.17</t>
        </is>
      </c>
    </row>
    <row r="213">
      <c r="B213" t="inlineStr">
        <is>
          <t>Office Buildings</t>
        </is>
      </c>
      <c r="C213" t="inlineStr">
        <is>
          <t>344</t>
        </is>
      </c>
      <c r="D213" t="inlineStr">
        <is>
          <t>15</t>
        </is>
      </c>
      <c r="E213" t="inlineStr">
        <is>
          <t>17</t>
        </is>
      </c>
      <c r="F213" t="inlineStr">
        <is>
          <t>D</t>
        </is>
      </c>
      <c r="G213" t="inlineStr">
        <is>
          <t>Average</t>
        </is>
      </c>
      <c r="H213" s="606" t="n">
        <v>149</v>
      </c>
      <c r="I213">
        <f>B213&amp;"~"&amp;F213&amp;"~"&amp;G213</f>
        <v/>
      </c>
      <c r="J213" t="inlineStr">
        <is>
          <t>15</t>
        </is>
      </c>
      <c r="K213" t="inlineStr">
        <is>
          <t>15</t>
        </is>
      </c>
      <c r="L213" t="inlineStr">
        <is>
          <t>15</t>
        </is>
      </c>
      <c r="M213" t="inlineStr">
        <is>
          <t>MVS Sec.15 p.17</t>
        </is>
      </c>
    </row>
    <row r="214">
      <c r="B214" t="inlineStr">
        <is>
          <t>Office Buildings</t>
        </is>
      </c>
      <c r="C214" t="inlineStr">
        <is>
          <t>344</t>
        </is>
      </c>
      <c r="D214" t="inlineStr">
        <is>
          <t>15</t>
        </is>
      </c>
      <c r="E214" t="inlineStr">
        <is>
          <t>17</t>
        </is>
      </c>
      <c r="F214" t="inlineStr">
        <is>
          <t>D</t>
        </is>
      </c>
      <c r="G214" t="inlineStr">
        <is>
          <t>Low Cost</t>
        </is>
      </c>
      <c r="H214" s="606" t="n">
        <v>99.5</v>
      </c>
      <c r="I214">
        <f>B214&amp;"~"&amp;F214&amp;"~"&amp;G214</f>
        <v/>
      </c>
      <c r="J214" t="inlineStr">
        <is>
          <t>15</t>
        </is>
      </c>
      <c r="K214" t="inlineStr">
        <is>
          <t>15</t>
        </is>
      </c>
      <c r="L214" t="inlineStr">
        <is>
          <t>15</t>
        </is>
      </c>
      <c r="M214" t="inlineStr">
        <is>
          <t>MVS Sec.15 p.17</t>
        </is>
      </c>
    </row>
    <row r="215">
      <c r="B215" t="inlineStr">
        <is>
          <t>Office Buildings</t>
        </is>
      </c>
      <c r="C215" t="inlineStr">
        <is>
          <t>344</t>
        </is>
      </c>
      <c r="D215" t="inlineStr">
        <is>
          <t>15</t>
        </is>
      </c>
      <c r="E215" t="inlineStr">
        <is>
          <t>17</t>
        </is>
      </c>
      <c r="F215" t="inlineStr">
        <is>
          <t>DPOLE</t>
        </is>
      </c>
      <c r="G215" t="inlineStr">
        <is>
          <t>Good</t>
        </is>
      </c>
      <c r="H215" s="606" t="n">
        <v>198</v>
      </c>
      <c r="I215">
        <f>B215&amp;"~"&amp;F215&amp;"~"&amp;G215</f>
        <v/>
      </c>
      <c r="J215" t="inlineStr">
        <is>
          <t>15</t>
        </is>
      </c>
      <c r="K215" t="inlineStr">
        <is>
          <t>15</t>
        </is>
      </c>
      <c r="L215" t="inlineStr">
        <is>
          <t>15</t>
        </is>
      </c>
      <c r="M215" t="inlineStr">
        <is>
          <t>MVS Sec.15 p.17</t>
        </is>
      </c>
    </row>
    <row r="216">
      <c r="B216" t="inlineStr">
        <is>
          <t>Office Buildings</t>
        </is>
      </c>
      <c r="C216" t="inlineStr">
        <is>
          <t>344</t>
        </is>
      </c>
      <c r="D216" t="inlineStr">
        <is>
          <t>15</t>
        </is>
      </c>
      <c r="E216" t="inlineStr">
        <is>
          <t>17</t>
        </is>
      </c>
      <c r="F216" t="inlineStr">
        <is>
          <t>DPOLE</t>
        </is>
      </c>
      <c r="G216" t="inlineStr">
        <is>
          <t>Average</t>
        </is>
      </c>
      <c r="H216" s="606" t="n">
        <v>135</v>
      </c>
      <c r="I216">
        <f>B216&amp;"~"&amp;F216&amp;"~"&amp;G216</f>
        <v/>
      </c>
      <c r="J216" t="inlineStr">
        <is>
          <t>15</t>
        </is>
      </c>
      <c r="K216" t="inlineStr">
        <is>
          <t>15</t>
        </is>
      </c>
      <c r="L216" t="inlineStr">
        <is>
          <t>15</t>
        </is>
      </c>
      <c r="M216" t="inlineStr">
        <is>
          <t>MVS Sec.15 p.17</t>
        </is>
      </c>
    </row>
    <row r="217">
      <c r="B217" t="inlineStr">
        <is>
          <t>Office Buildings</t>
        </is>
      </c>
      <c r="C217" t="inlineStr">
        <is>
          <t>344</t>
        </is>
      </c>
      <c r="D217" t="inlineStr">
        <is>
          <t>15</t>
        </is>
      </c>
      <c r="E217" t="inlineStr">
        <is>
          <t>17</t>
        </is>
      </c>
      <c r="F217" t="inlineStr">
        <is>
          <t>DPOLE</t>
        </is>
      </c>
      <c r="G217" t="inlineStr">
        <is>
          <t>Low Cost</t>
        </is>
      </c>
      <c r="H217" s="606" t="n">
        <v>91.5</v>
      </c>
      <c r="I217">
        <f>B217&amp;"~"&amp;F217&amp;"~"&amp;G217</f>
        <v/>
      </c>
      <c r="J217" t="inlineStr">
        <is>
          <t>15</t>
        </is>
      </c>
      <c r="K217" t="inlineStr">
        <is>
          <t>15</t>
        </is>
      </c>
      <c r="L217" t="inlineStr">
        <is>
          <t>15</t>
        </is>
      </c>
      <c r="M217" t="inlineStr">
        <is>
          <t>MVS Sec.15 p.17</t>
        </is>
      </c>
    </row>
    <row r="218">
      <c r="B218" t="inlineStr">
        <is>
          <t>Office Buildings</t>
        </is>
      </c>
      <c r="C218" t="inlineStr">
        <is>
          <t>344</t>
        </is>
      </c>
      <c r="D218" t="inlineStr">
        <is>
          <t>15</t>
        </is>
      </c>
      <c r="E218" t="inlineStr">
        <is>
          <t>17</t>
        </is>
      </c>
      <c r="F218" t="inlineStr">
        <is>
          <t>S</t>
        </is>
      </c>
      <c r="G218" t="inlineStr">
        <is>
          <t>Good</t>
        </is>
      </c>
      <c r="H218" s="606" t="n">
        <v>203</v>
      </c>
      <c r="I218">
        <f>B218&amp;"~"&amp;F218&amp;"~"&amp;G218</f>
        <v/>
      </c>
      <c r="J218" t="inlineStr">
        <is>
          <t>15</t>
        </is>
      </c>
      <c r="K218" t="inlineStr">
        <is>
          <t>15</t>
        </is>
      </c>
      <c r="L218" t="inlineStr">
        <is>
          <t>15</t>
        </is>
      </c>
      <c r="M218" t="inlineStr">
        <is>
          <t>MVS Sec.15 p.17</t>
        </is>
      </c>
    </row>
    <row r="219">
      <c r="B219" t="inlineStr">
        <is>
          <t>Office Buildings</t>
        </is>
      </c>
      <c r="C219" t="inlineStr">
        <is>
          <t>344</t>
        </is>
      </c>
      <c r="D219" t="inlineStr">
        <is>
          <t>15</t>
        </is>
      </c>
      <c r="E219" t="inlineStr">
        <is>
          <t>17</t>
        </is>
      </c>
      <c r="F219" t="inlineStr">
        <is>
          <t>S</t>
        </is>
      </c>
      <c r="G219" t="inlineStr">
        <is>
          <t>Average</t>
        </is>
      </c>
      <c r="H219" s="606" t="n">
        <v>140</v>
      </c>
      <c r="I219">
        <f>B219&amp;"~"&amp;F219&amp;"~"&amp;G219</f>
        <v/>
      </c>
      <c r="J219" t="inlineStr">
        <is>
          <t>15</t>
        </is>
      </c>
      <c r="K219" t="inlineStr">
        <is>
          <t>15</t>
        </is>
      </c>
      <c r="L219" t="inlineStr">
        <is>
          <t>15</t>
        </is>
      </c>
      <c r="M219" t="inlineStr">
        <is>
          <t>MVS Sec.15 p.17</t>
        </is>
      </c>
    </row>
    <row r="220">
      <c r="B220" t="inlineStr">
        <is>
          <t>Office Buildings</t>
        </is>
      </c>
      <c r="C220" t="inlineStr">
        <is>
          <t>344</t>
        </is>
      </c>
      <c r="D220" t="inlineStr">
        <is>
          <t>15</t>
        </is>
      </c>
      <c r="E220" t="inlineStr">
        <is>
          <t>17</t>
        </is>
      </c>
      <c r="F220" t="inlineStr">
        <is>
          <t>S</t>
        </is>
      </c>
      <c r="G220" t="inlineStr">
        <is>
          <t>Low Cost</t>
        </is>
      </c>
      <c r="H220" s="606" t="n">
        <v>94.5</v>
      </c>
      <c r="I220">
        <f>B220&amp;"~"&amp;F220&amp;"~"&amp;G220</f>
        <v/>
      </c>
      <c r="J220" t="inlineStr">
        <is>
          <t>15</t>
        </is>
      </c>
      <c r="K220" t="inlineStr">
        <is>
          <t>15</t>
        </is>
      </c>
      <c r="L220" t="inlineStr">
        <is>
          <t>15</t>
        </is>
      </c>
      <c r="M220" t="inlineStr">
        <is>
          <t>MVS Sec.15 p.17</t>
        </is>
      </c>
    </row>
    <row r="221">
      <c r="B221" t="inlineStr">
        <is>
          <t>Medical Office Buildings</t>
        </is>
      </c>
      <c r="C221" t="inlineStr">
        <is>
          <t>341</t>
        </is>
      </c>
      <c r="D221" t="inlineStr">
        <is>
          <t>15</t>
        </is>
      </c>
      <c r="E221" t="inlineStr">
        <is>
          <t>22</t>
        </is>
      </c>
      <c r="F221" t="inlineStr">
        <is>
          <t>A</t>
        </is>
      </c>
      <c r="G221" t="inlineStr">
        <is>
          <t>Excellent</t>
        </is>
      </c>
      <c r="H221" s="606" t="n">
        <v>438</v>
      </c>
      <c r="I221">
        <f>B221&amp;"~"&amp;F221&amp;"~"&amp;G221</f>
        <v/>
      </c>
      <c r="J221" t="inlineStr">
        <is>
          <t>15</t>
        </is>
      </c>
      <c r="K221" t="inlineStr">
        <is>
          <t>15</t>
        </is>
      </c>
      <c r="L221" t="inlineStr">
        <is>
          <t>15</t>
        </is>
      </c>
      <c r="M221" t="inlineStr">
        <is>
          <t>MVS Sec.15 p.22</t>
        </is>
      </c>
    </row>
    <row r="222">
      <c r="B222" t="inlineStr">
        <is>
          <t>Medical Office Buildings</t>
        </is>
      </c>
      <c r="C222" t="inlineStr">
        <is>
          <t>341</t>
        </is>
      </c>
      <c r="D222" t="inlineStr">
        <is>
          <t>15</t>
        </is>
      </c>
      <c r="E222" t="inlineStr">
        <is>
          <t>22</t>
        </is>
      </c>
      <c r="F222" t="inlineStr">
        <is>
          <t>A</t>
        </is>
      </c>
      <c r="G222" t="inlineStr">
        <is>
          <t>Good</t>
        </is>
      </c>
      <c r="H222" s="606" t="n">
        <v>351</v>
      </c>
      <c r="I222">
        <f>B222&amp;"~"&amp;F222&amp;"~"&amp;G222</f>
        <v/>
      </c>
      <c r="J222" t="inlineStr">
        <is>
          <t>15</t>
        </is>
      </c>
      <c r="K222" t="inlineStr">
        <is>
          <t>15</t>
        </is>
      </c>
      <c r="L222" t="inlineStr">
        <is>
          <t>15</t>
        </is>
      </c>
      <c r="M222" t="inlineStr">
        <is>
          <t>MVS Sec.15 p.22</t>
        </is>
      </c>
    </row>
    <row r="223">
      <c r="B223" t="inlineStr">
        <is>
          <t>Medical Office Buildings</t>
        </is>
      </c>
      <c r="C223" t="inlineStr">
        <is>
          <t>341</t>
        </is>
      </c>
      <c r="D223" t="inlineStr">
        <is>
          <t>15</t>
        </is>
      </c>
      <c r="E223" t="inlineStr">
        <is>
          <t>22</t>
        </is>
      </c>
      <c r="F223" t="inlineStr">
        <is>
          <t>A</t>
        </is>
      </c>
      <c r="G223" t="inlineStr">
        <is>
          <t>Average</t>
        </is>
      </c>
      <c r="H223" s="606" t="n">
        <v>270</v>
      </c>
      <c r="I223">
        <f>B223&amp;"~"&amp;F223&amp;"~"&amp;G223</f>
        <v/>
      </c>
      <c r="J223" t="inlineStr">
        <is>
          <t>15</t>
        </is>
      </c>
      <c r="K223" t="inlineStr">
        <is>
          <t>15</t>
        </is>
      </c>
      <c r="L223" t="inlineStr">
        <is>
          <t>15</t>
        </is>
      </c>
      <c r="M223" t="inlineStr">
        <is>
          <t>MVS Sec.15 p.22</t>
        </is>
      </c>
    </row>
    <row r="224">
      <c r="B224" t="inlineStr">
        <is>
          <t>Medical Office Buildings</t>
        </is>
      </c>
      <c r="C224" t="inlineStr">
        <is>
          <t>341</t>
        </is>
      </c>
      <c r="D224" t="inlineStr">
        <is>
          <t>15</t>
        </is>
      </c>
      <c r="E224" t="inlineStr">
        <is>
          <t>22</t>
        </is>
      </c>
      <c r="F224" t="inlineStr">
        <is>
          <t>A</t>
        </is>
      </c>
      <c r="G224" t="inlineStr">
        <is>
          <t>Low Cost</t>
        </is>
      </c>
      <c r="H224" s="606" t="n">
        <v>207</v>
      </c>
      <c r="I224">
        <f>B224&amp;"~"&amp;F224&amp;"~"&amp;G224</f>
        <v/>
      </c>
      <c r="J224" t="inlineStr">
        <is>
          <t>15</t>
        </is>
      </c>
      <c r="K224" t="inlineStr">
        <is>
          <t>15</t>
        </is>
      </c>
      <c r="L224" t="inlineStr">
        <is>
          <t>15</t>
        </is>
      </c>
      <c r="M224" t="inlineStr">
        <is>
          <t>MVS Sec.15 p.22</t>
        </is>
      </c>
    </row>
    <row r="225">
      <c r="B225" t="inlineStr">
        <is>
          <t>Medical Office Buildings</t>
        </is>
      </c>
      <c r="C225" t="inlineStr">
        <is>
          <t>341</t>
        </is>
      </c>
      <c r="D225" t="inlineStr">
        <is>
          <t>15</t>
        </is>
      </c>
      <c r="E225" t="inlineStr">
        <is>
          <t>22</t>
        </is>
      </c>
      <c r="F225" t="inlineStr">
        <is>
          <t>B</t>
        </is>
      </c>
      <c r="G225" t="inlineStr">
        <is>
          <t>Excellent</t>
        </is>
      </c>
      <c r="H225" s="606" t="n">
        <v>402</v>
      </c>
      <c r="I225">
        <f>B225&amp;"~"&amp;F225&amp;"~"&amp;G225</f>
        <v/>
      </c>
      <c r="J225" t="inlineStr">
        <is>
          <t>15</t>
        </is>
      </c>
      <c r="K225" t="inlineStr">
        <is>
          <t>15</t>
        </is>
      </c>
      <c r="L225" t="inlineStr">
        <is>
          <t>15</t>
        </is>
      </c>
      <c r="M225" t="inlineStr">
        <is>
          <t>MVS Sec.15 p.22</t>
        </is>
      </c>
    </row>
    <row r="226">
      <c r="B226" t="inlineStr">
        <is>
          <t>Medical Office Buildings</t>
        </is>
      </c>
      <c r="C226" t="inlineStr">
        <is>
          <t>341</t>
        </is>
      </c>
      <c r="D226" t="inlineStr">
        <is>
          <t>15</t>
        </is>
      </c>
      <c r="E226" t="inlineStr">
        <is>
          <t>22</t>
        </is>
      </c>
      <c r="F226" t="inlineStr">
        <is>
          <t>B</t>
        </is>
      </c>
      <c r="G226" t="inlineStr">
        <is>
          <t>Good</t>
        </is>
      </c>
      <c r="H226" s="606" t="n">
        <v>322</v>
      </c>
      <c r="I226">
        <f>B226&amp;"~"&amp;F226&amp;"~"&amp;G226</f>
        <v/>
      </c>
      <c r="J226" t="inlineStr">
        <is>
          <t>15</t>
        </is>
      </c>
      <c r="K226" t="inlineStr">
        <is>
          <t>15</t>
        </is>
      </c>
      <c r="L226" t="inlineStr">
        <is>
          <t>15</t>
        </is>
      </c>
      <c r="M226" t="inlineStr">
        <is>
          <t>MVS Sec.15 p.22</t>
        </is>
      </c>
    </row>
    <row r="227">
      <c r="B227" t="inlineStr">
        <is>
          <t>Medical Office Buildings</t>
        </is>
      </c>
      <c r="C227" t="inlineStr">
        <is>
          <t>341</t>
        </is>
      </c>
      <c r="D227" t="inlineStr">
        <is>
          <t>15</t>
        </is>
      </c>
      <c r="E227" t="inlineStr">
        <is>
          <t>22</t>
        </is>
      </c>
      <c r="F227" t="inlineStr">
        <is>
          <t>B</t>
        </is>
      </c>
      <c r="G227" t="inlineStr">
        <is>
          <t>Average</t>
        </is>
      </c>
      <c r="H227" s="606" t="n">
        <v>246</v>
      </c>
      <c r="I227">
        <f>B227&amp;"~"&amp;F227&amp;"~"&amp;G227</f>
        <v/>
      </c>
      <c r="J227" t="inlineStr">
        <is>
          <t>15</t>
        </is>
      </c>
      <c r="K227" t="inlineStr">
        <is>
          <t>15</t>
        </is>
      </c>
      <c r="L227" t="inlineStr">
        <is>
          <t>15</t>
        </is>
      </c>
      <c r="M227" t="inlineStr">
        <is>
          <t>MVS Sec.15 p.22</t>
        </is>
      </c>
    </row>
    <row r="228">
      <c r="B228" t="inlineStr">
        <is>
          <t>Medical Office Buildings</t>
        </is>
      </c>
      <c r="C228" t="inlineStr">
        <is>
          <t>341</t>
        </is>
      </c>
      <c r="D228" t="inlineStr">
        <is>
          <t>15</t>
        </is>
      </c>
      <c r="E228" t="inlineStr">
        <is>
          <t>22</t>
        </is>
      </c>
      <c r="F228" t="inlineStr">
        <is>
          <t>B</t>
        </is>
      </c>
      <c r="G228" t="inlineStr">
        <is>
          <t>Low Cost</t>
        </is>
      </c>
      <c r="H228" s="606" t="n">
        <v>187</v>
      </c>
      <c r="I228">
        <f>B228&amp;"~"&amp;F228&amp;"~"&amp;G228</f>
        <v/>
      </c>
      <c r="J228" t="inlineStr">
        <is>
          <t>15</t>
        </is>
      </c>
      <c r="K228" t="inlineStr">
        <is>
          <t>15</t>
        </is>
      </c>
      <c r="L228" t="inlineStr">
        <is>
          <t>15</t>
        </is>
      </c>
      <c r="M228" t="inlineStr">
        <is>
          <t>MVS Sec.15 p.22</t>
        </is>
      </c>
    </row>
    <row r="229">
      <c r="B229" t="inlineStr">
        <is>
          <t>Medical Office Buildings</t>
        </is>
      </c>
      <c r="C229" t="inlineStr">
        <is>
          <t>341</t>
        </is>
      </c>
      <c r="D229" t="inlineStr">
        <is>
          <t>15</t>
        </is>
      </c>
      <c r="E229" t="inlineStr">
        <is>
          <t>22</t>
        </is>
      </c>
      <c r="F229" t="inlineStr">
        <is>
          <t>C</t>
        </is>
      </c>
      <c r="G229" t="inlineStr">
        <is>
          <t>Excellent</t>
        </is>
      </c>
      <c r="H229" s="606" t="n">
        <v>344</v>
      </c>
      <c r="I229">
        <f>B229&amp;"~"&amp;F229&amp;"~"&amp;G229</f>
        <v/>
      </c>
      <c r="J229" t="inlineStr">
        <is>
          <t>15</t>
        </is>
      </c>
      <c r="K229" t="inlineStr">
        <is>
          <t>15</t>
        </is>
      </c>
      <c r="L229" t="inlineStr">
        <is>
          <t>15</t>
        </is>
      </c>
      <c r="M229" t="inlineStr">
        <is>
          <t>MVS Sec.15 p.22</t>
        </is>
      </c>
    </row>
    <row r="230">
      <c r="B230" t="inlineStr">
        <is>
          <t>Medical Office Buildings</t>
        </is>
      </c>
      <c r="C230" t="inlineStr">
        <is>
          <t>341</t>
        </is>
      </c>
      <c r="D230" t="inlineStr">
        <is>
          <t>15</t>
        </is>
      </c>
      <c r="E230" t="inlineStr">
        <is>
          <t>22</t>
        </is>
      </c>
      <c r="F230" t="inlineStr">
        <is>
          <t>C</t>
        </is>
      </c>
      <c r="G230" t="inlineStr">
        <is>
          <t>Good</t>
        </is>
      </c>
      <c r="H230" s="606" t="n">
        <v>261</v>
      </c>
      <c r="I230">
        <f>B230&amp;"~"&amp;F230&amp;"~"&amp;G230</f>
        <v/>
      </c>
      <c r="J230" t="inlineStr">
        <is>
          <t>15</t>
        </is>
      </c>
      <c r="K230" t="inlineStr">
        <is>
          <t>15</t>
        </is>
      </c>
      <c r="L230" t="inlineStr">
        <is>
          <t>15</t>
        </is>
      </c>
      <c r="M230" t="inlineStr">
        <is>
          <t>MVS Sec.15 p.22</t>
        </is>
      </c>
    </row>
    <row r="231">
      <c r="B231" t="inlineStr">
        <is>
          <t>Medical Office Buildings</t>
        </is>
      </c>
      <c r="C231" t="inlineStr">
        <is>
          <t>341</t>
        </is>
      </c>
      <c r="D231" t="inlineStr">
        <is>
          <t>15</t>
        </is>
      </c>
      <c r="E231" t="inlineStr">
        <is>
          <t>22</t>
        </is>
      </c>
      <c r="F231" t="inlineStr">
        <is>
          <t>C</t>
        </is>
      </c>
      <c r="G231" t="inlineStr">
        <is>
          <t>Average</t>
        </is>
      </c>
      <c r="H231" s="606" t="n">
        <v>198</v>
      </c>
      <c r="I231">
        <f>B231&amp;"~"&amp;F231&amp;"~"&amp;G231</f>
        <v/>
      </c>
      <c r="J231" t="inlineStr">
        <is>
          <t>15</t>
        </is>
      </c>
      <c r="K231" t="inlineStr">
        <is>
          <t>15</t>
        </is>
      </c>
      <c r="L231" t="inlineStr">
        <is>
          <t>15</t>
        </is>
      </c>
      <c r="M231" t="inlineStr">
        <is>
          <t>MVS Sec.15 p.22</t>
        </is>
      </c>
    </row>
    <row r="232">
      <c r="B232" t="inlineStr">
        <is>
          <t>Medical Office Buildings</t>
        </is>
      </c>
      <c r="C232" t="inlineStr">
        <is>
          <t>341</t>
        </is>
      </c>
      <c r="D232" t="inlineStr">
        <is>
          <t>15</t>
        </is>
      </c>
      <c r="E232" t="inlineStr">
        <is>
          <t>22</t>
        </is>
      </c>
      <c r="F232" t="inlineStr">
        <is>
          <t>C</t>
        </is>
      </c>
      <c r="G232" t="inlineStr">
        <is>
          <t>Low Cost</t>
        </is>
      </c>
      <c r="H232" s="606" t="n">
        <v>150</v>
      </c>
      <c r="I232">
        <f>B232&amp;"~"&amp;F232&amp;"~"&amp;G232</f>
        <v/>
      </c>
      <c r="J232" t="inlineStr">
        <is>
          <t>15</t>
        </is>
      </c>
      <c r="K232" t="inlineStr">
        <is>
          <t>15</t>
        </is>
      </c>
      <c r="L232" t="inlineStr">
        <is>
          <t>15</t>
        </is>
      </c>
      <c r="M232" t="inlineStr">
        <is>
          <t>MVS Sec.15 p.22</t>
        </is>
      </c>
    </row>
    <row r="233">
      <c r="B233" t="inlineStr">
        <is>
          <t>Medical Office Buildings</t>
        </is>
      </c>
      <c r="C233" t="inlineStr">
        <is>
          <t>341</t>
        </is>
      </c>
      <c r="D233" t="inlineStr">
        <is>
          <t>15</t>
        </is>
      </c>
      <c r="E233" t="inlineStr">
        <is>
          <t>22</t>
        </is>
      </c>
      <c r="F233" t="inlineStr">
        <is>
          <t>D</t>
        </is>
      </c>
      <c r="G233" t="inlineStr">
        <is>
          <t>Excellent</t>
        </is>
      </c>
      <c r="H233" s="606" t="n">
        <v>314</v>
      </c>
      <c r="I233">
        <f>B233&amp;"~"&amp;F233&amp;"~"&amp;G233</f>
        <v/>
      </c>
      <c r="J233" t="inlineStr">
        <is>
          <t>15</t>
        </is>
      </c>
      <c r="K233" t="inlineStr">
        <is>
          <t>15</t>
        </is>
      </c>
      <c r="L233" t="inlineStr">
        <is>
          <t>15</t>
        </is>
      </c>
      <c r="M233" t="inlineStr">
        <is>
          <t>MVS Sec.15 p.22</t>
        </is>
      </c>
    </row>
    <row r="234">
      <c r="B234" t="inlineStr">
        <is>
          <t>Medical Office Buildings</t>
        </is>
      </c>
      <c r="C234" t="inlineStr">
        <is>
          <t>341</t>
        </is>
      </c>
      <c r="D234" t="inlineStr">
        <is>
          <t>15</t>
        </is>
      </c>
      <c r="E234" t="inlineStr">
        <is>
          <t>22</t>
        </is>
      </c>
      <c r="F234" t="inlineStr">
        <is>
          <t>D</t>
        </is>
      </c>
      <c r="G234" t="inlineStr">
        <is>
          <t>Good</t>
        </is>
      </c>
      <c r="H234" s="606" t="n">
        <v>249</v>
      </c>
      <c r="I234">
        <f>B234&amp;"~"&amp;F234&amp;"~"&amp;G234</f>
        <v/>
      </c>
      <c r="J234" t="inlineStr">
        <is>
          <t>15</t>
        </is>
      </c>
      <c r="K234" t="inlineStr">
        <is>
          <t>15</t>
        </is>
      </c>
      <c r="L234" t="inlineStr">
        <is>
          <t>15</t>
        </is>
      </c>
      <c r="M234" t="inlineStr">
        <is>
          <t>MVS Sec.15 p.22</t>
        </is>
      </c>
    </row>
    <row r="235">
      <c r="B235" t="inlineStr">
        <is>
          <t>Medical Office Buildings</t>
        </is>
      </c>
      <c r="C235" t="inlineStr">
        <is>
          <t>341</t>
        </is>
      </c>
      <c r="D235" t="inlineStr">
        <is>
          <t>15</t>
        </is>
      </c>
      <c r="E235" t="inlineStr">
        <is>
          <t>22</t>
        </is>
      </c>
      <c r="F235" t="inlineStr">
        <is>
          <t>D</t>
        </is>
      </c>
      <c r="G235" t="inlineStr">
        <is>
          <t>Average</t>
        </is>
      </c>
      <c r="H235" s="606" t="n">
        <v>189</v>
      </c>
      <c r="I235">
        <f>B235&amp;"~"&amp;F235&amp;"~"&amp;G235</f>
        <v/>
      </c>
      <c r="J235" t="inlineStr">
        <is>
          <t>15</t>
        </is>
      </c>
      <c r="K235" t="inlineStr">
        <is>
          <t>15</t>
        </is>
      </c>
      <c r="L235" t="inlineStr">
        <is>
          <t>15</t>
        </is>
      </c>
      <c r="M235" t="inlineStr">
        <is>
          <t>MVS Sec.15 p.22</t>
        </is>
      </c>
    </row>
    <row r="236">
      <c r="B236" t="inlineStr">
        <is>
          <t>Medical Office Buildings</t>
        </is>
      </c>
      <c r="C236" t="inlineStr">
        <is>
          <t>341</t>
        </is>
      </c>
      <c r="D236" t="inlineStr">
        <is>
          <t>15</t>
        </is>
      </c>
      <c r="E236" t="inlineStr">
        <is>
          <t>22</t>
        </is>
      </c>
      <c r="F236" t="inlineStr">
        <is>
          <t>D</t>
        </is>
      </c>
      <c r="G236" t="inlineStr">
        <is>
          <t>Low Cost</t>
        </is>
      </c>
      <c r="H236" s="606" t="n">
        <v>144</v>
      </c>
      <c r="I236">
        <f>B236&amp;"~"&amp;F236&amp;"~"&amp;G236</f>
        <v/>
      </c>
      <c r="J236" t="inlineStr">
        <is>
          <t>15</t>
        </is>
      </c>
      <c r="K236" t="inlineStr">
        <is>
          <t>15</t>
        </is>
      </c>
      <c r="L236" t="inlineStr">
        <is>
          <t>15</t>
        </is>
      </c>
      <c r="M236" t="inlineStr">
        <is>
          <t>MVS Sec.15 p.22</t>
        </is>
      </c>
    </row>
    <row r="237">
      <c r="B237" t="inlineStr">
        <is>
          <t>Medical Office Buildings</t>
        </is>
      </c>
      <c r="C237" t="inlineStr">
        <is>
          <t>341</t>
        </is>
      </c>
      <c r="D237" t="inlineStr">
        <is>
          <t>15</t>
        </is>
      </c>
      <c r="E237" t="inlineStr">
        <is>
          <t>22</t>
        </is>
      </c>
      <c r="F237" t="inlineStr">
        <is>
          <t>DPOLE</t>
        </is>
      </c>
      <c r="G237" t="inlineStr">
        <is>
          <t>Low Cost</t>
        </is>
      </c>
      <c r="H237" s="606" t="n">
        <v>132</v>
      </c>
      <c r="I237">
        <f>B237&amp;"~"&amp;F237&amp;"~"&amp;G237</f>
        <v/>
      </c>
      <c r="J237" t="inlineStr">
        <is>
          <t>15</t>
        </is>
      </c>
      <c r="K237" t="inlineStr">
        <is>
          <t>15</t>
        </is>
      </c>
      <c r="L237" t="inlineStr">
        <is>
          <t>15</t>
        </is>
      </c>
      <c r="M237" t="inlineStr">
        <is>
          <t>MVS Sec.15 p.22</t>
        </is>
      </c>
    </row>
    <row r="238">
      <c r="B238" t="inlineStr">
        <is>
          <t>Medical Office Buildings</t>
        </is>
      </c>
      <c r="C238" t="inlineStr">
        <is>
          <t>341</t>
        </is>
      </c>
      <c r="D238" t="inlineStr">
        <is>
          <t>15</t>
        </is>
      </c>
      <c r="E238" t="inlineStr">
        <is>
          <t>22</t>
        </is>
      </c>
      <c r="F238" t="inlineStr">
        <is>
          <t>S</t>
        </is>
      </c>
      <c r="G238" t="inlineStr">
        <is>
          <t>Good</t>
        </is>
      </c>
      <c r="H238" s="606" t="n">
        <v>242</v>
      </c>
      <c r="I238">
        <f>B238&amp;"~"&amp;F238&amp;"~"&amp;G238</f>
        <v/>
      </c>
      <c r="J238" t="inlineStr">
        <is>
          <t>15</t>
        </is>
      </c>
      <c r="K238" t="inlineStr">
        <is>
          <t>15</t>
        </is>
      </c>
      <c r="L238" t="inlineStr">
        <is>
          <t>15</t>
        </is>
      </c>
      <c r="M238" t="inlineStr">
        <is>
          <t>MVS Sec.15 p.22</t>
        </is>
      </c>
    </row>
    <row r="239">
      <c r="B239" t="inlineStr">
        <is>
          <t>Medical Office Buildings</t>
        </is>
      </c>
      <c r="C239" t="inlineStr">
        <is>
          <t>341</t>
        </is>
      </c>
      <c r="D239" t="inlineStr">
        <is>
          <t>15</t>
        </is>
      </c>
      <c r="E239" t="inlineStr">
        <is>
          <t>22</t>
        </is>
      </c>
      <c r="F239" t="inlineStr">
        <is>
          <t>S</t>
        </is>
      </c>
      <c r="G239" t="inlineStr">
        <is>
          <t>Average</t>
        </is>
      </c>
      <c r="H239" s="606" t="n">
        <v>177</v>
      </c>
      <c r="I239">
        <f>B239&amp;"~"&amp;F239&amp;"~"&amp;G239</f>
        <v/>
      </c>
      <c r="J239" t="inlineStr">
        <is>
          <t>15</t>
        </is>
      </c>
      <c r="K239" t="inlineStr">
        <is>
          <t>15</t>
        </is>
      </c>
      <c r="L239" t="inlineStr">
        <is>
          <t>15</t>
        </is>
      </c>
      <c r="M239" t="inlineStr">
        <is>
          <t>MVS Sec.15 p.22</t>
        </is>
      </c>
    </row>
    <row r="240">
      <c r="B240" t="inlineStr">
        <is>
          <t>Medical Office Buildings</t>
        </is>
      </c>
      <c r="C240" t="inlineStr">
        <is>
          <t>341</t>
        </is>
      </c>
      <c r="D240" t="inlineStr">
        <is>
          <t>15</t>
        </is>
      </c>
      <c r="E240" t="inlineStr">
        <is>
          <t>22</t>
        </is>
      </c>
      <c r="F240" t="inlineStr">
        <is>
          <t>S</t>
        </is>
      </c>
      <c r="G240" t="inlineStr">
        <is>
          <t>Low Cost</t>
        </is>
      </c>
      <c r="H240" s="606" t="n">
        <v>135</v>
      </c>
      <c r="I240">
        <f>B240&amp;"~"&amp;F240&amp;"~"&amp;G240</f>
        <v/>
      </c>
      <c r="J240" t="inlineStr">
        <is>
          <t>15</t>
        </is>
      </c>
      <c r="K240" t="inlineStr">
        <is>
          <t>15</t>
        </is>
      </c>
      <c r="L240" t="inlineStr">
        <is>
          <t>15</t>
        </is>
      </c>
      <c r="M240" t="inlineStr">
        <is>
          <t>MVS Sec.15 p.22</t>
        </is>
      </c>
    </row>
    <row r="241">
      <c r="B241" t="inlineStr">
        <is>
          <t>Banks, Branch</t>
        </is>
      </c>
      <c r="C241" t="inlineStr">
        <is>
          <t>304</t>
        </is>
      </c>
      <c r="D241" t="inlineStr">
        <is>
          <t>15</t>
        </is>
      </c>
      <c r="E241" t="inlineStr">
        <is>
          <t>21</t>
        </is>
      </c>
      <c r="F241" t="inlineStr">
        <is>
          <t>A</t>
        </is>
      </c>
      <c r="G241" t="inlineStr">
        <is>
          <t>Good</t>
        </is>
      </c>
      <c r="H241" s="606" t="n">
        <v>416</v>
      </c>
      <c r="I241">
        <f>B241&amp;"~"&amp;F241&amp;"~"&amp;G241</f>
        <v/>
      </c>
      <c r="J241" t="inlineStr">
        <is>
          <t>15</t>
        </is>
      </c>
      <c r="K241" t="inlineStr">
        <is>
          <t>15</t>
        </is>
      </c>
      <c r="L241" t="inlineStr">
        <is>
          <t>15</t>
        </is>
      </c>
      <c r="M241" t="inlineStr">
        <is>
          <t>MVS Sec.15 p.21</t>
        </is>
      </c>
    </row>
    <row r="242">
      <c r="B242" t="inlineStr">
        <is>
          <t>Banks, Branch</t>
        </is>
      </c>
      <c r="C242" t="inlineStr">
        <is>
          <t>304</t>
        </is>
      </c>
      <c r="D242" t="inlineStr">
        <is>
          <t>15</t>
        </is>
      </c>
      <c r="E242" t="inlineStr">
        <is>
          <t>21</t>
        </is>
      </c>
      <c r="F242" t="inlineStr">
        <is>
          <t>A</t>
        </is>
      </c>
      <c r="G242" t="inlineStr">
        <is>
          <t>Average</t>
        </is>
      </c>
      <c r="H242" s="606" t="n">
        <v>327</v>
      </c>
      <c r="I242">
        <f>B242&amp;"~"&amp;F242&amp;"~"&amp;G242</f>
        <v/>
      </c>
      <c r="J242" t="inlineStr">
        <is>
          <t>15</t>
        </is>
      </c>
      <c r="K242" t="inlineStr">
        <is>
          <t>15</t>
        </is>
      </c>
      <c r="L242" t="inlineStr">
        <is>
          <t>15</t>
        </is>
      </c>
      <c r="M242" t="inlineStr">
        <is>
          <t>MVS Sec.15 p.21</t>
        </is>
      </c>
    </row>
    <row r="243">
      <c r="B243" t="inlineStr">
        <is>
          <t>Banks, Branch</t>
        </is>
      </c>
      <c r="C243" t="inlineStr">
        <is>
          <t>304</t>
        </is>
      </c>
      <c r="D243" t="inlineStr">
        <is>
          <t>15</t>
        </is>
      </c>
      <c r="E243" t="inlineStr">
        <is>
          <t>21</t>
        </is>
      </c>
      <c r="F243" t="inlineStr">
        <is>
          <t>A</t>
        </is>
      </c>
      <c r="G243" t="inlineStr">
        <is>
          <t>Low Cost</t>
        </is>
      </c>
      <c r="H243" s="606" t="n">
        <v>260</v>
      </c>
      <c r="I243">
        <f>B243&amp;"~"&amp;F243&amp;"~"&amp;G243</f>
        <v/>
      </c>
      <c r="J243" t="inlineStr">
        <is>
          <t>15</t>
        </is>
      </c>
      <c r="K243" t="inlineStr">
        <is>
          <t>15</t>
        </is>
      </c>
      <c r="L243" t="inlineStr">
        <is>
          <t>15</t>
        </is>
      </c>
      <c r="M243" t="inlineStr">
        <is>
          <t>MVS Sec.15 p.21</t>
        </is>
      </c>
    </row>
    <row r="244">
      <c r="B244" t="inlineStr">
        <is>
          <t>Banks, Branch</t>
        </is>
      </c>
      <c r="C244" t="inlineStr">
        <is>
          <t>304</t>
        </is>
      </c>
      <c r="D244" t="inlineStr">
        <is>
          <t>15</t>
        </is>
      </c>
      <c r="E244" t="inlineStr">
        <is>
          <t>21</t>
        </is>
      </c>
      <c r="F244" t="inlineStr">
        <is>
          <t>B</t>
        </is>
      </c>
      <c r="G244" t="inlineStr">
        <is>
          <t>Good</t>
        </is>
      </c>
      <c r="H244" s="606" t="n">
        <v>378</v>
      </c>
      <c r="I244">
        <f>B244&amp;"~"&amp;F244&amp;"~"&amp;G244</f>
        <v/>
      </c>
      <c r="J244" t="inlineStr">
        <is>
          <t>15</t>
        </is>
      </c>
      <c r="K244" t="inlineStr">
        <is>
          <t>15</t>
        </is>
      </c>
      <c r="L244" t="inlineStr">
        <is>
          <t>15</t>
        </is>
      </c>
      <c r="M244" t="inlineStr">
        <is>
          <t>MVS Sec.15 p.21</t>
        </is>
      </c>
    </row>
    <row r="245">
      <c r="B245" t="inlineStr">
        <is>
          <t>Banks, Branch</t>
        </is>
      </c>
      <c r="C245" t="inlineStr">
        <is>
          <t>304</t>
        </is>
      </c>
      <c r="D245" t="inlineStr">
        <is>
          <t>15</t>
        </is>
      </c>
      <c r="E245" t="inlineStr">
        <is>
          <t>21</t>
        </is>
      </c>
      <c r="F245" t="inlineStr">
        <is>
          <t>B</t>
        </is>
      </c>
      <c r="G245" t="inlineStr">
        <is>
          <t>Average</t>
        </is>
      </c>
      <c r="H245" s="606" t="n">
        <v>296</v>
      </c>
      <c r="I245">
        <f>B245&amp;"~"&amp;F245&amp;"~"&amp;G245</f>
        <v/>
      </c>
      <c r="J245" t="inlineStr">
        <is>
          <t>15</t>
        </is>
      </c>
      <c r="K245" t="inlineStr">
        <is>
          <t>15</t>
        </is>
      </c>
      <c r="L245" t="inlineStr">
        <is>
          <t>15</t>
        </is>
      </c>
      <c r="M245" t="inlineStr">
        <is>
          <t>MVS Sec.15 p.21</t>
        </is>
      </c>
    </row>
    <row r="246">
      <c r="B246" t="inlineStr">
        <is>
          <t>Banks, Branch</t>
        </is>
      </c>
      <c r="C246" t="inlineStr">
        <is>
          <t>304</t>
        </is>
      </c>
      <c r="D246" t="inlineStr">
        <is>
          <t>15</t>
        </is>
      </c>
      <c r="E246" t="inlineStr">
        <is>
          <t>21</t>
        </is>
      </c>
      <c r="F246" t="inlineStr">
        <is>
          <t>B</t>
        </is>
      </c>
      <c r="G246" t="inlineStr">
        <is>
          <t>Low Cost</t>
        </is>
      </c>
      <c r="H246" s="606" t="n">
        <v>234</v>
      </c>
      <c r="I246">
        <f>B246&amp;"~"&amp;F246&amp;"~"&amp;G246</f>
        <v/>
      </c>
      <c r="J246" t="inlineStr">
        <is>
          <t>15</t>
        </is>
      </c>
      <c r="K246" t="inlineStr">
        <is>
          <t>15</t>
        </is>
      </c>
      <c r="L246" t="inlineStr">
        <is>
          <t>15</t>
        </is>
      </c>
      <c r="M246" t="inlineStr">
        <is>
          <t>MVS Sec.15 p.21</t>
        </is>
      </c>
    </row>
    <row r="247">
      <c r="B247" t="inlineStr">
        <is>
          <t>Banks, Branch</t>
        </is>
      </c>
      <c r="C247" t="inlineStr">
        <is>
          <t>304</t>
        </is>
      </c>
      <c r="D247" t="inlineStr">
        <is>
          <t>15</t>
        </is>
      </c>
      <c r="E247" t="inlineStr">
        <is>
          <t>21</t>
        </is>
      </c>
      <c r="F247" t="inlineStr">
        <is>
          <t>C</t>
        </is>
      </c>
      <c r="G247" t="inlineStr">
        <is>
          <t>Excellent</t>
        </is>
      </c>
      <c r="H247" s="606" t="n">
        <v>448</v>
      </c>
      <c r="I247">
        <f>B247&amp;"~"&amp;F247&amp;"~"&amp;G247</f>
        <v/>
      </c>
      <c r="J247" t="inlineStr">
        <is>
          <t>15</t>
        </is>
      </c>
      <c r="K247" t="inlineStr">
        <is>
          <t>15</t>
        </is>
      </c>
      <c r="L247" t="inlineStr">
        <is>
          <t>15</t>
        </is>
      </c>
      <c r="M247" t="inlineStr">
        <is>
          <t>MVS Sec.15 p.21</t>
        </is>
      </c>
    </row>
    <row r="248">
      <c r="B248" t="inlineStr">
        <is>
          <t>Banks, Branch</t>
        </is>
      </c>
      <c r="C248" t="inlineStr">
        <is>
          <t>304</t>
        </is>
      </c>
      <c r="D248" t="inlineStr">
        <is>
          <t>15</t>
        </is>
      </c>
      <c r="E248" t="inlineStr">
        <is>
          <t>21</t>
        </is>
      </c>
      <c r="F248" t="inlineStr">
        <is>
          <t>C</t>
        </is>
      </c>
      <c r="G248" t="inlineStr">
        <is>
          <t>Good</t>
        </is>
      </c>
      <c r="H248" s="606" t="n">
        <v>326</v>
      </c>
      <c r="I248">
        <f>B248&amp;"~"&amp;F248&amp;"~"&amp;G248</f>
        <v/>
      </c>
      <c r="J248" t="inlineStr">
        <is>
          <t>15</t>
        </is>
      </c>
      <c r="K248" t="inlineStr">
        <is>
          <t>15</t>
        </is>
      </c>
      <c r="L248" t="inlineStr">
        <is>
          <t>15</t>
        </is>
      </c>
      <c r="M248" t="inlineStr">
        <is>
          <t>MVS Sec.15 p.21</t>
        </is>
      </c>
    </row>
    <row r="249">
      <c r="B249" t="inlineStr">
        <is>
          <t>Banks, Branch</t>
        </is>
      </c>
      <c r="C249" t="inlineStr">
        <is>
          <t>304</t>
        </is>
      </c>
      <c r="D249" t="inlineStr">
        <is>
          <t>15</t>
        </is>
      </c>
      <c r="E249" t="inlineStr">
        <is>
          <t>21</t>
        </is>
      </c>
      <c r="F249" t="inlineStr">
        <is>
          <t>C</t>
        </is>
      </c>
      <c r="G249" t="inlineStr">
        <is>
          <t>Average</t>
        </is>
      </c>
      <c r="H249" s="606" t="n">
        <v>236</v>
      </c>
      <c r="I249">
        <f>B249&amp;"~"&amp;F249&amp;"~"&amp;G249</f>
        <v/>
      </c>
      <c r="J249" t="inlineStr">
        <is>
          <t>15</t>
        </is>
      </c>
      <c r="K249" t="inlineStr">
        <is>
          <t>15</t>
        </is>
      </c>
      <c r="L249" t="inlineStr">
        <is>
          <t>15</t>
        </is>
      </c>
      <c r="M249" t="inlineStr">
        <is>
          <t>MVS Sec.15 p.21</t>
        </is>
      </c>
    </row>
    <row r="250">
      <c r="B250" t="inlineStr">
        <is>
          <t>Banks, Branch</t>
        </is>
      </c>
      <c r="C250" t="inlineStr">
        <is>
          <t>304</t>
        </is>
      </c>
      <c r="D250" t="inlineStr">
        <is>
          <t>15</t>
        </is>
      </c>
      <c r="E250" t="inlineStr">
        <is>
          <t>21</t>
        </is>
      </c>
      <c r="F250" t="inlineStr">
        <is>
          <t>C</t>
        </is>
      </c>
      <c r="G250" t="inlineStr">
        <is>
          <t>Low Cost</t>
        </is>
      </c>
      <c r="H250" s="606" t="n">
        <v>177</v>
      </c>
      <c r="I250">
        <f>B250&amp;"~"&amp;F250&amp;"~"&amp;G250</f>
        <v/>
      </c>
      <c r="J250" t="inlineStr">
        <is>
          <t>15</t>
        </is>
      </c>
      <c r="K250" t="inlineStr">
        <is>
          <t>15</t>
        </is>
      </c>
      <c r="L250" t="inlineStr">
        <is>
          <t>15</t>
        </is>
      </c>
      <c r="M250" t="inlineStr">
        <is>
          <t>MVS Sec.15 p.21</t>
        </is>
      </c>
    </row>
    <row r="251">
      <c r="B251" t="inlineStr">
        <is>
          <t>Banks, Branch</t>
        </is>
      </c>
      <c r="C251" t="inlineStr">
        <is>
          <t>304</t>
        </is>
      </c>
      <c r="D251" t="inlineStr">
        <is>
          <t>15</t>
        </is>
      </c>
      <c r="E251" t="inlineStr">
        <is>
          <t>21</t>
        </is>
      </c>
      <c r="F251" t="inlineStr">
        <is>
          <t>D</t>
        </is>
      </c>
      <c r="G251" t="inlineStr">
        <is>
          <t>Excellent</t>
        </is>
      </c>
      <c r="H251" s="606" t="n">
        <v>423</v>
      </c>
      <c r="I251">
        <f>B251&amp;"~"&amp;F251&amp;"~"&amp;G251</f>
        <v/>
      </c>
      <c r="J251" t="inlineStr">
        <is>
          <t>15</t>
        </is>
      </c>
      <c r="K251" t="inlineStr">
        <is>
          <t>15</t>
        </is>
      </c>
      <c r="L251" t="inlineStr">
        <is>
          <t>15</t>
        </is>
      </c>
      <c r="M251" t="inlineStr">
        <is>
          <t>MVS Sec.15 p.21</t>
        </is>
      </c>
    </row>
    <row r="252">
      <c r="B252" t="inlineStr">
        <is>
          <t>Banks, Branch</t>
        </is>
      </c>
      <c r="C252" t="inlineStr">
        <is>
          <t>304</t>
        </is>
      </c>
      <c r="D252" t="inlineStr">
        <is>
          <t>15</t>
        </is>
      </c>
      <c r="E252" t="inlineStr">
        <is>
          <t>21</t>
        </is>
      </c>
      <c r="F252" t="inlineStr">
        <is>
          <t>D</t>
        </is>
      </c>
      <c r="G252" t="inlineStr">
        <is>
          <t>Good</t>
        </is>
      </c>
      <c r="H252" s="606" t="n">
        <v>308</v>
      </c>
      <c r="I252">
        <f>B252&amp;"~"&amp;F252&amp;"~"&amp;G252</f>
        <v/>
      </c>
      <c r="J252" t="inlineStr">
        <is>
          <t>15</t>
        </is>
      </c>
      <c r="K252" t="inlineStr">
        <is>
          <t>15</t>
        </is>
      </c>
      <c r="L252" t="inlineStr">
        <is>
          <t>15</t>
        </is>
      </c>
      <c r="M252" t="inlineStr">
        <is>
          <t>MVS Sec.15 p.21</t>
        </is>
      </c>
    </row>
    <row r="253">
      <c r="B253" t="inlineStr">
        <is>
          <t>Banks, Branch</t>
        </is>
      </c>
      <c r="C253" t="inlineStr">
        <is>
          <t>304</t>
        </is>
      </c>
      <c r="D253" t="inlineStr">
        <is>
          <t>15</t>
        </is>
      </c>
      <c r="E253" t="inlineStr">
        <is>
          <t>21</t>
        </is>
      </c>
      <c r="F253" t="inlineStr">
        <is>
          <t>D</t>
        </is>
      </c>
      <c r="G253" t="inlineStr">
        <is>
          <t>Average</t>
        </is>
      </c>
      <c r="H253" s="606" t="n">
        <v>223</v>
      </c>
      <c r="I253">
        <f>B253&amp;"~"&amp;F253&amp;"~"&amp;G253</f>
        <v/>
      </c>
      <c r="J253" t="inlineStr">
        <is>
          <t>15</t>
        </is>
      </c>
      <c r="K253" t="inlineStr">
        <is>
          <t>15</t>
        </is>
      </c>
      <c r="L253" t="inlineStr">
        <is>
          <t>15</t>
        </is>
      </c>
      <c r="M253" t="inlineStr">
        <is>
          <t>MVS Sec.15 p.21</t>
        </is>
      </c>
    </row>
    <row r="254">
      <c r="B254" t="inlineStr">
        <is>
          <t>Banks, Branch</t>
        </is>
      </c>
      <c r="C254" t="inlineStr">
        <is>
          <t>304</t>
        </is>
      </c>
      <c r="D254" t="inlineStr">
        <is>
          <t>15</t>
        </is>
      </c>
      <c r="E254" t="inlineStr">
        <is>
          <t>21</t>
        </is>
      </c>
      <c r="F254" t="inlineStr">
        <is>
          <t>D</t>
        </is>
      </c>
      <c r="G254" t="inlineStr">
        <is>
          <t>Low Cost</t>
        </is>
      </c>
      <c r="H254" s="606" t="n">
        <v>168</v>
      </c>
      <c r="I254">
        <f>B254&amp;"~"&amp;F254&amp;"~"&amp;G254</f>
        <v/>
      </c>
      <c r="J254" t="inlineStr">
        <is>
          <t>15</t>
        </is>
      </c>
      <c r="K254" t="inlineStr">
        <is>
          <t>15</t>
        </is>
      </c>
      <c r="L254" t="inlineStr">
        <is>
          <t>15</t>
        </is>
      </c>
      <c r="M254" t="inlineStr">
        <is>
          <t>MVS Sec.15 p.21</t>
        </is>
      </c>
    </row>
    <row r="255">
      <c r="B255" t="inlineStr">
        <is>
          <t>Banks, Branch</t>
        </is>
      </c>
      <c r="C255" t="inlineStr">
        <is>
          <t>304</t>
        </is>
      </c>
      <c r="D255" t="inlineStr">
        <is>
          <t>15</t>
        </is>
      </c>
      <c r="E255" t="inlineStr">
        <is>
          <t>21</t>
        </is>
      </c>
      <c r="F255" t="inlineStr">
        <is>
          <t>S</t>
        </is>
      </c>
      <c r="G255" t="inlineStr">
        <is>
          <t>Good</t>
        </is>
      </c>
      <c r="H255" s="606" t="n">
        <v>288</v>
      </c>
      <c r="I255">
        <f>B255&amp;"~"&amp;F255&amp;"~"&amp;G255</f>
        <v/>
      </c>
      <c r="J255" t="inlineStr">
        <is>
          <t>15</t>
        </is>
      </c>
      <c r="K255" t="inlineStr">
        <is>
          <t>15</t>
        </is>
      </c>
      <c r="L255" t="inlineStr">
        <is>
          <t>15</t>
        </is>
      </c>
      <c r="M255" t="inlineStr">
        <is>
          <t>MVS Sec.15 p.21</t>
        </is>
      </c>
    </row>
    <row r="256">
      <c r="B256" t="inlineStr">
        <is>
          <t>Banks, Branch</t>
        </is>
      </c>
      <c r="C256" t="inlineStr">
        <is>
          <t>304</t>
        </is>
      </c>
      <c r="D256" t="inlineStr">
        <is>
          <t>15</t>
        </is>
      </c>
      <c r="E256" t="inlineStr">
        <is>
          <t>21</t>
        </is>
      </c>
      <c r="F256" t="inlineStr">
        <is>
          <t>S</t>
        </is>
      </c>
      <c r="G256" t="inlineStr">
        <is>
          <t>Average</t>
        </is>
      </c>
      <c r="H256" s="606" t="n">
        <v>218</v>
      </c>
      <c r="I256">
        <f>B256&amp;"~"&amp;F256&amp;"~"&amp;G256</f>
        <v/>
      </c>
      <c r="J256" t="inlineStr">
        <is>
          <t>15</t>
        </is>
      </c>
      <c r="K256" t="inlineStr">
        <is>
          <t>15</t>
        </is>
      </c>
      <c r="L256" t="inlineStr">
        <is>
          <t>15</t>
        </is>
      </c>
      <c r="M256" t="inlineStr">
        <is>
          <t>MVS Sec.15 p.21</t>
        </is>
      </c>
    </row>
    <row r="257">
      <c r="B257" t="inlineStr">
        <is>
          <t>Banks, Branch</t>
        </is>
      </c>
      <c r="C257" t="inlineStr">
        <is>
          <t>304</t>
        </is>
      </c>
      <c r="D257" t="inlineStr">
        <is>
          <t>15</t>
        </is>
      </c>
      <c r="E257" t="inlineStr">
        <is>
          <t>21</t>
        </is>
      </c>
      <c r="F257" t="inlineStr">
        <is>
          <t>S</t>
        </is>
      </c>
      <c r="G257" t="inlineStr">
        <is>
          <t>Low Cost</t>
        </is>
      </c>
      <c r="H257" s="606" t="n">
        <v>167</v>
      </c>
      <c r="I257">
        <f>B257&amp;"~"&amp;F257&amp;"~"&amp;G257</f>
        <v/>
      </c>
      <c r="J257" t="inlineStr">
        <is>
          <t>15</t>
        </is>
      </c>
      <c r="K257" t="inlineStr">
        <is>
          <t>15</t>
        </is>
      </c>
      <c r="L257" t="inlineStr">
        <is>
          <t>15</t>
        </is>
      </c>
      <c r="M257" t="inlineStr">
        <is>
          <t>MVS Sec.15 p.21</t>
        </is>
      </c>
    </row>
    <row r="258">
      <c r="B258" t="inlineStr">
        <is>
          <t>Hotels, Full Service</t>
        </is>
      </c>
      <c r="C258" t="inlineStr">
        <is>
          <t>594</t>
        </is>
      </c>
      <c r="D258" t="inlineStr">
        <is>
          <t>11</t>
        </is>
      </c>
      <c r="E258" t="inlineStr">
        <is>
          <t>25</t>
        </is>
      </c>
      <c r="F258" t="inlineStr">
        <is>
          <t>A</t>
        </is>
      </c>
      <c r="G258" t="inlineStr">
        <is>
          <t>Excellent</t>
        </is>
      </c>
      <c r="H258" s="606" t="n">
        <v>380</v>
      </c>
      <c r="I258">
        <f>B258&amp;"~"&amp;F258&amp;"~"&amp;G258</f>
        <v/>
      </c>
      <c r="J258" t="inlineStr">
        <is>
          <t>11</t>
        </is>
      </c>
      <c r="K258" t="inlineStr">
        <is>
          <t>11</t>
        </is>
      </c>
      <c r="L258" t="inlineStr">
        <is>
          <t>11</t>
        </is>
      </c>
      <c r="M258" t="inlineStr">
        <is>
          <t>MVS Sec.11 p.25</t>
        </is>
      </c>
    </row>
    <row r="259">
      <c r="B259" t="inlineStr">
        <is>
          <t>Hotels, Full Service</t>
        </is>
      </c>
      <c r="C259" t="inlineStr">
        <is>
          <t>594</t>
        </is>
      </c>
      <c r="D259" t="inlineStr">
        <is>
          <t>11</t>
        </is>
      </c>
      <c r="E259" t="inlineStr">
        <is>
          <t>25</t>
        </is>
      </c>
      <c r="F259" t="inlineStr">
        <is>
          <t>A</t>
        </is>
      </c>
      <c r="G259" t="inlineStr">
        <is>
          <t>Good</t>
        </is>
      </c>
      <c r="H259" s="606" t="n">
        <v>310</v>
      </c>
      <c r="I259">
        <f>B259&amp;"~"&amp;F259&amp;"~"&amp;G259</f>
        <v/>
      </c>
      <c r="J259" t="inlineStr">
        <is>
          <t>11</t>
        </is>
      </c>
      <c r="K259" t="inlineStr">
        <is>
          <t>11</t>
        </is>
      </c>
      <c r="L259" t="inlineStr">
        <is>
          <t>11</t>
        </is>
      </c>
      <c r="M259" t="inlineStr">
        <is>
          <t>MVS Sec.11 p.25</t>
        </is>
      </c>
    </row>
    <row r="260">
      <c r="B260" t="inlineStr">
        <is>
          <t>Hotels, Full Service</t>
        </is>
      </c>
      <c r="C260" t="inlineStr">
        <is>
          <t>594</t>
        </is>
      </c>
      <c r="D260" t="inlineStr">
        <is>
          <t>11</t>
        </is>
      </c>
      <c r="E260" t="inlineStr">
        <is>
          <t>25</t>
        </is>
      </c>
      <c r="F260" t="inlineStr">
        <is>
          <t>A</t>
        </is>
      </c>
      <c r="G260" t="inlineStr">
        <is>
          <t>Average</t>
        </is>
      </c>
      <c r="H260" s="606" t="n">
        <v>244</v>
      </c>
      <c r="I260">
        <f>B260&amp;"~"&amp;F260&amp;"~"&amp;G260</f>
        <v/>
      </c>
      <c r="J260" t="inlineStr">
        <is>
          <t>11</t>
        </is>
      </c>
      <c r="K260" t="inlineStr">
        <is>
          <t>11</t>
        </is>
      </c>
      <c r="L260" t="inlineStr">
        <is>
          <t>11</t>
        </is>
      </c>
      <c r="M260" t="inlineStr">
        <is>
          <t>MVS Sec.11 p.25</t>
        </is>
      </c>
    </row>
    <row r="261">
      <c r="B261" t="inlineStr">
        <is>
          <t>Hotels, Full Service</t>
        </is>
      </c>
      <c r="C261" t="inlineStr">
        <is>
          <t>594</t>
        </is>
      </c>
      <c r="D261" t="inlineStr">
        <is>
          <t>11</t>
        </is>
      </c>
      <c r="E261" t="inlineStr">
        <is>
          <t>25</t>
        </is>
      </c>
      <c r="F261" t="inlineStr">
        <is>
          <t>A</t>
        </is>
      </c>
      <c r="G261" t="inlineStr">
        <is>
          <t>Low Cost</t>
        </is>
      </c>
      <c r="H261" s="606" t="n">
        <v>194</v>
      </c>
      <c r="I261">
        <f>B261&amp;"~"&amp;F261&amp;"~"&amp;G261</f>
        <v/>
      </c>
      <c r="J261" t="inlineStr">
        <is>
          <t>11</t>
        </is>
      </c>
      <c r="K261" t="inlineStr">
        <is>
          <t>11</t>
        </is>
      </c>
      <c r="L261" t="inlineStr">
        <is>
          <t>11</t>
        </is>
      </c>
      <c r="M261" t="inlineStr">
        <is>
          <t>MVS Sec.11 p.25</t>
        </is>
      </c>
    </row>
    <row r="262">
      <c r="B262" t="inlineStr">
        <is>
          <t>Hotels, Full Service</t>
        </is>
      </c>
      <c r="C262" t="inlineStr">
        <is>
          <t>594</t>
        </is>
      </c>
      <c r="D262" t="inlineStr">
        <is>
          <t>11</t>
        </is>
      </c>
      <c r="E262" t="inlineStr">
        <is>
          <t>25</t>
        </is>
      </c>
      <c r="F262" t="inlineStr">
        <is>
          <t>B</t>
        </is>
      </c>
      <c r="G262" t="inlineStr">
        <is>
          <t>Excellent</t>
        </is>
      </c>
      <c r="H262" s="606" t="n">
        <v>343</v>
      </c>
      <c r="I262">
        <f>B262&amp;"~"&amp;F262&amp;"~"&amp;G262</f>
        <v/>
      </c>
      <c r="J262" t="inlineStr">
        <is>
          <t>11</t>
        </is>
      </c>
      <c r="K262" t="inlineStr">
        <is>
          <t>11</t>
        </is>
      </c>
      <c r="L262" t="inlineStr">
        <is>
          <t>11</t>
        </is>
      </c>
      <c r="M262" t="inlineStr">
        <is>
          <t>MVS Sec.11 p.25</t>
        </is>
      </c>
    </row>
    <row r="263">
      <c r="B263" t="inlineStr">
        <is>
          <t>Hotels, Full Service</t>
        </is>
      </c>
      <c r="C263" t="inlineStr">
        <is>
          <t>594</t>
        </is>
      </c>
      <c r="D263" t="inlineStr">
        <is>
          <t>11</t>
        </is>
      </c>
      <c r="E263" t="inlineStr">
        <is>
          <t>25</t>
        </is>
      </c>
      <c r="F263" t="inlineStr">
        <is>
          <t>B</t>
        </is>
      </c>
      <c r="G263" t="inlineStr">
        <is>
          <t>Good</t>
        </is>
      </c>
      <c r="H263" s="606" t="n">
        <v>280</v>
      </c>
      <c r="I263">
        <f>B263&amp;"~"&amp;F263&amp;"~"&amp;G263</f>
        <v/>
      </c>
      <c r="J263" t="inlineStr">
        <is>
          <t>11</t>
        </is>
      </c>
      <c r="K263" t="inlineStr">
        <is>
          <t>11</t>
        </is>
      </c>
      <c r="L263" t="inlineStr">
        <is>
          <t>11</t>
        </is>
      </c>
      <c r="M263" t="inlineStr">
        <is>
          <t>MVS Sec.11 p.25</t>
        </is>
      </c>
    </row>
    <row r="264">
      <c r="B264" t="inlineStr">
        <is>
          <t>Hotels, Full Service</t>
        </is>
      </c>
      <c r="C264" t="inlineStr">
        <is>
          <t>594</t>
        </is>
      </c>
      <c r="D264" t="inlineStr">
        <is>
          <t>11</t>
        </is>
      </c>
      <c r="E264" t="inlineStr">
        <is>
          <t>25</t>
        </is>
      </c>
      <c r="F264" t="inlineStr">
        <is>
          <t>B</t>
        </is>
      </c>
      <c r="G264" t="inlineStr">
        <is>
          <t>Average</t>
        </is>
      </c>
      <c r="H264" s="606" t="n">
        <v>219</v>
      </c>
      <c r="I264">
        <f>B264&amp;"~"&amp;F264&amp;"~"&amp;G264</f>
        <v/>
      </c>
      <c r="J264" t="inlineStr">
        <is>
          <t>11</t>
        </is>
      </c>
      <c r="K264" t="inlineStr">
        <is>
          <t>11</t>
        </is>
      </c>
      <c r="L264" t="inlineStr">
        <is>
          <t>11</t>
        </is>
      </c>
      <c r="M264" t="inlineStr">
        <is>
          <t>MVS Sec.11 p.25</t>
        </is>
      </c>
    </row>
    <row r="265">
      <c r="B265" t="inlineStr">
        <is>
          <t>Hotels, Full Service</t>
        </is>
      </c>
      <c r="C265" t="inlineStr">
        <is>
          <t>594</t>
        </is>
      </c>
      <c r="D265" t="inlineStr">
        <is>
          <t>11</t>
        </is>
      </c>
      <c r="E265" t="inlineStr">
        <is>
          <t>25</t>
        </is>
      </c>
      <c r="F265" t="inlineStr">
        <is>
          <t>B</t>
        </is>
      </c>
      <c r="G265" t="inlineStr">
        <is>
          <t>Low Cost</t>
        </is>
      </c>
      <c r="H265" s="606" t="n">
        <v>173</v>
      </c>
      <c r="I265">
        <f>B265&amp;"~"&amp;F265&amp;"~"&amp;G265</f>
        <v/>
      </c>
      <c r="J265" t="inlineStr">
        <is>
          <t>11</t>
        </is>
      </c>
      <c r="K265" t="inlineStr">
        <is>
          <t>11</t>
        </is>
      </c>
      <c r="L265" t="inlineStr">
        <is>
          <t>11</t>
        </is>
      </c>
      <c r="M265" t="inlineStr">
        <is>
          <t>MVS Sec.11 p.25</t>
        </is>
      </c>
    </row>
    <row r="266">
      <c r="B266" t="inlineStr">
        <is>
          <t>Hotels, Full Service</t>
        </is>
      </c>
      <c r="C266" t="inlineStr">
        <is>
          <t>594</t>
        </is>
      </c>
      <c r="D266" t="inlineStr">
        <is>
          <t>11</t>
        </is>
      </c>
      <c r="E266" t="inlineStr">
        <is>
          <t>25</t>
        </is>
      </c>
      <c r="F266" t="inlineStr">
        <is>
          <t>C</t>
        </is>
      </c>
      <c r="G266" t="inlineStr">
        <is>
          <t>Excellent</t>
        </is>
      </c>
      <c r="H266" s="606" t="n">
        <v>281</v>
      </c>
      <c r="I266">
        <f>B266&amp;"~"&amp;F266&amp;"~"&amp;G266</f>
        <v/>
      </c>
      <c r="J266" t="inlineStr">
        <is>
          <t>11</t>
        </is>
      </c>
      <c r="K266" t="inlineStr">
        <is>
          <t>11</t>
        </is>
      </c>
      <c r="L266" t="inlineStr">
        <is>
          <t>11</t>
        </is>
      </c>
      <c r="M266" t="inlineStr">
        <is>
          <t>MVS Sec.11 p.25</t>
        </is>
      </c>
    </row>
    <row r="267">
      <c r="B267" t="inlineStr">
        <is>
          <t>Hotels, Full Service</t>
        </is>
      </c>
      <c r="C267" t="inlineStr">
        <is>
          <t>594</t>
        </is>
      </c>
      <c r="D267" t="inlineStr">
        <is>
          <t>11</t>
        </is>
      </c>
      <c r="E267" t="inlineStr">
        <is>
          <t>25</t>
        </is>
      </c>
      <c r="F267" t="inlineStr">
        <is>
          <t>C</t>
        </is>
      </c>
      <c r="G267" t="inlineStr">
        <is>
          <t>Good</t>
        </is>
      </c>
      <c r="H267" s="606" t="n">
        <v>228</v>
      </c>
      <c r="I267">
        <f>B267&amp;"~"&amp;F267&amp;"~"&amp;G267</f>
        <v/>
      </c>
      <c r="J267" t="inlineStr">
        <is>
          <t>11</t>
        </is>
      </c>
      <c r="K267" t="inlineStr">
        <is>
          <t>11</t>
        </is>
      </c>
      <c r="L267" t="inlineStr">
        <is>
          <t>11</t>
        </is>
      </c>
      <c r="M267" t="inlineStr">
        <is>
          <t>MVS Sec.11 p.25</t>
        </is>
      </c>
    </row>
    <row r="268">
      <c r="B268" t="inlineStr">
        <is>
          <t>Hotels, Full Service</t>
        </is>
      </c>
      <c r="C268" t="inlineStr">
        <is>
          <t>594</t>
        </is>
      </c>
      <c r="D268" t="inlineStr">
        <is>
          <t>11</t>
        </is>
      </c>
      <c r="E268" t="inlineStr">
        <is>
          <t>25</t>
        </is>
      </c>
      <c r="F268" t="inlineStr">
        <is>
          <t>C</t>
        </is>
      </c>
      <c r="G268" t="inlineStr">
        <is>
          <t>Average</t>
        </is>
      </c>
      <c r="H268" s="606" t="n">
        <v>191</v>
      </c>
      <c r="I268">
        <f>B268&amp;"~"&amp;F268&amp;"~"&amp;G268</f>
        <v/>
      </c>
      <c r="J268" t="inlineStr">
        <is>
          <t>11</t>
        </is>
      </c>
      <c r="K268" t="inlineStr">
        <is>
          <t>11</t>
        </is>
      </c>
      <c r="L268" t="inlineStr">
        <is>
          <t>11</t>
        </is>
      </c>
      <c r="M268" t="inlineStr">
        <is>
          <t>MVS Sec.11 p.25</t>
        </is>
      </c>
    </row>
    <row r="269">
      <c r="B269" t="inlineStr">
        <is>
          <t>Hotels, Full Service</t>
        </is>
      </c>
      <c r="C269" t="inlineStr">
        <is>
          <t>594</t>
        </is>
      </c>
      <c r="D269" t="inlineStr">
        <is>
          <t>11</t>
        </is>
      </c>
      <c r="E269" t="inlineStr">
        <is>
          <t>25</t>
        </is>
      </c>
      <c r="F269" t="inlineStr">
        <is>
          <t>C</t>
        </is>
      </c>
      <c r="G269" t="inlineStr">
        <is>
          <t>Low Cost</t>
        </is>
      </c>
      <c r="H269" s="606" t="n">
        <v>154</v>
      </c>
      <c r="I269">
        <f>B269&amp;"~"&amp;F269&amp;"~"&amp;G269</f>
        <v/>
      </c>
      <c r="J269" t="inlineStr">
        <is>
          <t>11</t>
        </is>
      </c>
      <c r="K269" t="inlineStr">
        <is>
          <t>11</t>
        </is>
      </c>
      <c r="L269" t="inlineStr">
        <is>
          <t>11</t>
        </is>
      </c>
      <c r="M269" t="inlineStr">
        <is>
          <t>MVS Sec.11 p.25</t>
        </is>
      </c>
    </row>
    <row r="270">
      <c r="B270" t="inlineStr">
        <is>
          <t>Hotels, Full Service</t>
        </is>
      </c>
      <c r="C270" t="inlineStr">
        <is>
          <t>594</t>
        </is>
      </c>
      <c r="D270" t="inlineStr">
        <is>
          <t>11</t>
        </is>
      </c>
      <c r="E270" t="inlineStr">
        <is>
          <t>25</t>
        </is>
      </c>
      <c r="F270" t="inlineStr">
        <is>
          <t>D</t>
        </is>
      </c>
      <c r="G270" t="inlineStr">
        <is>
          <t>Excellent</t>
        </is>
      </c>
      <c r="H270" s="606" t="n">
        <v>268</v>
      </c>
      <c r="I270">
        <f>B270&amp;"~"&amp;F270&amp;"~"&amp;G270</f>
        <v/>
      </c>
      <c r="J270" t="inlineStr">
        <is>
          <t>11</t>
        </is>
      </c>
      <c r="K270" t="inlineStr">
        <is>
          <t>11</t>
        </is>
      </c>
      <c r="L270" t="inlineStr">
        <is>
          <t>11</t>
        </is>
      </c>
      <c r="M270" t="inlineStr">
        <is>
          <t>MVS Sec.11 p.25</t>
        </is>
      </c>
    </row>
    <row r="271">
      <c r="B271" t="inlineStr">
        <is>
          <t>Hotels, Full Service</t>
        </is>
      </c>
      <c r="C271" t="inlineStr">
        <is>
          <t>594</t>
        </is>
      </c>
      <c r="D271" t="inlineStr">
        <is>
          <t>11</t>
        </is>
      </c>
      <c r="E271" t="inlineStr">
        <is>
          <t>25</t>
        </is>
      </c>
      <c r="F271" t="inlineStr">
        <is>
          <t>D</t>
        </is>
      </c>
      <c r="G271" t="inlineStr">
        <is>
          <t>Good</t>
        </is>
      </c>
      <c r="H271" s="606" t="n">
        <v>216</v>
      </c>
      <c r="I271">
        <f>B271&amp;"~"&amp;F271&amp;"~"&amp;G271</f>
        <v/>
      </c>
      <c r="J271" t="inlineStr">
        <is>
          <t>11</t>
        </is>
      </c>
      <c r="K271" t="inlineStr">
        <is>
          <t>11</t>
        </is>
      </c>
      <c r="L271" t="inlineStr">
        <is>
          <t>11</t>
        </is>
      </c>
      <c r="M271" t="inlineStr">
        <is>
          <t>MVS Sec.11 p.25</t>
        </is>
      </c>
    </row>
    <row r="272">
      <c r="B272" t="inlineStr">
        <is>
          <t>Hotels, Full Service</t>
        </is>
      </c>
      <c r="C272" t="inlineStr">
        <is>
          <t>594</t>
        </is>
      </c>
      <c r="D272" t="inlineStr">
        <is>
          <t>11</t>
        </is>
      </c>
      <c r="E272" t="inlineStr">
        <is>
          <t>25</t>
        </is>
      </c>
      <c r="F272" t="inlineStr">
        <is>
          <t>D</t>
        </is>
      </c>
      <c r="G272" t="inlineStr">
        <is>
          <t>Average</t>
        </is>
      </c>
      <c r="H272" s="606" t="n">
        <v>180</v>
      </c>
      <c r="I272">
        <f>B272&amp;"~"&amp;F272&amp;"~"&amp;G272</f>
        <v/>
      </c>
      <c r="J272" t="inlineStr">
        <is>
          <t>11</t>
        </is>
      </c>
      <c r="K272" t="inlineStr">
        <is>
          <t>11</t>
        </is>
      </c>
      <c r="L272" t="inlineStr">
        <is>
          <t>11</t>
        </is>
      </c>
      <c r="M272" t="inlineStr">
        <is>
          <t>MVS Sec.11 p.25</t>
        </is>
      </c>
    </row>
    <row r="273">
      <c r="B273" t="inlineStr">
        <is>
          <t>Hotels, Full Service</t>
        </is>
      </c>
      <c r="C273" t="inlineStr">
        <is>
          <t>594</t>
        </is>
      </c>
      <c r="D273" t="inlineStr">
        <is>
          <t>11</t>
        </is>
      </c>
      <c r="E273" t="inlineStr">
        <is>
          <t>25</t>
        </is>
      </c>
      <c r="F273" t="inlineStr">
        <is>
          <t>D</t>
        </is>
      </c>
      <c r="G273" t="inlineStr">
        <is>
          <t>Low Cost</t>
        </is>
      </c>
      <c r="H273" s="606" t="n">
        <v>144</v>
      </c>
      <c r="I273">
        <f>B273&amp;"~"&amp;F273&amp;"~"&amp;G273</f>
        <v/>
      </c>
      <c r="J273" t="inlineStr">
        <is>
          <t>11</t>
        </is>
      </c>
      <c r="K273" t="inlineStr">
        <is>
          <t>11</t>
        </is>
      </c>
      <c r="L273" t="inlineStr">
        <is>
          <t>11</t>
        </is>
      </c>
      <c r="M273" t="inlineStr">
        <is>
          <t>MVS Sec.11 p.25</t>
        </is>
      </c>
    </row>
    <row r="274">
      <c r="B274" t="inlineStr">
        <is>
          <t>Hotels, Limited Service</t>
        </is>
      </c>
      <c r="C274" t="inlineStr">
        <is>
          <t>595</t>
        </is>
      </c>
      <c r="D274" t="inlineStr">
        <is>
          <t>11</t>
        </is>
      </c>
      <c r="E274" t="inlineStr">
        <is>
          <t>22</t>
        </is>
      </c>
      <c r="F274" t="inlineStr">
        <is>
          <t>A</t>
        </is>
      </c>
      <c r="G274" t="inlineStr">
        <is>
          <t>Excellent</t>
        </is>
      </c>
      <c r="H274" s="606" t="n">
        <v>271</v>
      </c>
      <c r="I274">
        <f>B274&amp;"~"&amp;F274&amp;"~"&amp;G274</f>
        <v/>
      </c>
      <c r="J274" t="inlineStr">
        <is>
          <t>11</t>
        </is>
      </c>
      <c r="K274" t="inlineStr">
        <is>
          <t>11</t>
        </is>
      </c>
      <c r="L274" t="inlineStr">
        <is>
          <t>11</t>
        </is>
      </c>
      <c r="M274" t="inlineStr">
        <is>
          <t>MVS Sec.11 p.22</t>
        </is>
      </c>
    </row>
    <row r="275">
      <c r="B275" t="inlineStr">
        <is>
          <t>Hotels, Limited Service</t>
        </is>
      </c>
      <c r="C275" t="inlineStr">
        <is>
          <t>595</t>
        </is>
      </c>
      <c r="D275" t="inlineStr">
        <is>
          <t>11</t>
        </is>
      </c>
      <c r="E275" t="inlineStr">
        <is>
          <t>22</t>
        </is>
      </c>
      <c r="F275" t="inlineStr">
        <is>
          <t>A</t>
        </is>
      </c>
      <c r="G275" t="inlineStr">
        <is>
          <t>Good</t>
        </is>
      </c>
      <c r="H275" s="606" t="n">
        <v>228</v>
      </c>
      <c r="I275">
        <f>B275&amp;"~"&amp;F275&amp;"~"&amp;G275</f>
        <v/>
      </c>
      <c r="J275" t="inlineStr">
        <is>
          <t>11</t>
        </is>
      </c>
      <c r="K275" t="inlineStr">
        <is>
          <t>11</t>
        </is>
      </c>
      <c r="L275" t="inlineStr">
        <is>
          <t>11</t>
        </is>
      </c>
      <c r="M275" t="inlineStr">
        <is>
          <t>MVS Sec.11 p.22</t>
        </is>
      </c>
    </row>
    <row r="276">
      <c r="B276" t="inlineStr">
        <is>
          <t>Hotels, Limited Service</t>
        </is>
      </c>
      <c r="C276" t="inlineStr">
        <is>
          <t>595</t>
        </is>
      </c>
      <c r="D276" t="inlineStr">
        <is>
          <t>11</t>
        </is>
      </c>
      <c r="E276" t="inlineStr">
        <is>
          <t>22</t>
        </is>
      </c>
      <c r="F276" t="inlineStr">
        <is>
          <t>A</t>
        </is>
      </c>
      <c r="G276" t="inlineStr">
        <is>
          <t>Average</t>
        </is>
      </c>
      <c r="H276" s="606" t="n">
        <v>197</v>
      </c>
      <c r="I276">
        <f>B276&amp;"~"&amp;F276&amp;"~"&amp;G276</f>
        <v/>
      </c>
      <c r="J276" t="inlineStr">
        <is>
          <t>11</t>
        </is>
      </c>
      <c r="K276" t="inlineStr">
        <is>
          <t>11</t>
        </is>
      </c>
      <c r="L276" t="inlineStr">
        <is>
          <t>11</t>
        </is>
      </c>
      <c r="M276" t="inlineStr">
        <is>
          <t>MVS Sec.11 p.22</t>
        </is>
      </c>
    </row>
    <row r="277">
      <c r="B277" t="inlineStr">
        <is>
          <t>Hotels, Limited Service</t>
        </is>
      </c>
      <c r="C277" t="inlineStr">
        <is>
          <t>595</t>
        </is>
      </c>
      <c r="D277" t="inlineStr">
        <is>
          <t>11</t>
        </is>
      </c>
      <c r="E277" t="inlineStr">
        <is>
          <t>22</t>
        </is>
      </c>
      <c r="F277" t="inlineStr">
        <is>
          <t>A</t>
        </is>
      </c>
      <c r="G277" t="inlineStr">
        <is>
          <t>Low Cost</t>
        </is>
      </c>
      <c r="H277" s="606" t="n">
        <v>165</v>
      </c>
      <c r="I277">
        <f>B277&amp;"~"&amp;F277&amp;"~"&amp;G277</f>
        <v/>
      </c>
      <c r="J277" t="inlineStr">
        <is>
          <t>11</t>
        </is>
      </c>
      <c r="K277" t="inlineStr">
        <is>
          <t>11</t>
        </is>
      </c>
      <c r="L277" t="inlineStr">
        <is>
          <t>11</t>
        </is>
      </c>
      <c r="M277" t="inlineStr">
        <is>
          <t>MVS Sec.11 p.22</t>
        </is>
      </c>
    </row>
    <row r="278">
      <c r="B278" t="inlineStr">
        <is>
          <t>Hotels, Limited Service</t>
        </is>
      </c>
      <c r="C278" t="inlineStr">
        <is>
          <t>595</t>
        </is>
      </c>
      <c r="D278" t="inlineStr">
        <is>
          <t>11</t>
        </is>
      </c>
      <c r="E278" t="inlineStr">
        <is>
          <t>22</t>
        </is>
      </c>
      <c r="F278" t="inlineStr">
        <is>
          <t>B</t>
        </is>
      </c>
      <c r="G278" t="inlineStr">
        <is>
          <t>Excellent</t>
        </is>
      </c>
      <c r="H278" s="606" t="n">
        <v>245</v>
      </c>
      <c r="I278">
        <f>B278&amp;"~"&amp;F278&amp;"~"&amp;G278</f>
        <v/>
      </c>
      <c r="J278" t="inlineStr">
        <is>
          <t>11</t>
        </is>
      </c>
      <c r="K278" t="inlineStr">
        <is>
          <t>11</t>
        </is>
      </c>
      <c r="L278" t="inlineStr">
        <is>
          <t>11</t>
        </is>
      </c>
      <c r="M278" t="inlineStr">
        <is>
          <t>MVS Sec.11 p.22</t>
        </is>
      </c>
    </row>
    <row r="279">
      <c r="B279" t="inlineStr">
        <is>
          <t>Hotels, Limited Service</t>
        </is>
      </c>
      <c r="C279" t="inlineStr">
        <is>
          <t>595</t>
        </is>
      </c>
      <c r="D279" t="inlineStr">
        <is>
          <t>11</t>
        </is>
      </c>
      <c r="E279" t="inlineStr">
        <is>
          <t>22</t>
        </is>
      </c>
      <c r="F279" t="inlineStr">
        <is>
          <t>B</t>
        </is>
      </c>
      <c r="G279" t="inlineStr">
        <is>
          <t>Good</t>
        </is>
      </c>
      <c r="H279" s="606" t="n">
        <v>205</v>
      </c>
      <c r="I279">
        <f>B279&amp;"~"&amp;F279&amp;"~"&amp;G279</f>
        <v/>
      </c>
      <c r="J279" t="inlineStr">
        <is>
          <t>11</t>
        </is>
      </c>
      <c r="K279" t="inlineStr">
        <is>
          <t>11</t>
        </is>
      </c>
      <c r="L279" t="inlineStr">
        <is>
          <t>11</t>
        </is>
      </c>
      <c r="M279" t="inlineStr">
        <is>
          <t>MVS Sec.11 p.22</t>
        </is>
      </c>
    </row>
    <row r="280">
      <c r="B280" t="inlineStr">
        <is>
          <t>Hotels, Limited Service</t>
        </is>
      </c>
      <c r="C280" t="inlineStr">
        <is>
          <t>595</t>
        </is>
      </c>
      <c r="D280" t="inlineStr">
        <is>
          <t>11</t>
        </is>
      </c>
      <c r="E280" t="inlineStr">
        <is>
          <t>22</t>
        </is>
      </c>
      <c r="F280" t="inlineStr">
        <is>
          <t>B</t>
        </is>
      </c>
      <c r="G280" t="inlineStr">
        <is>
          <t>Average</t>
        </is>
      </c>
      <c r="H280" s="606" t="n">
        <v>177</v>
      </c>
      <c r="I280">
        <f>B280&amp;"~"&amp;F280&amp;"~"&amp;G280</f>
        <v/>
      </c>
      <c r="J280" t="inlineStr">
        <is>
          <t>11</t>
        </is>
      </c>
      <c r="K280" t="inlineStr">
        <is>
          <t>11</t>
        </is>
      </c>
      <c r="L280" t="inlineStr">
        <is>
          <t>11</t>
        </is>
      </c>
      <c r="M280" t="inlineStr">
        <is>
          <t>MVS Sec.11 p.22</t>
        </is>
      </c>
    </row>
    <row r="281">
      <c r="B281" t="inlineStr">
        <is>
          <t>Hotels, Limited Service</t>
        </is>
      </c>
      <c r="C281" t="inlineStr">
        <is>
          <t>595</t>
        </is>
      </c>
      <c r="D281" t="inlineStr">
        <is>
          <t>11</t>
        </is>
      </c>
      <c r="E281" t="inlineStr">
        <is>
          <t>22</t>
        </is>
      </c>
      <c r="F281" t="inlineStr">
        <is>
          <t>B</t>
        </is>
      </c>
      <c r="G281" t="inlineStr">
        <is>
          <t>Low Cost</t>
        </is>
      </c>
      <c r="H281" s="606" t="n">
        <v>147</v>
      </c>
      <c r="I281">
        <f>B281&amp;"~"&amp;F281&amp;"~"&amp;G281</f>
        <v/>
      </c>
      <c r="J281" t="inlineStr">
        <is>
          <t>11</t>
        </is>
      </c>
      <c r="K281" t="inlineStr">
        <is>
          <t>11</t>
        </is>
      </c>
      <c r="L281" t="inlineStr">
        <is>
          <t>11</t>
        </is>
      </c>
      <c r="M281" t="inlineStr">
        <is>
          <t>MVS Sec.11 p.22</t>
        </is>
      </c>
    </row>
    <row r="282">
      <c r="B282" t="inlineStr">
        <is>
          <t>Hotels, Limited Service</t>
        </is>
      </c>
      <c r="C282" t="inlineStr">
        <is>
          <t>595</t>
        </is>
      </c>
      <c r="D282" t="inlineStr">
        <is>
          <t>11</t>
        </is>
      </c>
      <c r="E282" t="inlineStr">
        <is>
          <t>22</t>
        </is>
      </c>
      <c r="F282" t="inlineStr">
        <is>
          <t>C</t>
        </is>
      </c>
      <c r="G282" t="inlineStr">
        <is>
          <t>Excellent</t>
        </is>
      </c>
      <c r="H282" s="606" t="n">
        <v>222</v>
      </c>
      <c r="I282">
        <f>B282&amp;"~"&amp;F282&amp;"~"&amp;G282</f>
        <v/>
      </c>
      <c r="J282" t="inlineStr">
        <is>
          <t>11</t>
        </is>
      </c>
      <c r="K282" t="inlineStr">
        <is>
          <t>11</t>
        </is>
      </c>
      <c r="L282" t="inlineStr">
        <is>
          <t>11</t>
        </is>
      </c>
      <c r="M282" t="inlineStr">
        <is>
          <t>MVS Sec.11 p.22</t>
        </is>
      </c>
    </row>
    <row r="283">
      <c r="B283" t="inlineStr">
        <is>
          <t>Hotels, Limited Service</t>
        </is>
      </c>
      <c r="C283" t="inlineStr">
        <is>
          <t>595</t>
        </is>
      </c>
      <c r="D283" t="inlineStr">
        <is>
          <t>11</t>
        </is>
      </c>
      <c r="E283" t="inlineStr">
        <is>
          <t>22</t>
        </is>
      </c>
      <c r="F283" t="inlineStr">
        <is>
          <t>C</t>
        </is>
      </c>
      <c r="G283" t="inlineStr">
        <is>
          <t>Good</t>
        </is>
      </c>
      <c r="H283" s="606" t="n">
        <v>183</v>
      </c>
      <c r="I283">
        <f>B283&amp;"~"&amp;F283&amp;"~"&amp;G283</f>
        <v/>
      </c>
      <c r="J283" t="inlineStr">
        <is>
          <t>11</t>
        </is>
      </c>
      <c r="K283" t="inlineStr">
        <is>
          <t>11</t>
        </is>
      </c>
      <c r="L283" t="inlineStr">
        <is>
          <t>11</t>
        </is>
      </c>
      <c r="M283" t="inlineStr">
        <is>
          <t>MVS Sec.11 p.22</t>
        </is>
      </c>
    </row>
    <row r="284">
      <c r="B284" t="inlineStr">
        <is>
          <t>Hotels, Limited Service</t>
        </is>
      </c>
      <c r="C284" t="inlineStr">
        <is>
          <t>595</t>
        </is>
      </c>
      <c r="D284" t="inlineStr">
        <is>
          <t>11</t>
        </is>
      </c>
      <c r="E284" t="inlineStr">
        <is>
          <t>22</t>
        </is>
      </c>
      <c r="F284" t="inlineStr">
        <is>
          <t>C</t>
        </is>
      </c>
      <c r="G284" t="inlineStr">
        <is>
          <t>Average</t>
        </is>
      </c>
      <c r="H284" s="606" t="n">
        <v>145</v>
      </c>
      <c r="I284">
        <f>B284&amp;"~"&amp;F284&amp;"~"&amp;G284</f>
        <v/>
      </c>
      <c r="J284" t="inlineStr">
        <is>
          <t>11</t>
        </is>
      </c>
      <c r="K284" t="inlineStr">
        <is>
          <t>11</t>
        </is>
      </c>
      <c r="L284" t="inlineStr">
        <is>
          <t>11</t>
        </is>
      </c>
      <c r="M284" t="inlineStr">
        <is>
          <t>MVS Sec.11 p.22</t>
        </is>
      </c>
    </row>
    <row r="285">
      <c r="B285" t="inlineStr">
        <is>
          <t>Hotels, Limited Service</t>
        </is>
      </c>
      <c r="C285" t="inlineStr">
        <is>
          <t>595</t>
        </is>
      </c>
      <c r="D285" t="inlineStr">
        <is>
          <t>11</t>
        </is>
      </c>
      <c r="E285" t="inlineStr">
        <is>
          <t>22</t>
        </is>
      </c>
      <c r="F285" t="inlineStr">
        <is>
          <t>C</t>
        </is>
      </c>
      <c r="G285" t="inlineStr">
        <is>
          <t>Low Cost</t>
        </is>
      </c>
      <c r="H285" s="606" t="n">
        <v>121</v>
      </c>
      <c r="I285">
        <f>B285&amp;"~"&amp;F285&amp;"~"&amp;G285</f>
        <v/>
      </c>
      <c r="J285" t="inlineStr">
        <is>
          <t>11</t>
        </is>
      </c>
      <c r="K285" t="inlineStr">
        <is>
          <t>11</t>
        </is>
      </c>
      <c r="L285" t="inlineStr">
        <is>
          <t>11</t>
        </is>
      </c>
      <c r="M285" t="inlineStr">
        <is>
          <t>MVS Sec.11 p.22</t>
        </is>
      </c>
    </row>
    <row r="286">
      <c r="B286" t="inlineStr">
        <is>
          <t>Hotels, Limited Service</t>
        </is>
      </c>
      <c r="C286" t="inlineStr">
        <is>
          <t>595</t>
        </is>
      </c>
      <c r="D286" t="inlineStr">
        <is>
          <t>11</t>
        </is>
      </c>
      <c r="E286" t="inlineStr">
        <is>
          <t>22</t>
        </is>
      </c>
      <c r="F286" t="inlineStr">
        <is>
          <t>D</t>
        </is>
      </c>
      <c r="G286" t="inlineStr">
        <is>
          <t>Good</t>
        </is>
      </c>
      <c r="H286" s="606" t="n">
        <v>174</v>
      </c>
      <c r="I286">
        <f>B286&amp;"~"&amp;F286&amp;"~"&amp;G286</f>
        <v/>
      </c>
      <c r="J286" t="inlineStr">
        <is>
          <t>11</t>
        </is>
      </c>
      <c r="K286" t="inlineStr">
        <is>
          <t>11</t>
        </is>
      </c>
      <c r="L286" t="inlineStr">
        <is>
          <t>11</t>
        </is>
      </c>
      <c r="M286" t="inlineStr">
        <is>
          <t>MVS Sec.11 p.22</t>
        </is>
      </c>
    </row>
    <row r="287">
      <c r="B287" t="inlineStr">
        <is>
          <t>Hotels, Limited Service</t>
        </is>
      </c>
      <c r="C287" t="inlineStr">
        <is>
          <t>595</t>
        </is>
      </c>
      <c r="D287" t="inlineStr">
        <is>
          <t>11</t>
        </is>
      </c>
      <c r="E287" t="inlineStr">
        <is>
          <t>22</t>
        </is>
      </c>
      <c r="F287" t="inlineStr">
        <is>
          <t>D</t>
        </is>
      </c>
      <c r="G287" t="inlineStr">
        <is>
          <t>Average</t>
        </is>
      </c>
      <c r="H287" s="606" t="n">
        <v>137</v>
      </c>
      <c r="I287">
        <f>B287&amp;"~"&amp;F287&amp;"~"&amp;G287</f>
        <v/>
      </c>
      <c r="J287" t="inlineStr">
        <is>
          <t>11</t>
        </is>
      </c>
      <c r="K287" t="inlineStr">
        <is>
          <t>11</t>
        </is>
      </c>
      <c r="L287" t="inlineStr">
        <is>
          <t>11</t>
        </is>
      </c>
      <c r="M287" t="inlineStr">
        <is>
          <t>MVS Sec.11 p.22</t>
        </is>
      </c>
    </row>
    <row r="288">
      <c r="B288" t="inlineStr">
        <is>
          <t>Hotels, Limited Service</t>
        </is>
      </c>
      <c r="C288" t="inlineStr">
        <is>
          <t>595</t>
        </is>
      </c>
      <c r="D288" t="inlineStr">
        <is>
          <t>11</t>
        </is>
      </c>
      <c r="E288" t="inlineStr">
        <is>
          <t>22</t>
        </is>
      </c>
      <c r="F288" t="inlineStr">
        <is>
          <t>D</t>
        </is>
      </c>
      <c r="G288" t="inlineStr">
        <is>
          <t>Low Cost</t>
        </is>
      </c>
      <c r="H288" s="606" t="n">
        <v>114</v>
      </c>
      <c r="I288">
        <f>B288&amp;"~"&amp;F288&amp;"~"&amp;G288</f>
        <v/>
      </c>
      <c r="J288" t="inlineStr">
        <is>
          <t>11</t>
        </is>
      </c>
      <c r="K288" t="inlineStr">
        <is>
          <t>11</t>
        </is>
      </c>
      <c r="L288" t="inlineStr">
        <is>
          <t>11</t>
        </is>
      </c>
      <c r="M288" t="inlineStr">
        <is>
          <t>MVS Sec.11 p.22</t>
        </is>
      </c>
    </row>
    <row r="289">
      <c r="B289" t="inlineStr">
        <is>
          <t>Hotels, Limited Service</t>
        </is>
      </c>
      <c r="C289" t="inlineStr">
        <is>
          <t>595</t>
        </is>
      </c>
      <c r="D289" t="inlineStr">
        <is>
          <t>11</t>
        </is>
      </c>
      <c r="E289" t="inlineStr">
        <is>
          <t>22</t>
        </is>
      </c>
      <c r="F289" t="inlineStr">
        <is>
          <t>S</t>
        </is>
      </c>
      <c r="G289" t="inlineStr">
        <is>
          <t>Average</t>
        </is>
      </c>
      <c r="H289" s="606" t="n">
        <v>135</v>
      </c>
      <c r="I289">
        <f>B289&amp;"~"&amp;F289&amp;"~"&amp;G289</f>
        <v/>
      </c>
      <c r="J289" t="inlineStr">
        <is>
          <t>11</t>
        </is>
      </c>
      <c r="K289" t="inlineStr">
        <is>
          <t>11</t>
        </is>
      </c>
      <c r="L289" t="inlineStr">
        <is>
          <t>11</t>
        </is>
      </c>
      <c r="M289" t="inlineStr">
        <is>
          <t>MVS Sec.11 p.22</t>
        </is>
      </c>
    </row>
    <row r="290"/>
    <row r="291">
      <c r="B291" s="603" t="inlineStr">
        <is>
          <t>REFERENCE 4 -- Occupancy Master List (dropdown source)</t>
        </is>
      </c>
      <c r="C291" s="603" t="n"/>
      <c r="D291" s="603" t="n"/>
      <c r="E291" s="603" t="n"/>
      <c r="F291" s="603" t="n"/>
      <c r="G291" s="603" t="n"/>
      <c r="H291" s="603" t="n"/>
    </row>
    <row r="292">
      <c r="B292" s="604" t="inlineStr">
        <is>
          <t>Occupancy Name</t>
        </is>
      </c>
      <c r="C292" s="604" t="inlineStr">
        <is>
          <t>Occ. Code</t>
        </is>
      </c>
      <c r="D292" s="604" t="inlineStr">
        <is>
          <t>Section</t>
        </is>
      </c>
      <c r="E292" s="604" t="inlineStr">
        <is>
          <t>Page</t>
        </is>
      </c>
      <c r="F292" s="604" t="inlineStr">
        <is>
          <t>Story Table Section</t>
        </is>
      </c>
    </row>
    <row r="293">
      <c r="B293" t="inlineStr">
        <is>
          <t>Storage Warehouses</t>
        </is>
      </c>
      <c r="C293" t="inlineStr">
        <is>
          <t>406</t>
        </is>
      </c>
      <c r="D293" t="inlineStr">
        <is>
          <t>14</t>
        </is>
      </c>
      <c r="E293" t="inlineStr">
        <is>
          <t>26</t>
        </is>
      </c>
      <c r="F293" t="inlineStr">
        <is>
          <t>14</t>
        </is>
      </c>
    </row>
    <row r="294">
      <c r="B294" t="inlineStr">
        <is>
          <t>Distribution Warehouses</t>
        </is>
      </c>
      <c r="C294" t="inlineStr">
        <is>
          <t>407</t>
        </is>
      </c>
      <c r="D294" t="inlineStr">
        <is>
          <t>14</t>
        </is>
      </c>
      <c r="E294" t="inlineStr">
        <is>
          <t>23</t>
        </is>
      </c>
      <c r="F294" t="inlineStr">
        <is>
          <t>14</t>
        </is>
      </c>
    </row>
    <row r="295">
      <c r="B295" t="inlineStr">
        <is>
          <t>Mini-Warehouses / Self-Storage</t>
        </is>
      </c>
      <c r="C295" t="inlineStr">
        <is>
          <t>386</t>
        </is>
      </c>
      <c r="D295" t="inlineStr">
        <is>
          <t>14</t>
        </is>
      </c>
      <c r="E295" t="inlineStr">
        <is>
          <t>28</t>
        </is>
      </c>
      <c r="F295" t="inlineStr">
        <is>
          <t>14</t>
        </is>
      </c>
    </row>
    <row r="296">
      <c r="B296" t="inlineStr">
        <is>
          <t>Mini-Warehouses, High-Rise</t>
        </is>
      </c>
      <c r="C296" t="inlineStr">
        <is>
          <t>525</t>
        </is>
      </c>
      <c r="D296" t="inlineStr">
        <is>
          <t>14</t>
        </is>
      </c>
      <c r="E296" t="inlineStr">
        <is>
          <t>28</t>
        </is>
      </c>
      <c r="F296" t="inlineStr">
        <is>
          <t>14</t>
        </is>
      </c>
    </row>
    <row r="297">
      <c r="B297" t="inlineStr">
        <is>
          <t>Industrials, Light Manufacturing</t>
        </is>
      </c>
      <c r="C297" t="inlineStr">
        <is>
          <t>494</t>
        </is>
      </c>
      <c r="D297" t="inlineStr">
        <is>
          <t>14</t>
        </is>
      </c>
      <c r="E297" t="inlineStr">
        <is>
          <t>14</t>
        </is>
      </c>
      <c r="F297" t="inlineStr">
        <is>
          <t>14</t>
        </is>
      </c>
    </row>
    <row r="298">
      <c r="B298" t="inlineStr">
        <is>
          <t>Industrials, Heavy (Process) Manufacturing</t>
        </is>
      </c>
      <c r="C298" t="inlineStr">
        <is>
          <t>495</t>
        </is>
      </c>
      <c r="D298" t="inlineStr">
        <is>
          <t>14</t>
        </is>
      </c>
      <c r="E298" t="inlineStr">
        <is>
          <t>15</t>
        </is>
      </c>
      <c r="F298" t="inlineStr">
        <is>
          <t>14</t>
        </is>
      </c>
    </row>
    <row r="299">
      <c r="B299" t="inlineStr">
        <is>
          <t>Service Garages (Commercial/Repair)</t>
        </is>
      </c>
      <c r="C299" t="inlineStr">
        <is>
          <t>528</t>
        </is>
      </c>
      <c r="D299" t="inlineStr">
        <is>
          <t>14</t>
        </is>
      </c>
      <c r="E299" t="inlineStr">
        <is>
          <t>32</t>
        </is>
      </c>
      <c r="F299" t="inlineStr">
        <is>
          <t>14</t>
        </is>
      </c>
    </row>
    <row r="300">
      <c r="B300" t="inlineStr">
        <is>
          <t>Retail Stores</t>
        </is>
      </c>
      <c r="C300" t="inlineStr">
        <is>
          <t>353</t>
        </is>
      </c>
      <c r="D300" t="inlineStr">
        <is>
          <t>13</t>
        </is>
      </c>
      <c r="E300" t="inlineStr">
        <is>
          <t>26</t>
        </is>
      </c>
      <c r="F300" t="inlineStr">
        <is>
          <t>13</t>
        </is>
      </c>
    </row>
    <row r="301">
      <c r="B301" t="inlineStr">
        <is>
          <t>Neighborhood Shopping Centers</t>
        </is>
      </c>
      <c r="C301" t="inlineStr">
        <is>
          <t>412</t>
        </is>
      </c>
      <c r="D301" t="inlineStr">
        <is>
          <t>13</t>
        </is>
      </c>
      <c r="E301" t="inlineStr">
        <is>
          <t>33</t>
        </is>
      </c>
      <c r="F301" t="inlineStr">
        <is>
          <t>13</t>
        </is>
      </c>
    </row>
    <row r="302">
      <c r="B302" t="inlineStr">
        <is>
          <t>Community Shopping Centers</t>
        </is>
      </c>
      <c r="C302" t="inlineStr">
        <is>
          <t>413</t>
        </is>
      </c>
      <c r="D302" t="inlineStr">
        <is>
          <t>13</t>
        </is>
      </c>
      <c r="E302" t="inlineStr">
        <is>
          <t>34</t>
        </is>
      </c>
      <c r="F302" t="inlineStr">
        <is>
          <t>13</t>
        </is>
      </c>
    </row>
    <row r="303">
      <c r="B303" t="inlineStr">
        <is>
          <t>Regional Shopping Centers</t>
        </is>
      </c>
      <c r="C303" t="inlineStr">
        <is>
          <t>414</t>
        </is>
      </c>
      <c r="D303" t="inlineStr">
        <is>
          <t>13</t>
        </is>
      </c>
      <c r="E303" t="inlineStr">
        <is>
          <t>35</t>
        </is>
      </c>
      <c r="F303" t="inlineStr">
        <is>
          <t>13</t>
        </is>
      </c>
    </row>
    <row r="304">
      <c r="B304" t="inlineStr">
        <is>
          <t>Department Stores</t>
        </is>
      </c>
      <c r="C304" t="inlineStr">
        <is>
          <t>318</t>
        </is>
      </c>
      <c r="D304" t="inlineStr">
        <is>
          <t>13</t>
        </is>
      </c>
      <c r="E304" t="inlineStr">
        <is>
          <t>27</t>
        </is>
      </c>
      <c r="F304" t="inlineStr">
        <is>
          <t>13</t>
        </is>
      </c>
    </row>
    <row r="305">
      <c r="B305" t="inlineStr">
        <is>
          <t>Discount Stores</t>
        </is>
      </c>
      <c r="C305" t="inlineStr">
        <is>
          <t>319</t>
        </is>
      </c>
      <c r="D305" t="inlineStr">
        <is>
          <t>13</t>
        </is>
      </c>
      <c r="E305" t="inlineStr">
        <is>
          <t>28</t>
        </is>
      </c>
      <c r="F305" t="inlineStr">
        <is>
          <t>13</t>
        </is>
      </c>
    </row>
    <row r="306">
      <c r="B306" t="inlineStr">
        <is>
          <t>Office Buildings</t>
        </is>
      </c>
      <c r="C306" t="inlineStr">
        <is>
          <t>344</t>
        </is>
      </c>
      <c r="D306" t="inlineStr">
        <is>
          <t>15</t>
        </is>
      </c>
      <c r="E306" t="inlineStr">
        <is>
          <t>17</t>
        </is>
      </c>
      <c r="F306" t="inlineStr">
        <is>
          <t>15</t>
        </is>
      </c>
    </row>
    <row r="307">
      <c r="B307" t="inlineStr">
        <is>
          <t>Medical Office Buildings</t>
        </is>
      </c>
      <c r="C307" t="inlineStr">
        <is>
          <t>341</t>
        </is>
      </c>
      <c r="D307" t="inlineStr">
        <is>
          <t>15</t>
        </is>
      </c>
      <c r="E307" t="inlineStr">
        <is>
          <t>22</t>
        </is>
      </c>
      <c r="F307" t="inlineStr">
        <is>
          <t>15</t>
        </is>
      </c>
    </row>
    <row r="308">
      <c r="B308" t="inlineStr">
        <is>
          <t>Banks, Branch</t>
        </is>
      </c>
      <c r="C308" t="inlineStr">
        <is>
          <t>304</t>
        </is>
      </c>
      <c r="D308" t="inlineStr">
        <is>
          <t>15</t>
        </is>
      </c>
      <c r="E308" t="inlineStr">
        <is>
          <t>21</t>
        </is>
      </c>
      <c r="F308" t="inlineStr">
        <is>
          <t>15</t>
        </is>
      </c>
    </row>
    <row r="309">
      <c r="B309" t="inlineStr">
        <is>
          <t>Hotels, Full Service</t>
        </is>
      </c>
      <c r="C309" t="inlineStr">
        <is>
          <t>594</t>
        </is>
      </c>
      <c r="D309" t="inlineStr">
        <is>
          <t>11</t>
        </is>
      </c>
      <c r="E309" t="inlineStr">
        <is>
          <t>25</t>
        </is>
      </c>
      <c r="F309" t="inlineStr">
        <is>
          <t>11</t>
        </is>
      </c>
    </row>
    <row r="310">
      <c r="B310" t="inlineStr">
        <is>
          <t>Hotels, Limited Service</t>
        </is>
      </c>
      <c r="C310" t="inlineStr">
        <is>
          <t>595</t>
        </is>
      </c>
      <c r="D310" t="inlineStr">
        <is>
          <t>11</t>
        </is>
      </c>
      <c r="E310" t="inlineStr">
        <is>
          <t>22</t>
        </is>
      </c>
      <c r="F310" t="inlineStr">
        <is>
          <t>11</t>
        </is>
      </c>
    </row>
    <row r="311"/>
    <row r="312">
      <c r="B312" s="603" t="inlineStr">
        <is>
          <t>REFERENCE 5 -- Story Height Multiplier Tables (per MVS section, single-column for lookup)</t>
        </is>
      </c>
      <c r="C312" s="603" t="n"/>
      <c r="D312" s="603" t="n"/>
      <c r="E312" s="603" t="n"/>
      <c r="F312" s="603" t="n"/>
      <c r="G312" s="603" t="n"/>
      <c r="H312" s="603" t="n"/>
    </row>
    <row r="313">
      <c r="B313" s="604" t="inlineStr">
        <is>
          <t>Section 14 (base = 14 ft)</t>
        </is>
      </c>
      <c r="C313" s="604" t="inlineStr">
        <is>
          <t>Height (ft)</t>
        </is>
      </c>
      <c r="D313" s="604" t="inlineStr">
        <is>
          <t>Multiplier</t>
        </is>
      </c>
    </row>
    <row r="314">
      <c r="C314" t="n">
        <v>8</v>
      </c>
      <c r="D314" s="607" t="n">
        <v>0.885</v>
      </c>
    </row>
    <row r="315">
      <c r="C315" t="n">
        <v>10</v>
      </c>
      <c r="D315" s="607" t="n">
        <v>0.921</v>
      </c>
    </row>
    <row r="316">
      <c r="C316" t="n">
        <v>12</v>
      </c>
      <c r="D316" s="607" t="n">
        <v>0.96</v>
      </c>
    </row>
    <row r="317">
      <c r="C317" t="n">
        <v>14</v>
      </c>
      <c r="D317" s="607" t="n">
        <v>1</v>
      </c>
    </row>
    <row r="318">
      <c r="C318" t="n">
        <v>16</v>
      </c>
      <c r="D318" s="607" t="n">
        <v>1.041</v>
      </c>
    </row>
    <row r="319">
      <c r="C319" t="n">
        <v>18</v>
      </c>
      <c r="D319" s="607" t="n">
        <v>1.086</v>
      </c>
    </row>
    <row r="320">
      <c r="C320" t="n">
        <v>20</v>
      </c>
      <c r="D320" s="607" t="n">
        <v>1.133</v>
      </c>
    </row>
    <row r="321">
      <c r="C321" t="n">
        <v>22</v>
      </c>
      <c r="D321" s="607" t="n">
        <v>1.181</v>
      </c>
    </row>
    <row r="322">
      <c r="C322" t="n">
        <v>24</v>
      </c>
      <c r="D322" s="607" t="n">
        <v>1.231</v>
      </c>
    </row>
    <row r="323">
      <c r="C323" t="n">
        <v>26</v>
      </c>
      <c r="D323" s="607" t="n">
        <v>1.281</v>
      </c>
    </row>
    <row r="324">
      <c r="C324" t="n">
        <v>28</v>
      </c>
      <c r="D324" s="607" t="n">
        <v>1.331</v>
      </c>
    </row>
    <row r="325">
      <c r="C325" t="n">
        <v>30</v>
      </c>
      <c r="D325" s="607" t="n">
        <v>1.382</v>
      </c>
    </row>
    <row r="326">
      <c r="C326" t="n">
        <v>35</v>
      </c>
      <c r="D326" s="607" t="n">
        <v>1.515</v>
      </c>
    </row>
    <row r="327">
      <c r="C327" t="n">
        <v>40</v>
      </c>
      <c r="D327" s="607" t="n">
        <v>1.65</v>
      </c>
    </row>
    <row r="328">
      <c r="C328" t="n">
        <v>45</v>
      </c>
      <c r="D328" s="607" t="n">
        <v>1.788</v>
      </c>
    </row>
    <row r="329">
      <c r="C329" t="n">
        <v>50</v>
      </c>
      <c r="D329" s="607" t="n">
        <v>1.93</v>
      </c>
    </row>
    <row r="330">
      <c r="C330" t="n">
        <v>55</v>
      </c>
      <c r="D330" s="607" t="n">
        <v>2.075</v>
      </c>
    </row>
    <row r="331">
      <c r="C331" t="n">
        <v>60</v>
      </c>
      <c r="D331" s="607" t="n">
        <v>2.225</v>
      </c>
    </row>
    <row r="332">
      <c r="C332" t="n">
        <v>70</v>
      </c>
      <c r="D332" s="607" t="n">
        <v>2.53</v>
      </c>
    </row>
    <row r="333">
      <c r="C333" t="n">
        <v>80</v>
      </c>
      <c r="D333" s="607" t="n">
        <v>2.845</v>
      </c>
    </row>
    <row r="334">
      <c r="C334" t="n">
        <v>90</v>
      </c>
      <c r="D334" s="607" t="n">
        <v>3.161</v>
      </c>
    </row>
    <row r="335">
      <c r="C335" t="n">
        <v>100</v>
      </c>
      <c r="D335" s="607" t="n">
        <v>3.461</v>
      </c>
    </row>
    <row r="336">
      <c r="C336" t="n">
        <v>110</v>
      </c>
      <c r="D336" s="607" t="n">
        <v>3.738</v>
      </c>
    </row>
    <row r="337">
      <c r="C337" t="n">
        <v>120</v>
      </c>
      <c r="D337" s="607" t="n">
        <v>3.977</v>
      </c>
    </row>
    <row r="338"/>
    <row r="339">
      <c r="B339" s="604" t="inlineStr">
        <is>
          <t>Section 13 (base = 12 ft)</t>
        </is>
      </c>
      <c r="C339" s="604" t="inlineStr">
        <is>
          <t>Height (ft)</t>
        </is>
      </c>
      <c r="D339" s="604" t="inlineStr">
        <is>
          <t>Multiplier</t>
        </is>
      </c>
    </row>
    <row r="340">
      <c r="C340" t="n">
        <v>8</v>
      </c>
      <c r="D340" s="607" t="n">
        <v>0.915</v>
      </c>
    </row>
    <row r="341">
      <c r="C341" t="n">
        <v>9</v>
      </c>
      <c r="D341" s="607" t="n">
        <v>0.9360000000000001</v>
      </c>
    </row>
    <row r="342">
      <c r="C342" t="n">
        <v>10</v>
      </c>
      <c r="D342" s="607" t="n">
        <v>0.957</v>
      </c>
    </row>
    <row r="343">
      <c r="C343" t="n">
        <v>11</v>
      </c>
      <c r="D343" s="607" t="n">
        <v>0.979</v>
      </c>
    </row>
    <row r="344">
      <c r="C344" t="n">
        <v>12</v>
      </c>
      <c r="D344" s="607" t="n">
        <v>1</v>
      </c>
    </row>
    <row r="345">
      <c r="C345" t="n">
        <v>13</v>
      </c>
      <c r="D345" s="607" t="n">
        <v>1.021</v>
      </c>
    </row>
    <row r="346">
      <c r="C346" t="n">
        <v>14</v>
      </c>
      <c r="D346" s="607" t="n">
        <v>1.042</v>
      </c>
    </row>
    <row r="347">
      <c r="C347" t="n">
        <v>15</v>
      </c>
      <c r="D347" s="607" t="n">
        <v>1.064</v>
      </c>
    </row>
    <row r="348">
      <c r="C348" t="n">
        <v>16</v>
      </c>
      <c r="D348" s="607" t="n">
        <v>1.085</v>
      </c>
    </row>
    <row r="349">
      <c r="C349" t="n">
        <v>18</v>
      </c>
      <c r="D349" s="607" t="n">
        <v>1.127</v>
      </c>
    </row>
    <row r="350">
      <c r="C350" t="n">
        <v>20</v>
      </c>
      <c r="D350" s="607" t="n">
        <v>1.17</v>
      </c>
    </row>
    <row r="351">
      <c r="C351" t="n">
        <v>22</v>
      </c>
      <c r="D351" s="607" t="n">
        <v>1.213</v>
      </c>
    </row>
    <row r="352">
      <c r="C352" t="n">
        <v>24</v>
      </c>
      <c r="D352" s="607" t="n">
        <v>1.255</v>
      </c>
    </row>
    <row r="353">
      <c r="C353" t="n">
        <v>26</v>
      </c>
      <c r="D353" s="607" t="n">
        <v>1.298</v>
      </c>
    </row>
    <row r="354">
      <c r="C354" t="n">
        <v>28</v>
      </c>
      <c r="D354" s="607" t="n">
        <v>1.34</v>
      </c>
    </row>
    <row r="355">
      <c r="C355" t="n">
        <v>30</v>
      </c>
      <c r="D355" s="607" t="n">
        <v>1.383</v>
      </c>
    </row>
    <row r="356">
      <c r="C356" t="n">
        <v>32</v>
      </c>
      <c r="D356" s="607" t="n">
        <v>1.425</v>
      </c>
    </row>
    <row r="357">
      <c r="C357" t="n">
        <v>34</v>
      </c>
      <c r="D357" s="607" t="n">
        <v>1.468</v>
      </c>
    </row>
    <row r="358"/>
    <row r="359">
      <c r="B359" s="604" t="inlineStr">
        <is>
          <t>Section 15 (base = 12 ft)</t>
        </is>
      </c>
      <c r="C359" s="604" t="inlineStr">
        <is>
          <t>Height (ft)</t>
        </is>
      </c>
      <c r="D359" s="604" t="inlineStr">
        <is>
          <t>Multiplier</t>
        </is>
      </c>
    </row>
    <row r="360">
      <c r="C360" t="n">
        <v>8</v>
      </c>
      <c r="D360" s="607" t="n">
        <v>0.9</v>
      </c>
    </row>
    <row r="361">
      <c r="C361" t="n">
        <v>9</v>
      </c>
      <c r="D361" s="607" t="n">
        <v>0.928</v>
      </c>
    </row>
    <row r="362">
      <c r="C362" t="n">
        <v>10</v>
      </c>
      <c r="D362" s="607" t="n">
        <v>0.953</v>
      </c>
    </row>
    <row r="363">
      <c r="C363" t="n">
        <v>11</v>
      </c>
      <c r="D363" s="607" t="n">
        <v>0.977</v>
      </c>
    </row>
    <row r="364">
      <c r="C364" t="n">
        <v>12</v>
      </c>
      <c r="D364" s="607" t="n">
        <v>1</v>
      </c>
    </row>
    <row r="365">
      <c r="C365" t="n">
        <v>13</v>
      </c>
      <c r="D365" s="607" t="n">
        <v>1.023</v>
      </c>
    </row>
    <row r="366">
      <c r="C366" t="n">
        <v>14</v>
      </c>
      <c r="D366" s="607" t="n">
        <v>1.046</v>
      </c>
    </row>
    <row r="367">
      <c r="C367" t="n">
        <v>15</v>
      </c>
      <c r="D367" s="607" t="n">
        <v>1.069</v>
      </c>
    </row>
    <row r="368">
      <c r="C368" t="n">
        <v>16</v>
      </c>
      <c r="D368" s="607" t="n">
        <v>1.092</v>
      </c>
    </row>
    <row r="369">
      <c r="C369" t="n">
        <v>18</v>
      </c>
      <c r="D369" s="607" t="n">
        <v>1.138</v>
      </c>
    </row>
    <row r="370">
      <c r="C370" t="n">
        <v>20</v>
      </c>
      <c r="D370" s="607" t="n">
        <v>1.184</v>
      </c>
    </row>
    <row r="371">
      <c r="C371" t="n">
        <v>24</v>
      </c>
      <c r="D371" s="607" t="n">
        <v>1.276</v>
      </c>
    </row>
    <row r="372">
      <c r="C372" t="n">
        <v>28</v>
      </c>
      <c r="D372" s="607" t="n">
        <v>1.367</v>
      </c>
    </row>
    <row r="373">
      <c r="C373" t="n">
        <v>32</v>
      </c>
      <c r="D373" s="607" t="n">
        <v>1.459</v>
      </c>
    </row>
    <row r="374">
      <c r="C374" t="n">
        <v>36</v>
      </c>
      <c r="D374" s="607" t="n">
        <v>1.552</v>
      </c>
    </row>
    <row r="375"/>
    <row r="376">
      <c r="B376" s="604" t="inlineStr">
        <is>
          <t>Section 11 (base = 10 ft)</t>
        </is>
      </c>
      <c r="C376" s="604" t="inlineStr">
        <is>
          <t>Height (ft)</t>
        </is>
      </c>
      <c r="D376" s="604" t="inlineStr">
        <is>
          <t>Multiplier</t>
        </is>
      </c>
    </row>
    <row r="377">
      <c r="C377" t="n">
        <v>7</v>
      </c>
      <c r="D377" s="607" t="n">
        <v>0.922</v>
      </c>
    </row>
    <row r="378">
      <c r="C378" t="n">
        <v>8</v>
      </c>
      <c r="D378" s="607" t="n">
        <v>0.947</v>
      </c>
    </row>
    <row r="379">
      <c r="C379" t="n">
        <v>9</v>
      </c>
      <c r="D379" s="607" t="n">
        <v>0.973</v>
      </c>
    </row>
    <row r="380">
      <c r="C380" t="n">
        <v>10</v>
      </c>
      <c r="D380" s="607" t="n">
        <v>1</v>
      </c>
    </row>
    <row r="381">
      <c r="C381" t="n">
        <v>11</v>
      </c>
      <c r="D381" s="607" t="n">
        <v>1.027</v>
      </c>
    </row>
    <row r="382">
      <c r="C382" t="n">
        <v>12</v>
      </c>
      <c r="D382" s="607" t="n">
        <v>1.055</v>
      </c>
    </row>
    <row r="383">
      <c r="C383" t="n">
        <v>13</v>
      </c>
      <c r="D383" s="607" t="n">
        <v>1.084</v>
      </c>
    </row>
    <row r="384">
      <c r="C384" t="n">
        <v>14</v>
      </c>
      <c r="D384" s="607" t="n">
        <v>1.114</v>
      </c>
    </row>
    <row r="385">
      <c r="C385" t="n">
        <v>15</v>
      </c>
      <c r="D385" s="607" t="n">
        <v>1.144</v>
      </c>
    </row>
    <row r="386">
      <c r="C386" t="n">
        <v>16</v>
      </c>
      <c r="D386" s="607" t="n">
        <v>1.175</v>
      </c>
    </row>
    <row r="387">
      <c r="C387" t="n">
        <v>17</v>
      </c>
      <c r="D387" s="607" t="n">
        <v>1.207</v>
      </c>
    </row>
    <row r="388">
      <c r="C388" t="n">
        <v>18</v>
      </c>
      <c r="D388" s="607" t="n">
        <v>1.24</v>
      </c>
    </row>
    <row r="389">
      <c r="C389" t="n">
        <v>19</v>
      </c>
      <c r="D389" s="607" t="n">
        <v>1.274</v>
      </c>
    </row>
    <row r="390">
      <c r="C390" t="n">
        <v>20</v>
      </c>
      <c r="D390" s="607" t="n">
        <v>1.309</v>
      </c>
    </row>
    <row r="391">
      <c r="C391" t="n">
        <v>22</v>
      </c>
      <c r="D391" s="607" t="n">
        <v>1.381</v>
      </c>
    </row>
    <row r="392">
      <c r="C392" t="n">
        <v>24</v>
      </c>
      <c r="D392" s="607" t="n">
        <v>1.458</v>
      </c>
    </row>
    <row r="393"/>
    <row r="394"/>
    <row r="395">
      <c r="B395" s="603" t="inlineStr">
        <is>
          <t>REFERENCE 6 -- Sprinkler Add-On Cost Tables ($/SF, per MVS section)</t>
        </is>
      </c>
      <c r="C395" s="603" t="n"/>
      <c r="D395" s="603" t="n"/>
      <c r="E395" s="603" t="n"/>
      <c r="F395" s="603" t="n"/>
      <c r="G395" s="603" t="n"/>
      <c r="H395" s="603" t="n"/>
    </row>
    <row r="396">
      <c r="B396" t="inlineStr">
        <is>
          <t>(quality header row, used by lookup formulas)</t>
        </is>
      </c>
      <c r="C396" t="inlineStr">
        <is>
          <t>Low Cost</t>
        </is>
      </c>
      <c r="D396" t="inlineStr">
        <is>
          <t>Average</t>
        </is>
      </c>
      <c r="E396" t="inlineStr">
        <is>
          <t>Good</t>
        </is>
      </c>
      <c r="F396" t="inlineStr">
        <is>
          <t>Excellent</t>
        </is>
      </c>
    </row>
    <row r="397">
      <c r="B397" s="604" t="inlineStr">
        <is>
          <t>Section 14</t>
        </is>
      </c>
      <c r="C397" s="604" t="inlineStr">
        <is>
          <t>Coverage (SF)</t>
        </is>
      </c>
      <c r="D397" s="604" t="inlineStr">
        <is>
          <t>Wet-Low</t>
        </is>
      </c>
      <c r="E397" s="604" t="inlineStr">
        <is>
          <t>Wet-Avg</t>
        </is>
      </c>
      <c r="F397" s="604" t="inlineStr">
        <is>
          <t>Wet-Good</t>
        </is>
      </c>
      <c r="G397" s="604" t="inlineStr">
        <is>
          <t>Wet-Excl</t>
        </is>
      </c>
      <c r="H397" s="604" t="inlineStr">
        <is>
          <t>Dry-Low</t>
        </is>
      </c>
      <c r="I397" s="604" t="inlineStr">
        <is>
          <t>Dry-Avg</t>
        </is>
      </c>
      <c r="J397" s="604" t="inlineStr">
        <is>
          <t>Dry-Good</t>
        </is>
      </c>
      <c r="K397" s="604" t="inlineStr">
        <is>
          <t>Dry-Excl</t>
        </is>
      </c>
    </row>
    <row r="398">
      <c r="C398" t="n">
        <v>2500</v>
      </c>
      <c r="D398" s="606" t="n">
        <v>4.64</v>
      </c>
      <c r="E398" s="606" t="n">
        <v>5.62</v>
      </c>
      <c r="F398" s="606" t="n">
        <v>6.8</v>
      </c>
      <c r="G398" s="606" t="n">
        <v>8.24</v>
      </c>
      <c r="H398" s="606" t="n">
        <v>6.17</v>
      </c>
      <c r="I398" s="606" t="n">
        <v>7.47</v>
      </c>
      <c r="J398" s="606" t="n">
        <v>9.039999999999999</v>
      </c>
      <c r="K398" s="606" t="n">
        <v>10.95</v>
      </c>
    </row>
    <row r="399">
      <c r="C399" t="n">
        <v>5000</v>
      </c>
      <c r="D399" s="606" t="n">
        <v>4.17</v>
      </c>
      <c r="E399" s="606" t="n">
        <v>5.02</v>
      </c>
      <c r="F399" s="606" t="n">
        <v>6.05</v>
      </c>
      <c r="G399" s="606" t="n">
        <v>7.28</v>
      </c>
      <c r="H399" s="606" t="n">
        <v>5.51</v>
      </c>
      <c r="I399" s="606" t="n">
        <v>6.64</v>
      </c>
      <c r="J399" s="606" t="n">
        <v>7.99</v>
      </c>
      <c r="K399" s="606" t="n">
        <v>9.630000000000001</v>
      </c>
    </row>
    <row r="400">
      <c r="C400" t="n">
        <v>10000</v>
      </c>
      <c r="D400" s="606" t="n">
        <v>3.77</v>
      </c>
      <c r="E400" s="606" t="n">
        <v>4.52</v>
      </c>
      <c r="F400" s="606" t="n">
        <v>5.41</v>
      </c>
      <c r="G400" s="606" t="n">
        <v>6.48</v>
      </c>
      <c r="H400" s="606" t="n">
        <v>4.95</v>
      </c>
      <c r="I400" s="606" t="n">
        <v>5.93</v>
      </c>
      <c r="J400" s="606" t="n">
        <v>7.09</v>
      </c>
      <c r="K400" s="606" t="n">
        <v>8.49</v>
      </c>
    </row>
    <row r="401">
      <c r="C401" t="n">
        <v>15000</v>
      </c>
      <c r="D401" s="606" t="n">
        <v>3.54</v>
      </c>
      <c r="E401" s="606" t="n">
        <v>4.23</v>
      </c>
      <c r="F401" s="606" t="n">
        <v>5.05</v>
      </c>
      <c r="G401" s="606" t="n">
        <v>6.03</v>
      </c>
      <c r="H401" s="606" t="n">
        <v>4.62</v>
      </c>
      <c r="I401" s="606" t="n">
        <v>5.52</v>
      </c>
      <c r="J401" s="606" t="n">
        <v>6.6</v>
      </c>
      <c r="K401" s="606" t="n">
        <v>7.88</v>
      </c>
    </row>
    <row r="402">
      <c r="C402" t="n">
        <v>20000</v>
      </c>
      <c r="D402" s="606" t="n">
        <v>3.37</v>
      </c>
      <c r="E402" s="606" t="n">
        <v>4.02</v>
      </c>
      <c r="F402" s="606" t="n">
        <v>4.78</v>
      </c>
      <c r="G402" s="606" t="n">
        <v>5.7</v>
      </c>
      <c r="H402" s="606" t="n">
        <v>4.37</v>
      </c>
      <c r="I402" s="606" t="n">
        <v>5.21</v>
      </c>
      <c r="J402" s="606" t="n">
        <v>6.22</v>
      </c>
      <c r="K402" s="606" t="n">
        <v>7.42</v>
      </c>
    </row>
    <row r="403">
      <c r="C403" t="n">
        <v>30000</v>
      </c>
      <c r="D403" s="606" t="n">
        <v>3.18</v>
      </c>
      <c r="E403" s="606" t="n">
        <v>3.78</v>
      </c>
      <c r="F403" s="606" t="n">
        <v>4.49</v>
      </c>
      <c r="G403" s="606" t="n">
        <v>5.34</v>
      </c>
      <c r="H403" s="606" t="n">
        <v>4.12</v>
      </c>
      <c r="I403" s="606" t="n">
        <v>4.89</v>
      </c>
      <c r="J403" s="606" t="n">
        <v>5.8</v>
      </c>
      <c r="K403" s="606" t="n">
        <v>6.89</v>
      </c>
    </row>
    <row r="404">
      <c r="C404" t="n">
        <v>40000</v>
      </c>
      <c r="D404" s="606" t="n">
        <v>3.04</v>
      </c>
      <c r="E404" s="606" t="n">
        <v>3.6</v>
      </c>
      <c r="F404" s="606" t="n">
        <v>4.27</v>
      </c>
      <c r="G404" s="606" t="n">
        <v>5.06</v>
      </c>
      <c r="H404" s="606" t="n">
        <v>3.93</v>
      </c>
      <c r="I404" s="606" t="n">
        <v>4.65</v>
      </c>
      <c r="J404" s="606" t="n">
        <v>5.51</v>
      </c>
      <c r="K404" s="606" t="n">
        <v>6.53</v>
      </c>
    </row>
    <row r="405">
      <c r="C405" t="n">
        <v>50000</v>
      </c>
      <c r="D405" s="606" t="n">
        <v>2.96</v>
      </c>
      <c r="E405" s="606" t="n">
        <v>3.5</v>
      </c>
      <c r="F405" s="606" t="n">
        <v>4.14</v>
      </c>
      <c r="G405" s="606" t="n">
        <v>4.89</v>
      </c>
      <c r="H405" s="606" t="n">
        <v>3.79</v>
      </c>
      <c r="I405" s="606" t="n">
        <v>4.48</v>
      </c>
      <c r="J405" s="606" t="n">
        <v>5.3</v>
      </c>
      <c r="K405" s="606" t="n">
        <v>6.27</v>
      </c>
    </row>
    <row r="406">
      <c r="C406" t="n">
        <v>60000</v>
      </c>
      <c r="D406" s="606" t="n">
        <v>2.87</v>
      </c>
      <c r="E406" s="606" t="n">
        <v>3.39</v>
      </c>
      <c r="F406" s="606" t="n">
        <v>3.99</v>
      </c>
      <c r="G406" s="606" t="n">
        <v>4.71</v>
      </c>
      <c r="H406" s="606" t="n">
        <v>3.67</v>
      </c>
      <c r="I406" s="606" t="n">
        <v>4.33</v>
      </c>
      <c r="J406" s="606" t="n">
        <v>5.11</v>
      </c>
      <c r="K406" s="606" t="n">
        <v>6.03</v>
      </c>
    </row>
    <row r="407">
      <c r="C407" t="n">
        <v>80000</v>
      </c>
      <c r="D407" s="606" t="n">
        <v>2.74</v>
      </c>
      <c r="E407" s="606" t="n">
        <v>3.22</v>
      </c>
      <c r="F407" s="606" t="n">
        <v>3.79</v>
      </c>
      <c r="G407" s="606" t="n">
        <v>4.46</v>
      </c>
      <c r="H407" s="606" t="n">
        <v>3.49</v>
      </c>
      <c r="I407" s="606" t="n">
        <v>4.11</v>
      </c>
      <c r="J407" s="606" t="n">
        <v>4.85</v>
      </c>
      <c r="K407" s="606" t="n">
        <v>5.72</v>
      </c>
    </row>
    <row r="408">
      <c r="C408" t="n">
        <v>100000</v>
      </c>
      <c r="D408" s="606" t="n">
        <v>2.66</v>
      </c>
      <c r="E408" s="606" t="n">
        <v>3.13</v>
      </c>
      <c r="F408" s="606" t="n">
        <v>3.68</v>
      </c>
      <c r="G408" s="606" t="n">
        <v>4.32</v>
      </c>
      <c r="H408" s="606" t="n">
        <v>3.4</v>
      </c>
      <c r="I408" s="606" t="n">
        <v>3.99</v>
      </c>
      <c r="J408" s="606" t="n">
        <v>4.69</v>
      </c>
      <c r="K408" s="606" t="n">
        <v>5.51</v>
      </c>
    </row>
    <row r="409">
      <c r="C409" t="n">
        <v>125000</v>
      </c>
      <c r="D409" s="606" t="n">
        <v>2.57</v>
      </c>
      <c r="E409" s="606" t="n">
        <v>3.02</v>
      </c>
      <c r="F409" s="606" t="n">
        <v>3.54</v>
      </c>
      <c r="G409" s="606" t="n">
        <v>4.15</v>
      </c>
      <c r="H409" s="606" t="n">
        <v>3.26</v>
      </c>
      <c r="I409" s="606" t="n">
        <v>3.83</v>
      </c>
      <c r="J409" s="606" t="n">
        <v>4.5</v>
      </c>
      <c r="K409" s="606" t="n">
        <v>5.28</v>
      </c>
    </row>
    <row r="410">
      <c r="C410" t="n">
        <v>150000</v>
      </c>
      <c r="D410" s="606" t="n">
        <v>2.49</v>
      </c>
      <c r="E410" s="606" t="n">
        <v>2.92</v>
      </c>
      <c r="F410" s="606" t="n">
        <v>3.43</v>
      </c>
      <c r="G410" s="606" t="n">
        <v>4.03</v>
      </c>
      <c r="H410" s="606" t="n">
        <v>3.16</v>
      </c>
      <c r="I410" s="606" t="n">
        <v>3.71</v>
      </c>
      <c r="J410" s="606" t="n">
        <v>4.35</v>
      </c>
      <c r="K410" s="606" t="n">
        <v>5.11</v>
      </c>
    </row>
    <row r="411">
      <c r="C411" t="n">
        <v>200000</v>
      </c>
      <c r="D411" s="606" t="n">
        <v>2.4</v>
      </c>
      <c r="E411" s="606" t="n">
        <v>2.81</v>
      </c>
      <c r="F411" s="606" t="n">
        <v>3.28</v>
      </c>
      <c r="G411" s="606" t="n">
        <v>3.84</v>
      </c>
      <c r="H411" s="606" t="n">
        <v>3.04</v>
      </c>
      <c r="I411" s="606" t="n">
        <v>3.55</v>
      </c>
      <c r="J411" s="606" t="n">
        <v>4.16</v>
      </c>
      <c r="K411" s="606" t="n">
        <v>4.86</v>
      </c>
    </row>
    <row r="412">
      <c r="C412" t="n">
        <v>250000</v>
      </c>
      <c r="D412" s="606" t="n">
        <v>2.32</v>
      </c>
      <c r="E412" s="606" t="n">
        <v>2.71</v>
      </c>
      <c r="F412" s="606" t="n">
        <v>3.16</v>
      </c>
      <c r="G412" s="606" t="n">
        <v>3.68</v>
      </c>
      <c r="H412" s="606" t="n">
        <v>2.91</v>
      </c>
      <c r="I412" s="606" t="n">
        <v>3.4</v>
      </c>
      <c r="J412" s="606" t="n">
        <v>3.97</v>
      </c>
      <c r="K412" s="606" t="n">
        <v>4.64</v>
      </c>
    </row>
    <row r="413">
      <c r="C413" t="n">
        <v>300000</v>
      </c>
      <c r="D413" s="606" t="n">
        <v>2.26</v>
      </c>
      <c r="E413" s="606" t="n">
        <v>2.63</v>
      </c>
      <c r="F413" s="606" t="n">
        <v>3.06</v>
      </c>
      <c r="G413" s="606" t="n">
        <v>3.56</v>
      </c>
      <c r="H413" s="606" t="n">
        <v>2.83</v>
      </c>
      <c r="I413" s="606" t="n">
        <v>3.29</v>
      </c>
      <c r="J413" s="606" t="n">
        <v>3.83</v>
      </c>
      <c r="K413" s="606" t="n">
        <v>4.45</v>
      </c>
    </row>
    <row r="414">
      <c r="C414" t="n">
        <v>400000</v>
      </c>
      <c r="D414" s="606" t="n">
        <v>2.18</v>
      </c>
      <c r="E414" s="606" t="n">
        <v>2.53</v>
      </c>
      <c r="F414" s="606" t="n">
        <v>2.93</v>
      </c>
      <c r="G414" s="606" t="n">
        <v>3.4</v>
      </c>
      <c r="H414" s="606" t="n">
        <v>2.73</v>
      </c>
      <c r="I414" s="606" t="n">
        <v>3.16</v>
      </c>
      <c r="J414" s="606" t="n">
        <v>3.66</v>
      </c>
      <c r="K414" s="606" t="n">
        <v>4.23</v>
      </c>
    </row>
    <row r="415">
      <c r="C415" t="n">
        <v>600000</v>
      </c>
      <c r="D415" s="606" t="n">
        <v>2.02</v>
      </c>
      <c r="E415" s="606" t="n">
        <v>2.34</v>
      </c>
      <c r="F415" s="606" t="n">
        <v>2.72</v>
      </c>
      <c r="G415" s="606" t="n">
        <v>3.15</v>
      </c>
      <c r="H415" s="606" t="n">
        <v>2.52</v>
      </c>
      <c r="I415" s="606" t="n">
        <v>2.93</v>
      </c>
      <c r="J415" s="606" t="n">
        <v>3.4</v>
      </c>
      <c r="K415" s="606" t="n">
        <v>3.95</v>
      </c>
    </row>
    <row r="416">
      <c r="C416" t="n">
        <v>800000</v>
      </c>
      <c r="D416" s="606" t="n">
        <v>1.94</v>
      </c>
      <c r="E416" s="606" t="n">
        <v>2.25</v>
      </c>
      <c r="F416" s="606" t="n">
        <v>2.61</v>
      </c>
      <c r="G416" s="606" t="n">
        <v>3.02</v>
      </c>
      <c r="H416" s="606" t="n">
        <v>2.43</v>
      </c>
      <c r="I416" s="606" t="n">
        <v>2.81</v>
      </c>
      <c r="J416" s="606" t="n">
        <v>3.25</v>
      </c>
      <c r="K416" s="606" t="n">
        <v>3.76</v>
      </c>
    </row>
    <row r="417">
      <c r="C417" t="n">
        <v>1000000</v>
      </c>
      <c r="D417" s="606" t="n">
        <v>1.86</v>
      </c>
      <c r="E417" s="606" t="n">
        <v>2.15</v>
      </c>
      <c r="F417" s="606" t="n">
        <v>2.49</v>
      </c>
      <c r="G417" s="606" t="n">
        <v>2.88</v>
      </c>
      <c r="H417" s="606" t="n">
        <v>2.32</v>
      </c>
      <c r="I417" s="606" t="n">
        <v>2.68</v>
      </c>
      <c r="J417" s="606" t="n">
        <v>3.1</v>
      </c>
      <c r="K417" s="606" t="n">
        <v>3.59</v>
      </c>
    </row>
    <row r="418"/>
    <row r="419">
      <c r="B419" s="604" t="inlineStr">
        <is>
          <t>Section 13</t>
        </is>
      </c>
      <c r="C419" s="604" t="inlineStr">
        <is>
          <t>Coverage (SF)</t>
        </is>
      </c>
      <c r="D419" s="604" t="inlineStr">
        <is>
          <t>Wet-Low</t>
        </is>
      </c>
      <c r="E419" s="604" t="inlineStr">
        <is>
          <t>Wet-Avg</t>
        </is>
      </c>
      <c r="F419" s="604" t="inlineStr">
        <is>
          <t>Wet-Good</t>
        </is>
      </c>
      <c r="G419" s="604" t="inlineStr">
        <is>
          <t>Wet-Excl</t>
        </is>
      </c>
      <c r="H419" s="604" t="inlineStr">
        <is>
          <t>Dry-Low</t>
        </is>
      </c>
      <c r="I419" s="604" t="inlineStr">
        <is>
          <t>Dry-Avg</t>
        </is>
      </c>
      <c r="J419" s="604" t="inlineStr">
        <is>
          <t>Dry-Good</t>
        </is>
      </c>
      <c r="K419" s="604" t="inlineStr">
        <is>
          <t>Dry-Excl</t>
        </is>
      </c>
    </row>
    <row r="420">
      <c r="C420" t="n">
        <v>1000</v>
      </c>
      <c r="D420" s="606" t="n">
        <v>6.05</v>
      </c>
      <c r="E420" s="606" t="n">
        <v>7.18</v>
      </c>
      <c r="F420" s="606" t="n">
        <v>8.51</v>
      </c>
      <c r="G420" s="606" t="n">
        <v>10.1</v>
      </c>
      <c r="H420" s="606" t="n">
        <v>7.83</v>
      </c>
      <c r="I420" s="606" t="n">
        <v>9.300000000000001</v>
      </c>
      <c r="J420" s="606" t="n">
        <v>11.05</v>
      </c>
      <c r="K420" s="606" t="n">
        <v>13.1</v>
      </c>
    </row>
    <row r="421">
      <c r="C421" t="n">
        <v>2000</v>
      </c>
      <c r="D421" s="606" t="n">
        <v>5.46</v>
      </c>
      <c r="E421" s="606" t="n">
        <v>6.43</v>
      </c>
      <c r="F421" s="606" t="n">
        <v>7.57</v>
      </c>
      <c r="G421" s="606" t="n">
        <v>8.92</v>
      </c>
      <c r="H421" s="606" t="n">
        <v>6.99</v>
      </c>
      <c r="I421" s="606" t="n">
        <v>8.24</v>
      </c>
      <c r="J421" s="606" t="n">
        <v>9.710000000000001</v>
      </c>
      <c r="K421" s="606" t="n">
        <v>11.45</v>
      </c>
    </row>
    <row r="422">
      <c r="C422" t="n">
        <v>3000</v>
      </c>
      <c r="D422" s="606" t="n">
        <v>5.13</v>
      </c>
      <c r="E422" s="606" t="n">
        <v>6.03</v>
      </c>
      <c r="F422" s="606" t="n">
        <v>7.08</v>
      </c>
      <c r="G422" s="606" t="n">
        <v>8.32</v>
      </c>
      <c r="H422" s="606" t="n">
        <v>6.53</v>
      </c>
      <c r="I422" s="606" t="n">
        <v>7.67</v>
      </c>
      <c r="J422" s="606" t="n">
        <v>9.02</v>
      </c>
      <c r="K422" s="606" t="n">
        <v>10.6</v>
      </c>
    </row>
    <row r="423">
      <c r="C423" t="n">
        <v>5000</v>
      </c>
      <c r="D423" s="606" t="n">
        <v>4.73</v>
      </c>
      <c r="E423" s="606" t="n">
        <v>5.54</v>
      </c>
      <c r="F423" s="606" t="n">
        <v>6.5</v>
      </c>
      <c r="G423" s="606" t="n">
        <v>7.62</v>
      </c>
      <c r="H423" s="606" t="n">
        <v>6.02</v>
      </c>
      <c r="I423" s="606" t="n">
        <v>7.05</v>
      </c>
      <c r="J423" s="606" t="n">
        <v>8.26</v>
      </c>
      <c r="K423" s="606" t="n">
        <v>9.67</v>
      </c>
    </row>
    <row r="424">
      <c r="C424" t="n">
        <v>10000</v>
      </c>
      <c r="D424" s="606" t="n">
        <v>4.26</v>
      </c>
      <c r="E424" s="606" t="n">
        <v>4.96</v>
      </c>
      <c r="F424" s="606" t="n">
        <v>5.77</v>
      </c>
      <c r="G424" s="606" t="n">
        <v>6.72</v>
      </c>
      <c r="H424" s="606" t="n">
        <v>5.35</v>
      </c>
      <c r="I424" s="606" t="n">
        <v>6.23</v>
      </c>
      <c r="J424" s="606" t="n">
        <v>7.26</v>
      </c>
      <c r="K424" s="606" t="n">
        <v>8.449999999999999</v>
      </c>
    </row>
    <row r="425">
      <c r="C425" t="n">
        <v>15000</v>
      </c>
      <c r="D425" s="606" t="n">
        <v>3.99</v>
      </c>
      <c r="E425" s="606" t="n">
        <v>4.64</v>
      </c>
      <c r="F425" s="606" t="n">
        <v>5.39</v>
      </c>
      <c r="G425" s="606" t="n">
        <v>6.26</v>
      </c>
      <c r="H425" s="606" t="n">
        <v>5</v>
      </c>
      <c r="I425" s="606" t="n">
        <v>5.81</v>
      </c>
      <c r="J425" s="606" t="n">
        <v>6.74</v>
      </c>
      <c r="K425" s="606" t="n">
        <v>7.83</v>
      </c>
    </row>
    <row r="426">
      <c r="C426" t="n">
        <v>20000</v>
      </c>
      <c r="D426" s="606" t="n">
        <v>3.83</v>
      </c>
      <c r="E426" s="606" t="n">
        <v>4.44</v>
      </c>
      <c r="F426" s="606" t="n">
        <v>5.15</v>
      </c>
      <c r="G426" s="606" t="n">
        <v>5.97</v>
      </c>
      <c r="H426" s="606" t="n">
        <v>4.78</v>
      </c>
      <c r="I426" s="606" t="n">
        <v>5.54</v>
      </c>
      <c r="J426" s="606" t="n">
        <v>6.41</v>
      </c>
      <c r="K426" s="606" t="n">
        <v>7.43</v>
      </c>
    </row>
    <row r="427">
      <c r="C427" t="n">
        <v>30000</v>
      </c>
      <c r="D427" s="606" t="n">
        <v>3.6</v>
      </c>
      <c r="E427" s="606" t="n">
        <v>4.16</v>
      </c>
      <c r="F427" s="606" t="n">
        <v>4.8</v>
      </c>
      <c r="G427" s="606" t="n">
        <v>5.54</v>
      </c>
      <c r="H427" s="606" t="n">
        <v>4.48</v>
      </c>
      <c r="I427" s="606" t="n">
        <v>5.17</v>
      </c>
      <c r="J427" s="606" t="n">
        <v>5.97</v>
      </c>
      <c r="K427" s="606" t="n">
        <v>6.89</v>
      </c>
    </row>
    <row r="428">
      <c r="C428" t="n">
        <v>50000</v>
      </c>
      <c r="D428" s="606" t="n">
        <v>3.35</v>
      </c>
      <c r="E428" s="606" t="n">
        <v>3.85</v>
      </c>
      <c r="F428" s="606" t="n">
        <v>4.42</v>
      </c>
      <c r="G428" s="606" t="n">
        <v>5.07</v>
      </c>
      <c r="H428" s="606" t="n">
        <v>4.13</v>
      </c>
      <c r="I428" s="606" t="n">
        <v>4.73</v>
      </c>
      <c r="J428" s="606" t="n">
        <v>5.43</v>
      </c>
      <c r="K428" s="606" t="n">
        <v>6.22</v>
      </c>
    </row>
    <row r="429">
      <c r="C429" t="n">
        <v>75000</v>
      </c>
      <c r="D429" s="606" t="n">
        <v>3.11</v>
      </c>
      <c r="E429" s="606" t="n">
        <v>3.57</v>
      </c>
      <c r="F429" s="606" t="n">
        <v>4.1</v>
      </c>
      <c r="G429" s="606" t="n">
        <v>4.7</v>
      </c>
      <c r="H429" s="606" t="n">
        <v>3.83</v>
      </c>
      <c r="I429" s="606" t="n">
        <v>4.39</v>
      </c>
      <c r="J429" s="606" t="n">
        <v>5.03</v>
      </c>
      <c r="K429" s="606" t="n">
        <v>5.76</v>
      </c>
    </row>
    <row r="430">
      <c r="C430" t="n">
        <v>100000</v>
      </c>
      <c r="D430" s="606" t="n">
        <v>2.97</v>
      </c>
      <c r="E430" s="606" t="n">
        <v>3.41</v>
      </c>
      <c r="F430" s="606" t="n">
        <v>3.91</v>
      </c>
      <c r="G430" s="606" t="n">
        <v>4.48</v>
      </c>
      <c r="H430" s="606" t="n">
        <v>3.65</v>
      </c>
      <c r="I430" s="606" t="n">
        <v>4.18</v>
      </c>
      <c r="J430" s="606" t="n">
        <v>4.79</v>
      </c>
      <c r="K430" s="606" t="n">
        <v>5.49</v>
      </c>
    </row>
    <row r="431">
      <c r="C431" t="n">
        <v>150000</v>
      </c>
      <c r="D431" s="606" t="n">
        <v>2.79</v>
      </c>
      <c r="E431" s="606" t="n">
        <v>3.2</v>
      </c>
      <c r="F431" s="606" t="n">
        <v>3.66</v>
      </c>
      <c r="G431" s="606" t="n">
        <v>4.19</v>
      </c>
      <c r="H431" s="606" t="n">
        <v>3.43</v>
      </c>
      <c r="I431" s="606" t="n">
        <v>3.92</v>
      </c>
      <c r="J431" s="606" t="n">
        <v>4.49</v>
      </c>
      <c r="K431" s="606" t="n">
        <v>5.13</v>
      </c>
    </row>
    <row r="432">
      <c r="C432" t="n">
        <v>200000</v>
      </c>
      <c r="D432" s="606" t="n">
        <v>2.7</v>
      </c>
      <c r="E432" s="606" t="n">
        <v>3.07</v>
      </c>
      <c r="F432" s="606" t="n">
        <v>3.49</v>
      </c>
      <c r="G432" s="606" t="n">
        <v>3.97</v>
      </c>
      <c r="H432" s="606" t="n">
        <v>3.29</v>
      </c>
      <c r="I432" s="606" t="n">
        <v>3.73</v>
      </c>
      <c r="J432" s="606" t="n">
        <v>4.24</v>
      </c>
      <c r="K432" s="606" t="n">
        <v>4.81</v>
      </c>
    </row>
    <row r="433">
      <c r="C433" t="n">
        <v>300000</v>
      </c>
      <c r="D433" s="606" t="n">
        <v>2.52</v>
      </c>
      <c r="E433" s="606" t="n">
        <v>2.86</v>
      </c>
      <c r="F433" s="606" t="n">
        <v>3.24</v>
      </c>
      <c r="G433" s="606" t="n">
        <v>3.68</v>
      </c>
      <c r="H433" s="606" t="n">
        <v>3.05</v>
      </c>
      <c r="I433" s="606" t="n">
        <v>3.46</v>
      </c>
      <c r="J433" s="606" t="n">
        <v>3.93</v>
      </c>
      <c r="K433" s="606" t="n">
        <v>4.46</v>
      </c>
    </row>
    <row r="434">
      <c r="C434" t="n">
        <v>400000</v>
      </c>
      <c r="D434" s="606" t="n">
        <v>2.43</v>
      </c>
      <c r="E434" s="606" t="n">
        <v>2.74</v>
      </c>
      <c r="F434" s="606" t="n">
        <v>3.09</v>
      </c>
      <c r="G434" s="606" t="n">
        <v>3.49</v>
      </c>
      <c r="H434" s="606" t="n">
        <v>2.91</v>
      </c>
      <c r="I434" s="606" t="n">
        <v>3.29</v>
      </c>
      <c r="J434" s="606" t="n">
        <v>3.71</v>
      </c>
      <c r="K434" s="606" t="n">
        <v>4.19</v>
      </c>
    </row>
    <row r="435">
      <c r="C435" t="n">
        <v>600000</v>
      </c>
      <c r="D435" s="606" t="n">
        <v>2.27</v>
      </c>
      <c r="E435" s="606" t="n">
        <v>2.56</v>
      </c>
      <c r="F435" s="606" t="n">
        <v>2.9</v>
      </c>
      <c r="G435" s="606" t="n">
        <v>3.27</v>
      </c>
      <c r="H435" s="606" t="n">
        <v>2.72</v>
      </c>
      <c r="I435" s="606" t="n">
        <v>3.07</v>
      </c>
      <c r="J435" s="606" t="n">
        <v>3.46</v>
      </c>
      <c r="K435" s="606" t="n">
        <v>3.91</v>
      </c>
    </row>
    <row r="436">
      <c r="C436" t="n">
        <v>800000</v>
      </c>
      <c r="D436" s="606" t="n">
        <v>2.19</v>
      </c>
      <c r="E436" s="606" t="n">
        <v>2.46</v>
      </c>
      <c r="F436" s="606" t="n">
        <v>2.77</v>
      </c>
      <c r="G436" s="606" t="n">
        <v>3.11</v>
      </c>
      <c r="H436" s="606" t="n">
        <v>2.62</v>
      </c>
      <c r="I436" s="606" t="n">
        <v>2.94</v>
      </c>
      <c r="J436" s="606" t="n">
        <v>3.31</v>
      </c>
      <c r="K436" s="606" t="n">
        <v>3.72</v>
      </c>
    </row>
    <row r="437">
      <c r="C437" t="n">
        <v>1000000</v>
      </c>
      <c r="D437" s="606" t="n">
        <v>2.11</v>
      </c>
      <c r="E437" s="606" t="n">
        <v>2.37</v>
      </c>
      <c r="F437" s="606" t="n">
        <v>2.66</v>
      </c>
      <c r="G437" s="606" t="n">
        <v>2.99</v>
      </c>
      <c r="H437" s="606" t="n">
        <v>2.52</v>
      </c>
      <c r="I437" s="606" t="n">
        <v>2.83</v>
      </c>
      <c r="J437" s="606" t="n">
        <v>3.17</v>
      </c>
      <c r="K437" s="606" t="n">
        <v>3.56</v>
      </c>
    </row>
    <row r="438"/>
    <row r="439">
      <c r="B439" s="604" t="inlineStr">
        <is>
          <t>Section 15</t>
        </is>
      </c>
      <c r="C439" s="604" t="inlineStr">
        <is>
          <t>Coverage (SF)</t>
        </is>
      </c>
      <c r="D439" s="604" t="inlineStr">
        <is>
          <t>Wet-Low</t>
        </is>
      </c>
      <c r="E439" s="604" t="inlineStr">
        <is>
          <t>Wet-Avg</t>
        </is>
      </c>
      <c r="F439" s="604" t="inlineStr">
        <is>
          <t>Wet-Good</t>
        </is>
      </c>
      <c r="G439" s="604" t="inlineStr">
        <is>
          <t>Wet-Excl</t>
        </is>
      </c>
      <c r="H439" s="604" t="inlineStr">
        <is>
          <t>Dry-Low</t>
        </is>
      </c>
      <c r="I439" s="604" t="inlineStr">
        <is>
          <t>Dry-Avg</t>
        </is>
      </c>
      <c r="J439" s="604" t="inlineStr">
        <is>
          <t>Dry-Good</t>
        </is>
      </c>
      <c r="K439" s="604" t="inlineStr">
        <is>
          <t>Dry-Excl</t>
        </is>
      </c>
    </row>
    <row r="440">
      <c r="C440" t="n">
        <v>1500</v>
      </c>
      <c r="D440" s="606" t="n">
        <v>6.24</v>
      </c>
      <c r="E440" s="606" t="n">
        <v>7.41</v>
      </c>
      <c r="F440" s="606" t="n">
        <v>8.800000000000001</v>
      </c>
      <c r="G440" s="606" t="n">
        <v>10.45</v>
      </c>
      <c r="H440" s="606" t="n">
        <v>8.08</v>
      </c>
      <c r="I440" s="606" t="n">
        <v>9.6</v>
      </c>
      <c r="J440" s="606" t="n">
        <v>11.4</v>
      </c>
      <c r="K440" s="606" t="n">
        <v>13.55</v>
      </c>
    </row>
    <row r="441">
      <c r="C441" t="n">
        <v>5000</v>
      </c>
      <c r="D441" s="606" t="n">
        <v>5.17</v>
      </c>
      <c r="E441" s="606" t="n">
        <v>6.09</v>
      </c>
      <c r="F441" s="606" t="n">
        <v>7.16</v>
      </c>
      <c r="G441" s="606" t="n">
        <v>8.43</v>
      </c>
      <c r="H441" s="606" t="n">
        <v>6.58</v>
      </c>
      <c r="I441" s="606" t="n">
        <v>7.75</v>
      </c>
      <c r="J441" s="606" t="n">
        <v>9.130000000000001</v>
      </c>
      <c r="K441" s="606" t="n">
        <v>10.75</v>
      </c>
    </row>
    <row r="442">
      <c r="C442" t="n">
        <v>10000</v>
      </c>
      <c r="D442" s="606" t="n">
        <v>4.65</v>
      </c>
      <c r="E442" s="606" t="n">
        <v>5.45</v>
      </c>
      <c r="F442" s="606" t="n">
        <v>6.38</v>
      </c>
      <c r="G442" s="606" t="n">
        <v>7.47</v>
      </c>
      <c r="H442" s="606" t="n">
        <v>5.89</v>
      </c>
      <c r="I442" s="606" t="n">
        <v>6.9</v>
      </c>
      <c r="J442" s="606" t="n">
        <v>8.07</v>
      </c>
      <c r="K442" s="606" t="n">
        <v>9.449999999999999</v>
      </c>
    </row>
    <row r="443">
      <c r="C443" t="n">
        <v>20000</v>
      </c>
      <c r="D443" s="606" t="n">
        <v>4.14</v>
      </c>
      <c r="E443" s="606" t="n">
        <v>4.83</v>
      </c>
      <c r="F443" s="606" t="n">
        <v>5.64</v>
      </c>
      <c r="G443" s="606" t="n">
        <v>6.58</v>
      </c>
      <c r="H443" s="606" t="n">
        <v>5.23</v>
      </c>
      <c r="I443" s="606" t="n">
        <v>6.1</v>
      </c>
      <c r="J443" s="606" t="n">
        <v>7.12</v>
      </c>
      <c r="K443" s="606" t="n">
        <v>8.300000000000001</v>
      </c>
    </row>
    <row r="444">
      <c r="C444" t="n">
        <v>50000</v>
      </c>
      <c r="D444" s="606" t="n">
        <v>3.61</v>
      </c>
      <c r="E444" s="606" t="n">
        <v>4.17</v>
      </c>
      <c r="F444" s="606" t="n">
        <v>4.83</v>
      </c>
      <c r="G444" s="606" t="n">
        <v>5.58</v>
      </c>
      <c r="H444" s="606" t="n">
        <v>4.47</v>
      </c>
      <c r="I444" s="606" t="n">
        <v>5.18</v>
      </c>
      <c r="J444" s="606" t="n">
        <v>6</v>
      </c>
      <c r="K444" s="606" t="n">
        <v>6.96</v>
      </c>
    </row>
    <row r="445">
      <c r="C445" t="n">
        <v>100000</v>
      </c>
      <c r="D445" s="606" t="n">
        <v>3.26</v>
      </c>
      <c r="E445" s="606" t="n">
        <v>3.75</v>
      </c>
      <c r="F445" s="606" t="n">
        <v>4.31</v>
      </c>
      <c r="G445" s="606" t="n">
        <v>4.95</v>
      </c>
      <c r="H445" s="606" t="n">
        <v>4</v>
      </c>
      <c r="I445" s="606" t="n">
        <v>4.61</v>
      </c>
      <c r="J445" s="606" t="n">
        <v>5.31</v>
      </c>
      <c r="K445" s="606" t="n">
        <v>6.11</v>
      </c>
    </row>
    <row r="446">
      <c r="C446" t="n">
        <v>250000</v>
      </c>
      <c r="D446" s="606" t="n">
        <v>2.8</v>
      </c>
      <c r="E446" s="606" t="n">
        <v>3.21</v>
      </c>
      <c r="F446" s="606" t="n">
        <v>3.67</v>
      </c>
      <c r="G446" s="606" t="n">
        <v>4.21</v>
      </c>
      <c r="H446" s="606" t="n">
        <v>3.43</v>
      </c>
      <c r="I446" s="606" t="n">
        <v>3.93</v>
      </c>
      <c r="J446" s="606" t="n">
        <v>4.5</v>
      </c>
      <c r="K446" s="606" t="n">
        <v>5.15</v>
      </c>
    </row>
    <row r="447">
      <c r="C447" t="n">
        <v>500000</v>
      </c>
      <c r="D447" s="606" t="n">
        <v>2.52</v>
      </c>
      <c r="E447" s="606" t="n">
        <v>2.87</v>
      </c>
      <c r="F447" s="606" t="n">
        <v>3.27</v>
      </c>
      <c r="G447" s="606" t="n">
        <v>3.72</v>
      </c>
      <c r="H447" s="606" t="n">
        <v>3.06</v>
      </c>
      <c r="I447" s="606" t="n">
        <v>3.48</v>
      </c>
      <c r="J447" s="606" t="n">
        <v>3.95</v>
      </c>
      <c r="K447" s="606" t="n">
        <v>4.49</v>
      </c>
    </row>
    <row r="448"/>
    <row r="449"/>
    <row r="450">
      <c r="B450" s="603" t="inlineStr">
        <is>
          <t>REFERENCE 7 -- Elevator Lump-Sum + Per-Stop Cost Tables (per MVS section) -- for manual add/deduct</t>
        </is>
      </c>
      <c r="C450" s="603" t="n"/>
      <c r="D450" s="603" t="n"/>
      <c r="E450" s="603" t="n"/>
      <c r="F450" s="603" t="n"/>
      <c r="G450" s="603" t="n"/>
      <c r="H450" s="603" t="n"/>
    </row>
    <row r="451">
      <c r="B451" s="604" t="inlineStr">
        <is>
          <t>Section 14</t>
        </is>
      </c>
      <c r="C451" s="604" t="inlineStr">
        <is>
          <t>Type</t>
        </is>
      </c>
      <c r="D451" s="604" t="inlineStr">
        <is>
          <t>Low</t>
        </is>
      </c>
      <c r="E451" s="604" t="inlineStr">
        <is>
          <t>Average</t>
        </is>
      </c>
      <c r="F451" s="604" t="inlineStr">
        <is>
          <t>Good</t>
        </is>
      </c>
      <c r="G451" s="604" t="inlineStr">
        <is>
          <t>Excellent</t>
        </is>
      </c>
    </row>
    <row r="452">
      <c r="C452" t="inlineStr">
        <is>
          <t>Passenger, 2-3 story (base)</t>
        </is>
      </c>
      <c r="D452" t="n">
        <v>66250</v>
      </c>
      <c r="E452" t="n">
        <v>78000</v>
      </c>
      <c r="F452" t="n">
        <v>92000</v>
      </c>
      <c r="G452" t="n">
        <v>108000</v>
      </c>
    </row>
    <row r="453">
      <c r="C453" t="inlineStr">
        <is>
          <t>Passenger, 4-story+ (base)</t>
        </is>
      </c>
      <c r="D453" t="n">
        <v>116000</v>
      </c>
      <c r="E453" t="n">
        <v>133000</v>
      </c>
      <c r="F453" t="n">
        <v>152000</v>
      </c>
      <c r="G453" t="n">
        <v>175000</v>
      </c>
    </row>
    <row r="454">
      <c r="C454" t="inlineStr">
        <is>
          <t>Passenger, per stop</t>
        </is>
      </c>
      <c r="D454" t="n">
        <v>9650</v>
      </c>
      <c r="E454" t="n">
        <v>11100</v>
      </c>
      <c r="F454" t="n">
        <v>12700</v>
      </c>
      <c r="G454" t="n">
        <v>14600</v>
      </c>
    </row>
    <row r="455">
      <c r="C455" t="inlineStr">
        <is>
          <t>Freight, 2-3 story (base)</t>
        </is>
      </c>
      <c r="D455" t="n">
        <v>51250</v>
      </c>
      <c r="E455" t="n">
        <v>67750</v>
      </c>
      <c r="F455" t="n">
        <v>89500</v>
      </c>
      <c r="G455" t="n">
        <v>118000</v>
      </c>
    </row>
    <row r="456">
      <c r="C456" t="inlineStr">
        <is>
          <t>Freight, 4-story+ (base)</t>
        </is>
      </c>
      <c r="D456" t="n">
        <v>101000</v>
      </c>
      <c r="E456" t="n">
        <v>127000</v>
      </c>
      <c r="F456" t="n">
        <v>160000</v>
      </c>
      <c r="G456" t="n">
        <v>203000</v>
      </c>
    </row>
    <row r="457">
      <c r="C457" t="inlineStr">
        <is>
          <t>Freight, per stop (manual doors)</t>
        </is>
      </c>
      <c r="D457" t="n">
        <v>13000</v>
      </c>
      <c r="E457" t="n">
        <v>14100</v>
      </c>
      <c r="F457" t="n">
        <v>15400</v>
      </c>
      <c r="G457" t="n">
        <v>16700</v>
      </c>
    </row>
    <row r="458">
      <c r="C458" t="inlineStr">
        <is>
          <t>Freight, per stop (power doors)</t>
        </is>
      </c>
      <c r="D458" t="n">
        <v>22600</v>
      </c>
      <c r="E458" t="n">
        <v>24600</v>
      </c>
      <c r="F458" t="n">
        <v>26900</v>
      </c>
      <c r="G458" t="n">
        <v>29300</v>
      </c>
    </row>
    <row r="459">
      <c r="C459" t="inlineStr">
        <is>
          <t>Escalator, per stairway</t>
        </is>
      </c>
      <c r="D459" t="n">
        <v>270000</v>
      </c>
      <c r="E459" t="n">
        <v>289000</v>
      </c>
      <c r="F459" t="n">
        <v>309000</v>
      </c>
      <c r="G459" t="n">
        <v>330000</v>
      </c>
    </row>
    <row r="460">
      <c r="C460" t="inlineStr">
        <is>
          <t>Vertical wheelchair lift, each</t>
        </is>
      </c>
      <c r="D460" t="n">
        <v>17500</v>
      </c>
      <c r="E460" t="n">
        <v>22200</v>
      </c>
      <c r="F460" t="n">
        <v>28300</v>
      </c>
      <c r="G460" t="n">
        <v>36000</v>
      </c>
    </row>
    <row r="461"/>
    <row r="462">
      <c r="B462" s="604" t="inlineStr">
        <is>
          <t>Section 15</t>
        </is>
      </c>
      <c r="C462" s="604" t="inlineStr">
        <is>
          <t>Type</t>
        </is>
      </c>
      <c r="D462" s="604" t="inlineStr">
        <is>
          <t>Low</t>
        </is>
      </c>
      <c r="E462" s="604" t="inlineStr">
        <is>
          <t>Average</t>
        </is>
      </c>
      <c r="F462" s="604" t="inlineStr">
        <is>
          <t>Good</t>
        </is>
      </c>
      <c r="G462" s="604" t="inlineStr">
        <is>
          <t>Excellent</t>
        </is>
      </c>
    </row>
    <row r="463">
      <c r="C463" t="inlineStr">
        <is>
          <t>Passenger, 2-3 story (base)</t>
        </is>
      </c>
      <c r="D463" t="n">
        <v>67500</v>
      </c>
      <c r="E463" t="n">
        <v>80000</v>
      </c>
      <c r="F463" t="n">
        <v>94250</v>
      </c>
      <c r="G463" t="n">
        <v>111000</v>
      </c>
    </row>
    <row r="464">
      <c r="C464" t="inlineStr">
        <is>
          <t>Passenger, 4-7 story (base)</t>
        </is>
      </c>
      <c r="D464" t="n">
        <v>117000</v>
      </c>
      <c r="E464" t="n">
        <v>134000</v>
      </c>
      <c r="F464" t="n">
        <v>154000</v>
      </c>
      <c r="G464" t="n">
        <v>176000</v>
      </c>
    </row>
    <row r="465">
      <c r="C465" t="inlineStr">
        <is>
          <t>Passenger, 8-story+ (base)</t>
        </is>
      </c>
      <c r="D465" t="n">
        <v>179000</v>
      </c>
      <c r="E465" t="n">
        <v>227000</v>
      </c>
      <c r="F465" t="n">
        <v>285000</v>
      </c>
      <c r="G465" t="n">
        <v>362000</v>
      </c>
    </row>
    <row r="466">
      <c r="C466" t="inlineStr">
        <is>
          <t>Passenger, per stop</t>
        </is>
      </c>
      <c r="D466" t="n">
        <v>9350</v>
      </c>
      <c r="E466" t="n">
        <v>10800</v>
      </c>
      <c r="F466" t="n">
        <v>12500</v>
      </c>
      <c r="G466" t="n">
        <v>14300</v>
      </c>
    </row>
    <row r="467">
      <c r="C467" t="inlineStr">
        <is>
          <t>Freight, 2-3 story (base)</t>
        </is>
      </c>
      <c r="D467" t="n">
        <v>49800</v>
      </c>
      <c r="E467" t="n">
        <v>66000</v>
      </c>
      <c r="F467" t="n">
        <v>87500</v>
      </c>
      <c r="G467" t="n">
        <v>115000</v>
      </c>
    </row>
    <row r="468">
      <c r="C468" t="inlineStr">
        <is>
          <t>Freight, 4-story+ (base)</t>
        </is>
      </c>
      <c r="D468" t="n">
        <v>97500</v>
      </c>
      <c r="E468" t="n">
        <v>123000</v>
      </c>
      <c r="F468" t="n">
        <v>157000</v>
      </c>
      <c r="G468" t="n">
        <v>199000</v>
      </c>
    </row>
    <row r="469">
      <c r="C469" t="inlineStr">
        <is>
          <t>Freight, per stop (manual doors)</t>
        </is>
      </c>
      <c r="D469" t="n">
        <v>12600</v>
      </c>
      <c r="E469" t="n">
        <v>13700</v>
      </c>
      <c r="F469" t="n">
        <v>15100</v>
      </c>
      <c r="G469" t="n">
        <v>16400</v>
      </c>
    </row>
    <row r="470">
      <c r="C470" t="inlineStr">
        <is>
          <t>Freight, per stop (power doors)</t>
        </is>
      </c>
      <c r="D470" t="n">
        <v>22000</v>
      </c>
      <c r="E470" t="n">
        <v>23900</v>
      </c>
      <c r="F470" t="n">
        <v>26200</v>
      </c>
      <c r="G470" t="n">
        <v>28400</v>
      </c>
    </row>
    <row r="471">
      <c r="C471" t="inlineStr">
        <is>
          <t>Escalator, per stairway</t>
        </is>
      </c>
      <c r="D471" t="n">
        <v>262000</v>
      </c>
      <c r="E471" t="n">
        <v>278000</v>
      </c>
      <c r="F471" t="n">
        <v>296000</v>
      </c>
      <c r="G471" t="n">
        <v>315000</v>
      </c>
    </row>
    <row r="472">
      <c r="C472" t="inlineStr">
        <is>
          <t>Vertical wheelchair lift, each</t>
        </is>
      </c>
      <c r="D472" t="n">
        <v>18100</v>
      </c>
      <c r="E472" t="n">
        <v>23300</v>
      </c>
      <c r="F472" t="n">
        <v>30300</v>
      </c>
      <c r="G472" t="n">
        <v>39000</v>
      </c>
    </row>
    <row r="473"/>
    <row r="474">
      <c r="B474" s="604" t="inlineStr">
        <is>
          <t>Section 11</t>
        </is>
      </c>
      <c r="C474" s="604" t="inlineStr">
        <is>
          <t>Type</t>
        </is>
      </c>
      <c r="D474" s="604" t="inlineStr">
        <is>
          <t>Low</t>
        </is>
      </c>
      <c r="E474" s="604" t="inlineStr">
        <is>
          <t>Average</t>
        </is>
      </c>
      <c r="F474" s="604" t="inlineStr">
        <is>
          <t>Good</t>
        </is>
      </c>
      <c r="G474" s="604" t="inlineStr">
        <is>
          <t>Excellent</t>
        </is>
      </c>
    </row>
    <row r="475">
      <c r="C475" t="inlineStr">
        <is>
          <t>Passenger, 2-3 story (base)</t>
        </is>
      </c>
      <c r="D475" t="n">
        <v>67500</v>
      </c>
      <c r="E475" t="n">
        <v>79500</v>
      </c>
      <c r="F475" t="n">
        <v>93750</v>
      </c>
      <c r="G475" t="n">
        <v>110000</v>
      </c>
    </row>
    <row r="476">
      <c r="C476" t="inlineStr">
        <is>
          <t>Passenger, 4-7 story (base)</t>
        </is>
      </c>
      <c r="D476" t="n">
        <v>117000</v>
      </c>
      <c r="E476" t="n">
        <v>135000</v>
      </c>
      <c r="F476" t="n">
        <v>154000</v>
      </c>
      <c r="G476" t="n">
        <v>177000</v>
      </c>
    </row>
    <row r="477">
      <c r="C477" t="inlineStr">
        <is>
          <t>Passenger, 8-story+ (base)</t>
        </is>
      </c>
      <c r="D477" t="n">
        <v>180000</v>
      </c>
      <c r="E477" t="n">
        <v>228000</v>
      </c>
      <c r="F477" t="n">
        <v>287000</v>
      </c>
      <c r="G477" t="n">
        <v>363000</v>
      </c>
    </row>
    <row r="478">
      <c r="C478" t="inlineStr">
        <is>
          <t>Passenger, per stop</t>
        </is>
      </c>
      <c r="D478" t="n">
        <v>9700</v>
      </c>
      <c r="E478" t="n">
        <v>11100</v>
      </c>
      <c r="F478" t="n">
        <v>12800</v>
      </c>
      <c r="G478" t="n">
        <v>14700</v>
      </c>
    </row>
    <row r="479">
      <c r="C479" t="inlineStr">
        <is>
          <t>Freight, 2-3 story (base)</t>
        </is>
      </c>
      <c r="D479" t="n">
        <v>51000</v>
      </c>
      <c r="E479" t="n">
        <v>67500</v>
      </c>
      <c r="F479" t="n">
        <v>89000</v>
      </c>
      <c r="G479" t="n">
        <v>118000</v>
      </c>
    </row>
    <row r="480">
      <c r="C480" t="inlineStr">
        <is>
          <t>Freight, 4-story+ (base)</t>
        </is>
      </c>
      <c r="D480" t="n">
        <v>100000</v>
      </c>
      <c r="E480" t="n">
        <v>126000</v>
      </c>
      <c r="F480" t="n">
        <v>160000</v>
      </c>
      <c r="G480" t="n">
        <v>202000</v>
      </c>
    </row>
    <row r="481">
      <c r="C481" t="inlineStr">
        <is>
          <t>Freight, per stop (manual doors)</t>
        </is>
      </c>
      <c r="D481" t="n">
        <v>12900</v>
      </c>
      <c r="E481" t="n">
        <v>14100</v>
      </c>
      <c r="F481" t="n">
        <v>15300</v>
      </c>
      <c r="G481" t="n">
        <v>16700</v>
      </c>
    </row>
    <row r="482">
      <c r="C482" t="inlineStr">
        <is>
          <t>Freight, per stop (power doors)</t>
        </is>
      </c>
      <c r="D482" t="n">
        <v>22400</v>
      </c>
      <c r="E482" t="n">
        <v>24400</v>
      </c>
      <c r="F482" t="n">
        <v>26600</v>
      </c>
      <c r="G482" t="n">
        <v>29000</v>
      </c>
    </row>
    <row r="483">
      <c r="C483" t="inlineStr">
        <is>
          <t>Escalator, per stairway</t>
        </is>
      </c>
      <c r="D483" t="n">
        <v>260000</v>
      </c>
      <c r="E483" t="n">
        <v>276000</v>
      </c>
      <c r="F483" t="n">
        <v>294000</v>
      </c>
      <c r="G483" t="n">
        <v>312000</v>
      </c>
    </row>
    <row r="484">
      <c r="C484" t="inlineStr">
        <is>
          <t>Vertical wheelchair lift, each</t>
        </is>
      </c>
      <c r="D484" t="n">
        <v>17200</v>
      </c>
      <c r="E484" t="n">
        <v>22300</v>
      </c>
      <c r="F484" t="n">
        <v>29000</v>
      </c>
      <c r="G484" t="n">
        <v>37600</v>
      </c>
    </row>
    <row r="485"/>
    <row r="486">
      <c r="B486" s="604" t="inlineStr">
        <is>
          <t>Section 13</t>
        </is>
      </c>
      <c r="C486" s="604" t="inlineStr">
        <is>
          <t>Type</t>
        </is>
      </c>
      <c r="D486" s="604" t="inlineStr">
        <is>
          <t>Low</t>
        </is>
      </c>
      <c r="E486" s="604" t="inlineStr">
        <is>
          <t>Average</t>
        </is>
      </c>
      <c r="F486" s="604" t="inlineStr">
        <is>
          <t>Good</t>
        </is>
      </c>
      <c r="G486" s="604" t="inlineStr">
        <is>
          <t>Excellent</t>
        </is>
      </c>
    </row>
    <row r="487">
      <c r="C487" t="inlineStr">
        <is>
          <t>Passenger, 2-3 story (base) [see Sec.14 sched.]</t>
        </is>
      </c>
      <c r="D487" t="n">
        <v>66250</v>
      </c>
      <c r="E487" t="n">
        <v>78000</v>
      </c>
      <c r="F487" t="n">
        <v>92000</v>
      </c>
      <c r="G487" t="n">
        <v>108000</v>
      </c>
    </row>
    <row r="488">
      <c r="C488" t="inlineStr">
        <is>
          <t>Passenger, per stop [see Sec.14 sched.]</t>
        </is>
      </c>
      <c r="D488" t="n">
        <v>9650</v>
      </c>
      <c r="E488" t="n">
        <v>11100</v>
      </c>
      <c r="F488" t="n">
        <v>12700</v>
      </c>
      <c r="G488" t="n">
        <v>14600</v>
      </c>
    </row>
    <row r="489"/>
    <row r="490"/>
    <row r="491">
      <c r="B491" s="603" t="inlineStr">
        <is>
          <t>REFERENCE 8 -- Current Cost Multipliers, by Region x Class x Calculator Section (MVS Sec.99 p.3, Jan 2025 insert). Colorado assumed WESTERN region.</t>
        </is>
      </c>
      <c r="C491" s="603" t="n"/>
      <c r="D491" s="603" t="n"/>
      <c r="E491" s="603" t="n"/>
      <c r="F491" s="603" t="n"/>
      <c r="G491" s="603" t="n"/>
      <c r="H491" s="603" t="n"/>
    </row>
    <row r="492">
      <c r="B492" s="604" t="inlineStr">
        <is>
          <t>Region</t>
        </is>
      </c>
      <c r="C492" s="604" t="inlineStr">
        <is>
          <t>Class</t>
        </is>
      </c>
      <c r="D492" s="604" t="inlineStr">
        <is>
          <t>Sec.11</t>
        </is>
      </c>
      <c r="E492" s="604" t="inlineStr">
        <is>
          <t>Sec.12</t>
        </is>
      </c>
      <c r="F492" s="604" t="inlineStr">
        <is>
          <t>Sec.13</t>
        </is>
      </c>
      <c r="G492" s="604" t="inlineStr">
        <is>
          <t>Sec.14</t>
        </is>
      </c>
      <c r="H492" s="604" t="inlineStr">
        <is>
          <t>Sec.15</t>
        </is>
      </c>
      <c r="I492" s="604" t="inlineStr">
        <is>
          <t>Sec.16</t>
        </is>
      </c>
      <c r="J492" s="604" t="inlineStr">
        <is>
          <t>Sec.17</t>
        </is>
      </c>
      <c r="K492" s="604" t="inlineStr">
        <is>
          <t>Sec.18</t>
        </is>
      </c>
    </row>
    <row r="493">
      <c r="B493" t="inlineStr">
        <is>
          <t>EASTERN</t>
        </is>
      </c>
      <c r="C493" t="inlineStr">
        <is>
          <t>A</t>
        </is>
      </c>
      <c r="D493" s="606" t="n">
        <v>1.04</v>
      </c>
      <c r="E493" s="606" t="n">
        <v>1.04</v>
      </c>
      <c r="F493" s="606" t="n">
        <v>1.04</v>
      </c>
      <c r="G493" s="606" t="n">
        <v>1.02</v>
      </c>
      <c r="H493" s="606" t="n">
        <v>1.04</v>
      </c>
      <c r="I493" s="606" t="n">
        <v>1.06</v>
      </c>
      <c r="J493" s="606" t="n">
        <v>1.08</v>
      </c>
      <c r="K493" s="606" t="n">
        <v>1.1</v>
      </c>
    </row>
    <row r="494">
      <c r="B494" t="inlineStr">
        <is>
          <t>EASTERN</t>
        </is>
      </c>
      <c r="C494" t="inlineStr">
        <is>
          <t>B</t>
        </is>
      </c>
      <c r="D494" s="606" t="n">
        <v>1.04</v>
      </c>
      <c r="E494" s="606" t="n">
        <v>1.05</v>
      </c>
      <c r="F494" s="606" t="n">
        <v>1.02</v>
      </c>
      <c r="G494" s="606" t="n">
        <v>1.04</v>
      </c>
      <c r="H494" s="606" t="n">
        <v>1.01</v>
      </c>
      <c r="I494" s="606" t="n">
        <v>1.02</v>
      </c>
      <c r="J494" s="606" t="n">
        <v>1.05</v>
      </c>
      <c r="K494" s="606" t="n">
        <v>1.07</v>
      </c>
    </row>
    <row r="495">
      <c r="B495" t="inlineStr">
        <is>
          <t>EASTERN</t>
        </is>
      </c>
      <c r="C495" t="inlineStr">
        <is>
          <t>C</t>
        </is>
      </c>
      <c r="D495" s="606" t="n">
        <v>1.02</v>
      </c>
      <c r="E495" s="606" t="n">
        <v>1.01</v>
      </c>
      <c r="F495" s="606" t="n">
        <v>1.03</v>
      </c>
      <c r="G495" s="606" t="n">
        <v>1.03</v>
      </c>
      <c r="H495" s="606" t="n">
        <v>1.04</v>
      </c>
      <c r="I495" s="606" t="n">
        <v>1.05</v>
      </c>
      <c r="J495" s="606" t="n">
        <v>1.06</v>
      </c>
      <c r="K495" s="606" t="n">
        <v>1.01</v>
      </c>
    </row>
    <row r="496">
      <c r="B496" t="inlineStr">
        <is>
          <t>EASTERN</t>
        </is>
      </c>
      <c r="C496" t="inlineStr">
        <is>
          <t>D</t>
        </is>
      </c>
      <c r="D496" s="606" t="n">
        <v>1.01</v>
      </c>
      <c r="E496" s="606" t="n">
        <v>1.02</v>
      </c>
      <c r="F496" s="606" t="n">
        <v>1.02</v>
      </c>
      <c r="G496" s="606" t="n">
        <v>1.01</v>
      </c>
      <c r="H496" s="606" t="n">
        <v>1.01</v>
      </c>
      <c r="I496" s="606" t="n">
        <v>1.02</v>
      </c>
      <c r="J496" s="606" t="n">
        <v>1</v>
      </c>
      <c r="K496" s="606" t="n">
        <v>0.99</v>
      </c>
    </row>
    <row r="497">
      <c r="B497" t="inlineStr">
        <is>
          <t>EASTERN</t>
        </is>
      </c>
      <c r="C497" t="inlineStr">
        <is>
          <t>S</t>
        </is>
      </c>
      <c r="D497" s="606" t="n">
        <v>1.07</v>
      </c>
      <c r="E497" s="606" t="n">
        <v>1.06</v>
      </c>
      <c r="F497" s="606" t="n">
        <v>1.04</v>
      </c>
      <c r="G497" s="606" t="n">
        <v>1.03</v>
      </c>
      <c r="H497" s="606" t="n">
        <v>1.05</v>
      </c>
      <c r="I497" s="606" t="n">
        <v>1.02</v>
      </c>
      <c r="J497" s="606" t="n">
        <v>1.01</v>
      </c>
      <c r="K497" s="606" t="n">
        <v>1.05</v>
      </c>
    </row>
    <row r="498">
      <c r="B498" t="inlineStr">
        <is>
          <t>CENTRAL</t>
        </is>
      </c>
      <c r="C498" t="inlineStr">
        <is>
          <t>A</t>
        </is>
      </c>
      <c r="D498" s="606" t="n">
        <v>0.99</v>
      </c>
      <c r="E498" s="606" t="n">
        <v>0.98</v>
      </c>
      <c r="F498" s="606" t="n">
        <v>0.98</v>
      </c>
      <c r="G498" s="606" t="n">
        <v>1</v>
      </c>
      <c r="H498" s="606" t="n">
        <v>1</v>
      </c>
      <c r="I498" s="606" t="n">
        <v>1.02</v>
      </c>
      <c r="J498" s="606" t="n">
        <v>1.02</v>
      </c>
      <c r="K498" s="606" t="n">
        <v>1.02</v>
      </c>
    </row>
    <row r="499">
      <c r="B499" t="inlineStr">
        <is>
          <t>CENTRAL</t>
        </is>
      </c>
      <c r="C499" t="inlineStr">
        <is>
          <t>B</t>
        </is>
      </c>
      <c r="D499" s="606" t="n">
        <v>0.98</v>
      </c>
      <c r="E499" s="606" t="n">
        <v>0.99</v>
      </c>
      <c r="F499" s="606" t="n">
        <v>0.98</v>
      </c>
      <c r="G499" s="606" t="n">
        <v>0.99</v>
      </c>
      <c r="H499" s="606" t="n">
        <v>1.01</v>
      </c>
      <c r="I499" s="606" t="n">
        <v>0.99</v>
      </c>
      <c r="J499" s="606" t="n">
        <v>0.98</v>
      </c>
      <c r="K499" s="606" t="n">
        <v>0.99</v>
      </c>
    </row>
    <row r="500">
      <c r="B500" t="inlineStr">
        <is>
          <t>CENTRAL</t>
        </is>
      </c>
      <c r="C500" t="inlineStr">
        <is>
          <t>C</t>
        </is>
      </c>
      <c r="D500" s="606" t="n">
        <v>0.99</v>
      </c>
      <c r="E500" s="606" t="n">
        <v>0.99</v>
      </c>
      <c r="F500" s="606" t="n">
        <v>1</v>
      </c>
      <c r="G500" s="606" t="n">
        <v>0.99</v>
      </c>
      <c r="H500" s="606" t="n">
        <v>1</v>
      </c>
      <c r="I500" s="606" t="n">
        <v>0.98</v>
      </c>
      <c r="J500" s="606" t="n">
        <v>0.99</v>
      </c>
      <c r="K500" s="606" t="n">
        <v>0.98</v>
      </c>
    </row>
    <row r="501">
      <c r="B501" t="inlineStr">
        <is>
          <t>CENTRAL</t>
        </is>
      </c>
      <c r="C501" t="inlineStr">
        <is>
          <t>D</t>
        </is>
      </c>
      <c r="D501" s="606" t="n">
        <v>0.97</v>
      </c>
      <c r="E501" s="606" t="n">
        <v>0.99</v>
      </c>
      <c r="F501" s="606" t="n">
        <v>0.99</v>
      </c>
      <c r="G501" s="606" t="n">
        <v>0.99</v>
      </c>
      <c r="H501" s="606" t="n">
        <v>1.02</v>
      </c>
      <c r="I501" s="606" t="n">
        <v>1.02</v>
      </c>
      <c r="J501" s="606" t="n">
        <v>0.97</v>
      </c>
      <c r="K501" s="606" t="n">
        <v>0.97</v>
      </c>
    </row>
    <row r="502">
      <c r="B502" t="inlineStr">
        <is>
          <t>CENTRAL</t>
        </is>
      </c>
      <c r="C502" t="inlineStr">
        <is>
          <t>S</t>
        </is>
      </c>
      <c r="D502" s="606" t="n">
        <v>0.95</v>
      </c>
      <c r="E502" s="606" t="n">
        <v>0.98</v>
      </c>
      <c r="F502" s="606" t="n">
        <v>0.95</v>
      </c>
      <c r="G502" s="606" t="n">
        <v>0.99</v>
      </c>
      <c r="H502" s="606" t="n">
        <v>0.99</v>
      </c>
      <c r="I502" s="606" t="n">
        <v>0.97</v>
      </c>
      <c r="J502" s="606" t="n">
        <v>1</v>
      </c>
      <c r="K502" s="606" t="n">
        <v>0.97</v>
      </c>
    </row>
    <row r="503">
      <c r="B503" t="inlineStr">
        <is>
          <t>WESTERN</t>
        </is>
      </c>
      <c r="C503" t="inlineStr">
        <is>
          <t>A</t>
        </is>
      </c>
      <c r="D503" s="606" t="n">
        <v>0.99</v>
      </c>
      <c r="E503" s="606" t="n">
        <v>1.03</v>
      </c>
      <c r="F503" s="606" t="n">
        <v>1.05</v>
      </c>
      <c r="G503" s="606" t="n">
        <v>1.07</v>
      </c>
      <c r="H503" s="606" t="n">
        <v>1.06</v>
      </c>
      <c r="I503" s="606" t="n">
        <v>1.05</v>
      </c>
      <c r="J503" s="606" t="n">
        <v>1.05</v>
      </c>
      <c r="K503" s="606" t="n">
        <v>1.01</v>
      </c>
    </row>
    <row r="504">
      <c r="B504" t="inlineStr">
        <is>
          <t>WESTERN</t>
        </is>
      </c>
      <c r="C504" t="inlineStr">
        <is>
          <t>B</t>
        </is>
      </c>
      <c r="D504" s="606" t="n">
        <v>0.99</v>
      </c>
      <c r="E504" s="606" t="n">
        <v>1</v>
      </c>
      <c r="F504" s="606" t="n">
        <v>1.06</v>
      </c>
      <c r="G504" s="606" t="n">
        <v>1.04</v>
      </c>
      <c r="H504" s="606" t="n">
        <v>1.05</v>
      </c>
      <c r="I504" s="606" t="n">
        <v>1.06</v>
      </c>
      <c r="J504" s="606" t="n">
        <v>1.05</v>
      </c>
      <c r="K504" s="606" t="n">
        <v>1.02</v>
      </c>
    </row>
    <row r="505">
      <c r="B505" t="inlineStr">
        <is>
          <t>WESTERN</t>
        </is>
      </c>
      <c r="C505" t="inlineStr">
        <is>
          <t>C</t>
        </is>
      </c>
      <c r="D505" s="606" t="n">
        <v>1</v>
      </c>
      <c r="E505" s="606" t="n">
        <v>1.03</v>
      </c>
      <c r="F505" s="606" t="n">
        <v>1.02</v>
      </c>
      <c r="G505" s="606" t="n">
        <v>1.06</v>
      </c>
      <c r="H505" s="606" t="n">
        <v>1.04</v>
      </c>
      <c r="I505" s="606" t="n">
        <v>1.05</v>
      </c>
      <c r="J505" s="606" t="n">
        <v>1.03</v>
      </c>
      <c r="K505" s="606" t="n">
        <v>1.04</v>
      </c>
    </row>
    <row r="506">
      <c r="B506" t="inlineStr">
        <is>
          <t>WESTERN</t>
        </is>
      </c>
      <c r="C506" t="inlineStr">
        <is>
          <t>D</t>
        </is>
      </c>
      <c r="D506" s="606" t="n">
        <v>1.03</v>
      </c>
      <c r="E506" s="606" t="n">
        <v>1.02</v>
      </c>
      <c r="F506" s="606" t="n">
        <v>1.03</v>
      </c>
      <c r="G506" s="606" t="n">
        <v>1.05</v>
      </c>
      <c r="H506" s="606" t="n">
        <v>1.02</v>
      </c>
      <c r="I506" s="606" t="n">
        <v>1.01</v>
      </c>
      <c r="J506" s="606" t="n">
        <v>1.05</v>
      </c>
      <c r="K506" s="606" t="n">
        <v>1.01</v>
      </c>
    </row>
    <row r="507">
      <c r="B507" t="inlineStr">
        <is>
          <t>WESTERN</t>
        </is>
      </c>
      <c r="C507" t="inlineStr">
        <is>
          <t>S</t>
        </is>
      </c>
      <c r="D507" s="606" t="n">
        <v>1</v>
      </c>
      <c r="E507" s="606" t="n">
        <v>1</v>
      </c>
      <c r="F507" s="606" t="n">
        <v>1.05</v>
      </c>
      <c r="G507" s="606" t="n">
        <v>1.04</v>
      </c>
      <c r="H507" s="606" t="n">
        <v>1.02</v>
      </c>
      <c r="I507" s="606" t="n">
        <v>1.07</v>
      </c>
      <c r="J507" s="606" t="n">
        <v>1.04</v>
      </c>
      <c r="K507" s="606" t="n">
        <v>0.98</v>
      </c>
    </row>
    <row r="508"/>
    <row r="509">
      <c r="B509" s="603" t="inlineStr">
        <is>
          <t>REFERENCE 9 -- Local Area Multipliers, Colorado (MVS Sec.99 p.7, Jan 2025 insert)</t>
        </is>
      </c>
      <c r="C509" s="603" t="n"/>
      <c r="D509" s="603" t="n"/>
      <c r="E509" s="603" t="n"/>
      <c r="F509" s="603" t="n"/>
      <c r="G509" s="603" t="n"/>
      <c r="H509" s="603" t="n"/>
    </row>
    <row r="510">
      <c r="B510" s="604" t="inlineStr">
        <is>
          <t>City / Area</t>
        </is>
      </c>
      <c r="C510" s="604" t="inlineStr">
        <is>
          <t>Class A</t>
        </is>
      </c>
      <c r="D510" s="604" t="inlineStr">
        <is>
          <t>Class B</t>
        </is>
      </c>
      <c r="E510" s="604" t="inlineStr">
        <is>
          <t>Class C</t>
        </is>
      </c>
      <c r="F510" s="604" t="inlineStr">
        <is>
          <t>Class D</t>
        </is>
      </c>
      <c r="G510" s="604" t="inlineStr">
        <is>
          <t>Class S</t>
        </is>
      </c>
    </row>
    <row r="511">
      <c r="B511" t="inlineStr">
        <is>
          <t>Colorado (statewide average)</t>
        </is>
      </c>
      <c r="C511" s="606" t="n">
        <v>1</v>
      </c>
      <c r="D511" s="606" t="n">
        <v>1.02</v>
      </c>
      <c r="E511" s="606" t="n">
        <v>1.02</v>
      </c>
      <c r="F511" s="606" t="n">
        <v>1.01</v>
      </c>
      <c r="G511" s="606" t="n">
        <v>1.02</v>
      </c>
    </row>
    <row r="512">
      <c r="B512" t="inlineStr">
        <is>
          <t>Aspen</t>
        </is>
      </c>
      <c r="C512" s="606" t="n">
        <v>1.08</v>
      </c>
      <c r="D512" s="606" t="n">
        <v>1.13</v>
      </c>
      <c r="E512" s="606" t="n">
        <v>1.11</v>
      </c>
      <c r="F512" s="606" t="n">
        <v>1.11</v>
      </c>
      <c r="G512" s="606" t="n">
        <v>1.1</v>
      </c>
    </row>
    <row r="513">
      <c r="B513" t="inlineStr">
        <is>
          <t>Boulder</t>
        </is>
      </c>
      <c r="C513" s="606" t="n">
        <v>0.98</v>
      </c>
      <c r="D513" s="606" t="n">
        <v>0.98</v>
      </c>
      <c r="E513" s="606" t="n">
        <v>0.98</v>
      </c>
      <c r="F513" s="606" t="n">
        <v>0.97</v>
      </c>
      <c r="G513" s="606" t="n">
        <v>0.99</v>
      </c>
    </row>
    <row r="514">
      <c r="B514" t="inlineStr">
        <is>
          <t>Colorado Springs</t>
        </is>
      </c>
      <c r="C514" s="606" t="n">
        <v>0.98</v>
      </c>
      <c r="D514" s="606" t="n">
        <v>0.99</v>
      </c>
      <c r="E514" s="606" t="n">
        <v>0.96</v>
      </c>
      <c r="F514" s="606" t="n">
        <v>0.98</v>
      </c>
      <c r="G514" s="606" t="n">
        <v>1</v>
      </c>
    </row>
    <row r="515">
      <c r="B515" t="inlineStr">
        <is>
          <t>Costilla County</t>
        </is>
      </c>
      <c r="C515" s="606" t="n">
        <v>0.86</v>
      </c>
      <c r="D515" s="606" t="n">
        <v>0.88</v>
      </c>
      <c r="E515" s="606" t="n">
        <v>0.88</v>
      </c>
      <c r="F515" s="606" t="n">
        <v>0.87</v>
      </c>
      <c r="G515" s="606" t="n">
        <v>0.89</v>
      </c>
    </row>
    <row r="516">
      <c r="B516" t="inlineStr">
        <is>
          <t>Denver</t>
        </is>
      </c>
      <c r="C516" s="606" t="n">
        <v>1.01</v>
      </c>
      <c r="D516" s="606" t="n">
        <v>1</v>
      </c>
      <c r="E516" s="606" t="n">
        <v>1</v>
      </c>
      <c r="F516" s="606" t="n">
        <v>1</v>
      </c>
      <c r="G516" s="606" t="n">
        <v>1.03</v>
      </c>
    </row>
    <row r="517">
      <c r="B517" t="inlineStr">
        <is>
          <t>Durango</t>
        </is>
      </c>
      <c r="C517" s="606" t="n">
        <v>0.9</v>
      </c>
      <c r="D517" s="606" t="n">
        <v>0.92</v>
      </c>
      <c r="E517" s="606" t="n">
        <v>0.93</v>
      </c>
      <c r="F517" s="606" t="n">
        <v>0.91</v>
      </c>
      <c r="G517" s="606" t="n">
        <v>0.9399999999999999</v>
      </c>
    </row>
    <row r="518">
      <c r="B518" t="inlineStr">
        <is>
          <t>Eagle County (excl. resort areas)</t>
        </is>
      </c>
      <c r="C518" s="606" t="n">
        <v>0.9399999999999999</v>
      </c>
      <c r="D518" s="606" t="n">
        <v>0.95</v>
      </c>
      <c r="E518" s="606" t="n">
        <v>0.9399999999999999</v>
      </c>
      <c r="F518" s="606" t="n">
        <v>0.9399999999999999</v>
      </c>
      <c r="G518" s="606" t="n">
        <v>0.95</v>
      </c>
    </row>
    <row r="519">
      <c r="B519" t="inlineStr">
        <is>
          <t>Fort Collins</t>
        </is>
      </c>
      <c r="C519" s="606" t="n">
        <v>0.98</v>
      </c>
      <c r="D519" s="606" t="n">
        <v>1</v>
      </c>
      <c r="E519" s="606" t="n">
        <v>1.01</v>
      </c>
      <c r="F519" s="606" t="n">
        <v>0.99</v>
      </c>
      <c r="G519" s="606" t="n">
        <v>1.01</v>
      </c>
    </row>
    <row r="520">
      <c r="B520" t="inlineStr">
        <is>
          <t>Grand Junction</t>
        </is>
      </c>
      <c r="C520" s="606" t="n">
        <v>0.98</v>
      </c>
      <c r="D520" s="606" t="n">
        <v>0.99</v>
      </c>
      <c r="E520" s="606" t="n">
        <v>1</v>
      </c>
      <c r="F520" s="606" t="n">
        <v>1</v>
      </c>
      <c r="G520" s="606" t="n">
        <v>1.02</v>
      </c>
    </row>
    <row r="521">
      <c r="B521" t="inlineStr">
        <is>
          <t>Greeley</t>
        </is>
      </c>
      <c r="C521" s="606" t="n">
        <v>0.98</v>
      </c>
      <c r="D521" s="606" t="n">
        <v>1</v>
      </c>
      <c r="E521" s="606" t="n">
        <v>1.01</v>
      </c>
      <c r="F521" s="606" t="n">
        <v>0.99</v>
      </c>
      <c r="G521" s="606" t="n">
        <v>0.99</v>
      </c>
    </row>
    <row r="522">
      <c r="B522" t="inlineStr">
        <is>
          <t>Gunnison County</t>
        </is>
      </c>
      <c r="C522" s="606" t="n">
        <v>0.93</v>
      </c>
      <c r="D522" s="606" t="n">
        <v>0.99</v>
      </c>
      <c r="E522" s="606" t="n">
        <v>0.97</v>
      </c>
      <c r="F522" s="606" t="n">
        <v>0.96</v>
      </c>
      <c r="G522" s="606" t="n">
        <v>0.97</v>
      </c>
    </row>
    <row r="523">
      <c r="B523" t="inlineStr">
        <is>
          <t>Kit Carson County</t>
        </is>
      </c>
      <c r="C523" s="606" t="n">
        <v>0.89</v>
      </c>
      <c r="D523" s="606" t="n">
        <v>0.89</v>
      </c>
      <c r="E523" s="606" t="n">
        <v>0.9</v>
      </c>
      <c r="F523" s="606" t="n">
        <v>0.89</v>
      </c>
      <c r="G523" s="606" t="n">
        <v>0.91</v>
      </c>
    </row>
    <row r="524">
      <c r="B524" t="inlineStr">
        <is>
          <t>Logan County</t>
        </is>
      </c>
      <c r="C524" s="606" t="n">
        <v>0.91</v>
      </c>
      <c r="D524" s="606" t="n">
        <v>0.91</v>
      </c>
      <c r="E524" s="606" t="n">
        <v>0.92</v>
      </c>
      <c r="F524" s="606" t="n">
        <v>0.9</v>
      </c>
      <c r="G524" s="606" t="n">
        <v>0.92</v>
      </c>
    </row>
    <row r="525">
      <c r="B525" t="inlineStr">
        <is>
          <t>Longmont</t>
        </is>
      </c>
      <c r="C525" s="606" t="n">
        <v>0.97</v>
      </c>
      <c r="D525" s="606" t="n">
        <v>0.97</v>
      </c>
      <c r="E525" s="606" t="n">
        <v>1</v>
      </c>
      <c r="F525" s="606" t="n">
        <v>0.98</v>
      </c>
      <c r="G525" s="606" t="n">
        <v>1</v>
      </c>
    </row>
    <row r="526">
      <c r="B526" t="inlineStr">
        <is>
          <t>Loveland</t>
        </is>
      </c>
      <c r="C526" s="606" t="n">
        <v>0.96</v>
      </c>
      <c r="D526" s="606" t="n">
        <v>0.98</v>
      </c>
      <c r="E526" s="606" t="n">
        <v>1.01</v>
      </c>
      <c r="F526" s="606" t="n">
        <v>0.99</v>
      </c>
      <c r="G526" s="606" t="n">
        <v>0.99</v>
      </c>
    </row>
    <row r="527">
      <c r="B527" t="inlineStr">
        <is>
          <t>Moffat County</t>
        </is>
      </c>
      <c r="C527" s="606" t="n">
        <v>0.9</v>
      </c>
      <c r="D527" s="606" t="n">
        <v>0.93</v>
      </c>
      <c r="E527" s="606" t="n">
        <v>0.91</v>
      </c>
      <c r="F527" s="606" t="n">
        <v>0.92</v>
      </c>
      <c r="G527" s="606" t="n">
        <v>0.93</v>
      </c>
    </row>
    <row r="528">
      <c r="B528" t="inlineStr">
        <is>
          <t>Montrose County</t>
        </is>
      </c>
      <c r="C528" s="606" t="n">
        <v>0.9</v>
      </c>
      <c r="D528" s="606" t="n">
        <v>0.92</v>
      </c>
      <c r="E528" s="606" t="n">
        <v>0.93</v>
      </c>
      <c r="F528" s="606" t="n">
        <v>0.9</v>
      </c>
      <c r="G528" s="606" t="n">
        <v>0.92</v>
      </c>
    </row>
    <row r="529">
      <c r="B529" t="inlineStr">
        <is>
          <t>Prowers County</t>
        </is>
      </c>
      <c r="C529" s="606" t="n">
        <v>0.9</v>
      </c>
      <c r="D529" s="606" t="n">
        <v>0.92</v>
      </c>
      <c r="E529" s="606" t="n">
        <v>0.91</v>
      </c>
      <c r="F529" s="606" t="n">
        <v>0.91</v>
      </c>
      <c r="G529" s="606" t="n">
        <v>0.91</v>
      </c>
    </row>
    <row r="530">
      <c r="B530" t="inlineStr">
        <is>
          <t>Pueblo</t>
        </is>
      </c>
      <c r="C530" s="606" t="n">
        <v>0.95</v>
      </c>
      <c r="D530" s="606" t="n">
        <v>0.95</v>
      </c>
      <c r="E530" s="606" t="n">
        <v>0.95</v>
      </c>
      <c r="F530" s="606" t="n">
        <v>0.95</v>
      </c>
      <c r="G530" s="606" t="n">
        <v>0.95</v>
      </c>
    </row>
    <row r="531">
      <c r="B531" t="inlineStr">
        <is>
          <t>Steamboat Springs</t>
        </is>
      </c>
      <c r="C531" s="606" t="n">
        <v>1.15</v>
      </c>
      <c r="D531" s="606" t="n">
        <v>1.17</v>
      </c>
      <c r="E531" s="606" t="n">
        <v>1.16</v>
      </c>
      <c r="F531" s="606" t="n">
        <v>1.14</v>
      </c>
      <c r="G531" s="606" t="n">
        <v>1.14</v>
      </c>
    </row>
    <row r="532">
      <c r="B532" t="inlineStr">
        <is>
          <t>Vail</t>
        </is>
      </c>
      <c r="C532" s="606" t="n">
        <v>1.13</v>
      </c>
      <c r="D532" s="606" t="n">
        <v>1.16</v>
      </c>
      <c r="E532" s="606" t="n">
        <v>1.14</v>
      </c>
      <c r="F532" s="606" t="n">
        <v>1.13</v>
      </c>
      <c r="G532" s="606" t="n">
        <v>1.13</v>
      </c>
    </row>
    <row r="533"/>
    <row r="534">
      <c r="B534" s="603" t="inlineStr">
        <is>
          <t>REFERENCE 10 -- Section 98 Denver-Specific Quarterly Cost Index (for De-Trend to Appraisal Date; Jan 2025 = 1.000)</t>
        </is>
      </c>
      <c r="C534" s="603" t="n"/>
      <c r="D534" s="603" t="n"/>
      <c r="E534" s="603" t="n"/>
      <c r="F534" s="603" t="n"/>
      <c r="G534" s="603" t="n"/>
      <c r="H534" s="603" t="n"/>
    </row>
    <row r="535">
      <c r="B535" s="608" t="inlineStr">
        <is>
          <t>Do NOT combine with the Local Area Multiplier above -- Sec.98's district/city index is already geographically resolved to Denver (MVS explicit warning, Sec.98 p.1/p.5).</t>
        </is>
      </c>
    </row>
    <row r="536">
      <c r="B536" s="604" t="inlineStr">
        <is>
          <t>Quarter</t>
        </is>
      </c>
      <c r="C536" s="604" t="inlineStr">
        <is>
          <t>Class A</t>
        </is>
      </c>
      <c r="D536" s="604" t="inlineStr">
        <is>
          <t>Class B</t>
        </is>
      </c>
      <c r="E536" s="604" t="inlineStr">
        <is>
          <t>Class C</t>
        </is>
      </c>
      <c r="F536" s="604" t="inlineStr">
        <is>
          <t>Class D</t>
        </is>
      </c>
      <c r="G536" s="604" t="inlineStr">
        <is>
          <t>Class S</t>
        </is>
      </c>
    </row>
    <row r="537">
      <c r="B537" t="inlineStr">
        <is>
          <t>Jan 2025</t>
        </is>
      </c>
      <c r="C537" s="607" t="n">
        <v>1</v>
      </c>
      <c r="D537" s="607" t="n">
        <v>1</v>
      </c>
      <c r="E537" s="607" t="n">
        <v>1</v>
      </c>
      <c r="F537" s="607" t="n">
        <v>1</v>
      </c>
      <c r="G537" s="607" t="n">
        <v>1</v>
      </c>
    </row>
    <row r="538">
      <c r="B538" t="inlineStr">
        <is>
          <t>Oct 2024</t>
        </is>
      </c>
      <c r="C538" s="607" t="n">
        <v>1.016</v>
      </c>
      <c r="D538" s="607" t="n">
        <v>1.008</v>
      </c>
      <c r="E538" s="607" t="n">
        <v>0.999</v>
      </c>
      <c r="F538" s="607" t="n">
        <v>1.006</v>
      </c>
      <c r="G538" s="607" t="n">
        <v>1.01</v>
      </c>
    </row>
    <row r="539">
      <c r="B539" t="inlineStr">
        <is>
          <t>Jul 2024</t>
        </is>
      </c>
      <c r="C539" s="607" t="n">
        <v>1.017</v>
      </c>
      <c r="D539" s="607" t="n">
        <v>1.014</v>
      </c>
      <c r="E539" s="607" t="n">
        <v>1.004</v>
      </c>
      <c r="F539" s="607" t="n">
        <v>1.008</v>
      </c>
      <c r="G539" s="607" t="n">
        <v>1.014</v>
      </c>
    </row>
    <row r="540">
      <c r="B540" t="inlineStr">
        <is>
          <t>Apr 2024</t>
        </is>
      </c>
      <c r="C540" s="607" t="n">
        <v>1.034</v>
      </c>
      <c r="D540" s="607" t="n">
        <v>1.027</v>
      </c>
      <c r="E540" s="607" t="n">
        <v>1.012</v>
      </c>
      <c r="F540" s="607" t="n">
        <v>1.016</v>
      </c>
      <c r="G540" s="607" t="n">
        <v>1.024</v>
      </c>
    </row>
    <row r="541">
      <c r="B541" t="inlineStr">
        <is>
          <t>Jan 2024</t>
        </is>
      </c>
      <c r="C541" s="607" t="n">
        <v>1.037</v>
      </c>
      <c r="D541" s="607" t="n">
        <v>1.027</v>
      </c>
      <c r="E541" s="607" t="n">
        <v>1.02</v>
      </c>
      <c r="F541" s="607" t="n">
        <v>1.015</v>
      </c>
      <c r="G541" s="607" t="n">
        <v>1.026</v>
      </c>
    </row>
    <row r="542">
      <c r="B542" t="inlineStr">
        <is>
          <t>Oct 2023</t>
        </is>
      </c>
      <c r="C542" s="607" t="n">
        <v>1.046</v>
      </c>
      <c r="D542" s="607" t="n">
        <v>1.025</v>
      </c>
      <c r="E542" s="607" t="n">
        <v>1.021</v>
      </c>
      <c r="F542" s="607" t="n">
        <v>1.015</v>
      </c>
      <c r="G542" s="607" t="n">
        <v>1.029</v>
      </c>
    </row>
    <row r="543">
      <c r="B543" t="inlineStr">
        <is>
          <t>Jul 2023</t>
        </is>
      </c>
      <c r="C543" s="607" t="n">
        <v>1.064</v>
      </c>
      <c r="D543" s="607" t="n">
        <v>1.029</v>
      </c>
      <c r="E543" s="607" t="n">
        <v>1.022</v>
      </c>
      <c r="F543" s="607" t="n">
        <v>1.014</v>
      </c>
      <c r="G543" s="607" t="n">
        <v>1.034</v>
      </c>
    </row>
    <row r="544">
      <c r="B544" t="inlineStr">
        <is>
          <t>Apr 2023</t>
        </is>
      </c>
      <c r="C544" s="607" t="n">
        <v>1.078</v>
      </c>
      <c r="D544" s="607" t="n">
        <v>1.034</v>
      </c>
      <c r="E544" s="607" t="n">
        <v>1.017</v>
      </c>
      <c r="F544" s="607" t="n">
        <v>1.007</v>
      </c>
      <c r="G544" s="607" t="n">
        <v>1.03</v>
      </c>
    </row>
    <row r="545">
      <c r="B545" t="inlineStr">
        <is>
          <t>Jan 2023</t>
        </is>
      </c>
      <c r="C545" s="607" t="n">
        <v>1.076</v>
      </c>
      <c r="D545" s="607" t="n">
        <v>1.033</v>
      </c>
      <c r="E545" s="607" t="n">
        <v>1.011</v>
      </c>
      <c r="F545" s="607" t="n">
        <v>0.998</v>
      </c>
      <c r="G545" s="607" t="n">
        <v>1.023</v>
      </c>
    </row>
    <row r="546">
      <c r="B546" t="inlineStr">
        <is>
          <t>Oct 2022</t>
        </is>
      </c>
      <c r="C546" s="607" t="n">
        <v>1.077</v>
      </c>
      <c r="D546" s="607" t="n">
        <v>1.032</v>
      </c>
      <c r="E546" s="607" t="n">
        <v>1.005</v>
      </c>
      <c r="F546" s="607" t="n">
        <v>0.987</v>
      </c>
      <c r="G546" s="607" t="n">
        <v>1.005</v>
      </c>
    </row>
    <row r="547">
      <c r="B547" t="inlineStr">
        <is>
          <t>Jul 2022</t>
        </is>
      </c>
      <c r="C547" s="607" t="n">
        <v>1.091</v>
      </c>
      <c r="D547" s="607" t="n">
        <v>1.046</v>
      </c>
      <c r="E547" s="607" t="n">
        <v>1.011</v>
      </c>
      <c r="F547" s="607" t="n">
        <v>0.985</v>
      </c>
      <c r="G547" s="607" t="n">
        <v>1.006</v>
      </c>
    </row>
    <row r="548">
      <c r="B548" t="inlineStr">
        <is>
          <t>Apr 2022</t>
        </is>
      </c>
      <c r="C548" s="607" t="n">
        <v>1.156</v>
      </c>
      <c r="D548" s="607" t="n">
        <v>1.134</v>
      </c>
      <c r="E548" s="607" t="n">
        <v>1.103</v>
      </c>
      <c r="F548" s="607" t="n">
        <v>1.089</v>
      </c>
      <c r="G548" s="607" t="n">
        <v>1.108</v>
      </c>
    </row>
    <row r="549">
      <c r="B549" t="inlineStr">
        <is>
          <t>Jan 2022</t>
        </is>
      </c>
      <c r="C549" s="607" t="n">
        <v>1.229</v>
      </c>
      <c r="D549" s="607" t="n">
        <v>1.179</v>
      </c>
      <c r="E549" s="607" t="n">
        <v>1.148</v>
      </c>
      <c r="F549" s="607" t="n">
        <v>1.123</v>
      </c>
      <c r="G549" s="607" t="n">
        <v>1.158</v>
      </c>
    </row>
    <row r="550"/>
    <row r="551">
      <c r="B551" s="603" t="inlineStr">
        <is>
          <t>REFERENCE 11 -- Typical Building Life Expectancy, Years (MVS Sec.97 pp.10-13, verified exact transcription)</t>
        </is>
      </c>
      <c r="C551" s="603" t="n"/>
      <c r="D551" s="603" t="n"/>
      <c r="E551" s="603" t="n"/>
      <c r="F551" s="603" t="n"/>
      <c r="G551" s="603" t="n"/>
      <c r="H551" s="603" t="n"/>
    </row>
    <row r="552">
      <c r="B552" s="609" t="inlineStr">
        <is>
          <t>Some tiers are printed jointly in the manual (e.g. 'Good and Excellent') -- expanded below into one row per selectable Quality for lookup purposes; values are identical across the tiers the manual grouped together.</t>
        </is>
      </c>
    </row>
    <row r="553">
      <c r="B553" s="604" t="inlineStr">
        <is>
          <t>Occupancy Name</t>
        </is>
      </c>
      <c r="C553" s="604" t="inlineStr">
        <is>
          <t>Quality</t>
        </is>
      </c>
      <c r="D553" s="604" t="inlineStr">
        <is>
          <t>Class A</t>
        </is>
      </c>
      <c r="E553" s="604" t="inlineStr">
        <is>
          <t>Class B</t>
        </is>
      </c>
      <c r="F553" s="604" t="inlineStr">
        <is>
          <t>Class C</t>
        </is>
      </c>
      <c r="G553" s="604" t="inlineStr">
        <is>
          <t>Class D</t>
        </is>
      </c>
      <c r="H553" s="604" t="inlineStr">
        <is>
          <t>Class S</t>
        </is>
      </c>
      <c r="I553" s="604" t="inlineStr">
        <is>
          <t>Key</t>
        </is>
      </c>
    </row>
    <row r="554">
      <c r="B554" t="inlineStr">
        <is>
          <t>Storage Warehouses</t>
        </is>
      </c>
      <c r="C554" t="inlineStr">
        <is>
          <t>Excellent</t>
        </is>
      </c>
      <c r="F554" t="n">
        <v>50</v>
      </c>
      <c r="H554" t="n">
        <v>45</v>
      </c>
      <c r="I554">
        <f>B554&amp;"~"&amp;C554</f>
        <v/>
      </c>
    </row>
    <row r="555">
      <c r="B555" t="inlineStr">
        <is>
          <t>Storage Warehouses</t>
        </is>
      </c>
      <c r="C555" t="inlineStr">
        <is>
          <t>Average</t>
        </is>
      </c>
      <c r="D555" t="n">
        <v>50</v>
      </c>
      <c r="E555" t="n">
        <v>50</v>
      </c>
      <c r="F555" t="n">
        <v>45</v>
      </c>
      <c r="G555" t="n">
        <v>40</v>
      </c>
      <c r="H555" t="n">
        <v>40</v>
      </c>
      <c r="I555">
        <f>B555&amp;"~"&amp;C555</f>
        <v/>
      </c>
    </row>
    <row r="556">
      <c r="B556" t="inlineStr">
        <is>
          <t>Storage Warehouses</t>
        </is>
      </c>
      <c r="C556" t="inlineStr">
        <is>
          <t>Good</t>
        </is>
      </c>
      <c r="D556" t="n">
        <v>50</v>
      </c>
      <c r="E556" t="n">
        <v>50</v>
      </c>
      <c r="F556" t="n">
        <v>45</v>
      </c>
      <c r="G556" t="n">
        <v>40</v>
      </c>
      <c r="H556" t="n">
        <v>40</v>
      </c>
      <c r="I556">
        <f>B556&amp;"~"&amp;C556</f>
        <v/>
      </c>
    </row>
    <row r="557">
      <c r="B557" t="inlineStr">
        <is>
          <t>Storage Warehouses</t>
        </is>
      </c>
      <c r="C557" t="inlineStr">
        <is>
          <t>Cheap</t>
        </is>
      </c>
      <c r="D557" t="n">
        <v>45</v>
      </c>
      <c r="E557" t="n">
        <v>45</v>
      </c>
      <c r="F557" t="n">
        <v>40</v>
      </c>
      <c r="G557" t="n">
        <v>35</v>
      </c>
      <c r="H557" t="n">
        <v>35</v>
      </c>
      <c r="I557">
        <f>B557&amp;"~"&amp;C557</f>
        <v/>
      </c>
    </row>
    <row r="558">
      <c r="B558" t="inlineStr">
        <is>
          <t>Storage Warehouses</t>
        </is>
      </c>
      <c r="C558" t="inlineStr">
        <is>
          <t>Low Cost</t>
        </is>
      </c>
      <c r="D558" t="n">
        <v>45</v>
      </c>
      <c r="E558" t="n">
        <v>45</v>
      </c>
      <c r="F558" t="n">
        <v>40</v>
      </c>
      <c r="G558" t="n">
        <v>35</v>
      </c>
      <c r="H558" t="n">
        <v>35</v>
      </c>
      <c r="I558">
        <f>B558&amp;"~"&amp;C558</f>
        <v/>
      </c>
    </row>
    <row r="559">
      <c r="B559" t="inlineStr">
        <is>
          <t>Distribution Warehouses</t>
        </is>
      </c>
      <c r="C559" t="inlineStr">
        <is>
          <t>Good</t>
        </is>
      </c>
      <c r="D559" t="n">
        <v>55</v>
      </c>
      <c r="E559" t="n">
        <v>55</v>
      </c>
      <c r="F559" t="n">
        <v>50</v>
      </c>
      <c r="G559" t="n">
        <v>45</v>
      </c>
      <c r="H559" t="n">
        <v>45</v>
      </c>
      <c r="I559">
        <f>B559&amp;"~"&amp;C559</f>
        <v/>
      </c>
    </row>
    <row r="560">
      <c r="B560" t="inlineStr">
        <is>
          <t>Distribution Warehouses</t>
        </is>
      </c>
      <c r="C560" t="inlineStr">
        <is>
          <t>Excellent</t>
        </is>
      </c>
      <c r="D560" t="n">
        <v>55</v>
      </c>
      <c r="E560" t="n">
        <v>55</v>
      </c>
      <c r="F560" t="n">
        <v>50</v>
      </c>
      <c r="G560" t="n">
        <v>45</v>
      </c>
      <c r="H560" t="n">
        <v>45</v>
      </c>
      <c r="I560">
        <f>B560&amp;"~"&amp;C560</f>
        <v/>
      </c>
    </row>
    <row r="561">
      <c r="B561" t="inlineStr">
        <is>
          <t>Distribution Warehouses</t>
        </is>
      </c>
      <c r="C561" t="inlineStr">
        <is>
          <t>Average</t>
        </is>
      </c>
      <c r="D561" t="n">
        <v>50</v>
      </c>
      <c r="E561" t="n">
        <v>50</v>
      </c>
      <c r="F561" t="n">
        <v>45</v>
      </c>
      <c r="G561" t="n">
        <v>40</v>
      </c>
      <c r="H561" t="n">
        <v>40</v>
      </c>
      <c r="I561">
        <f>B561&amp;"~"&amp;C561</f>
        <v/>
      </c>
    </row>
    <row r="562">
      <c r="B562" t="inlineStr">
        <is>
          <t>Distribution Warehouses</t>
        </is>
      </c>
      <c r="C562" t="inlineStr">
        <is>
          <t>Low Cost</t>
        </is>
      </c>
      <c r="F562" t="n">
        <v>40</v>
      </c>
      <c r="G562" t="n">
        <v>35</v>
      </c>
      <c r="H562" t="n">
        <v>35</v>
      </c>
      <c r="I562">
        <f>B562&amp;"~"&amp;C562</f>
        <v/>
      </c>
    </row>
    <row r="563">
      <c r="B563" t="inlineStr">
        <is>
          <t>Mini-Warehouses / Self-Storage</t>
        </is>
      </c>
      <c r="C563" t="inlineStr">
        <is>
          <t>Good</t>
        </is>
      </c>
      <c r="F563" t="n">
        <v>45</v>
      </c>
      <c r="G563" t="n">
        <v>40</v>
      </c>
      <c r="H563" t="n">
        <v>40</v>
      </c>
      <c r="I563">
        <f>B563&amp;"~"&amp;C563</f>
        <v/>
      </c>
    </row>
    <row r="564">
      <c r="B564" t="inlineStr">
        <is>
          <t>Mini-Warehouses / Self-Storage</t>
        </is>
      </c>
      <c r="C564" t="inlineStr">
        <is>
          <t>Average</t>
        </is>
      </c>
      <c r="D564" t="n">
        <v>45</v>
      </c>
      <c r="E564" t="n">
        <v>45</v>
      </c>
      <c r="F564" t="n">
        <v>40</v>
      </c>
      <c r="G564" t="n">
        <v>35</v>
      </c>
      <c r="H564" t="n">
        <v>35</v>
      </c>
      <c r="I564">
        <f>B564&amp;"~"&amp;C564</f>
        <v/>
      </c>
    </row>
    <row r="565">
      <c r="B565" t="inlineStr">
        <is>
          <t>Mini-Warehouses / Self-Storage</t>
        </is>
      </c>
      <c r="C565" t="inlineStr">
        <is>
          <t>Low Cost</t>
        </is>
      </c>
      <c r="F565" t="n">
        <v>35</v>
      </c>
      <c r="G565" t="n">
        <v>30</v>
      </c>
      <c r="H565" t="n">
        <v>30</v>
      </c>
      <c r="I565">
        <f>B565&amp;"~"&amp;C565</f>
        <v/>
      </c>
    </row>
    <row r="566">
      <c r="B566" t="inlineStr">
        <is>
          <t>Mini-Warehouses / Self-Storage</t>
        </is>
      </c>
      <c r="C566" t="inlineStr">
        <is>
          <t>Cheap</t>
        </is>
      </c>
      <c r="F566" t="n">
        <v>35</v>
      </c>
      <c r="G566" t="n">
        <v>30</v>
      </c>
      <c r="H566" t="n">
        <v>30</v>
      </c>
      <c r="I566">
        <f>B566&amp;"~"&amp;C566</f>
        <v/>
      </c>
    </row>
    <row r="567">
      <c r="B567" t="inlineStr">
        <is>
          <t>Mini-Warehouses, High-Rise</t>
        </is>
      </c>
      <c r="C567" t="inlineStr">
        <is>
          <t>Good</t>
        </is>
      </c>
      <c r="F567" t="n">
        <v>45</v>
      </c>
      <c r="G567" t="n">
        <v>40</v>
      </c>
      <c r="H567" t="n">
        <v>40</v>
      </c>
      <c r="I567">
        <f>B567&amp;"~"&amp;C567</f>
        <v/>
      </c>
    </row>
    <row r="568">
      <c r="B568" t="inlineStr">
        <is>
          <t>Mini-Warehouses, High-Rise</t>
        </is>
      </c>
      <c r="C568" t="inlineStr">
        <is>
          <t>Average</t>
        </is>
      </c>
      <c r="D568" t="n">
        <v>45</v>
      </c>
      <c r="E568" t="n">
        <v>45</v>
      </c>
      <c r="F568" t="n">
        <v>40</v>
      </c>
      <c r="G568" t="n">
        <v>35</v>
      </c>
      <c r="H568" t="n">
        <v>35</v>
      </c>
      <c r="I568">
        <f>B568&amp;"~"&amp;C568</f>
        <v/>
      </c>
    </row>
    <row r="569">
      <c r="B569" t="inlineStr">
        <is>
          <t>Mini-Warehouses, High-Rise</t>
        </is>
      </c>
      <c r="C569" t="inlineStr">
        <is>
          <t>Low Cost</t>
        </is>
      </c>
      <c r="F569" t="n">
        <v>35</v>
      </c>
      <c r="G569" t="n">
        <v>30</v>
      </c>
      <c r="H569" t="n">
        <v>30</v>
      </c>
      <c r="I569">
        <f>B569&amp;"~"&amp;C569</f>
        <v/>
      </c>
    </row>
    <row r="570">
      <c r="B570" t="inlineStr">
        <is>
          <t>Industrials, Light Manufacturing</t>
        </is>
      </c>
      <c r="C570" t="inlineStr">
        <is>
          <t>Good</t>
        </is>
      </c>
      <c r="D570" t="n">
        <v>50</v>
      </c>
      <c r="E570" t="n">
        <v>50</v>
      </c>
      <c r="F570" t="n">
        <v>45</v>
      </c>
      <c r="G570" t="n">
        <v>40</v>
      </c>
      <c r="H570" t="n">
        <v>40</v>
      </c>
      <c r="I570">
        <f>B570&amp;"~"&amp;C570</f>
        <v/>
      </c>
    </row>
    <row r="571">
      <c r="B571" t="inlineStr">
        <is>
          <t>Industrials, Light Manufacturing</t>
        </is>
      </c>
      <c r="C571" t="inlineStr">
        <is>
          <t>Average</t>
        </is>
      </c>
      <c r="D571" t="n">
        <v>50</v>
      </c>
      <c r="E571" t="n">
        <v>50</v>
      </c>
      <c r="F571" t="n">
        <v>40</v>
      </c>
      <c r="G571" t="n">
        <v>35</v>
      </c>
      <c r="H571" t="n">
        <v>35</v>
      </c>
      <c r="I571">
        <f>B571&amp;"~"&amp;C571</f>
        <v/>
      </c>
    </row>
    <row r="572">
      <c r="B572" t="inlineStr">
        <is>
          <t>Industrials, Light Manufacturing</t>
        </is>
      </c>
      <c r="C572" t="inlineStr">
        <is>
          <t>Low Cost</t>
        </is>
      </c>
      <c r="D572" t="n">
        <v>45</v>
      </c>
      <c r="E572" t="n">
        <v>45</v>
      </c>
      <c r="F572" t="n">
        <v>40</v>
      </c>
      <c r="G572" t="n">
        <v>35</v>
      </c>
      <c r="H572" t="n">
        <v>35</v>
      </c>
      <c r="I572">
        <f>B572&amp;"~"&amp;C572</f>
        <v/>
      </c>
    </row>
    <row r="573">
      <c r="B573" t="inlineStr">
        <is>
          <t>Industrials, Heavy (Process) Manufacturing</t>
        </is>
      </c>
      <c r="C573" t="inlineStr">
        <is>
          <t>Good</t>
        </is>
      </c>
      <c r="D573" t="n">
        <v>60</v>
      </c>
      <c r="E573" t="n">
        <v>60</v>
      </c>
      <c r="F573" t="n">
        <v>55</v>
      </c>
      <c r="H573" t="n">
        <v>50</v>
      </c>
      <c r="I573">
        <f>B573&amp;"~"&amp;C573</f>
        <v/>
      </c>
    </row>
    <row r="574">
      <c r="B574" t="inlineStr">
        <is>
          <t>Industrials, Heavy (Process) Manufacturing</t>
        </is>
      </c>
      <c r="C574" t="inlineStr">
        <is>
          <t>Excellent</t>
        </is>
      </c>
      <c r="D574" t="n">
        <v>60</v>
      </c>
      <c r="E574" t="n">
        <v>60</v>
      </c>
      <c r="F574" t="n">
        <v>55</v>
      </c>
      <c r="H574" t="n">
        <v>50</v>
      </c>
      <c r="I574">
        <f>B574&amp;"~"&amp;C574</f>
        <v/>
      </c>
    </row>
    <row r="575">
      <c r="B575" t="inlineStr">
        <is>
          <t>Industrials, Heavy (Process) Manufacturing</t>
        </is>
      </c>
      <c r="C575" t="inlineStr">
        <is>
          <t>Low Cost</t>
        </is>
      </c>
      <c r="D575" t="n">
        <v>55</v>
      </c>
      <c r="E575" t="n">
        <v>55</v>
      </c>
      <c r="F575" t="n">
        <v>50</v>
      </c>
      <c r="G575" t="n">
        <v>45</v>
      </c>
      <c r="H575" t="n">
        <v>45</v>
      </c>
      <c r="I575">
        <f>B575&amp;"~"&amp;C575</f>
        <v/>
      </c>
    </row>
    <row r="576">
      <c r="B576" t="inlineStr">
        <is>
          <t>Industrials, Heavy (Process) Manufacturing</t>
        </is>
      </c>
      <c r="C576" t="inlineStr">
        <is>
          <t>Average</t>
        </is>
      </c>
      <c r="D576" t="n">
        <v>55</v>
      </c>
      <c r="E576" t="n">
        <v>55</v>
      </c>
      <c r="F576" t="n">
        <v>50</v>
      </c>
      <c r="G576" t="n">
        <v>45</v>
      </c>
      <c r="H576" t="n">
        <v>45</v>
      </c>
      <c r="I576">
        <f>B576&amp;"~"&amp;C576</f>
        <v/>
      </c>
    </row>
    <row r="577">
      <c r="B577" t="inlineStr">
        <is>
          <t>Service Garages (Commercial/Repair)</t>
        </is>
      </c>
      <c r="C577" t="inlineStr">
        <is>
          <t>Good</t>
        </is>
      </c>
      <c r="F577" t="n">
        <v>40</v>
      </c>
      <c r="G577" t="n">
        <v>35</v>
      </c>
      <c r="H577" t="n">
        <v>35</v>
      </c>
      <c r="I577">
        <f>B577&amp;"~"&amp;C577</f>
        <v/>
      </c>
    </row>
    <row r="578">
      <c r="B578" t="inlineStr">
        <is>
          <t>Service Garages (Commercial/Repair)</t>
        </is>
      </c>
      <c r="C578" t="inlineStr">
        <is>
          <t>Excellent</t>
        </is>
      </c>
      <c r="F578" t="n">
        <v>40</v>
      </c>
      <c r="G578" t="n">
        <v>35</v>
      </c>
      <c r="H578" t="n">
        <v>35</v>
      </c>
      <c r="I578">
        <f>B578&amp;"~"&amp;C578</f>
        <v/>
      </c>
    </row>
    <row r="579">
      <c r="B579" t="inlineStr">
        <is>
          <t>Service Garages (Commercial/Repair)</t>
        </is>
      </c>
      <c r="C579" t="inlineStr">
        <is>
          <t>Low Cost</t>
        </is>
      </c>
      <c r="D579" t="n">
        <v>40</v>
      </c>
      <c r="E579" t="n">
        <v>40</v>
      </c>
      <c r="F579" t="n">
        <v>35</v>
      </c>
      <c r="G579" t="n">
        <v>30</v>
      </c>
      <c r="H579" t="n">
        <v>30</v>
      </c>
      <c r="I579">
        <f>B579&amp;"~"&amp;C579</f>
        <v/>
      </c>
    </row>
    <row r="580">
      <c r="B580" t="inlineStr">
        <is>
          <t>Service Garages (Commercial/Repair)</t>
        </is>
      </c>
      <c r="C580" t="inlineStr">
        <is>
          <t>Average</t>
        </is>
      </c>
      <c r="D580" t="n">
        <v>40</v>
      </c>
      <c r="E580" t="n">
        <v>40</v>
      </c>
      <c r="F580" t="n">
        <v>35</v>
      </c>
      <c r="G580" t="n">
        <v>30</v>
      </c>
      <c r="H580" t="n">
        <v>30</v>
      </c>
      <c r="I580">
        <f>B580&amp;"~"&amp;C580</f>
        <v/>
      </c>
    </row>
    <row r="581">
      <c r="B581" t="inlineStr">
        <is>
          <t>Retail Stores</t>
        </is>
      </c>
      <c r="C581" t="inlineStr">
        <is>
          <t>Good</t>
        </is>
      </c>
      <c r="D581" t="n">
        <v>55</v>
      </c>
      <c r="E581" t="n">
        <v>55</v>
      </c>
      <c r="F581" t="n">
        <v>50</v>
      </c>
      <c r="G581" t="n">
        <v>45</v>
      </c>
      <c r="H581" t="n">
        <v>45</v>
      </c>
      <c r="I581">
        <f>B581&amp;"~"&amp;C581</f>
        <v/>
      </c>
    </row>
    <row r="582">
      <c r="B582" t="inlineStr">
        <is>
          <t>Retail Stores</t>
        </is>
      </c>
      <c r="C582" t="inlineStr">
        <is>
          <t>Excellent</t>
        </is>
      </c>
      <c r="D582" t="n">
        <v>55</v>
      </c>
      <c r="E582" t="n">
        <v>55</v>
      </c>
      <c r="F582" t="n">
        <v>50</v>
      </c>
      <c r="G582" t="n">
        <v>45</v>
      </c>
      <c r="H582" t="n">
        <v>45</v>
      </c>
      <c r="I582">
        <f>B582&amp;"~"&amp;C582</f>
        <v/>
      </c>
    </row>
    <row r="583">
      <c r="B583" t="inlineStr">
        <is>
          <t>Retail Stores</t>
        </is>
      </c>
      <c r="C583" t="inlineStr">
        <is>
          <t>Average</t>
        </is>
      </c>
      <c r="D583" t="n">
        <v>50</v>
      </c>
      <c r="E583" t="n">
        <v>50</v>
      </c>
      <c r="F583" t="n">
        <v>45</v>
      </c>
      <c r="G583" t="n">
        <v>40</v>
      </c>
      <c r="H583" t="n">
        <v>40</v>
      </c>
      <c r="I583">
        <f>B583&amp;"~"&amp;C583</f>
        <v/>
      </c>
    </row>
    <row r="584">
      <c r="B584" t="inlineStr">
        <is>
          <t>Retail Stores</t>
        </is>
      </c>
      <c r="C584" t="inlineStr">
        <is>
          <t>Low Cost</t>
        </is>
      </c>
      <c r="D584" t="n">
        <v>45</v>
      </c>
      <c r="E584" t="n">
        <v>45</v>
      </c>
      <c r="F584" t="n">
        <v>40</v>
      </c>
      <c r="G584" t="n">
        <v>40</v>
      </c>
      <c r="H584" t="n">
        <v>40</v>
      </c>
      <c r="I584">
        <f>B584&amp;"~"&amp;C584</f>
        <v/>
      </c>
    </row>
    <row r="585">
      <c r="B585" t="inlineStr">
        <is>
          <t>Neighborhood Shopping Centers</t>
        </is>
      </c>
      <c r="C585" t="inlineStr">
        <is>
          <t>Good</t>
        </is>
      </c>
      <c r="F585" t="n">
        <v>45</v>
      </c>
      <c r="G585" t="n">
        <v>40</v>
      </c>
      <c r="I585">
        <f>B585&amp;"~"&amp;C585</f>
        <v/>
      </c>
    </row>
    <row r="586">
      <c r="B586" t="inlineStr">
        <is>
          <t>Neighborhood Shopping Centers</t>
        </is>
      </c>
      <c r="C586" t="inlineStr">
        <is>
          <t>Average</t>
        </is>
      </c>
      <c r="F586" t="n">
        <v>40</v>
      </c>
      <c r="G586" t="n">
        <v>35</v>
      </c>
      <c r="H586" t="n">
        <v>35</v>
      </c>
      <c r="I586">
        <f>B586&amp;"~"&amp;C586</f>
        <v/>
      </c>
    </row>
    <row r="587">
      <c r="B587" t="inlineStr">
        <is>
          <t>Neighborhood Shopping Centers</t>
        </is>
      </c>
      <c r="C587" t="inlineStr">
        <is>
          <t>Low Cost</t>
        </is>
      </c>
      <c r="F587" t="n">
        <v>35</v>
      </c>
      <c r="G587" t="n">
        <v>30</v>
      </c>
      <c r="H587" t="n">
        <v>30</v>
      </c>
      <c r="I587">
        <f>B587&amp;"~"&amp;C587</f>
        <v/>
      </c>
    </row>
    <row r="588">
      <c r="B588" t="inlineStr">
        <is>
          <t>Community Shopping Centers</t>
        </is>
      </c>
      <c r="C588" t="inlineStr">
        <is>
          <t>Good</t>
        </is>
      </c>
      <c r="F588" t="n">
        <v>50</v>
      </c>
      <c r="G588" t="n">
        <v>45</v>
      </c>
      <c r="H588" t="n">
        <v>45</v>
      </c>
      <c r="I588">
        <f>B588&amp;"~"&amp;C588</f>
        <v/>
      </c>
    </row>
    <row r="589">
      <c r="B589" t="inlineStr">
        <is>
          <t>Community Shopping Centers</t>
        </is>
      </c>
      <c r="C589" t="inlineStr">
        <is>
          <t>Excellent</t>
        </is>
      </c>
      <c r="F589" t="n">
        <v>50</v>
      </c>
      <c r="G589" t="n">
        <v>45</v>
      </c>
      <c r="H589" t="n">
        <v>45</v>
      </c>
      <c r="I589">
        <f>B589&amp;"~"&amp;C589</f>
        <v/>
      </c>
    </row>
    <row r="590">
      <c r="B590" t="inlineStr">
        <is>
          <t>Community Shopping Centers</t>
        </is>
      </c>
      <c r="C590" t="inlineStr">
        <is>
          <t>Average</t>
        </is>
      </c>
      <c r="F590" t="n">
        <v>45</v>
      </c>
      <c r="G590" t="n">
        <v>40</v>
      </c>
      <c r="H590" t="n">
        <v>40</v>
      </c>
      <c r="I590">
        <f>B590&amp;"~"&amp;C590</f>
        <v/>
      </c>
    </row>
    <row r="591">
      <c r="B591" t="inlineStr">
        <is>
          <t>Community Shopping Centers</t>
        </is>
      </c>
      <c r="C591" t="inlineStr">
        <is>
          <t>Low Cost</t>
        </is>
      </c>
      <c r="F591" t="n">
        <v>45</v>
      </c>
      <c r="G591" t="n">
        <v>40</v>
      </c>
      <c r="H591" t="n">
        <v>40</v>
      </c>
      <c r="I591">
        <f>B591&amp;"~"&amp;C591</f>
        <v/>
      </c>
    </row>
    <row r="592">
      <c r="B592" t="inlineStr">
        <is>
          <t>Regional Shopping Centers</t>
        </is>
      </c>
      <c r="C592" t="inlineStr">
        <is>
          <t>Good</t>
        </is>
      </c>
      <c r="D592" t="n">
        <v>55</v>
      </c>
      <c r="E592" t="n">
        <v>55</v>
      </c>
      <c r="F592" t="n">
        <v>55</v>
      </c>
      <c r="G592" t="n">
        <v>50</v>
      </c>
      <c r="I592">
        <f>B592&amp;"~"&amp;C592</f>
        <v/>
      </c>
    </row>
    <row r="593">
      <c r="B593" t="inlineStr">
        <is>
          <t>Regional Shopping Centers</t>
        </is>
      </c>
      <c r="C593" t="inlineStr">
        <is>
          <t>Excellent</t>
        </is>
      </c>
      <c r="D593" t="n">
        <v>55</v>
      </c>
      <c r="E593" t="n">
        <v>55</v>
      </c>
      <c r="F593" t="n">
        <v>55</v>
      </c>
      <c r="G593" t="n">
        <v>50</v>
      </c>
      <c r="I593">
        <f>B593&amp;"~"&amp;C593</f>
        <v/>
      </c>
    </row>
    <row r="594">
      <c r="B594" t="inlineStr">
        <is>
          <t>Regional Shopping Centers</t>
        </is>
      </c>
      <c r="C594" t="inlineStr">
        <is>
          <t>Average</t>
        </is>
      </c>
      <c r="F594" t="n">
        <v>50</v>
      </c>
      <c r="G594" t="n">
        <v>45</v>
      </c>
      <c r="H594" t="n">
        <v>45</v>
      </c>
      <c r="I594">
        <f>B594&amp;"~"&amp;C594</f>
        <v/>
      </c>
    </row>
    <row r="595">
      <c r="B595" t="inlineStr">
        <is>
          <t>Regional Shopping Centers</t>
        </is>
      </c>
      <c r="C595" t="inlineStr">
        <is>
          <t>Good*</t>
        </is>
      </c>
      <c r="D595" t="n">
        <v>55</v>
      </c>
      <c r="E595" t="n">
        <v>55</v>
      </c>
      <c r="F595" t="n">
        <v>55</v>
      </c>
      <c r="G595" t="n">
        <v>50</v>
      </c>
      <c r="I595">
        <f>B595&amp;"~"&amp;C595</f>
        <v/>
      </c>
    </row>
    <row r="596">
      <c r="B596" t="inlineStr">
        <is>
          <t>Regional Shopping Centers</t>
        </is>
      </c>
      <c r="C596" t="inlineStr">
        <is>
          <t>Excellent*</t>
        </is>
      </c>
      <c r="D596" t="n">
        <v>55</v>
      </c>
      <c r="E596" t="n">
        <v>55</v>
      </c>
      <c r="F596" t="n">
        <v>55</v>
      </c>
      <c r="G596" t="n">
        <v>50</v>
      </c>
      <c r="I596">
        <f>B596&amp;"~"&amp;C596</f>
        <v/>
      </c>
    </row>
    <row r="597">
      <c r="B597" t="inlineStr">
        <is>
          <t>Department Stores</t>
        </is>
      </c>
      <c r="C597" t="inlineStr">
        <is>
          <t>Good</t>
        </is>
      </c>
      <c r="D597" t="n">
        <v>55</v>
      </c>
      <c r="E597" t="n">
        <v>55</v>
      </c>
      <c r="F597" t="n">
        <v>50</v>
      </c>
      <c r="I597">
        <f>B597&amp;"~"&amp;C597</f>
        <v/>
      </c>
    </row>
    <row r="598">
      <c r="B598" t="inlineStr">
        <is>
          <t>Department Stores</t>
        </is>
      </c>
      <c r="C598" t="inlineStr">
        <is>
          <t>Excellent</t>
        </is>
      </c>
      <c r="D598" t="n">
        <v>55</v>
      </c>
      <c r="E598" t="n">
        <v>55</v>
      </c>
      <c r="F598" t="n">
        <v>50</v>
      </c>
      <c r="I598">
        <f>B598&amp;"~"&amp;C598</f>
        <v/>
      </c>
    </row>
    <row r="599">
      <c r="B599" t="inlineStr">
        <is>
          <t>Department Stores</t>
        </is>
      </c>
      <c r="C599" t="inlineStr">
        <is>
          <t>Low Cost</t>
        </is>
      </c>
      <c r="D599" t="n">
        <v>50</v>
      </c>
      <c r="E599" t="n">
        <v>50</v>
      </c>
      <c r="F599" t="n">
        <v>45</v>
      </c>
      <c r="I599">
        <f>B599&amp;"~"&amp;C599</f>
        <v/>
      </c>
    </row>
    <row r="600">
      <c r="B600" t="inlineStr">
        <is>
          <t>Department Stores</t>
        </is>
      </c>
      <c r="C600" t="inlineStr">
        <is>
          <t>Average</t>
        </is>
      </c>
      <c r="D600" t="n">
        <v>50</v>
      </c>
      <c r="E600" t="n">
        <v>50</v>
      </c>
      <c r="F600" t="n">
        <v>45</v>
      </c>
      <c r="I600">
        <f>B600&amp;"~"&amp;C600</f>
        <v/>
      </c>
    </row>
    <row r="601">
      <c r="B601" t="inlineStr">
        <is>
          <t>Discount Stores</t>
        </is>
      </c>
      <c r="C601" t="inlineStr">
        <is>
          <t>Good</t>
        </is>
      </c>
      <c r="F601" t="n">
        <v>40</v>
      </c>
      <c r="G601" t="n">
        <v>35</v>
      </c>
      <c r="H601" t="n">
        <v>35</v>
      </c>
      <c r="I601">
        <f>B601&amp;"~"&amp;C601</f>
        <v/>
      </c>
    </row>
    <row r="602">
      <c r="B602" t="inlineStr">
        <is>
          <t>Discount Stores</t>
        </is>
      </c>
      <c r="C602" t="inlineStr">
        <is>
          <t>Low Cost</t>
        </is>
      </c>
      <c r="D602" t="n">
        <v>40</v>
      </c>
      <c r="E602" t="n">
        <v>40</v>
      </c>
      <c r="F602" t="n">
        <v>35</v>
      </c>
      <c r="G602" t="n">
        <v>30</v>
      </c>
      <c r="H602" t="n">
        <v>30</v>
      </c>
      <c r="I602">
        <f>B602&amp;"~"&amp;C602</f>
        <v/>
      </c>
    </row>
    <row r="603">
      <c r="B603" t="inlineStr">
        <is>
          <t>Discount Stores</t>
        </is>
      </c>
      <c r="C603" t="inlineStr">
        <is>
          <t>Average</t>
        </is>
      </c>
      <c r="D603" t="n">
        <v>40</v>
      </c>
      <c r="E603" t="n">
        <v>40</v>
      </c>
      <c r="F603" t="n">
        <v>35</v>
      </c>
      <c r="G603" t="n">
        <v>30</v>
      </c>
      <c r="H603" t="n">
        <v>30</v>
      </c>
      <c r="I603">
        <f>B603&amp;"~"&amp;C603</f>
        <v/>
      </c>
    </row>
    <row r="604">
      <c r="B604" t="inlineStr">
        <is>
          <t>Office Buildings</t>
        </is>
      </c>
      <c r="C604" t="inlineStr">
        <is>
          <t>Good</t>
        </is>
      </c>
      <c r="D604" t="n">
        <v>60</v>
      </c>
      <c r="E604" t="n">
        <v>60</v>
      </c>
      <c r="F604" t="n">
        <v>55</v>
      </c>
      <c r="G604" t="n">
        <v>50</v>
      </c>
      <c r="H604" t="n">
        <v>50</v>
      </c>
      <c r="I604">
        <f>B604&amp;"~"&amp;C604</f>
        <v/>
      </c>
    </row>
    <row r="605">
      <c r="B605" t="inlineStr">
        <is>
          <t>Office Buildings</t>
        </is>
      </c>
      <c r="C605" t="inlineStr">
        <is>
          <t>Excellent</t>
        </is>
      </c>
      <c r="D605" t="n">
        <v>60</v>
      </c>
      <c r="E605" t="n">
        <v>60</v>
      </c>
      <c r="F605" t="n">
        <v>55</v>
      </c>
      <c r="G605" t="n">
        <v>50</v>
      </c>
      <c r="H605" t="n">
        <v>50</v>
      </c>
      <c r="I605">
        <f>B605&amp;"~"&amp;C605</f>
        <v/>
      </c>
    </row>
    <row r="606">
      <c r="B606" t="inlineStr">
        <is>
          <t>Office Buildings</t>
        </is>
      </c>
      <c r="C606" t="inlineStr">
        <is>
          <t>Average</t>
        </is>
      </c>
      <c r="D606" t="n">
        <v>55</v>
      </c>
      <c r="E606" t="n">
        <v>55</v>
      </c>
      <c r="F606" t="n">
        <v>50</v>
      </c>
      <c r="G606" t="n">
        <v>45</v>
      </c>
      <c r="H606" t="n">
        <v>45</v>
      </c>
      <c r="I606">
        <f>B606&amp;"~"&amp;C606</f>
        <v/>
      </c>
    </row>
    <row r="607">
      <c r="B607" t="inlineStr">
        <is>
          <t>Office Buildings</t>
        </is>
      </c>
      <c r="C607" t="inlineStr">
        <is>
          <t>Low Cost</t>
        </is>
      </c>
      <c r="D607" t="n">
        <v>50</v>
      </c>
      <c r="E607" t="n">
        <v>50</v>
      </c>
      <c r="F607" t="n">
        <v>45</v>
      </c>
      <c r="G607" t="n">
        <v>40</v>
      </c>
      <c r="H607" t="n">
        <v>40</v>
      </c>
      <c r="I607">
        <f>B607&amp;"~"&amp;C607</f>
        <v/>
      </c>
    </row>
    <row r="608">
      <c r="B608" t="inlineStr">
        <is>
          <t>Medical Office Buildings</t>
        </is>
      </c>
      <c r="C608" t="inlineStr">
        <is>
          <t>Good</t>
        </is>
      </c>
      <c r="D608" t="n">
        <v>50</v>
      </c>
      <c r="E608" t="n">
        <v>50</v>
      </c>
      <c r="F608" t="n">
        <v>45</v>
      </c>
      <c r="G608" t="n">
        <v>40</v>
      </c>
      <c r="H608" t="n">
        <v>40</v>
      </c>
      <c r="I608">
        <f>B608&amp;"~"&amp;C608</f>
        <v/>
      </c>
    </row>
    <row r="609">
      <c r="B609" t="inlineStr">
        <is>
          <t>Medical Office Buildings</t>
        </is>
      </c>
      <c r="C609" t="inlineStr">
        <is>
          <t>Excellent</t>
        </is>
      </c>
      <c r="D609" t="n">
        <v>50</v>
      </c>
      <c r="E609" t="n">
        <v>50</v>
      </c>
      <c r="F609" t="n">
        <v>45</v>
      </c>
      <c r="G609" t="n">
        <v>40</v>
      </c>
      <c r="H609" t="n">
        <v>40</v>
      </c>
      <c r="I609">
        <f>B609&amp;"~"&amp;C609</f>
        <v/>
      </c>
    </row>
    <row r="610">
      <c r="B610" t="inlineStr">
        <is>
          <t>Medical Office Buildings</t>
        </is>
      </c>
      <c r="C610" t="inlineStr">
        <is>
          <t>Low Cost</t>
        </is>
      </c>
      <c r="D610" t="n">
        <v>45</v>
      </c>
      <c r="E610" t="n">
        <v>45</v>
      </c>
      <c r="F610" t="n">
        <v>40</v>
      </c>
      <c r="G610" t="n">
        <v>35</v>
      </c>
      <c r="H610" t="n">
        <v>35</v>
      </c>
      <c r="I610">
        <f>B610&amp;"~"&amp;C610</f>
        <v/>
      </c>
    </row>
    <row r="611">
      <c r="B611" t="inlineStr">
        <is>
          <t>Medical Office Buildings</t>
        </is>
      </c>
      <c r="C611" t="inlineStr">
        <is>
          <t>Average</t>
        </is>
      </c>
      <c r="D611" t="n">
        <v>45</v>
      </c>
      <c r="E611" t="n">
        <v>45</v>
      </c>
      <c r="F611" t="n">
        <v>40</v>
      </c>
      <c r="G611" t="n">
        <v>35</v>
      </c>
      <c r="H611" t="n">
        <v>35</v>
      </c>
      <c r="I611">
        <f>B611&amp;"~"&amp;C611</f>
        <v/>
      </c>
    </row>
    <row r="612">
      <c r="B612" t="inlineStr">
        <is>
          <t>Banks, Branch</t>
        </is>
      </c>
      <c r="C612" t="inlineStr">
        <is>
          <t>Good</t>
        </is>
      </c>
      <c r="D612" t="n">
        <v>60</v>
      </c>
      <c r="E612" t="n">
        <v>60</v>
      </c>
      <c r="F612" t="n">
        <v>55</v>
      </c>
      <c r="G612" t="n">
        <v>50</v>
      </c>
      <c r="H612" t="n">
        <v>50</v>
      </c>
      <c r="I612">
        <f>B612&amp;"~"&amp;C612</f>
        <v/>
      </c>
    </row>
    <row r="613">
      <c r="B613" t="inlineStr">
        <is>
          <t>Banks, Branch</t>
        </is>
      </c>
      <c r="C613" t="inlineStr">
        <is>
          <t>Excellent</t>
        </is>
      </c>
      <c r="D613" t="n">
        <v>60</v>
      </c>
      <c r="E613" t="n">
        <v>60</v>
      </c>
      <c r="F613" t="n">
        <v>55</v>
      </c>
      <c r="G613" t="n">
        <v>50</v>
      </c>
      <c r="H613" t="n">
        <v>50</v>
      </c>
      <c r="I613">
        <f>B613&amp;"~"&amp;C613</f>
        <v/>
      </c>
    </row>
    <row r="614">
      <c r="B614" t="inlineStr">
        <is>
          <t>Banks, Branch</t>
        </is>
      </c>
      <c r="C614" t="inlineStr">
        <is>
          <t>Average</t>
        </is>
      </c>
      <c r="D614" t="n">
        <v>55</v>
      </c>
      <c r="E614" t="n">
        <v>55</v>
      </c>
      <c r="F614" t="n">
        <v>50</v>
      </c>
      <c r="G614" t="n">
        <v>45</v>
      </c>
      <c r="H614" t="n">
        <v>45</v>
      </c>
      <c r="I614">
        <f>B614&amp;"~"&amp;C614</f>
        <v/>
      </c>
    </row>
    <row r="615">
      <c r="B615" t="inlineStr">
        <is>
          <t>Banks, Branch</t>
        </is>
      </c>
      <c r="C615" t="inlineStr">
        <is>
          <t>Low Cost</t>
        </is>
      </c>
      <c r="D615" t="n">
        <v>50</v>
      </c>
      <c r="E615" t="n">
        <v>50</v>
      </c>
      <c r="F615" t="n">
        <v>45</v>
      </c>
      <c r="G615" t="n">
        <v>40</v>
      </c>
      <c r="H615" t="n">
        <v>40</v>
      </c>
      <c r="I615">
        <f>B615&amp;"~"&amp;C615</f>
        <v/>
      </c>
    </row>
    <row r="616">
      <c r="B616" t="inlineStr">
        <is>
          <t>Hotels, Full Service</t>
        </is>
      </c>
      <c r="C616" t="inlineStr">
        <is>
          <t>Good</t>
        </is>
      </c>
      <c r="D616" t="n">
        <v>60</v>
      </c>
      <c r="E616" t="n">
        <v>60</v>
      </c>
      <c r="F616" t="n">
        <v>50</v>
      </c>
      <c r="G616" t="n">
        <v>45</v>
      </c>
      <c r="I616">
        <f>B616&amp;"~"&amp;C616</f>
        <v/>
      </c>
    </row>
    <row r="617">
      <c r="B617" t="inlineStr">
        <is>
          <t>Hotels, Full Service</t>
        </is>
      </c>
      <c r="C617" t="inlineStr">
        <is>
          <t>Excellent</t>
        </is>
      </c>
      <c r="D617" t="n">
        <v>60</v>
      </c>
      <c r="E617" t="n">
        <v>60</v>
      </c>
      <c r="F617" t="n">
        <v>50</v>
      </c>
      <c r="G617" t="n">
        <v>45</v>
      </c>
      <c r="I617">
        <f>B617&amp;"~"&amp;C617</f>
        <v/>
      </c>
    </row>
    <row r="618">
      <c r="B618" t="inlineStr">
        <is>
          <t>Hotels, Full Service</t>
        </is>
      </c>
      <c r="C618" t="inlineStr">
        <is>
          <t>Average</t>
        </is>
      </c>
      <c r="D618" t="n">
        <v>55</v>
      </c>
      <c r="E618" t="n">
        <v>55</v>
      </c>
      <c r="F618" t="n">
        <v>50</v>
      </c>
      <c r="G618" t="n">
        <v>45</v>
      </c>
      <c r="I618">
        <f>B618&amp;"~"&amp;C618</f>
        <v/>
      </c>
    </row>
    <row r="619">
      <c r="B619" t="inlineStr">
        <is>
          <t>Hotels, Full Service</t>
        </is>
      </c>
      <c r="C619" t="inlineStr">
        <is>
          <t>Low Cost</t>
        </is>
      </c>
      <c r="D619" t="n">
        <v>50</v>
      </c>
      <c r="E619" t="n">
        <v>50</v>
      </c>
      <c r="F619" t="n">
        <v>45</v>
      </c>
      <c r="G619" t="n">
        <v>40</v>
      </c>
      <c r="I619">
        <f>B619&amp;"~"&amp;C619</f>
        <v/>
      </c>
    </row>
    <row r="620">
      <c r="B620" t="inlineStr">
        <is>
          <t>Hotels, Limited Service</t>
        </is>
      </c>
      <c r="C620" t="inlineStr">
        <is>
          <t>Excellent</t>
        </is>
      </c>
      <c r="D620" t="n">
        <v>60</v>
      </c>
      <c r="E620" t="n">
        <v>60</v>
      </c>
      <c r="F620" t="n">
        <v>50</v>
      </c>
      <c r="I620">
        <f>B620&amp;"~"&amp;C620</f>
        <v/>
      </c>
    </row>
    <row r="621">
      <c r="B621" t="inlineStr">
        <is>
          <t>Hotels, Limited Service</t>
        </is>
      </c>
      <c r="C621" t="inlineStr">
        <is>
          <t>Good</t>
        </is>
      </c>
      <c r="D621" t="n">
        <v>55</v>
      </c>
      <c r="E621" t="n">
        <v>55</v>
      </c>
      <c r="F621" t="n">
        <v>50</v>
      </c>
      <c r="G621" t="n">
        <v>45</v>
      </c>
      <c r="I621">
        <f>B621&amp;"~"&amp;C621</f>
        <v/>
      </c>
    </row>
    <row r="622">
      <c r="B622" t="inlineStr">
        <is>
          <t>Hotels, Limited Service</t>
        </is>
      </c>
      <c r="C622" t="inlineStr">
        <is>
          <t>Low Cost</t>
        </is>
      </c>
      <c r="D622" t="n">
        <v>50</v>
      </c>
      <c r="E622" t="n">
        <v>50</v>
      </c>
      <c r="F622" t="n">
        <v>45</v>
      </c>
      <c r="G622" t="n">
        <v>40</v>
      </c>
      <c r="H622" t="n">
        <v>40</v>
      </c>
      <c r="I622">
        <f>B622&amp;"~"&amp;C622</f>
        <v/>
      </c>
    </row>
    <row r="623">
      <c r="B623" t="inlineStr">
        <is>
          <t>Hotels, Limited Service</t>
        </is>
      </c>
      <c r="C623" t="inlineStr">
        <is>
          <t>Average</t>
        </is>
      </c>
      <c r="D623" t="n">
        <v>50</v>
      </c>
      <c r="E623" t="n">
        <v>50</v>
      </c>
      <c r="F623" t="n">
        <v>45</v>
      </c>
      <c r="G623" t="n">
        <v>40</v>
      </c>
      <c r="H623" t="n">
        <v>40</v>
      </c>
      <c r="I623">
        <f>B623&amp;"~"&amp;C623</f>
        <v/>
      </c>
    </row>
    <row r="624"/>
    <row r="625">
      <c r="B625" s="603" t="inlineStr">
        <is>
          <t>REFERENCE 12 -- Depreciation Percent-Good Table, Commercial Properties (MVS Sec.97 p.24). Applies to Sections 11/13/14/15 per MVS's own 'Properties Included' key.</t>
        </is>
      </c>
      <c r="C625" s="603" t="n"/>
      <c r="D625" s="603" t="n"/>
      <c r="E625" s="603" t="n"/>
      <c r="F625" s="603" t="n"/>
      <c r="G625" s="603" t="n"/>
      <c r="H625" s="603" t="n"/>
    </row>
    <row r="626">
      <c r="B626" s="609" t="inlineStr">
        <is>
          <t>Blank cells = combination not tabulated in the manual (effective age exceeds what's charted for that life expectancy) -- treat as fully/near-fully depreciated; see Sec.97 salvage-value guidance.</t>
        </is>
      </c>
    </row>
    <row r="627">
      <c r="B627" s="604" t="inlineStr">
        <is>
          <t>Effective Age (yrs) \ Typical Life (yrs) -&gt;</t>
        </is>
      </c>
      <c r="C627" s="604" t="n">
        <v>70</v>
      </c>
      <c r="D627" s="604" t="n">
        <v>60</v>
      </c>
      <c r="E627" s="604" t="n">
        <v>55</v>
      </c>
      <c r="F627" s="604" t="n">
        <v>50</v>
      </c>
      <c r="G627" s="604" t="n">
        <v>45</v>
      </c>
      <c r="H627" s="604" t="n">
        <v>40</v>
      </c>
      <c r="I627" s="604" t="n">
        <v>35</v>
      </c>
      <c r="J627" s="604" t="n">
        <v>30</v>
      </c>
      <c r="K627" s="604" t="n">
        <v>25</v>
      </c>
      <c r="L627" s="604" t="n">
        <v>20</v>
      </c>
    </row>
    <row r="628">
      <c r="B628" t="n">
        <v>1</v>
      </c>
      <c r="C628" t="n">
        <v>0</v>
      </c>
      <c r="D628" t="n">
        <v>0</v>
      </c>
      <c r="E628" t="n">
        <v>0</v>
      </c>
      <c r="F628" t="n">
        <v>0</v>
      </c>
      <c r="G628" t="n">
        <v>1</v>
      </c>
      <c r="H628" t="n">
        <v>1</v>
      </c>
      <c r="I628" t="n">
        <v>1</v>
      </c>
      <c r="J628" t="n">
        <v>2</v>
      </c>
      <c r="K628" t="n">
        <v>2</v>
      </c>
      <c r="L628" t="n">
        <v>3</v>
      </c>
    </row>
    <row r="629">
      <c r="B629" t="n">
        <v>2</v>
      </c>
      <c r="C629" t="n">
        <v>0</v>
      </c>
      <c r="D629" t="n">
        <v>1</v>
      </c>
      <c r="E629" t="n">
        <v>1</v>
      </c>
      <c r="F629" t="n">
        <v>1</v>
      </c>
      <c r="G629" t="n">
        <v>1</v>
      </c>
      <c r="H629" t="n">
        <v>2</v>
      </c>
      <c r="I629" t="n">
        <v>2</v>
      </c>
      <c r="J629" t="n">
        <v>3</v>
      </c>
      <c r="K629" t="n">
        <v>5</v>
      </c>
      <c r="L629" t="n">
        <v>7</v>
      </c>
    </row>
    <row r="630">
      <c r="B630" t="n">
        <v>3</v>
      </c>
      <c r="C630" t="n">
        <v>0</v>
      </c>
      <c r="D630" t="n">
        <v>1</v>
      </c>
      <c r="E630" t="n">
        <v>1</v>
      </c>
      <c r="F630" t="n">
        <v>1</v>
      </c>
      <c r="G630" t="n">
        <v>2</v>
      </c>
      <c r="H630" t="n">
        <v>3</v>
      </c>
      <c r="I630" t="n">
        <v>4</v>
      </c>
      <c r="J630" t="n">
        <v>5</v>
      </c>
      <c r="K630" t="n">
        <v>7</v>
      </c>
      <c r="L630" t="n">
        <v>10</v>
      </c>
    </row>
    <row r="631">
      <c r="B631" t="n">
        <v>4</v>
      </c>
      <c r="C631" t="n">
        <v>1</v>
      </c>
      <c r="D631" t="n">
        <v>1</v>
      </c>
      <c r="E631" t="n">
        <v>1</v>
      </c>
      <c r="F631" t="n">
        <v>2</v>
      </c>
      <c r="G631" t="n">
        <v>3</v>
      </c>
      <c r="H631" t="n">
        <v>4</v>
      </c>
      <c r="I631" t="n">
        <v>5</v>
      </c>
      <c r="J631" t="n">
        <v>7</v>
      </c>
      <c r="K631" t="n">
        <v>10</v>
      </c>
      <c r="L631" t="n">
        <v>14</v>
      </c>
    </row>
    <row r="632">
      <c r="B632" t="n">
        <v>5</v>
      </c>
      <c r="C632" t="n">
        <v>1</v>
      </c>
      <c r="D632" t="n">
        <v>1</v>
      </c>
      <c r="E632" t="n">
        <v>2</v>
      </c>
      <c r="F632" t="n">
        <v>3</v>
      </c>
      <c r="G632" t="n">
        <v>4</v>
      </c>
      <c r="H632" t="n">
        <v>5</v>
      </c>
      <c r="I632" t="n">
        <v>6</v>
      </c>
      <c r="J632" t="n">
        <v>9</v>
      </c>
      <c r="K632" t="n">
        <v>13</v>
      </c>
      <c r="L632" t="n">
        <v>18</v>
      </c>
    </row>
    <row r="633">
      <c r="B633" t="n">
        <v>6</v>
      </c>
      <c r="C633" t="n">
        <v>1</v>
      </c>
      <c r="D633" t="n">
        <v>2</v>
      </c>
      <c r="E633" t="n">
        <v>2</v>
      </c>
      <c r="F633" t="n">
        <v>3</v>
      </c>
      <c r="G633" t="n">
        <v>4</v>
      </c>
      <c r="H633" t="n">
        <v>6</v>
      </c>
      <c r="I633" t="n">
        <v>8</v>
      </c>
      <c r="J633" t="n">
        <v>11</v>
      </c>
      <c r="K633" t="n">
        <v>16</v>
      </c>
      <c r="L633" t="n">
        <v>22</v>
      </c>
    </row>
    <row r="634">
      <c r="B634" t="n">
        <v>7</v>
      </c>
      <c r="C634" t="n">
        <v>1</v>
      </c>
      <c r="D634" t="n">
        <v>2</v>
      </c>
      <c r="E634" t="n">
        <v>3</v>
      </c>
      <c r="F634" t="n">
        <v>4</v>
      </c>
      <c r="G634" t="n">
        <v>5</v>
      </c>
      <c r="H634" t="n">
        <v>7</v>
      </c>
      <c r="I634" t="n">
        <v>10</v>
      </c>
      <c r="J634" t="n">
        <v>14</v>
      </c>
      <c r="K634" t="n">
        <v>19</v>
      </c>
      <c r="L634" t="n">
        <v>26</v>
      </c>
    </row>
    <row r="635">
      <c r="B635" t="n">
        <v>8</v>
      </c>
      <c r="C635" t="n">
        <v>1</v>
      </c>
      <c r="D635" t="n">
        <v>2</v>
      </c>
      <c r="E635" t="n">
        <v>3</v>
      </c>
      <c r="F635" t="n">
        <v>5</v>
      </c>
      <c r="G635" t="n">
        <v>6</v>
      </c>
      <c r="H635" t="n">
        <v>8</v>
      </c>
      <c r="I635" t="n">
        <v>11</v>
      </c>
      <c r="J635" t="n">
        <v>16</v>
      </c>
      <c r="K635" t="n">
        <v>22</v>
      </c>
      <c r="L635" t="n">
        <v>30</v>
      </c>
    </row>
    <row r="636">
      <c r="B636" t="n">
        <v>9</v>
      </c>
      <c r="C636" t="n">
        <v>2</v>
      </c>
      <c r="D636" t="n">
        <v>3</v>
      </c>
      <c r="E636" t="n">
        <v>4</v>
      </c>
      <c r="F636" t="n">
        <v>5</v>
      </c>
      <c r="G636" t="n">
        <v>7</v>
      </c>
      <c r="H636" t="n">
        <v>10</v>
      </c>
      <c r="I636" t="n">
        <v>13</v>
      </c>
      <c r="J636" t="n">
        <v>18</v>
      </c>
      <c r="K636" t="n">
        <v>25</v>
      </c>
      <c r="L636" t="n">
        <v>35</v>
      </c>
    </row>
    <row r="637">
      <c r="B637" t="n">
        <v>10</v>
      </c>
      <c r="C637" t="n">
        <v>2</v>
      </c>
      <c r="D637" t="n">
        <v>3</v>
      </c>
      <c r="E637" t="n">
        <v>4</v>
      </c>
      <c r="F637" t="n">
        <v>6</v>
      </c>
      <c r="G637" t="n">
        <v>8</v>
      </c>
      <c r="H637" t="n">
        <v>11</v>
      </c>
      <c r="I637" t="n">
        <v>15</v>
      </c>
      <c r="J637" t="n">
        <v>21</v>
      </c>
      <c r="K637" t="n">
        <v>29</v>
      </c>
      <c r="L637" t="n">
        <v>40</v>
      </c>
    </row>
    <row r="638">
      <c r="B638" t="n">
        <v>11</v>
      </c>
      <c r="C638" t="n">
        <v>2</v>
      </c>
      <c r="D638" t="n">
        <v>4</v>
      </c>
      <c r="E638" t="n">
        <v>5</v>
      </c>
      <c r="F638" t="n">
        <v>7</v>
      </c>
      <c r="G638" t="n">
        <v>9</v>
      </c>
      <c r="H638" t="n">
        <v>13</v>
      </c>
      <c r="I638" t="n">
        <v>17</v>
      </c>
      <c r="J638" t="n">
        <v>24</v>
      </c>
      <c r="K638" t="n">
        <v>32</v>
      </c>
      <c r="L638" t="n">
        <v>45</v>
      </c>
    </row>
    <row r="639">
      <c r="B639" t="n">
        <v>12</v>
      </c>
      <c r="C639" t="n">
        <v>2</v>
      </c>
      <c r="D639" t="n">
        <v>4</v>
      </c>
      <c r="E639" t="n">
        <v>6</v>
      </c>
      <c r="F639" t="n">
        <v>8</v>
      </c>
      <c r="G639" t="n">
        <v>10</v>
      </c>
      <c r="H639" t="n">
        <v>14</v>
      </c>
      <c r="I639" t="n">
        <v>19</v>
      </c>
      <c r="J639" t="n">
        <v>26</v>
      </c>
      <c r="K639" t="n">
        <v>36</v>
      </c>
      <c r="L639" t="n">
        <v>50</v>
      </c>
    </row>
    <row r="640">
      <c r="B640" t="n">
        <v>13</v>
      </c>
      <c r="C640" t="n">
        <v>2</v>
      </c>
      <c r="D640" t="n">
        <v>5</v>
      </c>
      <c r="E640" t="n">
        <v>6</v>
      </c>
      <c r="F640" t="n">
        <v>9</v>
      </c>
      <c r="G640" t="n">
        <v>12</v>
      </c>
      <c r="H640" t="n">
        <v>16</v>
      </c>
      <c r="I640" t="n">
        <v>22</v>
      </c>
      <c r="J640" t="n">
        <v>29</v>
      </c>
      <c r="K640" t="n">
        <v>40</v>
      </c>
      <c r="L640" t="n">
        <v>55</v>
      </c>
    </row>
    <row r="641">
      <c r="B641" t="n">
        <v>14</v>
      </c>
      <c r="C641" t="n">
        <v>3</v>
      </c>
      <c r="D641" t="n">
        <v>5</v>
      </c>
      <c r="E641" t="n">
        <v>7</v>
      </c>
      <c r="F641" t="n">
        <v>10</v>
      </c>
      <c r="G641" t="n">
        <v>13</v>
      </c>
      <c r="H641" t="n">
        <v>18</v>
      </c>
      <c r="I641" t="n">
        <v>24</v>
      </c>
      <c r="J641" t="n">
        <v>32</v>
      </c>
      <c r="K641" t="n">
        <v>44</v>
      </c>
      <c r="L641" t="n">
        <v>60</v>
      </c>
    </row>
    <row r="642">
      <c r="B642" t="n">
        <v>15</v>
      </c>
      <c r="C642" t="n">
        <v>3</v>
      </c>
      <c r="D642" t="n">
        <v>6</v>
      </c>
      <c r="E642" t="n">
        <v>8</v>
      </c>
      <c r="F642" t="n">
        <v>11</v>
      </c>
      <c r="G642" t="n">
        <v>14</v>
      </c>
      <c r="H642" t="n">
        <v>20</v>
      </c>
      <c r="I642" t="n">
        <v>26</v>
      </c>
      <c r="J642" t="n">
        <v>35</v>
      </c>
      <c r="K642" t="n">
        <v>48</v>
      </c>
      <c r="L642" t="n">
        <v>65</v>
      </c>
    </row>
    <row r="643">
      <c r="B643" t="n">
        <v>16</v>
      </c>
      <c r="C643" t="n">
        <v>3</v>
      </c>
      <c r="D643" t="n">
        <v>7</v>
      </c>
      <c r="E643" t="n">
        <v>9</v>
      </c>
      <c r="F643" t="n">
        <v>12</v>
      </c>
      <c r="G643" t="n">
        <v>16</v>
      </c>
      <c r="H643" t="n">
        <v>22</v>
      </c>
      <c r="I643" t="n">
        <v>28</v>
      </c>
      <c r="J643" t="n">
        <v>39</v>
      </c>
      <c r="K643" t="n">
        <v>52</v>
      </c>
      <c r="L643" t="n">
        <v>69</v>
      </c>
    </row>
    <row r="644">
      <c r="B644" t="n">
        <v>17</v>
      </c>
      <c r="C644" t="n">
        <v>4</v>
      </c>
      <c r="D644" t="n">
        <v>7</v>
      </c>
      <c r="E644" t="n">
        <v>10</v>
      </c>
      <c r="F644" t="n">
        <v>13</v>
      </c>
      <c r="G644" t="n">
        <v>18</v>
      </c>
      <c r="H644" t="n">
        <v>24</v>
      </c>
      <c r="I644" t="n">
        <v>31</v>
      </c>
      <c r="J644" t="n">
        <v>42</v>
      </c>
      <c r="K644" t="n">
        <v>56</v>
      </c>
      <c r="L644" t="n">
        <v>73</v>
      </c>
    </row>
    <row r="645">
      <c r="B645" t="n">
        <v>18</v>
      </c>
      <c r="C645" t="n">
        <v>4</v>
      </c>
      <c r="D645" t="n">
        <v>8</v>
      </c>
      <c r="E645" t="n">
        <v>11</v>
      </c>
      <c r="F645" t="n">
        <v>14</v>
      </c>
      <c r="G645" t="n">
        <v>19</v>
      </c>
      <c r="H645" t="n">
        <v>26</v>
      </c>
      <c r="I645" t="n">
        <v>34</v>
      </c>
      <c r="J645" t="n">
        <v>46</v>
      </c>
      <c r="K645" t="n">
        <v>60</v>
      </c>
      <c r="L645" t="n">
        <v>76</v>
      </c>
    </row>
    <row r="646">
      <c r="B646" t="n">
        <v>19</v>
      </c>
      <c r="C646" t="n">
        <v>4</v>
      </c>
      <c r="D646" t="n">
        <v>9</v>
      </c>
      <c r="E646" t="n">
        <v>12</v>
      </c>
      <c r="F646" t="n">
        <v>16</v>
      </c>
      <c r="G646" t="n">
        <v>21</v>
      </c>
      <c r="H646" t="n">
        <v>28</v>
      </c>
      <c r="I646" t="n">
        <v>36</v>
      </c>
      <c r="J646" t="n">
        <v>49</v>
      </c>
      <c r="K646" t="n">
        <v>64</v>
      </c>
      <c r="L646" t="n">
        <v>78</v>
      </c>
    </row>
    <row r="647">
      <c r="B647" t="n">
        <v>20</v>
      </c>
      <c r="C647" t="n">
        <v>5</v>
      </c>
      <c r="D647" t="n">
        <v>9</v>
      </c>
      <c r="E647" t="n">
        <v>13</v>
      </c>
      <c r="F647" t="n">
        <v>17</v>
      </c>
      <c r="G647" t="n">
        <v>23</v>
      </c>
      <c r="H647" t="n">
        <v>30</v>
      </c>
      <c r="I647" t="n">
        <v>39</v>
      </c>
      <c r="J647" t="n">
        <v>53</v>
      </c>
      <c r="K647" t="n">
        <v>68</v>
      </c>
      <c r="L647" t="n">
        <v>79</v>
      </c>
    </row>
    <row r="648">
      <c r="B648" t="n">
        <v>21</v>
      </c>
      <c r="C648" t="n">
        <v>5</v>
      </c>
      <c r="D648" t="n">
        <v>10</v>
      </c>
      <c r="E648" t="n">
        <v>14</v>
      </c>
      <c r="F648" t="n">
        <v>18</v>
      </c>
      <c r="G648" t="n">
        <v>25</v>
      </c>
      <c r="H648" t="n">
        <v>32</v>
      </c>
      <c r="I648" t="n">
        <v>42</v>
      </c>
      <c r="J648" t="n">
        <v>57</v>
      </c>
      <c r="K648" t="n">
        <v>71</v>
      </c>
      <c r="L648" t="n">
        <v>80</v>
      </c>
    </row>
    <row r="649">
      <c r="B649" t="n">
        <v>22</v>
      </c>
      <c r="C649" t="n">
        <v>6</v>
      </c>
      <c r="D649" t="n">
        <v>11</v>
      </c>
      <c r="E649" t="n">
        <v>15</v>
      </c>
      <c r="F649" t="n">
        <v>20</v>
      </c>
      <c r="G649" t="n">
        <v>27</v>
      </c>
      <c r="H649" t="n">
        <v>35</v>
      </c>
      <c r="I649" t="n">
        <v>45</v>
      </c>
      <c r="J649" t="n">
        <v>60</v>
      </c>
      <c r="K649" t="n">
        <v>73</v>
      </c>
    </row>
    <row r="650">
      <c r="B650" t="n">
        <v>23</v>
      </c>
      <c r="C650" t="n">
        <v>6</v>
      </c>
      <c r="D650" t="n">
        <v>12</v>
      </c>
      <c r="E650" t="n">
        <v>16</v>
      </c>
      <c r="F650" t="n">
        <v>21</v>
      </c>
      <c r="G650" t="n">
        <v>29</v>
      </c>
      <c r="H650" t="n">
        <v>37</v>
      </c>
      <c r="I650" t="n">
        <v>48</v>
      </c>
      <c r="J650" t="n">
        <v>63</v>
      </c>
      <c r="K650" t="n">
        <v>75</v>
      </c>
    </row>
    <row r="651">
      <c r="B651" t="n">
        <v>24</v>
      </c>
      <c r="C651" t="n">
        <v>7</v>
      </c>
      <c r="D651" t="n">
        <v>13</v>
      </c>
      <c r="E651" t="n">
        <v>17</v>
      </c>
      <c r="F651" t="n">
        <v>23</v>
      </c>
      <c r="G651" t="n">
        <v>31</v>
      </c>
      <c r="H651" t="n">
        <v>40</v>
      </c>
      <c r="I651" t="n">
        <v>52</v>
      </c>
      <c r="J651" t="n">
        <v>66</v>
      </c>
      <c r="K651" t="n">
        <v>77</v>
      </c>
    </row>
    <row r="652">
      <c r="B652" t="n">
        <v>25</v>
      </c>
      <c r="C652" t="n">
        <v>7</v>
      </c>
      <c r="D652" t="n">
        <v>14</v>
      </c>
      <c r="E652" t="n">
        <v>19</v>
      </c>
      <c r="F652" t="n">
        <v>25</v>
      </c>
      <c r="G652" t="n">
        <v>33</v>
      </c>
      <c r="H652" t="n">
        <v>43</v>
      </c>
      <c r="I652" t="n">
        <v>55</v>
      </c>
      <c r="J652" t="n">
        <v>69</v>
      </c>
      <c r="K652" t="n">
        <v>79</v>
      </c>
    </row>
    <row r="653">
      <c r="B653" t="n">
        <v>26</v>
      </c>
      <c r="C653" t="n">
        <v>8</v>
      </c>
      <c r="D653" t="n">
        <v>15</v>
      </c>
      <c r="E653" t="n">
        <v>20</v>
      </c>
      <c r="F653" t="n">
        <v>27</v>
      </c>
      <c r="G653" t="n">
        <v>35</v>
      </c>
      <c r="H653" t="n">
        <v>46</v>
      </c>
      <c r="I653" t="n">
        <v>58</v>
      </c>
      <c r="J653" t="n">
        <v>72</v>
      </c>
      <c r="K653" t="n">
        <v>80</v>
      </c>
    </row>
    <row r="654">
      <c r="B654" t="n">
        <v>27</v>
      </c>
      <c r="C654" t="n">
        <v>9</v>
      </c>
      <c r="D654" t="n">
        <v>16</v>
      </c>
      <c r="E654" t="n">
        <v>21</v>
      </c>
      <c r="F654" t="n">
        <v>28</v>
      </c>
      <c r="G654" t="n">
        <v>37</v>
      </c>
      <c r="H654" t="n">
        <v>49</v>
      </c>
      <c r="I654" t="n">
        <v>61</v>
      </c>
      <c r="J654" t="n">
        <v>75</v>
      </c>
    </row>
    <row r="655">
      <c r="B655" t="n">
        <v>28</v>
      </c>
      <c r="C655" t="n">
        <v>9</v>
      </c>
      <c r="D655" t="n">
        <v>17</v>
      </c>
      <c r="E655" t="n">
        <v>23</v>
      </c>
      <c r="F655" t="n">
        <v>30</v>
      </c>
      <c r="G655" t="n">
        <v>40</v>
      </c>
      <c r="H655" t="n">
        <v>52</v>
      </c>
      <c r="I655" t="n">
        <v>64</v>
      </c>
      <c r="J655" t="n">
        <v>77</v>
      </c>
    </row>
    <row r="656">
      <c r="B656" t="n">
        <v>29</v>
      </c>
      <c r="C656" t="n">
        <v>10</v>
      </c>
      <c r="D656" t="n">
        <v>18</v>
      </c>
      <c r="E656" t="n">
        <v>24</v>
      </c>
      <c r="F656" t="n">
        <v>32</v>
      </c>
      <c r="G656" t="n">
        <v>42</v>
      </c>
      <c r="H656" t="n">
        <v>54</v>
      </c>
      <c r="I656" t="n">
        <v>68</v>
      </c>
      <c r="J656" t="n">
        <v>78</v>
      </c>
    </row>
    <row r="657">
      <c r="B657" t="n">
        <v>30</v>
      </c>
      <c r="C657" t="n">
        <v>11</v>
      </c>
      <c r="D657" t="n">
        <v>20</v>
      </c>
      <c r="E657" t="n">
        <v>26</v>
      </c>
      <c r="F657" t="n">
        <v>34</v>
      </c>
      <c r="G657" t="n">
        <v>45</v>
      </c>
      <c r="H657" t="n">
        <v>57</v>
      </c>
      <c r="I657" t="n">
        <v>72</v>
      </c>
      <c r="J657" t="n">
        <v>79</v>
      </c>
    </row>
    <row r="658">
      <c r="B658" t="n">
        <v>32</v>
      </c>
      <c r="C658" t="n">
        <v>13</v>
      </c>
      <c r="D658" t="n">
        <v>22</v>
      </c>
      <c r="E658" t="n">
        <v>30</v>
      </c>
      <c r="F658" t="n">
        <v>38</v>
      </c>
      <c r="G658" t="n">
        <v>50</v>
      </c>
      <c r="H658" t="n">
        <v>62</v>
      </c>
      <c r="I658" t="n">
        <v>75</v>
      </c>
      <c r="J658" t="n">
        <v>80</v>
      </c>
    </row>
    <row r="659">
      <c r="B659" t="n">
        <v>34</v>
      </c>
      <c r="C659" t="n">
        <v>15</v>
      </c>
      <c r="D659" t="n">
        <v>25</v>
      </c>
      <c r="E659" t="n">
        <v>34</v>
      </c>
      <c r="F659" t="n">
        <v>43</v>
      </c>
      <c r="G659" t="n">
        <v>55</v>
      </c>
      <c r="H659" t="n">
        <v>68</v>
      </c>
      <c r="I659" t="n">
        <v>77</v>
      </c>
    </row>
    <row r="660">
      <c r="B660" t="n">
        <v>36</v>
      </c>
      <c r="C660" t="n">
        <v>17</v>
      </c>
      <c r="D660" t="n">
        <v>28</v>
      </c>
      <c r="E660" t="n">
        <v>38</v>
      </c>
      <c r="F660" t="n">
        <v>48</v>
      </c>
      <c r="G660" t="n">
        <v>61</v>
      </c>
      <c r="H660" t="n">
        <v>73</v>
      </c>
      <c r="I660" t="n">
        <v>79</v>
      </c>
    </row>
    <row r="661">
      <c r="B661" t="n">
        <v>38</v>
      </c>
      <c r="C661" t="n">
        <v>19</v>
      </c>
      <c r="D661" t="n">
        <v>32</v>
      </c>
      <c r="E661" t="n">
        <v>42</v>
      </c>
      <c r="F661" t="n">
        <v>53</v>
      </c>
      <c r="G661" t="n">
        <v>67</v>
      </c>
      <c r="H661" t="n">
        <v>77</v>
      </c>
      <c r="I661" t="n">
        <v>80</v>
      </c>
    </row>
    <row r="662">
      <c r="B662" t="n">
        <v>40</v>
      </c>
      <c r="C662" t="n">
        <v>21</v>
      </c>
      <c r="D662" t="n">
        <v>35</v>
      </c>
      <c r="E662" t="n">
        <v>46</v>
      </c>
      <c r="F662" t="n">
        <v>59</v>
      </c>
      <c r="G662" t="n">
        <v>72</v>
      </c>
      <c r="H662" t="n">
        <v>79</v>
      </c>
    </row>
    <row r="663">
      <c r="B663" t="n">
        <v>42</v>
      </c>
      <c r="C663" t="n">
        <v>25</v>
      </c>
      <c r="D663" t="n">
        <v>39</v>
      </c>
      <c r="E663" t="n">
        <v>51</v>
      </c>
      <c r="F663" t="n">
        <v>65</v>
      </c>
      <c r="G663" t="n">
        <v>75</v>
      </c>
      <c r="H663" t="n">
        <v>80</v>
      </c>
    </row>
    <row r="664">
      <c r="B664" t="n">
        <v>44</v>
      </c>
      <c r="C664" t="n">
        <v>28</v>
      </c>
      <c r="D664" t="n">
        <v>43</v>
      </c>
      <c r="E664" t="n">
        <v>56</v>
      </c>
      <c r="F664" t="n">
        <v>70</v>
      </c>
      <c r="G664" t="n">
        <v>77</v>
      </c>
    </row>
    <row r="665">
      <c r="B665" t="n">
        <v>46</v>
      </c>
      <c r="C665" t="n">
        <v>31</v>
      </c>
      <c r="D665" t="n">
        <v>48</v>
      </c>
      <c r="E665" t="n">
        <v>60</v>
      </c>
      <c r="F665" t="n">
        <v>74</v>
      </c>
      <c r="G665" t="n">
        <v>78</v>
      </c>
    </row>
    <row r="666">
      <c r="B666" t="n">
        <v>48</v>
      </c>
      <c r="C666" t="n">
        <v>34</v>
      </c>
      <c r="D666" t="n">
        <v>53</v>
      </c>
      <c r="E666" t="n">
        <v>64</v>
      </c>
      <c r="F666" t="n">
        <v>77</v>
      </c>
      <c r="G666" t="n">
        <v>79</v>
      </c>
    </row>
    <row r="667">
      <c r="B667" t="n">
        <v>50</v>
      </c>
      <c r="C667" t="n">
        <v>38</v>
      </c>
      <c r="D667" t="n">
        <v>58</v>
      </c>
      <c r="E667" t="n">
        <v>68</v>
      </c>
      <c r="F667" t="n">
        <v>79</v>
      </c>
      <c r="G667" t="n">
        <v>80</v>
      </c>
    </row>
    <row r="668">
      <c r="B668" t="n">
        <v>55</v>
      </c>
      <c r="C668" t="n">
        <v>48</v>
      </c>
      <c r="D668" t="n">
        <v>67</v>
      </c>
      <c r="E668" t="n">
        <v>75</v>
      </c>
      <c r="F668" t="n">
        <v>80</v>
      </c>
    </row>
    <row r="669">
      <c r="B669" t="n">
        <v>60</v>
      </c>
      <c r="C669" t="n">
        <v>57</v>
      </c>
      <c r="D669" t="n">
        <v>74</v>
      </c>
      <c r="E669" t="n">
        <v>78</v>
      </c>
    </row>
    <row r="670">
      <c r="B670" t="n">
        <v>65</v>
      </c>
      <c r="C670" t="n">
        <v>65</v>
      </c>
      <c r="D670" t="n">
        <v>78</v>
      </c>
      <c r="E670" t="n">
        <v>80</v>
      </c>
    </row>
    <row r="671">
      <c r="B671" t="n">
        <v>70</v>
      </c>
      <c r="C671" t="n">
        <v>71</v>
      </c>
      <c r="D671" t="n">
        <v>80</v>
      </c>
    </row>
    <row r="672">
      <c r="B672" t="n">
        <v>75</v>
      </c>
      <c r="C672" t="n">
        <v>75</v>
      </c>
    </row>
    <row r="673">
      <c r="B673" t="n">
        <v>80</v>
      </c>
      <c r="C673" t="n">
        <v>78</v>
      </c>
    </row>
    <row r="674"/>
    <row r="675">
      <c r="B675" s="603" t="inlineStr">
        <is>
          <t>Notes</t>
        </is>
      </c>
      <c r="C675" s="603" t="n"/>
      <c r="D675" s="603" t="n"/>
      <c r="E675" s="603" t="n"/>
      <c r="F675" s="603" t="n"/>
      <c r="G675" s="603" t="n"/>
      <c r="H675" s="603" t="n"/>
    </row>
    <row r="676" ht="28" customHeight="1">
      <c r="B676" s="605" t="inlineStr">
        <is>
          <t>- Current Cost Multiplier / Local Area Multiplier / Sec.98 Denver Index are all from inserts dated January 2025 as bound into this copy of the MVS June 2024 edition -- Sec.99/98 are refreshed quarterly/monthly independent of the annual book edition.</t>
        </is>
      </c>
    </row>
    <row r="677" ht="28" customHeight="1">
      <c r="B677" s="605" t="inlineStr">
        <is>
          <t>- Colorado's biennial reassessment fixes the appraisal/level-of-value date; the De-Trend block above rolls the Jan-2025-vintage cost level back to that date using MVS's own Sec.98 methodology.</t>
        </is>
      </c>
    </row>
    <row r="678" ht="28" customHeight="1">
      <c r="B678" s="605" t="inlineStr">
        <is>
          <t>- No Adams County or Denver-metro-specific Local Multiplier line exists in MVS -- 'Denver' is used as the county's proxy per MVS's own suburb-uses-nearest-larger-city guidance (Sec.99 p.1).</t>
        </is>
      </c>
    </row>
    <row r="679" ht="28" customHeight="1">
      <c r="B679" s="605" t="inlineStr">
        <is>
          <t>- Region for the Current Cost Multiplier (Eastern/Central/Western) is presumed WESTERN for Colorado; MVS does not print a state-to-region key on Sec.99 p.3 itself -- verify against the manual's region map if precision is material to a contested appeal.</t>
        </is>
      </c>
    </row>
    <row r="680" ht="28" customHeight="1">
      <c r="B680" s="605" t="inlineStr">
        <is>
          <t>- Typical Life Expectancy figures (Reference 11) were extracted from a condensed table read and should be spot-checked against MVS Sec.97 pp.10-13 directly for any high-value/contested appeal before relying on the resulting depreciation % in a hearing.</t>
        </is>
      </c>
    </row>
    <row r="681" ht="28" customHeight="1">
      <c r="B681" s="605" t="inlineStr">
        <is>
          <t>- Next reassessment cycle (level of value 6/30/2025): update the Appraisal Date input, and either paste in a freshly-pulled MVS Sec.98 Denver quarterly table for the new bracket quarters, or a new MVS book edition's Section 14/13/15/11 base cost tables if a newer edition is purchased.</t>
        </is>
      </c>
    </row>
  </sheetData>
  <mergeCells count="7">
    <mergeCell ref="B677:H677"/>
    <mergeCell ref="B2:F2"/>
    <mergeCell ref="B679:H679"/>
    <mergeCell ref="B680:H680"/>
    <mergeCell ref="B676:H676"/>
    <mergeCell ref="B678:H678"/>
    <mergeCell ref="B681:H681"/>
  </mergeCell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U542"/>
  <sheetViews>
    <sheetView showGridLines="0" workbookViewId="0">
      <pane xSplit="2" ySplit="2" topLeftCell="C3" activePane="bottomRight" state="frozen"/>
      <selection pane="topRight"/>
      <selection pane="bottomLeft"/>
      <selection pane="bottomRight" activeCell="A1" sqref="A1"/>
    </sheetView>
  </sheetViews>
  <sheetFormatPr baseColWidth="8" defaultRowHeight="15"/>
  <cols>
    <col width="2" customWidth="1" min="1" max="1"/>
    <col width="40" customWidth="1" min="2" max="2"/>
    <col width="16" customWidth="1" min="3" max="3"/>
    <col width="14" customWidth="1" min="4" max="4"/>
    <col width="4" customWidth="1" min="5" max="5"/>
    <col width="14" customWidth="1" min="6" max="6"/>
    <col width="16" customWidth="1" min="7" max="7"/>
    <col width="3" customWidth="1" min="8" max="8"/>
    <col width="70"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61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614"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616" t="inlineStr">
        <is>
          <t>STEP 1 -- BUILDING IDENTIFICATION</t>
        </is>
      </c>
      <c r="C3" s="617" t="n"/>
      <c r="D3" s="617" t="n"/>
      <c r="E3" s="617" t="n"/>
      <c r="F3" s="617" t="n"/>
      <c r="G3" s="617" t="n"/>
      <c r="H3" s="612" t="n"/>
      <c r="I3" s="612" t="n"/>
      <c r="J3" s="612" t="n"/>
      <c r="K3" s="612" t="n"/>
      <c r="L3" s="612" t="n"/>
      <c r="M3" s="612" t="n"/>
      <c r="N3" s="612" t="n"/>
      <c r="O3" s="612" t="n"/>
      <c r="P3" s="612" t="n"/>
      <c r="Q3" s="615" t="n"/>
      <c r="R3" s="612" t="n"/>
      <c r="S3" s="612" t="n"/>
      <c r="T3" s="612" t="n"/>
      <c r="U3" s="612" t="n"/>
    </row>
    <row r="4">
      <c r="A4" s="612" t="n"/>
      <c r="B4" s="612" t="inlineStr">
        <is>
          <t>Occupancy Type</t>
        </is>
      </c>
      <c r="C4" s="618" t="inlineStr">
        <is>
          <t>Storage Warehouses</t>
        </is>
      </c>
      <c r="D4" s="619" t="n"/>
      <c r="E4" s="619" t="n"/>
      <c r="F4" s="619" t="n"/>
      <c r="G4" s="619" t="n"/>
      <c r="H4" s="612" t="n"/>
      <c r="I4" s="620"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621" t="inlineStr">
        <is>
          <t>Occupancy Code / Section / Page (auto)</t>
        </is>
      </c>
      <c r="C5" s="622">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623" t="inlineStr">
        <is>
          <t>Building Class</t>
        </is>
      </c>
      <c r="C6" s="624" t="inlineStr">
        <is>
          <t>C</t>
        </is>
      </c>
      <c r="D6" s="615" t="n"/>
      <c r="E6" s="615" t="n"/>
      <c r="F6" s="615" t="n"/>
      <c r="G6" s="615" t="n"/>
      <c r="H6" s="612" t="n"/>
      <c r="I6" s="620" t="inlineStr">
        <is>
          <t>A=Fireproofed steel. B=Reinf. concrete. C=Masonry/steel-or-wood frame. D=Wood/combustible (DPOLE=pole-frame). S=Pre-engineered metal. See Class Reference on M&amp;S Inputs.</t>
        </is>
      </c>
      <c r="J6" s="615" t="n"/>
      <c r="K6" s="615" t="n"/>
      <c r="L6" s="615" t="n"/>
      <c r="M6" s="615" t="n"/>
      <c r="N6" s="612" t="n"/>
      <c r="O6" s="612" t="n"/>
      <c r="P6" s="612" t="n"/>
      <c r="Q6" s="612" t="n"/>
      <c r="R6" s="612" t="n"/>
      <c r="S6" s="612" t="n"/>
      <c r="T6" s="612" t="n"/>
      <c r="U6" s="612" t="n"/>
    </row>
    <row r="7">
      <c r="A7" s="612" t="n"/>
      <c r="B7" s="623" t="inlineStr">
        <is>
          <t>Quality</t>
        </is>
      </c>
      <c r="C7" s="625" t="inlineStr">
        <is>
          <t>Average</t>
        </is>
      </c>
      <c r="D7" s="615" t="n"/>
      <c r="E7" s="615" t="n"/>
      <c r="F7" s="615" t="n"/>
      <c r="G7" s="615" t="n"/>
      <c r="H7" s="612" t="n"/>
      <c r="I7" s="620" t="inlineStr">
        <is>
          <t>Low Cost | Average | Good | Excellent (some occupancies also use Cheap). See Quality Reference on M&amp;S Inputs.</t>
        </is>
      </c>
      <c r="J7" s="615" t="n"/>
      <c r="K7" s="612" t="n"/>
      <c r="L7" s="612" t="n"/>
      <c r="M7" s="612" t="n"/>
      <c r="N7" s="612" t="n"/>
      <c r="O7" s="612" t="n"/>
      <c r="P7" s="612" t="n"/>
      <c r="Q7" s="612" t="n"/>
      <c r="R7" s="612" t="n"/>
      <c r="S7" s="612" t="n"/>
      <c r="T7" s="612" t="n"/>
      <c r="U7" s="612" t="n"/>
    </row>
    <row r="8">
      <c r="A8" s="612" t="n"/>
      <c r="B8" s="623" t="inlineStr">
        <is>
          <t>City / Local Area (for Local Multiplier)</t>
        </is>
      </c>
      <c r="C8" s="625" t="inlineStr">
        <is>
          <t>Denver</t>
        </is>
      </c>
      <c r="D8" s="615" t="n"/>
      <c r="E8" s="615" t="n"/>
      <c r="F8" s="615" t="n"/>
      <c r="G8" s="615" t="n"/>
      <c r="H8" s="612" t="n"/>
      <c r="I8" s="620"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623" t="n"/>
      <c r="C9" s="612" t="n"/>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626" t="inlineStr">
        <is>
          <t>STEP 2 -- SIZE, SHAPE &amp; SPRINKLER</t>
        </is>
      </c>
      <c r="C10" s="617" t="n"/>
      <c r="D10" s="627" t="n"/>
      <c r="E10" s="627" t="n"/>
      <c r="F10" s="627" t="n"/>
      <c r="G10" s="627" t="n"/>
      <c r="H10" s="612" t="n"/>
      <c r="I10" s="612" t="n"/>
      <c r="J10" s="612" t="n"/>
      <c r="K10" s="612" t="n"/>
      <c r="L10" s="612" t="n"/>
      <c r="M10" s="612" t="n"/>
      <c r="N10" s="612" t="n"/>
      <c r="O10" s="612" t="n"/>
      <c r="P10" s="612" t="n"/>
      <c r="Q10" s="612" t="n"/>
      <c r="R10" s="612" t="n"/>
      <c r="S10" s="612" t="n"/>
      <c r="T10" s="612" t="n"/>
      <c r="U10" s="612" t="n"/>
    </row>
    <row r="11">
      <c r="A11" s="612" t="n"/>
      <c r="B11" s="623" t="inlineStr">
        <is>
          <t>Avg Eave / Wall Height (ft)</t>
        </is>
      </c>
      <c r="C11" s="625"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623" t="inlineStr">
        <is>
          <t>Area/Perimeter Multiplier Factor 1</t>
        </is>
      </c>
      <c r="C12" s="625" t="n">
        <v>1</v>
      </c>
      <c r="D12" s="615" t="n"/>
      <c r="E12" s="615" t="n"/>
      <c r="F12" s="615" t="n"/>
      <c r="G12" s="615" t="n"/>
      <c r="H12" s="612" t="n"/>
      <c r="I12" s="620"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623" t="inlineStr">
        <is>
          <t>Area/Perimeter Multiplier Factor 2</t>
        </is>
      </c>
      <c r="C13" s="628"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621" t="inlineStr">
        <is>
          <t>Sprinkler Quality Tier</t>
        </is>
      </c>
      <c r="C14" s="629" t="inlineStr">
        <is>
          <t>Average</t>
        </is>
      </c>
      <c r="D14" s="615" t="n"/>
      <c r="E14" s="615" t="n"/>
      <c r="F14" s="615" t="n"/>
      <c r="G14" s="615" t="n"/>
      <c r="H14" s="612" t="n"/>
      <c r="I14" s="620" t="inlineStr">
        <is>
          <t>Independent of building quality -- set to match the actual sprinkler system grade. Section 11 (hotels) has no verified sprinkler table; price manually if needed.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626" t="inlineStr">
        <is>
          <t>STEP 3 -- APPRAISAL DATE &amp; DE-TREND</t>
        </is>
      </c>
      <c r="C16" s="627" t="n"/>
      <c r="D16" s="627" t="n"/>
      <c r="E16" s="627" t="n"/>
      <c r="F16" s="627" t="n"/>
      <c r="G16" s="627" t="n"/>
      <c r="H16" s="612" t="n"/>
      <c r="I16" s="612" t="n"/>
      <c r="J16" s="612" t="n"/>
      <c r="K16" s="612" t="n"/>
      <c r="L16" s="612" t="n"/>
      <c r="M16" s="612" t="n"/>
      <c r="N16" s="612" t="n"/>
      <c r="O16" s="612" t="n"/>
      <c r="P16" s="612" t="n"/>
      <c r="Q16" s="612" t="n"/>
      <c r="R16" s="612" t="n"/>
      <c r="S16" s="612" t="n"/>
      <c r="T16" s="612" t="n"/>
      <c r="U16" s="612" t="n"/>
    </row>
    <row r="17">
      <c r="A17" s="612" t="n"/>
      <c r="B17" s="623" t="inlineStr">
        <is>
          <t>Appraisal / Level-of-Value Date</t>
        </is>
      </c>
      <c r="C17" s="629">
        <f>DATE(2024,6,30)</f>
        <v/>
      </c>
      <c r="D17" s="615" t="n"/>
      <c r="E17" s="615" t="n"/>
      <c r="F17" s="615" t="n"/>
      <c r="G17" s="615" t="n"/>
      <c r="H17" s="612" t="n"/>
      <c r="I17" s="620"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623" t="inlineStr">
        <is>
          <t>Bracket Quarter - Earlier</t>
        </is>
      </c>
      <c r="C18" s="629" t="inlineStr">
        <is>
          <t>Apr 2024</t>
        </is>
      </c>
      <c r="D18" s="615" t="n"/>
      <c r="E18" s="615" t="n"/>
      <c r="F18" s="615" t="n"/>
      <c r="G18" s="615" t="n"/>
      <c r="H18" s="612" t="n"/>
      <c r="I18" s="620"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623" t="inlineStr">
        <is>
          <t>Bracket Quarter - Later</t>
        </is>
      </c>
      <c r="C19" s="629"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630" t="inlineStr">
        <is>
          <t>COST APPROACH SUMMARY</t>
        </is>
      </c>
      <c r="C21" s="631" t="n"/>
      <c r="D21" s="631" t="n"/>
      <c r="E21" s="631" t="n"/>
      <c r="F21" s="631" t="n"/>
      <c r="G21" s="631" t="n"/>
      <c r="H21" s="612" t="n"/>
      <c r="I21" s="612" t="n"/>
      <c r="J21" s="612" t="n"/>
      <c r="K21" s="612" t="n"/>
      <c r="L21" s="612" t="n"/>
      <c r="M21" s="612" t="n"/>
      <c r="N21" s="612" t="n"/>
      <c r="O21" s="612" t="n"/>
      <c r="P21" s="612" t="n"/>
      <c r="Q21" s="612" t="n"/>
      <c r="R21" s="612" t="n"/>
      <c r="S21" s="612" t="n"/>
      <c r="T21" s="612" t="n"/>
      <c r="U21" s="612" t="n"/>
    </row>
    <row r="22">
      <c r="A22" s="612" t="n"/>
      <c r="B22" s="632" t="inlineStr">
        <is>
          <t>Replacement Cost New (RCN)</t>
        </is>
      </c>
      <c r="C22" s="633" t="inlineStr">
        <is>
          <t>Area (SF)</t>
        </is>
      </c>
      <c r="D22" s="634" t="inlineStr">
        <is>
          <t>$/SF</t>
        </is>
      </c>
      <c r="E22" s="615" t="n"/>
      <c r="F22" s="634" t="inlineStr">
        <is>
          <t>Subtotal</t>
        </is>
      </c>
      <c r="G22" s="634" t="inlineStr">
        <is>
          <t>Total Cost</t>
        </is>
      </c>
      <c r="H22" s="612" t="n"/>
      <c r="I22" s="612" t="n"/>
      <c r="J22" s="612" t="n"/>
      <c r="K22" s="612" t="n"/>
      <c r="L22" s="612" t="n"/>
      <c r="M22" s="612" t="n"/>
      <c r="N22" s="612" t="n"/>
      <c r="O22" s="612" t="n"/>
      <c r="P22" s="612" t="n"/>
      <c r="Q22" s="612" t="n"/>
      <c r="R22" s="612" t="n"/>
      <c r="S22" s="612" t="n"/>
      <c r="T22" s="612" t="n"/>
      <c r="U22" s="612" t="n"/>
    </row>
    <row r="23">
      <c r="A23" s="612" t="n"/>
      <c r="B23" s="635"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623" t="inlineStr">
        <is>
          <t>Base Cost</t>
        </is>
      </c>
      <c r="C24" s="636">
        <f>WO!D13</f>
        <v/>
      </c>
      <c r="D24" s="615">
        <f>IFERROR(INDEX(BC_VALUE,MATCH($C$4&amp;"~"&amp;$C$6&amp;"~"&amp;$C$7,BC_KEY,0)),"NOT FOUND")</f>
        <v/>
      </c>
      <c r="E24" s="615" t="n"/>
      <c r="F24" s="615">
        <f>C24*D24</f>
        <v/>
      </c>
      <c r="G24" s="615" t="n"/>
      <c r="H24" s="612" t="n"/>
      <c r="I24" s="620">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623" t="inlineStr">
        <is>
          <t>Sprinklers</t>
        </is>
      </c>
      <c r="C25" s="636">
        <f>C24</f>
        <v/>
      </c>
      <c r="D25" s="615">
        <f>IFERROR(IF(INDEX(OCC_STORY,MATCH($C$4,OCC_NAME,0))="14",INDEX(SPR14_VALS,MATCH($C$24,SPR14_SF,1),MATCH($C$14,SPR_HDR,0)),IF(INDEX(OCC_STORY,MATCH($C$4,OCC_NAME,0))="13",INDEX(SPR13_VALS,MATCH($C$24,SPR13_SF,1),MATCH($C$14,SPR_HDR,0)),IF(INDEX(OCC_STORY,MATCH($C$4,OCC_NAME,0))="15",INDEX(SPR15_VALS,MATCH($C$24,SPR15_SF,1),MATCH($C$14,SPR_HDR,0)),0))),0)</f>
        <v/>
      </c>
      <c r="E25" s="615" t="n"/>
      <c r="F25" s="615">
        <f>C25*D25</f>
        <v/>
      </c>
      <c r="G25" s="615" t="n"/>
      <c r="H25" s="612" t="n"/>
      <c r="I25" s="620"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615"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615"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615"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615"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615" t="n"/>
      <c r="G30" s="615" t="n"/>
      <c r="H30" s="612" t="n"/>
      <c r="I30" s="612" t="n"/>
      <c r="J30" s="612" t="n"/>
      <c r="K30" s="612" t="n"/>
      <c r="L30" s="612" t="n"/>
      <c r="M30" s="612" t="n"/>
      <c r="N30" s="612" t="n"/>
      <c r="O30" s="612" t="n"/>
      <c r="P30" s="612" t="n"/>
      <c r="Q30" s="612" t="n"/>
      <c r="R30" s="612" t="n"/>
      <c r="S30" s="612" t="n"/>
      <c r="T30" s="612" t="n"/>
      <c r="U30" s="612" t="n"/>
    </row>
    <row r="31">
      <c r="A31" s="612" t="n"/>
      <c r="B31" s="638" t="inlineStr">
        <is>
          <t>Subtotal</t>
        </is>
      </c>
      <c r="C31" s="615" t="n"/>
      <c r="D31" s="615" t="n"/>
      <c r="E31" s="615" t="n"/>
      <c r="F31" s="639">
        <f>SUM(F24:F30)</f>
        <v/>
      </c>
      <c r="G31" s="615" t="n"/>
      <c r="H31" s="612" t="n"/>
      <c r="I31" s="612" t="n"/>
      <c r="J31" s="612" t="n"/>
      <c r="K31" s="612" t="n"/>
      <c r="L31" s="612" t="n"/>
      <c r="M31" s="612" t="n"/>
      <c r="N31" s="612" t="n"/>
      <c r="O31" s="612" t="n"/>
      <c r="P31" s="612" t="n"/>
      <c r="Q31" s="612" t="n"/>
      <c r="R31" s="612" t="n"/>
      <c r="S31" s="612" t="n"/>
      <c r="T31" s="612" t="n"/>
      <c r="U31" s="612" t="n"/>
    </row>
    <row r="32">
      <c r="A32" s="612" t="n"/>
      <c r="B32" s="640" t="inlineStr">
        <is>
          <t>Multipliers</t>
        </is>
      </c>
      <c r="C32" s="641" t="n"/>
      <c r="D32" s="642" t="n"/>
      <c r="E32" s="642" t="n"/>
      <c r="F32" s="643" t="n"/>
      <c r="G32" s="641" t="n"/>
      <c r="H32" s="612" t="n"/>
      <c r="I32" s="612" t="n"/>
      <c r="J32" s="612" t="n"/>
      <c r="K32" s="612" t="n"/>
      <c r="L32" s="612" t="n"/>
      <c r="M32" s="612" t="n"/>
      <c r="N32" s="612" t="n"/>
      <c r="O32" s="612" t="n"/>
      <c r="P32" s="612" t="n"/>
      <c r="Q32" s="612" t="n"/>
      <c r="R32" s="612" t="n"/>
      <c r="S32" s="612" t="n"/>
      <c r="T32" s="612" t="n"/>
      <c r="U32" s="612" t="n"/>
    </row>
    <row r="33">
      <c r="A33" s="612" t="n"/>
      <c r="B33" s="621" t="inlineStr">
        <is>
          <t>Current Cost (de-trended to Appraisal Date)</t>
        </is>
      </c>
      <c r="C33" s="615" t="n"/>
      <c r="D33" s="615">
        <f>IFERROR(INDEX(CCM_VALUES,MATCH(IF($C$6="CMILL","C",IF($C$6="DPOLE","D",IF($C$6="A-B","B",$C$6))),CCM_CLASS,0),MATCH("Sec."&amp;INDEX(OCC_SECTION,MATCH($C$4,OCC_NAME,0)),CCM_SECTIONHDR,0)),"")/IFERROR(INDEX(DEN_VALUES,MATCH($C$18,DEN_LABEL,0),MATCH("Class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644"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623" t="inlineStr">
        <is>
          <t>Local Area</t>
        </is>
      </c>
      <c r="C34" s="615" t="n"/>
      <c r="D34" s="615">
        <f>IFERROR(INDEX(LAM_VALUES,MATCH($C$8,LAM_CITY,0),MATCH("Class "&amp;IF($C$6="CMILL","C",IF($C$6="DPOLE","D",IF($C$6="A-B","B",$C$6))),LAM_CLASSHDR,0)),"")</f>
        <v/>
      </c>
      <c r="E34" s="615" t="n"/>
      <c r="F34" s="615" t="n"/>
      <c r="G34" s="615" t="n"/>
      <c r="H34" s="612" t="n"/>
      <c r="I34" s="620" t="inlineStr">
        <is>
          <t>MVS Sec.99 p.7 Local Area Multiplier.</t>
        </is>
      </c>
      <c r="J34" s="612" t="n"/>
      <c r="K34" s="612" t="n"/>
      <c r="L34" s="612" t="n"/>
      <c r="M34" s="612" t="n"/>
      <c r="N34" s="612" t="n"/>
      <c r="O34" s="612" t="n"/>
      <c r="P34" s="612" t="n"/>
      <c r="Q34" s="612" t="n"/>
      <c r="R34" s="612" t="n"/>
      <c r="S34" s="612" t="n"/>
      <c r="T34" s="612" t="n"/>
      <c r="U34" s="612" t="n"/>
    </row>
    <row r="35">
      <c r="A35" s="612" t="n"/>
      <c r="B35" s="615" t="inlineStr">
        <is>
          <t>Area/Perimeter Multiplier</t>
        </is>
      </c>
      <c r="C35" s="615" t="n"/>
      <c r="D35" s="615">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615" t="inlineStr">
        <is>
          <t>Story Height (Height entered in Step 2)</t>
        </is>
      </c>
      <c r="C36" s="615" t="n"/>
      <c r="D36" s="615">
        <f>IFERROR(IF(INDEX(OCC_STORY,MATCH($C$4,OCC_NAME,0))="14",INDEX(SH14_M,MATCH($C$11,SH14_H,1)),IF(INDEX(OCC_STORY,MATCH($C$4,OCC_NAME,0))="13",INDEX(SH13_M,MATCH($C$11,SH13_H,1)),IF(INDEX(OCC_STORY,MATCH($C$4,OCC_NAME,0))="15",INDEX(SH15_M,MATCH($C$11,SH15_H,1)),IF(INDEX(OCC_STORY,MATCH($C$4,OCC_NAME,0))="11",INDEX(SH11_M,MATCH($C$11,SH11_H,1)),1)))),1)</f>
        <v/>
      </c>
      <c r="E36" s="615" t="n"/>
      <c r="F36" s="615" t="n"/>
      <c r="G36" s="615" t="n"/>
      <c r="H36" s="612" t="n"/>
      <c r="I36" s="612" t="n"/>
      <c r="J36" s="612" t="n"/>
      <c r="K36" s="612" t="n"/>
      <c r="L36" s="612" t="n"/>
      <c r="M36" s="612" t="n"/>
      <c r="N36" s="612" t="n"/>
      <c r="O36" s="612" t="n"/>
      <c r="P36" s="612" t="n"/>
      <c r="Q36" s="612" t="n"/>
      <c r="R36" s="612" t="n"/>
      <c r="S36" s="612" t="n"/>
      <c r="T36" s="612" t="n"/>
      <c r="U36" s="612" t="n"/>
    </row>
    <row r="37">
      <c r="A37" s="612" t="n"/>
      <c r="B37" s="638" t="inlineStr">
        <is>
          <t>Product of Multipliers</t>
        </is>
      </c>
      <c r="C37" s="615" t="n"/>
      <c r="D37" s="615" t="n"/>
      <c r="E37" s="615" t="n"/>
      <c r="F37" s="639">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635" t="inlineStr">
        <is>
          <t>Adjusted Base Building Cost</t>
        </is>
      </c>
      <c r="C38" s="615" t="n"/>
      <c r="D38" s="615" t="n"/>
      <c r="E38" s="615" t="n"/>
      <c r="F38" s="615" t="n"/>
      <c r="G38" s="639">
        <f>F37*F31</f>
        <v/>
      </c>
      <c r="H38" s="612" t="n"/>
      <c r="I38" s="612" t="n"/>
      <c r="J38" s="612" t="n"/>
      <c r="K38" s="612" t="n"/>
      <c r="L38" s="612" t="n"/>
      <c r="M38" s="612" t="n"/>
      <c r="N38" s="612" t="n"/>
      <c r="O38" s="612" t="n"/>
      <c r="P38" s="612" t="n"/>
      <c r="Q38" s="615" t="n"/>
      <c r="R38" s="615" t="n"/>
      <c r="S38" s="612" t="n"/>
      <c r="T38" s="612" t="n"/>
      <c r="U38" s="612" t="n"/>
    </row>
    <row r="39">
      <c r="A39" s="612" t="n"/>
      <c r="B39" s="640" t="inlineStr">
        <is>
          <t>Site Improvements (enter your own measured quantities in the Area column)</t>
        </is>
      </c>
      <c r="C39" s="641" t="n"/>
      <c r="D39" s="641" t="n"/>
      <c r="E39" s="641" t="n"/>
      <c r="F39" s="641" t="n"/>
      <c r="G39" s="641" t="n"/>
      <c r="H39" s="612" t="n"/>
      <c r="I39" s="612" t="n"/>
      <c r="J39" s="612" t="n"/>
      <c r="K39" s="612" t="n"/>
      <c r="L39" s="612" t="n"/>
      <c r="M39" s="612" t="n"/>
      <c r="N39" s="612" t="n"/>
      <c r="O39" s="612" t="n"/>
      <c r="P39" s="612" t="n"/>
      <c r="Q39" s="612" t="n"/>
      <c r="R39" s="612" t="n"/>
      <c r="S39" s="612" t="n"/>
      <c r="T39" s="612" t="n"/>
      <c r="U39" s="615" t="n"/>
    </row>
    <row r="40">
      <c r="A40" s="612" t="n"/>
      <c r="B40" s="645" t="inlineStr">
        <is>
          <t>Parking/Loading Areas (asphalt)</t>
        </is>
      </c>
      <c r="C40" s="629" t="n"/>
      <c r="D40" s="629" t="n">
        <v>3.1</v>
      </c>
      <c r="E40" s="615" t="n"/>
      <c r="F40" s="615">
        <f>D40*C40</f>
        <v/>
      </c>
      <c r="G40" s="615" t="n"/>
      <c r="H40" s="612" t="n"/>
      <c r="I40" s="620"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645" t="inlineStr">
        <is>
          <t>Striping (Per Space)</t>
        </is>
      </c>
      <c r="C41" s="629" t="n"/>
      <c r="D41" s="629" t="n">
        <v>20</v>
      </c>
      <c r="E41" s="615" t="n"/>
      <c r="F41" s="615">
        <f>D41*C41</f>
        <v/>
      </c>
      <c r="G41" s="615" t="n"/>
      <c r="H41" s="612" t="n"/>
      <c r="I41" s="620"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645" t="inlineStr">
        <is>
          <t>Paving (concrete)</t>
        </is>
      </c>
      <c r="C42" s="629" t="n"/>
      <c r="D42" s="629" t="n">
        <v>5.51</v>
      </c>
      <c r="E42" s="615" t="n"/>
      <c r="F42" s="615">
        <f>D42*C42</f>
        <v/>
      </c>
      <c r="G42" s="615" t="n"/>
      <c r="H42" s="612" t="n"/>
      <c r="I42" s="620"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621" t="inlineStr">
        <is>
          <t>Other1</t>
        </is>
      </c>
      <c r="C43" s="629" t="n"/>
      <c r="D43" s="629" t="n"/>
      <c r="E43" s="615" t="n"/>
      <c r="F43" s="615">
        <f>D43*C43</f>
        <v/>
      </c>
      <c r="G43" s="615" t="n"/>
      <c r="H43" s="612" t="n"/>
      <c r="I43" s="612" t="n"/>
      <c r="J43" s="612" t="n"/>
      <c r="K43" s="612" t="n"/>
      <c r="L43" s="612" t="n"/>
      <c r="M43" s="612" t="n"/>
      <c r="N43" s="612" t="n"/>
      <c r="O43" s="612" t="n"/>
      <c r="P43" s="612" t="n"/>
      <c r="Q43" s="612" t="n"/>
      <c r="R43" s="612" t="n"/>
      <c r="S43" s="612" t="n"/>
      <c r="T43" s="612" t="n"/>
      <c r="U43" s="615" t="n"/>
    </row>
    <row r="44">
      <c r="A44" s="612" t="n"/>
      <c r="B44" s="621" t="inlineStr">
        <is>
          <t>Other2</t>
        </is>
      </c>
      <c r="C44" s="629" t="n"/>
      <c r="D44" s="629" t="n"/>
      <c r="E44" s="615" t="n"/>
      <c r="F44" s="615">
        <f>D44*C44</f>
        <v/>
      </c>
      <c r="G44" s="615" t="n"/>
      <c r="H44" s="612" t="n"/>
      <c r="I44" s="612" t="n"/>
      <c r="J44" s="612" t="n"/>
      <c r="K44" s="612" t="n"/>
      <c r="L44" s="612" t="n"/>
      <c r="M44" s="612" t="n"/>
      <c r="N44" s="612" t="n"/>
      <c r="O44" s="612" t="n"/>
      <c r="P44" s="612" t="n"/>
      <c r="Q44" s="612" t="n"/>
      <c r="R44" s="612" t="n"/>
      <c r="S44" s="612" t="n"/>
      <c r="T44" s="612" t="n"/>
      <c r="U44" s="612" t="n"/>
    </row>
    <row r="45">
      <c r="A45" s="612" t="n"/>
      <c r="B45" s="621" t="inlineStr">
        <is>
          <t>Landscaping, Lighting, Other Site Improvements</t>
        </is>
      </c>
      <c r="C45" s="629" t="n"/>
      <c r="D45" s="629" t="n">
        <v>5.5</v>
      </c>
      <c r="E45" s="615" t="n"/>
      <c r="F45" s="615">
        <f>D45*C45</f>
        <v/>
      </c>
      <c r="G45" s="615" t="n"/>
      <c r="H45" s="612" t="n"/>
      <c r="I45" s="620"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639" t="inlineStr">
        <is>
          <t>Total Site Improvements</t>
        </is>
      </c>
      <c r="C46" s="615" t="n"/>
      <c r="D46" s="615" t="n"/>
      <c r="E46" s="615" t="n"/>
      <c r="F46" s="615" t="n"/>
      <c r="G46" s="639">
        <f>SUM(F40:F45)</f>
        <v/>
      </c>
      <c r="H46" s="612" t="n"/>
      <c r="I46" s="612" t="n"/>
      <c r="J46" s="612" t="n"/>
      <c r="K46" s="612" t="n"/>
      <c r="L46" s="612" t="n"/>
      <c r="M46" s="612" t="n"/>
      <c r="N46" s="612" t="n"/>
      <c r="O46" s="612" t="n"/>
      <c r="P46" s="612" t="n"/>
      <c r="Q46" s="612" t="n"/>
      <c r="R46" s="612" t="n"/>
      <c r="S46" s="612" t="n"/>
      <c r="T46" s="612" t="n"/>
      <c r="U46" s="612" t="n"/>
    </row>
    <row r="47">
      <c r="A47" s="612" t="n"/>
      <c r="B47" s="635" t="inlineStr">
        <is>
          <t>Total Construction Costs</t>
        </is>
      </c>
      <c r="C47" s="615" t="n"/>
      <c r="D47" s="615" t="n"/>
      <c r="E47" s="615" t="n"/>
      <c r="F47" s="615" t="n"/>
      <c r="G47" s="639">
        <f>SUM(G38:G46)</f>
        <v/>
      </c>
      <c r="H47" s="612" t="n"/>
      <c r="I47" s="612" t="n"/>
      <c r="J47" s="612" t="n"/>
      <c r="K47" s="612" t="n"/>
      <c r="L47" s="612" t="n"/>
      <c r="M47" s="612" t="n"/>
      <c r="N47" s="612" t="n"/>
      <c r="O47" s="612" t="n"/>
      <c r="P47" s="612" t="n"/>
      <c r="Q47" s="612" t="n"/>
      <c r="R47" s="612" t="n"/>
      <c r="S47" s="612" t="n"/>
      <c r="T47" s="612" t="n"/>
      <c r="U47" s="612" t="n"/>
    </row>
    <row r="48">
      <c r="A48" s="612" t="n"/>
      <c r="B48" s="621" t="inlineStr">
        <is>
          <t>Plus Other Indirect Costs (% of Direct Costs)</t>
        </is>
      </c>
      <c r="C48" s="629" t="n">
        <v>0.1</v>
      </c>
      <c r="D48" s="615" t="n"/>
      <c r="E48" s="615" t="n"/>
      <c r="F48" s="615" t="n"/>
      <c r="G48" s="615">
        <f>G47*(C48)</f>
        <v/>
      </c>
      <c r="H48" s="612" t="n"/>
      <c r="I48" s="620"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639" t="inlineStr">
        <is>
          <t>Subtotal Replacement Cost New (RCN)</t>
        </is>
      </c>
      <c r="C49" s="615" t="n"/>
      <c r="D49" s="615" t="n"/>
      <c r="E49" s="615" t="n"/>
      <c r="F49" s="615" t="n"/>
      <c r="G49" s="639">
        <f>SUM(G47:G48)</f>
        <v/>
      </c>
      <c r="H49" s="612" t="n"/>
      <c r="I49" s="612" t="n"/>
      <c r="J49" s="612" t="n"/>
      <c r="K49" s="612" t="n"/>
      <c r="L49" s="612" t="n"/>
      <c r="M49" s="612" t="n"/>
      <c r="N49" s="612" t="n"/>
      <c r="O49" s="612" t="n"/>
      <c r="P49" s="612" t="n"/>
      <c r="Q49" s="612" t="n"/>
      <c r="R49" s="612" t="n"/>
      <c r="S49" s="612" t="n"/>
      <c r="T49" s="612" t="n"/>
      <c r="U49" s="612" t="n"/>
    </row>
    <row r="50">
      <c r="A50" s="612" t="n"/>
      <c r="B50" s="615" t="inlineStr">
        <is>
          <t>Plus Entrepreneurial Profit (% of RCN)</t>
        </is>
      </c>
      <c r="C50" s="629" t="n">
        <v>0.15</v>
      </c>
      <c r="D50" s="615" t="n"/>
      <c r="E50" s="615" t="n"/>
      <c r="F50" s="615" t="n"/>
      <c r="G50" s="615">
        <f>G49*C50</f>
        <v/>
      </c>
      <c r="H50" s="612" t="n"/>
      <c r="I50" s="620"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646" t="inlineStr">
        <is>
          <t>Total Replacement Cost New (RCN)</t>
        </is>
      </c>
      <c r="C51" s="615" t="n"/>
      <c r="D51" s="615" t="n"/>
      <c r="E51" s="615" t="n"/>
      <c r="F51" s="615" t="n"/>
      <c r="G51" s="646">
        <f>SUM(G49:G50)</f>
        <v/>
      </c>
      <c r="H51" s="612" t="n"/>
      <c r="I51" s="612" t="n"/>
      <c r="J51" s="612" t="n"/>
      <c r="K51" s="612" t="n"/>
      <c r="L51" s="612" t="n"/>
      <c r="M51" s="612" t="n"/>
      <c r="N51" s="612" t="n"/>
      <c r="O51" s="612" t="n"/>
      <c r="P51" s="612" t="n"/>
      <c r="Q51" s="612" t="n"/>
      <c r="R51" s="612" t="n"/>
      <c r="S51" s="612" t="n"/>
      <c r="T51" s="612" t="n"/>
      <c r="U51" s="612" t="n"/>
    </row>
    <row r="52">
      <c r="A52" s="612" t="n"/>
      <c r="B52" s="647" t="inlineStr">
        <is>
          <t>per square foot of gross building area</t>
        </is>
      </c>
      <c r="C52" s="648" t="n"/>
      <c r="D52" s="615" t="n"/>
      <c r="E52" s="615" t="n"/>
      <c r="F52" s="615" t="n"/>
      <c r="G52" s="612">
        <f>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649" t="inlineStr">
        <is>
          <t>Less Accrued Depreciation</t>
        </is>
      </c>
      <c r="C54" s="641" t="n"/>
      <c r="D54" s="641" t="n"/>
      <c r="E54" s="641" t="n"/>
      <c r="F54" s="641" t="n"/>
      <c r="G54" s="641" t="n"/>
      <c r="H54" s="612" t="n"/>
      <c r="I54" s="612" t="n"/>
      <c r="J54" s="612" t="n"/>
      <c r="K54" s="612" t="n"/>
      <c r="L54" s="612" t="n"/>
      <c r="M54" s="612" t="n"/>
      <c r="N54" s="612" t="n"/>
      <c r="O54" s="612" t="n"/>
      <c r="P54" s="612" t="n"/>
      <c r="Q54" s="612" t="n"/>
      <c r="R54" s="612" t="n"/>
      <c r="S54" s="612" t="n"/>
      <c r="T54" s="612" t="n"/>
      <c r="U54" s="612" t="n"/>
    </row>
    <row r="55">
      <c r="A55" s="612" t="n"/>
      <c r="B55" s="639"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615" t="inlineStr">
        <is>
          <t>Curable (Deferred Maintenance)</t>
        </is>
      </c>
      <c r="C56" s="650" t="n"/>
      <c r="D56" s="613" t="n"/>
      <c r="E56" s="619" t="n"/>
      <c r="F56" s="618" t="n">
        <v>0</v>
      </c>
      <c r="G56" s="615" t="n"/>
      <c r="H56" s="612" t="n"/>
      <c r="I56" s="620"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651"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612" t="inlineStr">
        <is>
          <t>Effective Age (Years)</t>
        </is>
      </c>
      <c r="C58" s="625" t="n">
        <v>0</v>
      </c>
      <c r="D58" s="612" t="n"/>
      <c r="E58" s="612" t="n"/>
      <c r="F58" s="612" t="n"/>
      <c r="G58" s="612" t="n"/>
      <c r="H58" s="612" t="n"/>
      <c r="I58" s="620"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612" t="inlineStr">
        <is>
          <t>Typical Life Expectancy (MVS Sec.97, auto)</t>
        </is>
      </c>
      <c r="C59" s="636">
        <f>IFERROR(INDEX(LIFE_VALUES,MATCH($C$4&amp;"~"&amp;$C$7,LIFE_KEY,0),MATCH("Class "&amp;IF($C$6="CMILL","C",IF($C$6="DPOLE","D",IF($C$6="A-B","B",$C$6))),LIFE_CLASSHDR,0)),"n/a for this Class/Quality -- see Life Expectancy table on M&amp;S Inputs")</f>
        <v/>
      </c>
      <c r="D59" s="612" t="n"/>
      <c r="E59" s="612" t="n"/>
      <c r="F59" s="612" t="n"/>
      <c r="G59" s="612" t="n"/>
      <c r="H59" s="612" t="n"/>
      <c r="I59" s="620" t="inlineStr">
        <is>
          <t>MVS Sec.97 pp.10-13, by occupancy/quality/class.</t>
        </is>
      </c>
      <c r="J59" s="612" t="n"/>
      <c r="K59" s="637" t="n"/>
      <c r="L59" s="612" t="n"/>
      <c r="M59" s="612" t="n"/>
      <c r="N59" s="612" t="n"/>
      <c r="O59" s="612" t="n"/>
      <c r="P59" s="637" t="n"/>
      <c r="Q59" s="612" t="n"/>
      <c r="R59" s="612" t="n"/>
      <c r="S59" s="612" t="n"/>
      <c r="T59" s="612" t="n"/>
      <c r="U59" s="612" t="n"/>
    </row>
    <row r="60">
      <c r="A60" s="612" t="n"/>
      <c r="B60" s="612" t="inlineStr">
        <is>
          <t>Total Incurable Physical Depreciation (MVS Sec.97 percent-good curve)</t>
        </is>
      </c>
      <c r="C60" s="622">
        <f>IFERROR(INDEX(DEPR_VALUES,MATCH($C$58,DEPR_AGE,1),MATCH($C$59,DEPR_LIFEHDR,0))/100,"n/a -- age exceeds tabulated range; treat as fully depreciated per Sec.97 salvage guidance")</f>
        <v/>
      </c>
      <c r="D60" s="612" t="n"/>
      <c r="E60" s="612" t="n"/>
      <c r="F60" s="612">
        <f>G51*C60</f>
        <v/>
      </c>
      <c r="G60" s="612" t="n"/>
      <c r="H60" s="612" t="n"/>
      <c r="I60" s="620" t="inlineStr">
        <is>
          <t>MVS Sec.97 p.24, Commercial Properties percent-good table -- replaces a naive straight-line age/life ratio.</t>
        </is>
      </c>
      <c r="J60" s="612" t="n"/>
      <c r="K60" s="612" t="n"/>
      <c r="L60" s="619" t="n"/>
      <c r="M60" s="619" t="n"/>
      <c r="N60" s="619" t="n"/>
      <c r="O60" s="619" t="n"/>
      <c r="P60" s="619" t="n"/>
      <c r="Q60" s="612" t="n"/>
      <c r="R60" s="612" t="n"/>
      <c r="S60" s="612" t="n"/>
      <c r="T60" s="612" t="n"/>
      <c r="U60" s="612" t="n"/>
    </row>
    <row r="61">
      <c r="A61" s="612" t="n"/>
      <c r="B61" s="612" t="inlineStr">
        <is>
          <t>Functional Obsolescence</t>
        </is>
      </c>
      <c r="C61" s="625" t="n">
        <v>0</v>
      </c>
      <c r="D61" s="612" t="n"/>
      <c r="E61" s="612" t="n"/>
      <c r="F61" s="612">
        <f>C61*caRCN</f>
        <v/>
      </c>
      <c r="G61" s="612" t="n"/>
      <c r="H61" s="612" t="n"/>
      <c r="I61" s="620"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612" t="inlineStr">
        <is>
          <t>External Obsolescence</t>
        </is>
      </c>
      <c r="C62" s="625" t="n">
        <v>0</v>
      </c>
      <c r="D62" s="612" t="n"/>
      <c r="E62" s="612" t="n"/>
      <c r="F62" s="612">
        <f>C62*caRCN</f>
        <v/>
      </c>
      <c r="G62" s="612" t="n"/>
      <c r="H62" s="612" t="n"/>
      <c r="I62" s="620"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651" t="inlineStr">
        <is>
          <t>Total</t>
        </is>
      </c>
      <c r="C63" s="612">
        <f>G63/caRCN</f>
        <v/>
      </c>
      <c r="D63" s="612" t="n"/>
      <c r="E63" s="612" t="n"/>
      <c r="F63" s="612" t="n"/>
      <c r="G63" s="651">
        <f>SUM(F56:F62)</f>
        <v/>
      </c>
      <c r="H63" s="612" t="n"/>
      <c r="I63" s="612" t="n"/>
      <c r="J63" s="612" t="n"/>
      <c r="K63" s="615" t="n"/>
      <c r="L63" s="619" t="n"/>
      <c r="M63" s="619" t="n"/>
      <c r="N63" s="619" t="n"/>
      <c r="O63" s="619" t="n"/>
      <c r="P63" s="619" t="n"/>
      <c r="Q63" s="612" t="n"/>
      <c r="R63" s="612" t="n"/>
      <c r="S63" s="612" t="n"/>
      <c r="T63" s="612" t="n"/>
      <c r="U63" s="612" t="n"/>
    </row>
    <row r="64">
      <c r="A64" s="612" t="n"/>
      <c r="B64" s="652" t="inlineStr">
        <is>
          <t>Depreciated Value of the Improvements</t>
        </is>
      </c>
      <c r="C64" s="612" t="n"/>
      <c r="D64" s="612" t="n"/>
      <c r="E64" s="612" t="n"/>
      <c r="F64" s="612" t="n"/>
      <c r="G64" s="652">
        <f>caRCN-G63</f>
        <v/>
      </c>
      <c r="H64" s="612" t="n"/>
      <c r="I64" s="612" t="n"/>
      <c r="J64" s="612" t="n"/>
      <c r="K64" s="615" t="n"/>
      <c r="L64" s="619" t="n"/>
      <c r="M64" s="619" t="n"/>
      <c r="N64" s="619" t="n"/>
      <c r="O64" s="619" t="n"/>
      <c r="P64" s="619" t="n"/>
      <c r="Q64" s="612" t="n"/>
      <c r="R64" s="612" t="n"/>
      <c r="S64" s="612" t="n"/>
      <c r="T64" s="612" t="n"/>
      <c r="U64" s="612" t="n"/>
    </row>
    <row r="65">
      <c r="A65" s="612" t="n"/>
      <c r="B65" s="612" t="inlineStr">
        <is>
          <t>per square foot of gross building area</t>
        </is>
      </c>
      <c r="C65" s="612" t="n"/>
      <c r="D65" s="612" t="n"/>
      <c r="E65" s="612" t="n"/>
      <c r="F65" s="612" t="n"/>
      <c r="G65" s="612">
        <f>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612" t="inlineStr">
        <is>
          <t>Plus Land Value</t>
        </is>
      </c>
      <c r="C67" s="619" t="n"/>
      <c r="D67" s="619" t="n"/>
      <c r="E67" s="619" t="n"/>
      <c r="F67" s="619" t="n"/>
      <c r="G67" s="653" t="n">
        <v>0</v>
      </c>
      <c r="H67" s="612" t="n"/>
      <c r="I67" s="620"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654" t="inlineStr">
        <is>
          <t>Indicated Value by Cost Approach</t>
        </is>
      </c>
      <c r="C69" s="655" t="n"/>
      <c r="D69" s="615" t="n"/>
      <c r="E69" s="615" t="n"/>
      <c r="F69" s="615" t="n"/>
      <c r="G69" s="656">
        <f>G64+G67</f>
        <v/>
      </c>
      <c r="H69" s="612" t="n"/>
      <c r="I69" s="612" t="n"/>
      <c r="J69" s="612" t="n"/>
      <c r="K69" s="612" t="n"/>
      <c r="L69" s="612" t="n"/>
      <c r="M69" s="612" t="n"/>
      <c r="N69" s="612" t="n"/>
      <c r="O69" s="612" t="n"/>
      <c r="P69" s="612" t="n"/>
      <c r="Q69" s="612" t="n"/>
      <c r="R69" s="612" t="n"/>
      <c r="S69" s="612" t="n"/>
      <c r="T69" s="612" t="n"/>
      <c r="U69" s="612" t="n"/>
    </row>
    <row r="70">
      <c r="A70" s="612" t="n"/>
      <c r="B70" s="623" t="n">
        <v>5000</v>
      </c>
      <c r="C70" s="612" t="n"/>
      <c r="D70" s="615" t="n"/>
      <c r="E70" s="615" t="n"/>
      <c r="F70" s="615" t="n"/>
      <c r="G70" s="656">
        <f>ROUND((G69/B70),0)*B70</f>
        <v/>
      </c>
      <c r="H70" s="612" t="n"/>
      <c r="I70" s="620"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623" t="inlineStr">
        <is>
          <t>per square foot of gross building area</t>
        </is>
      </c>
      <c r="C71" s="612" t="n"/>
      <c r="D71" s="615" t="n"/>
      <c r="E71" s="615" t="n"/>
      <c r="F71" s="615" t="n"/>
      <c r="G71" s="615">
        <f>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623"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623"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621" t="n"/>
      <c r="C77" s="615" t="n"/>
      <c r="D77" s="615" t="n"/>
      <c r="E77" s="615" t="n"/>
      <c r="F77" s="615" t="n"/>
      <c r="G77" s="615" t="n"/>
      <c r="H77" s="612" t="n"/>
      <c r="I77" s="612" t="n"/>
      <c r="J77" s="612" t="n"/>
      <c r="K77" s="612" t="n"/>
      <c r="L77" s="612" t="n"/>
      <c r="M77" s="612" t="n"/>
      <c r="N77" s="612" t="n"/>
      <c r="O77" s="612" t="n"/>
      <c r="P77" s="612" t="n"/>
      <c r="Q77" s="612" t="n"/>
      <c r="R77" s="612" t="n"/>
      <c r="S77" s="612" t="n"/>
      <c r="T77" s="612" t="n"/>
      <c r="U77" s="612" t="n"/>
    </row>
    <row r="78" hidden="1">
      <c r="A78" s="612" t="n"/>
      <c r="B78" s="623" t="n"/>
      <c r="C78" s="615" t="n"/>
      <c r="D78" s="615" t="n"/>
      <c r="E78" s="615" t="n"/>
      <c r="F78" s="615" t="n"/>
      <c r="G78" s="615" t="n"/>
      <c r="H78" s="612" t="n"/>
      <c r="I78" s="612" t="n"/>
      <c r="J78" s="612" t="n"/>
      <c r="K78" s="612" t="n"/>
      <c r="L78" s="612" t="n"/>
      <c r="M78" s="612" t="n"/>
      <c r="N78" s="612" t="n"/>
      <c r="O78" s="612" t="n"/>
      <c r="P78" s="612" t="n"/>
      <c r="Q78" s="612" t="n"/>
      <c r="R78" s="612" t="n"/>
      <c r="S78" s="612" t="n"/>
      <c r="T78" s="612" t="n"/>
      <c r="U78" s="612" t="n"/>
    </row>
    <row r="79" hidden="1">
      <c r="A79" s="612" t="n"/>
      <c r="B79" s="623" t="n"/>
      <c r="C79" s="615" t="n"/>
      <c r="D79" s="615" t="n"/>
      <c r="E79" s="615" t="n"/>
      <c r="F79" s="615" t="n"/>
      <c r="G79" s="615" t="n"/>
      <c r="H79" s="612" t="n"/>
      <c r="I79" s="612" t="n"/>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n"/>
      <c r="C81" s="615" t="n"/>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n"/>
      <c r="C82" s="615" t="n"/>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n"/>
      <c r="C83" s="615" t="n"/>
      <c r="D83" s="615" t="n"/>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c r="Q223" s="666" t="n"/>
      <c r="R223" s="666" t="n"/>
    </row>
    <row r="224">
      <c r="Q224" s="666" t="n"/>
      <c r="R224" s="666" t="n"/>
    </row>
    <row r="225">
      <c r="Q225" s="666" t="n"/>
      <c r="R225" s="666" t="n"/>
    </row>
    <row r="226">
      <c r="Q226" s="666" t="n"/>
      <c r="R226" s="666" t="n"/>
    </row>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c r="Q341" s="666" t="n"/>
      <c r="R341" s="666" t="n"/>
    </row>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c r="Q540" s="666" t="n"/>
      <c r="R540" s="666" t="n"/>
    </row>
    <row r="541">
      <c r="Q541" s="666" t="n"/>
      <c r="R541" s="666" t="n"/>
    </row>
    <row r="542">
      <c r="Q542" s="666" t="n"/>
      <c r="R542" s="666" t="n"/>
    </row>
  </sheetData>
  <mergeCells count="1">
    <mergeCell ref="B2:G2"/>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"A,B,C,CMILL,D,DPOLE,S,A-B"</formula1>
    </dataValidation>
    <dataValidation sqref="C7" showDropDown="0" showInputMessage="0" showErrorMessage="0" allowBlank="1" type="list">
      <formula1>"Low Cost,Average,Good,Excellent,Cheap"</formula1>
    </dataValidation>
    <dataValidation sqref="C14" showDropDown="0" showInputMessage="0" showErrorMessage="0" allowBlank="1" type="list">
      <formula1>"Low Cost,Average,Good,Excellent,Cheap"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s>
  <pageMargins left="0.75" right="0.75" top="1" bottom="1" header="0.5" footer="0.5"/>
</worksheet>
</file>

<file path=xl/worksheets/sheet9.xml><?xml version="1.0" encoding="utf-8"?>
<worksheet xmlns="http://schemas.openxmlformats.org/spreadsheetml/2006/main">
  <sheetPr codeName="Sheet2">
    <outlinePr summaryBelow="1" summaryRight="1"/>
    <pageSetUpPr fitToPage="1"/>
  </sheetPr>
  <dimension ref="A1:AN941"/>
  <sheetViews>
    <sheetView zoomScale="125" zoomScaleNormal="125" workbookViewId="0">
      <pane ySplit="1" topLeftCell="A2" activePane="bottomLeft" state="frozen"/>
      <selection activeCell="E47" sqref="E47"/>
      <selection pane="bottomLeft" activeCell="A1" sqref="A1"/>
    </sheetView>
  </sheetViews>
  <sheetFormatPr baseColWidth="8" defaultColWidth="9.33203125" defaultRowHeight="15" customHeight="1"/>
  <cols>
    <col width="8.33203125" bestFit="1" customWidth="1" style="245" min="1" max="1"/>
    <col width="9.1640625" bestFit="1" customWidth="1" style="245" min="2" max="2"/>
    <col width="20.6640625" customWidth="1" style="245" min="3" max="3"/>
    <col width="40" bestFit="1" customWidth="1" style="245" min="4" max="4"/>
    <col width="11.33203125" customWidth="1" style="245" min="5" max="5"/>
    <col width="19.83203125" bestFit="1" customWidth="1" style="245" min="6" max="6"/>
    <col width="8" customWidth="1" style="245" min="7" max="7"/>
    <col width="15.6640625" bestFit="1" customWidth="1" style="667" min="8" max="8"/>
    <col width="11.6640625" bestFit="1" customWidth="1" style="245" min="9" max="9"/>
    <col width="12.1640625" bestFit="1" customWidth="1" style="245" min="10" max="10"/>
    <col width="9.83203125" bestFit="1" customWidth="1" style="245" min="11" max="11"/>
    <col width="11.33203125" bestFit="1" customWidth="1" style="245" min="12" max="12"/>
    <col width="5.83203125" bestFit="1" customWidth="1" style="245" min="13" max="13"/>
    <col width="8.5" bestFit="1" customWidth="1" style="245" min="14" max="14"/>
    <col width="9" bestFit="1" customWidth="1" style="253" min="15" max="15"/>
    <col width="9.5" bestFit="1" customWidth="1" style="245" min="16" max="16"/>
    <col width="5.6640625" bestFit="1" customWidth="1" style="253" min="17" max="17"/>
    <col width="8" bestFit="1" customWidth="1" style="390" min="18" max="18"/>
    <col width="11.33203125" bestFit="1" customWidth="1" style="245" min="19" max="19"/>
    <col width="11.6640625" bestFit="1" customWidth="1" style="245" min="20" max="20"/>
    <col width="8.6640625"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9.83203125" bestFit="1" customWidth="1" style="245" min="29" max="29"/>
    <col width="16.5" bestFit="1" customWidth="1" style="245" min="30" max="30"/>
    <col width="92" bestFit="1" customWidth="1" style="245" min="31" max="31"/>
    <col width="91.6640625" bestFit="1" customWidth="1" style="245" min="32" max="32"/>
    <col width="10.1640625" bestFit="1" customWidth="1" style="245" min="33" max="34"/>
    <col width="9.33203125" customWidth="1" style="245" min="35" max="16384"/>
  </cols>
  <sheetData>
    <row r="1" ht="36" customHeight="1">
      <c r="A1" s="392" t="inlineStr">
        <is>
          <t>Pos</t>
        </is>
      </c>
      <c r="B1" s="390" t="inlineStr">
        <is>
          <t>Num</t>
        </is>
      </c>
      <c r="C1" s="389" t="inlineStr">
        <is>
          <t>Parcel</t>
        </is>
      </c>
      <c r="D1" s="458" t="inlineStr">
        <is>
          <t>Filtered
Address</t>
        </is>
      </c>
      <c r="E1" s="392" t="inlineStr">
        <is>
          <t>OCC</t>
        </is>
      </c>
      <c r="F1" s="392" t="inlineStr">
        <is>
          <t>CITY</t>
        </is>
      </c>
      <c r="G1" s="459" t="inlineStr">
        <is>
          <t>Loc</t>
        </is>
      </c>
      <c r="H1" s="668" t="inlineStr">
        <is>
          <t>FTS</t>
        </is>
      </c>
      <c r="I1" s="390" t="inlineStr">
        <is>
          <t>Date</t>
        </is>
      </c>
      <c r="J1" s="460" t="inlineStr">
        <is>
          <t>Above
Grade NRA</t>
        </is>
      </c>
      <c r="K1" s="460" t="inlineStr">
        <is>
          <t>Bsmt
NRA</t>
        </is>
      </c>
      <c r="L1" s="390" t="inlineStr">
        <is>
          <t>NRA</t>
        </is>
      </c>
      <c r="M1" s="390" t="inlineStr">
        <is>
          <t>YOC</t>
        </is>
      </c>
      <c r="N1" s="390" t="inlineStr">
        <is>
          <t># Units</t>
        </is>
      </c>
      <c r="O1" s="390" t="inlineStr">
        <is>
          <t># Bldgs</t>
        </is>
      </c>
      <c r="P1" s="390" t="inlineStr">
        <is>
          <t>Zone</t>
        </is>
      </c>
      <c r="Q1" s="390" t="inlineStr">
        <is>
          <t>Str</t>
        </is>
      </c>
      <c r="R1" s="390" t="inlineStr">
        <is>
          <t>Grd</t>
        </is>
      </c>
      <c r="S1" s="390" t="inlineStr">
        <is>
          <t>Land</t>
        </is>
      </c>
      <c r="T1" s="459" t="inlineStr">
        <is>
          <t>L:B RATIO</t>
        </is>
      </c>
      <c r="U1" s="390" t="inlineStr">
        <is>
          <t>PHY</t>
        </is>
      </c>
      <c r="V1" s="390" t="inlineStr">
        <is>
          <t>FUN</t>
        </is>
      </c>
      <c r="W1" s="390" t="inlineStr">
        <is>
          <t>PF</t>
        </is>
      </c>
      <c r="X1" s="390" t="inlineStr">
        <is>
          <t>Tie-Back</t>
        </is>
      </c>
      <c r="Y1" s="390" t="inlineStr">
        <is>
          <t>Amount</t>
        </is>
      </c>
      <c r="Z1" s="390" t="inlineStr">
        <is>
          <t>Deduct.</t>
        </is>
      </c>
      <c r="AA1" s="390" t="inlineStr">
        <is>
          <t>Amount</t>
        </is>
      </c>
      <c r="AB1" s="390" t="inlineStr">
        <is>
          <t>Remarks</t>
        </is>
      </c>
      <c r="AC1" s="392" t="inlineStr">
        <is>
          <t>Parcel Number</t>
        </is>
      </c>
      <c r="AD1" s="390" t="inlineStr">
        <is>
          <t>Reception #</t>
        </is>
      </c>
      <c r="AE1" s="390" t="inlineStr">
        <is>
          <t>Grantor</t>
        </is>
      </c>
      <c r="AF1" s="390" t="inlineStr">
        <is>
          <t>Grantee</t>
        </is>
      </c>
      <c r="AG1" s="390" t="inlineStr">
        <is>
          <t>Street</t>
        </is>
      </c>
      <c r="AH1" s="390" t="inlineStr">
        <is>
          <t>Street</t>
        </is>
      </c>
    </row>
    <row r="2" ht="15" customHeight="1">
      <c r="A2" s="246" t="n">
        <v>5</v>
      </c>
      <c r="N2" s="487" t="n"/>
      <c r="O2" s="487" t="n"/>
      <c r="AB2" s="247" t="n"/>
    </row>
    <row r="3" ht="15" customHeight="1">
      <c r="A3" s="246" t="n">
        <v>5</v>
      </c>
      <c r="AB3" s="247" t="n"/>
    </row>
    <row r="4" ht="15" customHeight="1">
      <c r="A4" s="246" t="n">
        <v>5</v>
      </c>
      <c r="AB4" s="247" t="n"/>
    </row>
    <row r="5" ht="15" customHeight="1">
      <c r="A5" s="246" t="n">
        <v>5</v>
      </c>
      <c r="AB5" s="247" t="n"/>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t="inlineStr">
        <is>
          <t xml:space="preserve">MCCAIN PROPERTIES II LLC, C/O WHEELHOUSE COMMERCIAL MGMT </t>
        </is>
      </c>
      <c r="AF6" t="inlineStr">
        <is>
          <t>TRIUMPH HILLCREST PLAZA ACQUISTION LP</t>
        </is>
      </c>
      <c r="AI6" s="245">
        <f>UPPER(D6)</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P7" t="inlineStr"/>
      <c r="R7" t="inlineStr">
        <is>
          <t>Average</t>
        </is>
      </c>
      <c r="S7" t="n">
        <v>93313</v>
      </c>
      <c r="T7" s="467">
        <f>S7/J7</f>
        <v/>
      </c>
      <c r="U7" t="inlineStr">
        <is>
          <t>Average</t>
        </is>
      </c>
      <c r="Y7" t="n">
        <v>1955000</v>
      </c>
      <c r="AA7" t="n">
        <v>1955000</v>
      </c>
      <c r="AC7" t="inlineStr">
        <is>
          <t>0171903409022</t>
        </is>
      </c>
      <c r="AD7" t="inlineStr">
        <is>
          <t>2018000079617</t>
        </is>
      </c>
      <c r="AE7" t="inlineStr">
        <is>
          <t>NORTH GATE SHOPPING CENTER LL</t>
        </is>
      </c>
      <c r="AF7" t="inlineStr">
        <is>
          <t>TRECO NORTHGLENN INVESTMENT LLC</t>
        </is>
      </c>
      <c r="AI7" s="245">
        <f>UPPER(D7)</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P8" t="inlineStr"/>
      <c r="R8" t="inlineStr">
        <is>
          <t>Average</t>
        </is>
      </c>
      <c r="S8" t="n">
        <v>104650</v>
      </c>
      <c r="T8" s="467">
        <f>S8/J8</f>
        <v/>
      </c>
      <c r="U8" t="inlineStr">
        <is>
          <t>Average</t>
        </is>
      </c>
      <c r="Y8" t="n">
        <v>2800000</v>
      </c>
      <c r="AA8" t="n">
        <v>2800000</v>
      </c>
      <c r="AC8" t="inlineStr">
        <is>
          <t>0171932421001</t>
        </is>
      </c>
      <c r="AD8" t="inlineStr">
        <is>
          <t>2018000074031</t>
        </is>
      </c>
      <c r="AE8" t="inlineStr">
        <is>
          <t>LA CONTE J AND R REAL ESTATE, ADMINISTRATIVE TRUST</t>
        </is>
      </c>
      <c r="AF8" t="inlineStr">
        <is>
          <t>72ND AND FEDERAL LLC</t>
        </is>
      </c>
      <c r="AI8" s="245">
        <f>UPPER(D8)</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t="inlineStr">
        <is>
          <t>DENVER NORTHGLENN HOTELS LLC</t>
        </is>
      </c>
      <c r="AF9" t="inlineStr">
        <is>
          <t>ASHOORIGROUP PROPERTIES LLC</t>
        </is>
      </c>
      <c r="AI9" s="245">
        <f>UPPER(D9)</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t="inlineStr">
        <is>
          <t>JACOBSON RICHARD LESLIE</t>
        </is>
      </c>
      <c r="AF10" t="inlineStr">
        <is>
          <t>WHEELING HOLDINGS LLC</t>
        </is>
      </c>
      <c r="AI10" s="245">
        <f>UPPER(D10)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t="inlineStr">
        <is>
          <t xml:space="preserve">MEEKS GARY I AND , MEEKS PAULA K </t>
        </is>
      </c>
      <c r="AF11" t="inlineStr">
        <is>
          <t>REP HOLDINGS LLC</t>
        </is>
      </c>
      <c r="AI11" s="245">
        <f>UPPER(D11)</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t="inlineStr">
        <is>
          <t>SHIH PROPERTIES INCORPORATED</t>
        </is>
      </c>
      <c r="AF12" t="inlineStr">
        <is>
          <t>BHATTARAI DOL PRASAD</t>
        </is>
      </c>
      <c r="AI12" s="245">
        <f>UPPER(D12)</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t="inlineStr">
        <is>
          <t>R &amp; R PROPERTIES LLC</t>
        </is>
      </c>
      <c r="AF13" t="inlineStr">
        <is>
          <t>WELBY CENTER LLC</t>
        </is>
      </c>
      <c r="AI13" s="245">
        <f>UPPER(D13)</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t="inlineStr">
        <is>
          <t>CHIROPRACTIC OF NORTH DENVER PC</t>
        </is>
      </c>
      <c r="AF14" t="inlineStr">
        <is>
          <t>HARTIGAN PROPERTIES LLC</t>
        </is>
      </c>
      <c r="AI14" s="245">
        <f>UPPER(D14)</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t="inlineStr">
        <is>
          <t>COUNTRY CLUB VILLAGE TWO LLC</t>
        </is>
      </c>
      <c r="AF15" t="inlineStr">
        <is>
          <t>CTJ LEASING LLC</t>
        </is>
      </c>
      <c r="AI15" s="245">
        <f>UPPER(D15)</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t="inlineStr">
        <is>
          <t>CHANG AND IM INCORPORATED</t>
        </is>
      </c>
      <c r="AF16" t="inlineStr">
        <is>
          <t>MELODY DRIVE INVESTMENT LLC</t>
        </is>
      </c>
      <c r="AI16" s="245">
        <f>UPPER(D16)</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t="inlineStr">
        <is>
          <t>3030 81ST LLC</t>
        </is>
      </c>
      <c r="AF17" t="inlineStr">
        <is>
          <t>BAB REALTY LLC</t>
        </is>
      </c>
      <c r="AI17" s="245">
        <f>UPPER(D17)</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t="inlineStr">
        <is>
          <t>W S A FRATERNAL LIFE</t>
        </is>
      </c>
      <c r="AF18" t="inlineStr">
        <is>
          <t>FARMHOUSE CENTER LLC</t>
        </is>
      </c>
      <c r="AI18" s="245">
        <f>UPPER(D18)</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t="inlineStr">
        <is>
          <t>VANDER HORST FAMILY TRUST THE</t>
        </is>
      </c>
      <c r="AF19" t="inlineStr">
        <is>
          <t>BARR AVENUE PARTNERSHIP LLC</t>
        </is>
      </c>
      <c r="AI19" s="245">
        <f>UPPER(D19)</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t="inlineStr">
        <is>
          <t>CJ AND K PARTNERS LLC</t>
        </is>
      </c>
      <c r="AF20" t="inlineStr">
        <is>
          <t>PREMIER HOME HEALTH CARE INC</t>
        </is>
      </c>
      <c r="AI20" s="245">
        <f>UPPER(D20)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t="inlineStr">
        <is>
          <t>121ST PROPERTY PARTNERS LLC</t>
        </is>
      </c>
      <c r="AF21" t="inlineStr">
        <is>
          <t>HSP PROPERTIES INC</t>
        </is>
      </c>
      <c r="AI21" s="245">
        <f>UPPER(D21)</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t="inlineStr">
        <is>
          <t>GOLD CROWN LLC</t>
        </is>
      </c>
      <c r="AF22" t="inlineStr">
        <is>
          <t>ENE MANAGEMENT LLC</t>
        </is>
      </c>
      <c r="AI22" s="245">
        <f>UPPER(D22)</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t="inlineStr">
        <is>
          <t>LCN BLM CHANDLER LLC , ATTN BLOOMIN BRANDS INC</t>
        </is>
      </c>
      <c r="AF23" t="inlineStr">
        <is>
          <t>CANNISTRA REALTY LLC</t>
        </is>
      </c>
      <c r="AI23" s="245">
        <f>UPPER(D23)</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t="inlineStr">
        <is>
          <t>8778 WOLFF LLC, C/O HOLDER R BRUCE/R WAYNE</t>
        </is>
      </c>
      <c r="AF24" t="inlineStr">
        <is>
          <t>DIVINE HOMES DENVER LLC</t>
        </is>
      </c>
      <c r="AI24" s="245">
        <f>UPPER(D24)</f>
        <v/>
      </c>
    </row>
    <row r="25" ht="15" customHeight="1">
      <c r="A25" s="248" t="n">
        <v>7</v>
      </c>
      <c r="B25" s="245" t="n">
        <v>17</v>
      </c>
      <c r="C25" t="inlineStr">
        <is>
          <t>R0077378</t>
        </is>
      </c>
      <c r="D25" t="inlineStr">
        <is>
          <t>8777 BRIGHTON RD</t>
        </is>
      </c>
      <c r="E25" t="n">
        <v>334</v>
      </c>
      <c r="F25" t="inlineStr"/>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t="inlineStr">
        <is>
          <t>SAHLI-SUNDBY ANN C</t>
        </is>
      </c>
      <c r="AF25" t="inlineStr">
        <is>
          <t>BRIGHTON RD LLC</t>
        </is>
      </c>
      <c r="AI25" s="245">
        <f>UPPER(D25)</f>
        <v/>
      </c>
    </row>
    <row r="26" ht="15" customHeight="1">
      <c r="A26" s="248" t="n">
        <v>7</v>
      </c>
      <c r="B26" s="245" t="n">
        <v>18</v>
      </c>
      <c r="C26" t="inlineStr">
        <is>
          <t>R0077738</t>
        </is>
      </c>
      <c r="D26" t="inlineStr">
        <is>
          <t>7787 BRIGHTON BLVD</t>
        </is>
      </c>
      <c r="E26" t="n">
        <v>353</v>
      </c>
      <c r="F26" t="inlineStr"/>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t="inlineStr">
        <is>
          <t>MARTINEZ ORLANDO</t>
        </is>
      </c>
      <c r="AF26" t="inlineStr">
        <is>
          <t>JOE SINGH INC</t>
        </is>
      </c>
      <c r="AI26" s="245">
        <f>UPPER(D26)</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t="inlineStr">
        <is>
          <t>L S STRASBURG LLC</t>
        </is>
      </c>
      <c r="AF27" t="inlineStr">
        <is>
          <t>SODDIK INVESTMENTS LLC</t>
        </is>
      </c>
      <c r="AI27" s="245">
        <f>UPPER(D27)</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t="inlineStr">
        <is>
          <t>PIII CHAMBERS ROAD LLC</t>
        </is>
      </c>
      <c r="AF28" t="inlineStr">
        <is>
          <t>MCA IGF COMMERCE CENTER LLC</t>
        </is>
      </c>
      <c r="AI28" s="245">
        <f>UPPER(D28)</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t="inlineStr">
        <is>
          <t>SCHWARTZ JOSH JON</t>
        </is>
      </c>
      <c r="AF29" t="inlineStr">
        <is>
          <t>CHOCOLATE WORKS LLC</t>
        </is>
      </c>
      <c r="AI29" s="245">
        <f>UPPER(D29)</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t="inlineStr">
        <is>
          <t>HZ SORRENTO HIGHPOINTE SQUARE LLC ET AL, C/O PARAMOUNT PROPERTY COMPANY, LTD</t>
        </is>
      </c>
      <c r="AF30" t="inlineStr">
        <is>
          <t>MNG COMMERCE MIDTOWN LLC UND 42% INT AND, MNG COMMERCE OLIVEHAIN LLC UND  et al.</t>
        </is>
      </c>
      <c r="AI30" s="245">
        <f>UPPER(D30)</f>
        <v/>
      </c>
    </row>
    <row r="31" ht="15" customHeight="1">
      <c r="A31" s="248" t="n">
        <v>7</v>
      </c>
      <c r="B31" s="245" t="n">
        <v>23</v>
      </c>
      <c r="C31" t="inlineStr">
        <is>
          <t>R0098103</t>
        </is>
      </c>
      <c r="D31" t="inlineStr">
        <is>
          <t>1247 E 68TH AVE</t>
        </is>
      </c>
      <c r="E31" t="n">
        <v>406</v>
      </c>
      <c r="F31" t="inlineStr"/>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t="inlineStr">
        <is>
          <t>JECO HOLDINGS INC</t>
        </is>
      </c>
      <c r="AF31" t="inlineStr">
        <is>
          <t>1247 DENVER PARTNERS LLC, C/O ALTERRA PROPERTY GROUP</t>
        </is>
      </c>
      <c r="AI31" s="245">
        <f>UPPER(D31)</f>
        <v/>
      </c>
    </row>
    <row r="32" ht="15" customHeight="1">
      <c r="A32" s="248" t="n">
        <v>7</v>
      </c>
      <c r="B32" s="245" t="n">
        <v>24</v>
      </c>
      <c r="C32" t="inlineStr">
        <is>
          <t>R0108009</t>
        </is>
      </c>
      <c r="D32" t="inlineStr">
        <is>
          <t>6940 PECOS ST</t>
        </is>
      </c>
      <c r="E32" t="n">
        <v>350</v>
      </c>
      <c r="F32" t="inlineStr"/>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t="inlineStr">
        <is>
          <t>VITELAS LLC</t>
        </is>
      </c>
      <c r="AF32" t="inlineStr">
        <is>
          <t>ALVAREZ DANIEL CASTRO</t>
        </is>
      </c>
      <c r="AI32" s="245">
        <f>UPPER(D32)</f>
        <v/>
      </c>
    </row>
    <row r="33" ht="15" customHeight="1">
      <c r="A33" s="248" t="n">
        <v>7</v>
      </c>
      <c r="B33" s="245" t="n">
        <v>25</v>
      </c>
      <c r="C33" t="inlineStr">
        <is>
          <t>R0130283</t>
        </is>
      </c>
      <c r="D33" t="inlineStr">
        <is>
          <t>5635 FRANKLIN ST</t>
        </is>
      </c>
      <c r="E33" t="n">
        <v>407</v>
      </c>
      <c r="F33" t="inlineStr"/>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t="inlineStr">
        <is>
          <t>J STREET I LLC</t>
        </is>
      </c>
      <c r="AF33" t="inlineStr">
        <is>
          <t>FRANKLIN INDUSTRIAL LLC</t>
        </is>
      </c>
      <c r="AI33" s="245">
        <f>UPPER(D33)</f>
        <v/>
      </c>
    </row>
    <row r="34" ht="15" customHeight="1">
      <c r="A34" s="248" t="n">
        <v>7</v>
      </c>
      <c r="B34" s="245" t="n">
        <v>26</v>
      </c>
      <c r="C34" t="inlineStr">
        <is>
          <t>R0158487</t>
        </is>
      </c>
      <c r="D34" t="inlineStr">
        <is>
          <t>1750 W 64TH LN</t>
        </is>
      </c>
      <c r="E34" t="n">
        <v>425</v>
      </c>
      <c r="F34" t="inlineStr"/>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t="inlineStr">
        <is>
          <t>QUALLS JOSEPH M AND, QUALLS CYNTHIA A</t>
        </is>
      </c>
      <c r="AF34" t="inlineStr">
        <is>
          <t>KOEGEL REAL ESTATE LLC</t>
        </is>
      </c>
      <c r="AI34" s="245">
        <f>UPPER(D34)</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t="inlineStr">
        <is>
          <t>DUCTS HOLDINGS LLC</t>
        </is>
      </c>
      <c r="AF35" t="inlineStr">
        <is>
          <t>DU REAL ESTATE HOLDINGS LLC</t>
        </is>
      </c>
      <c r="AI35" s="245">
        <f>UPPER(D35)</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t="inlineStr">
        <is>
          <t>PACHECO JESUS L</t>
        </is>
      </c>
      <c r="AF36" t="inlineStr">
        <is>
          <t>RELIANCE POWER COMPANY LLC AND, 4 SEASONS TRANSPORT LLC</t>
        </is>
      </c>
      <c r="AI36" s="245">
        <f>UPPER(D36)</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t="inlineStr">
        <is>
          <t>K &amp; S FAMILY INDUSTRIES LLC</t>
        </is>
      </c>
      <c r="AF37" t="inlineStr">
        <is>
          <t>THE STRASBURG YARD LLC</t>
        </is>
      </c>
      <c r="AI37" s="245">
        <f>UPPER(D37)</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t="inlineStr">
        <is>
          <t>FRASER SERVICE CENTER LLC</t>
        </is>
      </c>
      <c r="AF38" t="inlineStr">
        <is>
          <t>NICOLA 3751 FRASER LP</t>
        </is>
      </c>
      <c r="AI38" s="245">
        <f>UPPER(D38)</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t="inlineStr">
        <is>
          <t>PACER HOLDINGS LLC</t>
        </is>
      </c>
      <c r="AF39" t="inlineStr">
        <is>
          <t>HELIE CHIROPRACTIC CLINIC LLC</t>
        </is>
      </c>
      <c r="AI39" s="245">
        <f>UPPER(D39)</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t="inlineStr">
        <is>
          <t>PACER HOLDINGS LLC</t>
        </is>
      </c>
      <c r="AF40" t="inlineStr">
        <is>
          <t>CCIRE I LLC</t>
        </is>
      </c>
      <c r="AI40" s="245">
        <f>UPPER(D40)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t="inlineStr">
        <is>
          <t>HURON 210 LLC</t>
        </is>
      </c>
      <c r="AF41" t="inlineStr">
        <is>
          <t>A C HOLDINGS LLC</t>
        </is>
      </c>
      <c r="AI41" s="245">
        <f>UPPER(D41)</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t="inlineStr">
        <is>
          <t>GRAND PROPERTIES CO LLC</t>
        </is>
      </c>
      <c r="AF42" t="inlineStr">
        <is>
          <t>VARGUEZ VERONIC</t>
        </is>
      </c>
      <c r="AI42" s="245">
        <f>UPPER(D42)</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t="inlineStr">
        <is>
          <t>SOUTH STREET CAPITAL PARTNERS LLC</t>
        </is>
      </c>
      <c r="AF43" t="inlineStr">
        <is>
          <t>DIASPORA DANCE COMPANY LLC</t>
        </is>
      </c>
      <c r="AI43" s="245">
        <f>UPPER(D43)</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t="inlineStr">
        <is>
          <t>SUPREME BRIGHT COLORADO IX LLC</t>
        </is>
      </c>
      <c r="AF44" t="inlineStr">
        <is>
          <t>D 5030 WESTMINSTER LLC</t>
        </is>
      </c>
      <c r="AI44" s="245">
        <f>UPPER(D44)</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t="inlineStr">
        <is>
          <t>LAMM DEVELOPMENTS LTD</t>
        </is>
      </c>
      <c r="AF45" t="inlineStr">
        <is>
          <t>WANDERSPRING LLC</t>
        </is>
      </c>
      <c r="AI45" s="245">
        <f>UPPER(D45)</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t="inlineStr">
        <is>
          <t>FCA REALTY LLC, TAX AFFAIRS 485-12-30</t>
        </is>
      </c>
      <c r="AF46" t="inlineStr">
        <is>
          <t>LHM TCD LLC, C/O ASBURY AUTOMOTIVE GROUP INC</t>
        </is>
      </c>
      <c r="AI46" s="245">
        <f>UPPER(D46)</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t="inlineStr">
        <is>
          <t>FIOCCA THOMAS ROBERT AND , FIOCCA ERIN LOIS</t>
        </is>
      </c>
      <c r="AF47" t="inlineStr">
        <is>
          <t>8630 PEARL LLC</t>
        </is>
      </c>
      <c r="AI47" s="245">
        <f>UPPER(D47)</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t="inlineStr">
        <is>
          <t>84TH SHERIDAN LLC</t>
        </is>
      </c>
      <c r="AF48" t="inlineStr">
        <is>
          <t>DELSOUZ &amp; LALEH LLC</t>
        </is>
      </c>
      <c r="AI48" s="245">
        <f>UPPER(D48)</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t="inlineStr">
        <is>
          <t>DEEM RICHARD O</t>
        </is>
      </c>
      <c r="AF49" t="inlineStr">
        <is>
          <t>4800 W 80TH LLC</t>
        </is>
      </c>
      <c r="AI49" s="245">
        <f>UPPER(D49)</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t="inlineStr">
        <is>
          <t>US BANK NATIONAL ASSOCIATION, C/O RYAN PTS DEPT.908</t>
        </is>
      </c>
      <c r="AF50" t="inlineStr">
        <is>
          <t>EAT-2202 LLC</t>
        </is>
      </c>
      <c r="AI50" s="245">
        <f>UPPER(D50)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t="inlineStr">
        <is>
          <t>COUNTRY CLUB VILLAGE TWO LLC</t>
        </is>
      </c>
      <c r="AF51" t="inlineStr">
        <is>
          <t>OAKVIEW SHOPS LLC</t>
        </is>
      </c>
      <c r="AI51" s="245">
        <f>UPPER(D51)</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t="inlineStr">
        <is>
          <t>SOCIAL INDUSTRIES 3 LLC</t>
        </is>
      </c>
      <c r="AF52" t="inlineStr">
        <is>
          <t>LITEBOX LLC</t>
        </is>
      </c>
      <c r="AI52" s="245">
        <f>UPPER(D52)</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t="inlineStr">
        <is>
          <t>SOCIAL INDUSTRIES 2 LLC</t>
        </is>
      </c>
      <c r="AF53" t="inlineStr">
        <is>
          <t>CLUELESS COUPLE LLC</t>
        </is>
      </c>
      <c r="AI53" s="245">
        <f>UPPER(D53)</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t="inlineStr">
        <is>
          <t>DEN INDUSTRIAL 1 LLC, C/O ALTERNATIVE ASSET MANAGEMENT LLC</t>
        </is>
      </c>
      <c r="AF54" t="inlineStr">
        <is>
          <t>CROSSE-MONCRIEFF LLC</t>
        </is>
      </c>
      <c r="AI54" s="245">
        <f>UPPER(D54)</f>
        <v/>
      </c>
    </row>
    <row r="55" ht="15" customHeight="1">
      <c r="A55" s="248" t="n">
        <v>7</v>
      </c>
      <c r="B55" s="245" t="n">
        <v>47</v>
      </c>
      <c r="C55" t="inlineStr">
        <is>
          <t>R0103426</t>
        </is>
      </c>
      <c r="D55" t="inlineStr">
        <is>
          <t>5650 PECOS ST</t>
        </is>
      </c>
      <c r="E55" t="n">
        <v>344</v>
      </c>
      <c r="F55" t="inlineStr"/>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t="inlineStr">
        <is>
          <t>WHITE DIANE E</t>
        </is>
      </c>
      <c r="AF55" t="inlineStr">
        <is>
          <t>PECOS REAL ESTATE LLC, C/O AUTO CHLOR SYSTEM</t>
        </is>
      </c>
      <c r="AI55" s="245">
        <f>UPPER(D55)</f>
        <v/>
      </c>
    </row>
    <row r="56" ht="15" customHeight="1">
      <c r="A56" s="248" t="n">
        <v>7</v>
      </c>
      <c r="B56" s="245" t="n">
        <v>48</v>
      </c>
      <c r="C56" t="inlineStr">
        <is>
          <t>R0125400</t>
        </is>
      </c>
      <c r="D56" t="inlineStr">
        <is>
          <t>1630 E 66TH AVE</t>
        </is>
      </c>
      <c r="E56" t="n">
        <v>407</v>
      </c>
      <c r="F56" t="inlineStr"/>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t="inlineStr">
        <is>
          <t>1630 ENTERPRISES LLC</t>
        </is>
      </c>
      <c r="AF56" t="inlineStr">
        <is>
          <t>TRIPLE L 66 AVENUE LLC</t>
        </is>
      </c>
      <c r="AI56" s="245">
        <f>UPPER(D56)</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t="inlineStr">
        <is>
          <t>MAZZO ENTERPRISES LLLP</t>
        </is>
      </c>
      <c r="AF57" t="inlineStr">
        <is>
          <t>PACIFICO REAL ESTATE HOLDINDS II</t>
        </is>
      </c>
      <c r="AI57" s="245">
        <f>UPPER(D57)</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t="inlineStr">
        <is>
          <t>1401 BRIGHTON LLC</t>
        </is>
      </c>
      <c r="AF58" t="inlineStr">
        <is>
          <t>VIGIL JENIFER D</t>
        </is>
      </c>
      <c r="AI58" s="245">
        <f>UPPER(D58)</f>
        <v/>
      </c>
    </row>
    <row r="59" ht="15" customHeight="1">
      <c r="A59" s="248" t="n">
        <v>7</v>
      </c>
      <c r="B59" s="245" t="n">
        <v>51</v>
      </c>
      <c r="C59" t="inlineStr">
        <is>
          <t>R0055143</t>
        </is>
      </c>
      <c r="D59" t="inlineStr">
        <is>
          <t>8700 DEVONSHIRE BLVD</t>
        </is>
      </c>
      <c r="E59" t="n">
        <v>386</v>
      </c>
      <c r="F59" t="inlineStr"/>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t="inlineStr">
        <is>
          <t>FRONT RANGE PORTFOLIO LLC</t>
        </is>
      </c>
      <c r="AF59" t="inlineStr">
        <is>
          <t>8700 DEVONSHIRE STORAGE LLC</t>
        </is>
      </c>
      <c r="AI59" s="245">
        <f>UPPER(D59)</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t="inlineStr">
        <is>
          <t>SEVEN SEAS HOLDING COMPANY LLC</t>
        </is>
      </c>
      <c r="AF60" t="inlineStr">
        <is>
          <t>AMERICAN BUILDERS &amp; CONTRACTORS SUPPLY CO INC</t>
        </is>
      </c>
      <c r="AI60" s="245">
        <f>UPPER(D60)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t="inlineStr">
        <is>
          <t>1790 JASPER STREET LLC</t>
        </is>
      </c>
      <c r="AF61" t="inlineStr">
        <is>
          <t>COREDO LLC</t>
        </is>
      </c>
      <c r="AI61" s="245">
        <f>UPPER(D61)</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t="inlineStr">
        <is>
          <t>C C E REAL ESTATE LLC, C/O FLYNN SOUTHWEST LP</t>
        </is>
      </c>
      <c r="AF62" t="inlineStr">
        <is>
          <t>ALBROOK PARTNERS LLC</t>
        </is>
      </c>
      <c r="AI62" s="245">
        <f>UPPER(D62)</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t="inlineStr">
        <is>
          <t>DENNIS M MITCHELL REVOCABLE TRUST</t>
        </is>
      </c>
      <c r="AF63" t="inlineStr">
        <is>
          <t>4980 NIAGARA ST LLC</t>
        </is>
      </c>
      <c r="AI63" s="245">
        <f>UPPER(D63)</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t="inlineStr">
        <is>
          <t>END-IRA INC ET AL</t>
        </is>
      </c>
      <c r="AF64" t="inlineStr">
        <is>
          <t>MASTER TECH RV AND APPLIANCE REPAIR LLC</t>
        </is>
      </c>
      <c r="AI64" s="245">
        <f>UPPER(D64)</f>
        <v/>
      </c>
    </row>
    <row r="65" ht="15" customHeight="1">
      <c r="A65" s="248" t="n">
        <v>7</v>
      </c>
      <c r="B65" s="245" t="n">
        <v>57</v>
      </c>
      <c r="C65" t="inlineStr">
        <is>
          <t>R0098017</t>
        </is>
      </c>
      <c r="D65" t="inlineStr">
        <is>
          <t>1680 E 69TH AVE</t>
        </is>
      </c>
      <c r="E65" t="n">
        <v>334</v>
      </c>
      <c r="F65" t="inlineStr"/>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t="inlineStr">
        <is>
          <t>YTTC LLC</t>
        </is>
      </c>
      <c r="AF65" t="inlineStr">
        <is>
          <t>ARCANE INDUSTRIES LLC</t>
        </is>
      </c>
      <c r="AI65" s="245">
        <f>UPPER(D65)</f>
        <v/>
      </c>
    </row>
    <row r="66" ht="15" customHeight="1">
      <c r="A66" s="248" t="n">
        <v>7</v>
      </c>
      <c r="B66" s="245" t="n">
        <v>58</v>
      </c>
      <c r="C66" t="inlineStr">
        <is>
          <t>R0100666</t>
        </is>
      </c>
      <c r="D66" t="inlineStr">
        <is>
          <t>6600 FEDERAL BLVD</t>
        </is>
      </c>
      <c r="E66" t="n">
        <v>353</v>
      </c>
      <c r="F66" t="inlineStr"/>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t="inlineStr">
        <is>
          <t>SHERWOOD FAMILY LIMITED PARTNERSHIP</t>
        </is>
      </c>
      <c r="AF66" t="inlineStr">
        <is>
          <t>VILLALOBOS ROSALIO</t>
        </is>
      </c>
      <c r="AI66" s="245">
        <f>UPPER(D66)</f>
        <v/>
      </c>
    </row>
    <row r="67" ht="15" customHeight="1">
      <c r="A67" s="248" t="n">
        <v>7</v>
      </c>
      <c r="B67" s="245" t="n">
        <v>59</v>
      </c>
      <c r="C67" t="inlineStr">
        <is>
          <t>R0129033</t>
        </is>
      </c>
      <c r="D67" t="inlineStr">
        <is>
          <t>983 E 73RD AVE</t>
        </is>
      </c>
      <c r="E67" t="n">
        <v>406</v>
      </c>
      <c r="F67" t="inlineStr"/>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t="inlineStr">
        <is>
          <t>AEGIS COLORADO LLC</t>
        </is>
      </c>
      <c r="AF67" t="inlineStr">
        <is>
          <t>ASPEN LLC</t>
        </is>
      </c>
      <c r="AI67" s="245">
        <f>UPPER(D67)</f>
        <v/>
      </c>
    </row>
    <row r="68" ht="15" customHeight="1">
      <c r="A68" s="248" t="n">
        <v>7</v>
      </c>
      <c r="B68" s="245" t="n">
        <v>60</v>
      </c>
      <c r="C68" t="inlineStr">
        <is>
          <t>R0173187</t>
        </is>
      </c>
      <c r="D68" t="inlineStr">
        <is>
          <t>5454 WASHINGTON ST #8</t>
        </is>
      </c>
      <c r="E68" t="n">
        <v>425</v>
      </c>
      <c r="F68" t="inlineStr"/>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t="inlineStr">
        <is>
          <t>VXSN LLC</t>
        </is>
      </c>
      <c r="AF68" t="inlineStr">
        <is>
          <t>BEE LINE LLC</t>
        </is>
      </c>
      <c r="AI68" s="245">
        <f>UPPER(D68)</f>
        <v/>
      </c>
    </row>
    <row r="69" ht="15" customHeight="1">
      <c r="A69" s="248" t="n">
        <v>7</v>
      </c>
      <c r="B69" s="245" t="n">
        <v>61</v>
      </c>
      <c r="C69" t="inlineStr">
        <is>
          <t>R0173190</t>
        </is>
      </c>
      <c r="D69" t="inlineStr">
        <is>
          <t>5454 WASHINGTON ST #11</t>
        </is>
      </c>
      <c r="E69" t="n">
        <v>425</v>
      </c>
      <c r="F69" t="inlineStr"/>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t="inlineStr">
        <is>
          <t>MYKLEBUST HOLDINGS LLC</t>
        </is>
      </c>
      <c r="AF69" t="inlineStr">
        <is>
          <t>HAYCAT HOLDINGS LLC</t>
        </is>
      </c>
      <c r="AI69" s="245">
        <f>UPPER(D69)</f>
        <v/>
      </c>
    </row>
    <row r="70" ht="15" customHeight="1">
      <c r="A70" s="248" t="n">
        <v>7</v>
      </c>
      <c r="B70" s="245" t="n">
        <v>62</v>
      </c>
      <c r="C70" t="inlineStr">
        <is>
          <t>R0178847</t>
        </is>
      </c>
      <c r="D70" t="inlineStr">
        <is>
          <t>2091 CORONADO PKWY N</t>
        </is>
      </c>
      <c r="E70" t="n">
        <v>442</v>
      </c>
      <c r="F70" t="inlineStr"/>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t="inlineStr">
        <is>
          <t>GG PROPERTY LLC</t>
        </is>
      </c>
      <c r="AF70" t="inlineStr">
        <is>
          <t>GMOTORS LLC</t>
        </is>
      </c>
      <c r="AI70" s="245">
        <f>UPPER(D70)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t="inlineStr">
        <is>
          <t>BPAZ HOLDINGS 13 LLC</t>
        </is>
      </c>
      <c r="AF71" t="inlineStr">
        <is>
          <t>12421 WASH EAT LLC</t>
        </is>
      </c>
      <c r="AI71" s="245">
        <f>UPPER(D71)</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t="inlineStr">
        <is>
          <t>MACK VENTURES LLC</t>
        </is>
      </c>
      <c r="AF72" t="inlineStr">
        <is>
          <t>BROOKCON INVESTMENTS LLC</t>
        </is>
      </c>
      <c r="AI72" s="245">
        <f>UPPER(D72)</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t="inlineStr">
        <is>
          <t>RESEIGH KAREN L</t>
        </is>
      </c>
      <c r="AF73" t="inlineStr">
        <is>
          <t>YAABTAL INVESTMENTS CO LLC</t>
        </is>
      </c>
      <c r="AI73" s="245">
        <f>UPPER(D73)</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t="inlineStr">
        <is>
          <t>AAE LLC</t>
        </is>
      </c>
      <c r="AF74" t="inlineStr">
        <is>
          <t>GTZ LLC</t>
        </is>
      </c>
      <c r="AI74" s="245">
        <f>UPPER(D74)</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t="inlineStr">
        <is>
          <t>SEEP INVESTMENTS LLC</t>
        </is>
      </c>
      <c r="AF75" t="inlineStr">
        <is>
          <t>3699 W 73RD AVE LLC</t>
        </is>
      </c>
      <c r="AI75" s="245">
        <f>UPPER(D75)</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t="inlineStr">
        <is>
          <t>ROSLYN STREET PROPERTIES LLC</t>
        </is>
      </c>
      <c r="AF76" t="inlineStr">
        <is>
          <t>CHARLES BREWER LLC</t>
        </is>
      </c>
      <c r="AI76" s="245">
        <f>UPPER(D76)</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t="inlineStr">
        <is>
          <t>REID ROBERT F SR AKA ROBERT, AKA ROBERT FREDERICK SR</t>
        </is>
      </c>
      <c r="AF77" t="inlineStr">
        <is>
          <t>OFFEN 5195 LLC</t>
        </is>
      </c>
      <c r="AI77" s="245">
        <f>UPPER(D77)</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t="inlineStr">
        <is>
          <t>7040 FAIRFAX DRIVE LLC</t>
        </is>
      </c>
      <c r="AF78" t="inlineStr">
        <is>
          <t>THE 7040 FAIRFAX DRIVE LLC</t>
        </is>
      </c>
      <c r="AI78" s="245">
        <f>UPPER(D78)</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t="inlineStr">
        <is>
          <t>PROJECT53 LLC</t>
        </is>
      </c>
      <c r="AF79" t="inlineStr">
        <is>
          <t>FALCARRAGH INVESTMENTS LLC</t>
        </is>
      </c>
      <c r="AI79" s="245">
        <f>UPPER(D79)</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t="inlineStr">
        <is>
          <t>CBA GIAMBROCCO LLLP</t>
        </is>
      </c>
      <c r="AF80" t="inlineStr">
        <is>
          <t>DUO INDUSTRIAL LLC</t>
        </is>
      </c>
      <c r="AI80" s="245">
        <f>UPPER(D80)</f>
        <v/>
      </c>
    </row>
    <row r="81" ht="15" customHeight="1">
      <c r="A81" s="248" t="n">
        <v>7</v>
      </c>
      <c r="B81" s="245" t="n">
        <v>73</v>
      </c>
      <c r="C81" t="inlineStr">
        <is>
          <t>R0098071</t>
        </is>
      </c>
      <c r="D81" t="inlineStr">
        <is>
          <t>851 HWY 225 # B-5</t>
        </is>
      </c>
      <c r="E81" t="n">
        <v>425</v>
      </c>
      <c r="F81" t="inlineStr"/>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t="inlineStr">
        <is>
          <t>MAURER SCOTT AND, MAURER KIMBERLEY W</t>
        </is>
      </c>
      <c r="AF81" t="inlineStr">
        <is>
          <t>COLORADO CHILLER SERVICES LLC</t>
        </is>
      </c>
      <c r="AI81" s="245">
        <f>UPPER(D81)</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t="inlineStr">
        <is>
          <t>KRUPP GLASSMAN &amp; GLASSMAN LLC</t>
        </is>
      </c>
      <c r="AF82" t="inlineStr">
        <is>
          <t>7095FEDERAL LLC</t>
        </is>
      </c>
      <c r="AI82" s="245">
        <f>UPPER(D82)</f>
        <v/>
      </c>
    </row>
    <row r="83" ht="15" customHeight="1">
      <c r="A83" s="248" t="n">
        <v>7</v>
      </c>
      <c r="B83" s="245" t="n">
        <v>75</v>
      </c>
      <c r="C83" t="inlineStr">
        <is>
          <t>R0103555</t>
        </is>
      </c>
      <c r="D83" t="inlineStr">
        <is>
          <t>5801 LOGAN ST</t>
        </is>
      </c>
      <c r="E83" t="n">
        <v>334</v>
      </c>
      <c r="F83" t="inlineStr"/>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t="inlineStr">
        <is>
          <t>5801 LOGAN STREET LLC</t>
        </is>
      </c>
      <c r="AF83" t="inlineStr">
        <is>
          <t>DENVER SURFACES LLC</t>
        </is>
      </c>
      <c r="AI83" s="245">
        <f>UPPER(D83)</f>
        <v/>
      </c>
    </row>
    <row r="84" ht="15" customHeight="1">
      <c r="A84" s="248" t="n">
        <v>7</v>
      </c>
      <c r="B84" s="245" t="n">
        <v>76</v>
      </c>
      <c r="C84" t="inlineStr">
        <is>
          <t>R0117238</t>
        </is>
      </c>
      <c r="D84" t="inlineStr">
        <is>
          <t>1870 W 64TH LN</t>
        </is>
      </c>
      <c r="E84" t="n">
        <v>407</v>
      </c>
      <c r="F84" t="inlineStr"/>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t="inlineStr">
        <is>
          <t>MANHATTAN FUND XXI LLC</t>
        </is>
      </c>
      <c r="AF84" t="inlineStr">
        <is>
          <t>RED 64TH LLC</t>
        </is>
      </c>
      <c r="AI84" s="245">
        <f>UPPER(D84)</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t="inlineStr">
        <is>
          <t>BROCAT LLC</t>
        </is>
      </c>
      <c r="AF85" t="inlineStr">
        <is>
          <t>TAMARIZ HOLDINGS LTD</t>
        </is>
      </c>
      <c r="AI85" s="245">
        <f>UPPER(D85)</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t="inlineStr">
        <is>
          <t>NEUMANN DEBORAH J TRUST THE</t>
        </is>
      </c>
      <c r="AF86" t="inlineStr">
        <is>
          <t>PAUL TANNER HOLDINGS LLC</t>
        </is>
      </c>
      <c r="AI86" s="245">
        <f>UPPER(D86)</f>
        <v/>
      </c>
    </row>
    <row r="87" ht="15" customHeight="1">
      <c r="A87" s="248" t="n">
        <v>7</v>
      </c>
      <c r="B87" s="245" t="n">
        <v>79</v>
      </c>
      <c r="C87" t="inlineStr">
        <is>
          <t>R0071002</t>
        </is>
      </c>
      <c r="D87" t="inlineStr">
        <is>
          <t>913 E 75TH AVE</t>
        </is>
      </c>
      <c r="E87" t="n">
        <v>406</v>
      </c>
      <c r="F87" t="inlineStr"/>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t="inlineStr">
        <is>
          <t>INVESTORS PENCHANT ONE LLC</t>
        </is>
      </c>
      <c r="AF87" t="inlineStr">
        <is>
          <t>ES HOLDCO - 1100 WEST MISSISSIPPI AVENUE LLC 36.20% INT AND, ES HOLDCO -  et al.</t>
        </is>
      </c>
      <c r="AI87" s="245">
        <f>UPPER(D87)</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t="inlineStr">
        <is>
          <t>HARTIGAN PROPERTIES LLC</t>
        </is>
      </c>
      <c r="AF88" t="inlineStr">
        <is>
          <t>40 NORTH LLC</t>
        </is>
      </c>
      <c r="AI88" s="245">
        <f>UPPER(D88)</f>
        <v/>
      </c>
    </row>
    <row r="89" ht="15" customHeight="1">
      <c r="A89" s="248" t="n">
        <v>7</v>
      </c>
      <c r="B89" s="245" t="n">
        <v>81</v>
      </c>
      <c r="C89" t="inlineStr">
        <is>
          <t>R0048498</t>
        </is>
      </c>
      <c r="D89" t="inlineStr">
        <is>
          <t>3821 W 88TH AVE</t>
        </is>
      </c>
      <c r="E89" t="n">
        <v>344</v>
      </c>
      <c r="F89" t="inlineStr"/>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t="inlineStr">
        <is>
          <t>JRM ESTATES LLC</t>
        </is>
      </c>
      <c r="AF89" t="inlineStr">
        <is>
          <t>LFE STATION LLC</t>
        </is>
      </c>
      <c r="AI89" s="245">
        <f>UPPER(D89)</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t="inlineStr">
        <is>
          <t>FAGGETT ROBERT L</t>
        </is>
      </c>
      <c r="AF90" t="inlineStr">
        <is>
          <t>A-PLUS TARGET LLC</t>
        </is>
      </c>
      <c r="AI90" s="245">
        <f>UPPER(D90)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t="inlineStr">
        <is>
          <t xml:space="preserve">HAFER DONALD J, BROWN PATRICIA A, </t>
        </is>
      </c>
      <c r="AF91" t="inlineStr">
        <is>
          <t>COLORADO BUS PROPERTIES LLC</t>
        </is>
      </c>
      <c r="AI91" s="245">
        <f>UPPER(D91)</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t="inlineStr">
        <is>
          <t>PARK WEST INVESTMENTS LLC</t>
        </is>
      </c>
      <c r="AF92" t="inlineStr">
        <is>
          <t>CO BEST PROP 1 LLC</t>
        </is>
      </c>
      <c r="AI92" s="245">
        <f>UPPER(D92)</f>
        <v/>
      </c>
    </row>
    <row r="93" ht="15" customHeight="1">
      <c r="A93" s="248" t="n">
        <v>7</v>
      </c>
      <c r="B93" s="245" t="n">
        <v>85</v>
      </c>
      <c r="C93" t="inlineStr">
        <is>
          <t>R0098189</t>
        </is>
      </c>
      <c r="D93" t="inlineStr">
        <is>
          <t>6500 FRANKLIN ST</t>
        </is>
      </c>
      <c r="E93" t="n">
        <v>406</v>
      </c>
      <c r="F93" t="inlineStr"/>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t="inlineStr">
        <is>
          <t>RAYFIELD PROPERTIES LLC</t>
        </is>
      </c>
      <c r="AF93" t="inlineStr">
        <is>
          <t>FRANKLIN FLEX LLC</t>
        </is>
      </c>
      <c r="AI93" s="245">
        <f>UPPER(D93)</f>
        <v/>
      </c>
    </row>
    <row r="94" ht="15" customHeight="1">
      <c r="A94" s="248" t="n">
        <v>7</v>
      </c>
      <c r="B94" s="245" t="n">
        <v>86</v>
      </c>
      <c r="C94" t="inlineStr">
        <is>
          <t>R0099614</t>
        </is>
      </c>
      <c r="D94" t="inlineStr">
        <is>
          <t>6899 PECOS ST</t>
        </is>
      </c>
      <c r="E94" t="n">
        <v>407</v>
      </c>
      <c r="F94" t="inlineStr"/>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t="inlineStr">
        <is>
          <t>L AND H LLC</t>
        </is>
      </c>
      <c r="AF94" t="inlineStr">
        <is>
          <t>PROMEETHEA LLC</t>
        </is>
      </c>
      <c r="AI94" s="245">
        <f>UPPER(D94)</f>
        <v/>
      </c>
    </row>
    <row r="95" ht="15" customHeight="1">
      <c r="A95" s="248" t="n">
        <v>7</v>
      </c>
      <c r="B95" s="245" t="n">
        <v>87</v>
      </c>
      <c r="C95" t="inlineStr">
        <is>
          <t>R0103659</t>
        </is>
      </c>
      <c r="D95" t="inlineStr">
        <is>
          <t>6335 DOWNING ST</t>
        </is>
      </c>
      <c r="E95" t="n">
        <v>407</v>
      </c>
      <c r="F95" t="inlineStr"/>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t="inlineStr">
        <is>
          <t>MURPHY WILLIAM R JR</t>
        </is>
      </c>
      <c r="AF95" t="inlineStr">
        <is>
          <t>SCOTT ACKERMAN FAMILY LLC</t>
        </is>
      </c>
      <c r="AI95" s="245">
        <f>UPPER(D95)</f>
        <v/>
      </c>
    </row>
    <row r="96" ht="15" customHeight="1">
      <c r="A96" s="248" t="n">
        <v>7</v>
      </c>
      <c r="B96" s="245" t="n">
        <v>88</v>
      </c>
      <c r="C96" t="inlineStr">
        <is>
          <t>R0103801</t>
        </is>
      </c>
      <c r="D96" t="inlineStr">
        <is>
          <t>5670 FRANKLIN ST</t>
        </is>
      </c>
      <c r="E96" t="n">
        <v>407</v>
      </c>
      <c r="F96" t="inlineStr"/>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t="inlineStr">
        <is>
          <t>HAMON LLC</t>
        </is>
      </c>
      <c r="AF96" t="inlineStr">
        <is>
          <t>VIA MOBILITY SERVICES</t>
        </is>
      </c>
      <c r="AI96" s="245">
        <f>UPPER(D96)</f>
        <v/>
      </c>
    </row>
    <row r="97" ht="15" customHeight="1">
      <c r="A97" s="248" t="n">
        <v>7</v>
      </c>
      <c r="B97" s="245" t="n">
        <v>89</v>
      </c>
      <c r="C97" t="inlineStr">
        <is>
          <t>R0141272</t>
        </is>
      </c>
      <c r="D97" t="inlineStr">
        <is>
          <t xml:space="preserve">7880 WASHINGTON ST </t>
        </is>
      </c>
      <c r="E97" t="n">
        <v>325</v>
      </c>
      <c r="F97" t="inlineStr"/>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t="inlineStr">
        <is>
          <t>CHAI INVESTMENTS LLC</t>
        </is>
      </c>
      <c r="AF97" t="inlineStr">
        <is>
          <t>DENVER WASHINGTON ST LLC</t>
        </is>
      </c>
      <c r="AI97" s="245">
        <f>UPPER(D97)</f>
        <v/>
      </c>
    </row>
    <row r="98" ht="15" customHeight="1">
      <c r="A98" s="248" t="n">
        <v>7</v>
      </c>
      <c r="B98" s="245" t="n">
        <v>90</v>
      </c>
      <c r="C98" t="inlineStr">
        <is>
          <t>R0147285</t>
        </is>
      </c>
      <c r="D98" t="inlineStr">
        <is>
          <t>6351 BEACH ST</t>
        </is>
      </c>
      <c r="E98" t="n">
        <v>407</v>
      </c>
      <c r="F98" t="inlineStr"/>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t="inlineStr">
        <is>
          <t>67TH STREET ACQUISITIONS LLC</t>
        </is>
      </c>
      <c r="AF98" t="inlineStr">
        <is>
          <t>J AND R SERVICES LLC</t>
        </is>
      </c>
      <c r="AI98" s="245">
        <f>UPPER(D98)</f>
        <v/>
      </c>
    </row>
    <row r="99" ht="15" customHeight="1">
      <c r="A99" s="248" t="n">
        <v>7</v>
      </c>
      <c r="B99" s="245" t="n">
        <v>91</v>
      </c>
      <c r="C99" t="inlineStr">
        <is>
          <t>R0167019</t>
        </is>
      </c>
      <c r="D99" t="inlineStr">
        <is>
          <t>6271 BEACH ST #E</t>
        </is>
      </c>
      <c r="E99" t="n">
        <v>425</v>
      </c>
      <c r="F99" t="inlineStr"/>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t="inlineStr">
        <is>
          <t>GRAEME JOHNSTON LLC</t>
        </is>
      </c>
      <c r="AF99" t="inlineStr">
        <is>
          <t>DMG MARBLE &amp; GRANITE DESIGNER INC</t>
        </is>
      </c>
      <c r="AI99" s="245">
        <f>UPPER(D99)</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t="inlineStr">
        <is>
          <t>ALL SECURE SELF STORAGE LLC</t>
        </is>
      </c>
      <c r="AF100" t="inlineStr">
        <is>
          <t>MHC 282 (HENDERSON CO) LLC</t>
        </is>
      </c>
      <c r="AI100" s="245">
        <f>UPPER(D100)</f>
        <v/>
      </c>
    </row>
    <row r="101" ht="15" customHeight="1">
      <c r="A101" s="248" t="n">
        <v>7</v>
      </c>
      <c r="B101" s="245" t="n">
        <v>93</v>
      </c>
      <c r="C101" t="inlineStr">
        <is>
          <t>R0173183</t>
        </is>
      </c>
      <c r="D101" t="inlineStr">
        <is>
          <t>5454 WASHINGTON ST #4</t>
        </is>
      </c>
      <c r="E101" t="n">
        <v>425</v>
      </c>
      <c r="F101" t="inlineStr"/>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t="inlineStr">
        <is>
          <t>PRIMA CARE CARE LLC</t>
        </is>
      </c>
      <c r="AF101" t="inlineStr">
        <is>
          <t>TIMA TX LLC</t>
        </is>
      </c>
      <c r="AI101" s="245">
        <f>UPPER(D101)</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t="inlineStr">
        <is>
          <t>THE GARAGE SOCIETY HOLDINGS LLC</t>
        </is>
      </c>
      <c r="AF102" t="inlineStr">
        <is>
          <t>RASHER JEFFRY W AND, RASHER SUZI L</t>
        </is>
      </c>
      <c r="AI102" s="245">
        <f>UPPER(D102)</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t="inlineStr">
        <is>
          <t>HONNEN PARTNERS L L C</t>
        </is>
      </c>
      <c r="AF103" t="inlineStr">
        <is>
          <t>4 RIVERS PROPERTIES COMMERCE CITY II LLC</t>
        </is>
      </c>
      <c r="AI103" s="245">
        <f>UPPER(D103)</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t="inlineStr">
        <is>
          <t>BUBB LLC</t>
        </is>
      </c>
      <c r="AF104" t="inlineStr">
        <is>
          <t>SDF3 4701 E 60TH AVE LLC</t>
        </is>
      </c>
      <c r="AI104" s="245">
        <f>UPPER(D104)</f>
        <v/>
      </c>
    </row>
    <row r="105" ht="15" customHeight="1">
      <c r="A105" s="248" t="n">
        <v>7</v>
      </c>
      <c r="B105" s="245" t="n">
        <v>97</v>
      </c>
      <c r="C105" t="inlineStr">
        <is>
          <t>R0098080</t>
        </is>
      </c>
      <c r="D105" t="inlineStr">
        <is>
          <t>851 HWY 224 #A4</t>
        </is>
      </c>
      <c r="E105" t="n">
        <v>425</v>
      </c>
      <c r="F105" t="inlineStr"/>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t="inlineStr">
        <is>
          <t>PRIMA CAR CARE LLC</t>
        </is>
      </c>
      <c r="AF105" t="inlineStr">
        <is>
          <t>SEARLES INVESTMENTS LLC</t>
        </is>
      </c>
      <c r="AI105" s="245">
        <f>UPPER(D105)</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t="inlineStr">
        <is>
          <t>7160 IRVING STREET LLC</t>
        </is>
      </c>
      <c r="AF106" t="inlineStr">
        <is>
          <t>BLUELINE 3250 W 72ND AVE LLC</t>
        </is>
      </c>
      <c r="AI106" s="245">
        <f>UPPER(D106)</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t="inlineStr">
        <is>
          <t>H.N.K. INVESTMENT LLC</t>
        </is>
      </c>
      <c r="AF107" t="inlineStr">
        <is>
          <t>BOSSELMAN TANK &amp; TRAILER INC</t>
        </is>
      </c>
      <c r="AI107" s="245">
        <f>UPPER(D107)</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t="inlineStr">
        <is>
          <t>OGDEN MCHENRY FAMILY TRUST</t>
        </is>
      </c>
      <c r="AF108" t="inlineStr">
        <is>
          <t>DWV PROPERTIES LLC</t>
        </is>
      </c>
      <c r="AI108" s="245">
        <f>UPPER(D108)</f>
        <v/>
      </c>
    </row>
    <row r="109" ht="15" customHeight="1">
      <c r="A109" s="248" t="n">
        <v>7</v>
      </c>
      <c r="B109" s="245" t="n">
        <v>101</v>
      </c>
      <c r="C109" t="inlineStr">
        <is>
          <t>R0164391</t>
        </is>
      </c>
      <c r="D109" t="inlineStr">
        <is>
          <t>2611 W 64TH AVE #B</t>
        </is>
      </c>
      <c r="E109" t="n">
        <v>425</v>
      </c>
      <c r="F109" t="inlineStr"/>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t="inlineStr">
        <is>
          <t>FREEDMAN ROBERT ANDREW AND , FREEDMAN LORI ELAINE</t>
        </is>
      </c>
      <c r="AF109" t="inlineStr">
        <is>
          <t>NOVE COMMERCIAL LLC</t>
        </is>
      </c>
      <c r="AI109" s="245">
        <f>UPPER(D109)</f>
        <v/>
      </c>
    </row>
    <row r="110" ht="15" customHeight="1">
      <c r="A110" s="248" t="n">
        <v>7</v>
      </c>
      <c r="B110" s="245" t="n">
        <v>102</v>
      </c>
      <c r="C110" t="inlineStr">
        <is>
          <t>R0164395</t>
        </is>
      </c>
      <c r="D110" t="inlineStr">
        <is>
          <t>2611 W 64TH AVE #F</t>
        </is>
      </c>
      <c r="E110" t="n">
        <v>425</v>
      </c>
      <c r="F110" t="inlineStr"/>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t="inlineStr">
        <is>
          <t>2611 WEST 64TH AVENUE UNIT F LLC</t>
        </is>
      </c>
      <c r="AF110" t="inlineStr">
        <is>
          <t>DE LA CRUZ PROPERTY LLC</t>
        </is>
      </c>
      <c r="AI110" s="245">
        <f>UPPER(D110)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t="inlineStr">
        <is>
          <t>POOR BOY PROPERTIES LLC</t>
        </is>
      </c>
      <c r="AF111" t="inlineStr">
        <is>
          <t>JAIMBE LLC</t>
        </is>
      </c>
      <c r="AI111" s="245">
        <f>UPPER(D111)</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t="inlineStr">
        <is>
          <t>429 BRIDGE STREET LLC</t>
        </is>
      </c>
      <c r="AF112" t="inlineStr">
        <is>
          <t>VIGIL JENIFER D.</t>
        </is>
      </c>
      <c r="AI112" s="245">
        <f>UPPER(D112)</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t="inlineStr">
        <is>
          <t>75 PARTNERSHIP LLC</t>
        </is>
      </c>
      <c r="AF113" t="inlineStr">
        <is>
          <t>VIGIL JENIFER D</t>
        </is>
      </c>
      <c r="AI113" s="245">
        <f>UPPER(D113)</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t="inlineStr">
        <is>
          <t>133# RAIL LLC 90% INT AND, E AND K INVESTING LLC 10% INT</t>
        </is>
      </c>
      <c r="AF114" t="inlineStr">
        <is>
          <t>CALHOUN STREET INDUSTRIAL LLC</t>
        </is>
      </c>
      <c r="AI114" s="245">
        <f>UPPER(D114)</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t="inlineStr">
        <is>
          <t>JAMES RUSSELL PROPERTIES LLC</t>
        </is>
      </c>
      <c r="AF115" t="inlineStr">
        <is>
          <t>VITAL RE LLC</t>
        </is>
      </c>
      <c r="AI115" s="245">
        <f>UPPER(D115)</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t="inlineStr">
        <is>
          <t>10783 IRMA DRIVE LLC</t>
        </is>
      </c>
      <c r="AF116" t="inlineStr">
        <is>
          <t>UNIQUE PROPERTY LLC</t>
        </is>
      </c>
      <c r="AI116" s="245">
        <f>UPPER(D116)</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t="inlineStr">
        <is>
          <t>THE HILLS STORE INC</t>
        </is>
      </c>
      <c r="AF117" t="inlineStr">
        <is>
          <t>8801 LOWELL BLVD LLC</t>
        </is>
      </c>
      <c r="AI117" s="245">
        <f>UPPER(D117)</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t="inlineStr">
        <is>
          <t>PAVILIONS PL LLC</t>
        </is>
      </c>
      <c r="AF118" t="inlineStr">
        <is>
          <t>ORNELAS MANUEL AND, ORNELAS DEBORAH A</t>
        </is>
      </c>
      <c r="AI118" s="245">
        <f>UPPER(D118)</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t="inlineStr">
        <is>
          <t>VILLANUEVA-MACIAS IGNACIO</t>
        </is>
      </c>
      <c r="AF119" t="inlineStr">
        <is>
          <t>2890 W 92ND AVENUE LLC</t>
        </is>
      </c>
      <c r="AI119" s="245">
        <f>UPPER(D119)</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t="inlineStr">
        <is>
          <t>MEDINA ART L AND, MEDINA URSULA</t>
        </is>
      </c>
      <c r="AF120" t="inlineStr">
        <is>
          <t>LUEVANO INVESTMENTS LLC</t>
        </is>
      </c>
      <c r="AI120" s="245">
        <f>UPPER(D120)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t="inlineStr">
        <is>
          <t>ANYHOME INVESTMENT GROUP LLC</t>
        </is>
      </c>
      <c r="AF121" t="inlineStr">
        <is>
          <t>PROFESSIONAL FINANCIAL SERVICES CORP</t>
        </is>
      </c>
      <c r="AI121" s="245">
        <f>UPPER(D121)</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t="inlineStr">
        <is>
          <t>SPEC WHEELS OF AMERICA INC</t>
        </is>
      </c>
      <c r="AF122" t="inlineStr">
        <is>
          <t>4990 PARIS STREET LLC</t>
        </is>
      </c>
      <c r="AI122" s="245">
        <f>UPPER(D122)</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t="inlineStr">
        <is>
          <t>STOPA LEOPOLD ADAM FAMILY TRUST 48/68%, STOPA LEOPOLD ADAM MARITAN TRUST  et al.</t>
        </is>
      </c>
      <c r="AF123" t="inlineStr">
        <is>
          <t>MHC 920 LLC</t>
        </is>
      </c>
      <c r="AI123" s="245">
        <f>UPPER(D123)</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t="inlineStr">
        <is>
          <t>ROZA KAYKOVA LLC</t>
        </is>
      </c>
      <c r="AF124" t="inlineStr">
        <is>
          <t>TAPIA INC</t>
        </is>
      </c>
      <c r="AI124" s="245">
        <f>UPPER(D124)</f>
        <v/>
      </c>
    </row>
    <row r="125" ht="15" customHeight="1">
      <c r="A125" s="248" t="n">
        <v>7</v>
      </c>
      <c r="B125" s="245" t="n">
        <v>117</v>
      </c>
      <c r="C125" t="inlineStr">
        <is>
          <t>R0178831</t>
        </is>
      </c>
      <c r="D125" t="inlineStr">
        <is>
          <t>5190 VIOLET HILL ST #D</t>
        </is>
      </c>
      <c r="E125" t="n">
        <v>328</v>
      </c>
      <c r="F125" t="inlineStr"/>
      <c r="G125" t="inlineStr">
        <is>
          <t>1</t>
        </is>
      </c>
      <c r="H125" s="669">
        <f>Y125/J125</f>
        <v/>
      </c>
      <c r="I125" s="472" t="n">
        <v>45273</v>
      </c>
      <c r="J125" t="n">
        <v>27000</v>
      </c>
      <c r="K125" s="669" t="n"/>
      <c r="L125" t="n">
        <v>27000</v>
      </c>
      <c r="M125" t="n">
        <v>2006</v>
      </c>
      <c r="P125" t="inlineStr"/>
      <c r="R125" t="inlineStr">
        <is>
          <t>Average</t>
        </is>
      </c>
      <c r="S125" t="inlineStr"/>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t="inlineStr">
        <is>
          <t>KLV INVESTMENTS LLC</t>
        </is>
      </c>
      <c r="AF125" t="inlineStr">
        <is>
          <t>ENZO FLYING MACHINE LLC</t>
        </is>
      </c>
      <c r="AI125" s="245">
        <f>UPPER(D125)</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P126" t="inlineStr"/>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t="inlineStr">
        <is>
          <t>MMCG TNET COLORADO LLC</t>
        </is>
      </c>
      <c r="AF126" t="inlineStr">
        <is>
          <t>THE CRONIN FAMILY TRUST</t>
        </is>
      </c>
      <c r="AI126" s="245">
        <f>UPPER(D126)</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P127" t="inlineStr"/>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t="inlineStr">
        <is>
          <t>XM HOLDINGS LLC AND, K&amp;V HOLDINGS LLC</t>
        </is>
      </c>
      <c r="AF127" t="inlineStr">
        <is>
          <t>II LAWS REAL ESTATE LLC</t>
        </is>
      </c>
      <c r="AI127" s="245">
        <f>UPPER(D127)</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P128" t="inlineStr"/>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t="inlineStr">
        <is>
          <t>LONE STAR HOLDINGS LLC</t>
        </is>
      </c>
      <c r="AF128" t="inlineStr">
        <is>
          <t>STEEL CITY HOLDINGS LLC</t>
        </is>
      </c>
      <c r="AI128" s="245">
        <f>UPPER(D128)</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P129" t="inlineStr"/>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t="inlineStr">
        <is>
          <t>NNN 128 QUEBEC LLC</t>
        </is>
      </c>
      <c r="AF129" t="inlineStr">
        <is>
          <t>KMR REAL ESTATE LLC</t>
        </is>
      </c>
      <c r="AI129" s="245">
        <f>UPPER(D129)</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P130" t="inlineStr"/>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t="inlineStr">
        <is>
          <t>RK EVBK COMMERCE CITY LLC, C/O READ KING, INC</t>
        </is>
      </c>
      <c r="AF130" t="inlineStr">
        <is>
          <t>REALTY INCOME PROPERTIES 26 LLC</t>
        </is>
      </c>
      <c r="AI130" s="245">
        <f>UPPER(D130)</f>
        <v/>
      </c>
    </row>
    <row r="131" ht="15" customHeight="1">
      <c r="A131" s="248" t="n">
        <v>7</v>
      </c>
      <c r="B131" s="245" t="n">
        <v>123</v>
      </c>
      <c r="C131" t="inlineStr">
        <is>
          <t>R0222676</t>
        </is>
      </c>
      <c r="D131" t="inlineStr">
        <is>
          <t>37851 E 51ST AVE #E10</t>
        </is>
      </c>
      <c r="E131" t="n">
        <v>328</v>
      </c>
      <c r="F131" t="inlineStr"/>
      <c r="G131" t="inlineStr">
        <is>
          <t>1</t>
        </is>
      </c>
      <c r="H131" s="669">
        <f>Y131/J131</f>
        <v/>
      </c>
      <c r="I131" s="472" t="n">
        <v>45390</v>
      </c>
      <c r="J131" t="n">
        <v>2930</v>
      </c>
      <c r="K131" s="669" t="n"/>
      <c r="L131" t="n">
        <v>2930</v>
      </c>
      <c r="M131" t="n">
        <v>2024</v>
      </c>
      <c r="P131" t="inlineStr"/>
      <c r="R131" t="inlineStr">
        <is>
          <t>Average</t>
        </is>
      </c>
      <c r="S131" t="inlineStr"/>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t="inlineStr">
        <is>
          <t>37851 51ST AVE HANGAR OWNERS ASSOCIATION INC</t>
        </is>
      </c>
      <c r="AF131" t="inlineStr">
        <is>
          <t>CD SYDNEY AVIATION LLC</t>
        </is>
      </c>
      <c r="AI131" s="245">
        <f>UPPER(D131)</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t="inlineStr">
        <is>
          <t>66 S MAIN LLC</t>
        </is>
      </c>
      <c r="AF132" t="inlineStr">
        <is>
          <t>BRENNER ERIC</t>
        </is>
      </c>
      <c r="AI132" s="245">
        <f>UPPER(D132)</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t="inlineStr">
        <is>
          <t>2090 E 104TH LLC</t>
        </is>
      </c>
      <c r="AF133" t="inlineStr">
        <is>
          <t>PAUL M COHEN AND JANET A COHEN 1993 TRUST AND, WAALE LLC</t>
        </is>
      </c>
      <c r="AI133" s="245">
        <f>UPPER(D133)</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t="inlineStr">
        <is>
          <t>HOLTS LLC</t>
        </is>
      </c>
      <c r="AF134" t="inlineStr">
        <is>
          <t>S&amp;P CORP</t>
        </is>
      </c>
      <c r="AI134" s="245">
        <f>UPPER(D134)</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t="inlineStr">
        <is>
          <t>BRAZZELL DAVID R AND, BRAZZELL BRIAN J</t>
        </is>
      </c>
      <c r="AF135" t="inlineStr">
        <is>
          <t>IMPRESSION CARPET CLEANING LLC</t>
        </is>
      </c>
      <c r="AI135" s="245">
        <f>UPPER(D135)</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t="inlineStr">
        <is>
          <t>CTTW HOLDINGS LLC AND MARSCH NICHOLAS AND, MARSCH &amp; BAKOUCHE RENTALS LLC ET AL</t>
        </is>
      </c>
      <c r="AF136" t="inlineStr">
        <is>
          <t>LOCK AWAY COLORADO LLC</t>
        </is>
      </c>
      <c r="AI136" s="245">
        <f>UPPER(D136)</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t="inlineStr">
        <is>
          <t>DCW FAMILY HOLDINGS LLC</t>
        </is>
      </c>
      <c r="AF137" t="inlineStr">
        <is>
          <t>SKYLINE PRINCIPAL INVESTORS II LLC</t>
        </is>
      </c>
      <c r="AI137" s="245">
        <f>UPPER(D137)</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t="inlineStr">
        <is>
          <t>FIVEKC LLC</t>
        </is>
      </c>
      <c r="AF138" t="inlineStr">
        <is>
          <t>CAH CO COMMERCE CITY LLC</t>
        </is>
      </c>
      <c r="AI138" s="245">
        <f>UPPER(D138)</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t="inlineStr">
        <is>
          <t>NORMAN GAUGER INC</t>
        </is>
      </c>
      <c r="AF139" t="inlineStr">
        <is>
          <t>72 AVE LLC, C/O SHI BING KE</t>
        </is>
      </c>
      <c r="AI139" s="245">
        <f>UPPER(D139)</f>
        <v/>
      </c>
    </row>
    <row r="140" ht="15" customHeight="1">
      <c r="A140" s="248" t="n">
        <v>7</v>
      </c>
      <c r="B140" s="245" t="n">
        <v>132</v>
      </c>
      <c r="C140" t="inlineStr">
        <is>
          <t>R0103017</t>
        </is>
      </c>
      <c r="D140" t="inlineStr">
        <is>
          <t>2896 W 64TH AVE</t>
        </is>
      </c>
      <c r="E140" t="n">
        <v>407</v>
      </c>
      <c r="F140" t="inlineStr"/>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t="inlineStr">
        <is>
          <t>2896 W 64TH AVE LLC</t>
        </is>
      </c>
      <c r="AF140" t="inlineStr">
        <is>
          <t>THE MCC AMIGOS LLC</t>
        </is>
      </c>
      <c r="AI140" s="245">
        <f>UPPER(D140)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t="inlineStr">
        <is>
          <t>NG21 LP</t>
        </is>
      </c>
      <c r="AF141" t="inlineStr">
        <is>
          <t>BRAKES PLUS LLC</t>
        </is>
      </c>
      <c r="AI141" s="245">
        <f>UPPER(D141)</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t="inlineStr">
        <is>
          <t>KICKBUSH DOM AND, KICKBUSH ANA</t>
        </is>
      </c>
      <c r="AF142" t="inlineStr">
        <is>
          <t>SLLI PROPERTIES LLC</t>
        </is>
      </c>
      <c r="AI142" s="245">
        <f>UPPER(D142)</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t="inlineStr">
        <is>
          <t>JACKSON LARRY DEAN</t>
        </is>
      </c>
      <c r="AF143" t="inlineStr">
        <is>
          <t>RBF ENTERPRISES LLC</t>
        </is>
      </c>
      <c r="AI143" s="245">
        <f>UPPER(D143)</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t="inlineStr">
        <is>
          <t>CMS HOLDINGS LLC</t>
        </is>
      </c>
      <c r="AF144" t="inlineStr">
        <is>
          <t>REINVENTION J HOLDINGS LLC</t>
        </is>
      </c>
      <c r="AI144" s="245">
        <f>UPPER(D144)</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t="inlineStr">
        <is>
          <t>7205 MEADE LLC</t>
        </is>
      </c>
      <c r="AF145" t="inlineStr">
        <is>
          <t>COLLECTIVE CULTURE LLC</t>
        </is>
      </c>
      <c r="AI145" s="245">
        <f>UPPER(D145)</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t="inlineStr">
        <is>
          <t>WARD REALTY CORPORATION</t>
        </is>
      </c>
      <c r="AF146" t="inlineStr">
        <is>
          <t>GVII-ZS YOSEMITE OWNER LLC</t>
        </is>
      </c>
      <c r="AI146" s="245">
        <f>UPPER(D146)</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t="inlineStr">
        <is>
          <t xml:space="preserve">BEGLEY OTHEL BAXTER AND , KOZA JEFFREY P </t>
        </is>
      </c>
      <c r="AF147" t="inlineStr">
        <is>
          <t>NCW GROUP LLC</t>
        </is>
      </c>
      <c r="AI147" s="245">
        <f>UPPER(D147)</f>
        <v/>
      </c>
    </row>
    <row r="148" ht="15" customHeight="1">
      <c r="A148" s="248" t="n">
        <v>7</v>
      </c>
      <c r="B148" s="245" t="n">
        <v>140</v>
      </c>
      <c r="C148" t="inlineStr">
        <is>
          <t>R0077393</t>
        </is>
      </c>
      <c r="D148" t="inlineStr">
        <is>
          <t>8451 BRIGHTON DR</t>
        </is>
      </c>
      <c r="E148" t="n">
        <v>344</v>
      </c>
      <c r="F148" t="inlineStr"/>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t="inlineStr">
        <is>
          <t>BDM HOLDINGS LLC</t>
        </is>
      </c>
      <c r="AF148" t="inlineStr">
        <is>
          <t>8451 BRIGHTON ROAD INC</t>
        </is>
      </c>
      <c r="AI148" s="245">
        <f>UPPER(D148)</f>
        <v/>
      </c>
    </row>
    <row r="149" ht="15" customHeight="1">
      <c r="A149" s="248" t="n">
        <v>7</v>
      </c>
      <c r="B149" s="245" t="n">
        <v>141</v>
      </c>
      <c r="C149" t="inlineStr">
        <is>
          <t>R0098079</t>
        </is>
      </c>
      <c r="D149" t="inlineStr">
        <is>
          <t>851 HWY 224 #A3</t>
        </is>
      </c>
      <c r="E149" t="n">
        <v>425</v>
      </c>
      <c r="F149" t="inlineStr"/>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t="inlineStr">
        <is>
          <t>BLUE ROOF RENTALS LLC</t>
        </is>
      </c>
      <c r="AF149" t="inlineStr">
        <is>
          <t>RALEIGH LUCAS</t>
        </is>
      </c>
      <c r="AI149" s="245">
        <f>UPPER(D149)</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t="inlineStr">
        <is>
          <t>MLS PROPERTIES LLC</t>
        </is>
      </c>
      <c r="AF150" t="inlineStr">
        <is>
          <t>GRANT PROPERTY LLC</t>
        </is>
      </c>
      <c r="AI150" s="245">
        <f>UPPER(D150)</f>
        <v/>
      </c>
    </row>
    <row r="151" ht="15" customHeight="1">
      <c r="A151" s="248" t="n">
        <v>7</v>
      </c>
      <c r="B151" s="245" t="n">
        <v>143</v>
      </c>
      <c r="C151" t="inlineStr">
        <is>
          <t>R0133774</t>
        </is>
      </c>
      <c r="D151" t="inlineStr">
        <is>
          <t>6301 BROADWAY ST</t>
        </is>
      </c>
      <c r="E151" t="n">
        <v>407</v>
      </c>
      <c r="F151" t="inlineStr"/>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t="inlineStr">
        <is>
          <t>DIESEL FORWARD INC</t>
        </is>
      </c>
      <c r="AF151" t="inlineStr">
        <is>
          <t>6301 BROADWAY INVESTMENT LLC</t>
        </is>
      </c>
      <c r="AI151" s="245">
        <f>UPPER(D151)</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t="inlineStr">
        <is>
          <t>RUBY AMOR INVESTMENTS LLC</t>
        </is>
      </c>
      <c r="AF152" t="inlineStr">
        <is>
          <t>GOMEZ PRICSILIANO</t>
        </is>
      </c>
      <c r="AI152" s="245">
        <f>UPPER(D152)</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t="inlineStr">
        <is>
          <t>BERMAN ANDREW P</t>
        </is>
      </c>
      <c r="AF153" t="inlineStr">
        <is>
          <t>WF-CA SHERIDAN &amp; 80TH LLC</t>
        </is>
      </c>
      <c r="AI153" s="245">
        <f>UPPER(D153)</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t="inlineStr">
        <is>
          <t>IGLESIA DE DIOS PENTECOSTAL M. I.</t>
        </is>
      </c>
      <c r="AF154" t="inlineStr">
        <is>
          <t>ELLA AURORA LLC</t>
        </is>
      </c>
      <c r="AI154" s="245">
        <f>UPPER(D154)</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t="inlineStr">
        <is>
          <t>17 N 12 LLC</t>
        </is>
      </c>
      <c r="AF155" t="inlineStr">
        <is>
          <t>CBCB HOLDINDS LLC</t>
        </is>
      </c>
      <c r="AI155" s="245">
        <f>UPPER(D155)</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t="inlineStr">
        <is>
          <t>SHALOM REALTY  (AURORA CENTER I AT GATEWAY COLORADO), C/O DALFEN INDUSTRIAL LLC</t>
        </is>
      </c>
      <c r="AF156" t="inlineStr">
        <is>
          <t>JAMM PROPERTIES LIMITED LLC</t>
        </is>
      </c>
      <c r="AI156" s="245">
        <f>UPPER(D156)</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P157" t="inlineStr"/>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t="inlineStr">
        <is>
          <t>ACA 88 LLC</t>
        </is>
      </c>
      <c r="AF157" t="inlineStr">
        <is>
          <t>JEREMY FEIN INC</t>
        </is>
      </c>
      <c r="AI157" s="245">
        <f>UPPER(D157)</f>
        <v/>
      </c>
    </row>
    <row r="158" ht="15" customHeight="1">
      <c r="A158" s="248" t="n">
        <v>7</v>
      </c>
      <c r="B158" s="245" t="n">
        <v>150</v>
      </c>
      <c r="C158" t="inlineStr">
        <is>
          <t>R0208790</t>
        </is>
      </c>
      <c r="D158" t="inlineStr">
        <is>
          <t>5120 VIOLET HILL #N1-3</t>
        </is>
      </c>
      <c r="E158" t="n">
        <v>328</v>
      </c>
      <c r="F158" t="inlineStr"/>
      <c r="G158" t="inlineStr">
        <is>
          <t>1</t>
        </is>
      </c>
      <c r="H158" s="669">
        <f>Y158/J158</f>
        <v/>
      </c>
      <c r="I158" s="472" t="n">
        <v>45106</v>
      </c>
      <c r="J158" t="n">
        <v>2270</v>
      </c>
      <c r="K158" s="669" t="n"/>
      <c r="L158" t="n">
        <v>2270</v>
      </c>
      <c r="M158" t="inlineStr"/>
      <c r="P158" t="inlineStr"/>
      <c r="R158" t="inlineStr">
        <is>
          <t>Average</t>
        </is>
      </c>
      <c r="S158" t="inlineStr"/>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t="inlineStr">
        <is>
          <t>GEE KYLE</t>
        </is>
      </c>
      <c r="AF158" t="inlineStr">
        <is>
          <t>AMUNDSON JEFFREY AND, AMUNDSON RICHELLE</t>
        </is>
      </c>
      <c r="AI158" s="245">
        <f>UPPER(D158)</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P159" t="inlineStr"/>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t="inlineStr">
        <is>
          <t>EVC BRIGHTON LLC</t>
        </is>
      </c>
      <c r="AF159" t="inlineStr">
        <is>
          <t>NG BRIGHTON HOLDINGS LLC</t>
        </is>
      </c>
      <c r="AI159" s="245">
        <f>UPPER(D159)</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P160" t="inlineStr"/>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t="inlineStr">
        <is>
          <t>WDG AMBER CREEK LLC</t>
        </is>
      </c>
      <c r="AF160" t="inlineStr">
        <is>
          <t>BOERE JOHN AND, BOERE DENISE</t>
        </is>
      </c>
      <c r="AI160" s="245">
        <f>UPPER(D160)</f>
        <v/>
      </c>
    </row>
    <row r="161" ht="15" customHeight="1">
      <c r="A161" s="248" t="n">
        <v>7</v>
      </c>
      <c r="B161" s="245" t="n">
        <v>153</v>
      </c>
      <c r="C161" t="inlineStr">
        <is>
          <t>R0222670</t>
        </is>
      </c>
      <c r="D161" t="inlineStr">
        <is>
          <t>37851 E 51ST AVE #W3</t>
        </is>
      </c>
      <c r="E161" t="n">
        <v>328</v>
      </c>
      <c r="F161" t="inlineStr"/>
      <c r="G161" t="inlineStr">
        <is>
          <t>1</t>
        </is>
      </c>
      <c r="H161" s="669">
        <f>Y161/J161</f>
        <v/>
      </c>
      <c r="I161" s="472" t="n">
        <v>45390</v>
      </c>
      <c r="J161" t="n">
        <v>2930</v>
      </c>
      <c r="K161" s="669" t="n"/>
      <c r="L161" t="n">
        <v>2930</v>
      </c>
      <c r="M161" t="n">
        <v>2024</v>
      </c>
      <c r="P161" t="inlineStr"/>
      <c r="R161" t="inlineStr">
        <is>
          <t>Average</t>
        </is>
      </c>
      <c r="S161" t="inlineStr"/>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t="inlineStr">
        <is>
          <t>37851 51ST AVE HANGAR OWNERS ASSOCIATION INC</t>
        </is>
      </c>
      <c r="AF161" t="inlineStr">
        <is>
          <t>ROMEO HANGAR ASSOCIATION LLC</t>
        </is>
      </c>
      <c r="AI161" s="245">
        <f>UPPER(D161)</f>
        <v/>
      </c>
    </row>
    <row r="162" ht="15" customHeight="1">
      <c r="A162" s="248" t="n">
        <v>7</v>
      </c>
      <c r="B162" s="245" t="n">
        <v>154</v>
      </c>
      <c r="C162" t="inlineStr">
        <is>
          <t>R0222677</t>
        </is>
      </c>
      <c r="D162" t="inlineStr">
        <is>
          <t>37851 E 51ST AVE #E8</t>
        </is>
      </c>
      <c r="E162" t="n">
        <v>328</v>
      </c>
      <c r="F162" t="inlineStr"/>
      <c r="G162" t="inlineStr">
        <is>
          <t>1</t>
        </is>
      </c>
      <c r="H162" s="669">
        <f>Y162/J162</f>
        <v/>
      </c>
      <c r="I162" s="472" t="n">
        <v>45390</v>
      </c>
      <c r="J162" t="n">
        <v>2930</v>
      </c>
      <c r="K162" s="669" t="n"/>
      <c r="L162" t="n">
        <v>2930</v>
      </c>
      <c r="M162" t="n">
        <v>2024</v>
      </c>
      <c r="P162" t="inlineStr"/>
      <c r="R162" t="inlineStr">
        <is>
          <t>Average</t>
        </is>
      </c>
      <c r="S162" t="inlineStr"/>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t="inlineStr">
        <is>
          <t>37851 51ST AVE HANGAR OWNERS ASSOCIATION INC</t>
        </is>
      </c>
      <c r="AF162" t="inlineStr">
        <is>
          <t>HASH WILLARD G</t>
        </is>
      </c>
      <c r="AI162" s="245">
        <f>UPPER(D162)</f>
        <v/>
      </c>
    </row>
    <row r="163" ht="15" customHeight="1">
      <c r="A163" s="248" t="n">
        <v>7</v>
      </c>
      <c r="B163" s="245" t="n">
        <v>155</v>
      </c>
      <c r="C163" t="inlineStr">
        <is>
          <t>R0222679</t>
        </is>
      </c>
      <c r="D163" t="inlineStr">
        <is>
          <t>37851 E 51ST AVE #E4</t>
        </is>
      </c>
      <c r="E163" t="n">
        <v>328</v>
      </c>
      <c r="F163" t="inlineStr"/>
      <c r="G163" t="inlineStr">
        <is>
          <t>1</t>
        </is>
      </c>
      <c r="H163" s="669">
        <f>Y163/J163</f>
        <v/>
      </c>
      <c r="I163" s="472" t="n">
        <v>45390</v>
      </c>
      <c r="J163" t="n">
        <v>2930</v>
      </c>
      <c r="K163" s="669" t="n"/>
      <c r="L163" t="n">
        <v>2930</v>
      </c>
      <c r="M163" t="n">
        <v>2024</v>
      </c>
      <c r="P163" t="inlineStr"/>
      <c r="R163" t="inlineStr">
        <is>
          <t>Average</t>
        </is>
      </c>
      <c r="S163" t="inlineStr"/>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t="inlineStr">
        <is>
          <t>37851 51ST AVE HANGAR OWNERS ASSOCIATION INC</t>
        </is>
      </c>
      <c r="AF163" t="inlineStr">
        <is>
          <t>THE FISH AND MARYC LIVING TRUST</t>
        </is>
      </c>
      <c r="AI163" s="245">
        <f>UPPER(D163)</f>
        <v/>
      </c>
    </row>
    <row r="164" ht="15" customHeight="1">
      <c r="A164" s="248" t="n">
        <v>7</v>
      </c>
      <c r="B164" s="245" t="n">
        <v>156</v>
      </c>
      <c r="C164" t="inlineStr">
        <is>
          <t>R0222680</t>
        </is>
      </c>
      <c r="D164" t="inlineStr">
        <is>
          <t>37851 E 51ST AVE #E2</t>
        </is>
      </c>
      <c r="E164" t="n">
        <v>328</v>
      </c>
      <c r="F164" t="inlineStr"/>
      <c r="G164" t="inlineStr">
        <is>
          <t>1</t>
        </is>
      </c>
      <c r="H164" s="669">
        <f>Y164/J164</f>
        <v/>
      </c>
      <c r="I164" s="472" t="n">
        <v>45390</v>
      </c>
      <c r="J164" t="n">
        <v>2930</v>
      </c>
      <c r="K164" s="669" t="n"/>
      <c r="L164" t="n">
        <v>2930</v>
      </c>
      <c r="M164" t="n">
        <v>2024</v>
      </c>
      <c r="P164" t="inlineStr"/>
      <c r="R164" t="inlineStr">
        <is>
          <t>Average</t>
        </is>
      </c>
      <c r="S164" t="inlineStr"/>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t="inlineStr">
        <is>
          <t>37851 51ST AVE HANGAR OWNERS ASSOCIATION INC</t>
        </is>
      </c>
      <c r="AF164" t="inlineStr">
        <is>
          <t>HORIZON AVIATION LLC</t>
        </is>
      </c>
      <c r="AI164" s="245">
        <f>UPPER(D164)</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P165" t="inlineStr"/>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t="inlineStr">
        <is>
          <t>THE GARAGE SOCIETY HOLDINGS LLC</t>
        </is>
      </c>
      <c r="AF165" t="inlineStr">
        <is>
          <t xml:space="preserve">ZHANG ZI SHAO AND, CHEUNG JENNY WEI </t>
        </is>
      </c>
      <c r="AI165" s="245">
        <f>UPPER(D165)</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t="inlineStr">
        <is>
          <t>GREYSON HOLDINGS LLC</t>
        </is>
      </c>
      <c r="AF166" t="inlineStr">
        <is>
          <t>PEAK RE HOLDINGS LLC</t>
        </is>
      </c>
      <c r="AI166" s="245">
        <f>UPPER(D166)</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t="inlineStr">
        <is>
          <t>CONNER PAUL S</t>
        </is>
      </c>
      <c r="AF167" t="inlineStr">
        <is>
          <t>BELK DENISE L</t>
        </is>
      </c>
      <c r="AI167" s="245">
        <f>UPPER(D167)</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t="inlineStr">
        <is>
          <t>8451 DELAWARE STREET LLC</t>
        </is>
      </c>
      <c r="AF168" t="inlineStr">
        <is>
          <t>SAELEE THORNTON LLC</t>
        </is>
      </c>
      <c r="AI168" s="245">
        <f>UPPER(D168)</f>
        <v/>
      </c>
    </row>
    <row r="169" ht="15" customHeight="1">
      <c r="A169" s="248" t="n">
        <v>7</v>
      </c>
      <c r="B169" s="245" t="n">
        <v>161</v>
      </c>
      <c r="C169" t="inlineStr">
        <is>
          <t>R0141094</t>
        </is>
      </c>
      <c r="D169" t="inlineStr">
        <is>
          <t>37700 CESNA WAY #6W</t>
        </is>
      </c>
      <c r="E169" t="n">
        <v>328</v>
      </c>
      <c r="F169" t="inlineStr"/>
      <c r="G169" t="inlineStr">
        <is>
          <t>1</t>
        </is>
      </c>
      <c r="H169" s="669">
        <f>Y169/J169</f>
        <v/>
      </c>
      <c r="I169" s="472" t="n">
        <v>45065</v>
      </c>
      <c r="J169" t="n">
        <v>2900</v>
      </c>
      <c r="K169" s="669" t="n"/>
      <c r="L169" t="n">
        <v>2900</v>
      </c>
      <c r="M169" t="n">
        <v>2001</v>
      </c>
      <c r="P169" t="inlineStr"/>
      <c r="R169" t="inlineStr">
        <is>
          <t>Average</t>
        </is>
      </c>
      <c r="S169" t="inlineStr"/>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t="inlineStr">
        <is>
          <t>MUTZIG STEVEN M</t>
        </is>
      </c>
      <c r="AF169" t="inlineStr">
        <is>
          <t>KODIAK BRANDS INC</t>
        </is>
      </c>
      <c r="AI169" s="245">
        <f>UPPER(D169)</f>
        <v/>
      </c>
    </row>
    <row r="170" ht="15" customHeight="1">
      <c r="A170" s="248" t="n">
        <v>7</v>
      </c>
      <c r="B170" s="245" t="n">
        <v>162</v>
      </c>
      <c r="C170" t="inlineStr">
        <is>
          <t>R0161867</t>
        </is>
      </c>
      <c r="D170" t="inlineStr">
        <is>
          <t>37701 E 51ST AVE #3E</t>
        </is>
      </c>
      <c r="E170" t="n">
        <v>328</v>
      </c>
      <c r="F170" t="inlineStr"/>
      <c r="G170" t="inlineStr">
        <is>
          <t>1</t>
        </is>
      </c>
      <c r="H170" s="669">
        <f>Y170/J170</f>
        <v/>
      </c>
      <c r="I170" s="472" t="n">
        <v>45176</v>
      </c>
      <c r="J170" t="n">
        <v>2875</v>
      </c>
      <c r="K170" s="669" t="n"/>
      <c r="L170" t="n">
        <v>2875</v>
      </c>
      <c r="M170" t="n">
        <v>2004</v>
      </c>
      <c r="P170" t="inlineStr"/>
      <c r="R170" t="inlineStr">
        <is>
          <t>Average</t>
        </is>
      </c>
      <c r="S170" t="inlineStr"/>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t="inlineStr">
        <is>
          <t>E AND E INVESTMENTS INC, C/O DAVID ENGBRECHT</t>
        </is>
      </c>
      <c r="AF170" t="inlineStr">
        <is>
          <t>SPACEPORT 3 EAST LLC</t>
        </is>
      </c>
      <c r="AI170" s="245">
        <f>UPPER(D170)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t="inlineStr">
        <is>
          <t>PAC PROPERTIES LLC</t>
        </is>
      </c>
      <c r="AF171" t="inlineStr">
        <is>
          <t>DADDY DANKZ INC</t>
        </is>
      </c>
      <c r="AI171" s="245">
        <f>UPPER(D171)</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t="inlineStr">
        <is>
          <t>J AND N DENVER IV LLC</t>
        </is>
      </c>
      <c r="AF172" t="inlineStr">
        <is>
          <t>LOS DOS POTRILLOS COCINA Y CANTINA-NORTHGLENN LLC</t>
        </is>
      </c>
      <c r="AI172" s="245">
        <f>UPPER(D172)</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P173" t="inlineStr"/>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t="inlineStr">
        <is>
          <t>SDW FAMILY PROEPRTIES LLC</t>
        </is>
      </c>
      <c r="AF173" t="inlineStr">
        <is>
          <t>DIVERSIFIED RE HOLDINGS LLC</t>
        </is>
      </c>
      <c r="AI173" s="245">
        <f>UPPER(D173)</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P174" t="inlineStr"/>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t="inlineStr">
        <is>
          <t>MCAVIN ENTERPRISES LLC</t>
        </is>
      </c>
      <c r="AF174" t="inlineStr">
        <is>
          <t>FISHER DESIGNWORKS LLC DBA, SAWHORSE DEVELOPMENT LLC</t>
        </is>
      </c>
      <c r="AI174" s="245">
        <f>UPPER(D174)</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P175" t="inlineStr"/>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t="inlineStr">
        <is>
          <t>THE GARAGE SOCIETY HOLDINGS LLC</t>
        </is>
      </c>
      <c r="AF175" t="inlineStr">
        <is>
          <t>SLAVIC CHRISTIAN CHURCH</t>
        </is>
      </c>
      <c r="AI175" s="245">
        <f>UPPER(D175)</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P176" t="inlineStr"/>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t="inlineStr">
        <is>
          <t>THE GARAGE SOCIETY HOLDINGS LLC</t>
        </is>
      </c>
      <c r="AF176" t="inlineStr">
        <is>
          <t xml:space="preserve">E&amp;P QUALITY PLUMBING INC AND , E&amp;P QUALITY PLUMBING </t>
        </is>
      </c>
      <c r="AI176" s="245">
        <f>UPPER(D176)</f>
        <v/>
      </c>
    </row>
    <row r="177" ht="15" customHeight="1">
      <c r="A177" s="248" t="n">
        <v>7</v>
      </c>
      <c r="B177" s="245" t="n">
        <v>169</v>
      </c>
      <c r="C177" t="inlineStr">
        <is>
          <t>R0222669</t>
        </is>
      </c>
      <c r="D177" t="inlineStr">
        <is>
          <t>37851 E 51ST AVE #W1</t>
        </is>
      </c>
      <c r="E177" t="n">
        <v>328</v>
      </c>
      <c r="F177" t="inlineStr"/>
      <c r="G177" t="inlineStr">
        <is>
          <t>1</t>
        </is>
      </c>
      <c r="H177" s="669">
        <f>Y177/J177</f>
        <v/>
      </c>
      <c r="I177" s="472" t="n">
        <v>45390</v>
      </c>
      <c r="J177" t="n">
        <v>2930</v>
      </c>
      <c r="K177" s="669" t="n"/>
      <c r="L177" t="n">
        <v>2930</v>
      </c>
      <c r="M177" t="n">
        <v>2024</v>
      </c>
      <c r="P177" t="inlineStr"/>
      <c r="R177" t="inlineStr">
        <is>
          <t>Average</t>
        </is>
      </c>
      <c r="S177" t="inlineStr"/>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t="inlineStr">
        <is>
          <t>37851 51ST AVE HANGAR OWNERS ASSOCIATION INC</t>
        </is>
      </c>
      <c r="AF177" t="inlineStr">
        <is>
          <t>ACCRETION MANAGEMENT LLC</t>
        </is>
      </c>
      <c r="AI177" s="245">
        <f>UPPER(D177)</f>
        <v/>
      </c>
    </row>
    <row r="178" ht="15" customHeight="1">
      <c r="A178" s="248" t="n">
        <v>7</v>
      </c>
      <c r="B178" s="245" t="n">
        <v>170</v>
      </c>
      <c r="C178" t="inlineStr">
        <is>
          <t>R0222673</t>
        </is>
      </c>
      <c r="D178" t="inlineStr">
        <is>
          <t>37851 E 51ST AVE #W9</t>
        </is>
      </c>
      <c r="E178" t="n">
        <v>328</v>
      </c>
      <c r="F178" t="inlineStr"/>
      <c r="G178" t="inlineStr">
        <is>
          <t>1</t>
        </is>
      </c>
      <c r="H178" s="669">
        <f>Y178/J178</f>
        <v/>
      </c>
      <c r="I178" s="472" t="n">
        <v>45390</v>
      </c>
      <c r="J178" t="n">
        <v>2930</v>
      </c>
      <c r="K178" s="669" t="n"/>
      <c r="L178" t="n">
        <v>2930</v>
      </c>
      <c r="M178" t="n">
        <v>2024</v>
      </c>
      <c r="P178" t="inlineStr"/>
      <c r="R178" t="inlineStr">
        <is>
          <t>Average</t>
        </is>
      </c>
      <c r="S178" t="inlineStr"/>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t="inlineStr">
        <is>
          <t>37851 51ST AVE HANGAR OWNERS ASSOCIATION INC</t>
        </is>
      </c>
      <c r="AF178" t="inlineStr">
        <is>
          <t>COLBYCO JET MANAGEMENT LLC</t>
        </is>
      </c>
      <c r="AI178" s="245">
        <f>UPPER(D178)</f>
        <v/>
      </c>
    </row>
    <row r="179" ht="15" customHeight="1">
      <c r="A179" s="248" t="n">
        <v>7</v>
      </c>
      <c r="B179" s="245" t="n">
        <v>171</v>
      </c>
      <c r="C179" t="inlineStr">
        <is>
          <t>R0222674</t>
        </is>
      </c>
      <c r="D179" t="inlineStr">
        <is>
          <t>37851 E 51ST AVE #W11</t>
        </is>
      </c>
      <c r="E179" t="n">
        <v>328</v>
      </c>
      <c r="F179" t="inlineStr"/>
      <c r="G179" t="inlineStr">
        <is>
          <t>1</t>
        </is>
      </c>
      <c r="H179" s="669">
        <f>Y179/J179</f>
        <v/>
      </c>
      <c r="I179" s="472" t="n">
        <v>45390</v>
      </c>
      <c r="J179" t="n">
        <v>2930</v>
      </c>
      <c r="K179" s="669" t="n"/>
      <c r="L179" t="n">
        <v>2930</v>
      </c>
      <c r="M179" t="n">
        <v>2024</v>
      </c>
      <c r="P179" t="inlineStr"/>
      <c r="R179" t="inlineStr">
        <is>
          <t>Average</t>
        </is>
      </c>
      <c r="S179" t="inlineStr"/>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t="inlineStr">
        <is>
          <t>37851 51ST AVE HANGAR OWNERS ASSOCIATION INC</t>
        </is>
      </c>
      <c r="AF179" t="inlineStr">
        <is>
          <t>MUELLER HANGARS LLC</t>
        </is>
      </c>
      <c r="AI179" s="245">
        <f>UPPER(D179)</f>
        <v/>
      </c>
    </row>
    <row r="180" ht="15" customHeight="1">
      <c r="A180" s="248" t="n">
        <v>7</v>
      </c>
      <c r="B180" s="245" t="n">
        <v>172</v>
      </c>
      <c r="C180" t="inlineStr">
        <is>
          <t>R0222675</t>
        </is>
      </c>
      <c r="D180" t="inlineStr">
        <is>
          <t>37851 E 51ST AVE #E12</t>
        </is>
      </c>
      <c r="E180" t="n">
        <v>328</v>
      </c>
      <c r="F180" t="inlineStr"/>
      <c r="G180" t="inlineStr">
        <is>
          <t>1</t>
        </is>
      </c>
      <c r="H180" s="669">
        <f>Y180/J180</f>
        <v/>
      </c>
      <c r="I180" s="472" t="n">
        <v>45390</v>
      </c>
      <c r="J180" t="n">
        <v>2930</v>
      </c>
      <c r="K180" s="669" t="n"/>
      <c r="L180" t="n">
        <v>2930</v>
      </c>
      <c r="M180" t="n">
        <v>2024</v>
      </c>
      <c r="P180" t="inlineStr"/>
      <c r="R180" t="inlineStr">
        <is>
          <t>Average</t>
        </is>
      </c>
      <c r="S180" t="inlineStr"/>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t="inlineStr">
        <is>
          <t>37851 51ST AVE HANGAR OWNERS ASSOCIATION INC</t>
        </is>
      </c>
      <c r="AF180" t="inlineStr">
        <is>
          <t>MUELLER HANGARS LLC</t>
        </is>
      </c>
      <c r="AI180" s="245">
        <f>UPPER(D180)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P181" t="inlineStr"/>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t="inlineStr">
        <is>
          <t>THE GARAGE SOCIETY HOLDINGS LLC</t>
        </is>
      </c>
      <c r="AF181" t="inlineStr">
        <is>
          <t>MAVES AEDRENA</t>
        </is>
      </c>
      <c r="AI181" s="245">
        <f>UPPER(D181)</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P182" t="inlineStr"/>
      <c r="R182" t="inlineStr">
        <is>
          <t>Average</t>
        </is>
      </c>
      <c r="S182" t="inlineStr"/>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t="inlineStr">
        <is>
          <t>2861 FINANCIAL LLC</t>
        </is>
      </c>
      <c r="AF182" t="inlineStr">
        <is>
          <t>FINAN PROPERTIES LLC</t>
        </is>
      </c>
      <c r="AI182" s="245">
        <f>UPPER(D182)</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t="inlineStr">
        <is>
          <t>1382 BOSTON LLC</t>
        </is>
      </c>
      <c r="AF183" t="inlineStr">
        <is>
          <t>ROTH ERIC</t>
        </is>
      </c>
      <c r="AI183" s="245">
        <f>UPPER(D183)</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t="inlineStr">
        <is>
          <t>BRUNSON REAL ESTATE HOLDINGS LLC</t>
        </is>
      </c>
      <c r="AF184" t="inlineStr">
        <is>
          <t>REAL ESTATE MATTERS CORP</t>
        </is>
      </c>
      <c r="AI184" s="245">
        <f>UPPER(D184)</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t="inlineStr">
        <is>
          <t>BTC VISIONS LLC</t>
        </is>
      </c>
      <c r="AF185" t="inlineStr">
        <is>
          <t>GLOBAL PROPERTIES AND MANAGEMENT LLC</t>
        </is>
      </c>
      <c r="AI185" s="245">
        <f>UPPER(D185)</f>
        <v/>
      </c>
    </row>
    <row r="186" ht="15" customHeight="1">
      <c r="A186" s="248" t="n">
        <v>7</v>
      </c>
      <c r="B186" s="245" t="n">
        <v>178</v>
      </c>
      <c r="C186" t="inlineStr">
        <is>
          <t>R0176439</t>
        </is>
      </c>
      <c r="D186" t="inlineStr">
        <is>
          <t>804 E 78TH AVE</t>
        </is>
      </c>
      <c r="E186" t="n">
        <v>425</v>
      </c>
      <c r="F186" t="inlineStr"/>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t="inlineStr">
        <is>
          <t>BOOMHAUSER EDDIE LLC</t>
        </is>
      </c>
      <c r="AF186" t="inlineStr">
        <is>
          <t>BAHRAINI MOHAMMAD YOUSOF</t>
        </is>
      </c>
      <c r="AI186" s="245">
        <f>UPPER(D186)</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t="inlineStr">
        <is>
          <t>ECE I LLC, ATTN ASSET MANAGER</t>
        </is>
      </c>
      <c r="AF187" t="inlineStr">
        <is>
          <t>KARTER REALTY THORNTON LLC</t>
        </is>
      </c>
      <c r="AI187" s="245">
        <f>UPPER(D187)</f>
        <v/>
      </c>
    </row>
    <row r="188" ht="15" customHeight="1">
      <c r="A188" s="248" t="n">
        <v>7</v>
      </c>
      <c r="B188" s="245" t="n">
        <v>180</v>
      </c>
      <c r="C188" t="inlineStr">
        <is>
          <t>R0103418</t>
        </is>
      </c>
      <c r="D188" t="inlineStr">
        <is>
          <t>5678 PECOS ST</t>
        </is>
      </c>
      <c r="E188" t="n">
        <v>406</v>
      </c>
      <c r="F188" t="inlineStr"/>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t="inlineStr">
        <is>
          <t>BANG ENTERPRIZE INC</t>
        </is>
      </c>
      <c r="AF188" t="inlineStr">
        <is>
          <t>PECOS REAL ESTATE LLC, C/O AUTO CHLOR SYSTEM</t>
        </is>
      </c>
      <c r="AI188" s="245">
        <f>UPPER(D188)</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t="inlineStr">
        <is>
          <t>THEODORA CHECKERS LLC</t>
        </is>
      </c>
      <c r="AF189" t="inlineStr">
        <is>
          <t>MTK MANAGEMENT LLC, LMK MANAGEMENT LLC</t>
        </is>
      </c>
      <c r="AI189" s="245">
        <f>UPPER(D189)</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t="inlineStr">
        <is>
          <t>TRIPLE L PROPERTIES LLC</t>
        </is>
      </c>
      <c r="AF190" t="inlineStr">
        <is>
          <t>THE HOLDING COMPANY LTD</t>
        </is>
      </c>
      <c r="AI190" s="245">
        <f>UPPER(D190)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t="inlineStr">
        <is>
          <t>6195 CLERMONT LLC</t>
        </is>
      </c>
      <c r="AF191" t="inlineStr">
        <is>
          <t>INTERMOUNTAIN ELECTRONICS INC OF PRICE UTAH</t>
        </is>
      </c>
      <c r="AI191" s="245">
        <f>UPPER(D191)</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t="inlineStr">
        <is>
          <t>THE 2023 COUSSAN CRUT 6</t>
        </is>
      </c>
      <c r="AF192" t="inlineStr">
        <is>
          <t>ELZE LLC</t>
        </is>
      </c>
      <c r="AI192" s="245">
        <f>UPPER(D192)</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t="inlineStr">
        <is>
          <t>KONN RICHARD AND , ADINOLFE MICHAEL</t>
        </is>
      </c>
      <c r="AF193" t="inlineStr">
        <is>
          <t>5590 EAST PARTNERS LLC</t>
        </is>
      </c>
      <c r="AI193" s="245">
        <f>UPPER(D193)</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t="inlineStr">
        <is>
          <t>VILLAGE CENTER PARTNERS LLC</t>
        </is>
      </c>
      <c r="AF194" t="inlineStr">
        <is>
          <t>JYS VILLAGE INC</t>
        </is>
      </c>
      <c r="AI194" s="245">
        <f>UPPER(D194)</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t="inlineStr">
        <is>
          <t>AMERICAN LAND CRUISERS INC</t>
        </is>
      </c>
      <c r="AF195" t="inlineStr">
        <is>
          <t>WIDHALM PROPERTIES LLC</t>
        </is>
      </c>
      <c r="AI195" s="245">
        <f>UPPER(D195)</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t="inlineStr">
        <is>
          <t>MARTINEZ ORLANDO UND 80% INT AND, MUNOZ LUIS UND 20% INT</t>
        </is>
      </c>
      <c r="AF196" t="inlineStr">
        <is>
          <t>DURAN GUILLEN FABIOLA</t>
        </is>
      </c>
      <c r="AI196" s="245">
        <f>UPPER(D196)</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t="inlineStr">
        <is>
          <t>BEFORT PLUMBING AND HEATING COMPANY INC</t>
        </is>
      </c>
      <c r="AF197" t="inlineStr">
        <is>
          <t>DE HARO MARIA M.</t>
        </is>
      </c>
      <c r="AI197" s="245">
        <f>UPPER(D197)</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t="inlineStr">
        <is>
          <t>WEPRIN PROPERTIES LLC</t>
        </is>
      </c>
      <c r="AF198" t="inlineStr">
        <is>
          <t>8879 FOX DRIVE LLC</t>
        </is>
      </c>
      <c r="AI198" s="245">
        <f>UPPER(D198)</f>
        <v/>
      </c>
    </row>
    <row r="199" ht="15" customHeight="1">
      <c r="A199" s="248" t="n">
        <v>7</v>
      </c>
      <c r="B199" s="245" t="n">
        <v>191</v>
      </c>
      <c r="C199" t="inlineStr">
        <is>
          <t>R0129930</t>
        </is>
      </c>
      <c r="D199" t="inlineStr">
        <is>
          <t>37550 ASTRA WAY #3E</t>
        </is>
      </c>
      <c r="E199" t="n">
        <v>328</v>
      </c>
      <c r="F199" t="inlineStr"/>
      <c r="G199" t="inlineStr">
        <is>
          <t>1</t>
        </is>
      </c>
      <c r="H199" s="669">
        <f>Y199/J199</f>
        <v/>
      </c>
      <c r="I199" s="472" t="n">
        <v>45191</v>
      </c>
      <c r="J199" t="n">
        <v>2900</v>
      </c>
      <c r="K199" s="669" t="n"/>
      <c r="L199" t="n">
        <v>2900</v>
      </c>
      <c r="M199" t="n">
        <v>2000</v>
      </c>
      <c r="P199" t="inlineStr"/>
      <c r="R199" t="inlineStr">
        <is>
          <t>Average</t>
        </is>
      </c>
      <c r="S199" t="inlineStr"/>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t="inlineStr">
        <is>
          <t>GUSTTE PHILIP O AND, GUSTTE TIFFANY A</t>
        </is>
      </c>
      <c r="AF199" t="inlineStr">
        <is>
          <t>BECK KEN AND, BECK ADRIENNE</t>
        </is>
      </c>
      <c r="AI199" s="245">
        <f>UPPER(D199)</f>
        <v/>
      </c>
    </row>
    <row r="200" ht="15" customHeight="1">
      <c r="A200" s="248" t="n">
        <v>7</v>
      </c>
      <c r="B200" s="245" t="n">
        <v>192</v>
      </c>
      <c r="C200" t="inlineStr">
        <is>
          <t>R0178958</t>
        </is>
      </c>
      <c r="D200" t="inlineStr">
        <is>
          <t>37650 ASTRA WAY</t>
        </is>
      </c>
      <c r="E200" t="n">
        <v>328</v>
      </c>
      <c r="F200" t="inlineStr"/>
      <c r="G200" t="inlineStr">
        <is>
          <t>1</t>
        </is>
      </c>
      <c r="H200" s="669">
        <f>Y200/J200</f>
        <v/>
      </c>
      <c r="I200" s="472" t="n">
        <v>44854</v>
      </c>
      <c r="J200" t="n">
        <v>4900</v>
      </c>
      <c r="K200" s="669" t="n"/>
      <c r="L200" t="n">
        <v>4900</v>
      </c>
      <c r="M200" t="n">
        <v>1997</v>
      </c>
      <c r="P200" t="inlineStr"/>
      <c r="R200" t="inlineStr">
        <is>
          <t>Average</t>
        </is>
      </c>
      <c r="S200" t="inlineStr"/>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t="inlineStr">
        <is>
          <t>END-IRA INC FBO RODNEY W LUECK IRA</t>
        </is>
      </c>
      <c r="AF200" t="inlineStr">
        <is>
          <t>RANDEL VERNON E AND, RANDEL CHERYL V</t>
        </is>
      </c>
      <c r="AI200" s="245">
        <f>UPPER(D200)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t="inlineStr">
        <is>
          <t>RRS HOLDINGS LLC</t>
        </is>
      </c>
      <c r="AF201" t="inlineStr">
        <is>
          <t>FOXFIELD GEARS HOLDINGS LLC</t>
        </is>
      </c>
      <c r="AI201" s="245">
        <f>UPPER(D201)</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P202" t="inlineStr"/>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t="inlineStr">
        <is>
          <t>41581 NORTHGLENN CO LLC</t>
        </is>
      </c>
      <c r="AF202" t="inlineStr">
        <is>
          <t>WPMO INVESTMENTS LLC</t>
        </is>
      </c>
      <c r="AI202" s="245">
        <f>UPPER(D202)</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P203" t="inlineStr"/>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t="inlineStr">
        <is>
          <t>NORTH DENVER MOB LLC</t>
        </is>
      </c>
      <c r="AF203" t="inlineStr">
        <is>
          <t>WESTMINSTER 14190 MP RK6 LLC, C/O REMEDY MEDICAL PROPERTIES</t>
        </is>
      </c>
      <c r="AI203" s="245">
        <f>UPPER(D203)</f>
        <v/>
      </c>
    </row>
    <row r="204" ht="15" customHeight="1">
      <c r="A204" s="248" t="n">
        <v>7</v>
      </c>
      <c r="B204" s="245" t="n">
        <v>196</v>
      </c>
      <c r="C204" t="inlineStr">
        <is>
          <t>R0208788</t>
        </is>
      </c>
      <c r="D204" t="inlineStr">
        <is>
          <t>5140 VIOLET HILL ST #S2</t>
        </is>
      </c>
      <c r="E204" t="n">
        <v>328</v>
      </c>
      <c r="F204" t="inlineStr"/>
      <c r="G204" t="inlineStr">
        <is>
          <t>1</t>
        </is>
      </c>
      <c r="H204" s="669">
        <f>Y204/J204</f>
        <v/>
      </c>
      <c r="I204" s="472" t="n">
        <v>45107</v>
      </c>
      <c r="J204" t="n">
        <v>2465</v>
      </c>
      <c r="K204" s="669" t="n"/>
      <c r="L204" t="n">
        <v>2465</v>
      </c>
      <c r="M204" t="inlineStr"/>
      <c r="P204" t="inlineStr"/>
      <c r="R204" t="inlineStr">
        <is>
          <t>Average</t>
        </is>
      </c>
      <c r="S204" t="inlineStr"/>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t="inlineStr">
        <is>
          <t>TBM 03X LLC</t>
        </is>
      </c>
      <c r="AF204" t="inlineStr">
        <is>
          <t>WINDERMERE PROPERTIES LLC</t>
        </is>
      </c>
      <c r="AI204" s="245">
        <f>UPPER(D204)</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P205" t="inlineStr"/>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t="inlineStr">
        <is>
          <t>THE GARAGE SOCIETY HOLDINGS LLC</t>
        </is>
      </c>
      <c r="AF205" t="inlineStr">
        <is>
          <t>O'HARA SEAN M AND, O'HARA STEPHANIE H</t>
        </is>
      </c>
      <c r="AI205" s="245">
        <f>UPPER(D205)</f>
        <v/>
      </c>
    </row>
    <row r="206" ht="15" customHeight="1">
      <c r="A206" s="248" t="n">
        <v>7</v>
      </c>
      <c r="B206" s="245" t="n">
        <v>198</v>
      </c>
      <c r="C206" t="inlineStr">
        <is>
          <t>R0222671</t>
        </is>
      </c>
      <c r="D206" t="inlineStr">
        <is>
          <t>37851 E 51ST AVE #W5</t>
        </is>
      </c>
      <c r="E206" t="n">
        <v>328</v>
      </c>
      <c r="F206" t="inlineStr"/>
      <c r="G206" t="inlineStr">
        <is>
          <t>1</t>
        </is>
      </c>
      <c r="H206" s="669">
        <f>Y206/J206</f>
        <v/>
      </c>
      <c r="I206" s="472" t="n">
        <v>45390</v>
      </c>
      <c r="J206" t="n">
        <v>2930</v>
      </c>
      <c r="K206" s="669" t="n"/>
      <c r="L206" t="n">
        <v>2930</v>
      </c>
      <c r="M206" t="n">
        <v>2024</v>
      </c>
      <c r="P206" t="inlineStr"/>
      <c r="R206" t="inlineStr">
        <is>
          <t>Average</t>
        </is>
      </c>
      <c r="S206" t="inlineStr"/>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t="inlineStr">
        <is>
          <t>37851 51ST AVE HANGAR OWNERS ASSOCIATION INC</t>
        </is>
      </c>
      <c r="AF206" t="inlineStr">
        <is>
          <t>SPIRIT LIFE INC</t>
        </is>
      </c>
      <c r="AI206" s="245">
        <f>UPPER(D206)</f>
        <v/>
      </c>
    </row>
    <row r="207" ht="15" customHeight="1">
      <c r="A207" s="248" t="n">
        <v>7</v>
      </c>
      <c r="B207" s="245" t="n">
        <v>199</v>
      </c>
      <c r="C207" t="inlineStr">
        <is>
          <t>R0222672</t>
        </is>
      </c>
      <c r="D207" t="inlineStr">
        <is>
          <t>37851 E 51ST AVE #W7</t>
        </is>
      </c>
      <c r="E207" t="n">
        <v>328</v>
      </c>
      <c r="F207" t="inlineStr"/>
      <c r="G207" t="inlineStr">
        <is>
          <t>1</t>
        </is>
      </c>
      <c r="H207" s="669">
        <f>Y207/J207</f>
        <v/>
      </c>
      <c r="I207" s="472" t="n">
        <v>45390</v>
      </c>
      <c r="J207" t="n">
        <v>2930</v>
      </c>
      <c r="K207" s="669" t="n"/>
      <c r="L207" t="n">
        <v>2930</v>
      </c>
      <c r="M207" t="n">
        <v>2024</v>
      </c>
      <c r="P207" t="inlineStr"/>
      <c r="R207" t="inlineStr">
        <is>
          <t>Average</t>
        </is>
      </c>
      <c r="S207" t="inlineStr"/>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t="inlineStr">
        <is>
          <t>37851 51ST AVE HANGAR OWNERS ASSOCIATION INC</t>
        </is>
      </c>
      <c r="AF207" t="inlineStr">
        <is>
          <t>KODIAK BRANDS INC</t>
        </is>
      </c>
      <c r="AI207" s="245">
        <f>UPPER(D207)</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t="inlineStr">
        <is>
          <t>JOSHNIK CO LLLP</t>
        </is>
      </c>
      <c r="AF208" t="inlineStr">
        <is>
          <t>OCHOA RUBIO LUIS AND, OCHOA JOSE LUIS AND RUBIO MARIO D</t>
        </is>
      </c>
      <c r="AI208" s="245">
        <f>UPPER(D208)</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P209" t="inlineStr"/>
      <c r="R209" t="inlineStr">
        <is>
          <t>Average</t>
        </is>
      </c>
      <c r="S209" t="n">
        <v>58678</v>
      </c>
      <c r="T209" s="469">
        <f>S209/L209</f>
        <v/>
      </c>
      <c r="U209" t="inlineStr">
        <is>
          <t>Average</t>
        </is>
      </c>
      <c r="Y209" s="671" t="n">
        <v>997526</v>
      </c>
      <c r="AA209" s="671" t="n">
        <v>997526</v>
      </c>
      <c r="AC209" t="inlineStr">
        <is>
          <t>0181534303001</t>
        </is>
      </c>
      <c r="AD209" t="inlineStr">
        <is>
          <t>2022000064811</t>
        </is>
      </c>
      <c r="AE209" t="inlineStr">
        <is>
          <t>GAYESKI CAPITAL EQUITIES LLC</t>
        </is>
      </c>
      <c r="AF209" t="inlineStr">
        <is>
          <t>MMCG TNET COLORADO LLC</t>
        </is>
      </c>
      <c r="AI209" s="245">
        <f>UPPER(D209)</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t="inlineStr">
        <is>
          <t>MCCALLIN REAL ESTATE LLC</t>
        </is>
      </c>
      <c r="AF210" t="inlineStr">
        <is>
          <t>6195 CLERMONT LLC</t>
        </is>
      </c>
      <c r="AI210" s="245">
        <f>UPPER(D210)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t="inlineStr">
        <is>
          <t>GORDON GROUP INVESTMENTS LLC</t>
        </is>
      </c>
      <c r="AF211" t="inlineStr">
        <is>
          <t>49 SOUTH THIRD AVE LLC</t>
        </is>
      </c>
      <c r="AI211" s="245">
        <f>UPPER(D211)</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t="inlineStr">
        <is>
          <t>WALGREEN CO</t>
        </is>
      </c>
      <c r="AF212" t="inlineStr">
        <is>
          <t>CP THUNDER FS LLC</t>
        </is>
      </c>
      <c r="AI212" s="245">
        <f>UPPER(D212)</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t="inlineStr">
        <is>
          <t>RC COLORADO ENTERPRISES LLC</t>
        </is>
      </c>
      <c r="AF213" t="inlineStr">
        <is>
          <t>NG21 LP</t>
        </is>
      </c>
      <c r="AI213" s="245">
        <f>UPPER(D213)</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t="inlineStr">
        <is>
          <t>HD ALAMEDA LLC</t>
        </is>
      </c>
      <c r="AF214" t="inlineStr">
        <is>
          <t>1257 120TH RE LLC</t>
        </is>
      </c>
      <c r="AI214" s="245">
        <f>UPPER(D214)</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t="inlineStr">
        <is>
          <t>HD ALAMEDA LLC</t>
        </is>
      </c>
      <c r="AF215" t="inlineStr">
        <is>
          <t>1257 120TH RE LLC</t>
        </is>
      </c>
      <c r="AI215" s="245">
        <f>UPPER(D215)</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t="inlineStr">
        <is>
          <t>GROWEST PROPERTIES LLC</t>
        </is>
      </c>
      <c r="AF216" t="inlineStr">
        <is>
          <t>DHK ENTERPRISES LLC</t>
        </is>
      </c>
      <c r="AI216" s="245">
        <f>UPPER(D216)</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t="inlineStr">
        <is>
          <t>NAN ZHI ZHONG</t>
        </is>
      </c>
      <c r="AF217" t="inlineStr">
        <is>
          <t>NANS RESTAURANT LLC</t>
        </is>
      </c>
      <c r="AI217" s="245">
        <f>UPPER(D217)</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t="inlineStr">
        <is>
          <t>ASTRO REALTY LLC</t>
        </is>
      </c>
      <c r="AF218" t="inlineStr">
        <is>
          <t>DEEMS LEGACY LLC</t>
        </is>
      </c>
      <c r="AI218" s="245">
        <f>UPPER(D218)</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t="inlineStr">
        <is>
          <t>WILLOW RUN INVESTORS LLC</t>
        </is>
      </c>
      <c r="AF219" t="inlineStr">
        <is>
          <t xml:space="preserve">PNW INVESTMENTS LLC, CPP 12FIVE INVESTMENTS LLC, </t>
        </is>
      </c>
      <c r="AI219" s="245">
        <f>UPPER(D219)</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t="inlineStr">
        <is>
          <t>HIGHLAND PROPERTIES 1222 LLC</t>
        </is>
      </c>
      <c r="AF220" t="inlineStr">
        <is>
          <t>PAVCO GROUP LLC</t>
        </is>
      </c>
      <c r="AI220" s="245">
        <f>UPPER(D220)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t="inlineStr">
        <is>
          <t>MIDWEST BUILDING PROFESSIONALS LLC</t>
        </is>
      </c>
      <c r="AF221" t="inlineStr">
        <is>
          <t>WORD ALIVE CHURCH</t>
        </is>
      </c>
      <c r="AI221" s="245">
        <f>UPPER(D221)</f>
        <v/>
      </c>
    </row>
    <row r="222" ht="15" customHeight="1">
      <c r="A222" s="248" t="n">
        <v>7</v>
      </c>
      <c r="B222" s="245" t="n">
        <v>214</v>
      </c>
      <c r="C222" t="inlineStr">
        <is>
          <t>R0121751</t>
        </is>
      </c>
      <c r="D222" t="inlineStr">
        <is>
          <t>605 W 62ND AVE</t>
        </is>
      </c>
      <c r="E222" t="n">
        <v>325</v>
      </c>
      <c r="F222" t="inlineStr"/>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t="inlineStr">
        <is>
          <t>WEST 62ND AVE LLC, GRAND JUNCTION VENTURE LLC</t>
        </is>
      </c>
      <c r="AF222" t="inlineStr">
        <is>
          <t>IOS-PVB-605 WEST 62ND AVENUE LLC</t>
        </is>
      </c>
      <c r="AI222" s="245">
        <f>UPPER(D222)</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M223" t="inlineStr"/>
      <c r="P223" t="inlineStr"/>
      <c r="R223" t="inlineStr"/>
      <c r="S223" t="n">
        <v>58375</v>
      </c>
      <c r="T223" s="469">
        <f>S223/L223</f>
        <v/>
      </c>
      <c r="U223" t="inlineStr"/>
      <c r="Y223" s="671" t="n">
        <v>1900000</v>
      </c>
      <c r="AA223" s="671" t="n">
        <v>1900000</v>
      </c>
      <c r="AC223" t="inlineStr">
        <is>
          <t>0157129113122</t>
        </is>
      </c>
      <c r="AD223" t="inlineStr">
        <is>
          <t>2022000096279</t>
        </is>
      </c>
      <c r="AE223" t="inlineStr">
        <is>
          <t>STRATUS AMBER CREEK LLC</t>
        </is>
      </c>
      <c r="AF223" t="inlineStr">
        <is>
          <t>BANK OF AMERICA NATIONAL ASSOCIATION</t>
        </is>
      </c>
      <c r="AI223" s="245">
        <f>UPPER(D223)</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M224" t="inlineStr"/>
      <c r="P224" t="inlineStr"/>
      <c r="R224" t="inlineStr"/>
      <c r="S224" t="n">
        <v>482743</v>
      </c>
      <c r="T224" s="469">
        <f>S224/L224</f>
        <v/>
      </c>
      <c r="U224" t="inlineStr"/>
      <c r="Y224" s="671" t="n">
        <v>1416667</v>
      </c>
      <c r="AA224" s="671" t="n">
        <v>1416667</v>
      </c>
      <c r="AC224" t="inlineStr">
        <is>
          <t>0182132414001</t>
        </is>
      </c>
      <c r="AD224" t="inlineStr">
        <is>
          <t>2022000097611</t>
        </is>
      </c>
      <c r="AE224" t="inlineStr">
        <is>
          <t>QUIKTRIP CORPORATION</t>
        </is>
      </c>
      <c r="AF224" t="inlineStr">
        <is>
          <t>ROERS AURORA APARTMENTS OWNER LLC</t>
        </is>
      </c>
      <c r="AI224" s="245">
        <f>UPPER(D224)</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t="inlineStr">
        <is>
          <t xml:space="preserve">GOLDEN HILLS LLC AND , REAL PROPERTY ACQUISITIONS INITIATIVES LLC </t>
        </is>
      </c>
      <c r="AF225" t="inlineStr">
        <is>
          <t>HUMPTY DUMP ROLL OFF SERVICES LLC</t>
        </is>
      </c>
      <c r="AI225" s="245">
        <f>UPPER(D225)</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t="inlineStr">
        <is>
          <t>STEWART DON W LIVING TRUST 1/2 INT, STEWART DON W MARITAL TRUST 1/2 INT</t>
        </is>
      </c>
      <c r="AF226" t="inlineStr">
        <is>
          <t>JOHNS ERIC</t>
        </is>
      </c>
      <c r="AI226" s="245">
        <f>UPPER(D226)</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t="inlineStr">
        <is>
          <t>STEWART DON W LIVING TRUST 1/2 INT, STEWART DON W MARITAL TRUST 1/2 INT</t>
        </is>
      </c>
      <c r="AF227" t="inlineStr">
        <is>
          <t>JOHNS ERIC</t>
        </is>
      </c>
      <c r="AI227" s="245">
        <f>UPPER(D227)</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t="inlineStr">
        <is>
          <t>MATHEWS FAMILY LLC</t>
        </is>
      </c>
      <c r="AF228" t="inlineStr">
        <is>
          <t>MARK VII EQUIPMENT INC</t>
        </is>
      </c>
      <c r="AI228" s="245">
        <f>UPPER(D228)</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t="inlineStr">
        <is>
          <t>MATHEWS FAMILY LLC</t>
        </is>
      </c>
      <c r="AF229" t="inlineStr">
        <is>
          <t>MARK VII EQUIPMENT INC</t>
        </is>
      </c>
      <c r="AI229" s="245">
        <f>UPPER(D229)</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t="inlineStr">
        <is>
          <t>COOK LISA AND DANSKY VICKI AND , PERLMUTTER JAY AND PERLMUTTER JONATHAN ET AL</t>
        </is>
      </c>
      <c r="AF230" t="inlineStr">
        <is>
          <t>NORTHGLENN URBAN RENEWAL AUTHORITY</t>
        </is>
      </c>
      <c r="AI230" s="245">
        <f>UPPER(D230)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t="inlineStr">
        <is>
          <t>COOK LISA AND DANSKY VICKI AND , PERLMUTTER JAY AND PERLMUTTER JONATHAN ET AL</t>
        </is>
      </c>
      <c r="AF231" t="inlineStr">
        <is>
          <t>NORTHGLENN URBAN RENEWAL AUTHORITY</t>
        </is>
      </c>
      <c r="AI231" s="245">
        <f>UPPER(D231)</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t="inlineStr">
        <is>
          <t>UTAH WOOD PRESERVING CO</t>
        </is>
      </c>
      <c r="AF232" t="inlineStr">
        <is>
          <t>WOOD CROSS LLC</t>
        </is>
      </c>
      <c r="AI232" s="245">
        <f>UPPER(D232)</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P233" t="inlineStr"/>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t="inlineStr">
        <is>
          <t>SCANNELL PROPERTIES #505 LLC</t>
        </is>
      </c>
      <c r="AF233" t="inlineStr">
        <is>
          <t>SFG AURORA CO LLC</t>
        </is>
      </c>
      <c r="AI233" s="245">
        <f>UPPER(D233)</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M234" t="inlineStr"/>
      <c r="P234" t="inlineStr"/>
      <c r="R234" t="inlineStr"/>
      <c r="S234" t="n">
        <v>377460</v>
      </c>
      <c r="T234" s="469">
        <f>S234/L234</f>
        <v/>
      </c>
      <c r="U234" t="inlineStr"/>
      <c r="Y234" s="671" t="n">
        <v>21000000</v>
      </c>
      <c r="AA234" s="671" t="n">
        <v>21000000</v>
      </c>
      <c r="AC234" t="inlineStr">
        <is>
          <t>0172121102016</t>
        </is>
      </c>
      <c r="AD234" t="inlineStr">
        <is>
          <t>2023000008265</t>
        </is>
      </c>
      <c r="AE234" t="inlineStr">
        <is>
          <t>IOV 8780 93RD PLACE LLC</t>
        </is>
      </c>
      <c r="AF234" t="inlineStr">
        <is>
          <t>UMDASCH REAL ESTATE USA LTD</t>
        </is>
      </c>
      <c r="AI234" s="245">
        <f>UPPER(D234)</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M235" t="inlineStr"/>
      <c r="P235" t="inlineStr"/>
      <c r="R235" t="inlineStr"/>
      <c r="S235" t="n">
        <v>25512</v>
      </c>
      <c r="T235" s="469">
        <f>S235/L235</f>
        <v/>
      </c>
      <c r="U235" t="inlineStr"/>
      <c r="Y235" s="671" t="n">
        <v>1758844</v>
      </c>
      <c r="AA235" s="671" t="n">
        <v>1758844</v>
      </c>
      <c r="AC235" t="inlineStr">
        <is>
          <t>0157129113126</t>
        </is>
      </c>
      <c r="AD235" t="inlineStr">
        <is>
          <t>2023000010732</t>
        </is>
      </c>
      <c r="AE235" t="inlineStr">
        <is>
          <t>STRATUS AMBER CREEK LLC</t>
        </is>
      </c>
      <c r="AF235" t="inlineStr">
        <is>
          <t>WDG AMBER CREEK LLC</t>
        </is>
      </c>
      <c r="AI235" s="245">
        <f>UPPER(D235)</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t="inlineStr">
        <is>
          <t>PONY EXPRESS MINI STORAGE II LLC</t>
        </is>
      </c>
      <c r="AF236" t="inlineStr">
        <is>
          <t>GC MP BRIGHTON LLC</t>
        </is>
      </c>
      <c r="AI236" s="245">
        <f>UPPER(D236)</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t="inlineStr">
        <is>
          <t>SHELL LLC</t>
        </is>
      </c>
      <c r="AF237" t="inlineStr">
        <is>
          <t>ROTH ERIC</t>
        </is>
      </c>
      <c r="AI237" s="245">
        <f>UPPER(D237)</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t="inlineStr">
        <is>
          <t>ARCP WY WESTMINSTER CO LLC, C/O RYAN LLC-PTS</t>
        </is>
      </c>
      <c r="AF238" t="inlineStr">
        <is>
          <t>MDC COAST 29 LLC</t>
        </is>
      </c>
      <c r="AI238" s="245">
        <f>UPPER(D238)</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t="inlineStr">
        <is>
          <t>HAN CHUN INC</t>
        </is>
      </c>
      <c r="AF239" t="inlineStr">
        <is>
          <t>BRIGHTON ROAD HOTEL LLC</t>
        </is>
      </c>
      <c r="AI239" s="245">
        <f>UPPER(D239)</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P240" t="inlineStr"/>
      <c r="R240" t="inlineStr">
        <is>
          <t>Average</t>
        </is>
      </c>
      <c r="S240" t="n">
        <v>43050</v>
      </c>
      <c r="T240" s="469">
        <f>S240/L240</f>
        <v/>
      </c>
      <c r="U240" t="inlineStr">
        <is>
          <t>Average</t>
        </is>
      </c>
      <c r="Y240" s="671" t="n">
        <v>2482700</v>
      </c>
      <c r="AA240" s="671" t="n">
        <v>2482700</v>
      </c>
      <c r="AC240" t="inlineStr">
        <is>
          <t>0181528401016</t>
        </is>
      </c>
      <c r="AD240" t="inlineStr">
        <is>
          <t>2023000018989</t>
        </is>
      </c>
      <c r="AE240" t="inlineStr">
        <is>
          <t>BENNETT CO DG LLC</t>
        </is>
      </c>
      <c r="AF240" t="inlineStr">
        <is>
          <t>58TH LANE LLC AND, LOMA ALTA COMMONS LLC</t>
        </is>
      </c>
      <c r="AI240" s="245">
        <f>UPPER(D240)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t="inlineStr">
        <is>
          <t>DANKO-HOLLOWAY LLC</t>
        </is>
      </c>
      <c r="AF241" t="inlineStr">
        <is>
          <t>SALGADO RETANA MOISES AND, SALGADO RETANA MIRIAM</t>
        </is>
      </c>
      <c r="AI241" s="245">
        <f>UPPER(D241)</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t="inlineStr">
        <is>
          <t>WA WOOD SHOP LLC</t>
        </is>
      </c>
      <c r="AF242" t="inlineStr">
        <is>
          <t>MDSK HOLDINGS LLC</t>
        </is>
      </c>
      <c r="AI242" s="245">
        <f>UPPER(D242)</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t="inlineStr">
        <is>
          <t>WA WOOD SHOP LLC</t>
        </is>
      </c>
      <c r="AF243" t="inlineStr">
        <is>
          <t>MDSK HOLDINGS LLC</t>
        </is>
      </c>
      <c r="AI243" s="245">
        <f>UPPER(D243)</f>
        <v/>
      </c>
    </row>
    <row r="244" ht="15" customHeight="1">
      <c r="A244" s="248" t="n">
        <v>7</v>
      </c>
      <c r="B244" s="245" t="n">
        <v>236</v>
      </c>
      <c r="C244" t="inlineStr">
        <is>
          <t>R0202445</t>
        </is>
      </c>
      <c r="D244" t="inlineStr">
        <is>
          <t>1210 E 73RD AVE</t>
        </is>
      </c>
      <c r="E244" t="n">
        <v>407</v>
      </c>
      <c r="F244" t="inlineStr"/>
      <c r="G244" t="inlineStr">
        <is>
          <t>5</t>
        </is>
      </c>
      <c r="H244" s="669">
        <f>Y244/J244</f>
        <v/>
      </c>
      <c r="I244" s="472" t="n">
        <v>45055</v>
      </c>
      <c r="J244" t="n">
        <v>41280</v>
      </c>
      <c r="L244" t="n">
        <v>41280</v>
      </c>
      <c r="M244" t="n">
        <v>2020</v>
      </c>
      <c r="P244" t="inlineStr"/>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t="inlineStr">
        <is>
          <t>CENTRAL CONNECTION LLC</t>
        </is>
      </c>
      <c r="AF244" t="inlineStr">
        <is>
          <t>GFP CL DENVER 1210 + 1550 LLC AND, C/O EVERWEST ADVISORS LLC</t>
        </is>
      </c>
      <c r="AI244" s="245">
        <f>UPPER(D244)</f>
        <v/>
      </c>
    </row>
    <row r="245" ht="15" customHeight="1">
      <c r="A245" s="248" t="n">
        <v>7</v>
      </c>
      <c r="B245" s="245" t="n">
        <v>237</v>
      </c>
      <c r="C245" t="inlineStr">
        <is>
          <t>R0201981</t>
        </is>
      </c>
      <c r="D245" t="inlineStr">
        <is>
          <t>1550 E 73RD AVE</t>
        </is>
      </c>
      <c r="E245" t="n">
        <v>407</v>
      </c>
      <c r="F245" t="inlineStr"/>
      <c r="G245" t="inlineStr">
        <is>
          <t>5</t>
        </is>
      </c>
      <c r="H245" s="669">
        <f>Y245/J245</f>
        <v/>
      </c>
      <c r="I245" s="472" t="n">
        <v>45055</v>
      </c>
      <c r="J245" t="n">
        <v>153300</v>
      </c>
      <c r="L245" t="n">
        <v>153300</v>
      </c>
      <c r="M245" t="n">
        <v>2020</v>
      </c>
      <c r="P245" t="inlineStr"/>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t="inlineStr">
        <is>
          <t>CENTRAL CONNECTION LLC</t>
        </is>
      </c>
      <c r="AF245" t="inlineStr">
        <is>
          <t>GFP CL DENVER 1210 + 1550 LLC AND, C/O EVERWEST ADVISORS LLC</t>
        </is>
      </c>
      <c r="AI245" s="245">
        <f>UPPER(D245)</f>
        <v/>
      </c>
    </row>
    <row r="246" ht="15" customHeight="1">
      <c r="A246" s="248" t="n">
        <v>7</v>
      </c>
      <c r="B246" s="245" t="n">
        <v>238</v>
      </c>
      <c r="C246" t="inlineStr">
        <is>
          <t>R0099664</t>
        </is>
      </c>
      <c r="D246" t="inlineStr">
        <is>
          <t>6990  FEDERAL BLVD</t>
        </is>
      </c>
      <c r="E246" t="n">
        <v>353</v>
      </c>
      <c r="F246" t="inlineStr"/>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t="inlineStr">
        <is>
          <t>6990 FEDERAL BLVD LLC</t>
        </is>
      </c>
      <c r="AF246" t="inlineStr">
        <is>
          <t>DENVER FOOD &amp; GAS LLC</t>
        </is>
      </c>
      <c r="AI246" s="245">
        <f>UPPER(D246)</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t="inlineStr">
        <is>
          <t>BLANCO PROPERTIES IRMA LLC</t>
        </is>
      </c>
      <c r="AF247" t="inlineStr">
        <is>
          <t>METROPOLITAN DENVER NORTH ISLAMIC CENTER</t>
        </is>
      </c>
      <c r="AI247" s="245">
        <f>UPPER(D247)</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t="inlineStr">
        <is>
          <t>SERITAGE KMT FINANCE LLC</t>
        </is>
      </c>
      <c r="AF248" t="inlineStr">
        <is>
          <t>COLORADO RETAIL STORES LLC</t>
        </is>
      </c>
      <c r="AI248" s="245">
        <f>UPPER(D248)</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P249" t="inlineStr"/>
      <c r="R249" t="inlineStr">
        <is>
          <t>Average</t>
        </is>
      </c>
      <c r="S249" t="inlineStr"/>
      <c r="T249" s="469">
        <f>S249/L249</f>
        <v/>
      </c>
      <c r="U249" t="inlineStr">
        <is>
          <t>Average</t>
        </is>
      </c>
      <c r="Y249" s="671" t="n">
        <v>1000000</v>
      </c>
      <c r="AA249" s="671" t="n">
        <v>1000000</v>
      </c>
      <c r="AC249" t="inlineStr">
        <is>
          <t>0171920218050</t>
        </is>
      </c>
      <c r="AD249" t="inlineStr">
        <is>
          <t>2023000037451</t>
        </is>
      </c>
      <c r="AE249" t="inlineStr">
        <is>
          <t>QCSIF SIX LLC, C/O IEQ MANAGEMENT INC</t>
        </is>
      </c>
      <c r="AF249" t="inlineStr">
        <is>
          <t>9201 FEDERAL LLC</t>
        </is>
      </c>
      <c r="AI249" s="245">
        <f>UPPER(D249)</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t="inlineStr">
        <is>
          <t>OVERLAND LEASING LLC</t>
        </is>
      </c>
      <c r="AF250" t="inlineStr">
        <is>
          <t>OLD DOMINION FREIGHT LINE INC</t>
        </is>
      </c>
      <c r="AI250" s="245">
        <f>UPPER(D250)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t="inlineStr">
        <is>
          <t>JOYCE JOHN</t>
        </is>
      </c>
      <c r="AF251" t="inlineStr">
        <is>
          <t>KURTEX INC</t>
        </is>
      </c>
      <c r="AI251" s="245">
        <f>UPPER(D251)</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t="inlineStr">
        <is>
          <t>JOYCE JOHN</t>
        </is>
      </c>
      <c r="AF252" t="inlineStr">
        <is>
          <t>KURTEX INC</t>
        </is>
      </c>
      <c r="AI252" s="245">
        <f>UPPER(D252)</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M253" t="inlineStr"/>
      <c r="P253" t="inlineStr"/>
      <c r="R253" t="inlineStr"/>
      <c r="S253" t="n">
        <v>479913</v>
      </c>
      <c r="T253" s="469">
        <f>S253/L253</f>
        <v/>
      </c>
      <c r="U253" t="inlineStr"/>
      <c r="Y253" s="671" t="n">
        <v>2740300</v>
      </c>
      <c r="AA253" s="671" t="n">
        <v>2740300</v>
      </c>
      <c r="AC253" t="inlineStr">
        <is>
          <t>0171904408004</t>
        </is>
      </c>
      <c r="AD253" t="inlineStr">
        <is>
          <t>2023000047095</t>
        </is>
      </c>
      <c r="AE253" t="inlineStr">
        <is>
          <t>TRI-STATE GENERATION AND, TRANSMISSION ASSOCIATION INC</t>
        </is>
      </c>
      <c r="AF253" t="inlineStr">
        <is>
          <t>ACADIA - SCL HEALTH JV LLC, C/O ACADIA HEALTHCARAE COMPANY INC</t>
        </is>
      </c>
      <c r="AI253" s="245">
        <f>UPPER(D253)</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t="inlineStr">
        <is>
          <t>VANDEWEGHE BEVERLY LIVING TRUST THE</t>
        </is>
      </c>
      <c r="AF254" t="inlineStr">
        <is>
          <t>MUNOZ ROGELIO AND, MUNOZ ALICIA</t>
        </is>
      </c>
      <c r="AI254" s="245">
        <f>UPPER(D254)</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t="inlineStr">
        <is>
          <t>EXPLORER BRADBURN PROPERTY LLC</t>
        </is>
      </c>
      <c r="AF255" t="inlineStr">
        <is>
          <t>MANIHANI MOHINDER AND, SINGH RAVINDER</t>
        </is>
      </c>
      <c r="AI255" s="245">
        <f>UPPER(D255)</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t="inlineStr">
        <is>
          <t>GDG LLC</t>
        </is>
      </c>
      <c r="AF256" t="inlineStr">
        <is>
          <t>ATA BRIDGE HOLDINGS LLC</t>
        </is>
      </c>
      <c r="AI256" s="245">
        <f>UPPER(D256)</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t="inlineStr">
        <is>
          <t>KH CARWASH LLC</t>
        </is>
      </c>
      <c r="AF257" t="inlineStr">
        <is>
          <t>YATES ENTERPRISES LLC</t>
        </is>
      </c>
      <c r="AI257" s="245">
        <f>UPPER(D257)</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t="inlineStr">
        <is>
          <t>HG FIRST VENTURE LLC</t>
        </is>
      </c>
      <c r="AF258" t="inlineStr">
        <is>
          <t>HANLON BUSH INVESTMENTS LLC, C/O TONY HANLON</t>
        </is>
      </c>
      <c r="AI258" s="245">
        <f>UPPER(D258)</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t="inlineStr">
        <is>
          <t>DETRO NADINE L</t>
        </is>
      </c>
      <c r="AF259" t="inlineStr">
        <is>
          <t>MHA INVESTMENTS LLC</t>
        </is>
      </c>
      <c r="AI259" s="245">
        <f>UPPER(D259)</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t="inlineStr">
        <is>
          <t>DETRO NADINE L</t>
        </is>
      </c>
      <c r="AF260" t="inlineStr">
        <is>
          <t>MHA INVESTMENTS LLC</t>
        </is>
      </c>
      <c r="AI260" s="245">
        <f>UPPER(D260)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t="inlineStr">
        <is>
          <t>ETS FAMILY HOLDINGS LLC</t>
        </is>
      </c>
      <c r="AF261" t="inlineStr">
        <is>
          <t>3640 LLC</t>
        </is>
      </c>
      <c r="AI261" s="245">
        <f>UPPER(D261)</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t="inlineStr">
        <is>
          <t>2 US 4VR LLC</t>
        </is>
      </c>
      <c r="AF262" t="inlineStr">
        <is>
          <t>AAA PROPERTY</t>
        </is>
      </c>
      <c r="AI262" s="245">
        <f>UPPER(D262)</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t="inlineStr">
        <is>
          <t>2 US 4VR LLC</t>
        </is>
      </c>
      <c r="AF263" t="inlineStr">
        <is>
          <t>AAA PROPERTY</t>
        </is>
      </c>
      <c r="AI263" s="245">
        <f>UPPER(D263)</f>
        <v/>
      </c>
    </row>
    <row r="264" ht="15" customHeight="1">
      <c r="A264" s="248" t="n">
        <v>7</v>
      </c>
      <c r="B264" s="245" t="n">
        <v>256</v>
      </c>
      <c r="C264" t="inlineStr">
        <is>
          <t>R0103294</t>
        </is>
      </c>
      <c r="D264" t="inlineStr">
        <is>
          <t>911 W 62ND AVE</t>
        </is>
      </c>
      <c r="E264" t="n">
        <v>406</v>
      </c>
      <c r="F264" t="inlineStr"/>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t="inlineStr">
        <is>
          <t>909W62AVE LLC</t>
        </is>
      </c>
      <c r="AF264" t="inlineStr">
        <is>
          <t>REGON2 LLC</t>
        </is>
      </c>
      <c r="AI264" s="245">
        <f>UPPER(D264)</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t="inlineStr">
        <is>
          <t>FORTENBERRY INVESTMENT CO LLP</t>
        </is>
      </c>
      <c r="AF265" t="inlineStr">
        <is>
          <t>HILLEN HOLDINGS LLC</t>
        </is>
      </c>
      <c r="AI265" s="245">
        <f>UPPER(D265)</f>
        <v/>
      </c>
    </row>
    <row r="266" ht="15" customHeight="1">
      <c r="A266" s="248" t="n">
        <v>7</v>
      </c>
      <c r="B266" s="245" t="n">
        <v>258</v>
      </c>
      <c r="C266" t="inlineStr">
        <is>
          <t>R0187315</t>
        </is>
      </c>
      <c r="D266" t="inlineStr">
        <is>
          <t>868 E 78TH AVE</t>
        </is>
      </c>
      <c r="E266" t="n">
        <v>425</v>
      </c>
      <c r="F266" t="inlineStr"/>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t="inlineStr">
        <is>
          <t>TRANSIT MANAGEMENT LLC</t>
        </is>
      </c>
      <c r="AF266" t="inlineStr">
        <is>
          <t>BRODIGAN PROPERTIES LLC</t>
        </is>
      </c>
      <c r="AI266" s="245">
        <f>UPPER(D266)</f>
        <v/>
      </c>
    </row>
    <row r="267" ht="15" customHeight="1">
      <c r="A267" s="248" t="n">
        <v>7</v>
      </c>
      <c r="B267" s="245" t="n">
        <v>259</v>
      </c>
      <c r="C267" t="inlineStr">
        <is>
          <t>R0187314</t>
        </is>
      </c>
      <c r="D267" t="inlineStr">
        <is>
          <t>866 E 78TH AVE</t>
        </is>
      </c>
      <c r="E267" t="n">
        <v>425</v>
      </c>
      <c r="F267" t="inlineStr"/>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t="inlineStr">
        <is>
          <t>TRANSIT MANAGEMENT LLC</t>
        </is>
      </c>
      <c r="AF267" t="inlineStr">
        <is>
          <t>BRODIGAN PROPERTIES LLC</t>
        </is>
      </c>
      <c r="AI267" s="245">
        <f>UPPER(D267)</f>
        <v/>
      </c>
    </row>
    <row r="268" ht="15" customHeight="1">
      <c r="A268" s="248" t="n">
        <v>7</v>
      </c>
      <c r="B268" s="245" t="n">
        <v>260</v>
      </c>
      <c r="C268" t="inlineStr">
        <is>
          <t>R0187316</t>
        </is>
      </c>
      <c r="D268" t="inlineStr">
        <is>
          <t>882 E 78TH AVE</t>
        </is>
      </c>
      <c r="E268" t="n">
        <v>425</v>
      </c>
      <c r="F268" t="inlineStr"/>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t="inlineStr">
        <is>
          <t>TRANSIT MANAGEMENT LLC</t>
        </is>
      </c>
      <c r="AF268" t="inlineStr">
        <is>
          <t>BRODIGAN PROPERTIES LLC</t>
        </is>
      </c>
      <c r="AI268" s="245">
        <f>UPPER(D268)</f>
        <v/>
      </c>
    </row>
    <row r="269" ht="15" customHeight="1">
      <c r="A269" s="248" t="n">
        <v>7</v>
      </c>
      <c r="B269" s="245" t="n">
        <v>261</v>
      </c>
      <c r="C269" t="inlineStr">
        <is>
          <t>R0167015</t>
        </is>
      </c>
      <c r="D269" t="inlineStr">
        <is>
          <t>6271  BEACH ST A</t>
        </is>
      </c>
      <c r="E269" t="n">
        <v>425</v>
      </c>
      <c r="F269" t="inlineStr"/>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t="inlineStr">
        <is>
          <t>SDM REALTY GROUP LLC</t>
        </is>
      </c>
      <c r="AF269" t="inlineStr">
        <is>
          <t>A&amp;G HOLDINGS LTD</t>
        </is>
      </c>
      <c r="AI269" s="245">
        <f>UPPER(D269)</f>
        <v/>
      </c>
    </row>
    <row r="270" ht="15" customHeight="1">
      <c r="A270" s="248" t="n">
        <v>7</v>
      </c>
      <c r="B270" s="245" t="n">
        <v>262</v>
      </c>
      <c r="C270" t="inlineStr">
        <is>
          <t>R0167016</t>
        </is>
      </c>
      <c r="D270" t="inlineStr">
        <is>
          <t>6271  BEACH ST B</t>
        </is>
      </c>
      <c r="E270" t="n">
        <v>425</v>
      </c>
      <c r="F270" t="inlineStr"/>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t="inlineStr">
        <is>
          <t>SDM REALTY GROUP LLC</t>
        </is>
      </c>
      <c r="AF270" t="inlineStr">
        <is>
          <t>A&amp;G HOLDINGS LTD</t>
        </is>
      </c>
      <c r="AI270" s="245">
        <f>UPPER(D270)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t="inlineStr">
        <is>
          <t>CROCKET RICHARD E</t>
        </is>
      </c>
      <c r="AF271" t="inlineStr">
        <is>
          <t>PATRIOT HOLDINGS SMITH DRIVE LLC</t>
        </is>
      </c>
      <c r="AI271" s="245">
        <f>UPPER(D271)</f>
        <v/>
      </c>
    </row>
    <row r="272" ht="15" customHeight="1">
      <c r="A272" s="248" t="n">
        <v>7</v>
      </c>
      <c r="B272" s="245" t="n">
        <v>264</v>
      </c>
      <c r="C272" t="inlineStr">
        <is>
          <t>R0103521</t>
        </is>
      </c>
      <c r="D272" t="inlineStr">
        <is>
          <t>5925  BROADWAY ST</t>
        </is>
      </c>
      <c r="E272" t="n">
        <v>407</v>
      </c>
      <c r="F272" t="inlineStr"/>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t="inlineStr">
        <is>
          <t>WSM INDUSTRIES INC</t>
        </is>
      </c>
      <c r="AF272" t="inlineStr">
        <is>
          <t>WSM REAL ESTATE INVESTMENTS LLC</t>
        </is>
      </c>
      <c r="AI272" s="245">
        <f>UPPER(D272)</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t="inlineStr">
        <is>
          <t>SOUTH STREET CAPITAL PARTNERS LLC</t>
        </is>
      </c>
      <c r="AF273" t="inlineStr">
        <is>
          <t>33RD AVENUE LLC</t>
        </is>
      </c>
      <c r="AI273" s="245">
        <f>UPPER(D273)</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t="inlineStr">
        <is>
          <t>SOUTH STREET CAPITAL PARTNERS LLC</t>
        </is>
      </c>
      <c r="AF274" t="inlineStr">
        <is>
          <t>33RD AVENUE LLC</t>
        </is>
      </c>
      <c r="AI274" s="245">
        <f>UPPER(D274)</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t="inlineStr">
        <is>
          <t>M-J PERRI CO</t>
        </is>
      </c>
      <c r="AF275" t="inlineStr">
        <is>
          <t>1201 E BRIDGE STREET LLC</t>
        </is>
      </c>
      <c r="AI275" s="245">
        <f>UPPER(D275)</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t="inlineStr">
        <is>
          <t>HONNEN PARTNERS L L C</t>
        </is>
      </c>
      <c r="AF276" t="inlineStr">
        <is>
          <t>4 RIVERS PROPERTIES COMMERCE CITY I LLC</t>
        </is>
      </c>
      <c r="AI276" s="245">
        <f>UPPER(D276)</f>
        <v/>
      </c>
    </row>
    <row r="277" ht="15" customHeight="1">
      <c r="A277" s="248" t="n">
        <v>7</v>
      </c>
      <c r="B277" s="245" t="n">
        <v>269</v>
      </c>
      <c r="C277" t="inlineStr">
        <is>
          <t>R0151801</t>
        </is>
      </c>
      <c r="D277" t="inlineStr">
        <is>
          <t>6811  BROADWAY ST</t>
        </is>
      </c>
      <c r="E277" t="n">
        <v>425</v>
      </c>
      <c r="F277" t="inlineStr"/>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t="inlineStr">
        <is>
          <t>BROADWAYS LLC</t>
        </is>
      </c>
      <c r="AF277" t="inlineStr">
        <is>
          <t>DENVER FIRE PROTECTION LLC</t>
        </is>
      </c>
      <c r="AI277" s="245">
        <f>UPPER(D277)</f>
        <v/>
      </c>
    </row>
    <row r="278" ht="15" customHeight="1">
      <c r="A278" s="248" t="n">
        <v>7</v>
      </c>
      <c r="B278" s="245" t="n">
        <v>270</v>
      </c>
      <c r="C278" t="inlineStr">
        <is>
          <t>R0151802</t>
        </is>
      </c>
      <c r="D278" t="inlineStr">
        <is>
          <t>6815  BROADWAY ST</t>
        </is>
      </c>
      <c r="E278" t="n">
        <v>425</v>
      </c>
      <c r="F278" t="inlineStr"/>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t="inlineStr">
        <is>
          <t>BROADWAYS LLC</t>
        </is>
      </c>
      <c r="AF278" t="inlineStr">
        <is>
          <t>DENVER FIRE PROTECTION LLC</t>
        </is>
      </c>
      <c r="AI278" s="245">
        <f>UPPER(D278)</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t="inlineStr">
        <is>
          <t>MBD ENTERPRISES LLC</t>
        </is>
      </c>
      <c r="AF279" t="inlineStr">
        <is>
          <t>GLOBAL PROPERTIES AND MANAGEMENT LLC</t>
        </is>
      </c>
      <c r="AI279" s="245">
        <f>UPPER(D279)</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t="inlineStr">
        <is>
          <t>MBD ENTERPRISES LLC</t>
        </is>
      </c>
      <c r="AF280" t="inlineStr">
        <is>
          <t>GLOBAL PROPERTIES AND MANAGEMENT LLC</t>
        </is>
      </c>
      <c r="AI280" s="245">
        <f>UPPER(D280)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t="inlineStr">
        <is>
          <t>DSE LLC</t>
        </is>
      </c>
      <c r="AF281" t="inlineStr">
        <is>
          <t>431 LLC</t>
        </is>
      </c>
      <c r="AI281" s="245">
        <f>UPPER(D281)</f>
        <v/>
      </c>
    </row>
    <row r="282" ht="15" customHeight="1">
      <c r="A282" s="248" t="n">
        <v>7</v>
      </c>
      <c r="B282" s="245" t="n">
        <v>274</v>
      </c>
      <c r="C282" t="inlineStr">
        <is>
          <t>R0134436</t>
        </is>
      </c>
      <c r="D282" t="inlineStr">
        <is>
          <t>5901  YORK ST</t>
        </is>
      </c>
      <c r="E282" t="n">
        <v>333</v>
      </c>
      <c r="F282" t="inlineStr"/>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t="inlineStr">
        <is>
          <t>BURNCO COLORADO LLC, C/O PROPERTY TAX DEPT</t>
        </is>
      </c>
      <c r="AF282" t="inlineStr">
        <is>
          <t>TRICYCLE LANE TEXAS LLC</t>
        </is>
      </c>
      <c r="AI282" s="245">
        <f>UPPER(D282)</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t="inlineStr">
        <is>
          <t>BONNIE K LISLE ROTH IRA</t>
        </is>
      </c>
      <c r="AF283" t="inlineStr">
        <is>
          <t>VJRE HOLDINGS LLC</t>
        </is>
      </c>
      <c r="AI283" s="245">
        <f>UPPER(D283)</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t="inlineStr">
        <is>
          <t>40TH STREET PARTNERS LLC FKA MUHLENBERG INVESTMENT LLC</t>
        </is>
      </c>
      <c r="AF284" t="inlineStr">
        <is>
          <t>18245 40TH OWNER LLC</t>
        </is>
      </c>
      <c r="AI284" s="245">
        <f>UPPER(D284)</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t="inlineStr">
        <is>
          <t>PHANTOM IV PARTNERS LLC</t>
        </is>
      </c>
      <c r="AF285" t="inlineStr">
        <is>
          <t>CRESTLINE INVESTMENT GROUP LLC</t>
        </is>
      </c>
      <c r="AI285" s="245">
        <f>UPPER(D285)</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P286" t="inlineStr"/>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t="inlineStr">
        <is>
          <t>SCANNELL PROPERTIES #534 LLC</t>
        </is>
      </c>
      <c r="AF286" t="inlineStr">
        <is>
          <t>BEL COMMERCE LLC, C/O MORGAN STANLEY</t>
        </is>
      </c>
      <c r="AI286" s="245">
        <f>UPPER(D286)</f>
        <v/>
      </c>
    </row>
    <row r="287" ht="15" customHeight="1">
      <c r="A287" s="248" t="n">
        <v>7</v>
      </c>
      <c r="B287" s="245" t="n">
        <v>279</v>
      </c>
      <c r="C287" t="inlineStr">
        <is>
          <t>R0219436</t>
        </is>
      </c>
      <c r="D287" t="inlineStr">
        <is>
          <t>2323 W 72ND AVE</t>
        </is>
      </c>
      <c r="E287" t="n">
        <v>3441</v>
      </c>
      <c r="F287" t="inlineStr"/>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t="inlineStr">
        <is>
          <t>METRO DENVER RENTAL MANAGEMENT LLC</t>
        </is>
      </c>
      <c r="AF287" t="inlineStr">
        <is>
          <t>JM COLORADO PROPERTIES LLC</t>
        </is>
      </c>
      <c r="AI287" s="245">
        <f>UPPER(D287)</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t="inlineStr">
        <is>
          <t>LHM DNI LLC</t>
        </is>
      </c>
      <c r="AF288" t="inlineStr">
        <is>
          <t>DRAWE HOLDINGS LLC</t>
        </is>
      </c>
      <c r="AI288" s="245">
        <f>UPPER(D288)</f>
        <v/>
      </c>
    </row>
    <row r="289" ht="15" customHeight="1">
      <c r="A289" s="248" t="n">
        <v>7</v>
      </c>
      <c r="B289" s="245" t="n">
        <v>281</v>
      </c>
      <c r="C289" t="inlineStr">
        <is>
          <t>R0108277</t>
        </is>
      </c>
      <c r="D289" t="inlineStr">
        <is>
          <t>9051  I-76</t>
        </is>
      </c>
      <c r="E289" t="n">
        <v>1332</v>
      </c>
      <c r="F289" t="inlineStr"/>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t="inlineStr">
        <is>
          <t>KONG &amp; QUY PROPERTY LLC</t>
        </is>
      </c>
      <c r="AF289" t="inlineStr">
        <is>
          <t>SUNMAN TWO LLC</t>
        </is>
      </c>
      <c r="AI289" s="245">
        <f>UPPER(D289)</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t="inlineStr">
        <is>
          <t>INDUSTRIAL CHEMICALS, CORPORATION</t>
        </is>
      </c>
      <c r="AF290" t="inlineStr">
        <is>
          <t>BRENNTAG PACIFIC INC, C/O BRENNTAG NORTH AMERICA INC</t>
        </is>
      </c>
      <c r="AI290" s="245">
        <f>UPPER(D290)</f>
        <v/>
      </c>
      <c r="AJ290" s="370" t="n"/>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t="inlineStr">
        <is>
          <t>BIESEMEIER INDUSTRIAL PARK, INC</t>
        </is>
      </c>
      <c r="AF291" t="inlineStr">
        <is>
          <t>BRENNTAG PACIFIC INC, C/O BRENNTAG NORTH AMERICA INC</t>
        </is>
      </c>
      <c r="AI291" s="245">
        <f>UPPER(D291)</f>
        <v/>
      </c>
      <c r="AJ291" s="370" t="n"/>
      <c r="AK291" s="370" t="n"/>
      <c r="AL291" s="370" t="n"/>
      <c r="AM291" s="370" t="n"/>
      <c r="AN291" s="370" t="n"/>
    </row>
    <row r="292" ht="15" customHeight="1">
      <c r="A292" s="248" t="n">
        <v>7</v>
      </c>
      <c r="B292" s="245" t="n">
        <v>285</v>
      </c>
      <c r="C292" t="inlineStr">
        <is>
          <t>R0222678</t>
        </is>
      </c>
      <c r="D292" t="inlineStr">
        <is>
          <t>37851 E 51ST AVE #E6</t>
        </is>
      </c>
      <c r="E292" t="n">
        <v>328</v>
      </c>
      <c r="F292" t="inlineStr"/>
      <c r="G292" t="inlineStr">
        <is>
          <t>1</t>
        </is>
      </c>
      <c r="H292" s="669">
        <f>Y292/J292</f>
        <v/>
      </c>
      <c r="I292" s="472" t="n">
        <v>45390</v>
      </c>
      <c r="J292" t="n">
        <v>2930</v>
      </c>
      <c r="K292" s="669" t="n"/>
      <c r="L292" t="n">
        <v>2930</v>
      </c>
      <c r="M292" t="n">
        <v>2024</v>
      </c>
      <c r="P292" t="inlineStr"/>
      <c r="R292" t="inlineStr">
        <is>
          <t>Average</t>
        </is>
      </c>
      <c r="S292" t="inlineStr"/>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t="inlineStr">
        <is>
          <t>37851 51ST AVE HANGAR OWNERS ASSOCIATION INC</t>
        </is>
      </c>
      <c r="AF292" t="inlineStr">
        <is>
          <t>CRAIG RD LLC</t>
        </is>
      </c>
      <c r="AI292" s="245">
        <f>UPPER(D292)</f>
        <v/>
      </c>
      <c r="AJ292" s="370" t="n"/>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t="inlineStr">
        <is>
          <t>HOME ADDENDA LLC</t>
        </is>
      </c>
      <c r="AF293" t="inlineStr">
        <is>
          <t>ML-2 LLC</t>
        </is>
      </c>
      <c r="AI293" s="245">
        <f>UPPER(D293)</f>
        <v/>
      </c>
      <c r="AJ293" s="370" t="n"/>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t="inlineStr">
        <is>
          <t>MC CREA CORA BELLE TRUST</t>
        </is>
      </c>
      <c r="AF294" t="inlineStr">
        <is>
          <t>SEG LLC</t>
        </is>
      </c>
      <c r="AI294" s="245">
        <f>UPPER(D294)</f>
        <v/>
      </c>
      <c r="AJ294" s="370" t="n"/>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t="inlineStr">
        <is>
          <t xml:space="preserve">SPRING CREEK PARTNERSHIP LTD UND 85%  , AND SMITH GARY D/LINDA B UND 15% INT </t>
        </is>
      </c>
      <c r="AF295" t="inlineStr">
        <is>
          <t>INDUSTRIAL CONSTRUCTORS PROPERRTIES LLC</t>
        </is>
      </c>
      <c r="AI295" s="245">
        <f>UPPER(D295)</f>
        <v/>
      </c>
      <c r="AJ295" s="370" t="n"/>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t="inlineStr">
        <is>
          <t>TRAUPE RUTH</t>
        </is>
      </c>
      <c r="AF296" t="inlineStr">
        <is>
          <t>EISENSTEIN MICHAEL</t>
        </is>
      </c>
      <c r="AI296" s="245">
        <f>UPPER(D296)</f>
        <v/>
      </c>
      <c r="AJ296" s="370" t="n"/>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t="inlineStr">
        <is>
          <t>MARTIN PHYLLIS M</t>
        </is>
      </c>
      <c r="AF297" t="inlineStr">
        <is>
          <t>481 S 8TH AVE BRIGHTON LLC</t>
        </is>
      </c>
      <c r="AI297" s="245">
        <f>UPPER(D297)</f>
        <v/>
      </c>
      <c r="AJ297" s="370" t="n"/>
      <c r="AK297" s="370" t="n"/>
      <c r="AL297" s="370" t="n"/>
      <c r="AM297" s="370" t="n"/>
      <c r="AN297" s="370" t="n"/>
    </row>
    <row r="298" ht="15" customHeight="1">
      <c r="A298" s="471" t="n">
        <v>8</v>
      </c>
      <c r="B298" s="245" t="n">
        <v>291</v>
      </c>
      <c r="C298" t="inlineStr">
        <is>
          <t>R0069032</t>
        </is>
      </c>
      <c r="D298" t="inlineStr">
        <is>
          <t>7535  HILLTOP CIR</t>
        </is>
      </c>
      <c r="E298" t="n">
        <v>344</v>
      </c>
      <c r="F298" t="inlineStr"/>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t="inlineStr">
        <is>
          <t>CHANNEN COMPANIES LLC</t>
        </is>
      </c>
      <c r="AF298" t="inlineStr">
        <is>
          <t>WASH SQUARE 121 LLC</t>
        </is>
      </c>
      <c r="AI298" s="245">
        <f>UPPER(D298)</f>
        <v/>
      </c>
      <c r="AJ298" s="370" t="n"/>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t="inlineStr">
        <is>
          <t>WANG TONGCHEN</t>
        </is>
      </c>
      <c r="AF299" t="inlineStr">
        <is>
          <t>7205 MEADE LLC</t>
        </is>
      </c>
      <c r="AI299" s="245">
        <f>UPPER(D299)</f>
        <v/>
      </c>
      <c r="AJ299" s="370" t="n"/>
      <c r="AK299" s="370" t="n"/>
      <c r="AL299" s="370" t="n"/>
      <c r="AM299" s="370" t="n"/>
      <c r="AN299" s="370" t="n"/>
    </row>
    <row r="300" ht="15" customHeight="1">
      <c r="A300" s="471" t="n">
        <v>8</v>
      </c>
      <c r="B300" s="245" t="n">
        <v>293</v>
      </c>
      <c r="C300" t="inlineStr">
        <is>
          <t>R0077392</t>
        </is>
      </c>
      <c r="D300" t="inlineStr">
        <is>
          <t>8461  BRIGHTON RD</t>
        </is>
      </c>
      <c r="E300" t="n">
        <v>406</v>
      </c>
      <c r="F300" t="inlineStr"/>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t="inlineStr">
        <is>
          <t>LUNNON STEPHEN</t>
        </is>
      </c>
      <c r="AF300" t="inlineStr">
        <is>
          <t>BRIGHTON INVESTMENTS LLC</t>
        </is>
      </c>
      <c r="AI300" s="245">
        <f>UPPER(D300)</f>
        <v/>
      </c>
      <c r="AJ300" s="370" t="n"/>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t="inlineStr">
        <is>
          <t>MAGNOLIA ENTERPRISES LLC</t>
        </is>
      </c>
      <c r="AF301" t="inlineStr">
        <is>
          <t>BONNIE K LISLE ROTH IRA</t>
        </is>
      </c>
      <c r="AI301" s="245">
        <f>UPPER(D301)</f>
        <v/>
      </c>
      <c r="AJ301" s="370" t="n"/>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t="inlineStr">
        <is>
          <t>MAGNOLIA ENTERPRISES LLC</t>
        </is>
      </c>
      <c r="AF302" t="inlineStr">
        <is>
          <t>SOTO IRENE PANDO AND , ISAIS SALVADOR</t>
        </is>
      </c>
      <c r="AI302" s="245">
        <f>UPPER(D302)</f>
        <v/>
      </c>
      <c r="AJ302" s="370" t="n"/>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t="inlineStr">
        <is>
          <t>WRIGHT FAMILY 2009 IRREVOCABLE TRUST THE</t>
        </is>
      </c>
      <c r="AF303" t="inlineStr">
        <is>
          <t>1551 MILKY WAY LLC</t>
        </is>
      </c>
      <c r="AI303" s="245">
        <f>UPPER(D303)</f>
        <v/>
      </c>
      <c r="AJ303" s="370" t="n"/>
      <c r="AK303" s="370" t="n"/>
      <c r="AL303" s="370" t="n"/>
      <c r="AM303" s="370" t="n"/>
      <c r="AN303" s="370" t="n"/>
    </row>
    <row r="304" ht="15" customHeight="1">
      <c r="A304" s="471" t="n">
        <v>8</v>
      </c>
      <c r="B304" s="245" t="n">
        <v>297</v>
      </c>
      <c r="C304" t="inlineStr">
        <is>
          <t>R0070997</t>
        </is>
      </c>
      <c r="D304" t="inlineStr">
        <is>
          <t>909 E 75TH AVE</t>
        </is>
      </c>
      <c r="E304" t="n">
        <v>334</v>
      </c>
      <c r="F304" t="inlineStr"/>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t="inlineStr">
        <is>
          <t>909 E 75TH LLC</t>
        </is>
      </c>
      <c r="AF304" t="inlineStr">
        <is>
          <t>LEE DONALD C AND, LONG STEPHANIE M</t>
        </is>
      </c>
      <c r="AI304" s="245">
        <f>UPPER(D304)</f>
        <v/>
      </c>
      <c r="AJ304" s="370" t="n"/>
      <c r="AK304" s="370" t="n"/>
      <c r="AL304" s="370" t="n"/>
      <c r="AM304" s="370" t="n"/>
      <c r="AN304" s="370" t="n"/>
    </row>
    <row r="305" ht="15" customHeight="1">
      <c r="A305" s="471" t="n">
        <v>8</v>
      </c>
      <c r="B305" s="245" t="n">
        <v>298</v>
      </c>
      <c r="C305" t="inlineStr">
        <is>
          <t>R0103701</t>
        </is>
      </c>
      <c r="D305" t="inlineStr">
        <is>
          <t>5700  WASHINGTON ST</t>
        </is>
      </c>
      <c r="E305" t="n">
        <v>407</v>
      </c>
      <c r="F305" t="inlineStr"/>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t="inlineStr">
        <is>
          <t>BATS INVESTMENTS LLC</t>
        </is>
      </c>
      <c r="AF305" t="inlineStr">
        <is>
          <t>W &amp; J INVESTMENTS LLC</t>
        </is>
      </c>
      <c r="AI305" s="245">
        <f>UPPER(D305)</f>
        <v/>
      </c>
      <c r="AJ305" s="370" t="n"/>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t="inlineStr">
        <is>
          <t>ZAYAC PROPERTIES IRMA LLLP, C/O PROCLEAN AUTO WASH</t>
        </is>
      </c>
      <c r="AF306" t="inlineStr">
        <is>
          <t>BLANCO PROPERTIES IRMA LLC</t>
        </is>
      </c>
      <c r="AI306" s="245">
        <f>UPPER(D306)</f>
        <v/>
      </c>
      <c r="AJ306" s="370" t="n"/>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t="inlineStr">
        <is>
          <t>12141 PENNSYLVANIA LLC</t>
        </is>
      </c>
      <c r="AF307" t="inlineStr">
        <is>
          <t>SDNS INC</t>
        </is>
      </c>
      <c r="AI307" s="245">
        <f>UPPER(D307)</f>
        <v/>
      </c>
      <c r="AJ307" s="370" t="n"/>
      <c r="AK307" s="370" t="n"/>
      <c r="AL307" s="370" t="n"/>
      <c r="AM307" s="370" t="n"/>
      <c r="AN307" s="370" t="n"/>
    </row>
    <row r="308" ht="15" customHeight="1">
      <c r="A308" s="471" t="n">
        <v>8</v>
      </c>
      <c r="B308" s="245" t="n">
        <v>301</v>
      </c>
      <c r="C308" t="inlineStr">
        <is>
          <t>R0098079</t>
        </is>
      </c>
      <c r="D308" t="inlineStr">
        <is>
          <t>851 E 71ST AVE #A3</t>
        </is>
      </c>
      <c r="E308" t="n">
        <v>425</v>
      </c>
      <c r="F308" t="inlineStr"/>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t="inlineStr">
        <is>
          <t>BALES BOHR 851 A4 LLC</t>
        </is>
      </c>
      <c r="AF308" t="inlineStr">
        <is>
          <t>851 E HWY 224 LLC</t>
        </is>
      </c>
      <c r="AI308" s="245">
        <f>UPPER(D308)</f>
        <v/>
      </c>
      <c r="AJ308" s="370" t="n"/>
      <c r="AK308" s="370" t="n"/>
      <c r="AL308" s="370" t="n"/>
      <c r="AM308" s="370" t="n"/>
      <c r="AN308" s="370" t="n"/>
    </row>
    <row r="309" ht="15" customHeight="1">
      <c r="A309" s="471" t="n">
        <v>8</v>
      </c>
      <c r="B309" s="245" t="n">
        <v>302</v>
      </c>
      <c r="C309" t="inlineStr">
        <is>
          <t>R0098079</t>
        </is>
      </c>
      <c r="D309" t="inlineStr">
        <is>
          <t>852 E 71ST AVE #A3</t>
        </is>
      </c>
      <c r="E309" t="n">
        <v>425</v>
      </c>
      <c r="F309" t="inlineStr"/>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t="inlineStr">
        <is>
          <t>KIM DANIEL</t>
        </is>
      </c>
      <c r="AF309" t="inlineStr">
        <is>
          <t>BLUE ROOF RENTALS LLC</t>
        </is>
      </c>
      <c r="AI309" s="245">
        <f>UPPER(D309)</f>
        <v/>
      </c>
      <c r="AJ309" s="370" t="n"/>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t="inlineStr">
        <is>
          <t>PNJ INVESTMENTS LLC</t>
        </is>
      </c>
      <c r="AF310" t="inlineStr">
        <is>
          <t>CHAVEZ DAVID AND , CHAVEZ PAMELA</t>
        </is>
      </c>
      <c r="AI310" s="245">
        <f>UPPER(D310)</f>
        <v/>
      </c>
      <c r="AJ310" s="370" t="n"/>
      <c r="AK310" s="370" t="n"/>
      <c r="AL310" s="370" t="n"/>
      <c r="AM310" s="370" t="n"/>
      <c r="AN310" s="370" t="n"/>
    </row>
    <row r="311" ht="15" customHeight="1">
      <c r="A311" s="471" t="n">
        <v>8</v>
      </c>
      <c r="B311" s="245" t="n">
        <v>304</v>
      </c>
      <c r="C311" t="inlineStr">
        <is>
          <t>R0059555</t>
        </is>
      </c>
      <c r="D311" t="inlineStr">
        <is>
          <t>2235 W 84TH AVE</t>
        </is>
      </c>
      <c r="E311" t="n">
        <v>353</v>
      </c>
      <c r="F311" t="inlineStr"/>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t="inlineStr">
        <is>
          <t>WAFCO LTD</t>
        </is>
      </c>
      <c r="AF311" t="inlineStr">
        <is>
          <t>KUKU LLC</t>
        </is>
      </c>
      <c r="AI311" s="245">
        <f>UPPER(D311)</f>
        <v/>
      </c>
      <c r="AJ311" s="370" t="n"/>
      <c r="AK311" s="370" t="n"/>
      <c r="AL311" s="370" t="n"/>
      <c r="AM311" s="370" t="n"/>
      <c r="AN311" s="370" t="n"/>
    </row>
    <row r="312" ht="15" customHeight="1">
      <c r="A312" s="471" t="n">
        <v>8</v>
      </c>
      <c r="B312" s="245" t="n">
        <v>305</v>
      </c>
      <c r="C312" t="inlineStr">
        <is>
          <t>R0075329</t>
        </is>
      </c>
      <c r="D312" t="inlineStr">
        <is>
          <t>9685  BRIGHTON RD</t>
        </is>
      </c>
      <c r="E312" t="n">
        <v>325</v>
      </c>
      <c r="F312" t="inlineStr"/>
      <c r="G312" t="inlineStr">
        <is>
          <t>5</t>
        </is>
      </c>
      <c r="H312" s="669">
        <f>Y312/J312</f>
        <v/>
      </c>
      <c r="I312" s="670" t="n">
        <v>43587</v>
      </c>
      <c r="J312" t="n">
        <v>9000</v>
      </c>
      <c r="L312" t="n">
        <v>9000</v>
      </c>
      <c r="M312" t="n">
        <v>1981</v>
      </c>
      <c r="P312" t="inlineStr"/>
      <c r="R312" t="inlineStr">
        <is>
          <t>Average</t>
        </is>
      </c>
      <c r="S312" t="n">
        <v>30099.96</v>
      </c>
      <c r="T312" s="467">
        <f>S312/J312</f>
        <v/>
      </c>
      <c r="U312" t="inlineStr">
        <is>
          <t>Average</t>
        </is>
      </c>
      <c r="Y312" t="n">
        <v>1100000</v>
      </c>
      <c r="AA312" t="n">
        <v>1100000</v>
      </c>
      <c r="AC312" t="inlineStr">
        <is>
          <t>0172116000022</t>
        </is>
      </c>
      <c r="AD312" t="inlineStr">
        <is>
          <t>2019000032873</t>
        </is>
      </c>
      <c r="AE312" t="inlineStr">
        <is>
          <t>BURR JOANN L AND, GULLION CAROLYN KAY LIVING TRUST</t>
        </is>
      </c>
      <c r="AF312" t="inlineStr">
        <is>
          <t>9685 BRIGHTON LLC</t>
        </is>
      </c>
      <c r="AI312" s="245">
        <f>UPPER(D312)</f>
        <v/>
      </c>
      <c r="AJ312" s="370" t="n"/>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t="inlineStr">
        <is>
          <t>HERR FAMILY LLC</t>
        </is>
      </c>
      <c r="AF313" t="inlineStr">
        <is>
          <t>123 N MAIN LLC</t>
        </is>
      </c>
      <c r="AI313" s="245">
        <f>UPPER(D313)</f>
        <v/>
      </c>
      <c r="AJ313" s="370" t="n"/>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t="inlineStr">
        <is>
          <t>HORIZON TERRACE PACIFIC LTD</t>
        </is>
      </c>
      <c r="AF314" t="inlineStr">
        <is>
          <t>1641 CALIFORNIA LLC</t>
        </is>
      </c>
      <c r="AI314" s="245">
        <f>UPPER(D314)</f>
        <v/>
      </c>
      <c r="AJ314" s="370" t="n"/>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t="inlineStr">
        <is>
          <t>DYCO HOLDINGS LLC</t>
        </is>
      </c>
      <c r="AF315" t="inlineStr">
        <is>
          <t>JOINT VENTURES LLC</t>
        </is>
      </c>
      <c r="AI315" s="245">
        <f>UPPER(D315)</f>
        <v/>
      </c>
      <c r="AJ315" s="370" t="n"/>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t="inlineStr">
        <is>
          <t>RAICHLE INTERESTS LLC</t>
        </is>
      </c>
      <c r="AF316" t="inlineStr">
        <is>
          <t>GREYSON HOLDINGS LLC</t>
        </is>
      </c>
      <c r="AI316" s="245">
        <f>UPPER(D316)</f>
        <v/>
      </c>
      <c r="AJ316" s="370" t="n"/>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t="inlineStr">
        <is>
          <t>MARTIN MICHAEL T AND, MARTIN BETH E</t>
        </is>
      </c>
      <c r="AF317" t="inlineStr">
        <is>
          <t>CHUONG KELLY</t>
        </is>
      </c>
      <c r="AI317" s="245">
        <f>UPPER(D317)</f>
        <v/>
      </c>
      <c r="AJ317" s="370" t="n"/>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t="inlineStr">
        <is>
          <t>LAMM DEVELOPMENTS LTD</t>
        </is>
      </c>
      <c r="AF318" t="inlineStr">
        <is>
          <t>BELLA IN YOU DAY SPA</t>
        </is>
      </c>
      <c r="AI318" s="245">
        <f>UPPER(D318)</f>
        <v/>
      </c>
      <c r="AJ318" s="370" t="n"/>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t="inlineStr">
        <is>
          <t>ONUOHA FRANCISCA I</t>
        </is>
      </c>
      <c r="AF319" t="inlineStr">
        <is>
          <t>MILE HIGH COUNCIL ON ALCOHOLISM AND DRUG ABUSE</t>
        </is>
      </c>
      <c r="AI319" s="245">
        <f>UPPER(D319)</f>
        <v/>
      </c>
      <c r="AJ319" s="370" t="n"/>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t="inlineStr">
        <is>
          <t>ANDERSON SHYRLEE F</t>
        </is>
      </c>
      <c r="AF320" t="inlineStr">
        <is>
          <t>RELAY HILL C LLC</t>
        </is>
      </c>
      <c r="AI320" s="245">
        <f>UPPER(D320)</f>
        <v/>
      </c>
      <c r="AJ320" s="370" t="n"/>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t="inlineStr">
        <is>
          <t>MEYER ROBERT CARL JR LIVING TRUST 50% , MEYER ROBIN LEE LIVING TRUST 50% INT</t>
        </is>
      </c>
      <c r="AF321" t="inlineStr">
        <is>
          <t>RMER PROPERTIES LLC</t>
        </is>
      </c>
      <c r="AI321" s="245">
        <f>UPPER(D321)</f>
        <v/>
      </c>
      <c r="AJ321" s="370" t="n"/>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t="inlineStr">
        <is>
          <t>JOHNSON WARREN T.</t>
        </is>
      </c>
      <c r="AF322" t="inlineStr">
        <is>
          <t>BUNGALOW VENTURES LLC</t>
        </is>
      </c>
      <c r="AI322" s="245">
        <f>UPPER(D322)</f>
        <v/>
      </c>
      <c r="AJ322" s="370" t="n"/>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t="inlineStr">
        <is>
          <t>TITCO LLC</t>
        </is>
      </c>
      <c r="AF323" t="inlineStr">
        <is>
          <t>4950 E 56TH AVE LLC</t>
        </is>
      </c>
      <c r="AI323" s="245">
        <f>UPPER(D323)</f>
        <v/>
      </c>
      <c r="AJ323" s="370" t="n"/>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t="inlineStr">
        <is>
          <t>CHAMBERLAIN MARK A AND TAMMY D</t>
        </is>
      </c>
      <c r="AF324" t="inlineStr">
        <is>
          <t>A&amp;C AUTOWORKS INC</t>
        </is>
      </c>
      <c r="AI324" s="245">
        <f>UPPER(D324)</f>
        <v/>
      </c>
      <c r="AJ324" s="370" t="n"/>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t="inlineStr">
        <is>
          <t>TEKLEZGHI MEHARENA AND, ATSEBAHA SABA YEMESGEN</t>
        </is>
      </c>
      <c r="AF325" t="inlineStr">
        <is>
          <t>Z &amp; T LLC</t>
        </is>
      </c>
      <c r="AI325" s="245">
        <f>UPPER(D325)</f>
        <v/>
      </c>
      <c r="AJ325" s="370" t="n"/>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t="inlineStr">
        <is>
          <t>COLOROSO FAMILY PARTNERSHIP I LTD</t>
        </is>
      </c>
      <c r="AF326" t="inlineStr">
        <is>
          <t>ZHENG BIAO AND, YUAN JIN RONG</t>
        </is>
      </c>
      <c r="AI326" s="245">
        <f>UPPER(D326)</f>
        <v/>
      </c>
      <c r="AJ326" s="370" t="n"/>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t="inlineStr">
        <is>
          <t>ZIMIK KHACHUNGLA</t>
        </is>
      </c>
      <c r="AF327" t="inlineStr">
        <is>
          <t>ONE FACIAL AESTHETICS &amp; SPA LLC</t>
        </is>
      </c>
      <c r="AI327" s="245">
        <f>UPPER(D327)</f>
        <v/>
      </c>
      <c r="AJ327" s="370" t="n"/>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t="inlineStr">
        <is>
          <t>GROTHENDICK DANIEL M</t>
        </is>
      </c>
      <c r="AF328" t="inlineStr">
        <is>
          <t>LOPEZ RODNEY KENT</t>
        </is>
      </c>
      <c r="AI328" s="245">
        <f>UPPER(D328)</f>
        <v/>
      </c>
      <c r="AJ328" s="370" t="n"/>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t="inlineStr">
        <is>
          <t>RPM PROPERTIES RLLLP</t>
        </is>
      </c>
      <c r="AF329" t="inlineStr">
        <is>
          <t>SCF RC FUNDING IV LLC</t>
        </is>
      </c>
      <c r="AI329" s="245">
        <f>UPPER(D329)</f>
        <v/>
      </c>
      <c r="AJ329" s="370" t="n"/>
      <c r="AK329" s="370" t="n"/>
      <c r="AL329" s="370" t="n"/>
      <c r="AM329" s="370" t="n"/>
      <c r="AN329" s="370" t="n"/>
    </row>
    <row r="330" ht="15" customHeight="1">
      <c r="A330" s="471" t="n">
        <v>8</v>
      </c>
      <c r="B330" s="245" t="n">
        <v>323</v>
      </c>
      <c r="C330" t="inlineStr">
        <is>
          <t>R0100554</t>
        </is>
      </c>
      <c r="D330" t="inlineStr">
        <is>
          <t>6455  FEDERAL BLVD</t>
        </is>
      </c>
      <c r="E330" t="n">
        <v>343</v>
      </c>
      <c r="F330" t="inlineStr"/>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t="inlineStr">
        <is>
          <t>SUNRISE COTTAGES LLC</t>
        </is>
      </c>
      <c r="AF330" t="inlineStr">
        <is>
          <t>DENVER CASITAS LLC</t>
        </is>
      </c>
      <c r="AI330" s="245">
        <f>UPPER(D330)</f>
        <v/>
      </c>
      <c r="AJ330" s="370" t="n"/>
      <c r="AK330" s="370" t="n"/>
      <c r="AL330" s="370" t="n"/>
      <c r="AM330" s="370" t="n"/>
      <c r="AN330" s="370" t="n"/>
    </row>
    <row r="331" ht="15" customHeight="1">
      <c r="A331" s="471" t="n">
        <v>8</v>
      </c>
      <c r="B331" s="245" t="n">
        <v>324</v>
      </c>
      <c r="C331" t="inlineStr">
        <is>
          <t>R0100713</t>
        </is>
      </c>
      <c r="D331" t="inlineStr">
        <is>
          <t>6530  FEDERAL BLVD</t>
        </is>
      </c>
      <c r="E331" t="n">
        <v>344</v>
      </c>
      <c r="F331" t="inlineStr"/>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t="inlineStr">
        <is>
          <t>ONEMANIVONG LINTHONG AND, PHOMMACHAN TINGKHAM</t>
        </is>
      </c>
      <c r="AF331" t="inlineStr">
        <is>
          <t>APEX AUTOS</t>
        </is>
      </c>
      <c r="AI331" s="245">
        <f>UPPER(D331)</f>
        <v/>
      </c>
      <c r="AJ331" s="370" t="n"/>
      <c r="AK331" s="370" t="n"/>
      <c r="AL331" s="370" t="n"/>
      <c r="AM331" s="370" t="n"/>
      <c r="AN331" s="370" t="n"/>
    </row>
    <row r="332" ht="15" customHeight="1">
      <c r="A332" s="471" t="n">
        <v>8</v>
      </c>
      <c r="B332" s="245" t="n">
        <v>325</v>
      </c>
      <c r="C332" t="inlineStr">
        <is>
          <t>R0075378</t>
        </is>
      </c>
      <c r="D332" t="inlineStr">
        <is>
          <t>9695  BRIGHTON RD</t>
        </is>
      </c>
      <c r="E332" t="n">
        <v>344</v>
      </c>
      <c r="F332" t="inlineStr"/>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t="inlineStr">
        <is>
          <t>KOSMISKI FAMILY PARTNERSHIP LLLP</t>
        </is>
      </c>
      <c r="AF332" t="inlineStr">
        <is>
          <t>JT EMERY HOLDINGS LLC</t>
        </is>
      </c>
      <c r="AI332" s="245">
        <f>UPPER(D332)</f>
        <v/>
      </c>
      <c r="AJ332" s="370" t="n"/>
      <c r="AK332" s="370" t="n"/>
      <c r="AL332" s="370" t="n"/>
      <c r="AM332" s="370" t="n"/>
      <c r="AN332" s="370" t="n"/>
    </row>
    <row r="333" ht="15" customHeight="1">
      <c r="A333" s="471" t="n">
        <v>8</v>
      </c>
      <c r="B333" s="245" t="n">
        <v>326</v>
      </c>
      <c r="C333" t="inlineStr">
        <is>
          <t>R0070677</t>
        </is>
      </c>
      <c r="D333" t="inlineStr">
        <is>
          <t>7855  YORK ST</t>
        </is>
      </c>
      <c r="E333" t="n">
        <v>353</v>
      </c>
      <c r="F333" t="inlineStr"/>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t="inlineStr">
        <is>
          <t>SANG SOO ENTERPRISES LLC</t>
        </is>
      </c>
      <c r="AF333" t="inlineStr">
        <is>
          <t>CHANG EUN JA</t>
        </is>
      </c>
      <c r="AI333" s="245">
        <f>UPPER(D333)</f>
        <v/>
      </c>
      <c r="AJ333" s="370" t="n"/>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t="inlineStr">
        <is>
          <t>TSAO RICK</t>
        </is>
      </c>
      <c r="AF334" t="inlineStr">
        <is>
          <t>WETTSTEIN HENRY</t>
        </is>
      </c>
      <c r="AI334" s="245">
        <f>UPPER(D334)</f>
        <v/>
      </c>
      <c r="AJ334" s="370" t="n"/>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t="inlineStr">
        <is>
          <t>ROCKING K PROPERTIES LLC</t>
        </is>
      </c>
      <c r="AF335" t="inlineStr">
        <is>
          <t>REDDY MALIREDDY S AND, REDDY SYAMA M</t>
        </is>
      </c>
      <c r="AI335" s="245">
        <f>UPPER(D335)</f>
        <v/>
      </c>
      <c r="AJ335" s="370" t="n"/>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t="inlineStr">
        <is>
          <t>FERGUSON LANCE A/VINCENT DEBRA A, FERGUSON JENNIFER L/VINCENT JAMES W</t>
        </is>
      </c>
      <c r="AF336" t="inlineStr">
        <is>
          <t>HERR FAMILY LLC</t>
        </is>
      </c>
      <c r="AI336" s="245">
        <f>UPPER(D336)</f>
        <v/>
      </c>
      <c r="AJ336" s="370" t="n"/>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t="inlineStr">
        <is>
          <t>D AND R EZZELL INC</t>
        </is>
      </c>
      <c r="AF337" t="inlineStr">
        <is>
          <t>323 WALNUT ST LLC</t>
        </is>
      </c>
      <c r="AI337" s="245">
        <f>UPPER(D337)</f>
        <v/>
      </c>
      <c r="AJ337" s="370" t="n"/>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t="inlineStr">
        <is>
          <t>HERNANDEZ GUADALUPE MERAZ AND, MERAZ HEIDY L</t>
        </is>
      </c>
      <c r="AF338" t="inlineStr">
        <is>
          <t>ROJO ORDONES ERICK MANUEL AND, ROJO ISABEL</t>
        </is>
      </c>
      <c r="AI338" s="245">
        <f>UPPER(D338)</f>
        <v/>
      </c>
      <c r="AJ338" s="370" t="n"/>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t="inlineStr">
        <is>
          <t>TAM REALTY LLC</t>
        </is>
      </c>
      <c r="AF339" t="inlineStr">
        <is>
          <t>NASA BURROUGHS LLC</t>
        </is>
      </c>
      <c r="AI339" s="245">
        <f>UPPER(D339)</f>
        <v/>
      </c>
      <c r="AJ339" s="370" t="n"/>
      <c r="AK339" s="370" t="n"/>
      <c r="AL339" s="370" t="n"/>
      <c r="AM339" s="370" t="n"/>
      <c r="AN339" s="370" t="n"/>
    </row>
    <row r="340" ht="15" customHeight="1">
      <c r="A340" s="471" t="n">
        <v>8</v>
      </c>
      <c r="B340" s="245" t="n">
        <v>333</v>
      </c>
      <c r="C340" t="inlineStr">
        <is>
          <t>R0081717</t>
        </is>
      </c>
      <c r="D340" t="inlineStr">
        <is>
          <t>3803 HEADLIGHT RD</t>
        </is>
      </c>
      <c r="E340" t="n">
        <v>406</v>
      </c>
      <c r="F340" t="inlineStr"/>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t="inlineStr">
        <is>
          <t>HUTTON CONTRACTING COMPANY, INC</t>
        </is>
      </c>
      <c r="AF340" t="inlineStr">
        <is>
          <t>JONES JEFFREY A</t>
        </is>
      </c>
      <c r="AI340" s="245">
        <f>UPPER(D340)</f>
        <v/>
      </c>
      <c r="AJ340" s="370" t="n"/>
      <c r="AK340" s="370" t="n"/>
      <c r="AL340" s="370" t="n"/>
      <c r="AM340" s="370" t="n"/>
      <c r="AN340" s="370" t="n"/>
    </row>
    <row r="341" ht="15" customHeight="1">
      <c r="A341" s="471" t="n">
        <v>8</v>
      </c>
      <c r="B341" s="245" t="n">
        <v>334</v>
      </c>
      <c r="C341" t="inlineStr">
        <is>
          <t>R0098103</t>
        </is>
      </c>
      <c r="D341" t="inlineStr">
        <is>
          <t>1247 E 68TH AVE</t>
        </is>
      </c>
      <c r="E341" t="n">
        <v>406</v>
      </c>
      <c r="F341" t="inlineStr"/>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t="inlineStr">
        <is>
          <t>JHDS LLC</t>
        </is>
      </c>
      <c r="AF341" t="inlineStr">
        <is>
          <t>JECO HOLDINGS INC</t>
        </is>
      </c>
      <c r="AI341" s="245">
        <f>UPPER(D341)</f>
        <v/>
      </c>
      <c r="AJ341" s="370" t="n"/>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t="inlineStr">
        <is>
          <t>FIRST INDUSTRIAL LP</t>
        </is>
      </c>
      <c r="AF342" t="inlineStr">
        <is>
          <t>HZ SORRENTO HIGHPOINTE SQUARE LLC ET AL</t>
        </is>
      </c>
      <c r="AI342" s="245">
        <f>UPPER(D342)</f>
        <v/>
      </c>
      <c r="AJ342" s="370" t="n"/>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t="inlineStr">
        <is>
          <t>NORTH SHORE PROPERTIES LLC</t>
        </is>
      </c>
      <c r="AF343" t="inlineStr">
        <is>
          <t>MPI LAND BROKERS LLC</t>
        </is>
      </c>
      <c r="AI343" s="245">
        <f>UPPER(D343)</f>
        <v/>
      </c>
      <c r="AJ343" s="370" t="n"/>
      <c r="AK343" s="370" t="n"/>
      <c r="AL343" s="370" t="n"/>
      <c r="AM343" s="370" t="n"/>
      <c r="AN343" s="370" t="n"/>
    </row>
    <row r="344" ht="15" customHeight="1">
      <c r="A344" s="471" t="n">
        <v>8</v>
      </c>
      <c r="B344" s="245" t="n">
        <v>337</v>
      </c>
      <c r="C344" t="inlineStr">
        <is>
          <t>R0103633</t>
        </is>
      </c>
      <c r="D344" t="inlineStr">
        <is>
          <t>6348  DOWNING ST</t>
        </is>
      </c>
      <c r="E344" t="n">
        <v>325</v>
      </c>
      <c r="F344" t="inlineStr"/>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t="inlineStr">
        <is>
          <t>C B QUICK AND CO</t>
        </is>
      </c>
      <c r="AF344" t="inlineStr">
        <is>
          <t>SPEEDWAY GARAGES LLC</t>
        </is>
      </c>
      <c r="AI344" s="245">
        <f>UPPER(D344)</f>
        <v/>
      </c>
      <c r="AJ344" s="370" t="n"/>
      <c r="AK344" s="370" t="n"/>
      <c r="AL344" s="370" t="n"/>
      <c r="AM344" s="370" t="n"/>
      <c r="AN344" s="370" t="n"/>
    </row>
    <row r="345" ht="15" customHeight="1">
      <c r="A345" s="471" t="n">
        <v>8</v>
      </c>
      <c r="B345" s="245" t="n">
        <v>338</v>
      </c>
      <c r="C345" t="inlineStr">
        <is>
          <t>R0103645</t>
        </is>
      </c>
      <c r="D345" t="inlineStr">
        <is>
          <t>6260  DOWNING ST</t>
        </is>
      </c>
      <c r="E345" t="n">
        <v>407</v>
      </c>
      <c r="F345" t="inlineStr"/>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t="inlineStr">
        <is>
          <t>H &amp; S PROPERTIES LLC</t>
        </is>
      </c>
      <c r="AF345" t="inlineStr">
        <is>
          <t>BWR HOLDINGS LLLP</t>
        </is>
      </c>
      <c r="AI345" s="245">
        <f>UPPER(D345)</f>
        <v/>
      </c>
      <c r="AJ345" s="370" t="n"/>
      <c r="AK345" s="370" t="n"/>
      <c r="AL345" s="370" t="n"/>
      <c r="AM345" s="370" t="n"/>
      <c r="AN345" s="370" t="n"/>
    </row>
    <row r="346" ht="15" customHeight="1">
      <c r="A346" s="471" t="n">
        <v>8</v>
      </c>
      <c r="B346" s="245" t="n">
        <v>339</v>
      </c>
      <c r="C346" t="inlineStr">
        <is>
          <t>R0112007</t>
        </is>
      </c>
      <c r="D346" t="inlineStr">
        <is>
          <t>6510  FRANKLIN ST</t>
        </is>
      </c>
      <c r="E346" t="n">
        <v>407</v>
      </c>
      <c r="F346" t="inlineStr"/>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t="inlineStr">
        <is>
          <t>FPT PROPERTIES LLC</t>
        </is>
      </c>
      <c r="AF346" t="inlineStr">
        <is>
          <t>6510 PROPERTIES LLC</t>
        </is>
      </c>
      <c r="AI346" s="245">
        <f>UPPER(D346)</f>
        <v/>
      </c>
      <c r="AJ346" s="370" t="n"/>
      <c r="AK346" s="370" t="n"/>
      <c r="AL346" s="370" t="n"/>
      <c r="AM346" s="370" t="n"/>
      <c r="AN346" s="370" t="n"/>
    </row>
    <row r="347" ht="15" customHeight="1">
      <c r="A347" s="471" t="n">
        <v>8</v>
      </c>
      <c r="B347" s="245" t="n">
        <v>340</v>
      </c>
      <c r="C347" t="inlineStr">
        <is>
          <t>R0112005</t>
        </is>
      </c>
      <c r="D347" t="inlineStr">
        <is>
          <t>1780 E 66TH AVE</t>
        </is>
      </c>
      <c r="E347" t="n">
        <v>334</v>
      </c>
      <c r="F347" t="inlineStr"/>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t="inlineStr">
        <is>
          <t>TRUSTILE DOORS LLC</t>
        </is>
      </c>
      <c r="AF347" t="inlineStr">
        <is>
          <t>GWP LLC</t>
        </is>
      </c>
      <c r="AI347" s="245">
        <f>UPPER(D347)</f>
        <v/>
      </c>
      <c r="AJ347" s="370" t="n"/>
      <c r="AK347" s="370" t="n"/>
      <c r="AL347" s="370" t="n"/>
      <c r="AM347" s="370" t="n"/>
      <c r="AN347" s="370" t="n"/>
    </row>
    <row r="348" ht="15" customHeight="1">
      <c r="A348" s="471" t="n">
        <v>8</v>
      </c>
      <c r="B348" s="245" t="n">
        <v>341</v>
      </c>
      <c r="C348" t="inlineStr">
        <is>
          <t>R0104136</t>
        </is>
      </c>
      <c r="D348" t="inlineStr">
        <is>
          <t>5270  FOX ST</t>
        </is>
      </c>
      <c r="E348" t="n">
        <v>407</v>
      </c>
      <c r="F348" t="inlineStr"/>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t="inlineStr">
        <is>
          <t>5180-5270 FOX PROPERTY OWNER LLC</t>
        </is>
      </c>
      <c r="AF348" t="inlineStr">
        <is>
          <t>ABARCA TEN LLC</t>
        </is>
      </c>
      <c r="AI348" s="245">
        <f>UPPER(D348)</f>
        <v/>
      </c>
      <c r="AJ348" s="370" t="n"/>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t="inlineStr">
        <is>
          <t>JPJ ENTERPRISES LLC</t>
        </is>
      </c>
      <c r="AF349" t="inlineStr">
        <is>
          <t>SCHWARTZ JOSH JON</t>
        </is>
      </c>
      <c r="AI349" s="245">
        <f>UPPER(D349)</f>
        <v/>
      </c>
      <c r="AJ349" s="370" t="n"/>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t="inlineStr">
        <is>
          <t>9655 E 25TH LLC</t>
        </is>
      </c>
      <c r="AF350" t="inlineStr">
        <is>
          <t>14195 MOUNTVIEW BLVD PARTNERS LLC</t>
        </is>
      </c>
      <c r="AI350" s="245">
        <f>UPPER(D350)</f>
        <v/>
      </c>
      <c r="AJ350" s="370" t="n"/>
      <c r="AK350" s="370" t="n"/>
      <c r="AL350" s="370" t="n"/>
      <c r="AM350" s="370" t="n"/>
      <c r="AN350" s="370" t="n"/>
    </row>
    <row r="351" ht="15" customHeight="1">
      <c r="A351" s="471" t="n">
        <v>8</v>
      </c>
      <c r="B351" s="245" t="n">
        <v>344</v>
      </c>
      <c r="C351" t="inlineStr">
        <is>
          <t>R0068500</t>
        </is>
      </c>
      <c r="D351" t="inlineStr">
        <is>
          <t>7305  PECOS ST</t>
        </is>
      </c>
      <c r="E351" t="n">
        <v>340</v>
      </c>
      <c r="F351" t="inlineStr"/>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t="inlineStr">
        <is>
          <t>WEJ LLC</t>
        </is>
      </c>
      <c r="AF351" t="inlineStr">
        <is>
          <t>WAGERS PROPERTIES LLC</t>
        </is>
      </c>
      <c r="AI351" s="245">
        <f>UPPER(D351)</f>
        <v/>
      </c>
      <c r="AJ351" s="370" t="n"/>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t="inlineStr">
        <is>
          <t>STOWERS GEORGETTE I</t>
        </is>
      </c>
      <c r="AF352" t="inlineStr">
        <is>
          <t>7125 NEWTON ST LLC</t>
        </is>
      </c>
      <c r="AI352" s="245">
        <f>UPPER(D352)</f>
        <v/>
      </c>
      <c r="AJ352" s="370" t="n"/>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t="inlineStr">
        <is>
          <t>COLORADO DISTRICT OF THE, CHURCH OF THE NAZARENE</t>
        </is>
      </c>
      <c r="AF353" t="inlineStr">
        <is>
          <t>GRAND PROPERTIES CO LLC</t>
        </is>
      </c>
      <c r="AI353" s="245">
        <f>UPPER(D353)</f>
        <v/>
      </c>
      <c r="AJ353" s="370" t="n"/>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t="inlineStr">
        <is>
          <t xml:space="preserve">STERLING-THORNTON CO LLC,  </t>
        </is>
      </c>
      <c r="AF354" t="inlineStr">
        <is>
          <t>SHIN YONG SIN TRUSTEE OF , THE YONG S SHIN LIVING TRUST</t>
        </is>
      </c>
      <c r="AI354" s="245">
        <f>UPPER(D354)</f>
        <v/>
      </c>
      <c r="AJ354" s="370" t="n"/>
      <c r="AK354" s="370" t="n"/>
      <c r="AL354" s="370" t="n"/>
      <c r="AM354" s="370" t="n"/>
      <c r="AN354" s="370" t="n"/>
    </row>
    <row r="355" ht="15" customHeight="1">
      <c r="A355" s="471" t="n">
        <v>8</v>
      </c>
      <c r="B355" s="245" t="n">
        <v>348</v>
      </c>
      <c r="C355" t="inlineStr">
        <is>
          <t>R0008999</t>
        </is>
      </c>
      <c r="D355" t="inlineStr">
        <is>
          <t>14465 DAHLIA ST</t>
        </is>
      </c>
      <c r="E355" t="n">
        <v>404</v>
      </c>
      <c r="F355" t="inlineStr"/>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t="inlineStr">
        <is>
          <t>MC CLANE MELVIN G AND, MC CLANE DOROTHY N</t>
        </is>
      </c>
      <c r="AF355" t="inlineStr">
        <is>
          <t>SEIBERT SCOTT A</t>
        </is>
      </c>
      <c r="AI355" s="245">
        <f>UPPER(D355)</f>
        <v/>
      </c>
      <c r="AJ355" s="370" t="n"/>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t="inlineStr">
        <is>
          <t>RICHARDS AND DEXTER LLC</t>
        </is>
      </c>
      <c r="AF356" t="inlineStr">
        <is>
          <t>CAH CO COMMERCE CITY LLC</t>
        </is>
      </c>
      <c r="AI356" s="245">
        <f>UPPER(D356)</f>
        <v/>
      </c>
      <c r="AJ356" s="370" t="n"/>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t="inlineStr">
        <is>
          <t>FEHR MATTHEW W</t>
        </is>
      </c>
      <c r="AF357" t="inlineStr">
        <is>
          <t>6872 HWY 2 LLC</t>
        </is>
      </c>
      <c r="AI357" s="245">
        <f>UPPER(D357)</f>
        <v/>
      </c>
      <c r="AJ357" s="370" t="n"/>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t="inlineStr">
        <is>
          <t>MC CALLIN REAL ESTATE LLC</t>
        </is>
      </c>
      <c r="AF358" t="inlineStr">
        <is>
          <t>DCPS REAL ESTATE CLERMONT LLC</t>
        </is>
      </c>
      <c r="AI358" s="245">
        <f>UPPER(D358)</f>
        <v/>
      </c>
      <c r="AJ358" s="370" t="n"/>
      <c r="AK358" s="370" t="n"/>
      <c r="AL358" s="370" t="n"/>
      <c r="AM358" s="370" t="n"/>
      <c r="AN358" s="370" t="n"/>
    </row>
    <row r="359" ht="15" customHeight="1">
      <c r="A359" s="471" t="n">
        <v>8</v>
      </c>
      <c r="B359" s="245" t="n">
        <v>352</v>
      </c>
      <c r="C359" t="inlineStr">
        <is>
          <t>R0112112</t>
        </is>
      </c>
      <c r="D359" t="inlineStr">
        <is>
          <t>7500  WASHINTON ST</t>
        </is>
      </c>
      <c r="E359" t="n">
        <v>344</v>
      </c>
      <c r="F359" t="inlineStr"/>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t="inlineStr">
        <is>
          <t>FRANKLIN L SACCOMANNO FAMILY TRUST ET AL 1/2 INT AND, VENEY CYNTHIA 1/4 I et al.</t>
        </is>
      </c>
      <c r="AF359" t="inlineStr">
        <is>
          <t>IN SELF STORAGE 24 LLC</t>
        </is>
      </c>
      <c r="AI359" s="245">
        <f>UPPER(D359)</f>
        <v/>
      </c>
      <c r="AJ359" s="370" t="n"/>
      <c r="AK359" s="370" t="n"/>
      <c r="AL359" s="370" t="n"/>
      <c r="AM359" s="370" t="n"/>
      <c r="AN359" s="370" t="n"/>
    </row>
    <row r="360" ht="15" customHeight="1">
      <c r="A360" s="471" t="n">
        <v>8</v>
      </c>
      <c r="B360" s="245" t="n">
        <v>353</v>
      </c>
      <c r="C360" t="inlineStr">
        <is>
          <t>R0150320</t>
        </is>
      </c>
      <c r="D360" t="inlineStr">
        <is>
          <t>9690  DALLAS ST #L</t>
        </is>
      </c>
      <c r="E360" t="n">
        <v>425</v>
      </c>
      <c r="F360" t="inlineStr"/>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t="inlineStr">
        <is>
          <t>DEL MAR ACCENTS LLC</t>
        </is>
      </c>
      <c r="AF360" t="inlineStr">
        <is>
          <t>DOMENICO REAL ESTATE PARTNERSHIP II LLLP</t>
        </is>
      </c>
      <c r="AI360" s="245">
        <f>UPPER(D360)</f>
        <v/>
      </c>
      <c r="AJ360" s="370" t="n"/>
      <c r="AK360" s="370" t="n"/>
      <c r="AL360" s="370" t="n"/>
      <c r="AM360" s="370" t="n"/>
      <c r="AN360" s="370" t="n"/>
    </row>
    <row r="361" ht="15" customHeight="1">
      <c r="A361" s="471" t="n">
        <v>8</v>
      </c>
      <c r="B361" s="245" t="n">
        <v>354</v>
      </c>
      <c r="C361" t="inlineStr">
        <is>
          <t>R0178224</t>
        </is>
      </c>
      <c r="D361" t="inlineStr">
        <is>
          <t>9156  BRIGHTON RD</t>
        </is>
      </c>
      <c r="E361" t="n">
        <v>325</v>
      </c>
      <c r="F361" t="inlineStr"/>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t="inlineStr">
        <is>
          <t>9156 BRIGHTON ROAD LLC</t>
        </is>
      </c>
      <c r="AF361" t="inlineStr">
        <is>
          <t>BRINELL PROPERTIES LLC</t>
        </is>
      </c>
      <c r="AI361" s="245">
        <f>UPPER(D361)</f>
        <v/>
      </c>
      <c r="AJ361" s="370" t="n"/>
      <c r="AK361" s="370" t="n"/>
      <c r="AL361" s="370" t="n"/>
      <c r="AM361" s="370" t="n"/>
      <c r="AN361" s="370" t="n"/>
    </row>
    <row r="362" ht="15" customHeight="1">
      <c r="A362" s="471" t="n">
        <v>8</v>
      </c>
      <c r="B362" s="245" t="n">
        <v>355</v>
      </c>
      <c r="C362" t="inlineStr">
        <is>
          <t>R0117231</t>
        </is>
      </c>
      <c r="D362" t="inlineStr">
        <is>
          <t>1861 W 64TH LN</t>
        </is>
      </c>
      <c r="E362" t="n">
        <v>344</v>
      </c>
      <c r="F362" t="inlineStr"/>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t="inlineStr">
        <is>
          <t>AIR PURIFICATION COMPANY</t>
        </is>
      </c>
      <c r="AF362" t="inlineStr">
        <is>
          <t>ACME CRE LLC</t>
        </is>
      </c>
      <c r="AI362" s="245">
        <f>UPPER(D362)</f>
        <v/>
      </c>
      <c r="AJ362" s="370" t="n"/>
      <c r="AK362" s="370" t="n"/>
      <c r="AL362" s="370" t="n"/>
      <c r="AM362" s="370" t="n"/>
      <c r="AN362" s="370" t="n"/>
    </row>
    <row r="363" ht="15" customHeight="1">
      <c r="A363" s="471" t="n">
        <v>8</v>
      </c>
      <c r="B363" s="245" t="n">
        <v>356</v>
      </c>
      <c r="C363" t="inlineStr">
        <is>
          <t>R0100737</t>
        </is>
      </c>
      <c r="D363" t="inlineStr">
        <is>
          <t>6500  FEDERAL BLVD</t>
        </is>
      </c>
      <c r="E363" t="n">
        <v>325</v>
      </c>
      <c r="F363" t="inlineStr"/>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t="inlineStr">
        <is>
          <t>NORTHLAWN PROPERTY LLC, C/O SPERRY PROPERTIES</t>
        </is>
      </c>
      <c r="AF363" t="inlineStr">
        <is>
          <t>LOCOFORTIS LLC</t>
        </is>
      </c>
      <c r="AI363" s="245">
        <f>UPPER(D363)</f>
        <v/>
      </c>
      <c r="AJ363" s="370" t="n"/>
      <c r="AK363" s="370" t="n"/>
      <c r="AL363" s="370" t="n"/>
      <c r="AM363" s="370" t="n"/>
      <c r="AN363" s="370" t="n"/>
    </row>
    <row r="364" ht="15" customHeight="1">
      <c r="A364" s="471" t="n">
        <v>8</v>
      </c>
      <c r="B364" s="245" t="n">
        <v>357</v>
      </c>
      <c r="C364" t="inlineStr">
        <is>
          <t>R0100737</t>
        </is>
      </c>
      <c r="D364" t="inlineStr">
        <is>
          <t>6500  FEDERAL BLVD</t>
        </is>
      </c>
      <c r="E364" t="n">
        <v>325</v>
      </c>
      <c r="F364" t="inlineStr"/>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t="inlineStr">
        <is>
          <t>LOCOFORTIS LLC</t>
        </is>
      </c>
      <c r="AF364" t="inlineStr">
        <is>
          <t>2626 SARIKOV LLC</t>
        </is>
      </c>
      <c r="AI364" s="245">
        <f>UPPER(D364)</f>
        <v/>
      </c>
      <c r="AJ364" s="370" t="n"/>
      <c r="AK364" s="370" t="n"/>
      <c r="AL364" s="370" t="n"/>
      <c r="AM364" s="370" t="n"/>
      <c r="AN364" s="370" t="n"/>
    </row>
    <row r="365" ht="15" customHeight="1">
      <c r="A365" s="471" t="n">
        <v>8</v>
      </c>
      <c r="B365" s="245" t="n">
        <v>358</v>
      </c>
      <c r="C365" t="inlineStr">
        <is>
          <t>R0098588</t>
        </is>
      </c>
      <c r="D365" t="inlineStr">
        <is>
          <t>6591  WASHINGTON ST</t>
        </is>
      </c>
      <c r="E365" t="n">
        <v>407</v>
      </c>
      <c r="F365" t="inlineStr"/>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t="inlineStr">
        <is>
          <t>JWBSK INVESTMENT GROUP LLC</t>
        </is>
      </c>
      <c r="AF365" t="inlineStr">
        <is>
          <t>SUBLETTE JACOBS PROPERTIES LLC</t>
        </is>
      </c>
      <c r="AI365" s="245">
        <f>UPPER(D365)</f>
        <v/>
      </c>
      <c r="AJ365" s="370" t="n"/>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t="inlineStr">
        <is>
          <t>ELWESS DAVID L</t>
        </is>
      </c>
      <c r="AF366" t="inlineStr">
        <is>
          <t>JANUARY22 PONTIAC LLC</t>
        </is>
      </c>
      <c r="AI366" s="245">
        <f>UPPER(D366)</f>
        <v/>
      </c>
      <c r="AJ366" s="370" t="n"/>
      <c r="AK366" s="370" t="n"/>
      <c r="AL366" s="370" t="n"/>
      <c r="AM366" s="370" t="n"/>
      <c r="AN366" s="370" t="n"/>
    </row>
    <row r="367" ht="15" customHeight="1">
      <c r="A367" s="471" t="n">
        <v>8</v>
      </c>
      <c r="B367" s="245" t="n">
        <v>360</v>
      </c>
      <c r="C367" t="inlineStr">
        <is>
          <t>R0071220</t>
        </is>
      </c>
      <c r="D367" t="inlineStr">
        <is>
          <t xml:space="preserve">11200  HIWAY 2 </t>
        </is>
      </c>
      <c r="E367" t="n">
        <v>406</v>
      </c>
      <c r="F367" t="inlineStr"/>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t="inlineStr">
        <is>
          <t>111489 CORPORATION INC</t>
        </is>
      </c>
      <c r="AF367" t="inlineStr">
        <is>
          <t>BK ENTERPRISES LLC</t>
        </is>
      </c>
      <c r="AI367" s="245">
        <f>UPPER(D367)</f>
        <v/>
      </c>
      <c r="AJ367" s="370" t="n"/>
      <c r="AK367" s="370" t="n"/>
      <c r="AL367" s="370" t="n"/>
      <c r="AM367" s="370" t="n"/>
      <c r="AN367" s="370" t="n"/>
    </row>
    <row r="368" ht="15" customHeight="1">
      <c r="A368" s="471" t="n">
        <v>8</v>
      </c>
      <c r="B368" s="245" t="n">
        <v>361</v>
      </c>
      <c r="C368" t="inlineStr">
        <is>
          <t>R0071220</t>
        </is>
      </c>
      <c r="D368" t="inlineStr">
        <is>
          <t xml:space="preserve">11200  HIWAY 2 </t>
        </is>
      </c>
      <c r="E368" t="n">
        <v>406</v>
      </c>
      <c r="F368" t="inlineStr"/>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t="inlineStr">
        <is>
          <t>BK ENTERPRISES LLC</t>
        </is>
      </c>
      <c r="AF368" t="inlineStr">
        <is>
          <t>13505 E 112TH V1 LLC, C/O CZD ZENITH</t>
        </is>
      </c>
      <c r="AI368" s="245">
        <f>UPPER(D368)</f>
        <v/>
      </c>
      <c r="AJ368" s="370" t="n"/>
      <c r="AK368" s="370" t="n"/>
      <c r="AL368" s="370" t="n"/>
      <c r="AM368" s="370" t="n"/>
      <c r="AN368" s="370" t="n"/>
    </row>
    <row r="369" ht="15" customHeight="1">
      <c r="A369" s="471" t="n">
        <v>8</v>
      </c>
      <c r="B369" s="245" t="n">
        <v>362</v>
      </c>
      <c r="C369" t="inlineStr">
        <is>
          <t>R0100631</t>
        </is>
      </c>
      <c r="D369" t="inlineStr">
        <is>
          <t>6780  FEDERAL BLVD</t>
        </is>
      </c>
      <c r="E369" t="n">
        <v>325</v>
      </c>
      <c r="F369" t="inlineStr"/>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t="inlineStr">
        <is>
          <t>ROBINSON JAMES E AND, ROBINSON SHARON A</t>
        </is>
      </c>
      <c r="AF369" t="inlineStr">
        <is>
          <t>SAYKALLY INVESTMENT GROUP LLC</t>
        </is>
      </c>
      <c r="AI369" s="245">
        <f>UPPER(D369)</f>
        <v/>
      </c>
      <c r="AJ369" s="370" t="n"/>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t="inlineStr">
        <is>
          <t>WASH ME III LLC</t>
        </is>
      </c>
      <c r="AF370" t="inlineStr">
        <is>
          <t>NGUYEN TAI AND, NGUYEN LOI</t>
        </is>
      </c>
      <c r="AI370" s="245">
        <f>UPPER(D370)</f>
        <v/>
      </c>
      <c r="AJ370" s="370" t="n"/>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t="inlineStr">
        <is>
          <t>G6 HOSPITALITY PROPERTY LLC</t>
        </is>
      </c>
      <c r="AF371" t="inlineStr">
        <is>
          <t>D THOR HOTEL LLC</t>
        </is>
      </c>
      <c r="AI371" s="245">
        <f>UPPER(D371)</f>
        <v/>
      </c>
      <c r="AJ371" s="370" t="n"/>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t="inlineStr">
        <is>
          <t>CUBE SMART LP #229</t>
        </is>
      </c>
      <c r="AF372" t="inlineStr">
        <is>
          <t>SELF-STORAGE PORTFOLIO  XIV DST</t>
        </is>
      </c>
      <c r="AI372" s="245">
        <f>UPPER(D372)</f>
        <v/>
      </c>
      <c r="AJ372" s="370" t="n"/>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t="inlineStr">
        <is>
          <t>BERGH CALE AND, BERGH KAREN</t>
        </is>
      </c>
      <c r="AF373" t="inlineStr">
        <is>
          <t>CLANDERSON LLC ET AL</t>
        </is>
      </c>
      <c r="AI373" s="245">
        <f>UPPER(D373)</f>
        <v/>
      </c>
      <c r="AJ373" s="370" t="n"/>
      <c r="AK373" s="370" t="n"/>
      <c r="AL373" s="370" t="n"/>
      <c r="AM373" s="370" t="n"/>
      <c r="AN373" s="370" t="n"/>
    </row>
    <row r="374" ht="15" customHeight="1">
      <c r="A374" s="471" t="n">
        <v>8</v>
      </c>
      <c r="B374" s="245" t="n">
        <v>367</v>
      </c>
      <c r="C374" t="inlineStr">
        <is>
          <t>R0013647</t>
        </is>
      </c>
      <c r="D374" t="inlineStr">
        <is>
          <t>12251  BRIGHTON RD</t>
        </is>
      </c>
      <c r="E374" t="n">
        <v>325</v>
      </c>
      <c r="F374" t="inlineStr"/>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t="inlineStr">
        <is>
          <t>PAPOI HAROLD M</t>
        </is>
      </c>
      <c r="AF374" t="inlineStr">
        <is>
          <t>SHURTLEFF JOSEPH AND, SHURTLEFF MINDY</t>
        </is>
      </c>
      <c r="AI374" s="245">
        <f>UPPER(D374)</f>
        <v/>
      </c>
      <c r="AJ374" s="370" t="n"/>
      <c r="AK374" s="370" t="n"/>
      <c r="AL374" s="370" t="n"/>
      <c r="AM374" s="370" t="n"/>
      <c r="AN374" s="370" t="n"/>
    </row>
    <row r="375" ht="15" customHeight="1">
      <c r="A375" s="471" t="n">
        <v>8</v>
      </c>
      <c r="B375" s="245" t="n">
        <v>368</v>
      </c>
      <c r="C375" t="inlineStr">
        <is>
          <t>R0013688</t>
        </is>
      </c>
      <c r="D375" t="inlineStr">
        <is>
          <t>12345  BRIGHTON RD</t>
        </is>
      </c>
      <c r="E375" t="n">
        <v>353</v>
      </c>
      <c r="F375" t="inlineStr"/>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t="inlineStr">
        <is>
          <t>KIM SO YEON</t>
        </is>
      </c>
      <c r="AF375" t="inlineStr">
        <is>
          <t>YI YOUNG JIN AND, HARN GWI SUK</t>
        </is>
      </c>
      <c r="AI375" s="245">
        <f>UPPER(D375)</f>
        <v/>
      </c>
      <c r="AJ375" s="370" t="n"/>
      <c r="AK375" s="370" t="n"/>
      <c r="AL375" s="370" t="n"/>
      <c r="AM375" s="370" t="n"/>
      <c r="AN375" s="370" t="n"/>
    </row>
    <row r="376" ht="15" customHeight="1">
      <c r="A376" s="471" t="n">
        <v>8</v>
      </c>
      <c r="B376" s="245" t="n">
        <v>369</v>
      </c>
      <c r="C376" t="inlineStr">
        <is>
          <t>R0058010</t>
        </is>
      </c>
      <c r="D376" t="inlineStr">
        <is>
          <t>2025  NUEVA VISTA DR</t>
        </is>
      </c>
      <c r="E376" t="n">
        <v>434</v>
      </c>
      <c r="F376" t="inlineStr"/>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t="inlineStr">
        <is>
          <t>GENS ROBERT M</t>
        </is>
      </c>
      <c r="AF376" t="inlineStr">
        <is>
          <t>SPLASH CAR WASH LLC</t>
        </is>
      </c>
      <c r="AI376" s="245">
        <f>UPPER(D376)</f>
        <v/>
      </c>
      <c r="AJ376" s="370" t="n"/>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t="inlineStr">
        <is>
          <t>MITECH LLC</t>
        </is>
      </c>
      <c r="AF377" t="inlineStr">
        <is>
          <t>FRC HOLDINGS LLC</t>
        </is>
      </c>
      <c r="AI377" s="245">
        <f>UPPER(D377)</f>
        <v/>
      </c>
      <c r="AJ377" s="370" t="n"/>
      <c r="AK377" s="370" t="n"/>
      <c r="AL377" s="370" t="n"/>
      <c r="AM377" s="370" t="n"/>
      <c r="AN377" s="370" t="n"/>
    </row>
    <row r="378" ht="15" customHeight="1">
      <c r="A378" s="471" t="n">
        <v>8</v>
      </c>
      <c r="B378" s="245" t="n">
        <v>371</v>
      </c>
      <c r="C378" t="inlineStr">
        <is>
          <t>R0069190</t>
        </is>
      </c>
      <c r="D378" t="inlineStr">
        <is>
          <t>7667  WASHINGTON ST</t>
        </is>
      </c>
      <c r="E378" t="n">
        <v>353</v>
      </c>
      <c r="F378" t="inlineStr"/>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t="inlineStr">
        <is>
          <t>ADDUCCI LISA M ET AL</t>
        </is>
      </c>
      <c r="AF378" t="inlineStr">
        <is>
          <t>7667 WASHINGTON ST LLC</t>
        </is>
      </c>
      <c r="AI378" s="245">
        <f>UPPER(D378)</f>
        <v/>
      </c>
      <c r="AJ378" s="370" t="n"/>
      <c r="AK378" s="370" t="n"/>
      <c r="AL378" s="370" t="n"/>
      <c r="AM378" s="370" t="n"/>
      <c r="AN378" s="370" t="n"/>
    </row>
    <row r="379" ht="15" customHeight="1">
      <c r="A379" s="471" t="n">
        <v>8</v>
      </c>
      <c r="B379" s="245" t="n">
        <v>372</v>
      </c>
      <c r="C379" t="inlineStr">
        <is>
          <t>R0068515</t>
        </is>
      </c>
      <c r="D379" t="inlineStr">
        <is>
          <t>7333  PECOS ST</t>
        </is>
      </c>
      <c r="E379" t="n">
        <v>343</v>
      </c>
      <c r="F379" t="inlineStr"/>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t="inlineStr">
        <is>
          <t>VENTURE HOSPITALITY INC</t>
        </is>
      </c>
      <c r="AF379" t="inlineStr">
        <is>
          <t>CO VENTURE LLC</t>
        </is>
      </c>
      <c r="AI379" s="245">
        <f>UPPER(D379)</f>
        <v/>
      </c>
      <c r="AJ379" s="370" t="n"/>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t="inlineStr">
        <is>
          <t>SONNENFELD QUENTON D AND, SONNENFELD SHARON A</t>
        </is>
      </c>
      <c r="AF380" t="inlineStr">
        <is>
          <t>ASR LLC</t>
        </is>
      </c>
      <c r="AI380" s="245">
        <f>UPPER(D380)</f>
        <v/>
      </c>
      <c r="AJ380" s="370" t="n"/>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t="inlineStr">
        <is>
          <t>BATES FAMILY  TRUST</t>
        </is>
      </c>
      <c r="AF381" t="inlineStr">
        <is>
          <t>AMERICAN ENTERPRISES  LTD</t>
        </is>
      </c>
      <c r="AI381" s="245">
        <f>UPPER(D381)</f>
        <v/>
      </c>
      <c r="AJ381" s="370" t="n"/>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P382" t="inlineStr"/>
      <c r="R382" t="inlineStr">
        <is>
          <t>Average</t>
        </is>
      </c>
      <c r="S382" t="n">
        <v>15600</v>
      </c>
      <c r="T382" s="467">
        <f>S382/J382</f>
        <v/>
      </c>
      <c r="U382" t="inlineStr">
        <is>
          <t>Average</t>
        </is>
      </c>
      <c r="Y382" t="n">
        <v>607000</v>
      </c>
      <c r="AA382" t="n">
        <v>607000</v>
      </c>
      <c r="AC382" t="inlineStr">
        <is>
          <t>0171932417050</t>
        </is>
      </c>
      <c r="AD382" t="inlineStr">
        <is>
          <t>2019000038513</t>
        </is>
      </c>
      <c r="AE382" t="inlineStr">
        <is>
          <t>REGASSA TEFERA AND, HAILE ABAYNESH</t>
        </is>
      </c>
      <c r="AF382" t="inlineStr">
        <is>
          <t>HAGOS BARAKI G AND, GAZE RAHWA MEHRETEAB</t>
        </is>
      </c>
      <c r="AI382" s="245">
        <f>UPPER(D382)</f>
        <v/>
      </c>
      <c r="AJ382" s="370" t="n"/>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P383" t="inlineStr"/>
      <c r="R383" t="inlineStr">
        <is>
          <t>Good</t>
        </is>
      </c>
      <c r="S383" t="n">
        <v>553942</v>
      </c>
      <c r="T383" s="467">
        <f>S383/J383</f>
        <v/>
      </c>
      <c r="U383" t="inlineStr">
        <is>
          <t>Good</t>
        </is>
      </c>
      <c r="Y383" t="n">
        <v>17100000</v>
      </c>
      <c r="AA383" t="n">
        <v>17100000</v>
      </c>
      <c r="AC383" t="inlineStr">
        <is>
          <t>0157333302003</t>
        </is>
      </c>
      <c r="AD383" t="inlineStr">
        <is>
          <t>2018000044310</t>
        </is>
      </c>
      <c r="AE383" t="inlineStr">
        <is>
          <t>NORTHRIDGE EQUITIES LLC</t>
        </is>
      </c>
      <c r="AF383" t="inlineStr">
        <is>
          <t>NORTHRIDGE PROPERTY OWNER LLC UND 64.29% INT AND , WESTMINSTER 121 LLC UN et al.</t>
        </is>
      </c>
      <c r="AI383" s="245">
        <f>UPPER(D383)</f>
        <v/>
      </c>
      <c r="AJ383" s="370" t="n"/>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t="inlineStr">
        <is>
          <t>HIGHVIEW REALESTATE HOLDINGS LLC</t>
        </is>
      </c>
      <c r="AF384" t="inlineStr">
        <is>
          <t>11178 HURON ST LLC</t>
        </is>
      </c>
      <c r="AI384" s="245">
        <f>UPPER(D384)</f>
        <v/>
      </c>
      <c r="AJ384" s="370" t="n"/>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t="inlineStr">
        <is>
          <t xml:space="preserve">120 HOLMAN LLC, C/O TRUSTED ACCOUNTING </t>
        </is>
      </c>
      <c r="AF385" t="inlineStr">
        <is>
          <t>MLS PROPERTIES LLC</t>
        </is>
      </c>
      <c r="AI385" s="245">
        <f>UPPER(D385)</f>
        <v/>
      </c>
      <c r="AJ385" s="370" t="n"/>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P386" t="inlineStr"/>
      <c r="R386" t="inlineStr">
        <is>
          <t>Average</t>
        </is>
      </c>
      <c r="S386" t="n">
        <v>6448</v>
      </c>
      <c r="T386" s="467">
        <f>S386/J386</f>
        <v/>
      </c>
      <c r="U386" t="inlineStr">
        <is>
          <t>Average</t>
        </is>
      </c>
      <c r="Y386" t="n">
        <v>233500</v>
      </c>
      <c r="AA386" t="n">
        <v>233500</v>
      </c>
      <c r="AC386" t="inlineStr">
        <is>
          <t>0182305221048</t>
        </is>
      </c>
      <c r="AD386" t="inlineStr">
        <is>
          <t>2018000085734</t>
        </is>
      </c>
      <c r="AE386" t="inlineStr">
        <is>
          <t>GLOBAL IMAGES ENTERPRISES LLC, C/O ERIC SURRATT</t>
        </is>
      </c>
      <c r="AF386" t="inlineStr">
        <is>
          <t>MCE PROPERTY I GROUP LLC</t>
        </is>
      </c>
      <c r="AI386" s="245">
        <f>UPPER(D386)</f>
        <v/>
      </c>
      <c r="AJ386" s="370" t="n"/>
      <c r="AK386" s="370" t="n"/>
      <c r="AL386" s="370" t="n"/>
      <c r="AM386" s="370" t="n"/>
      <c r="AN386" s="370" t="n"/>
    </row>
    <row r="387" ht="15" customHeight="1">
      <c r="A387" s="471" t="n">
        <v>8</v>
      </c>
      <c r="B387" s="245" t="n">
        <v>380</v>
      </c>
      <c r="C387" t="inlineStr">
        <is>
          <t>R0077400</t>
        </is>
      </c>
      <c r="D387" t="inlineStr">
        <is>
          <t>8401 BRIGHTON RD</t>
        </is>
      </c>
      <c r="E387" t="n">
        <v>325</v>
      </c>
      <c r="F387" t="inlineStr"/>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t="inlineStr">
        <is>
          <t>DELUXE CUSTOM WOOD FINISH CORP</t>
        </is>
      </c>
      <c r="AF387" t="inlineStr">
        <is>
          <t>EUCLID ELEMENTS LLC</t>
        </is>
      </c>
      <c r="AI387" s="245">
        <f>UPPER(D387)</f>
        <v/>
      </c>
      <c r="AJ387" s="370" t="n"/>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t="inlineStr">
        <is>
          <t>5790 DAHLIA INVESTMENT LLC</t>
        </is>
      </c>
      <c r="AF388" t="inlineStr">
        <is>
          <t>DISCO CAPITAL LLC</t>
        </is>
      </c>
      <c r="AI388" s="245">
        <f>UPPER(D388)</f>
        <v/>
      </c>
      <c r="AJ388" s="370" t="n"/>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t="inlineStr">
        <is>
          <t>SPEEDMAN PROPERTIES LLC</t>
        </is>
      </c>
      <c r="AF389" t="inlineStr">
        <is>
          <t>COLORADO KARETE CLUB</t>
        </is>
      </c>
      <c r="AI389" s="245">
        <f>UPPER(D389)</f>
        <v/>
      </c>
      <c r="AJ389" s="370" t="n"/>
      <c r="AK389" s="370" t="n"/>
      <c r="AL389" s="370" t="n"/>
      <c r="AM389" s="370" t="n"/>
      <c r="AN389" s="370" t="n"/>
    </row>
    <row r="390" ht="15" customHeight="1">
      <c r="A390" s="471" t="n">
        <v>8</v>
      </c>
      <c r="B390" s="245" t="n">
        <v>383</v>
      </c>
      <c r="C390" t="inlineStr">
        <is>
          <t>R0103576</t>
        </is>
      </c>
      <c r="D390" t="inlineStr">
        <is>
          <t>5641  WASHINGTON ST</t>
        </is>
      </c>
      <c r="E390" t="n">
        <v>334</v>
      </c>
      <c r="F390" t="inlineStr"/>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t="inlineStr">
        <is>
          <t>BNC SERVICES LLC</t>
        </is>
      </c>
      <c r="AF390" t="inlineStr">
        <is>
          <t>5641 N WASHINGTON LLC</t>
        </is>
      </c>
      <c r="AI390" s="245">
        <f>UPPER(D390)</f>
        <v/>
      </c>
      <c r="AJ390" s="370" t="n"/>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t="inlineStr">
        <is>
          <t>J L FAIRFAX LLC</t>
        </is>
      </c>
      <c r="AF391" t="inlineStr">
        <is>
          <t>GTCLS 5701 COLFAX RD LLC</t>
        </is>
      </c>
      <c r="AI391" s="245">
        <f>UPPER(D391)</f>
        <v/>
      </c>
      <c r="AJ391" s="370" t="n"/>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t="inlineStr">
        <is>
          <t>SEMANTIC REALTY LLC, C/O 7 ELEVEN INC ATTN TAX DEPT 37033</t>
        </is>
      </c>
      <c r="AF392" t="inlineStr">
        <is>
          <t>US-STABLE-P1 18351 EAST , COLFAX AVENUE AURORA LLC</t>
        </is>
      </c>
      <c r="AI392" s="245">
        <f>UPPER(D392)</f>
        <v/>
      </c>
      <c r="AJ392" s="370" t="n"/>
      <c r="AK392" s="370" t="n"/>
      <c r="AL392" s="370" t="n"/>
      <c r="AM392" s="370" t="n"/>
      <c r="AN392" s="370" t="n"/>
    </row>
    <row r="393" ht="15" customHeight="1">
      <c r="A393" s="471" t="n">
        <v>8</v>
      </c>
      <c r="B393" s="245" t="n">
        <v>386</v>
      </c>
      <c r="C393" t="inlineStr">
        <is>
          <t>R0117237</t>
        </is>
      </c>
      <c r="D393" t="inlineStr">
        <is>
          <t>1830 W 64TH LN</t>
        </is>
      </c>
      <c r="E393" t="n">
        <v>406</v>
      </c>
      <c r="F393" t="inlineStr"/>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t="inlineStr">
        <is>
          <t>MARK ALLEN BUTMAN LIVING TRUST</t>
        </is>
      </c>
      <c r="AF393" t="inlineStr">
        <is>
          <t>L &amp; M UNDERGROUND INC</t>
        </is>
      </c>
      <c r="AI393" s="245">
        <f>UPPER(D393)</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t="inlineStr">
        <is>
          <t>BPAZ HOLDINGS 12 LLC</t>
        </is>
      </c>
      <c r="AF394" t="inlineStr">
        <is>
          <t>DEN INDUSTRIAL 1 LLC</t>
        </is>
      </c>
      <c r="AI394" s="245">
        <f>UPPER(D394)</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t="inlineStr">
        <is>
          <t>A AND A LLC</t>
        </is>
      </c>
      <c r="AF395" t="inlineStr">
        <is>
          <t>HIGHLAND PROPERTIES 4018 LLC</t>
        </is>
      </c>
      <c r="AI395" s="245">
        <f>UPPER(D395)</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t="inlineStr">
        <is>
          <t>GARCIA LUIS AND, GARCIA MARIBEL</t>
        </is>
      </c>
      <c r="AF396" t="inlineStr">
        <is>
          <t>MARIMBAL LLC</t>
        </is>
      </c>
      <c r="AI396" s="245">
        <f>UPPER(D396)</f>
        <v/>
      </c>
    </row>
    <row r="397" ht="15" customHeight="1">
      <c r="A397" s="471" t="n">
        <v>8</v>
      </c>
      <c r="B397" s="245" t="n">
        <v>390</v>
      </c>
      <c r="C397" t="inlineStr">
        <is>
          <t>R0103674</t>
        </is>
      </c>
      <c r="D397" t="inlineStr">
        <is>
          <t>1480 E 61ST AVE</t>
        </is>
      </c>
      <c r="E397" t="n">
        <v>334</v>
      </c>
      <c r="F397" t="inlineStr"/>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t="inlineStr">
        <is>
          <t>FAULTLESS LAUNDRY COMPANY</t>
        </is>
      </c>
      <c r="AF397" t="inlineStr">
        <is>
          <t>NM FHL LLC, C/O NEW MOUNTAIN NET LEASE ACQUISITION CORP</t>
        </is>
      </c>
      <c r="AI397" s="245">
        <f>UPPER(D397)</f>
        <v/>
      </c>
    </row>
    <row r="398" ht="15" customHeight="1">
      <c r="A398" s="471" t="n">
        <v>8</v>
      </c>
      <c r="B398" s="245" t="n">
        <v>391</v>
      </c>
      <c r="C398" t="inlineStr">
        <is>
          <t>R0103723</t>
        </is>
      </c>
      <c r="D398" t="inlineStr">
        <is>
          <t>5970  MARION DR</t>
        </is>
      </c>
      <c r="E398" t="n">
        <v>407</v>
      </c>
      <c r="F398" t="inlineStr"/>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t="inlineStr">
        <is>
          <t>WERNSTEIN PROPERTIES INC</t>
        </is>
      </c>
      <c r="AF398" t="inlineStr">
        <is>
          <t>5970 MARION DRIVE LLC</t>
        </is>
      </c>
      <c r="AI398" s="245">
        <f>UPPER(D398)</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t="inlineStr">
        <is>
          <t>CMS HOLDINGS LLC</t>
        </is>
      </c>
      <c r="AF399" t="inlineStr">
        <is>
          <t>SWEET ABUNDANCE LLC</t>
        </is>
      </c>
      <c r="AI399" s="245">
        <f>UPPER(D399)</f>
        <v/>
      </c>
    </row>
    <row r="400" ht="15" customHeight="1">
      <c r="A400" s="471" t="n">
        <v>8</v>
      </c>
      <c r="B400" s="245" t="n">
        <v>393</v>
      </c>
      <c r="C400" t="inlineStr">
        <is>
          <t>R0110659</t>
        </is>
      </c>
      <c r="D400" t="inlineStr">
        <is>
          <t>1291 E 54TH AVE</t>
        </is>
      </c>
      <c r="E400" t="n">
        <v>407</v>
      </c>
      <c r="F400" t="inlineStr"/>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t="inlineStr">
        <is>
          <t>DENVER ELECTRICAL JOINT APPRENTICESHIP, AND TRAINING TRUST FUND A TRUST</t>
        </is>
      </c>
      <c r="AF400" t="inlineStr">
        <is>
          <t>PROSOSKI INVESTMENTS LLC</t>
        </is>
      </c>
      <c r="AI400" s="245">
        <f>UPPER(D400)</f>
        <v/>
      </c>
    </row>
    <row r="401" ht="15" customHeight="1">
      <c r="A401" s="471" t="n">
        <v>8</v>
      </c>
      <c r="B401" s="245" t="n">
        <v>394</v>
      </c>
      <c r="C401" t="inlineStr">
        <is>
          <t>R0103765</t>
        </is>
      </c>
      <c r="D401" t="inlineStr">
        <is>
          <t>1200 E 58TH AVE</t>
        </is>
      </c>
      <c r="E401" t="n">
        <v>407</v>
      </c>
      <c r="F401" t="inlineStr"/>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t="inlineStr">
        <is>
          <t>WELBY ASSOCIATES LLC, C/O TIMOTHY J MCMANUS</t>
        </is>
      </c>
      <c r="AF401" t="inlineStr">
        <is>
          <t>ZARA ES LLC</t>
        </is>
      </c>
      <c r="AI401" s="245">
        <f>UPPER(D401)</f>
        <v/>
      </c>
    </row>
    <row r="402" ht="15" customHeight="1">
      <c r="A402" s="471" t="n">
        <v>8</v>
      </c>
      <c r="B402" s="245" t="n">
        <v>395</v>
      </c>
      <c r="C402" t="inlineStr">
        <is>
          <t>R0068508</t>
        </is>
      </c>
      <c r="D402" t="inlineStr">
        <is>
          <t>7290  SAMUEL DR</t>
        </is>
      </c>
      <c r="E402" t="n">
        <v>344</v>
      </c>
      <c r="F402" t="inlineStr"/>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t="inlineStr">
        <is>
          <t>WALBLAKE LLC</t>
        </is>
      </c>
      <c r="AF402" t="inlineStr">
        <is>
          <t>1616 CHAMPA LLC</t>
        </is>
      </c>
      <c r="AI402" s="245">
        <f>UPPER(D402)</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t="inlineStr">
        <is>
          <t>PROVASI KENNETH D TRUST THE</t>
        </is>
      </c>
      <c r="AF403" t="inlineStr">
        <is>
          <t>CRM REAL ESTATE HOLDINGS LLC</t>
        </is>
      </c>
      <c r="AI403" s="245">
        <f>UPPER(D403)</f>
        <v/>
      </c>
    </row>
    <row r="404" ht="15" customHeight="1">
      <c r="A404" s="471" t="n">
        <v>8</v>
      </c>
      <c r="B404" s="245" t="n">
        <v>397</v>
      </c>
      <c r="C404" t="inlineStr">
        <is>
          <t>R0103416</t>
        </is>
      </c>
      <c r="D404" t="inlineStr">
        <is>
          <t>5686  PECOS ST</t>
        </is>
      </c>
      <c r="E404" t="n">
        <v>442</v>
      </c>
      <c r="F404" t="inlineStr"/>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t="inlineStr">
        <is>
          <t>CASTILLO THEODORE G</t>
        </is>
      </c>
      <c r="AF404" t="inlineStr">
        <is>
          <t>BOOM BOX RE LLC</t>
        </is>
      </c>
      <c r="AI404" s="245">
        <f>UPPER(D404)</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t="inlineStr">
        <is>
          <t>HERDING BUTTERFLIES</t>
        </is>
      </c>
      <c r="AF405" t="inlineStr">
        <is>
          <t>BAB 1790 E BRIDGE STREET LLC</t>
        </is>
      </c>
      <c r="AI405" s="245">
        <f>UPPER(D405)</f>
        <v/>
      </c>
    </row>
    <row r="406" ht="15" customHeight="1">
      <c r="A406" s="471" t="n">
        <v>8</v>
      </c>
      <c r="B406" s="245" t="n">
        <v>399</v>
      </c>
      <c r="C406" t="inlineStr">
        <is>
          <t>R0098081</t>
        </is>
      </c>
      <c r="D406" t="inlineStr">
        <is>
          <t>851  HIGHWAY 224 #A5</t>
        </is>
      </c>
      <c r="E406" t="n">
        <v>425</v>
      </c>
      <c r="F406" t="inlineStr"/>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t="inlineStr">
        <is>
          <t>SCG ONE LIMITED PARTNERSHIP</t>
        </is>
      </c>
      <c r="AF406" t="inlineStr">
        <is>
          <t>LI YUE</t>
        </is>
      </c>
      <c r="AI406" s="245">
        <f>UPPER(D406)</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t="inlineStr">
        <is>
          <t>ZAYAC PROPERTIES PEARL LLLP, C/O PROCLEAN AUTO WASH</t>
        </is>
      </c>
      <c r="AF407" t="inlineStr">
        <is>
          <t>BLANCO PROPERTIES PEARL LLC</t>
        </is>
      </c>
      <c r="AI407" s="245">
        <f>UPPER(D407)</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t="inlineStr">
        <is>
          <t>WISE HIROMI T</t>
        </is>
      </c>
      <c r="AF408" t="inlineStr">
        <is>
          <t>2 US 4VR LLC</t>
        </is>
      </c>
      <c r="AI408" s="245">
        <f>UPPER(D408)</f>
        <v/>
      </c>
    </row>
    <row r="409" ht="15" customHeight="1">
      <c r="A409" s="471" t="n">
        <v>8</v>
      </c>
      <c r="B409" s="245" t="n">
        <v>402</v>
      </c>
      <c r="C409" t="inlineStr">
        <is>
          <t>R0104023</t>
        </is>
      </c>
      <c r="D409" t="inlineStr">
        <is>
          <t>520 E 56TH AVE</t>
        </is>
      </c>
      <c r="E409" t="n">
        <v>407</v>
      </c>
      <c r="F409" t="inlineStr"/>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t="inlineStr">
        <is>
          <t>520 E 56TH LLC</t>
        </is>
      </c>
      <c r="AF409" t="inlineStr">
        <is>
          <t>GZSC HOLDING LLC</t>
        </is>
      </c>
      <c r="AI409" s="245">
        <f>UPPER(D409)</f>
        <v/>
      </c>
    </row>
    <row r="410" ht="15" customHeight="1">
      <c r="A410" s="471" t="n">
        <v>8</v>
      </c>
      <c r="B410" s="245" t="n">
        <v>403</v>
      </c>
      <c r="C410" t="inlineStr">
        <is>
          <t>R0104023</t>
        </is>
      </c>
      <c r="D410" t="inlineStr">
        <is>
          <t>520 E 56TH AVE</t>
        </is>
      </c>
      <c r="E410" t="n">
        <v>407</v>
      </c>
      <c r="F410" t="inlineStr"/>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t="inlineStr">
        <is>
          <t>520 EAST 56TH LLC</t>
        </is>
      </c>
      <c r="AF410" t="inlineStr">
        <is>
          <t>520 E 56TH LLC</t>
        </is>
      </c>
      <c r="AI410" s="245">
        <f>UPPER(D410)</f>
        <v/>
      </c>
    </row>
    <row r="411" ht="15" customHeight="1">
      <c r="A411" s="471" t="n">
        <v>8</v>
      </c>
      <c r="B411" s="245" t="n">
        <v>404</v>
      </c>
      <c r="C411" t="inlineStr">
        <is>
          <t>R0104041</t>
        </is>
      </c>
      <c r="D411" t="inlineStr">
        <is>
          <t>387 E 55TH AVE</t>
        </is>
      </c>
      <c r="E411" t="n">
        <v>325</v>
      </c>
      <c r="F411" t="inlineStr"/>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t="inlineStr">
        <is>
          <t>WATER WOLF LLC</t>
        </is>
      </c>
      <c r="AF411" t="inlineStr">
        <is>
          <t>TOM COOK &amp; ASSOCIATES LLC</t>
        </is>
      </c>
      <c r="AI411" s="245">
        <f>UPPER(D411)</f>
        <v/>
      </c>
    </row>
    <row r="412" ht="15" customHeight="1">
      <c r="A412" s="471" t="n">
        <v>8</v>
      </c>
      <c r="B412" s="245" t="n">
        <v>405</v>
      </c>
      <c r="C412" t="inlineStr">
        <is>
          <t>R0104094</t>
        </is>
      </c>
      <c r="D412" t="inlineStr">
        <is>
          <t>5203  LINCOLN ST</t>
        </is>
      </c>
      <c r="E412" t="n">
        <v>406</v>
      </c>
      <c r="F412" t="inlineStr"/>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t="inlineStr">
        <is>
          <t>CORLESS-KENNEDY LORI K</t>
        </is>
      </c>
      <c r="AF412" t="inlineStr">
        <is>
          <t>5203 LLC</t>
        </is>
      </c>
      <c r="AI412" s="245">
        <f>UPPER(D412)</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t="inlineStr">
        <is>
          <t>C AND N REAL ESTATE LLC</t>
        </is>
      </c>
      <c r="AF413" t="inlineStr">
        <is>
          <t>REVIVAL REAL ESTATE</t>
        </is>
      </c>
      <c r="AI413" s="245">
        <f>UPPER(D413)</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t="inlineStr">
        <is>
          <t>BROWN TERRY L</t>
        </is>
      </c>
      <c r="AF414" t="inlineStr">
        <is>
          <t>JAB HOLDINGS LLC</t>
        </is>
      </c>
      <c r="AI414" s="245">
        <f>UPPER(D414)</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t="inlineStr">
        <is>
          <t>FAMILY BUSINESS INC</t>
        </is>
      </c>
      <c r="AF415" t="inlineStr">
        <is>
          <t>AURORA INVESTMENT GROUP LLC</t>
        </is>
      </c>
      <c r="AI415" s="245">
        <f>UPPER(D415)</f>
        <v/>
      </c>
    </row>
    <row r="416" ht="15" customHeight="1">
      <c r="A416" s="471" t="n">
        <v>8</v>
      </c>
      <c r="B416" s="245" t="n">
        <v>409</v>
      </c>
      <c r="C416" t="inlineStr">
        <is>
          <t>R0097919</t>
        </is>
      </c>
      <c r="D416" t="inlineStr">
        <is>
          <t>2350 E 70TH AVE</t>
        </is>
      </c>
      <c r="E416" t="n">
        <v>406</v>
      </c>
      <c r="F416" t="inlineStr"/>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t="inlineStr">
        <is>
          <t>HILLTOP SUBDIVISION, PARTNERSHIP</t>
        </is>
      </c>
      <c r="AF416" t="inlineStr">
        <is>
          <t>MITO REALTY LLC</t>
        </is>
      </c>
      <c r="AI416" s="245">
        <f>UPPER(D416)</f>
        <v/>
      </c>
    </row>
    <row r="417" ht="15" customHeight="1">
      <c r="A417" s="471" t="n">
        <v>8</v>
      </c>
      <c r="B417" s="245" t="n">
        <v>410</v>
      </c>
      <c r="C417" t="inlineStr">
        <is>
          <t>R0070638</t>
        </is>
      </c>
      <c r="D417" t="inlineStr">
        <is>
          <t>7570  BROADWAY ST</t>
        </is>
      </c>
      <c r="E417" t="n">
        <v>353</v>
      </c>
      <c r="F417" t="inlineStr"/>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t="inlineStr">
        <is>
          <t>ALPHA AND GREEN ENTERPRISES LLC</t>
        </is>
      </c>
      <c r="AF417" t="inlineStr">
        <is>
          <t>ASK LLC</t>
        </is>
      </c>
      <c r="AI417" s="245">
        <f>UPPER(D417)</f>
        <v/>
      </c>
    </row>
    <row r="418" ht="15" customHeight="1">
      <c r="A418" s="471" t="n">
        <v>8</v>
      </c>
      <c r="B418" s="245" t="n">
        <v>411</v>
      </c>
      <c r="C418" t="inlineStr">
        <is>
          <t>R0103454</t>
        </is>
      </c>
      <c r="D418" t="inlineStr">
        <is>
          <t>6331  WASHINGTON ST</t>
        </is>
      </c>
      <c r="E418" t="n">
        <v>419</v>
      </c>
      <c r="F418" t="inlineStr"/>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t="inlineStr">
        <is>
          <t>VAHN LIVING TRUST THE , C/O MATRIX GROUP INC</t>
        </is>
      </c>
      <c r="AF418" t="inlineStr">
        <is>
          <t>BV 64 WA LLC</t>
        </is>
      </c>
      <c r="AI418" s="245">
        <f>UPPER(D418)</f>
        <v/>
      </c>
    </row>
    <row r="419" ht="15" customHeight="1">
      <c r="A419" s="471" t="n">
        <v>8</v>
      </c>
      <c r="B419" s="245" t="n">
        <v>412</v>
      </c>
      <c r="C419" t="inlineStr">
        <is>
          <t>R0103524</t>
        </is>
      </c>
      <c r="D419" t="inlineStr">
        <is>
          <t>5919  BROADWAY ST</t>
        </is>
      </c>
      <c r="E419" t="n">
        <v>407</v>
      </c>
      <c r="F419" t="inlineStr"/>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t="inlineStr">
        <is>
          <t>5919 N BROADWAY LLC</t>
        </is>
      </c>
      <c r="AF419" t="inlineStr">
        <is>
          <t>KUNZMAN MICHAEL AND, CORBITO CARINA</t>
        </is>
      </c>
      <c r="AI419" s="245">
        <f>UPPER(D419)</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t="inlineStr">
        <is>
          <t>MORGAN BRIAN M, MORGAN LINDA LIVING TRUST</t>
        </is>
      </c>
      <c r="AF420" t="inlineStr">
        <is>
          <t>SHOCKLEY MICHELLE</t>
        </is>
      </c>
      <c r="AI420" s="245">
        <f>UPPER(D420)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t="inlineStr">
        <is>
          <t>STORAGE ONE ELIZABETH LLC</t>
        </is>
      </c>
      <c r="AF421" t="inlineStr">
        <is>
          <t>CASABLANCA LLC</t>
        </is>
      </c>
      <c r="AI421" s="245">
        <f>UPPER(D421)</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t="inlineStr">
        <is>
          <t>ROBB INC</t>
        </is>
      </c>
      <c r="AF422" t="inlineStr">
        <is>
          <t>301 SOUTH MAIN LLC</t>
        </is>
      </c>
      <c r="AI422" s="245">
        <f>UPPER(D422)</f>
        <v/>
      </c>
    </row>
    <row r="423" ht="15" customHeight="1">
      <c r="A423" s="471" t="n">
        <v>8</v>
      </c>
      <c r="B423" s="245" t="n">
        <v>416</v>
      </c>
      <c r="C423" t="inlineStr">
        <is>
          <t>R0070612</t>
        </is>
      </c>
      <c r="D423" t="inlineStr">
        <is>
          <t>7261  WASHINGTON ST</t>
        </is>
      </c>
      <c r="E423" t="n">
        <v>344</v>
      </c>
      <c r="F423" t="inlineStr"/>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t="inlineStr">
        <is>
          <t>J D STEEL COMPANY INC</t>
        </is>
      </c>
      <c r="AF423" t="inlineStr">
        <is>
          <t>ABP INVESTMENTS LLC</t>
        </is>
      </c>
      <c r="AI423" s="245">
        <f>UPPER(D423)</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t="inlineStr">
        <is>
          <t>BEHESHTI ABBAS S</t>
        </is>
      </c>
      <c r="AF424" t="inlineStr">
        <is>
          <t>MUNOZ ROGELIO AND, MUNOZ ALICIA</t>
        </is>
      </c>
      <c r="AI424" s="245">
        <f>UPPER(D424)</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t="inlineStr">
        <is>
          <t>WASHINGTON SQUARE PARTNERS LLC</t>
        </is>
      </c>
      <c r="AF425" t="inlineStr">
        <is>
          <t>SCROLL PROPERTIES LLC</t>
        </is>
      </c>
      <c r="AI425" s="245">
        <f>UPPER(D425)</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t="inlineStr">
        <is>
          <t>JACOBS BRENDA SUE</t>
        </is>
      </c>
      <c r="AF426" t="inlineStr">
        <is>
          <t>BRE INVESTMENTS LTD AND, BAMA LLC</t>
        </is>
      </c>
      <c r="AI426" s="245">
        <f>UPPER(D426)</f>
        <v/>
      </c>
    </row>
    <row r="427" ht="15" customHeight="1">
      <c r="A427" s="471" t="n">
        <v>8</v>
      </c>
      <c r="B427" s="245" t="n">
        <v>420</v>
      </c>
      <c r="C427" t="inlineStr">
        <is>
          <t>R0083500</t>
        </is>
      </c>
      <c r="D427" t="inlineStr">
        <is>
          <t>37400 ASTRA WY</t>
        </is>
      </c>
      <c r="E427" t="n">
        <v>328</v>
      </c>
      <c r="F427" t="inlineStr"/>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t="inlineStr">
        <is>
          <t>GOWAN SUSAN</t>
        </is>
      </c>
      <c r="AF427" t="inlineStr">
        <is>
          <t>SENN DAVID M, SENN DONNA M</t>
        </is>
      </c>
      <c r="AI427" s="245">
        <f>UPPER(D427)</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t="inlineStr">
        <is>
          <t>MAGNOLIA ENTERPRISES LLC</t>
        </is>
      </c>
      <c r="AF428" t="inlineStr">
        <is>
          <t>CCS LAND ACQUISITION LLC</t>
        </is>
      </c>
      <c r="AI428" s="245">
        <f>UPPER(D428)</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t="inlineStr">
        <is>
          <t>BOWLING ROY E</t>
        </is>
      </c>
      <c r="AF429" t="inlineStr">
        <is>
          <t>DEF 5678 LLC</t>
        </is>
      </c>
      <c r="AI429" s="245">
        <f>UPPER(D429)</f>
        <v/>
      </c>
    </row>
    <row r="430" ht="15" customHeight="1">
      <c r="A430" s="471" t="n">
        <v>8</v>
      </c>
      <c r="B430" s="245" t="n">
        <v>423</v>
      </c>
      <c r="C430" t="inlineStr">
        <is>
          <t>R0098068</t>
        </is>
      </c>
      <c r="D430" t="inlineStr">
        <is>
          <t>851 E 71ST AVE #B2</t>
        </is>
      </c>
      <c r="E430" t="n">
        <v>425</v>
      </c>
      <c r="F430" t="inlineStr"/>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t="inlineStr">
        <is>
          <t>CARJO LLC</t>
        </is>
      </c>
      <c r="AF430" t="inlineStr">
        <is>
          <t>A &amp; B PROPERTY LLC</t>
        </is>
      </c>
      <c r="AI430" s="245">
        <f>UPPER(D430)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t="inlineStr">
        <is>
          <t>COLORADO MUSTANG, SPECIALISTS INC</t>
        </is>
      </c>
      <c r="AF431" t="inlineStr">
        <is>
          <t>BIGFOOT PARADISE LLC</t>
        </is>
      </c>
      <c r="AI431" s="245">
        <f>UPPER(D431)</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t="inlineStr">
        <is>
          <t>MILLER STEVEN D</t>
        </is>
      </c>
      <c r="AF432" t="inlineStr">
        <is>
          <t>101 JESSUP ST HOLDINGS LLC</t>
        </is>
      </c>
      <c r="AI432" s="245">
        <f>UPPER(D432)</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t="inlineStr">
        <is>
          <t>48000 EAST 38TH AVENUE LLC</t>
        </is>
      </c>
      <c r="AF433" t="inlineStr">
        <is>
          <t>RD MORRIS LLC</t>
        </is>
      </c>
      <c r="AI433" s="245">
        <f>UPPER(D433)</f>
        <v/>
      </c>
    </row>
    <row r="434" ht="15" customHeight="1">
      <c r="A434" s="471" t="n">
        <v>8</v>
      </c>
      <c r="B434" s="245" t="n">
        <v>428</v>
      </c>
      <c r="C434" t="inlineStr">
        <is>
          <t>R0098140</t>
        </is>
      </c>
      <c r="D434" t="inlineStr">
        <is>
          <t>6443  DOWNING ST</t>
        </is>
      </c>
      <c r="E434" t="n">
        <v>406</v>
      </c>
      <c r="F434" t="inlineStr"/>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t="inlineStr">
        <is>
          <t>COSGROVE PROPERTIES LLC</t>
        </is>
      </c>
      <c r="AF434" t="inlineStr">
        <is>
          <t>BRAP AND BEANS LLC</t>
        </is>
      </c>
      <c r="AI434" s="245">
        <f>UPPER(D434)</f>
        <v/>
      </c>
    </row>
    <row r="435" ht="15" customHeight="1">
      <c r="A435" s="471" t="n">
        <v>8</v>
      </c>
      <c r="B435" s="245" t="n">
        <v>429</v>
      </c>
      <c r="C435" t="inlineStr">
        <is>
          <t>R0103758</t>
        </is>
      </c>
      <c r="D435" t="inlineStr">
        <is>
          <t>5951  MARION DR</t>
        </is>
      </c>
      <c r="E435" t="n">
        <v>407</v>
      </c>
      <c r="F435" t="inlineStr"/>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t="inlineStr">
        <is>
          <t>ROCKINH INVESTMENTS LLC</t>
        </is>
      </c>
      <c r="AF435" t="inlineStr">
        <is>
          <t>JW HOLDINGS LLC</t>
        </is>
      </c>
      <c r="AI435" s="245">
        <f>UPPER(D435)</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t="inlineStr">
        <is>
          <t>BRIGHTON LEASE MANAGEMENT LLC, PROPERTY TAX COMPLIANCE</t>
        </is>
      </c>
      <c r="AF436" t="inlineStr">
        <is>
          <t>STARBOARD PLATFORM BRIGHTON JV LLC, C/O STARBOARD REALTY PARTNERS</t>
        </is>
      </c>
      <c r="AI436" s="245">
        <f>UPPER(D436)</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t="inlineStr">
        <is>
          <t>LAYNE CHRISTENSEN COMPANY</t>
        </is>
      </c>
      <c r="AF437" t="inlineStr">
        <is>
          <t>WAGNER EQUIPMENT CO</t>
        </is>
      </c>
      <c r="AI437" s="245">
        <f>UPPER(D437)</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t="inlineStr">
        <is>
          <t>PACER HOLDINGS LLC</t>
        </is>
      </c>
      <c r="AF438" t="inlineStr">
        <is>
          <t>TRUMBLE THOM</t>
        </is>
      </c>
      <c r="AI438" s="245">
        <f>UPPER(D438)</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t="inlineStr">
        <is>
          <t>JOHNSTOWN FEED &amp; SEED INC.</t>
        </is>
      </c>
      <c r="AF439" t="inlineStr">
        <is>
          <t>J&amp;E ENTERPRISE LLC</t>
        </is>
      </c>
      <c r="AI439" s="245">
        <f>UPPER(D439)</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t="inlineStr">
        <is>
          <t>RONALD HAGERDON LLC</t>
        </is>
      </c>
      <c r="AF440" t="inlineStr">
        <is>
          <t>M &amp; R BUILDING MANAGEMENT LLC</t>
        </is>
      </c>
      <c r="AI440" s="245">
        <f>UPPER(D440)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t="inlineStr">
        <is>
          <t>PAVILION COURT LLC</t>
        </is>
      </c>
      <c r="AF441" t="inlineStr">
        <is>
          <t>ARTEMIS HOLDINGS LIMITED</t>
        </is>
      </c>
      <c r="AI441" s="245">
        <f>UPPER(D441)</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t="inlineStr">
        <is>
          <t>3313 MOLINE STREET LLC</t>
        </is>
      </c>
      <c r="AF442" t="inlineStr">
        <is>
          <t>3313 MOLINE LLC, C/O GCRE MANAGMENT LLC</t>
        </is>
      </c>
      <c r="AI442" s="245">
        <f>UPPER(D442)</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t="inlineStr">
        <is>
          <t>VAQUERO STRASBURG PARTNERS LP</t>
        </is>
      </c>
      <c r="AF443" t="inlineStr">
        <is>
          <t>JH DG 1 LLC</t>
        </is>
      </c>
      <c r="AI443" s="245">
        <f>UPPER(D443)</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t="inlineStr">
        <is>
          <t>TF THORNTON CO LLC</t>
        </is>
      </c>
      <c r="AF444" t="inlineStr">
        <is>
          <t>16395 WASHINGTON ST LLC</t>
        </is>
      </c>
      <c r="AI444" s="245">
        <f>UPPER(D444)</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t="inlineStr">
        <is>
          <t>WENZEL DANIEL D AND, WENZEL JUDITH G</t>
        </is>
      </c>
      <c r="AF445" t="inlineStr">
        <is>
          <t>COLORADO BD AUTO CARE LLC</t>
        </is>
      </c>
      <c r="AI445" s="245">
        <f>UPPER(D445)</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t="inlineStr">
        <is>
          <t>GREEN ELEPHANT LLC THE</t>
        </is>
      </c>
      <c r="AF446" t="inlineStr">
        <is>
          <t>AVERY INVESTMENTS LLC</t>
        </is>
      </c>
      <c r="AI446" s="245">
        <f>UPPER(D446)</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P447" t="inlineStr"/>
      <c r="R447" t="inlineStr">
        <is>
          <t>Average</t>
        </is>
      </c>
      <c r="S447" t="n">
        <v>700880.4</v>
      </c>
      <c r="T447" s="467">
        <f>S447/J447</f>
        <v/>
      </c>
      <c r="U447" t="inlineStr">
        <is>
          <t>Average</t>
        </is>
      </c>
      <c r="Y447" t="n">
        <v>21400000</v>
      </c>
      <c r="AA447" t="n">
        <v>21400000</v>
      </c>
      <c r="AC447" t="inlineStr">
        <is>
          <t>0182126101001</t>
        </is>
      </c>
      <c r="AD447" t="inlineStr">
        <is>
          <t>2018000034023</t>
        </is>
      </c>
      <c r="AE447" t="inlineStr">
        <is>
          <t>EXETER 21250 EAST 36TH LLC</t>
        </is>
      </c>
      <c r="AF447" t="inlineStr">
        <is>
          <t>THOMSON LOGISTICS ASSETS LLC, C/O CORPORATION SERVICE</t>
        </is>
      </c>
      <c r="AI447" s="245">
        <f>UPPER(D447)</f>
        <v/>
      </c>
    </row>
    <row r="448" ht="15" customHeight="1">
      <c r="A448" s="471" t="n">
        <v>8</v>
      </c>
      <c r="B448" s="245" t="n">
        <v>442</v>
      </c>
      <c r="C448" t="inlineStr">
        <is>
          <t>R0081742</t>
        </is>
      </c>
      <c r="D448" t="inlineStr">
        <is>
          <t>1853  MONROE ST</t>
        </is>
      </c>
      <c r="E448" t="n">
        <v>426</v>
      </c>
      <c r="F448" t="inlineStr"/>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t="inlineStr">
        <is>
          <t>BEAN BEVERLY A</t>
        </is>
      </c>
      <c r="AF448" t="inlineStr">
        <is>
          <t>JOSEPH SUMIT</t>
        </is>
      </c>
      <c r="AI448" s="245">
        <f>UPPER(D448)</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t="inlineStr">
        <is>
          <t>BONE WILLIAM J JR/WENONA C TRUSTEES, BONE FAMILY TRUST U D T THE</t>
        </is>
      </c>
      <c r="AF449" t="inlineStr">
        <is>
          <t>120 HOLDINGS LLC UND INT 5.367%  ET AL</t>
        </is>
      </c>
      <c r="AI449" s="245">
        <f>UPPER(D449)</f>
        <v/>
      </c>
    </row>
    <row r="450" ht="15" customHeight="1">
      <c r="A450" s="471" t="n">
        <v>8</v>
      </c>
      <c r="B450" s="245" t="n">
        <v>444</v>
      </c>
      <c r="C450" t="inlineStr">
        <is>
          <t>R0154528</t>
        </is>
      </c>
      <c r="D450" t="inlineStr">
        <is>
          <t>37600 E 50TH AVE</t>
        </is>
      </c>
      <c r="E450" t="n">
        <v>328</v>
      </c>
      <c r="F450" t="inlineStr"/>
      <c r="G450" t="inlineStr">
        <is>
          <t>1</t>
        </is>
      </c>
      <c r="H450" s="669">
        <f>Y450/J450</f>
        <v/>
      </c>
      <c r="I450" s="670" t="n">
        <v>43804</v>
      </c>
      <c r="J450" t="n">
        <v>13440</v>
      </c>
      <c r="L450" t="n">
        <v>13440</v>
      </c>
      <c r="M450" t="n">
        <v>2000</v>
      </c>
      <c r="P450" t="inlineStr"/>
      <c r="R450" t="inlineStr">
        <is>
          <t>Average</t>
        </is>
      </c>
      <c r="S450" t="n">
        <v>0</v>
      </c>
      <c r="T450" s="467">
        <f>S450/J450</f>
        <v/>
      </c>
      <c r="U450" t="inlineStr">
        <is>
          <t>Average</t>
        </is>
      </c>
      <c r="Y450" t="n">
        <v>68000</v>
      </c>
      <c r="AA450" t="n">
        <v>68000</v>
      </c>
      <c r="AC450" t="inlineStr">
        <is>
          <t>0181716410001</t>
        </is>
      </c>
      <c r="AD450" t="inlineStr">
        <is>
          <t>2019000106716</t>
        </is>
      </c>
      <c r="AE450" t="inlineStr">
        <is>
          <t>DELCAMP RONALD</t>
        </is>
      </c>
      <c r="AF450" t="inlineStr">
        <is>
          <t>HOFER GALEN AND, PHIBBS STEPHANIE</t>
        </is>
      </c>
      <c r="AI450" s="245">
        <f>UPPER(D450)</f>
        <v/>
      </c>
    </row>
    <row r="451" ht="15" customHeight="1">
      <c r="A451" s="471" t="n">
        <v>8</v>
      </c>
      <c r="B451" s="245" t="n">
        <v>445</v>
      </c>
      <c r="C451" t="inlineStr">
        <is>
          <t>R0133759</t>
        </is>
      </c>
      <c r="D451" t="inlineStr">
        <is>
          <t>2450 W 63RD CT</t>
        </is>
      </c>
      <c r="E451" t="n">
        <v>534</v>
      </c>
      <c r="F451" t="inlineStr"/>
      <c r="G451" t="inlineStr">
        <is>
          <t>5</t>
        </is>
      </c>
      <c r="H451" s="669">
        <f>Y451/J451</f>
        <v/>
      </c>
      <c r="I451" s="670" t="n">
        <v>43496</v>
      </c>
      <c r="J451" t="n">
        <v>12300</v>
      </c>
      <c r="L451" t="n">
        <v>12300</v>
      </c>
      <c r="M451" t="n">
        <v>2001</v>
      </c>
      <c r="P451" t="inlineStr"/>
      <c r="R451" t="inlineStr">
        <is>
          <t>Average</t>
        </is>
      </c>
      <c r="S451" t="n">
        <v>67605.12</v>
      </c>
      <c r="T451" s="467">
        <f>S451/J451</f>
        <v/>
      </c>
      <c r="U451" t="inlineStr">
        <is>
          <t>Average</t>
        </is>
      </c>
      <c r="Y451" t="n">
        <v>1850000</v>
      </c>
      <c r="AA451" t="n">
        <v>1850000</v>
      </c>
      <c r="AC451" t="inlineStr">
        <is>
          <t>0182508103025</t>
        </is>
      </c>
      <c r="AD451" t="inlineStr">
        <is>
          <t>2019000007808</t>
        </is>
      </c>
      <c r="AE451" t="inlineStr">
        <is>
          <t>TRIPLE L LLC</t>
        </is>
      </c>
      <c r="AF451" t="inlineStr">
        <is>
          <t>CROWLEY DAVID P AND , CROWLEY LORRAINE K</t>
        </is>
      </c>
      <c r="AI451" s="245">
        <f>UPPER(D451)</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P452" t="inlineStr"/>
      <c r="R452" t="inlineStr">
        <is>
          <t>Average</t>
        </is>
      </c>
      <c r="S452" t="n">
        <v>19306</v>
      </c>
      <c r="T452" s="467">
        <f>S452/J452</f>
        <v/>
      </c>
      <c r="U452" t="inlineStr">
        <is>
          <t>Average</t>
        </is>
      </c>
      <c r="Y452" t="n">
        <v>575000</v>
      </c>
      <c r="AA452" t="n">
        <v>575000</v>
      </c>
      <c r="AC452" t="inlineStr">
        <is>
          <t>0157336309073</t>
        </is>
      </c>
      <c r="AD452" t="inlineStr">
        <is>
          <t>2019000000008</t>
        </is>
      </c>
      <c r="AE452" t="inlineStr">
        <is>
          <t>2551 PROPERTY PARTNERS LLC</t>
        </is>
      </c>
      <c r="AF452" t="inlineStr">
        <is>
          <t>COMPTON POINT LLC</t>
        </is>
      </c>
      <c r="AI452" s="245">
        <f>UPPER(D452)</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t="inlineStr">
        <is>
          <t>E J CORP</t>
        </is>
      </c>
      <c r="AF453" t="inlineStr">
        <is>
          <t>TORRES INVESTMENTS LLC</t>
        </is>
      </c>
      <c r="AI453" s="245">
        <f>UPPER(D453)</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t="inlineStr">
        <is>
          <t>H AND B INDUSTRY LLC</t>
        </is>
      </c>
      <c r="AF454" t="inlineStr">
        <is>
          <t>HIGH TO LOW PROPERTIES LLC</t>
        </is>
      </c>
      <c r="AI454" s="245">
        <f>UPPER(D454)</f>
        <v/>
      </c>
    </row>
    <row r="455" ht="15" customHeight="1">
      <c r="A455" s="471" t="n">
        <v>8</v>
      </c>
      <c r="B455" s="245" t="n">
        <v>449</v>
      </c>
      <c r="C455" t="inlineStr">
        <is>
          <t>R0103555</t>
        </is>
      </c>
      <c r="D455" t="inlineStr">
        <is>
          <t>5801  LOGAN ST</t>
        </is>
      </c>
      <c r="E455" t="n">
        <v>334</v>
      </c>
      <c r="F455" t="inlineStr"/>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t="inlineStr">
        <is>
          <t>KLO PROPERTIES LLC</t>
        </is>
      </c>
      <c r="AF455" t="inlineStr">
        <is>
          <t>5801 LOGAN STREET LLC</t>
        </is>
      </c>
      <c r="AI455" s="245">
        <f>UPPER(D455)</f>
        <v/>
      </c>
    </row>
    <row r="456" ht="15" customHeight="1">
      <c r="A456" s="471" t="n">
        <v>8</v>
      </c>
      <c r="B456" s="245" t="n">
        <v>450</v>
      </c>
      <c r="C456" t="inlineStr">
        <is>
          <t>R0103568</t>
        </is>
      </c>
      <c r="D456" t="inlineStr">
        <is>
          <t>301 E 57TH AVE</t>
        </is>
      </c>
      <c r="E456" t="n">
        <v>353</v>
      </c>
      <c r="F456" t="inlineStr"/>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t="inlineStr">
        <is>
          <t>BOSCOE CHILDREN LLLP, C/O MICHAEL BLOOM REALTY COMPANY</t>
        </is>
      </c>
      <c r="AF456" t="inlineStr">
        <is>
          <t>WFS LLC UND 0.857% INT ET AL</t>
        </is>
      </c>
      <c r="AI456" s="245">
        <f>UPPER(D456)</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t="inlineStr">
        <is>
          <t>JAMES DONALD A</t>
        </is>
      </c>
      <c r="AF457" t="inlineStr">
        <is>
          <t>FEDERAL REAL ESTATE HOLDINGS LLC</t>
        </is>
      </c>
      <c r="AI457" s="245">
        <f>UPPER(D457)</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t="inlineStr">
        <is>
          <t>FOUR LEGACY INVESTMENTS LLC</t>
        </is>
      </c>
      <c r="AF458" t="inlineStr">
        <is>
          <t>FLEETPARK QUEBEC CO LLC</t>
        </is>
      </c>
      <c r="AI458" s="245">
        <f>UPPER(D458)</f>
        <v/>
      </c>
    </row>
    <row r="459" ht="15" customHeight="1">
      <c r="A459" s="471" t="n">
        <v>8</v>
      </c>
      <c r="B459" s="245" t="n">
        <v>453</v>
      </c>
      <c r="C459" t="inlineStr">
        <is>
          <t>R0075207</t>
        </is>
      </c>
      <c r="D459" t="inlineStr">
        <is>
          <t>10290 E 106TH AVE</t>
        </is>
      </c>
      <c r="E459" t="n">
        <v>406</v>
      </c>
      <c r="F459" t="inlineStr"/>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t="inlineStr">
        <is>
          <t>R AND R JOE ENTERPRISES LLC</t>
        </is>
      </c>
      <c r="AF459" t="inlineStr">
        <is>
          <t>ROCKY WELDING SERVICES LLC</t>
        </is>
      </c>
      <c r="AI459" s="245">
        <f>UPPER(D459)</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t="inlineStr">
        <is>
          <t>AFS RESIDENTIAL LLC</t>
        </is>
      </c>
      <c r="AF460" t="inlineStr">
        <is>
          <t>MACK VENTURES LLC</t>
        </is>
      </c>
      <c r="AI460" s="245">
        <f>UPPER(D460)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t="inlineStr">
        <is>
          <t>DYLEE LLC</t>
        </is>
      </c>
      <c r="AF461" t="inlineStr">
        <is>
          <t>GOVEA LLC</t>
        </is>
      </c>
      <c r="AI461" s="245">
        <f>UPPER(D461)</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t="inlineStr">
        <is>
          <t>IVANHOE PROPERTY GROUP LLC</t>
        </is>
      </c>
      <c r="AF462" t="inlineStr">
        <is>
          <t>GRISWOLD MICHAEL M AND, GRISWOLD ANNETTE M</t>
        </is>
      </c>
      <c r="AI462" s="245">
        <f>UPPER(D462)</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t="inlineStr">
        <is>
          <t>CAMIKA HOLDINGS LLC</t>
        </is>
      </c>
      <c r="AF463" t="inlineStr">
        <is>
          <t>HANLEY HOLDINGS LLC</t>
        </is>
      </c>
      <c r="AI463" s="245">
        <f>UPPER(D463)</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t="inlineStr">
        <is>
          <t>DYNAMIS LLC</t>
        </is>
      </c>
      <c r="AF464" t="inlineStr">
        <is>
          <t>BROADWAY SQUARE RLLP UND 85.773% INT AND, WESTMINSTER SQUARE LLC UND 14.227%INT</t>
        </is>
      </c>
      <c r="AI464" s="245">
        <f>UPPER(D464)</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t="inlineStr">
        <is>
          <t>KOSOROK JOINT FAMILY TRUST THE AND, ELLISS JOINT FAMILY TRUST THE</t>
        </is>
      </c>
      <c r="AF465" t="inlineStr">
        <is>
          <t>PENN REAL ESTATE 109 LLC</t>
        </is>
      </c>
      <c r="AI465" s="245">
        <f>UPPER(D465)</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t="inlineStr">
        <is>
          <t>KORMISHKIN EUGENE</t>
        </is>
      </c>
      <c r="AF466" t="inlineStr">
        <is>
          <t>HTV COLORADO PROPERTIES LLC</t>
        </is>
      </c>
      <c r="AI466" s="245">
        <f>UPPER(D466)</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t="inlineStr">
        <is>
          <t>11951 E 33RD AVE LLC</t>
        </is>
      </c>
      <c r="AF467" t="inlineStr">
        <is>
          <t>NLA GCH AURORA LLC</t>
        </is>
      </c>
      <c r="AI467" s="245">
        <f>UPPER(D467)</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t="inlineStr">
        <is>
          <t>NORTH JAMES R AND, NORTH JOAN F</t>
        </is>
      </c>
      <c r="AF468" t="inlineStr">
        <is>
          <t>TRACKING INVESTMENTS LLC</t>
        </is>
      </c>
      <c r="AI468" s="245">
        <f>UPPER(D468)</f>
        <v/>
      </c>
    </row>
    <row r="469" ht="15" customHeight="1">
      <c r="A469" s="471" t="n">
        <v>8</v>
      </c>
      <c r="B469" s="245" t="n">
        <v>463</v>
      </c>
      <c r="C469" t="inlineStr">
        <is>
          <t>R0058427</t>
        </is>
      </c>
      <c r="D469" t="inlineStr">
        <is>
          <t>500 W 84TH AVE</t>
        </is>
      </c>
      <c r="E469" t="n">
        <v>384</v>
      </c>
      <c r="F469" t="inlineStr"/>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t="inlineStr">
        <is>
          <t>500 W 84 LLC</t>
        </is>
      </c>
      <c r="AF469" t="inlineStr">
        <is>
          <t>HERMOZ LLC</t>
        </is>
      </c>
      <c r="AI469" s="245">
        <f>UPPER(D469)</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t="inlineStr">
        <is>
          <t>TIS LEASING LLC</t>
        </is>
      </c>
      <c r="AF470" t="inlineStr">
        <is>
          <t>ANYHOME INVESTMENT GROUP LLC</t>
        </is>
      </c>
      <c r="AI470" s="245">
        <f>UPPER(D470)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t="inlineStr">
        <is>
          <t>ROSS JENNIFER C LIVING TRUST</t>
        </is>
      </c>
      <c r="AF471" t="inlineStr">
        <is>
          <t>SCI-1550 ELMIRA LLC</t>
        </is>
      </c>
      <c r="AI471" s="245">
        <f>UPPER(D471)</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t="inlineStr">
        <is>
          <t>TAR HILL INVESTMENTS LLC</t>
        </is>
      </c>
      <c r="AF472" t="inlineStr">
        <is>
          <t>DANKO-HOLLOWAY LLC</t>
        </is>
      </c>
      <c r="AI472" s="245">
        <f>UPPER(D472)</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t="inlineStr">
        <is>
          <t>PLOCK GARY A AND, PLOCK PAMELA L</t>
        </is>
      </c>
      <c r="AF473" t="inlineStr">
        <is>
          <t>DOHERTY DANIEL R</t>
        </is>
      </c>
      <c r="AI473" s="245">
        <f>UPPER(D473)</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t="inlineStr">
        <is>
          <t>PLOCK GARY A AND, PLOCK PAMELA L</t>
        </is>
      </c>
      <c r="AF474" t="inlineStr">
        <is>
          <t>DOHERTY DANIEL R</t>
        </is>
      </c>
      <c r="AI474" s="245">
        <f>UPPER(D474)</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t="inlineStr">
        <is>
          <t>CF ALTITUDE PROPCO II LLC</t>
        </is>
      </c>
      <c r="AF475" t="inlineStr">
        <is>
          <t>HAZARD LAKE LLC</t>
        </is>
      </c>
      <c r="AI475" s="245">
        <f>UPPER(D475)</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t="inlineStr">
        <is>
          <t>H.D.T. TEN LIMITED LIABILITY, COMPANY</t>
        </is>
      </c>
      <c r="AF476" t="inlineStr">
        <is>
          <t>CH REALTY VIII/CT CO WESTERN LLC</t>
        </is>
      </c>
      <c r="AI476" s="245">
        <f>UPPER(D476)</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t="inlineStr">
        <is>
          <t>TJ INVESTMENTS LLC</t>
        </is>
      </c>
      <c r="AF477" t="inlineStr">
        <is>
          <t>FG LAND INVESTMENTS LLC</t>
        </is>
      </c>
      <c r="AI477" s="245">
        <f>UPPER(D477)</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t="inlineStr">
        <is>
          <t>AMF BOWLING CENTERS INC</t>
        </is>
      </c>
      <c r="AF478" t="inlineStr">
        <is>
          <t>ISTAR BOWLING CENTER I LP</t>
        </is>
      </c>
      <c r="AI478" s="245">
        <f>UPPER(D478)</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t="inlineStr">
        <is>
          <t>BLUEPRINT INVESTMENT FUND LLC</t>
        </is>
      </c>
      <c r="AF479" t="inlineStr">
        <is>
          <t>KD INVESTMENTS LTD</t>
        </is>
      </c>
      <c r="AI479" s="245">
        <f>UPPER(D479)</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t="inlineStr">
        <is>
          <t>URA SINGH LLC</t>
        </is>
      </c>
      <c r="AF480" t="inlineStr">
        <is>
          <t>LUNA MANUEL</t>
        </is>
      </c>
      <c r="AI480" s="245">
        <f>UPPER(D480)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t="inlineStr">
        <is>
          <t>GATEWAY HOTEL LLC, C/O STANLEY A GALLERY</t>
        </is>
      </c>
      <c r="AF481" t="inlineStr">
        <is>
          <t>D CASA INVESTMENT LLC</t>
        </is>
      </c>
      <c r="AI481" s="245">
        <f>UPPER(D481)</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t="inlineStr">
        <is>
          <t>LEIGH MICHAEL R</t>
        </is>
      </c>
      <c r="AF482" t="inlineStr">
        <is>
          <t>RJC HOLDINGS LLC</t>
        </is>
      </c>
      <c r="AI482" s="245">
        <f>UPPER(D482)</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t="inlineStr">
        <is>
          <t>BRIGHTON PROFESSIONAL GROUP LLC</t>
        </is>
      </c>
      <c r="AF483" t="inlineStr">
        <is>
          <t>MARQUEZ PROFESSIONAL COMPANY LLC</t>
        </is>
      </c>
      <c r="AI483" s="245">
        <f>UPPER(D483)</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t="inlineStr">
        <is>
          <t>JS BUILDERS LLC</t>
        </is>
      </c>
      <c r="AF484" t="inlineStr">
        <is>
          <t>BLACKWATER LLC</t>
        </is>
      </c>
      <c r="AI484" s="245">
        <f>UPPER(D484)</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t="inlineStr">
        <is>
          <t>R IREY YORK PLAZA LLC UND 50% INT AND, D IREY YORK PLAZA LLC UND 50% INT</t>
        </is>
      </c>
      <c r="AF485" t="inlineStr">
        <is>
          <t>WEBER INCORPORATED</t>
        </is>
      </c>
      <c r="AI485" s="245">
        <f>UPPER(D485)</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t="inlineStr">
        <is>
          <t>SCHOOL DISTRICT 12 FEDERAL, CREDIT UNION</t>
        </is>
      </c>
      <c r="AF486" t="inlineStr">
        <is>
          <t>11455 PEARL STREET LLC</t>
        </is>
      </c>
      <c r="AI486" s="245">
        <f>UPPER(D486)</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t="inlineStr">
        <is>
          <t>301 SOUTH MAIN LLC</t>
        </is>
      </c>
      <c r="AF487" t="inlineStr">
        <is>
          <t>BRIGHTON MAIN STREET PRINTING LLC</t>
        </is>
      </c>
      <c r="AI487" s="245">
        <f>UPPER(D487)</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t="inlineStr">
        <is>
          <t>MC CALLIN REAL ESTATE LLC</t>
        </is>
      </c>
      <c r="AF488" t="inlineStr">
        <is>
          <t>KUMMER INVESTMENTS LLC</t>
        </is>
      </c>
      <c r="AI488" s="245">
        <f>UPPER(D488)</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t="inlineStr">
        <is>
          <t>BINGEL NATHANIEL</t>
        </is>
      </c>
      <c r="AF489" t="inlineStr">
        <is>
          <t>SEAMLESS COLORADO INSURANCE</t>
        </is>
      </c>
      <c r="AI489" s="245">
        <f>UPPER(D489)</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t="inlineStr">
        <is>
          <t xml:space="preserve">NGUYEN DUNG ANH AND , TRAN LOAN </t>
        </is>
      </c>
      <c r="AF490" t="inlineStr">
        <is>
          <t>BIG HW LLC</t>
        </is>
      </c>
      <c r="AI490" s="245">
        <f>UPPER(D490)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t="inlineStr">
        <is>
          <t>QUALITY CONTROL INT'L LIMITED PARTNERSHIP</t>
        </is>
      </c>
      <c r="AF491" t="inlineStr">
        <is>
          <t>LEVEL 7 PROPERTY GROUP LLC</t>
        </is>
      </c>
      <c r="AI491" s="245">
        <f>UPPER(D491)</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t="inlineStr">
        <is>
          <t>BROWN JUNCTION HOLDINGS LLC</t>
        </is>
      </c>
      <c r="AF492" t="inlineStr">
        <is>
          <t>WESTMINSTER STATION TOD LLC</t>
        </is>
      </c>
      <c r="AI492" s="245">
        <f>UPPER(D492)</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t="inlineStr">
        <is>
          <t>S AND K KIM INC</t>
        </is>
      </c>
      <c r="AF493" t="inlineStr">
        <is>
          <t>HOPE FIRST FAMILY RESOURCE CENTER</t>
        </is>
      </c>
      <c r="AI493" s="245">
        <f>UPPER(D493)</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t="inlineStr">
        <is>
          <t>PETERSON STEVEN W</t>
        </is>
      </c>
      <c r="AF494" t="inlineStr">
        <is>
          <t>GREEN ELEPHANT LLC THE</t>
        </is>
      </c>
      <c r="AI494" s="245">
        <f>UPPER(D494)</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t="inlineStr">
        <is>
          <t>PIERCE NOLA N</t>
        </is>
      </c>
      <c r="AF495" t="inlineStr">
        <is>
          <t>NIKKO CUCINA LLC</t>
        </is>
      </c>
      <c r="AI495" s="245">
        <f>UPPER(D495)</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t="inlineStr">
        <is>
          <t>JK PROPERTIES LLC</t>
        </is>
      </c>
      <c r="AF496" t="inlineStr">
        <is>
          <t>A POD OF PEAS REAL ESTATE LLC</t>
        </is>
      </c>
      <c r="AI496" s="245">
        <f>UPPER(D496)</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t="inlineStr">
        <is>
          <t>CAP INVESTMENT PROPERTIES III LLC</t>
        </is>
      </c>
      <c r="AF497" t="inlineStr">
        <is>
          <t>DON EDWARDS WALTER AND JANET STEWART WALTER FAMILY TRUST</t>
        </is>
      </c>
      <c r="AI497" s="245">
        <f>UPPER(D497)</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t="inlineStr">
        <is>
          <t>THORNTON PROPERTY 1 LLC</t>
        </is>
      </c>
      <c r="AF498" t="inlineStr">
        <is>
          <t>SIMON &amp; MOSES REAL ESTATE LLC</t>
        </is>
      </c>
      <c r="AI498" s="245">
        <f>UPPER(D498)</f>
        <v/>
      </c>
    </row>
    <row r="499" ht="15" customHeight="1">
      <c r="A499" s="471" t="n">
        <v>8</v>
      </c>
      <c r="B499" s="245" t="n">
        <v>493</v>
      </c>
      <c r="C499" t="inlineStr">
        <is>
          <t>R0153545</t>
        </is>
      </c>
      <c r="D499" t="inlineStr">
        <is>
          <t>50 E 70TH AVE</t>
        </is>
      </c>
      <c r="E499" t="n">
        <v>325</v>
      </c>
      <c r="F499" t="inlineStr"/>
      <c r="G499" t="inlineStr">
        <is>
          <t>5</t>
        </is>
      </c>
      <c r="H499" s="669">
        <f>Y499/J499</f>
        <v/>
      </c>
      <c r="I499" s="670" t="n">
        <v>43259</v>
      </c>
      <c r="J499" t="n">
        <v>1576</v>
      </c>
      <c r="L499" t="n">
        <v>1576</v>
      </c>
      <c r="M499" t="n">
        <v>1958</v>
      </c>
      <c r="P499" t="inlineStr"/>
      <c r="R499" t="inlineStr">
        <is>
          <t>Average</t>
        </is>
      </c>
      <c r="S499" t="n">
        <v>19471.32</v>
      </c>
      <c r="T499" s="467">
        <f>S499/J499</f>
        <v/>
      </c>
      <c r="U499" t="inlineStr">
        <is>
          <t>Average</t>
        </is>
      </c>
      <c r="Y499" t="n">
        <v>325000</v>
      </c>
      <c r="AA499" t="n">
        <v>325000</v>
      </c>
      <c r="AC499" t="inlineStr">
        <is>
          <t>0182503103029</t>
        </is>
      </c>
      <c r="AD499" t="inlineStr">
        <is>
          <t>2018000046530</t>
        </is>
      </c>
      <c r="AE499" t="inlineStr">
        <is>
          <t>BRONCUCIA JOSEPH ANTHONY AND, BRONCUCIA PATRICIA ANN</t>
        </is>
      </c>
      <c r="AF499" t="inlineStr">
        <is>
          <t>GUSMAN-CISNEROS GEORGE A</t>
        </is>
      </c>
      <c r="AI499" s="245">
        <f>UPPER(D499)</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t="inlineStr">
        <is>
          <t>BOMGARDNER DAVID</t>
        </is>
      </c>
      <c r="AF500" t="inlineStr">
        <is>
          <t>FOREST COFFEE PROPERTIES LLC</t>
        </is>
      </c>
      <c r="AI500" s="245">
        <f>UPPER(D500)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UPPER(D501)</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UPPER(D502)</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UPPER(D503)</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UPPER(D504)</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UPPER(D505)</f>
        <v/>
      </c>
    </row>
    <row r="506" ht="15" customHeight="1">
      <c r="A506" s="471" t="n">
        <v>8</v>
      </c>
      <c r="B506" s="245" t="n">
        <v>500</v>
      </c>
      <c r="C506" t="inlineStr">
        <is>
          <t>R0098080</t>
        </is>
      </c>
      <c r="D506" t="inlineStr">
        <is>
          <t>851  HIGHWAY 224  #4A</t>
        </is>
      </c>
      <c r="E506" t="n">
        <v>425</v>
      </c>
      <c r="F506" t="inlineStr"/>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UPPER(D506)</f>
        <v/>
      </c>
    </row>
    <row r="507" ht="15" customHeight="1">
      <c r="A507" s="471" t="n">
        <v>8</v>
      </c>
      <c r="B507" s="245" t="n">
        <v>501</v>
      </c>
      <c r="C507" t="inlineStr">
        <is>
          <t>R0103509</t>
        </is>
      </c>
      <c r="D507" t="inlineStr">
        <is>
          <t xml:space="preserve">6185  BROADWAY </t>
        </is>
      </c>
      <c r="E507" t="n">
        <v>419</v>
      </c>
      <c r="F507" t="inlineStr"/>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UPPER(D507)</f>
        <v/>
      </c>
    </row>
    <row r="508" ht="15" customHeight="1">
      <c r="A508" s="471" t="n">
        <v>8</v>
      </c>
      <c r="B508" s="245" t="n">
        <v>502</v>
      </c>
      <c r="C508" t="inlineStr">
        <is>
          <t>R0104080</t>
        </is>
      </c>
      <c r="D508" t="inlineStr">
        <is>
          <t>5347  SHERMAN ST</t>
        </is>
      </c>
      <c r="E508" t="n">
        <v>406</v>
      </c>
      <c r="F508" t="inlineStr"/>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UPPER(D508)</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UPPER(D509)</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UPPER(D510)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UPPER(D511)</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UPPER(D512)</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UPPER(D513)</f>
        <v/>
      </c>
    </row>
    <row r="514" ht="15" customHeight="1">
      <c r="A514" s="471" t="n">
        <v>8</v>
      </c>
      <c r="B514" s="245" t="n">
        <v>508</v>
      </c>
      <c r="C514" t="inlineStr">
        <is>
          <t>R0103648</t>
        </is>
      </c>
      <c r="D514" t="inlineStr">
        <is>
          <t>1390 E 64TH AVE</t>
        </is>
      </c>
      <c r="E514" t="n">
        <v>406</v>
      </c>
      <c r="F514" t="inlineStr"/>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UPPER(D514)</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UPPER(D515)</f>
        <v/>
      </c>
    </row>
    <row r="516" ht="15" customHeight="1">
      <c r="A516" s="471" t="n">
        <v>8</v>
      </c>
      <c r="B516" s="245" t="n">
        <v>510</v>
      </c>
      <c r="C516" t="inlineStr">
        <is>
          <t>R0059553</t>
        </is>
      </c>
      <c r="D516" t="inlineStr">
        <is>
          <t>2385 W 84TH AVE</t>
        </is>
      </c>
      <c r="E516" t="n">
        <v>419</v>
      </c>
      <c r="F516" t="inlineStr"/>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UPPER(D516)</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UPPER(D517)</f>
        <v/>
      </c>
    </row>
    <row r="518" ht="15" customHeight="1">
      <c r="A518" s="471" t="n">
        <v>8</v>
      </c>
      <c r="B518" s="245" t="n">
        <v>512</v>
      </c>
      <c r="C518" t="inlineStr">
        <is>
          <t>R0125399</t>
        </is>
      </c>
      <c r="D518" t="inlineStr">
        <is>
          <t>6550  FRANKLIN ST</t>
        </is>
      </c>
      <c r="E518" t="n">
        <v>407</v>
      </c>
      <c r="F518" t="inlineStr"/>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UPPER(D518)</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UPPER(D519)</f>
        <v/>
      </c>
    </row>
    <row r="520" ht="15" customHeight="1">
      <c r="A520" s="471" t="n">
        <v>8</v>
      </c>
      <c r="B520" s="245" t="n">
        <v>515</v>
      </c>
      <c r="C520" t="inlineStr">
        <is>
          <t>R0129932</t>
        </is>
      </c>
      <c r="D520" t="inlineStr">
        <is>
          <t>37550  ASTRA WAY #5E</t>
        </is>
      </c>
      <c r="E520" t="n">
        <v>328</v>
      </c>
      <c r="F520" t="inlineStr"/>
      <c r="G520" t="inlineStr">
        <is>
          <t>6</t>
        </is>
      </c>
      <c r="H520" s="669">
        <f>Y520/J520</f>
        <v/>
      </c>
      <c r="I520" s="670" t="n">
        <v>43237</v>
      </c>
      <c r="J520" t="n">
        <v>2900</v>
      </c>
      <c r="L520" t="n">
        <v>2900</v>
      </c>
      <c r="M520" t="n">
        <v>2000</v>
      </c>
      <c r="P520" t="inlineStr"/>
      <c r="R520" t="inlineStr">
        <is>
          <t>Average</t>
        </is>
      </c>
      <c r="S520" t="inlineStr"/>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UPPER(D520)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UPPER(D521)</f>
        <v/>
      </c>
    </row>
    <row r="522" ht="15" customHeight="1">
      <c r="A522" s="471" t="n">
        <v>8</v>
      </c>
      <c r="B522" s="245" t="n">
        <v>517</v>
      </c>
      <c r="C522" t="inlineStr">
        <is>
          <t>R0141093</t>
        </is>
      </c>
      <c r="D522" t="inlineStr">
        <is>
          <t>37700  CESSNA WAY</t>
        </is>
      </c>
      <c r="E522" t="n">
        <v>328</v>
      </c>
      <c r="F522" t="inlineStr"/>
      <c r="G522" t="inlineStr">
        <is>
          <t>1</t>
        </is>
      </c>
      <c r="H522" s="669">
        <f>Y522/J522</f>
        <v/>
      </c>
      <c r="I522" s="670" t="n">
        <v>44128</v>
      </c>
      <c r="J522" t="n">
        <v>2850</v>
      </c>
      <c r="L522" t="n">
        <v>2850</v>
      </c>
      <c r="M522" t="n">
        <v>2001</v>
      </c>
      <c r="P522" t="inlineStr"/>
      <c r="R522" t="inlineStr">
        <is>
          <t>Average</t>
        </is>
      </c>
      <c r="S522" t="inlineStr"/>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UPPER(D522)</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P523" t="inlineStr"/>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UPPER(D523)</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UPPER(D524)</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UPPER(D525)</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UPPER(D526)</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UPPER(D527)</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P528" t="inlineStr"/>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UPPER(D528)</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UPPER(D529)</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UPPER(D530)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UPPER(D531)</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UPPER(D532)</f>
        <v/>
      </c>
    </row>
    <row r="533" ht="15" customHeight="1">
      <c r="A533" s="471" t="n">
        <v>8</v>
      </c>
      <c r="B533" s="245" t="n">
        <v>528</v>
      </c>
      <c r="C533" t="inlineStr">
        <is>
          <t>R0098017</t>
        </is>
      </c>
      <c r="D533" t="inlineStr">
        <is>
          <t>1680 E 69TH AVE</t>
        </is>
      </c>
      <c r="E533" t="n">
        <v>334</v>
      </c>
      <c r="F533" t="inlineStr"/>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UPPER(D533)</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UPPER(D534)</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UPPER(D535)</f>
        <v/>
      </c>
    </row>
    <row r="536" ht="15" customHeight="1">
      <c r="A536" s="471" t="n">
        <v>8</v>
      </c>
      <c r="B536" s="245" t="n">
        <v>531</v>
      </c>
      <c r="C536" t="inlineStr">
        <is>
          <t>R0150922</t>
        </is>
      </c>
      <c r="D536" t="inlineStr">
        <is>
          <t>3520 W 92ND AVE #100</t>
        </is>
      </c>
      <c r="E536" t="n">
        <v>1344</v>
      </c>
      <c r="F536" t="inlineStr"/>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UPPER(D536)</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UPPER(D537)</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P538" t="inlineStr"/>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UPPER(D538)</f>
        <v/>
      </c>
    </row>
    <row r="539" ht="15" customHeight="1">
      <c r="A539" s="471" t="n">
        <v>8</v>
      </c>
      <c r="B539" s="245" t="n">
        <v>534</v>
      </c>
      <c r="C539" t="inlineStr">
        <is>
          <t>R0155098</t>
        </is>
      </c>
      <c r="D539" t="inlineStr">
        <is>
          <t>6941  BROADWAY ST</t>
        </is>
      </c>
      <c r="E539" t="n">
        <v>425</v>
      </c>
      <c r="F539" t="inlineStr"/>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UPPER(D539)</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UPPER(D540)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UPPER(D541)</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UPPER(D542)</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UPPER(D543)</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UPPER(D544)</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UPPER(D545)</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UPPER(D546)</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UPPER(D547)</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UPPER(D548)</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UPPER(D549)</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UPPER(D550)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P551" t="inlineStr"/>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UPPER(D551)</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P552" t="inlineStr"/>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UPPER(D552)</f>
        <v/>
      </c>
    </row>
    <row r="553" ht="15" customHeight="1">
      <c r="A553" s="471" t="n">
        <v>8</v>
      </c>
      <c r="B553" s="245" t="n">
        <v>548</v>
      </c>
      <c r="C553" t="inlineStr">
        <is>
          <t>R0173180</t>
        </is>
      </c>
      <c r="D553" t="inlineStr">
        <is>
          <t>5454  WASHINGTON ST#1</t>
        </is>
      </c>
      <c r="E553" t="n">
        <v>425</v>
      </c>
      <c r="F553" t="inlineStr"/>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UPPER(D553)</f>
        <v/>
      </c>
    </row>
    <row r="554" ht="15" customHeight="1">
      <c r="A554" s="471" t="n">
        <v>8</v>
      </c>
      <c r="B554" s="245" t="n">
        <v>549</v>
      </c>
      <c r="C554" t="inlineStr">
        <is>
          <t>R0173187</t>
        </is>
      </c>
      <c r="D554" t="inlineStr">
        <is>
          <t>5454  WASHINGTON ST #8</t>
        </is>
      </c>
      <c r="E554" t="n">
        <v>425</v>
      </c>
      <c r="F554" t="inlineStr"/>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UPPER(D554)</f>
        <v/>
      </c>
    </row>
    <row r="555" ht="15" customHeight="1">
      <c r="A555" s="471" t="n">
        <v>8</v>
      </c>
      <c r="B555" s="245" t="n">
        <v>550</v>
      </c>
      <c r="C555" t="inlineStr">
        <is>
          <t>R0098573</t>
        </is>
      </c>
      <c r="D555" t="inlineStr">
        <is>
          <t>75 W 64TH AVE</t>
        </is>
      </c>
      <c r="E555" t="n">
        <v>213</v>
      </c>
      <c r="F555" t="inlineStr"/>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UPPER(D555)</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UPPER(D556)</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UPPER(D557)</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UPPER(D558)</f>
        <v/>
      </c>
    </row>
    <row r="559" ht="15" customHeight="1">
      <c r="A559" s="471" t="n">
        <v>8</v>
      </c>
      <c r="B559" s="245" t="n">
        <v>554</v>
      </c>
      <c r="C559" t="inlineStr">
        <is>
          <t>R0075346</t>
        </is>
      </c>
      <c r="D559" t="inlineStr">
        <is>
          <t>10001  BRIGHTON RD</t>
        </is>
      </c>
      <c r="E559" t="n">
        <v>325</v>
      </c>
      <c r="F559" t="inlineStr"/>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UPPER(D559)</f>
        <v/>
      </c>
    </row>
    <row r="560" ht="15" customHeight="1">
      <c r="A560" s="471" t="n">
        <v>8</v>
      </c>
      <c r="B560" s="245" t="n">
        <v>555</v>
      </c>
      <c r="C560" t="inlineStr">
        <is>
          <t>R0098211</t>
        </is>
      </c>
      <c r="D560" t="inlineStr">
        <is>
          <t>6580  VINE CT</t>
        </is>
      </c>
      <c r="E560" t="n">
        <v>407</v>
      </c>
      <c r="F560" t="inlineStr"/>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UPPER(D560)</f>
        <v/>
      </c>
    </row>
    <row r="561" ht="15" customHeight="1">
      <c r="A561" s="471" t="n">
        <v>8</v>
      </c>
      <c r="B561" s="245" t="n">
        <v>556</v>
      </c>
      <c r="C561" t="inlineStr">
        <is>
          <t>R0103717</t>
        </is>
      </c>
      <c r="D561" t="inlineStr">
        <is>
          <t>5960  MARION DR</t>
        </is>
      </c>
      <c r="E561" t="n">
        <v>406</v>
      </c>
      <c r="F561" t="inlineStr"/>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UPPER(D561)</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UPPER(D562)</f>
        <v/>
      </c>
    </row>
    <row r="563" ht="15" customHeight="1">
      <c r="A563" s="471" t="n">
        <v>8</v>
      </c>
      <c r="B563" s="245" t="n">
        <v>558</v>
      </c>
      <c r="C563" t="inlineStr">
        <is>
          <t>R0068361</t>
        </is>
      </c>
      <c r="D563" t="inlineStr">
        <is>
          <t>2387 W 72ND AVE</t>
        </is>
      </c>
      <c r="E563" t="n">
        <v>531</v>
      </c>
      <c r="F563" t="inlineStr"/>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UPPER(D563)</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P564" t="inlineStr"/>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UPPER(D564)</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P565" t="inlineStr"/>
      <c r="R565" t="inlineStr">
        <is>
          <t>Average</t>
        </is>
      </c>
      <c r="S565" t="inlineStr"/>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UPPER(D565)</f>
        <v/>
      </c>
    </row>
    <row r="566" ht="15" customHeight="1">
      <c r="A566" s="471" t="n">
        <v>8</v>
      </c>
      <c r="B566" s="245" t="n">
        <v>561</v>
      </c>
      <c r="C566" t="inlineStr">
        <is>
          <t>R0178835</t>
        </is>
      </c>
      <c r="D566" t="inlineStr">
        <is>
          <t>5190  VIOLET HILL ST #B</t>
        </is>
      </c>
      <c r="E566" t="n">
        <v>328</v>
      </c>
      <c r="F566" t="inlineStr"/>
      <c r="G566" t="inlineStr">
        <is>
          <t>1</t>
        </is>
      </c>
      <c r="H566" s="669">
        <f>Y566/J566</f>
        <v/>
      </c>
      <c r="I566" s="670" t="n">
        <v>44105</v>
      </c>
      <c r="J566" t="n">
        <v>4500</v>
      </c>
      <c r="L566" t="n">
        <v>4500</v>
      </c>
      <c r="M566" t="n">
        <v>2006</v>
      </c>
      <c r="P566" t="inlineStr"/>
      <c r="R566" t="inlineStr">
        <is>
          <t>Average</t>
        </is>
      </c>
      <c r="S566" t="inlineStr"/>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UPPER(D566)</f>
        <v/>
      </c>
    </row>
    <row r="567" ht="15" customHeight="1">
      <c r="A567" s="471" t="n">
        <v>8</v>
      </c>
      <c r="B567" s="245" t="n">
        <v>562</v>
      </c>
      <c r="C567" t="inlineStr">
        <is>
          <t>R0178830</t>
        </is>
      </c>
      <c r="D567" t="inlineStr">
        <is>
          <t>5190  VIOLET HILL ST #A</t>
        </is>
      </c>
      <c r="E567" t="n">
        <v>328</v>
      </c>
      <c r="F567" t="inlineStr"/>
      <c r="G567" t="inlineStr">
        <is>
          <t>1</t>
        </is>
      </c>
      <c r="H567" s="669">
        <f>Y567/J567</f>
        <v/>
      </c>
      <c r="I567" s="670" t="n">
        <v>44287</v>
      </c>
      <c r="J567" t="n">
        <v>4500</v>
      </c>
      <c r="L567" t="n">
        <v>4500</v>
      </c>
      <c r="M567" t="n">
        <v>2006</v>
      </c>
      <c r="P567" t="inlineStr"/>
      <c r="R567" t="inlineStr">
        <is>
          <t>Average</t>
        </is>
      </c>
      <c r="S567" t="inlineStr"/>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UPPER(D567)</f>
        <v/>
      </c>
    </row>
    <row r="568" ht="15" customHeight="1">
      <c r="A568" s="471" t="n">
        <v>8</v>
      </c>
      <c r="B568" s="245" t="n">
        <v>563</v>
      </c>
      <c r="C568" t="inlineStr">
        <is>
          <t>R0130283</t>
        </is>
      </c>
      <c r="D568" t="inlineStr">
        <is>
          <t>5635  FRANKLIN ST</t>
        </is>
      </c>
      <c r="E568" t="n">
        <v>407</v>
      </c>
      <c r="F568" t="inlineStr"/>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UPPER(D568)</f>
        <v/>
      </c>
    </row>
    <row r="569" ht="15" customHeight="1">
      <c r="A569" s="471" t="n">
        <v>8</v>
      </c>
      <c r="B569" s="245" t="n">
        <v>564</v>
      </c>
      <c r="C569" t="inlineStr">
        <is>
          <t>R0178847</t>
        </is>
      </c>
      <c r="D569" t="inlineStr">
        <is>
          <t>2091  CORONADO PKYN</t>
        </is>
      </c>
      <c r="E569" t="n">
        <v>442</v>
      </c>
      <c r="F569" t="inlineStr"/>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UPPER(D569)</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UPPER(D570)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P571" t="inlineStr"/>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UPPER(D571)</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UPPER(D572)</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UPPER(D573)</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UPPER(D574)</f>
        <v/>
      </c>
    </row>
    <row r="575" ht="15" customHeight="1">
      <c r="A575" s="471" t="n">
        <v>8</v>
      </c>
      <c r="B575" s="245" t="n">
        <v>570</v>
      </c>
      <c r="C575" t="inlineStr">
        <is>
          <t>R0125142</t>
        </is>
      </c>
      <c r="D575" t="inlineStr">
        <is>
          <t>9670  DALLAS ST UNIT 11</t>
        </is>
      </c>
      <c r="E575" t="n">
        <v>425</v>
      </c>
      <c r="F575" t="inlineStr"/>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UPPER(D575)</f>
        <v/>
      </c>
    </row>
    <row r="576" ht="15" customHeight="1">
      <c r="A576" s="471" t="n">
        <v>8</v>
      </c>
      <c r="B576" s="245" t="n">
        <v>571</v>
      </c>
      <c r="C576" t="inlineStr">
        <is>
          <t>R0125131</t>
        </is>
      </c>
      <c r="D576" t="inlineStr">
        <is>
          <t>9670  DALLAS ST UNIT 1</t>
        </is>
      </c>
      <c r="E576" t="n">
        <v>425</v>
      </c>
      <c r="F576" t="inlineStr"/>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UPPER(D576)</f>
        <v/>
      </c>
    </row>
    <row r="577" ht="15" customHeight="1">
      <c r="A577" s="471" t="n">
        <v>8</v>
      </c>
      <c r="B577" s="245" t="n">
        <v>572</v>
      </c>
      <c r="C577" t="inlineStr">
        <is>
          <t>R0075193</t>
        </is>
      </c>
      <c r="D577" t="inlineStr">
        <is>
          <t>10301 E 107TH PL</t>
        </is>
      </c>
      <c r="E577" t="n">
        <v>406</v>
      </c>
      <c r="F577" t="inlineStr"/>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UPPER(D577)</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UPPER(D578)</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UPPER(D579)</f>
        <v/>
      </c>
    </row>
    <row r="580" ht="15" customHeight="1">
      <c r="A580" s="471" t="n">
        <v>8</v>
      </c>
      <c r="B580" s="245" t="n">
        <v>575</v>
      </c>
      <c r="C580" t="inlineStr">
        <is>
          <t>R0152700</t>
        </is>
      </c>
      <c r="D580" t="inlineStr">
        <is>
          <t>2600 W 62ND AVE</t>
        </is>
      </c>
      <c r="E580" t="n">
        <v>406</v>
      </c>
      <c r="F580" t="inlineStr"/>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UPPER(D580)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UPPER(D581)</f>
        <v/>
      </c>
    </row>
    <row r="582" ht="15" customHeight="1">
      <c r="A582" s="471" t="n">
        <v>8</v>
      </c>
      <c r="B582" s="245" t="n">
        <v>577</v>
      </c>
      <c r="C582" t="inlineStr">
        <is>
          <t>R0129049</t>
        </is>
      </c>
      <c r="D582" t="inlineStr">
        <is>
          <t>2530 W 63RD CT</t>
        </is>
      </c>
      <c r="E582" t="n">
        <v>407</v>
      </c>
      <c r="F582" t="inlineStr"/>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UPPER(D582)</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UPPER(D583)</f>
        <v/>
      </c>
    </row>
    <row r="584" ht="15" customHeight="1">
      <c r="A584" s="471" t="n">
        <v>8</v>
      </c>
      <c r="B584" s="245" t="n">
        <v>579</v>
      </c>
      <c r="C584" t="inlineStr">
        <is>
          <t>R0117232</t>
        </is>
      </c>
      <c r="D584" t="inlineStr">
        <is>
          <t>1801 W 64TH LN</t>
        </is>
      </c>
      <c r="E584" t="n">
        <v>334</v>
      </c>
      <c r="F584" t="inlineStr"/>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UPPER(D584)</f>
        <v/>
      </c>
    </row>
    <row r="585" ht="15" customHeight="1">
      <c r="A585" s="471" t="n">
        <v>8</v>
      </c>
      <c r="B585" s="245" t="n">
        <v>580</v>
      </c>
      <c r="C585" t="inlineStr">
        <is>
          <t>R0077603</t>
        </is>
      </c>
      <c r="D585" t="inlineStr">
        <is>
          <t>8021  PONTIAC ST</t>
        </is>
      </c>
      <c r="E585" t="n">
        <v>336</v>
      </c>
      <c r="F585" t="inlineStr"/>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UPPER(D585)</f>
        <v/>
      </c>
    </row>
    <row r="586" ht="15" customHeight="1">
      <c r="A586" s="471" t="n">
        <v>8</v>
      </c>
      <c r="B586" s="245" t="n">
        <v>581</v>
      </c>
      <c r="C586" t="inlineStr">
        <is>
          <t>R0173191</t>
        </is>
      </c>
      <c r="D586" t="inlineStr">
        <is>
          <t>1511 W 70TH AVE</t>
        </is>
      </c>
      <c r="E586" t="n">
        <v>353</v>
      </c>
      <c r="F586" t="inlineStr"/>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UPPER(D586)</f>
        <v/>
      </c>
    </row>
    <row r="587" ht="15" customHeight="1">
      <c r="A587" s="471" t="n">
        <v>8</v>
      </c>
      <c r="B587" s="245" t="n">
        <v>582</v>
      </c>
      <c r="C587" t="inlineStr">
        <is>
          <t>R0079075</t>
        </is>
      </c>
      <c r="D587" t="inlineStr">
        <is>
          <t>5640 E 77TH AVE</t>
        </is>
      </c>
      <c r="E587" t="n">
        <v>325</v>
      </c>
      <c r="F587" t="inlineStr"/>
      <c r="G587" t="inlineStr">
        <is>
          <t>5</t>
        </is>
      </c>
      <c r="H587" s="669">
        <f>Y587/J587</f>
        <v/>
      </c>
      <c r="I587" s="670" t="n">
        <v>43133</v>
      </c>
      <c r="J587" t="n">
        <v>11350</v>
      </c>
      <c r="L587" t="n">
        <v>11350</v>
      </c>
      <c r="M587" t="n">
        <v>1978</v>
      </c>
      <c r="P587" t="inlineStr"/>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UPPER(D587)</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UPPER(D588)</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P589" t="inlineStr"/>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UPPER(D589)</f>
        <v/>
      </c>
    </row>
    <row r="590" ht="15" customHeight="1">
      <c r="A590" s="471" t="n">
        <v>8</v>
      </c>
      <c r="B590" s="245" t="n">
        <v>585</v>
      </c>
      <c r="C590" t="inlineStr">
        <is>
          <t>R0125143</t>
        </is>
      </c>
      <c r="D590" t="inlineStr">
        <is>
          <t>9670  DALLAS ST #12</t>
        </is>
      </c>
      <c r="E590" t="n">
        <v>425</v>
      </c>
      <c r="F590" t="inlineStr"/>
      <c r="G590" t="inlineStr">
        <is>
          <t>2</t>
        </is>
      </c>
      <c r="H590" s="669">
        <f>Y590/J590</f>
        <v/>
      </c>
      <c r="I590" s="670" t="n">
        <v>43395</v>
      </c>
      <c r="J590" t="n">
        <v>2500</v>
      </c>
      <c r="L590" t="n">
        <v>2500</v>
      </c>
      <c r="M590" t="n">
        <v>2000</v>
      </c>
      <c r="P590" t="inlineStr"/>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UPPER(D590)</f>
        <v/>
      </c>
    </row>
    <row r="591" ht="15" customHeight="1">
      <c r="A591" s="471" t="n">
        <v>8</v>
      </c>
      <c r="B591" s="245" t="n">
        <v>586</v>
      </c>
      <c r="C591" t="inlineStr">
        <is>
          <t>R0125131</t>
        </is>
      </c>
      <c r="D591" t="inlineStr">
        <is>
          <t>9670  DALLAS ST #1</t>
        </is>
      </c>
      <c r="E591" t="n">
        <v>425</v>
      </c>
      <c r="F591" t="inlineStr"/>
      <c r="G591" t="inlineStr">
        <is>
          <t>2</t>
        </is>
      </c>
      <c r="H591" s="669">
        <f>Y591/J591</f>
        <v/>
      </c>
      <c r="I591" s="670" t="n">
        <v>43433</v>
      </c>
      <c r="J591" t="n">
        <v>2500</v>
      </c>
      <c r="L591" t="n">
        <v>2500</v>
      </c>
      <c r="M591" t="n">
        <v>2000</v>
      </c>
      <c r="P591" t="inlineStr"/>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UPPER(D591)</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UPPER(D592)</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UPPER(D593)</f>
        <v/>
      </c>
    </row>
    <row r="594" ht="15" customHeight="1">
      <c r="A594" s="471" t="n">
        <v>8</v>
      </c>
      <c r="B594" s="245" t="n">
        <v>589</v>
      </c>
      <c r="C594" t="inlineStr">
        <is>
          <t>R0176451</t>
        </is>
      </c>
      <c r="D594" t="inlineStr">
        <is>
          <t>848 E 78TH AVE  3 UNITS</t>
        </is>
      </c>
      <c r="E594" t="n">
        <v>425</v>
      </c>
      <c r="F594" t="inlineStr"/>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UPPER(D594)</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UPPER(D595)</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UPPER(D596)</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UPPER(D597)</f>
        <v/>
      </c>
    </row>
    <row r="598" ht="15" customHeight="1">
      <c r="A598" s="471" t="n">
        <v>8</v>
      </c>
      <c r="B598" s="245" t="n">
        <v>593</v>
      </c>
      <c r="C598" t="inlineStr">
        <is>
          <t>R0145696</t>
        </is>
      </c>
      <c r="D598" t="inlineStr">
        <is>
          <t>5418  FEDERAL BLVD</t>
        </is>
      </c>
      <c r="E598" t="n">
        <v>353</v>
      </c>
      <c r="F598" t="inlineStr"/>
      <c r="G598" t="inlineStr">
        <is>
          <t>5</t>
        </is>
      </c>
      <c r="H598" s="669">
        <f>Y598/J598</f>
        <v/>
      </c>
      <c r="I598" s="670" t="n">
        <v>43167</v>
      </c>
      <c r="J598" t="n">
        <v>10220</v>
      </c>
      <c r="L598" t="n">
        <v>10220</v>
      </c>
      <c r="M598" t="n">
        <v>1983</v>
      </c>
      <c r="P598" t="inlineStr"/>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UPPER(D598)</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P599" t="inlineStr"/>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UPPER(D599)</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P600" t="inlineStr"/>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UPPER(D600)</f>
        <v/>
      </c>
    </row>
    <row r="601" ht="15" customHeight="1">
      <c r="A601" s="471" t="n">
        <v>8</v>
      </c>
      <c r="B601" s="245" t="n">
        <v>596</v>
      </c>
      <c r="C601" t="inlineStr">
        <is>
          <t>R0137582</t>
        </is>
      </c>
      <c r="D601" t="inlineStr">
        <is>
          <t>5610  PECOS ST</t>
        </is>
      </c>
      <c r="E601" t="n">
        <v>406</v>
      </c>
      <c r="F601" t="inlineStr"/>
      <c r="G601" t="inlineStr">
        <is>
          <t>5</t>
        </is>
      </c>
      <c r="H601" s="669">
        <f>Y601/J601</f>
        <v/>
      </c>
      <c r="I601" s="670" t="n">
        <v>43250</v>
      </c>
      <c r="J601" t="n">
        <v>17399</v>
      </c>
      <c r="L601" t="n">
        <v>17399</v>
      </c>
      <c r="M601" t="n">
        <v>2004</v>
      </c>
      <c r="P601" t="inlineStr"/>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UPPER(D601)</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UPPER(D602)</f>
        <v/>
      </c>
    </row>
    <row r="603" ht="15" customHeight="1">
      <c r="A603" s="471" t="n">
        <v>8</v>
      </c>
      <c r="B603" s="245" t="n">
        <v>598</v>
      </c>
      <c r="C603" t="inlineStr">
        <is>
          <t>R0141086</t>
        </is>
      </c>
      <c r="D603" t="inlineStr">
        <is>
          <t>37700  CESSNA WAY #1E</t>
        </is>
      </c>
      <c r="E603" t="n">
        <v>328</v>
      </c>
      <c r="F603" t="inlineStr"/>
      <c r="G603" t="inlineStr">
        <is>
          <t>1</t>
        </is>
      </c>
      <c r="H603" s="669">
        <f>Y603/J603</f>
        <v/>
      </c>
      <c r="I603" s="670" t="n">
        <v>44715</v>
      </c>
      <c r="J603" t="n">
        <v>2900</v>
      </c>
      <c r="L603" t="n">
        <v>2900</v>
      </c>
      <c r="M603" t="n">
        <v>2001</v>
      </c>
      <c r="P603" t="inlineStr"/>
      <c r="R603" t="inlineStr">
        <is>
          <t>Average</t>
        </is>
      </c>
      <c r="S603" t="inlineStr"/>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UPPER(D603)</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UPPER(D604)</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UPPER(D605)</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UPPER(D606)</f>
        <v/>
      </c>
    </row>
    <row r="607" ht="15" customHeight="1">
      <c r="A607" s="471" t="n">
        <v>8</v>
      </c>
      <c r="B607" s="245" t="n">
        <v>603</v>
      </c>
      <c r="C607" t="inlineStr">
        <is>
          <t>R0155372</t>
        </is>
      </c>
      <c r="D607" t="inlineStr">
        <is>
          <t>1101 W 62ND AVE</t>
        </is>
      </c>
      <c r="E607" t="n">
        <v>406</v>
      </c>
      <c r="F607" t="inlineStr"/>
      <c r="G607" t="inlineStr">
        <is>
          <t>5</t>
        </is>
      </c>
      <c r="H607" s="669">
        <f>Y607/J607</f>
        <v/>
      </c>
      <c r="I607" s="670" t="n">
        <v>43249</v>
      </c>
      <c r="J607" t="n">
        <v>3500</v>
      </c>
      <c r="L607" t="n">
        <v>3500</v>
      </c>
      <c r="M607" t="n">
        <v>2008</v>
      </c>
      <c r="P607" t="inlineStr"/>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UPPER(D607)</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UPPER(D608)</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UPPER(D609)</f>
        <v/>
      </c>
    </row>
    <row r="610" ht="15" customHeight="1">
      <c r="A610" s="471" t="n">
        <v>8</v>
      </c>
      <c r="B610" s="245" t="n">
        <v>606</v>
      </c>
      <c r="C610" t="inlineStr">
        <is>
          <t>R0165671</t>
        </is>
      </c>
      <c r="D610" t="inlineStr">
        <is>
          <t>37800  ASTRA WAY #5E</t>
        </is>
      </c>
      <c r="E610" t="n">
        <v>409</v>
      </c>
      <c r="F610" t="inlineStr"/>
      <c r="G610" t="inlineStr">
        <is>
          <t>1</t>
        </is>
      </c>
      <c r="H610" s="669">
        <f>Y610/J610</f>
        <v/>
      </c>
      <c r="I610" s="670" t="n">
        <v>44244</v>
      </c>
      <c r="J610" t="n">
        <v>1234</v>
      </c>
      <c r="L610" t="n">
        <v>1234</v>
      </c>
      <c r="M610" t="n">
        <v>2002</v>
      </c>
      <c r="P610" t="inlineStr"/>
      <c r="R610" t="inlineStr">
        <is>
          <t>Average</t>
        </is>
      </c>
      <c r="S610" t="inlineStr"/>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UPPER(D610)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UPPER(D611)</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UPPER(D612)</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UPPER(D613)</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UPPER(D614)</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UPPER(D615)</f>
        <v/>
      </c>
    </row>
    <row r="616" ht="15" customHeight="1">
      <c r="A616" s="471" t="n">
        <v>8</v>
      </c>
      <c r="B616" s="245" t="n">
        <v>612</v>
      </c>
      <c r="C616" t="inlineStr">
        <is>
          <t>R0082008</t>
        </is>
      </c>
      <c r="D616" t="inlineStr">
        <is>
          <t>56841 E COLFAX AVE</t>
        </is>
      </c>
      <c r="E616" t="n">
        <v>344</v>
      </c>
      <c r="F616" t="inlineStr"/>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UPPER(D616)</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UPPER(D617)</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UPPER(D618)</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UPPER(D619)</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UPPER(D620)</f>
        <v/>
      </c>
    </row>
    <row r="621" ht="15" customHeight="1">
      <c r="A621" s="471" t="n">
        <v>8</v>
      </c>
      <c r="B621" s="245" t="n">
        <v>617</v>
      </c>
      <c r="C621" t="inlineStr">
        <is>
          <t>R0164391</t>
        </is>
      </c>
      <c r="D621" t="inlineStr">
        <is>
          <t>2611 W 64TH AVE #B</t>
        </is>
      </c>
      <c r="E621" t="n">
        <v>425</v>
      </c>
      <c r="F621" t="inlineStr"/>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UPPER(D621)</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P622" t="inlineStr"/>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UPPER(D622)</f>
        <v/>
      </c>
    </row>
    <row r="623" ht="15" customHeight="1">
      <c r="A623" s="471" t="n">
        <v>8</v>
      </c>
      <c r="B623" s="245" t="n">
        <v>619</v>
      </c>
      <c r="C623" t="inlineStr">
        <is>
          <t>R0155093</t>
        </is>
      </c>
      <c r="D623" t="inlineStr">
        <is>
          <t>6915  BROADWAY ST</t>
        </is>
      </c>
      <c r="E623" t="n">
        <v>425</v>
      </c>
      <c r="F623" t="inlineStr"/>
      <c r="G623" t="inlineStr">
        <is>
          <t>5</t>
        </is>
      </c>
      <c r="H623" s="669">
        <f>Y623/J623</f>
        <v/>
      </c>
      <c r="I623" s="670" t="n">
        <v>43539</v>
      </c>
      <c r="J623" t="n">
        <v>1310</v>
      </c>
      <c r="L623" t="n">
        <v>1310</v>
      </c>
      <c r="M623" t="n">
        <v>2003</v>
      </c>
      <c r="P623" t="inlineStr"/>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UPPER(D623)</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UPPER(D624)</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UPPER(D625)</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UPPER(D626)</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UPPER(D627)</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UPPER(D628)</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P629" t="inlineStr"/>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UPPER(D629)</f>
        <v/>
      </c>
    </row>
    <row r="630" ht="15" customHeight="1">
      <c r="A630" s="471" t="n">
        <v>8</v>
      </c>
      <c r="B630" s="245" t="n">
        <v>626</v>
      </c>
      <c r="C630" t="inlineStr">
        <is>
          <t>R0155092</t>
        </is>
      </c>
      <c r="D630" t="inlineStr">
        <is>
          <t>6911  BROADWAY ST</t>
        </is>
      </c>
      <c r="E630" t="n">
        <v>425</v>
      </c>
      <c r="F630" t="inlineStr"/>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UPPER(D630)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P631" t="inlineStr"/>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UPPER(D631)</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P632" t="inlineStr"/>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UPPER(D632)</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UPPER(D633)</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UPPER(D634)</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UPPER(D635)</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UPPER(D636)</f>
        <v/>
      </c>
    </row>
    <row r="637" ht="15" customHeight="1">
      <c r="A637" s="471" t="n">
        <v>8</v>
      </c>
      <c r="B637" s="245" t="n">
        <v>633</v>
      </c>
      <c r="C637" t="inlineStr">
        <is>
          <t>R0059548</t>
        </is>
      </c>
      <c r="D637" t="inlineStr">
        <is>
          <t>2185 W 84TH AVE</t>
        </is>
      </c>
      <c r="E637" t="n">
        <v>325</v>
      </c>
      <c r="F637" t="inlineStr"/>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UPPER(D637)</f>
        <v/>
      </c>
    </row>
    <row r="638" ht="15" customHeight="1">
      <c r="A638" s="471" t="n">
        <v>8</v>
      </c>
      <c r="B638" s="245" t="n">
        <v>634</v>
      </c>
      <c r="C638" t="inlineStr">
        <is>
          <t>R0133766</t>
        </is>
      </c>
      <c r="D638" t="inlineStr">
        <is>
          <t>8080  PONTIAC ST</t>
        </is>
      </c>
      <c r="E638" t="n">
        <v>407</v>
      </c>
      <c r="F638" t="inlineStr"/>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UPPER(D638)</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UPPER(D639)</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UPPER(D640)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UPPER(D641)</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P642" t="inlineStr"/>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UPPER(D642)</f>
        <v/>
      </c>
    </row>
    <row r="643" ht="15" customHeight="1">
      <c r="A643" s="471" t="n">
        <v>8</v>
      </c>
      <c r="B643" s="245" t="n">
        <v>639</v>
      </c>
      <c r="C643" t="inlineStr">
        <is>
          <t>R0178832</t>
        </is>
      </c>
      <c r="D643" t="inlineStr">
        <is>
          <t>5190  VIOLET HILL ST #E</t>
        </is>
      </c>
      <c r="E643" t="n">
        <v>328</v>
      </c>
      <c r="F643" t="inlineStr"/>
      <c r="G643" t="inlineStr">
        <is>
          <t>1</t>
        </is>
      </c>
      <c r="H643" s="669">
        <f>Y643/J643</f>
        <v/>
      </c>
      <c r="I643" s="670" t="n">
        <v>44669</v>
      </c>
      <c r="J643" t="n">
        <v>4500</v>
      </c>
      <c r="L643" t="n">
        <v>4500</v>
      </c>
      <c r="M643" t="n">
        <v>2006</v>
      </c>
      <c r="P643" t="inlineStr"/>
      <c r="R643" t="inlineStr">
        <is>
          <t>Average</t>
        </is>
      </c>
      <c r="S643" t="inlineStr"/>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UPPER(D643)</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UPPER(D644)</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S645" t="inlineStr"/>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UPPER(D645)</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UPPER(D646)</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UPPER(D647)</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UPPER(D648)</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UPPER(D649)</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UPPER(D650)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UPPER(D651)</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UPPER(D652)</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UPPER(D653)</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P654" t="inlineStr"/>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UPPER(D654)</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P655" t="inlineStr"/>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UPPER(D655)</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UPPER(D656)</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P657" t="inlineStr"/>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UPPER(D657)</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UPPER(D658)</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UPPER(D659)</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UPPER(D660)</f>
        <v/>
      </c>
    </row>
    <row r="661" ht="15" customHeight="1">
      <c r="A661" s="471" t="n">
        <v>8</v>
      </c>
      <c r="B661" s="245" t="n">
        <v>657</v>
      </c>
      <c r="C661" t="inlineStr">
        <is>
          <t>R0190170</t>
        </is>
      </c>
      <c r="D661" t="inlineStr">
        <is>
          <t>601 E 64TH AVE</t>
        </is>
      </c>
      <c r="E661" t="n">
        <v>407</v>
      </c>
      <c r="F661" t="inlineStr"/>
      <c r="G661" t="inlineStr">
        <is>
          <t>5</t>
        </is>
      </c>
      <c r="H661" s="669">
        <f>Y661/J661</f>
        <v/>
      </c>
      <c r="I661" s="670" t="n">
        <v>43230</v>
      </c>
      <c r="J661" t="n">
        <v>419745</v>
      </c>
      <c r="L661" t="n">
        <v>419745</v>
      </c>
      <c r="M661" t="n">
        <v>2016</v>
      </c>
      <c r="P661" t="inlineStr"/>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UPPER(D661)</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UPPER(D662)</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UPPER(D663)</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UPPER(D664)</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UPPER(D665)</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P666" t="inlineStr"/>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UPPER(D666)</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UPPER(D667)</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UPPER(D668)</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UPPER(D669)</f>
        <v/>
      </c>
    </row>
    <row r="670" ht="15" customHeight="1">
      <c r="A670" s="471" t="n">
        <v>8</v>
      </c>
      <c r="B670" s="245" t="n">
        <v>666</v>
      </c>
      <c r="C670" t="inlineStr">
        <is>
          <t>R0103510</t>
        </is>
      </c>
      <c r="D670" t="inlineStr">
        <is>
          <t>6145 BROADWAY ST</t>
        </is>
      </c>
      <c r="E670" t="n">
        <v>406</v>
      </c>
      <c r="F670" t="inlineStr"/>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UPPER(D670)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P671" t="inlineStr"/>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UPPER(D671)</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UPPER(D672)</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UPPER(D673)</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UPPER(D674)</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P675" t="inlineStr"/>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UPPER(D675)</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UPPER(D676)</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P677" t="inlineStr"/>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UPPER(D677)</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P678" t="inlineStr"/>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UPPER(D678)</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UPPER(D679)</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UPPER(D680)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P681" t="inlineStr"/>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UPPER(D681)</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P682" t="inlineStr"/>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UPPER(D682)</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UPPER(D683)</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UPPER(D684)</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P685" t="inlineStr"/>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UPPER(D685)</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P686" t="inlineStr"/>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UPPER(D686)</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P687" t="inlineStr"/>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UPPER(D687)</f>
        <v/>
      </c>
    </row>
    <row r="688" ht="15" customHeight="1">
      <c r="A688" s="471" t="n">
        <v>8</v>
      </c>
      <c r="B688" s="245" t="n">
        <v>684</v>
      </c>
      <c r="C688" t="inlineStr">
        <is>
          <t>R0208784</t>
        </is>
      </c>
      <c r="D688" t="inlineStr">
        <is>
          <t>5160  VIOLET HILL ST #S7</t>
        </is>
      </c>
      <c r="E688" t="n">
        <v>328</v>
      </c>
      <c r="F688" t="inlineStr"/>
      <c r="G688" t="inlineStr">
        <is>
          <t>1</t>
        </is>
      </c>
      <c r="H688" s="669">
        <f>Y688/J688</f>
        <v/>
      </c>
      <c r="I688" s="670" t="n">
        <v>44091</v>
      </c>
      <c r="J688" t="n">
        <v>1103</v>
      </c>
      <c r="L688" t="n">
        <v>1103</v>
      </c>
      <c r="M688" t="inlineStr"/>
      <c r="P688" t="inlineStr"/>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UPPER(D688)</f>
        <v/>
      </c>
    </row>
    <row r="689" ht="15" customHeight="1">
      <c r="A689" s="471" t="n">
        <v>8</v>
      </c>
      <c r="B689" s="245" t="n">
        <v>685</v>
      </c>
      <c r="C689" t="inlineStr">
        <is>
          <t>R0208781</t>
        </is>
      </c>
      <c r="D689" t="inlineStr">
        <is>
          <t>5160  VIOLET HILL ST #S1</t>
        </is>
      </c>
      <c r="E689" t="n">
        <v>328</v>
      </c>
      <c r="F689" t="inlineStr"/>
      <c r="G689" t="inlineStr">
        <is>
          <t>1</t>
        </is>
      </c>
      <c r="H689" s="669">
        <f>Y689/J689</f>
        <v/>
      </c>
      <c r="I689" s="670" t="n">
        <v>44091</v>
      </c>
      <c r="J689" t="n">
        <v>1166</v>
      </c>
      <c r="L689" t="n">
        <v>1166</v>
      </c>
      <c r="M689" t="inlineStr"/>
      <c r="P689" t="inlineStr"/>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UPPER(D689)</f>
        <v/>
      </c>
    </row>
    <row r="690" ht="15" customHeight="1">
      <c r="A690" s="471" t="n">
        <v>8</v>
      </c>
      <c r="B690" s="245" t="n">
        <v>686</v>
      </c>
      <c r="C690" t="inlineStr">
        <is>
          <t>R0208781</t>
        </is>
      </c>
      <c r="D690" t="inlineStr">
        <is>
          <t>5160  VIOLET HILL ST #S1</t>
        </is>
      </c>
      <c r="E690" t="n">
        <v>328</v>
      </c>
      <c r="F690" t="inlineStr"/>
      <c r="G690" t="inlineStr">
        <is>
          <t>1</t>
        </is>
      </c>
      <c r="H690" s="669">
        <f>Y690/J690</f>
        <v/>
      </c>
      <c r="I690" s="670" t="n">
        <v>44651</v>
      </c>
      <c r="J690" t="n">
        <v>1166</v>
      </c>
      <c r="L690" t="n">
        <v>1166</v>
      </c>
      <c r="M690" t="inlineStr"/>
      <c r="P690" t="inlineStr"/>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UPPER(D690)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P691" t="inlineStr"/>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UPPER(D691)</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P692" t="inlineStr"/>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UPPER(D692)</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P693" t="inlineStr"/>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UPPER(D693)</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P694" t="inlineStr"/>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UPPER(D694)</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P695" t="inlineStr"/>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UPPER(D695)</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UPPER(D696)</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UPPER(D697)</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P698" t="inlineStr"/>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UPPER(D698)</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UPPER(D699)</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P700" t="inlineStr"/>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UPPER(D700)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P701" t="inlineStr"/>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UPPER(D701)</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P702" t="inlineStr"/>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UPPER(D702)</f>
        <v/>
      </c>
    </row>
    <row r="703" ht="15" customHeight="1">
      <c r="A703" s="471" t="n">
        <v>8</v>
      </c>
      <c r="B703" s="245" t="n">
        <v>699</v>
      </c>
      <c r="C703" t="inlineStr">
        <is>
          <t>R0208787</t>
        </is>
      </c>
      <c r="D703" t="inlineStr">
        <is>
          <t>5140  VIOLET HILL ST #S3</t>
        </is>
      </c>
      <c r="E703" t="n">
        <v>328</v>
      </c>
      <c r="F703" t="inlineStr"/>
      <c r="G703" t="inlineStr">
        <is>
          <t>1</t>
        </is>
      </c>
      <c r="H703" s="669">
        <f>Y703/J703</f>
        <v/>
      </c>
      <c r="I703" s="670" t="n">
        <v>44621</v>
      </c>
      <c r="J703" t="n">
        <v>2465</v>
      </c>
      <c r="L703" t="n">
        <v>2465</v>
      </c>
      <c r="M703" t="inlineStr"/>
      <c r="P703" t="inlineStr"/>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UPPER(D703)</f>
        <v/>
      </c>
    </row>
    <row r="704" ht="15" customHeight="1">
      <c r="A704" s="471" t="n">
        <v>8</v>
      </c>
      <c r="B704" s="245" t="n">
        <v>700</v>
      </c>
      <c r="C704" t="inlineStr">
        <is>
          <t>R0208785</t>
        </is>
      </c>
      <c r="D704" t="inlineStr">
        <is>
          <t>5160  VIOLET HILL ST #S9</t>
        </is>
      </c>
      <c r="E704" t="n">
        <v>328</v>
      </c>
      <c r="F704" t="inlineStr"/>
      <c r="G704" t="inlineStr">
        <is>
          <t>1</t>
        </is>
      </c>
      <c r="H704" s="669">
        <f>Y704/J704</f>
        <v/>
      </c>
      <c r="I704" s="670" t="n">
        <v>44178</v>
      </c>
      <c r="J704" t="n">
        <v>1229</v>
      </c>
      <c r="L704" t="n">
        <v>1229</v>
      </c>
      <c r="M704" t="inlineStr"/>
      <c r="P704" t="inlineStr"/>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UPPER(D704)</f>
        <v/>
      </c>
    </row>
    <row r="705" ht="15" customHeight="1">
      <c r="A705" s="471" t="n">
        <v>8</v>
      </c>
      <c r="B705" s="245" t="n">
        <v>701</v>
      </c>
      <c r="C705" t="inlineStr">
        <is>
          <t>R0208777</t>
        </is>
      </c>
      <c r="D705" t="inlineStr">
        <is>
          <t>5160  VIOLET HILL ST #N8</t>
        </is>
      </c>
      <c r="E705" t="n">
        <v>328</v>
      </c>
      <c r="F705" t="inlineStr"/>
      <c r="G705" t="inlineStr">
        <is>
          <t>1</t>
        </is>
      </c>
      <c r="H705" s="669">
        <f>Y705/J705</f>
        <v/>
      </c>
      <c r="I705" s="670" t="n">
        <v>43832</v>
      </c>
      <c r="J705" t="n">
        <v>1530</v>
      </c>
      <c r="L705" t="n">
        <v>1530</v>
      </c>
      <c r="M705" t="inlineStr"/>
      <c r="P705" t="inlineStr"/>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UPPER(D705)</f>
        <v/>
      </c>
    </row>
    <row r="706" ht="15" customHeight="1">
      <c r="A706" s="471" t="n">
        <v>8</v>
      </c>
      <c r="B706" s="245" t="n">
        <v>702</v>
      </c>
      <c r="C706" t="inlineStr">
        <is>
          <t>R0208780</t>
        </is>
      </c>
      <c r="D706" t="inlineStr">
        <is>
          <t>5160  VIOLET HILL ST #N2</t>
        </is>
      </c>
      <c r="E706" t="n">
        <v>328</v>
      </c>
      <c r="F706" t="inlineStr"/>
      <c r="G706" t="inlineStr">
        <is>
          <t>1</t>
        </is>
      </c>
      <c r="H706" s="669">
        <f>Y706/J706</f>
        <v/>
      </c>
      <c r="I706" s="670" t="n">
        <v>44091</v>
      </c>
      <c r="J706" t="n">
        <v>1530</v>
      </c>
      <c r="L706" t="n">
        <v>1530</v>
      </c>
      <c r="M706" t="inlineStr"/>
      <c r="P706" t="inlineStr"/>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UPPER(D706)</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P707" t="inlineStr"/>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UPPER(D707)</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P708" t="inlineStr"/>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UPPER(D708)</f>
        <v/>
      </c>
    </row>
    <row r="709" ht="15" customHeight="1">
      <c r="A709" s="471" t="n">
        <v>8</v>
      </c>
      <c r="B709" s="245" t="n">
        <v>705</v>
      </c>
      <c r="C709" t="inlineStr">
        <is>
          <t>R0208786</t>
        </is>
      </c>
      <c r="D709" t="inlineStr">
        <is>
          <t>5140  VIOLET HILL ST #S4</t>
        </is>
      </c>
      <c r="E709" t="n">
        <v>328</v>
      </c>
      <c r="F709" t="inlineStr"/>
      <c r="G709" t="inlineStr">
        <is>
          <t>1</t>
        </is>
      </c>
      <c r="H709" s="669">
        <f>Y709/J709</f>
        <v/>
      </c>
      <c r="I709" s="670" t="n">
        <v>43971</v>
      </c>
      <c r="J709" t="n">
        <v>2968</v>
      </c>
      <c r="L709" t="n">
        <v>2968</v>
      </c>
      <c r="M709" t="inlineStr"/>
      <c r="P709" t="inlineStr"/>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UPPER(D709)</f>
        <v/>
      </c>
    </row>
    <row r="710" ht="15" customHeight="1">
      <c r="A710" s="471" t="n">
        <v>8</v>
      </c>
      <c r="B710" s="245" t="n">
        <v>706</v>
      </c>
      <c r="C710" t="inlineStr">
        <is>
          <t>R0208782</t>
        </is>
      </c>
      <c r="D710" t="inlineStr">
        <is>
          <t>5160  VIOLET HILL ST #S3</t>
        </is>
      </c>
      <c r="E710" t="n">
        <v>328</v>
      </c>
      <c r="F710" t="inlineStr"/>
      <c r="G710" t="inlineStr">
        <is>
          <t>1</t>
        </is>
      </c>
      <c r="H710" s="669">
        <f>Y710/J710</f>
        <v/>
      </c>
      <c r="I710" s="670" t="n">
        <v>43868</v>
      </c>
      <c r="J710" t="n">
        <v>1103</v>
      </c>
      <c r="L710" t="n">
        <v>1103</v>
      </c>
      <c r="M710" t="inlineStr"/>
      <c r="P710" t="inlineStr"/>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UPPER(D710)</f>
        <v/>
      </c>
    </row>
    <row r="711" ht="15" customHeight="1">
      <c r="A711" s="471" t="n">
        <v>8</v>
      </c>
      <c r="B711" s="245" t="n">
        <v>707</v>
      </c>
      <c r="C711" t="inlineStr">
        <is>
          <t>R0208782</t>
        </is>
      </c>
      <c r="D711" t="inlineStr">
        <is>
          <t>5160  VIOLET HILL ST #S3</t>
        </is>
      </c>
      <c r="E711" t="n">
        <v>328</v>
      </c>
      <c r="F711" t="inlineStr"/>
      <c r="G711" t="inlineStr">
        <is>
          <t>1</t>
        </is>
      </c>
      <c r="H711" s="669">
        <f>Y711/J711</f>
        <v/>
      </c>
      <c r="I711" s="670" t="n">
        <v>44091</v>
      </c>
      <c r="J711" t="n">
        <v>1103</v>
      </c>
      <c r="L711" t="n">
        <v>1103</v>
      </c>
      <c r="M711" t="inlineStr"/>
      <c r="P711" t="inlineStr"/>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UPPER(D711)</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P712" t="inlineStr"/>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UPPER(D712)</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UPPER(D713)</f>
        <v/>
      </c>
    </row>
    <row r="714" ht="15" customHeight="1">
      <c r="A714" s="471" t="n">
        <v>8</v>
      </c>
      <c r="B714" s="245" t="n">
        <v>710</v>
      </c>
      <c r="C714" t="inlineStr">
        <is>
          <t>R0208789</t>
        </is>
      </c>
      <c r="D714" t="inlineStr">
        <is>
          <t>5140  VIOLET HILL ST</t>
        </is>
      </c>
      <c r="E714" t="n">
        <v>328</v>
      </c>
      <c r="F714" t="inlineStr"/>
      <c r="G714" t="inlineStr">
        <is>
          <t>1</t>
        </is>
      </c>
      <c r="H714" s="669">
        <f>Y714/J714</f>
        <v/>
      </c>
      <c r="I714" s="670" t="n">
        <v>43951</v>
      </c>
      <c r="J714" t="n">
        <v>2470</v>
      </c>
      <c r="L714" t="n">
        <v>2470</v>
      </c>
      <c r="M714" t="inlineStr"/>
      <c r="P714" t="inlineStr"/>
      <c r="R714" t="inlineStr">
        <is>
          <t>Average</t>
        </is>
      </c>
      <c r="S714" t="inlineStr"/>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UPPER(D714)</f>
        <v/>
      </c>
    </row>
    <row r="715" ht="15" customHeight="1">
      <c r="A715" s="248" t="n">
        <v>8</v>
      </c>
      <c r="B715" s="245" t="n">
        <v>711</v>
      </c>
    </row>
    <row r="716" ht="15" customHeight="1">
      <c r="A716" s="248" t="n">
        <v>8</v>
      </c>
      <c r="B716" s="245" t="n">
        <v>712</v>
      </c>
    </row>
    <row r="717" ht="15" customHeight="1">
      <c r="A717" s="248" t="n">
        <v>8</v>
      </c>
      <c r="B717" s="245" t="n">
        <v>713</v>
      </c>
    </row>
    <row r="718" ht="15" customHeight="1">
      <c r="A718" s="248" t="n">
        <v>8</v>
      </c>
      <c r="B718" s="245" t="n">
        <v>714</v>
      </c>
    </row>
    <row r="719" ht="15" customHeight="1">
      <c r="A719" s="248" t="n">
        <v>8</v>
      </c>
      <c r="B719" s="245" t="n">
        <v>715</v>
      </c>
    </row>
    <row r="720" ht="15" customHeight="1">
      <c r="A720" s="248" t="n">
        <v>8</v>
      </c>
      <c r="B720" s="245" t="n">
        <v>716</v>
      </c>
    </row>
    <row r="721" ht="15" customHeight="1">
      <c r="A721" s="248" t="n">
        <v>8</v>
      </c>
      <c r="B721" s="245" t="n">
        <v>717</v>
      </c>
    </row>
    <row r="722" ht="15" customHeight="1">
      <c r="A722" s="248" t="n">
        <v>8</v>
      </c>
      <c r="B722" s="245" t="n">
        <v>718</v>
      </c>
    </row>
    <row r="723" ht="15" customHeight="1">
      <c r="A723" s="248" t="n">
        <v>8</v>
      </c>
      <c r="B723" s="245" t="n">
        <v>719</v>
      </c>
    </row>
    <row r="724" ht="15" customHeight="1">
      <c r="A724" s="248" t="n">
        <v>8</v>
      </c>
      <c r="B724" s="245" t="n">
        <v>720</v>
      </c>
    </row>
    <row r="725" ht="15" customHeight="1">
      <c r="A725" s="248" t="n">
        <v>8</v>
      </c>
      <c r="B725" s="245" t="n">
        <v>721</v>
      </c>
    </row>
    <row r="726" ht="15" customHeight="1">
      <c r="A726" s="248" t="n">
        <v>8</v>
      </c>
      <c r="B726" s="245" t="n">
        <v>722</v>
      </c>
    </row>
    <row r="727" ht="15" customHeight="1">
      <c r="A727" s="248" t="n">
        <v>8</v>
      </c>
      <c r="B727" s="245" t="n">
        <v>723</v>
      </c>
    </row>
    <row r="728" ht="15" customHeight="1">
      <c r="A728" s="248" t="n">
        <v>8</v>
      </c>
      <c r="B728" s="245" t="n">
        <v>724</v>
      </c>
    </row>
    <row r="729" ht="15" customHeight="1">
      <c r="A729" s="248" t="n">
        <v>8</v>
      </c>
      <c r="B729" s="245" t="n">
        <v>725</v>
      </c>
    </row>
    <row r="730" ht="15" customHeight="1">
      <c r="A730" s="248" t="n">
        <v>8</v>
      </c>
      <c r="B730" s="245" t="n">
        <v>726</v>
      </c>
    </row>
    <row r="731" ht="15" customHeight="1">
      <c r="A731" s="248" t="n">
        <v>8</v>
      </c>
      <c r="B731" s="245" t="n">
        <v>727</v>
      </c>
    </row>
    <row r="732" ht="15" customHeight="1">
      <c r="A732" s="248" t="n">
        <v>8</v>
      </c>
      <c r="B732" s="245" t="n">
        <v>728</v>
      </c>
    </row>
    <row r="733" ht="15" customHeight="1">
      <c r="A733" s="248" t="n">
        <v>8</v>
      </c>
      <c r="B733" s="245" t="n">
        <v>729</v>
      </c>
    </row>
    <row r="734" ht="15" customHeight="1">
      <c r="A734" s="248" t="n">
        <v>8</v>
      </c>
      <c r="B734" s="245" t="n">
        <v>730</v>
      </c>
    </row>
    <row r="735" ht="15" customHeight="1">
      <c r="A735" s="248" t="n">
        <v>8</v>
      </c>
      <c r="B735" s="245" t="n">
        <v>731</v>
      </c>
    </row>
    <row r="736" ht="15" customHeight="1">
      <c r="A736" s="248" t="n">
        <v>8</v>
      </c>
      <c r="B736" s="245" t="n">
        <v>732</v>
      </c>
    </row>
    <row r="737" ht="15" customHeight="1">
      <c r="A737" s="248" t="n">
        <v>8</v>
      </c>
      <c r="B737" s="245" t="n">
        <v>733</v>
      </c>
    </row>
    <row r="738" ht="15" customHeight="1">
      <c r="A738" s="248" t="n">
        <v>8</v>
      </c>
      <c r="B738" s="245" t="n">
        <v>734</v>
      </c>
    </row>
    <row r="739" ht="15" customHeight="1">
      <c r="A739" s="248" t="n">
        <v>8</v>
      </c>
      <c r="B739" s="245" t="n">
        <v>735</v>
      </c>
    </row>
    <row r="740" ht="15" customHeight="1">
      <c r="A740" s="248" t="n">
        <v>8</v>
      </c>
      <c r="B740" s="245" t="n">
        <v>736</v>
      </c>
    </row>
    <row r="741" ht="15" customHeight="1">
      <c r="A741" s="248" t="n">
        <v>8</v>
      </c>
      <c r="B741" s="245" t="n">
        <v>737</v>
      </c>
    </row>
    <row r="742" ht="15" customHeight="1">
      <c r="A742" s="248" t="n">
        <v>8</v>
      </c>
      <c r="B742" s="245" t="n">
        <v>738</v>
      </c>
    </row>
    <row r="743" ht="15" customHeight="1">
      <c r="A743" s="248" t="n">
        <v>8</v>
      </c>
      <c r="B743" s="245" t="n">
        <v>739</v>
      </c>
    </row>
    <row r="744" ht="15" customHeight="1">
      <c r="A744" s="248" t="n">
        <v>8</v>
      </c>
      <c r="B744" s="245" t="n">
        <v>740</v>
      </c>
    </row>
    <row r="745" ht="15" customHeight="1">
      <c r="A745" s="248" t="n">
        <v>8</v>
      </c>
      <c r="B745" s="245" t="n">
        <v>741</v>
      </c>
    </row>
    <row r="746" ht="15" customHeight="1">
      <c r="A746" s="248" t="n">
        <v>8</v>
      </c>
      <c r="B746" s="245" t="n">
        <v>742</v>
      </c>
    </row>
    <row r="747" ht="15" customHeight="1">
      <c r="A747" s="248" t="n">
        <v>8</v>
      </c>
      <c r="B747" s="245" t="n">
        <v>743</v>
      </c>
    </row>
    <row r="748" ht="15" customHeight="1">
      <c r="A748" s="248" t="n">
        <v>8</v>
      </c>
      <c r="B748" s="245" t="n">
        <v>744</v>
      </c>
    </row>
    <row r="749" ht="15" customHeight="1">
      <c r="A749" s="248" t="n">
        <v>8</v>
      </c>
      <c r="B749" s="245" t="n">
        <v>745</v>
      </c>
    </row>
    <row r="750" ht="15" customHeight="1">
      <c r="A750" s="248" t="n">
        <v>8</v>
      </c>
      <c r="B750" s="245" t="n">
        <v>746</v>
      </c>
    </row>
    <row r="751" ht="15" customHeight="1">
      <c r="A751" s="248" t="n">
        <v>8</v>
      </c>
      <c r="B751" s="245" t="n">
        <v>747</v>
      </c>
    </row>
    <row r="752" ht="15" customHeight="1">
      <c r="A752" s="248" t="n">
        <v>8</v>
      </c>
      <c r="B752" s="245" t="n">
        <v>748</v>
      </c>
    </row>
    <row r="753" ht="15" customHeight="1">
      <c r="A753" s="248" t="n">
        <v>8</v>
      </c>
      <c r="B753" s="245" t="n">
        <v>749</v>
      </c>
    </row>
    <row r="754" ht="15" customHeight="1">
      <c r="A754" s="248" t="n">
        <v>8</v>
      </c>
      <c r="B754" s="245" t="n">
        <v>750</v>
      </c>
    </row>
    <row r="755" ht="15" customHeight="1">
      <c r="A755" s="248" t="n">
        <v>8</v>
      </c>
      <c r="B755" s="245" t="n">
        <v>751</v>
      </c>
    </row>
    <row r="756" ht="15" customHeight="1">
      <c r="A756" s="248" t="n">
        <v>8</v>
      </c>
      <c r="B756" s="245" t="n">
        <v>752</v>
      </c>
    </row>
    <row r="757" ht="15" customHeight="1">
      <c r="A757" s="248" t="n">
        <v>8</v>
      </c>
      <c r="B757" s="245" t="n">
        <v>753</v>
      </c>
    </row>
    <row r="758" ht="15" customHeight="1">
      <c r="A758" s="248" t="n">
        <v>8</v>
      </c>
      <c r="B758" s="245" t="n">
        <v>754</v>
      </c>
    </row>
    <row r="759" ht="15" customHeight="1">
      <c r="A759" s="248" t="n">
        <v>8</v>
      </c>
      <c r="B759" s="245" t="n">
        <v>755</v>
      </c>
    </row>
    <row r="760" ht="15" customHeight="1">
      <c r="A760" s="248" t="n">
        <v>8</v>
      </c>
      <c r="B760" s="245" t="n">
        <v>756</v>
      </c>
    </row>
    <row r="761" ht="15" customHeight="1">
      <c r="A761" s="248" t="n">
        <v>8</v>
      </c>
      <c r="B761" s="245" t="n">
        <v>757</v>
      </c>
    </row>
    <row r="762" ht="15" customHeight="1">
      <c r="A762" s="248" t="n">
        <v>8</v>
      </c>
      <c r="B762" s="245" t="n">
        <v>758</v>
      </c>
    </row>
    <row r="763" ht="15" customHeight="1">
      <c r="A763" s="248" t="n">
        <v>8</v>
      </c>
      <c r="B763" s="245" t="n">
        <v>759</v>
      </c>
    </row>
    <row r="764" ht="15" customHeight="1">
      <c r="A764" s="248" t="n">
        <v>8</v>
      </c>
      <c r="B764" s="245" t="n">
        <v>760</v>
      </c>
    </row>
    <row r="765" ht="15" customHeight="1">
      <c r="A765" s="248" t="n">
        <v>8</v>
      </c>
      <c r="B765" s="245" t="n">
        <v>761</v>
      </c>
    </row>
    <row r="766" ht="15" customHeight="1">
      <c r="A766" s="248" t="n">
        <v>8</v>
      </c>
      <c r="B766" s="245" t="n">
        <v>762</v>
      </c>
    </row>
    <row r="767" ht="15" customHeight="1">
      <c r="A767" s="248" t="n">
        <v>8</v>
      </c>
      <c r="B767" s="245" t="n">
        <v>763</v>
      </c>
    </row>
    <row r="768" ht="15" customHeight="1">
      <c r="A768" s="248" t="n">
        <v>8</v>
      </c>
      <c r="B768" s="245" t="n">
        <v>764</v>
      </c>
    </row>
    <row r="769" ht="15" customHeight="1">
      <c r="A769" s="248" t="n">
        <v>8</v>
      </c>
      <c r="B769" s="245" t="n">
        <v>765</v>
      </c>
    </row>
    <row r="770" ht="15" customHeight="1">
      <c r="A770" s="248" t="n">
        <v>8</v>
      </c>
      <c r="B770" s="245" t="n">
        <v>766</v>
      </c>
    </row>
    <row r="771" ht="15" customHeight="1">
      <c r="A771" s="248" t="n">
        <v>8</v>
      </c>
      <c r="B771" s="245" t="n">
        <v>767</v>
      </c>
    </row>
    <row r="772" ht="15" customHeight="1">
      <c r="A772" s="248" t="n">
        <v>8</v>
      </c>
      <c r="B772" s="245" t="n">
        <v>768</v>
      </c>
    </row>
    <row r="773" ht="15" customHeight="1">
      <c r="A773" s="248" t="n">
        <v>8</v>
      </c>
      <c r="B773" s="245" t="n">
        <v>769</v>
      </c>
    </row>
    <row r="774" ht="15" customHeight="1">
      <c r="A774" s="248" t="n">
        <v>8</v>
      </c>
      <c r="B774" s="245" t="n">
        <v>770</v>
      </c>
    </row>
    <row r="775" ht="15" customHeight="1">
      <c r="A775" s="248" t="n">
        <v>8</v>
      </c>
      <c r="B775" s="245" t="n">
        <v>771</v>
      </c>
    </row>
    <row r="776" ht="15" customHeight="1">
      <c r="A776" s="248" t="n">
        <v>8</v>
      </c>
      <c r="B776" s="245" t="n">
        <v>772</v>
      </c>
    </row>
    <row r="777" ht="15" customHeight="1">
      <c r="A777" s="248" t="n">
        <v>8</v>
      </c>
      <c r="B777" s="245" t="n">
        <v>773</v>
      </c>
    </row>
    <row r="778" ht="15" customHeight="1">
      <c r="A778" s="248" t="n">
        <v>8</v>
      </c>
      <c r="B778" s="245" t="n">
        <v>774</v>
      </c>
    </row>
    <row r="779" ht="15" customHeight="1">
      <c r="A779" s="248" t="n">
        <v>8</v>
      </c>
      <c r="B779" s="245" t="n">
        <v>775</v>
      </c>
    </row>
    <row r="780" ht="15" customHeight="1">
      <c r="A780" s="248" t="n">
        <v>8</v>
      </c>
      <c r="B780" s="245" t="n">
        <v>776</v>
      </c>
    </row>
    <row r="781" ht="15" customHeight="1">
      <c r="A781" s="248" t="n">
        <v>8</v>
      </c>
      <c r="B781" s="245" t="n">
        <v>777</v>
      </c>
    </row>
    <row r="782" ht="15" customHeight="1">
      <c r="A782" s="248" t="n">
        <v>8</v>
      </c>
      <c r="B782" s="245" t="n">
        <v>778</v>
      </c>
    </row>
    <row r="783" ht="15" customHeight="1">
      <c r="A783" s="248" t="n">
        <v>8</v>
      </c>
      <c r="B783" s="245" t="n">
        <v>779</v>
      </c>
    </row>
    <row r="784" ht="15" customHeight="1">
      <c r="A784" s="248" t="n">
        <v>8</v>
      </c>
      <c r="B784" s="245" t="n">
        <v>780</v>
      </c>
    </row>
    <row r="785" ht="15" customHeight="1">
      <c r="A785" s="248" t="n">
        <v>8</v>
      </c>
      <c r="B785" s="245" t="n">
        <v>781</v>
      </c>
    </row>
    <row r="786" ht="15" customHeight="1">
      <c r="A786" s="248" t="n">
        <v>8</v>
      </c>
      <c r="B786" s="245" t="n">
        <v>782</v>
      </c>
    </row>
    <row r="787" ht="15" customHeight="1">
      <c r="A787" s="248" t="n">
        <v>8</v>
      </c>
      <c r="B787" s="245" t="n">
        <v>783</v>
      </c>
    </row>
    <row r="788" ht="15" customHeight="1">
      <c r="A788" s="248" t="n">
        <v>8</v>
      </c>
      <c r="B788" s="245" t="n">
        <v>784</v>
      </c>
    </row>
    <row r="789" ht="15" customHeight="1">
      <c r="A789" s="248" t="n">
        <v>8</v>
      </c>
      <c r="B789" s="245" t="n">
        <v>785</v>
      </c>
    </row>
    <row r="790" ht="15" customHeight="1">
      <c r="A790" s="248" t="n">
        <v>8</v>
      </c>
      <c r="B790" s="245" t="n">
        <v>786</v>
      </c>
    </row>
    <row r="791" ht="15" customHeight="1">
      <c r="A791" s="248" t="n">
        <v>8</v>
      </c>
      <c r="B791" s="245" t="n">
        <v>787</v>
      </c>
    </row>
    <row r="792" ht="15" customHeight="1">
      <c r="A792" s="248" t="n">
        <v>8</v>
      </c>
      <c r="B792" s="245" t="n">
        <v>788</v>
      </c>
    </row>
    <row r="793" ht="15" customHeight="1">
      <c r="A793" s="248" t="n">
        <v>8</v>
      </c>
      <c r="B793" s="245" t="n">
        <v>789</v>
      </c>
    </row>
    <row r="794" ht="15" customHeight="1">
      <c r="A794" s="248" t="n">
        <v>8</v>
      </c>
      <c r="B794" s="245" t="n">
        <v>790</v>
      </c>
    </row>
    <row r="795" ht="15" customHeight="1">
      <c r="A795" s="248" t="n">
        <v>8</v>
      </c>
      <c r="B795" s="245" t="n">
        <v>791</v>
      </c>
    </row>
    <row r="796" ht="15" customHeight="1">
      <c r="A796" s="248" t="n">
        <v>8</v>
      </c>
      <c r="B796" s="245" t="n">
        <v>792</v>
      </c>
    </row>
    <row r="797" ht="15" customHeight="1">
      <c r="A797" s="248" t="n">
        <v>8</v>
      </c>
      <c r="B797" s="245" t="n">
        <v>793</v>
      </c>
    </row>
    <row r="798" ht="15" customHeight="1">
      <c r="A798" s="248" t="n">
        <v>8</v>
      </c>
      <c r="B798" s="245" t="n">
        <v>794</v>
      </c>
    </row>
    <row r="799" ht="15" customHeight="1">
      <c r="A799" s="248" t="n">
        <v>8</v>
      </c>
      <c r="B799" s="245" t="n">
        <v>795</v>
      </c>
    </row>
    <row r="800" ht="15" customHeight="1">
      <c r="A800" s="248" t="n">
        <v>8</v>
      </c>
      <c r="B800" s="245" t="n">
        <v>796</v>
      </c>
    </row>
    <row r="801" ht="15" customHeight="1">
      <c r="A801" s="248" t="n">
        <v>8</v>
      </c>
      <c r="B801" s="245" t="n">
        <v>797</v>
      </c>
    </row>
    <row r="802" ht="15" customHeight="1">
      <c r="A802" s="248" t="n">
        <v>8</v>
      </c>
      <c r="B802" s="245" t="n">
        <v>798</v>
      </c>
    </row>
    <row r="803" ht="15" customHeight="1">
      <c r="A803" s="248" t="n">
        <v>8</v>
      </c>
      <c r="B803" s="245" t="n">
        <v>799</v>
      </c>
    </row>
    <row r="804" ht="15" customHeight="1">
      <c r="A804" s="248" t="n">
        <v>8</v>
      </c>
      <c r="B804" s="245" t="n">
        <v>800</v>
      </c>
    </row>
    <row r="805" ht="15" customHeight="1">
      <c r="A805" s="248" t="n">
        <v>8</v>
      </c>
      <c r="B805" s="245" t="n">
        <v>801</v>
      </c>
    </row>
    <row r="806" ht="15" customHeight="1">
      <c r="A806" s="248" t="n">
        <v>8</v>
      </c>
      <c r="B806" s="245" t="n">
        <v>802</v>
      </c>
    </row>
    <row r="807" ht="15" customHeight="1">
      <c r="A807" s="248" t="n">
        <v>8</v>
      </c>
      <c r="B807" s="245" t="n">
        <v>803</v>
      </c>
    </row>
    <row r="808" ht="15" customHeight="1">
      <c r="A808" s="248" t="n">
        <v>8</v>
      </c>
      <c r="B808" s="245" t="n">
        <v>804</v>
      </c>
    </row>
    <row r="809" ht="15" customHeight="1">
      <c r="A809" s="248" t="n">
        <v>8</v>
      </c>
      <c r="B809" s="245" t="n">
        <v>805</v>
      </c>
    </row>
    <row r="810" ht="15" customHeight="1">
      <c r="A810" s="248" t="n">
        <v>8</v>
      </c>
      <c r="B810" s="245" t="n">
        <v>806</v>
      </c>
    </row>
    <row r="811" ht="15" customHeight="1">
      <c r="A811" s="248" t="n">
        <v>8</v>
      </c>
      <c r="B811" s="245" t="n">
        <v>807</v>
      </c>
    </row>
    <row r="812" ht="15" customHeight="1">
      <c r="A812" s="248" t="n">
        <v>8</v>
      </c>
      <c r="B812" s="245" t="n">
        <v>808</v>
      </c>
    </row>
    <row r="813" ht="15" customHeight="1">
      <c r="A813" s="248" t="n">
        <v>8</v>
      </c>
      <c r="B813" s="245" t="n">
        <v>809</v>
      </c>
    </row>
    <row r="814" ht="15" customHeight="1">
      <c r="A814" s="248" t="n">
        <v>8</v>
      </c>
      <c r="B814" s="245" t="n">
        <v>810</v>
      </c>
    </row>
    <row r="815" ht="15" customHeight="1">
      <c r="A815" s="248" t="n">
        <v>8</v>
      </c>
      <c r="B815" s="245" t="n">
        <v>811</v>
      </c>
    </row>
    <row r="816" ht="15" customHeight="1">
      <c r="A816" s="248" t="n">
        <v>8</v>
      </c>
      <c r="B816" s="245" t="n">
        <v>812</v>
      </c>
    </row>
    <row r="817" ht="15" customHeight="1">
      <c r="A817" s="248" t="n">
        <v>8</v>
      </c>
      <c r="B817" s="245" t="n">
        <v>813</v>
      </c>
    </row>
    <row r="818" ht="15" customHeight="1">
      <c r="A818" s="248" t="n">
        <v>8</v>
      </c>
      <c r="B818" s="245" t="n">
        <v>814</v>
      </c>
    </row>
    <row r="819" ht="15" customHeight="1">
      <c r="A819" s="248" t="n">
        <v>8</v>
      </c>
      <c r="B819" s="245" t="n">
        <v>815</v>
      </c>
    </row>
    <row r="820" ht="15" customHeight="1">
      <c r="A820" s="248" t="n">
        <v>8</v>
      </c>
      <c r="B820" s="245" t="n">
        <v>816</v>
      </c>
    </row>
    <row r="821" ht="15" customHeight="1">
      <c r="A821" s="248" t="n">
        <v>8</v>
      </c>
      <c r="B821" s="245" t="n">
        <v>817</v>
      </c>
    </row>
    <row r="822" ht="15" customHeight="1">
      <c r="A822" s="248" t="n">
        <v>8</v>
      </c>
      <c r="B822" s="245" t="n">
        <v>818</v>
      </c>
    </row>
    <row r="823" ht="15" customHeight="1">
      <c r="A823" s="248" t="n">
        <v>8</v>
      </c>
      <c r="B823" s="245" t="n">
        <v>819</v>
      </c>
    </row>
    <row r="824" ht="15" customHeight="1">
      <c r="A824" s="248" t="n">
        <v>8</v>
      </c>
      <c r="B824" s="245" t="n">
        <v>820</v>
      </c>
    </row>
    <row r="825" ht="15" customHeight="1">
      <c r="A825" s="248" t="n">
        <v>8</v>
      </c>
      <c r="B825" s="245" t="n">
        <v>821</v>
      </c>
    </row>
    <row r="826" ht="15" customHeight="1">
      <c r="A826" s="248" t="n">
        <v>8</v>
      </c>
      <c r="B826" s="245" t="n">
        <v>822</v>
      </c>
    </row>
    <row r="827" ht="15" customHeight="1">
      <c r="A827" s="248" t="n">
        <v>8</v>
      </c>
      <c r="B827" s="245" t="n">
        <v>823</v>
      </c>
    </row>
    <row r="828" ht="15" customHeight="1">
      <c r="A828" s="248" t="n">
        <v>8</v>
      </c>
      <c r="B828" s="245" t="n">
        <v>824</v>
      </c>
    </row>
    <row r="829" ht="15" customHeight="1">
      <c r="A829" s="248" t="n">
        <v>8</v>
      </c>
      <c r="B829" s="245" t="n">
        <v>825</v>
      </c>
    </row>
    <row r="830" ht="15" customHeight="1">
      <c r="A830" s="248" t="n">
        <v>8</v>
      </c>
      <c r="B830" s="245" t="n">
        <v>826</v>
      </c>
    </row>
    <row r="831" ht="15" customHeight="1">
      <c r="A831" s="248" t="n">
        <v>8</v>
      </c>
      <c r="B831" s="245" t="n">
        <v>827</v>
      </c>
    </row>
    <row r="832" ht="15" customHeight="1">
      <c r="A832" s="248" t="n">
        <v>8</v>
      </c>
      <c r="B832" s="245" t="n">
        <v>828</v>
      </c>
    </row>
    <row r="833" ht="15" customHeight="1">
      <c r="A833" s="248" t="n">
        <v>8</v>
      </c>
      <c r="B833" s="245" t="n">
        <v>829</v>
      </c>
    </row>
    <row r="834" ht="15" customHeight="1">
      <c r="A834" s="248" t="n">
        <v>8</v>
      </c>
      <c r="B834" s="245" t="n">
        <v>830</v>
      </c>
    </row>
    <row r="835" ht="15" customHeight="1">
      <c r="A835" s="248" t="n">
        <v>8</v>
      </c>
      <c r="B835" s="245" t="n">
        <v>831</v>
      </c>
    </row>
    <row r="836" ht="15" customHeight="1">
      <c r="A836" s="248" t="n">
        <v>8</v>
      </c>
      <c r="B836" s="245" t="n">
        <v>832</v>
      </c>
    </row>
    <row r="837" ht="15" customHeight="1">
      <c r="A837" s="248" t="n">
        <v>8</v>
      </c>
      <c r="B837" s="245" t="n">
        <v>833</v>
      </c>
    </row>
    <row r="838" ht="15" customHeight="1">
      <c r="A838" s="248" t="n">
        <v>8</v>
      </c>
      <c r="B838" s="245" t="n">
        <v>834</v>
      </c>
    </row>
    <row r="839" ht="15" customHeight="1">
      <c r="A839" s="248" t="n">
        <v>8</v>
      </c>
      <c r="B839" s="245" t="n">
        <v>835</v>
      </c>
    </row>
    <row r="840" ht="15" customHeight="1">
      <c r="A840" s="248" t="n">
        <v>8</v>
      </c>
      <c r="B840" s="245" t="n">
        <v>836</v>
      </c>
    </row>
    <row r="841" ht="15" customHeight="1">
      <c r="A841" s="248" t="n">
        <v>8</v>
      </c>
      <c r="B841" s="245" t="n">
        <v>837</v>
      </c>
    </row>
    <row r="842" ht="15" customHeight="1">
      <c r="A842" s="248" t="n">
        <v>8</v>
      </c>
      <c r="B842" s="245" t="n">
        <v>838</v>
      </c>
    </row>
    <row r="843" ht="15" customHeight="1">
      <c r="A843" s="248" t="n">
        <v>8</v>
      </c>
      <c r="B843" s="245" t="n">
        <v>839</v>
      </c>
    </row>
    <row r="844" ht="15" customHeight="1">
      <c r="A844" s="248" t="n">
        <v>8</v>
      </c>
      <c r="B844" s="245" t="n">
        <v>840</v>
      </c>
    </row>
    <row r="845" ht="15" customHeight="1">
      <c r="A845" s="248" t="n">
        <v>8</v>
      </c>
      <c r="B845" s="245" t="n">
        <v>841</v>
      </c>
    </row>
    <row r="846" ht="15" customHeight="1">
      <c r="A846" s="248" t="n">
        <v>8</v>
      </c>
      <c r="B846" s="245" t="n">
        <v>842</v>
      </c>
    </row>
    <row r="847" ht="15" customHeight="1">
      <c r="A847" s="248" t="n">
        <v>8</v>
      </c>
      <c r="B847" s="245" t="n">
        <v>843</v>
      </c>
    </row>
    <row r="848" ht="15" customHeight="1">
      <c r="A848" s="248" t="n">
        <v>8</v>
      </c>
      <c r="B848" s="245" t="n">
        <v>844</v>
      </c>
    </row>
    <row r="849" ht="15" customHeight="1">
      <c r="A849" s="248" t="n">
        <v>8</v>
      </c>
      <c r="B849" s="245" t="n">
        <v>845</v>
      </c>
    </row>
    <row r="850" ht="15" customHeight="1">
      <c r="A850" s="248" t="n">
        <v>8</v>
      </c>
      <c r="B850" s="245" t="n">
        <v>846</v>
      </c>
    </row>
    <row r="851" ht="15" customHeight="1">
      <c r="A851" s="248" t="n">
        <v>8</v>
      </c>
      <c r="B851" s="245" t="n">
        <v>847</v>
      </c>
    </row>
    <row r="852" ht="15" customHeight="1">
      <c r="A852" s="248" t="n">
        <v>8</v>
      </c>
      <c r="B852" s="245" t="n">
        <v>848</v>
      </c>
    </row>
    <row r="853" ht="15" customHeight="1">
      <c r="A853" s="248" t="n">
        <v>8</v>
      </c>
      <c r="B853" s="245" t="n">
        <v>849</v>
      </c>
    </row>
    <row r="854" ht="15" customHeight="1">
      <c r="A854" s="248" t="n">
        <v>8</v>
      </c>
      <c r="B854" s="245" t="n">
        <v>850</v>
      </c>
    </row>
    <row r="855" ht="15" customHeight="1">
      <c r="A855" s="248" t="n">
        <v>8</v>
      </c>
      <c r="B855" s="245" t="n">
        <v>851</v>
      </c>
    </row>
    <row r="856" ht="15" customHeight="1">
      <c r="A856" s="248" t="n">
        <v>8</v>
      </c>
      <c r="B856" s="245" t="n">
        <v>852</v>
      </c>
    </row>
    <row r="857" ht="15" customHeight="1">
      <c r="A857" s="248" t="n">
        <v>8</v>
      </c>
      <c r="B857" s="245" t="n">
        <v>853</v>
      </c>
    </row>
    <row r="858" ht="15" customHeight="1">
      <c r="A858" s="248" t="n">
        <v>8</v>
      </c>
      <c r="B858" s="245" t="n">
        <v>854</v>
      </c>
    </row>
    <row r="859" ht="15" customHeight="1">
      <c r="A859" s="248" t="n">
        <v>8</v>
      </c>
      <c r="B859" s="245" t="n">
        <v>855</v>
      </c>
    </row>
    <row r="860" ht="15" customHeight="1">
      <c r="A860" s="248" t="n">
        <v>8</v>
      </c>
      <c r="B860" s="245" t="n">
        <v>856</v>
      </c>
    </row>
    <row r="861" ht="15" customHeight="1">
      <c r="A861" s="248" t="n">
        <v>8</v>
      </c>
      <c r="B861" s="245" t="n">
        <v>857</v>
      </c>
    </row>
    <row r="862" ht="15" customHeight="1">
      <c r="A862" s="248" t="n">
        <v>8</v>
      </c>
      <c r="B862" s="245" t="n">
        <v>858</v>
      </c>
    </row>
    <row r="863" ht="15" customHeight="1">
      <c r="A863" s="248" t="n">
        <v>8</v>
      </c>
      <c r="B863" s="245" t="n">
        <v>859</v>
      </c>
    </row>
    <row r="864" ht="15" customHeight="1">
      <c r="A864" s="248" t="n">
        <v>8</v>
      </c>
      <c r="B864" s="245" t="n">
        <v>860</v>
      </c>
    </row>
    <row r="865" ht="15" customHeight="1">
      <c r="A865" s="248" t="n">
        <v>8</v>
      </c>
      <c r="B865" s="245" t="n">
        <v>861</v>
      </c>
    </row>
    <row r="866" ht="15" customHeight="1">
      <c r="A866" s="248" t="n">
        <v>8</v>
      </c>
      <c r="B866" s="245" t="n">
        <v>862</v>
      </c>
    </row>
    <row r="867" ht="15" customHeight="1">
      <c r="A867" s="248" t="n">
        <v>8</v>
      </c>
      <c r="B867" s="245" t="n">
        <v>863</v>
      </c>
    </row>
    <row r="868" ht="15" customHeight="1">
      <c r="A868" s="248" t="n">
        <v>8</v>
      </c>
      <c r="B868" s="245" t="n">
        <v>864</v>
      </c>
    </row>
    <row r="869" ht="15" customHeight="1">
      <c r="A869" s="248" t="n">
        <v>8</v>
      </c>
      <c r="B869" s="245" t="n">
        <v>865</v>
      </c>
    </row>
    <row r="870" ht="15" customHeight="1">
      <c r="A870" s="248" t="n">
        <v>8</v>
      </c>
      <c r="B870" s="245" t="n">
        <v>866</v>
      </c>
    </row>
    <row r="871" ht="15" customHeight="1">
      <c r="A871" s="248" t="n">
        <v>8</v>
      </c>
      <c r="B871" s="245" t="n">
        <v>867</v>
      </c>
    </row>
    <row r="872" ht="15" customHeight="1">
      <c r="A872" s="248" t="n">
        <v>8</v>
      </c>
      <c r="B872" s="245" t="n">
        <v>868</v>
      </c>
    </row>
    <row r="873" ht="15" customHeight="1">
      <c r="A873" s="248" t="n">
        <v>8</v>
      </c>
      <c r="B873" s="245" t="n">
        <v>869</v>
      </c>
    </row>
    <row r="874" ht="15" customHeight="1">
      <c r="A874" s="248" t="n">
        <v>8</v>
      </c>
      <c r="B874" s="245" t="n">
        <v>870</v>
      </c>
    </row>
    <row r="875" ht="15" customHeight="1">
      <c r="A875" s="248" t="n">
        <v>8</v>
      </c>
      <c r="B875" s="245" t="n">
        <v>871</v>
      </c>
    </row>
    <row r="876" ht="15" customHeight="1">
      <c r="A876" s="248" t="n">
        <v>8</v>
      </c>
      <c r="B876" s="245" t="n">
        <v>872</v>
      </c>
    </row>
    <row r="877" ht="15" customHeight="1">
      <c r="A877" s="248" t="n">
        <v>8</v>
      </c>
      <c r="B877" s="245" t="n">
        <v>873</v>
      </c>
    </row>
    <row r="878" ht="15" customHeight="1">
      <c r="A878" s="248" t="n">
        <v>8</v>
      </c>
      <c r="B878" s="245" t="n">
        <v>874</v>
      </c>
    </row>
    <row r="879" ht="15" customHeight="1">
      <c r="A879" s="248" t="n">
        <v>8</v>
      </c>
      <c r="B879" s="245" t="n">
        <v>875</v>
      </c>
    </row>
    <row r="880" ht="15" customHeight="1">
      <c r="A880" s="248" t="n">
        <v>8</v>
      </c>
      <c r="B880" s="245" t="n">
        <v>876</v>
      </c>
    </row>
    <row r="881" ht="15" customHeight="1">
      <c r="A881" s="248" t="n">
        <v>8</v>
      </c>
      <c r="B881" s="245" t="n">
        <v>877</v>
      </c>
    </row>
    <row r="882" ht="15" customHeight="1">
      <c r="A882" s="248" t="n">
        <v>8</v>
      </c>
      <c r="B882" s="245" t="n">
        <v>878</v>
      </c>
    </row>
    <row r="883" ht="15" customHeight="1">
      <c r="A883" s="248" t="n">
        <v>8</v>
      </c>
      <c r="B883" s="245" t="n">
        <v>879</v>
      </c>
    </row>
    <row r="884" ht="15" customHeight="1">
      <c r="A884" s="248" t="n">
        <v>8</v>
      </c>
      <c r="B884" s="245" t="n">
        <v>880</v>
      </c>
    </row>
    <row r="885" ht="15" customHeight="1">
      <c r="A885" s="248" t="n">
        <v>8</v>
      </c>
      <c r="B885" s="245" t="n">
        <v>881</v>
      </c>
    </row>
    <row r="886" ht="15" customHeight="1">
      <c r="A886" s="248" t="n">
        <v>8</v>
      </c>
      <c r="B886" s="245" t="n">
        <v>882</v>
      </c>
    </row>
    <row r="887" ht="15" customHeight="1">
      <c r="A887" s="248" t="n">
        <v>8</v>
      </c>
      <c r="B887" s="245" t="n">
        <v>883</v>
      </c>
    </row>
    <row r="888" ht="15" customHeight="1">
      <c r="A888" s="248" t="n">
        <v>8</v>
      </c>
      <c r="B888" s="245" t="n">
        <v>884</v>
      </c>
    </row>
    <row r="889" ht="15" customHeight="1">
      <c r="A889" s="248" t="n">
        <v>8</v>
      </c>
      <c r="B889" s="245" t="n">
        <v>885</v>
      </c>
    </row>
    <row r="890" ht="15" customHeight="1">
      <c r="A890" s="248" t="n">
        <v>8</v>
      </c>
      <c r="B890" s="245" t="n">
        <v>886</v>
      </c>
    </row>
    <row r="891" ht="15" customHeight="1">
      <c r="A891" s="248" t="n">
        <v>8</v>
      </c>
      <c r="B891" s="245" t="n">
        <v>887</v>
      </c>
    </row>
    <row r="892" ht="15" customHeight="1">
      <c r="A892" s="248" t="n">
        <v>8</v>
      </c>
      <c r="B892" s="245" t="n">
        <v>888</v>
      </c>
    </row>
    <row r="893" ht="15" customHeight="1">
      <c r="A893" s="248" t="n">
        <v>8</v>
      </c>
      <c r="B893" s="245" t="n">
        <v>889</v>
      </c>
    </row>
    <row r="894" ht="15" customHeight="1">
      <c r="A894" s="248" t="n">
        <v>8</v>
      </c>
      <c r="B894" s="245" t="n">
        <v>890</v>
      </c>
    </row>
    <row r="895" ht="15" customHeight="1">
      <c r="A895" s="248" t="n">
        <v>8</v>
      </c>
      <c r="B895" s="245" t="n">
        <v>891</v>
      </c>
    </row>
    <row r="896" ht="15" customHeight="1">
      <c r="A896" s="248" t="n">
        <v>8</v>
      </c>
      <c r="B896" s="245" t="n">
        <v>892</v>
      </c>
    </row>
    <row r="897" ht="15" customHeight="1">
      <c r="A897" s="248" t="n">
        <v>8</v>
      </c>
      <c r="B897" s="245" t="n">
        <v>893</v>
      </c>
    </row>
    <row r="898" ht="15" customHeight="1">
      <c r="A898" s="248" t="n">
        <v>8</v>
      </c>
      <c r="B898" s="245" t="n">
        <v>894</v>
      </c>
    </row>
    <row r="899" ht="15" customHeight="1">
      <c r="A899" s="248" t="n">
        <v>8</v>
      </c>
      <c r="B899" s="245" t="n">
        <v>895</v>
      </c>
    </row>
    <row r="900" ht="15" customHeight="1">
      <c r="A900" s="248" t="n">
        <v>8</v>
      </c>
      <c r="B900" s="245" t="n">
        <v>896</v>
      </c>
    </row>
    <row r="901" ht="15" customHeight="1">
      <c r="A901" s="248" t="n">
        <v>8</v>
      </c>
      <c r="B901" s="245" t="n">
        <v>897</v>
      </c>
    </row>
    <row r="902" ht="15" customHeight="1">
      <c r="A902" s="248" t="n">
        <v>8</v>
      </c>
      <c r="B902" s="245" t="n">
        <v>898</v>
      </c>
    </row>
    <row r="903" ht="15" customHeight="1">
      <c r="A903" s="248" t="n">
        <v>8</v>
      </c>
      <c r="B903" s="245" t="n">
        <v>899</v>
      </c>
    </row>
    <row r="904" ht="15" customHeight="1">
      <c r="A904" s="248" t="n">
        <v>8</v>
      </c>
      <c r="B904" s="245" t="n">
        <v>900</v>
      </c>
    </row>
    <row r="905" ht="15" customHeight="1">
      <c r="A905" s="248" t="n">
        <v>8</v>
      </c>
      <c r="B905" s="245" t="n">
        <v>901</v>
      </c>
    </row>
    <row r="906" ht="15" customHeight="1">
      <c r="A906" s="248" t="n">
        <v>8</v>
      </c>
      <c r="B906" s="245" t="n">
        <v>902</v>
      </c>
    </row>
    <row r="907" ht="15" customHeight="1">
      <c r="A907" s="248" t="n">
        <v>8</v>
      </c>
      <c r="B907" s="245" t="n">
        <v>903</v>
      </c>
    </row>
    <row r="908" ht="15" customHeight="1">
      <c r="A908" s="248" t="n">
        <v>8</v>
      </c>
      <c r="B908" s="245" t="n">
        <v>904</v>
      </c>
    </row>
    <row r="909" ht="15" customHeight="1">
      <c r="A909" s="248" t="n">
        <v>8</v>
      </c>
      <c r="B909" s="245" t="n">
        <v>905</v>
      </c>
    </row>
    <row r="910" ht="15" customHeight="1">
      <c r="A910" s="248" t="n">
        <v>8</v>
      </c>
      <c r="B910" s="245" t="n">
        <v>906</v>
      </c>
    </row>
    <row r="911" ht="15" customHeight="1">
      <c r="A911" s="248" t="n">
        <v>8</v>
      </c>
      <c r="B911" s="245" t="n">
        <v>907</v>
      </c>
    </row>
    <row r="912" ht="15" customHeight="1">
      <c r="A912" s="248" t="n">
        <v>8</v>
      </c>
      <c r="B912" s="245" t="n">
        <v>908</v>
      </c>
    </row>
    <row r="913" ht="15" customHeight="1">
      <c r="A913" s="248" t="n">
        <v>8</v>
      </c>
      <c r="B913" s="245" t="n">
        <v>909</v>
      </c>
    </row>
    <row r="914" ht="15" customHeight="1">
      <c r="A914" s="248" t="n">
        <v>8</v>
      </c>
      <c r="B914" s="245" t="n">
        <v>910</v>
      </c>
    </row>
    <row r="915" ht="15" customHeight="1">
      <c r="A915" s="248" t="n">
        <v>8</v>
      </c>
      <c r="B915" s="245" t="n">
        <v>911</v>
      </c>
    </row>
    <row r="916" ht="15" customHeight="1">
      <c r="A916" s="248" t="n">
        <v>8</v>
      </c>
      <c r="B916" s="245" t="n">
        <v>912</v>
      </c>
    </row>
    <row r="917" ht="15" customHeight="1">
      <c r="A917" s="248" t="n">
        <v>8</v>
      </c>
      <c r="B917" s="245" t="n">
        <v>913</v>
      </c>
    </row>
    <row r="918" ht="15" customHeight="1">
      <c r="A918" s="248" t="n">
        <v>8</v>
      </c>
      <c r="B918" s="245" t="n">
        <v>914</v>
      </c>
    </row>
    <row r="919" ht="15" customHeight="1">
      <c r="A919" s="248" t="n">
        <v>8</v>
      </c>
      <c r="B919" s="245" t="n">
        <v>915</v>
      </c>
    </row>
    <row r="920" ht="15" customHeight="1">
      <c r="A920" s="248" t="n">
        <v>8</v>
      </c>
      <c r="B920" s="245" t="n">
        <v>916</v>
      </c>
    </row>
    <row r="921" ht="15" customHeight="1">
      <c r="A921" s="248" t="n">
        <v>8</v>
      </c>
      <c r="B921" s="245" t="n">
        <v>917</v>
      </c>
    </row>
    <row r="922" ht="15" customHeight="1">
      <c r="A922" s="248" t="n">
        <v>8</v>
      </c>
      <c r="B922" s="245" t="n">
        <v>918</v>
      </c>
    </row>
    <row r="923" ht="15" customHeight="1">
      <c r="A923" s="248" t="n">
        <v>8</v>
      </c>
      <c r="B923" s="245" t="n">
        <v>919</v>
      </c>
    </row>
    <row r="924" ht="15" customHeight="1">
      <c r="A924" s="248" t="n">
        <v>8</v>
      </c>
      <c r="B924" s="245" t="n">
        <v>920</v>
      </c>
    </row>
    <row r="925" ht="15" customHeight="1">
      <c r="A925" s="248" t="n">
        <v>8</v>
      </c>
      <c r="B925" s="245" t="n">
        <v>921</v>
      </c>
    </row>
    <row r="926" ht="15" customHeight="1">
      <c r="A926" s="248" t="n">
        <v>8</v>
      </c>
      <c r="B926" s="245" t="n">
        <v>922</v>
      </c>
    </row>
    <row r="927" ht="15" customHeight="1">
      <c r="A927" s="248" t="n">
        <v>8</v>
      </c>
      <c r="B927" s="245" t="n">
        <v>923</v>
      </c>
    </row>
    <row r="928" ht="15" customHeight="1">
      <c r="A928" s="248" t="n">
        <v>8</v>
      </c>
      <c r="B928" s="245" t="n">
        <v>924</v>
      </c>
    </row>
    <row r="929" ht="15" customHeight="1">
      <c r="A929" s="248" t="n">
        <v>8</v>
      </c>
      <c r="B929" s="245" t="n">
        <v>925</v>
      </c>
    </row>
    <row r="930" ht="15" customHeight="1">
      <c r="A930" s="248" t="n">
        <v>8</v>
      </c>
      <c r="B930" s="245" t="n">
        <v>926</v>
      </c>
    </row>
    <row r="931" ht="15" customHeight="1">
      <c r="A931" s="248" t="n">
        <v>8</v>
      </c>
      <c r="B931" s="245" t="n">
        <v>927</v>
      </c>
    </row>
    <row r="932" ht="15" customHeight="1">
      <c r="A932" s="248" t="n">
        <v>8</v>
      </c>
      <c r="B932" s="245" t="n">
        <v>928</v>
      </c>
    </row>
    <row r="933" ht="15" customHeight="1">
      <c r="A933" s="248" t="n">
        <v>8</v>
      </c>
      <c r="B933" s="245" t="n">
        <v>929</v>
      </c>
    </row>
    <row r="934" ht="15" customHeight="1">
      <c r="A934" s="248" t="n">
        <v>8</v>
      </c>
      <c r="B934" s="245" t="n">
        <v>930</v>
      </c>
    </row>
    <row r="935" ht="15" customHeight="1">
      <c r="A935" s="248" t="n">
        <v>8</v>
      </c>
      <c r="B935" s="245" t="n">
        <v>931</v>
      </c>
    </row>
    <row r="936" ht="15" customHeight="1">
      <c r="A936" s="248" t="n">
        <v>8</v>
      </c>
      <c r="B936" s="245" t="n">
        <v>932</v>
      </c>
    </row>
    <row r="937" ht="15" customHeight="1">
      <c r="A937" s="248" t="n">
        <v>8</v>
      </c>
      <c r="B937" s="245" t="n">
        <v>933</v>
      </c>
    </row>
    <row r="938" ht="15" customHeight="1">
      <c r="A938" s="248" t="n">
        <v>8</v>
      </c>
      <c r="B938" s="245" t="n">
        <v>934</v>
      </c>
    </row>
    <row r="939" ht="15" customHeight="1">
      <c r="A939" s="248" t="n">
        <v>8</v>
      </c>
      <c r="B939" s="245" t="n">
        <v>935</v>
      </c>
    </row>
    <row r="940" ht="15" customHeight="1">
      <c r="A940" s="248" t="n">
        <v>8</v>
      </c>
      <c r="B940" s="245" t="n">
        <v>936</v>
      </c>
    </row>
    <row r="941" ht="15" customHeight="1">
      <c r="A941" s="248" t="n">
        <v>8</v>
      </c>
      <c r="B941" s="245" t="n">
        <v>937</v>
      </c>
    </row>
  </sheetData>
  <autoFilter ref="A1:AH941"/>
  <conditionalFormatting sqref="C6:C289">
    <cfRule type="duplicateValues" priority="2" dxfId="0"/>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0.xml><?xml version="1.0" encoding="utf-8"?>
<worksheet xmlns="http://schemas.openxmlformats.org/spreadsheetml/2006/main">
  <sheetPr codeName="Sheet3">
    <outlinePr summaryBelow="1" summaryRight="1"/>
    <pageSetUpPr fitToPage="1"/>
  </sheetPr>
  <dimension ref="A1:AX1019"/>
  <sheetViews>
    <sheetView zoomScale="90" workbookViewId="0">
      <pane ySplit="1" topLeftCell="A2" activePane="bottomLeft" state="frozen"/>
      <selection activeCell="E47" sqref="E47"/>
      <selection pane="bottomLeft" activeCell="E47" sqref="E47"/>
    </sheetView>
  </sheetViews>
  <sheetFormatPr baseColWidth="8" defaultColWidth="9.33203125" defaultRowHeight="12.75"/>
  <cols>
    <col width="5.6640625" customWidth="1" style="245" min="1" max="1"/>
    <col width="6.33203125" customWidth="1" style="354" min="2" max="2"/>
    <col width="10.83203125" customWidth="1" style="245" min="3" max="3"/>
    <col width="20.6640625" bestFit="1" customWidth="1" style="245" min="4" max="4"/>
    <col width="11.6640625" customWidth="1" style="245" min="5" max="5"/>
    <col width="38.1640625" customWidth="1" style="245" min="6" max="6"/>
    <col width="7.83203125" customWidth="1" style="672" min="7" max="7"/>
    <col width="10.33203125" bestFit="1" customWidth="1" style="253" min="8" max="8"/>
    <col width="10.83203125" bestFit="1" customWidth="1" style="245" min="9" max="9"/>
    <col width="11.83203125" bestFit="1" customWidth="1" style="245" min="10" max="10"/>
    <col width="13.33203125" customWidth="1" style="245" min="11" max="11"/>
    <col width="7.6640625" customWidth="1" style="245" min="12" max="12"/>
    <col width="8.33203125" customWidth="1" style="253" min="13" max="13"/>
    <col width="9.5" customWidth="1" style="253" min="14" max="14"/>
    <col width="11" customWidth="1" style="250" min="15" max="15"/>
    <col width="11.83203125" bestFit="1" customWidth="1" style="250" min="16" max="16"/>
    <col width="9.5" bestFit="1" customWidth="1" style="245" min="17" max="20"/>
    <col width="7.1640625" bestFit="1" customWidth="1" style="245" min="21" max="21"/>
    <col width="13.1640625" bestFit="1" customWidth="1" style="245" min="22" max="22"/>
    <col width="13" bestFit="1" customWidth="1" style="245" min="23" max="23"/>
    <col width="10.5" bestFit="1" customWidth="1" style="245" min="24" max="24"/>
    <col width="11.1640625" bestFit="1" customWidth="1" style="245" min="25" max="25"/>
    <col width="8" bestFit="1" customWidth="1" style="245" min="26" max="27"/>
    <col width="8.1640625" bestFit="1" customWidth="1" style="245" min="28" max="28"/>
    <col width="8.33203125" bestFit="1" customWidth="1" style="245" min="29" max="29"/>
    <col width="41.332031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84.1640625" customWidth="1" style="245" min="37" max="37"/>
    <col width="9.33203125" customWidth="1" style="245" min="38" max="16384"/>
  </cols>
  <sheetData>
    <row r="1" ht="40.5" customHeight="1" thickBot="1">
      <c r="A1" s="241" t="inlineStr">
        <is>
          <t>Pos</t>
        </is>
      </c>
      <c r="B1" s="353" t="inlineStr">
        <is>
          <t>Num</t>
        </is>
      </c>
      <c r="C1" s="241" t="inlineStr">
        <is>
          <t>Source</t>
        </is>
      </c>
      <c r="D1" s="241" t="inlineStr">
        <is>
          <t>Schedule</t>
        </is>
      </c>
      <c r="E1" s="241" t="inlineStr">
        <is>
          <t>Source</t>
        </is>
      </c>
      <c r="F1" s="241" t="inlineStr">
        <is>
          <t>Address</t>
        </is>
      </c>
      <c r="G1" s="673" t="inlineStr">
        <is>
          <t>Cls</t>
        </is>
      </c>
      <c r="H1" s="242" t="inlineStr">
        <is>
          <t>Model</t>
        </is>
      </c>
      <c r="I1" s="243" t="inlineStr">
        <is>
          <t>Loc</t>
        </is>
      </c>
      <c r="J1" s="242" t="inlineStr">
        <is>
          <t>NRA</t>
        </is>
      </c>
      <c r="K1" s="242" t="inlineStr">
        <is>
          <t>Rent</t>
        </is>
      </c>
      <c r="L1" s="242" t="inlineStr">
        <is>
          <t>Vac</t>
        </is>
      </c>
      <c r="M1" s="242" t="inlineStr">
        <is>
          <t>Exp</t>
        </is>
      </c>
      <c r="N1" s="242" t="inlineStr">
        <is>
          <t>YOC</t>
        </is>
      </c>
      <c r="O1" s="359" t="inlineStr">
        <is>
          <t>Office
Enclos.</t>
        </is>
      </c>
      <c r="P1" s="359" t="inlineStr">
        <is>
          <t>Extend.
Office</t>
        </is>
      </c>
      <c r="Q1" s="350" t="inlineStr">
        <is>
          <t>Wall
Height</t>
        </is>
      </c>
      <c r="R1" s="350" t="inlineStr">
        <is>
          <t>Wall
Type</t>
        </is>
      </c>
      <c r="S1" s="358" t="inlineStr">
        <is>
          <t># Units</t>
        </is>
      </c>
      <c r="T1" s="241" t="inlineStr">
        <is>
          <t>Zone</t>
        </is>
      </c>
      <c r="U1" s="241" t="inlineStr">
        <is>
          <t>Str</t>
        </is>
      </c>
      <c r="V1" s="242" t="inlineStr">
        <is>
          <t>L Area</t>
        </is>
      </c>
      <c r="W1" s="244" t="inlineStr">
        <is>
          <t>Land R</t>
        </is>
      </c>
      <c r="X1" s="244" t="inlineStr">
        <is>
          <t>L:B Ratio</t>
        </is>
      </c>
      <c r="Y1" s="244" t="inlineStr">
        <is>
          <t>Imp R</t>
        </is>
      </c>
      <c r="Z1" s="241" t="inlineStr">
        <is>
          <t>Grd</t>
        </is>
      </c>
      <c r="AA1" s="241" t="inlineStr">
        <is>
          <t>Phy</t>
        </is>
      </c>
      <c r="AB1" s="241" t="inlineStr">
        <is>
          <t>Fun</t>
        </is>
      </c>
      <c r="AC1" s="241" t="inlineStr">
        <is>
          <t>P_F</t>
        </is>
      </c>
      <c r="AD1" s="242" t="inlineStr">
        <is>
          <t>Tenant</t>
        </is>
      </c>
      <c r="AE1" s="242" t="inlineStr">
        <is>
          <t>PGI</t>
        </is>
      </c>
      <c r="AF1" s="242" t="inlineStr">
        <is>
          <t>EGI</t>
        </is>
      </c>
      <c r="AG1" s="242" t="inlineStr">
        <is>
          <t>NOI</t>
        </is>
      </c>
      <c r="AH1" s="242" t="inlineStr">
        <is>
          <t>$ EXP</t>
        </is>
      </c>
      <c r="AI1" s="242" t="inlineStr">
        <is>
          <t>Oth Inc/SF</t>
        </is>
      </c>
      <c r="AJ1" s="242" t="inlineStr">
        <is>
          <t>Pkg Inc/SP</t>
        </is>
      </c>
      <c r="AK1" s="242"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370"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370"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370"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370"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370"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370"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370"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370"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370"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370"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370"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370"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370"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370"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370"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370"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370"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370"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370"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370"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370"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370"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370"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370"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370"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370"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370"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370"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370"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370"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370"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370"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370"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370"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370"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370"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370"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370"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370"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370"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370"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370"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370"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370"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370"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370"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370"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370"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370"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370"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370"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370"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370"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370"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370"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370"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370"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370"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370"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370"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370"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370"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370"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370"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370"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370"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370"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370"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370"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370"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370"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370"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370"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370"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370"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370"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370"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370"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370"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370"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370"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370"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370"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370"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370"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370"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370"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370"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370"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370"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370"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370"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370"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370"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370"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370"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370"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370"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370"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370"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370"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370"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370"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370"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370"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370"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370"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370"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370"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370"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370"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370"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370"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370"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370"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370"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370"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370"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370"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370"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370"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370"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370"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370"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370"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370"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370"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370"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370"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370"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370"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370"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370"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370"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370"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370"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370"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370"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370"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370"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370"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370"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370"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370"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370"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370"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370"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370"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370"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370"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370"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370"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370"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370"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370"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370"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370"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370"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370"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370"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370"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370"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370"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370"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370"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370"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370"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370"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370"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370"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370"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370"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370"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370"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370"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370"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370"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370"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370"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370"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370"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370"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370"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370"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370"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370"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370"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370"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370"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370"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370"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370"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370"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370"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370"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370"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370"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370"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370"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370"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370"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370"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370"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370"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370"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370"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370"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370"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370"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370"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370"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370"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370"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370"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370"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370"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370"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370"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370"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370"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370"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370"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370"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370"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370"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370"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370"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370"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370"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370"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370"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370"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370"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370"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370"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370"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370"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370"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370"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370"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370"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370"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370"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370"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370"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370"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370"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370"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370"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370"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370"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370"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370"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370"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370"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370"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370"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370"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370"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370"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370"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370"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370"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370"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370"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370"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370"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370"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370"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370"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370"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370"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370"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370"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370"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370"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370"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680"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680"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680"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680"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680"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680"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680"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680"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680"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680"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680"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680"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680"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680"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680"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680"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680"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680"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680"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680"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680"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680"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680"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680"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680"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680"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680"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680"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680"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680"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680"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680"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680"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680"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680"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680"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680"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680"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680"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680"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680"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680"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680"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680"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680"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680"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680"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680"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680"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680"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680"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680"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680"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370"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680"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680"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680"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680"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680"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680"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680"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680"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680"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680"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680"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680"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680"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680"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680"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680"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680"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680"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680"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680"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680"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680"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680"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680"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680"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680"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680"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680"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680"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680"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680"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680"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680"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680"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370"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370"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370"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680"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680"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680"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680"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680"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680"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680"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680"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680"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680"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680"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680"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680"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680"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680"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680"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680"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680"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680"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680"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680"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680"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680"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680"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680"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680"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680"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680"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680"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680"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680"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680"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680"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680"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680"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680"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680"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680"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680"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680"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680"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680"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680"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680"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680"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680"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680"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680"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680"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680"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680"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680"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680"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680"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680"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680"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680"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680"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680"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680"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680"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680"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680"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680"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680"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680"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680"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680"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680"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680"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680"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680"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680"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680"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680"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680"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680"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680"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680"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680"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680"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680"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680"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680"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680"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680"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680"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680"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680"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680"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680"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680"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680"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680"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680"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680"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680"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680"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680"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680"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680"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680"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680"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680"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680"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680"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680"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680"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680"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680"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680"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680"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680"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680"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680"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680"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680"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680"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680"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1.xml><?xml version="1.0" encoding="utf-8"?>
<worksheet xmlns="http://schemas.openxmlformats.org/spreadsheetml/2006/main">
  <sheetPr codeName="Sheet4">
    <outlinePr summaryBelow="1" summaryRight="1"/>
    <pageSetUpPr/>
  </sheetPr>
  <dimension ref="A1:M158"/>
  <sheetViews>
    <sheetView workbookViewId="0">
      <selection activeCell="B63" sqref="B63"/>
    </sheetView>
  </sheetViews>
  <sheetFormatPr baseColWidth="8" defaultRowHeight="10.5"/>
  <cols>
    <col width="22.6640625" customWidth="1" style="487" min="1" max="1"/>
    <col width="5.5" customWidth="1" min="2" max="2"/>
    <col width="11.5" customWidth="1" min="3" max="3"/>
    <col width="7" bestFit="1" customWidth="1" min="4" max="4"/>
    <col width="29.33203125" bestFit="1" customWidth="1" min="5" max="5"/>
    <col width="5.33203125" customWidth="1" min="6" max="6"/>
    <col width="13.5" customWidth="1" min="7" max="7"/>
    <col width="20.1640625" bestFit="1" customWidth="1" min="8" max="8"/>
    <col width="5.33203125" customWidth="1" min="9" max="9"/>
    <col width="19.5" bestFit="1" customWidth="1" min="10" max="10"/>
    <col width="16.83203125" bestFit="1" customWidth="1" min="11" max="11"/>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2026-07-07T01:05:31Z</dcterms:modified>
  <cp:lastModifiedBy>Armon Goldanloo</cp:lastModifiedBy>
  <cp:lastPrinted>2021-04-29T19:41:45Z</cp:lastPrinted>
</cp:coreProperties>
</file>