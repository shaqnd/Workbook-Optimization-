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ubject Property" sheetId="1" state="visible" r:id="rId1"/>
    <sheet name="Comp Picker" sheetId="2" state="visible" r:id="rId2"/>
    <sheet name="S" sheetId="3" state="visible" r:id="rId3"/>
    <sheet name="WO" sheetId="4" state="visible" r:id="rId4"/>
    <sheet name="BAA Market" sheetId="5" state="visible" r:id="rId5"/>
    <sheet name="BAA Rent" sheetId="6" state="visible" r:id="rId6"/>
    <sheet name="Appeal" sheetId="7" state="visible" r:id="rId7"/>
    <sheet name="BOCC" sheetId="8" state="visible" r:id="rId8"/>
    <sheet name="M&amp;S Inputs" sheetId="9" state="visible" r:id="rId9"/>
    <sheet name="Cost Approach" sheetId="10" state="visible" r:id="rId10"/>
    <sheet name="Sales" sheetId="11" state="visible" r:id="rId11"/>
    <sheet name="Income" sheetId="12" state="visible" r:id="rId12"/>
    <sheet name="Codes" sheetId="13" state="visible" r:id="rId13"/>
    <sheet name="Occ Codes" sheetId="14" state="visible" r:id="rId14"/>
    <sheet name="Zoning Codes" sheetId="15" state="visible" r:id="rId15"/>
    <sheet name="Resources" sheetId="16" state="visible" r:id="rId16"/>
    <sheet name="Quick Matrix" sheetId="17" state="visible" r:id="rId17"/>
    <sheet name="Countywide Core" sheetId="18" state="visible" r:id="rId18"/>
    <sheet name="Municipal Directory" sheetId="19" state="visible" r:id="rId19"/>
    <sheet name="Meetings &amp; News" sheetId="20" state="visible" r:id="rId20"/>
    <sheet name="State &amp; Regional" sheetId="21" state="visible" r:id="rId21"/>
    <sheet name="Due Diligence" sheetId="22" state="visible" r:id="rId22"/>
    <sheet name="Property Registry" sheetId="23" state="visible" r:id="rId23"/>
    <sheet name="Expense Database" sheetId="24" state="visible" r:id="rId24"/>
    <sheet name="PSF Summary" sheetId="25" state="visible" r:id="rId25"/>
  </sheets>
  <externalReferences>
    <externalReference r:id="rId26"/>
    <externalReference r:id="rId27"/>
    <externalReference r:id="rId28"/>
    <externalReference r:id="rId29"/>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BC_OCC">'M&amp;S Inputs'!$B$30:$B$289</definedName>
    <definedName name="BC_KEY">'M&amp;S Inputs'!$I$30:$I$289</definedName>
    <definedName name="BC_VALUE">'M&amp;S Inputs'!$H$30:$H$289</definedName>
    <definedName name="BC_CITE">'M&amp;S Inputs'!$M$30:$M$289</definedName>
    <definedName name="OCC_NAME">'M&amp;S Inputs'!$B$293:$B$310</definedName>
    <definedName name="OCC_CODE">'M&amp;S Inputs'!$C$293:$C$310</definedName>
    <definedName name="OCC_SECTION">'M&amp;S Inputs'!$D$293:$D$310</definedName>
    <definedName name="OCC_PAGE">'M&amp;S Inputs'!$E$293:$E$310</definedName>
    <definedName name="OCC_STORY">'M&amp;S Inputs'!$F$293:$F$310</definedName>
    <definedName name="SH14_H">'M&amp;S Inputs'!$C$314:$C$337</definedName>
    <definedName name="SH14_M">'M&amp;S Inputs'!$D$314:$D$337</definedName>
    <definedName name="SH13_H">'M&amp;S Inputs'!$C$340:$C$357</definedName>
    <definedName name="SH13_M">'M&amp;S Inputs'!$D$340:$D$357</definedName>
    <definedName name="SH15_H">'M&amp;S Inputs'!$C$360:$C$374</definedName>
    <definedName name="SH15_M">'M&amp;S Inputs'!$D$360:$D$374</definedName>
    <definedName name="SH11_H">'M&amp;S Inputs'!$C$377:$C$392</definedName>
    <definedName name="SH11_M">'M&amp;S Inputs'!$D$377:$D$392</definedName>
    <definedName name="SPR_HDR">'M&amp;S Inputs'!$C$396:$F$396</definedName>
    <definedName name="SPR14_SF">'M&amp;S Inputs'!$C$398:$C$417</definedName>
    <definedName name="SPR14_VALS">'M&amp;S Inputs'!$D$398:$K$417</definedName>
    <definedName name="SPR13_SF">'M&amp;S Inputs'!$C$420:$C$437</definedName>
    <definedName name="SPR13_VALS">'M&amp;S Inputs'!$D$420:$K$437</definedName>
    <definedName name="SPR15_SF">'M&amp;S Inputs'!$C$440:$C$447</definedName>
    <definedName name="SPR15_VALS">'M&amp;S Inputs'!$D$440:$K$447</definedName>
    <definedName name="CCM_SECTIONHDR">'M&amp;S Inputs'!$D$492:$K$492</definedName>
    <definedName name="CCM_CLASS">'M&amp;S Inputs'!$C$503:$C$507</definedName>
    <definedName name="CCM_VALUES">'M&amp;S Inputs'!$D$503:$K$507</definedName>
    <definedName name="LAM_CLASSHDR">'M&amp;S Inputs'!$C$510:$G$510</definedName>
    <definedName name="LAM_CITY">'M&amp;S Inputs'!$B$511:$B$532</definedName>
    <definedName name="LAM_VALUES">'M&amp;S Inputs'!$C$511:$G$532</definedName>
    <definedName name="DEN_CLASSHDR">'M&amp;S Inputs'!$C$536:$G$536</definedName>
    <definedName name="DEN_LABEL">'M&amp;S Inputs'!$B$537:$B$549</definedName>
    <definedName name="DEN_VALUES">'M&amp;S Inputs'!$C$537:$G$549</definedName>
    <definedName name="LIFE_CLASSHDR">'M&amp;S Inputs'!$D$553:$H$553</definedName>
    <definedName name="LIFE_KEY">'M&amp;S Inputs'!$I$554:$I$623</definedName>
    <definedName name="LIFE_VALUES">'M&amp;S Inputs'!$D$554:$H$623</definedName>
    <definedName name="DEPR_LIFEHDR">'M&amp;S Inputs'!$C$627:$L$627</definedName>
    <definedName name="DEPR_AGE">'M&amp;S Inputs'!$B$628:$B$673</definedName>
    <definedName name="DEPR_VALUES">'M&amp;S Inputs'!$C$628:$L$673</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Subj_Address">'Subject Property'!$C$4</definedName>
    <definedName name="Subj_BldgSF">'Subject Property'!$C$6</definedName>
    <definedName name="Subj_SiteSF">'Subject Property'!$C$7</definedName>
    <definedName name="Subj_Zoning">'Subject Property'!$C$8</definedName>
    <definedName name="Subj_Condition">'Subject Property'!$C$9</definedName>
    <definedName name="Subj_Quality">'Subject Property'!$C$10</definedName>
    <definedName name="Subj_YOC">'Subject Property'!$C$11</definedName>
    <definedName name="Subj_SizeTol">'Subject Property'!$C$13</definedName>
    <definedName name="OCC_TABLE_LABEL">'Occ Codes'!$F$6:$F$199</definedName>
    <definedName name="Subj_OccCode">'Subject Property'!$E$5</definedName>
    <definedName name="ZONING_TABLE">'Zoning Codes'!$B$5:$B$108</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STRASBURG">'Zoning Codes'!$K$6:$K$7</definedName>
    <definedName name="ZONES_THORNTON">'Zoning Codes'!$L$6:$L$13</definedName>
    <definedName name="ZONES_WESTMINSTER">'Zoning Codes'!$M$6:$M$11</definedName>
    <definedName name="ZONES_OTHER">'Zoning Codes'!$B$5:$B$108</definedName>
    <definedName name="_xlnm.Print_Area" localSheetId="3">'WO'!$A$2:$H$56</definedName>
    <definedName name="_Fill" localSheetId="4" hidden="1">[1]Vertical!#REF!</definedName>
    <definedName name="_Key1" localSheetId="4" hidden="1">[1]Vertical!#REF!</definedName>
    <definedName name="_Key2" localSheetId="4" hidden="1">[1]Vertical!#REF!</definedName>
    <definedName name="_Sort" localSheetId="4" hidden="1">[1]Vertical!#REF!</definedName>
    <definedName name="_Fill" localSheetId="5" hidden="1">#REF!</definedName>
    <definedName name="_Key1" localSheetId="5" hidden="1">#REF!</definedName>
    <definedName name="_Key2" localSheetId="5" hidden="1">#REF!</definedName>
    <definedName name="_Sort" localSheetId="5" hidden="1">#REF!</definedName>
    <definedName name="AdjRent1" localSheetId="5">'BAA Rent'!$G$23:$G$41</definedName>
    <definedName name="Location" localSheetId="5">[3]Codes!$G$1:$H$53</definedName>
    <definedName name="rent1" localSheetId="5">'BAA Rent'!$A$18</definedName>
    <definedName name="rent2" localSheetId="5">'BAA Rent'!$A$22</definedName>
    <definedName name="Subj" localSheetId="5">'BAA Rent'!$A$9</definedName>
    <definedName name="_Key1" localSheetId="6" hidden="1">[2]Sales!#REF!</definedName>
    <definedName name="_Key2" localSheetId="6" hidden="1">[2]Sales!#REF!</definedName>
    <definedName name="_Sort" localSheetId="6" hidden="1">[2]Sales!#REF!</definedName>
    <definedName name="Class" localSheetId="6">[2]Sales!#REF!</definedName>
    <definedName name="RENT" localSheetId="6">[2]Sales!#REF!</definedName>
    <definedName name="Rent_Title" localSheetId="6">[2]Sales!#REF!</definedName>
    <definedName name="SALES" localSheetId="6">[2]Sales!#REF!</definedName>
    <definedName name="SCH" localSheetId="6">[2]Sales!#REF!</definedName>
    <definedName name="_xlnm._FilterDatabase" localSheetId="10" hidden="1">'Sales'!$A$1:$AH$941</definedName>
    <definedName name="_xlnm.Print_Area" localSheetId="10">'Sales'!$A$1:$AC$5</definedName>
    <definedName name="_xlnm._FilterDatabase" localSheetId="11" hidden="1">'Income'!$A$1:$AK$1019</definedName>
    <definedName name="_xlnm.Print_Area" localSheetId="11">'Income'!$A$1:$AK$285</definedName>
  </definedNames>
  <calcPr calcId="191029" fullCalcOnLoad="1"/>
</workbook>
</file>

<file path=xl/styles.xml><?xml version="1.0" encoding="utf-8"?>
<styleSheet xmlns="http://schemas.openxmlformats.org/spreadsheetml/2006/main">
  <numFmts count="21">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 numFmtId="181" formatCode="mm/dd/yyyy"/>
    <numFmt numFmtId="182" formatCode="$#,##0.00"/>
    <numFmt numFmtId="183" formatCode="$#,##0"/>
    <numFmt numFmtId="184" formatCode="yyyy-mm-dd"/>
  </numFmts>
  <fonts count="132">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
      <b val="1"/>
      <sz val="11"/>
    </font>
    <font>
      <b val="1"/>
      <color rgb="001F3864"/>
      <sz val="12"/>
    </font>
    <font>
      <b val="1"/>
      <color rgb="001F3864"/>
      <sz val="10"/>
    </font>
    <font>
      <name val="CG Times"/>
      <b val="1"/>
      <sz val="10"/>
    </font>
    <font>
      <name val="Bookman Old Style"/>
      <b val="1"/>
      <sz val="16"/>
    </font>
    <font>
      <name val="Arial"/>
      <b val="1"/>
      <sz val="10"/>
    </font>
    <font>
      <name val="CG Times"/>
      <b val="1"/>
      <sz val="11"/>
    </font>
    <font>
      <name val="Arial"/>
      <b val="1"/>
      <color rgb="00FFFFFF"/>
      <sz val="10"/>
    </font>
    <font>
      <i val="1"/>
    </font>
    <font>
      <i val="1"/>
      <sz val="9"/>
    </font>
    <font>
      <i val="1"/>
      <color rgb="00C00000"/>
    </font>
    <font>
      <b val="1"/>
      <i val="1"/>
    </font>
    <font>
      <name val="Carlito"/>
      <b val="1"/>
      <color rgb="FFFFFFFF"/>
      <sz val="21"/>
    </font>
    <font>
      <name val="Carlito"/>
      <sz val="11"/>
    </font>
    <font>
      <name val="Carlito"/>
      <i val="1"/>
      <color rgb="FF1F2937"/>
      <sz val="11"/>
    </font>
    <font>
      <name val="Carlito"/>
      <b val="1"/>
      <color rgb="FFFFFFFF"/>
      <sz val="12"/>
    </font>
    <font>
      <name val="Carlito"/>
      <b val="1"/>
      <color rgb="FF1F2937"/>
      <sz val="11"/>
    </font>
    <font>
      <name val="Carlito"/>
      <b val="1"/>
      <color rgb="FF17324D"/>
      <sz val="12"/>
    </font>
    <font>
      <name val="Carlito"/>
      <color rgb="FF1F2937"/>
      <sz val="10"/>
    </font>
    <font>
      <name val="Carlito"/>
      <color rgb="FF0563C1"/>
      <sz val="9"/>
    </font>
    <font>
      <name val="Carlito"/>
      <b val="1"/>
      <color rgb="FFFFFFFF"/>
      <sz val="13"/>
    </font>
    <font>
      <name val="Carlito"/>
      <b val="1"/>
      <color rgb="FFFFFFFF"/>
      <sz val="11"/>
    </font>
    <font>
      <name val="Carlito"/>
      <color rgb="FF1F2937"/>
      <sz val="9"/>
    </font>
    <font>
      <name val="Carlito"/>
      <b val="1"/>
      <color rgb="FF17324D"/>
      <sz val="11"/>
    </font>
    <font>
      <name val="Carlito"/>
      <b val="1"/>
      <color rgb="FFFFFFFF"/>
      <sz val="18"/>
    </font>
    <font>
      <name val="Carlito"/>
      <i val="1"/>
      <color rgb="FF1F2937"/>
      <sz val="10"/>
    </font>
    <font>
      <name val="Carlito"/>
      <b val="1"/>
      <color rgb="FFFFFFFF"/>
      <sz val="10"/>
    </font>
    <font>
      <name val="Carlito"/>
      <color rgb="FF0563C1"/>
      <sz val="8"/>
    </font>
    <font>
      <color rgb="000E7490"/>
      <u val="single"/>
    </font>
    <font>
      <b val="1"/>
      <color rgb="000E7490"/>
      <sz val="10"/>
    </font>
    <font>
      <i val="1"/>
      <color rgb="00D97706"/>
      <sz val="8"/>
    </font>
  </fonts>
  <fills count="45">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
      <patternFill patternType="solid">
        <fgColor rgb="00FDEBD0"/>
      </patternFill>
    </fill>
    <fill>
      <patternFill patternType="solid">
        <fgColor rgb="FF17324D"/>
      </patternFill>
    </fill>
    <fill>
      <patternFill patternType="solid">
        <fgColor rgb="FFE8F3F7"/>
      </patternFill>
    </fill>
    <fill>
      <patternFill patternType="solid">
        <fgColor rgb="FF0E7490"/>
      </patternFill>
    </fill>
    <fill>
      <patternFill patternType="solid">
        <fgColor rgb="FFF3F6F8"/>
      </patternFill>
    </fill>
    <fill>
      <patternFill patternType="solid">
        <fgColor rgb="FFFFFFFF"/>
      </patternFill>
    </fill>
    <fill>
      <patternFill patternType="solid">
        <fgColor rgb="FFD97706"/>
      </patternFill>
    </fill>
    <fill>
      <patternFill patternType="solid">
        <fgColor rgb="FFFFF7ED"/>
      </patternFill>
    </fill>
    <fill>
      <patternFill patternType="solid">
        <fgColor rgb="FFFFFBEB"/>
      </patternFill>
    </fill>
    <fill>
      <patternFill patternType="solid">
        <fgColor rgb="0017324D"/>
      </patternFill>
    </fill>
    <fill>
      <patternFill patternType="solid">
        <fgColor rgb="00FDEBD3"/>
      </patternFill>
    </fill>
    <fill>
      <patternFill patternType="solid">
        <fgColor rgb="00F1F5F9"/>
      </patternFill>
    </fill>
    <fill>
      <patternFill patternType="solid">
        <fgColor rgb="00E8F3F7"/>
      </patternFill>
    </fill>
    <fill>
      <patternFill patternType="solid">
        <fgColor rgb="00F3F6F8"/>
      </patternFill>
    </fill>
    <fill>
      <patternFill patternType="solid">
        <fgColor rgb="00D97706"/>
      </patternFill>
    </fill>
    <fill>
      <patternFill patternType="solid">
        <fgColor rgb="000E7490"/>
      </patternFill>
    </fill>
    <fill>
      <patternFill patternType="solid">
        <fgColor rgb="00FDF0DA"/>
      </patternFill>
    </fill>
  </fills>
  <borders count="68">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1239">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xf numFmtId="0" fontId="81" fillId="15" borderId="0" applyAlignment="1" pivotButton="0" quotePrefix="1" xfId="0">
      <alignment vertical="center"/>
    </xf>
    <xf numFmtId="0" fontId="81" fillId="15" borderId="0" pivotButton="0" quotePrefix="0" xfId="0"/>
    <xf numFmtId="0" fontId="101" fillId="0" borderId="62" pivotButton="0" quotePrefix="0" xfId="0"/>
    <xf numFmtId="0" fontId="102" fillId="13" borderId="62" pivotButton="0" quotePrefix="0" xfId="0"/>
    <xf numFmtId="0" fontId="81" fillId="15" borderId="0" applyAlignment="1" pivotButton="0" quotePrefix="1" xfId="0">
      <alignment horizontal="centerContinuous"/>
    </xf>
    <xf numFmtId="0" fontId="81" fillId="15" borderId="1" pivotButton="0" quotePrefix="0" xfId="0"/>
    <xf numFmtId="0" fontId="81" fillId="15" borderId="2" pivotButton="0" quotePrefix="0" xfId="0"/>
    <xf numFmtId="0" fontId="81" fillId="15" borderId="3" pivotButton="0" quotePrefix="0" xfId="0"/>
    <xf numFmtId="0" fontId="0" fillId="16" borderId="4" pivotButton="0" quotePrefix="0" xfId="0"/>
    <xf numFmtId="0" fontId="9" fillId="16" borderId="5" pivotButton="0" quotePrefix="0" xfId="0"/>
    <xf numFmtId="0" fontId="9" fillId="16" borderId="5" applyAlignment="1" pivotButton="0" quotePrefix="0" xfId="0">
      <alignment horizontal="right"/>
    </xf>
    <xf numFmtId="0" fontId="9" fillId="16" borderId="5" applyAlignment="1" pivotButton="0" quotePrefix="0" xfId="0">
      <alignment horizontal="center"/>
    </xf>
    <xf numFmtId="0" fontId="9" fillId="16" borderId="6" applyAlignment="1" pivotButton="0" quotePrefix="1" xfId="0">
      <alignment horizontal="right"/>
    </xf>
    <xf numFmtId="0" fontId="9" fillId="16" borderId="6" applyAlignment="1" pivotButton="0" quotePrefix="0" xfId="0">
      <alignment horizontal="right"/>
    </xf>
    <xf numFmtId="0" fontId="9" fillId="16" borderId="8" pivotButton="0" quotePrefix="0" xfId="0"/>
    <xf numFmtId="0" fontId="9" fillId="16" borderId="8" applyAlignment="1" pivotButton="0" quotePrefix="0" xfId="0">
      <alignment horizontal="right"/>
    </xf>
    <xf numFmtId="0" fontId="9" fillId="16" borderId="8" applyAlignment="1" pivotButton="0" quotePrefix="0" xfId="0">
      <alignment horizontal="center"/>
    </xf>
    <xf numFmtId="0" fontId="9" fillId="16" borderId="9" applyAlignment="1" pivotButton="0" quotePrefix="0" xfId="0">
      <alignment horizontal="right"/>
    </xf>
    <xf numFmtId="49" fontId="13" fillId="13" borderId="5" applyProtection="1" pivotButton="0" quotePrefix="0" xfId="0">
      <protection locked="0" hidden="0"/>
    </xf>
    <xf numFmtId="0" fontId="13" fillId="13" borderId="5" applyAlignment="1" applyProtection="1" pivotButton="0" quotePrefix="0" xfId="0">
      <alignment horizontal="right"/>
      <protection locked="0" hidden="0"/>
    </xf>
    <xf numFmtId="37" fontId="13" fillId="13" borderId="5" applyAlignment="1" applyProtection="1" pivotButton="0" quotePrefix="0" xfId="0">
      <alignment horizontal="right"/>
      <protection locked="0" hidden="0"/>
    </xf>
    <xf numFmtId="0" fontId="13" fillId="13" borderId="5" applyAlignment="1" applyProtection="1" pivotButton="0" quotePrefix="0" xfId="0">
      <alignment horizontal="center"/>
      <protection locked="0" hidden="0"/>
    </xf>
    <xf numFmtId="167" fontId="13" fillId="13" borderId="5" applyAlignment="1" applyProtection="1" pivotButton="0" quotePrefix="0" xfId="0">
      <alignment horizontal="right"/>
      <protection locked="0" hidden="0"/>
    </xf>
    <xf numFmtId="0" fontId="5" fillId="13" borderId="5" applyAlignment="1" pivotButton="0" quotePrefix="0" xfId="0">
      <alignment horizontal="right"/>
    </xf>
    <xf numFmtId="167" fontId="13" fillId="13" borderId="6" applyAlignment="1" applyProtection="1" pivotButton="0" quotePrefix="0" xfId="0">
      <alignment horizontal="right"/>
      <protection locked="0" hidden="0"/>
    </xf>
    <xf numFmtId="37" fontId="5" fillId="13" borderId="5" applyAlignment="1" pivotButton="0" quotePrefix="0" xfId="0">
      <alignment horizontal="right"/>
    </xf>
    <xf numFmtId="9" fontId="13" fillId="13" borderId="5" applyAlignment="1" applyProtection="1" pivotButton="0" quotePrefix="0" xfId="0">
      <alignment horizontal="right"/>
      <protection locked="0" hidden="0"/>
    </xf>
    <xf numFmtId="49" fontId="13" fillId="13" borderId="5" applyAlignment="1" applyProtection="1" pivotButton="0" quotePrefix="0" xfId="0">
      <alignment horizontal="right"/>
      <protection locked="0" hidden="0"/>
    </xf>
    <xf numFmtId="0" fontId="13" fillId="13" borderId="21" applyProtection="1" pivotButton="0" quotePrefix="0" xfId="0">
      <protection locked="0" hidden="0"/>
    </xf>
    <xf numFmtId="0" fontId="13" fillId="13" borderId="21" applyAlignment="1" applyProtection="1" pivotButton="0" quotePrefix="0" xfId="0">
      <alignment horizontal="right"/>
      <protection locked="0" hidden="0"/>
    </xf>
    <xf numFmtId="37" fontId="13" fillId="13" borderId="21" applyAlignment="1" applyProtection="1" pivotButton="0" quotePrefix="0" xfId="0">
      <alignment horizontal="right"/>
      <protection locked="0" hidden="0"/>
    </xf>
    <xf numFmtId="0" fontId="13" fillId="13" borderId="21" applyAlignment="1" applyProtection="1" pivotButton="0" quotePrefix="0" xfId="0">
      <alignment horizontal="center"/>
      <protection locked="0" hidden="0"/>
    </xf>
    <xf numFmtId="9" fontId="13" fillId="13" borderId="21" applyAlignment="1" applyProtection="1" pivotButton="0" quotePrefix="0" xfId="0">
      <alignment horizontal="right"/>
      <protection locked="0" hidden="0"/>
    </xf>
    <xf numFmtId="166" fontId="13" fillId="13" borderId="21" applyAlignment="1" applyProtection="1" pivotButton="0" quotePrefix="0" xfId="0">
      <alignment horizontal="right"/>
      <protection locked="0" hidden="0"/>
    </xf>
    <xf numFmtId="166" fontId="11" fillId="13" borderId="30" applyAlignment="1" applyProtection="1" pivotButton="0" quotePrefix="0" xfId="0">
      <alignment horizontal="right"/>
      <protection locked="0" hidden="0"/>
    </xf>
    <xf numFmtId="0" fontId="81" fillId="15" borderId="2" applyAlignment="1" pivotButton="0" quotePrefix="0" xfId="0">
      <alignment horizontal="right"/>
    </xf>
    <xf numFmtId="0" fontId="81" fillId="15" borderId="3" applyAlignment="1" pivotButton="0" quotePrefix="0" xfId="0">
      <alignment horizontal="right"/>
    </xf>
    <xf numFmtId="0" fontId="7" fillId="16" borderId="11" pivotButton="0" quotePrefix="0" xfId="0"/>
    <xf numFmtId="0" fontId="9" fillId="16" borderId="12" pivotButton="0" quotePrefix="0" xfId="0"/>
    <xf numFmtId="0" fontId="9" fillId="16" borderId="13" applyAlignment="1" pivotButton="0" quotePrefix="0" xfId="0">
      <alignment horizontal="right"/>
    </xf>
    <xf numFmtId="0" fontId="9" fillId="16" borderId="12" applyAlignment="1" pivotButton="0" quotePrefix="0" xfId="0">
      <alignment horizontal="right"/>
    </xf>
    <xf numFmtId="0" fontId="9" fillId="16" borderId="13" applyAlignment="1" pivotButton="0" quotePrefix="0" xfId="0">
      <alignment horizontal="center"/>
    </xf>
    <xf numFmtId="0" fontId="9" fillId="16" borderId="14" applyAlignment="1" pivotButton="0" quotePrefix="0" xfId="0">
      <alignment horizontal="right"/>
    </xf>
    <xf numFmtId="0" fontId="7" fillId="16" borderId="4" pivotButton="0" quotePrefix="0" xfId="0"/>
    <xf numFmtId="0" fontId="9" fillId="16" borderId="15" pivotButton="0" quotePrefix="0" xfId="0"/>
    <xf numFmtId="0" fontId="9" fillId="16" borderId="0" applyAlignment="1" pivotButton="0" quotePrefix="0" xfId="0">
      <alignment horizontal="right"/>
    </xf>
    <xf numFmtId="0" fontId="9" fillId="16" borderId="15" applyAlignment="1" pivotButton="0" quotePrefix="0" xfId="0">
      <alignment horizontal="right"/>
    </xf>
    <xf numFmtId="0" fontId="9" fillId="16" borderId="0" applyAlignment="1" pivotButton="0" quotePrefix="0" xfId="0">
      <alignment horizontal="center"/>
    </xf>
    <xf numFmtId="0" fontId="7" fillId="16" borderId="7" applyAlignment="1" pivotButton="0" quotePrefix="0" xfId="0">
      <alignment horizontal="center"/>
    </xf>
    <xf numFmtId="0" fontId="9" fillId="16" borderId="16" pivotButton="0" quotePrefix="0" xfId="0"/>
    <xf numFmtId="0" fontId="9" fillId="16" borderId="17" applyAlignment="1" pivotButton="0" quotePrefix="0" xfId="0">
      <alignment horizontal="right"/>
    </xf>
    <xf numFmtId="0" fontId="9" fillId="16" borderId="16" applyAlignment="1" pivotButton="0" quotePrefix="0" xfId="0">
      <alignment horizontal="right"/>
    </xf>
    <xf numFmtId="0" fontId="9" fillId="16" borderId="17" applyAlignment="1" pivotButton="0" quotePrefix="0" xfId="0">
      <alignment horizontal="center"/>
    </xf>
    <xf numFmtId="0" fontId="103" fillId="0" borderId="28" pivotButton="0" quotePrefix="0" xfId="0"/>
    <xf numFmtId="0" fontId="81" fillId="15" borderId="23" pivotButton="0" quotePrefix="0" xfId="0"/>
    <xf numFmtId="0" fontId="7" fillId="16" borderId="24" pivotButton="0" quotePrefix="0" xfId="0"/>
    <xf numFmtId="0" fontId="9" fillId="16" borderId="14" pivotButton="0" quotePrefix="0" xfId="0"/>
    <xf numFmtId="0" fontId="9" fillId="16" borderId="14" applyAlignment="1" pivotButton="0" quotePrefix="0" xfId="0">
      <alignment horizontal="center"/>
    </xf>
    <xf numFmtId="0" fontId="9" fillId="16" borderId="25" pivotButton="0" quotePrefix="0" xfId="0"/>
    <xf numFmtId="0" fontId="7" fillId="16" borderId="0" pivotButton="0" quotePrefix="0" xfId="0"/>
    <xf numFmtId="0" fontId="7" fillId="16" borderId="18" pivotButton="0" quotePrefix="0" xfId="0"/>
    <xf numFmtId="0" fontId="9" fillId="16" borderId="26" applyAlignment="1" pivotButton="0" quotePrefix="0" xfId="0">
      <alignment horizontal="right"/>
    </xf>
    <xf numFmtId="0" fontId="7" fillId="16" borderId="19" applyAlignment="1" pivotButton="0" quotePrefix="0" xfId="0">
      <alignment horizontal="center"/>
    </xf>
    <xf numFmtId="0" fontId="9" fillId="16" borderId="27" applyAlignment="1" pivotButton="0" quotePrefix="0" xfId="0">
      <alignment horizontal="right"/>
    </xf>
    <xf numFmtId="0" fontId="81" fillId="15" borderId="0" applyAlignment="1" pivotButton="0" quotePrefix="0" xfId="7">
      <alignment horizontal="centerContinuous"/>
    </xf>
    <xf numFmtId="0" fontId="104" fillId="16" borderId="32" pivotButton="0" quotePrefix="0" xfId="7"/>
    <xf numFmtId="0" fontId="104" fillId="16" borderId="32" applyAlignment="1" pivotButton="0" quotePrefix="0" xfId="7">
      <alignment horizontal="right"/>
    </xf>
    <xf numFmtId="0" fontId="104" fillId="16" borderId="33" applyAlignment="1" pivotButton="0" quotePrefix="0" xfId="7">
      <alignment horizontal="right"/>
    </xf>
    <xf numFmtId="0" fontId="104" fillId="16" borderId="34" applyAlignment="1" pivotButton="0" quotePrefix="0" xfId="7">
      <alignment horizontal="right"/>
    </xf>
    <xf numFmtId="0" fontId="104" fillId="16" borderId="32" applyAlignment="1" pivotButton="0" quotePrefix="1" xfId="7">
      <alignment horizontal="right"/>
    </xf>
    <xf numFmtId="0" fontId="104" fillId="16" borderId="35" pivotButton="0" quotePrefix="0" xfId="7"/>
    <xf numFmtId="0" fontId="104" fillId="16" borderId="35" applyAlignment="1" pivotButton="0" quotePrefix="0" xfId="7">
      <alignment horizontal="right"/>
    </xf>
    <xf numFmtId="0" fontId="104" fillId="16" borderId="36" applyAlignment="1" pivotButton="0" quotePrefix="0" xfId="7">
      <alignment horizontal="right"/>
    </xf>
    <xf numFmtId="0" fontId="104" fillId="16" borderId="37" applyAlignment="1" pivotButton="0" quotePrefix="0" xfId="7">
      <alignment horizontal="right"/>
    </xf>
    <xf numFmtId="0" fontId="104" fillId="16" borderId="38" applyAlignment="1" pivotButton="0" quotePrefix="1" xfId="7">
      <alignment horizontal="right"/>
    </xf>
    <xf numFmtId="0" fontId="104" fillId="16" borderId="35" applyAlignment="1" pivotButton="0" quotePrefix="1" xfId="7">
      <alignment horizontal="right"/>
    </xf>
    <xf numFmtId="0" fontId="104" fillId="16" borderId="36" applyAlignment="1" pivotButton="0" quotePrefix="1" xfId="7">
      <alignment horizontal="right"/>
    </xf>
    <xf numFmtId="0" fontId="104" fillId="16" borderId="39" applyAlignment="1" pivotButton="0" quotePrefix="1" xfId="7">
      <alignment horizontal="left"/>
    </xf>
    <xf numFmtId="0" fontId="104" fillId="16" borderId="39" pivotButton="0" quotePrefix="0" xfId="7"/>
    <xf numFmtId="0" fontId="104" fillId="16" borderId="39" applyAlignment="1" pivotButton="0" quotePrefix="1" xfId="7">
      <alignment horizontal="right"/>
    </xf>
    <xf numFmtId="0" fontId="104" fillId="16" borderId="39" applyAlignment="1" pivotButton="0" quotePrefix="0" xfId="7">
      <alignment horizontal="right"/>
    </xf>
    <xf numFmtId="0" fontId="104" fillId="16" borderId="40" applyAlignment="1" pivotButton="0" quotePrefix="0" xfId="7">
      <alignment horizontal="centerContinuous"/>
    </xf>
    <xf numFmtId="0" fontId="104" fillId="16" borderId="41" applyAlignment="1" pivotButton="0" quotePrefix="0" xfId="7">
      <alignment horizontal="centerContinuous"/>
    </xf>
    <xf numFmtId="0" fontId="81" fillId="15" borderId="0" applyAlignment="1" pivotButton="0" quotePrefix="0" xfId="8">
      <alignment horizontal="centerContinuous"/>
    </xf>
    <xf numFmtId="0" fontId="105" fillId="16" borderId="0" applyAlignment="1" pivotButton="0" quotePrefix="0" xfId="8">
      <alignment horizontal="centerContinuous" vertical="center"/>
    </xf>
    <xf numFmtId="0" fontId="106" fillId="16" borderId="0" applyAlignment="1" pivotButton="0" quotePrefix="0" xfId="8">
      <alignment horizontal="centerContinuous" vertical="center"/>
    </xf>
    <xf numFmtId="0" fontId="104" fillId="16" borderId="42" pivotButton="0" quotePrefix="0" xfId="8"/>
    <xf numFmtId="0" fontId="104" fillId="16" borderId="42" applyAlignment="1" pivotButton="0" quotePrefix="1" xfId="8">
      <alignment horizontal="right"/>
    </xf>
    <xf numFmtId="0" fontId="104" fillId="16" borderId="42" applyAlignment="1" pivotButton="0" quotePrefix="0" xfId="8">
      <alignment horizontal="right"/>
    </xf>
    <xf numFmtId="0" fontId="104" fillId="16" borderId="28" applyAlignment="1" pivotButton="0" quotePrefix="0" xfId="8">
      <alignment horizontal="right"/>
    </xf>
    <xf numFmtId="0" fontId="104" fillId="16" borderId="23" pivotButton="0" quotePrefix="0" xfId="8"/>
    <xf numFmtId="0" fontId="104" fillId="16" borderId="43" pivotButton="0" quotePrefix="0" xfId="8"/>
    <xf numFmtId="0" fontId="104" fillId="16" borderId="43" applyAlignment="1" pivotButton="0" quotePrefix="1" xfId="8">
      <alignment horizontal="right"/>
    </xf>
    <xf numFmtId="0" fontId="104" fillId="16" borderId="43" applyAlignment="1" pivotButton="0" quotePrefix="0" xfId="8">
      <alignment horizontal="right"/>
    </xf>
    <xf numFmtId="0" fontId="104" fillId="16" borderId="4" applyAlignment="1" pivotButton="0" quotePrefix="0" xfId="8">
      <alignment horizontal="right"/>
    </xf>
    <xf numFmtId="0" fontId="104" fillId="16" borderId="6" pivotButton="0" quotePrefix="0" xfId="8"/>
    <xf numFmtId="0" fontId="104" fillId="16" borderId="44" pivotButton="0" quotePrefix="0" xfId="8"/>
    <xf numFmtId="0" fontId="104" fillId="16" borderId="44" applyAlignment="1" pivotButton="0" quotePrefix="1" xfId="8">
      <alignment horizontal="right"/>
    </xf>
    <xf numFmtId="0" fontId="104" fillId="16" borderId="44" applyAlignment="1" pivotButton="0" quotePrefix="0" xfId="8">
      <alignment horizontal="right"/>
    </xf>
    <xf numFmtId="0" fontId="104" fillId="16" borderId="10" applyAlignment="1" pivotButton="0" quotePrefix="0" xfId="8">
      <alignment horizontal="centerContinuous"/>
    </xf>
    <xf numFmtId="0" fontId="104" fillId="16" borderId="30" applyAlignment="1" pivotButton="0" quotePrefix="1" xfId="8">
      <alignment horizontal="centerContinuous"/>
    </xf>
    <xf numFmtId="0" fontId="81" fillId="15" borderId="0" applyAlignment="1" pivotButton="0" quotePrefix="0" xfId="8">
      <alignment horizontal="centerContinuous" vertical="center"/>
    </xf>
    <xf numFmtId="0" fontId="81" fillId="15" borderId="0" applyAlignment="1" pivotButton="0" quotePrefix="0" xfId="9">
      <alignment horizontal="center"/>
    </xf>
    <xf numFmtId="0" fontId="81" fillId="15" borderId="0" applyAlignment="1" pivotButton="0" quotePrefix="0" xfId="9">
      <alignment horizontal="centerContinuous"/>
    </xf>
    <xf numFmtId="0" fontId="77" fillId="0" borderId="0" pivotButton="0" quotePrefix="0" xfId="9"/>
    <xf numFmtId="0" fontId="1" fillId="13" borderId="45" applyAlignment="1" pivotButton="0" quotePrefix="0" xfId="9">
      <alignment horizontal="left"/>
    </xf>
    <xf numFmtId="0" fontId="1" fillId="13" borderId="46" applyAlignment="1" pivotButton="0" quotePrefix="0" xfId="9">
      <alignment horizontal="left"/>
    </xf>
    <xf numFmtId="0" fontId="77" fillId="0" borderId="0" applyAlignment="1" pivotButton="0" quotePrefix="1" xfId="9">
      <alignment horizontal="left"/>
    </xf>
    <xf numFmtId="0" fontId="81" fillId="15" borderId="50" pivotButton="0" quotePrefix="0" xfId="9"/>
    <xf numFmtId="0" fontId="81" fillId="15" borderId="13" pivotButton="0" quotePrefix="0" xfId="9"/>
    <xf numFmtId="0" fontId="81" fillId="15" borderId="13" applyAlignment="1" pivotButton="0" quotePrefix="1" xfId="9">
      <alignment horizontal="right"/>
    </xf>
    <xf numFmtId="0" fontId="81" fillId="15" borderId="14" applyAlignment="1" pivotButton="0" quotePrefix="1" xfId="9">
      <alignment horizontal="right"/>
    </xf>
    <xf numFmtId="0" fontId="107" fillId="16" borderId="17" applyAlignment="1" pivotButton="0" quotePrefix="1" xfId="9">
      <alignment horizontal="center"/>
    </xf>
    <xf numFmtId="0" fontId="107" fillId="16" borderId="17" pivotButton="0" quotePrefix="0" xfId="9"/>
    <xf numFmtId="0" fontId="107" fillId="16" borderId="17" applyAlignment="1" pivotButton="0" quotePrefix="0" xfId="9">
      <alignment horizontal="center"/>
    </xf>
    <xf numFmtId="0" fontId="107" fillId="16" borderId="17" applyAlignment="1" pivotButton="0" quotePrefix="1" xfId="9">
      <alignment horizontal="right"/>
    </xf>
    <xf numFmtId="0" fontId="107" fillId="16" borderId="17" applyAlignment="1" pivotButton="0" quotePrefix="0" xfId="9">
      <alignment horizontal="right"/>
    </xf>
    <xf numFmtId="0" fontId="107" fillId="16" borderId="8" applyAlignment="1" pivotButton="0" quotePrefix="1" xfId="9">
      <alignment horizontal="right"/>
    </xf>
    <xf numFmtId="0" fontId="81" fillId="15" borderId="13" applyAlignment="1" pivotButton="0" quotePrefix="0" xfId="9">
      <alignment horizontal="right"/>
    </xf>
    <xf numFmtId="0" fontId="81" fillId="15" borderId="14" applyAlignment="1" pivotButton="0" quotePrefix="0" xfId="9">
      <alignment horizontal="right"/>
    </xf>
    <xf numFmtId="0" fontId="107" fillId="16" borderId="8" applyAlignment="1" pivotButton="0" quotePrefix="0" xfId="9">
      <alignment horizontal="right"/>
    </xf>
    <xf numFmtId="0" fontId="103" fillId="0" borderId="0" pivotButton="0" quotePrefix="0" xfId="9"/>
    <xf numFmtId="0" fontId="103" fillId="0" borderId="0" applyAlignment="1" pivotButton="0" quotePrefix="1" xfId="9">
      <alignment horizontal="left"/>
    </xf>
    <xf numFmtId="0" fontId="108" fillId="15" borderId="0" applyAlignment="1" pivotButton="0" quotePrefix="0" xfId="0">
      <alignment horizontal="center" vertical="center" wrapText="1"/>
    </xf>
    <xf numFmtId="0" fontId="108" fillId="15" borderId="0" applyAlignment="1" pivotButton="0" quotePrefix="1" xfId="0">
      <alignment horizontal="center" vertical="center" wrapText="1"/>
    </xf>
    <xf numFmtId="174" fontId="108" fillId="15" borderId="0" applyAlignment="1" pivotButton="0" quotePrefix="0" xfId="3">
      <alignment horizontal="center" vertical="center" wrapText="1"/>
    </xf>
    <xf numFmtId="0" fontId="108" fillId="15" borderId="49" applyAlignment="1" pivotButton="0" quotePrefix="0" xfId="0">
      <alignment horizontal="center" vertical="center" wrapText="1"/>
    </xf>
    <xf numFmtId="1" fontId="108" fillId="15" borderId="49" applyAlignment="1" pivotButton="0" quotePrefix="0" xfId="0">
      <alignment horizontal="center" vertical="center" wrapText="1"/>
    </xf>
    <xf numFmtId="173" fontId="108" fillId="15" borderId="49" applyAlignment="1" pivotButton="0" quotePrefix="0" xfId="0">
      <alignment horizontal="center" vertical="center" wrapText="1"/>
    </xf>
    <xf numFmtId="0" fontId="108" fillId="15" borderId="49" applyAlignment="1" pivotButton="0" quotePrefix="1" xfId="0">
      <alignment horizontal="center" vertical="center" wrapText="1"/>
    </xf>
    <xf numFmtId="3" fontId="108" fillId="15" borderId="49" applyAlignment="1" pivotButton="0" quotePrefix="0" xfId="0">
      <alignment horizontal="center" vertical="center" wrapText="1"/>
    </xf>
    <xf numFmtId="0" fontId="73" fillId="15" borderId="0" pivotButton="0" quotePrefix="0" xfId="0"/>
    <xf numFmtId="0" fontId="89" fillId="0" borderId="0" applyAlignment="1" pivotButton="0" quotePrefix="0" xfId="0">
      <alignment vertical="top" wrapText="1"/>
    </xf>
    <xf numFmtId="0" fontId="74" fillId="0" borderId="0" pivotButton="0" quotePrefix="0" xfId="0"/>
    <xf numFmtId="0" fontId="0" fillId="13" borderId="62" pivotButton="0" quotePrefix="0" xfId="0"/>
    <xf numFmtId="0" fontId="0" fillId="0" borderId="67" pivotButton="0" quotePrefix="0" xfId="0"/>
    <xf numFmtId="0" fontId="109" fillId="14" borderId="62" pivotButton="0" quotePrefix="0" xfId="0"/>
    <xf numFmtId="3" fontId="0" fillId="13" borderId="62" pivotButton="0" quotePrefix="0" xfId="0"/>
    <xf numFmtId="1" fontId="0" fillId="13" borderId="62" pivotButton="0" quotePrefix="0" xfId="0"/>
    <xf numFmtId="1" fontId="109" fillId="14" borderId="62" pivotButton="0" quotePrefix="0" xfId="0"/>
    <xf numFmtId="9" fontId="0" fillId="13" borderId="62" pivotButton="0" quotePrefix="0" xfId="0"/>
    <xf numFmtId="0" fontId="110" fillId="0" borderId="0" applyAlignment="1" pivotButton="0" quotePrefix="0" xfId="0">
      <alignment wrapText="1"/>
    </xf>
    <xf numFmtId="0" fontId="111" fillId="0" borderId="0" pivotButton="0" quotePrefix="0" xfId="0"/>
    <xf numFmtId="0" fontId="110" fillId="0" borderId="0" pivotButton="0" quotePrefix="0" xfId="0"/>
    <xf numFmtId="37" fontId="109" fillId="14" borderId="5" applyAlignment="1" applyProtection="1" pivotButton="0" quotePrefix="0" xfId="0">
      <alignment horizontal="right"/>
      <protection locked="0" hidden="0"/>
    </xf>
    <xf numFmtId="0" fontId="109" fillId="14" borderId="5" applyAlignment="1" applyProtection="1" pivotButton="0" quotePrefix="0" xfId="0">
      <alignment horizontal="center"/>
      <protection locked="0" hidden="0"/>
    </xf>
    <xf numFmtId="49" fontId="109" fillId="14" borderId="5" applyProtection="1" pivotButton="0" quotePrefix="0" xfId="0">
      <protection locked="0" hidden="0"/>
    </xf>
    <xf numFmtId="0" fontId="109" fillId="14" borderId="5" applyAlignment="1" applyProtection="1" pivotButton="0" quotePrefix="0" xfId="0">
      <alignment horizontal="right"/>
      <protection locked="0" hidden="0"/>
    </xf>
    <xf numFmtId="37" fontId="109" fillId="14" borderId="5" applyAlignment="1" pivotButton="0" quotePrefix="0" xfId="0">
      <alignment horizontal="right"/>
    </xf>
    <xf numFmtId="0" fontId="109" fillId="14" borderId="21" applyProtection="1" pivotButton="0" quotePrefix="0" xfId="0">
      <protection locked="0" hidden="0"/>
    </xf>
    <xf numFmtId="0" fontId="109" fillId="14" borderId="21" applyAlignment="1" applyProtection="1" pivotButton="0" quotePrefix="0" xfId="0">
      <alignment horizontal="right"/>
      <protection locked="0" hidden="0"/>
    </xf>
    <xf numFmtId="37" fontId="109" fillId="14" borderId="21" applyAlignment="1" applyProtection="1" pivotButton="0" quotePrefix="0" xfId="0">
      <alignment horizontal="right"/>
      <protection locked="0" hidden="0"/>
    </xf>
    <xf numFmtId="0" fontId="90" fillId="15" borderId="0" applyAlignment="1" pivotButton="0" quotePrefix="0" xfId="0">
      <alignment horizontal="center" wrapText="1"/>
    </xf>
    <xf numFmtId="0" fontId="90" fillId="15" borderId="0" pivotButton="0" quotePrefix="0" xfId="0"/>
    <xf numFmtId="0" fontId="89" fillId="0" borderId="0" applyAlignment="1" pivotButton="0" quotePrefix="0" xfId="0">
      <alignment wrapText="1"/>
    </xf>
    <xf numFmtId="0" fontId="0" fillId="15" borderId="0" pivotButton="0" quotePrefix="0" xfId="0"/>
    <xf numFmtId="0" fontId="82" fillId="16" borderId="0" pivotButton="0" quotePrefix="0" xfId="0"/>
    <xf numFmtId="0" fontId="0" fillId="13" borderId="0" pivotButton="0" quotePrefix="0" xfId="0"/>
    <xf numFmtId="0" fontId="82" fillId="0" borderId="0" pivotButton="0" quotePrefix="0" xfId="0"/>
    <xf numFmtId="0" fontId="82" fillId="13" borderId="0" applyAlignment="1" pivotButton="0" quotePrefix="0" xfId="0">
      <alignment horizontal="center"/>
    </xf>
    <xf numFmtId="3" fontId="80" fillId="13" borderId="62" pivotButton="0" quotePrefix="0" xfId="0"/>
    <xf numFmtId="2" fontId="80" fillId="13" borderId="62" pivotButton="0" quotePrefix="0" xfId="0"/>
    <xf numFmtId="2" fontId="80" fillId="13" borderId="62" applyAlignment="1" pivotButton="0" quotePrefix="0" xfId="0">
      <alignment horizontal="center" vertical="center"/>
    </xf>
    <xf numFmtId="181" fontId="80" fillId="13" borderId="62" applyAlignment="1" pivotButton="0" quotePrefix="0" xfId="0">
      <alignment vertical="center"/>
    </xf>
    <xf numFmtId="3" fontId="80" fillId="14" borderId="60" pivotButton="0" quotePrefix="0" xfId="0"/>
    <xf numFmtId="182" fontId="80" fillId="0" borderId="60" applyAlignment="1" pivotButton="0" quotePrefix="0" xfId="0">
      <alignment vertical="center"/>
    </xf>
    <xf numFmtId="183" fontId="80" fillId="0" borderId="60" applyAlignment="1" pivotButton="0" quotePrefix="0" xfId="0">
      <alignment vertical="center"/>
    </xf>
    <xf numFmtId="183" fontId="82" fillId="0" borderId="60" applyAlignment="1" pivotButton="0" quotePrefix="0" xfId="0">
      <alignment vertical="center"/>
    </xf>
    <xf numFmtId="178" fontId="80" fillId="0" borderId="60" applyAlignment="1" pivotButton="0" quotePrefix="0" xfId="0">
      <alignment vertical="center"/>
    </xf>
    <xf numFmtId="178" fontId="82" fillId="0" borderId="60" applyAlignment="1" pivotButton="0" quotePrefix="0" xfId="0">
      <alignment vertical="center"/>
    </xf>
    <xf numFmtId="3" fontId="80" fillId="13" borderId="62" applyAlignment="1" pivotButton="0" quotePrefix="0" xfId="0">
      <alignment vertical="center"/>
    </xf>
    <xf numFmtId="182" fontId="80" fillId="13" borderId="62" applyAlignment="1" pivotButton="0" quotePrefix="0" xfId="0">
      <alignment vertical="center"/>
    </xf>
    <xf numFmtId="170" fontId="80" fillId="13" borderId="62" applyAlignment="1" pivotButton="0" quotePrefix="0" xfId="0">
      <alignment vertical="center"/>
    </xf>
    <xf numFmtId="183" fontId="83" fillId="0" borderId="60" applyAlignment="1" pivotButton="0" quotePrefix="0" xfId="0">
      <alignment vertical="center"/>
    </xf>
    <xf numFmtId="182" fontId="80" fillId="0" borderId="60" pivotButton="0" quotePrefix="0" xfId="0"/>
    <xf numFmtId="183" fontId="80" fillId="13" borderId="62" applyAlignment="1" pivotButton="0" quotePrefix="0" xfId="0">
      <alignment horizontal="center"/>
    </xf>
    <xf numFmtId="170" fontId="80" fillId="14" borderId="60" applyAlignment="1" pivotButton="0" quotePrefix="0" xfId="0">
      <alignment vertical="center"/>
    </xf>
    <xf numFmtId="183" fontId="80" fillId="0" borderId="60" pivotButton="0" quotePrefix="0" xfId="0"/>
    <xf numFmtId="170" fontId="80" fillId="13" borderId="62" pivotButton="0" quotePrefix="0" xfId="0"/>
    <xf numFmtId="170" fontId="80" fillId="0" borderId="60" pivotButton="0" quotePrefix="0" xfId="0"/>
    <xf numFmtId="183" fontId="82" fillId="0" borderId="60" pivotButton="0" quotePrefix="0" xfId="0"/>
    <xf numFmtId="183" fontId="84" fillId="0" borderId="60" pivotButton="0" quotePrefix="0" xfId="0"/>
    <xf numFmtId="183" fontId="80" fillId="13" borderId="60" applyAlignment="1" pivotButton="0" quotePrefix="0" xfId="0">
      <alignment horizontal="center"/>
    </xf>
    <xf numFmtId="183" fontId="84" fillId="0" borderId="60" applyAlignment="1" pivotButton="0" quotePrefix="0" xfId="0">
      <alignment vertical="center"/>
    </xf>
    <xf numFmtId="3" fontId="80" fillId="0" borderId="60" applyAlignment="1" pivotButton="0" quotePrefix="0" xfId="0">
      <alignment horizontal="left" vertical="center" indent="2"/>
    </xf>
    <xf numFmtId="0" fontId="109" fillId="14" borderId="0" pivotButton="0" quotePrefix="0" xfId="0"/>
    <xf numFmtId="183" fontId="0" fillId="0" borderId="0" pivotButton="0" quotePrefix="0" xfId="0"/>
    <xf numFmtId="182" fontId="0" fillId="0" borderId="0" pivotButton="0" quotePrefix="0" xfId="0"/>
    <xf numFmtId="3" fontId="0" fillId="0" borderId="0" pivotButton="0" quotePrefix="0" xfId="0"/>
    <xf numFmtId="181" fontId="0" fillId="0" borderId="0" pivotButton="0" quotePrefix="0" xfId="0"/>
    <xf numFmtId="0" fontId="112" fillId="0" borderId="0" pivotButton="0" quotePrefix="0" xfId="0"/>
    <xf numFmtId="0" fontId="77" fillId="0" borderId="0" pivotButton="0" quotePrefix="0" xfId="0"/>
    <xf numFmtId="183" fontId="0" fillId="28" borderId="0" pivotButton="0" quotePrefix="0" xfId="0"/>
    <xf numFmtId="182" fontId="0" fillId="28" borderId="0" pivotButton="0" quotePrefix="0" xfId="0"/>
    <xf numFmtId="0" fontId="113" fillId="29" borderId="60" applyAlignment="1" pivotButton="0" quotePrefix="0" xfId="0">
      <alignment horizontal="left" vertical="center"/>
    </xf>
    <xf numFmtId="0" fontId="115" fillId="30" borderId="60" applyAlignment="1" pivotButton="0" quotePrefix="0" xfId="0">
      <alignment vertical="center" wrapText="1"/>
    </xf>
    <xf numFmtId="0" fontId="116" fillId="31" borderId="60" applyAlignment="1" pivotButton="0" quotePrefix="0" xfId="0">
      <alignment horizontal="center"/>
    </xf>
    <xf numFmtId="0" fontId="117" fillId="32" borderId="60" applyAlignment="1" pivotButton="0" quotePrefix="0" xfId="0">
      <alignment wrapText="1"/>
    </xf>
    <xf numFmtId="0" fontId="118" fillId="0" borderId="60" applyAlignment="1" pivotButton="0" quotePrefix="0" xfId="0">
      <alignment horizontal="center" vertical="center"/>
    </xf>
    <xf numFmtId="0" fontId="119" fillId="33" borderId="60" applyAlignment="1" pivotButton="0" quotePrefix="0" xfId="0">
      <alignment vertical="center" wrapText="1"/>
    </xf>
    <xf numFmtId="0" fontId="120" fillId="0" borderId="60" applyAlignment="1" pivotButton="0" quotePrefix="0" xfId="0">
      <alignment vertical="center"/>
    </xf>
    <xf numFmtId="0" fontId="119" fillId="32" borderId="60" applyAlignment="1" pivotButton="0" quotePrefix="0" xfId="0">
      <alignment vertical="center" wrapText="1"/>
    </xf>
    <xf numFmtId="0" fontId="116" fillId="34" borderId="60" applyAlignment="1" pivotButton="0" quotePrefix="0" xfId="0">
      <alignment horizontal="center"/>
    </xf>
    <xf numFmtId="0" fontId="119" fillId="35" borderId="60" applyAlignment="1" pivotButton="0" quotePrefix="0" xfId="0">
      <alignment vertical="center" wrapText="1"/>
    </xf>
    <xf numFmtId="0" fontId="119" fillId="36" borderId="60" applyAlignment="1" pivotButton="0" quotePrefix="0" xfId="0">
      <alignment vertical="center" wrapText="1"/>
    </xf>
    <xf numFmtId="9" fontId="118" fillId="0" borderId="60" applyAlignment="1" pivotButton="0" quotePrefix="0" xfId="0">
      <alignment horizontal="center" vertical="center"/>
    </xf>
    <xf numFmtId="0" fontId="121" fillId="29" borderId="60" applyAlignment="1" pivotButton="0" quotePrefix="0" xfId="0">
      <alignment horizontal="center"/>
    </xf>
    <xf numFmtId="0" fontId="122" fillId="29" borderId="60" applyAlignment="1" pivotButton="0" quotePrefix="0" xfId="0">
      <alignment horizontal="center" wrapText="1"/>
    </xf>
    <xf numFmtId="0" fontId="122" fillId="31" borderId="60" applyAlignment="1" pivotButton="0" quotePrefix="0" xfId="0">
      <alignment horizontal="center" wrapText="1"/>
    </xf>
    <xf numFmtId="0" fontId="122" fillId="31" borderId="60" applyAlignment="1" pivotButton="0" quotePrefix="0" xfId="0">
      <alignment horizontal="center"/>
    </xf>
    <xf numFmtId="0" fontId="123" fillId="0" borderId="60" applyAlignment="1" pivotButton="0" quotePrefix="0" xfId="0">
      <alignment horizontal="center" vertical="top" wrapText="1"/>
    </xf>
    <xf numFmtId="0" fontId="123" fillId="0" borderId="60" applyAlignment="1" pivotButton="0" quotePrefix="0" xfId="0">
      <alignment vertical="top" wrapText="1"/>
    </xf>
    <xf numFmtId="0" fontId="123" fillId="0" borderId="60" pivotButton="0" quotePrefix="0" xfId="0"/>
    <xf numFmtId="0" fontId="123" fillId="0" borderId="60" applyAlignment="1" pivotButton="0" quotePrefix="0" xfId="0">
      <alignment horizontal="center"/>
    </xf>
    <xf numFmtId="0" fontId="124" fillId="30" borderId="60" applyAlignment="1" pivotButton="0" quotePrefix="0" xfId="0">
      <alignment vertical="center" wrapText="1"/>
    </xf>
    <xf numFmtId="0" fontId="119" fillId="0" borderId="60" applyAlignment="1" pivotButton="0" quotePrefix="0" xfId="0">
      <alignment vertical="center" wrapText="1"/>
    </xf>
    <xf numFmtId="0" fontId="125" fillId="29" borderId="60" applyAlignment="1" pivotButton="0" quotePrefix="0" xfId="0">
      <alignment horizontal="left" vertical="center"/>
    </xf>
    <xf numFmtId="0" fontId="126" fillId="30" borderId="60" applyAlignment="1" pivotButton="0" quotePrefix="0" xfId="0">
      <alignment vertical="center" wrapText="1"/>
    </xf>
    <xf numFmtId="0" fontId="127" fillId="31" borderId="60" applyAlignment="1" pivotButton="0" quotePrefix="0" xfId="0">
      <alignment horizontal="center" vertical="center" wrapText="1"/>
    </xf>
    <xf numFmtId="0" fontId="129" fillId="0" borderId="60" applyAlignment="1" pivotButton="0" quotePrefix="0" xfId="0">
      <alignment vertical="top"/>
    </xf>
    <xf numFmtId="0" fontId="128" fillId="0" borderId="60" applyAlignment="1" pivotButton="0" quotePrefix="0" xfId="0">
      <alignment vertical="top"/>
    </xf>
    <xf numFmtId="184" fontId="123" fillId="0" borderId="60" applyAlignment="1" pivotButton="0" quotePrefix="0" xfId="0">
      <alignment horizontal="center" vertical="top" wrapText="1"/>
    </xf>
    <xf numFmtId="0" fontId="120" fillId="0" borderId="60" applyAlignment="1" pivotButton="0" quotePrefix="0" xfId="0">
      <alignment vertical="top"/>
    </xf>
    <xf numFmtId="0" fontId="73" fillId="37" borderId="0" pivotButton="0" quotePrefix="0" xfId="0"/>
    <xf numFmtId="0" fontId="0" fillId="38" borderId="62" pivotButton="0" quotePrefix="0" xfId="0"/>
    <xf numFmtId="0" fontId="0" fillId="38" borderId="0" pivotButton="0" quotePrefix="0" xfId="0"/>
    <xf numFmtId="0" fontId="109" fillId="39" borderId="62" pivotButton="0" quotePrefix="0" xfId="0"/>
    <xf numFmtId="3" fontId="0" fillId="38" borderId="62" pivotButton="0" quotePrefix="0" xfId="0"/>
    <xf numFmtId="1" fontId="0" fillId="38" borderId="62" pivotButton="0" quotePrefix="0" xfId="0"/>
    <xf numFmtId="1" fontId="109" fillId="39" borderId="62" pivotButton="0" quotePrefix="0" xfId="0"/>
    <xf numFmtId="9" fontId="0" fillId="38" borderId="62" pivotButton="0" quotePrefix="0" xfId="0"/>
    <xf numFmtId="0" fontId="90" fillId="37" borderId="0" pivotButton="0" quotePrefix="0" xfId="0"/>
    <xf numFmtId="0" fontId="0" fillId="37" borderId="0" pivotButton="0" quotePrefix="0" xfId="0"/>
    <xf numFmtId="0" fontId="82" fillId="40" borderId="0" pivotButton="0" quotePrefix="0" xfId="0"/>
    <xf numFmtId="183" fontId="0" fillId="41" borderId="0" pivotButton="0" quotePrefix="0" xfId="0"/>
    <xf numFmtId="182" fontId="0" fillId="41" borderId="0" pivotButton="0" quotePrefix="0" xfId="0"/>
    <xf numFmtId="0" fontId="81" fillId="37" borderId="0" pivotButton="0" quotePrefix="0" xfId="0"/>
    <xf numFmtId="0" fontId="81" fillId="37" borderId="0" applyAlignment="1" pivotButton="0" quotePrefix="1" xfId="0">
      <alignment vertical="center"/>
    </xf>
    <xf numFmtId="0" fontId="102" fillId="38" borderId="62" pivotButton="0" quotePrefix="0" xfId="0"/>
    <xf numFmtId="0" fontId="81" fillId="37" borderId="0" applyAlignment="1" pivotButton="0" quotePrefix="1" xfId="0">
      <alignment horizontal="centerContinuous"/>
    </xf>
    <xf numFmtId="0" fontId="81" fillId="37" borderId="1" pivotButton="0" quotePrefix="0" xfId="0"/>
    <xf numFmtId="0" fontId="81" fillId="37" borderId="2" pivotButton="0" quotePrefix="0" xfId="0"/>
    <xf numFmtId="0" fontId="81" fillId="37" borderId="3" pivotButton="0" quotePrefix="0" xfId="0"/>
    <xf numFmtId="0" fontId="0" fillId="40" borderId="4" pivotButton="0" quotePrefix="0" xfId="0"/>
    <xf numFmtId="0" fontId="9" fillId="40" borderId="5" pivotButton="0" quotePrefix="0" xfId="0"/>
    <xf numFmtId="0" fontId="9" fillId="40" borderId="5" applyAlignment="1" pivotButton="0" quotePrefix="0" xfId="0">
      <alignment horizontal="right"/>
    </xf>
    <xf numFmtId="0" fontId="9" fillId="40" borderId="5" applyAlignment="1" pivotButton="0" quotePrefix="0" xfId="0">
      <alignment horizontal="center"/>
    </xf>
    <xf numFmtId="0" fontId="9" fillId="40" borderId="6" applyAlignment="1" pivotButton="0" quotePrefix="1" xfId="0">
      <alignment horizontal="right"/>
    </xf>
    <xf numFmtId="0" fontId="9" fillId="40" borderId="6" applyAlignment="1" pivotButton="0" quotePrefix="0" xfId="0">
      <alignment horizontal="right"/>
    </xf>
    <xf numFmtId="0" fontId="9" fillId="40" borderId="8" pivotButton="0" quotePrefix="0" xfId="0"/>
    <xf numFmtId="0" fontId="9" fillId="40" borderId="8" applyAlignment="1" pivotButton="0" quotePrefix="0" xfId="0">
      <alignment horizontal="right"/>
    </xf>
    <xf numFmtId="0" fontId="9" fillId="40" borderId="8" applyAlignment="1" pivotButton="0" quotePrefix="0" xfId="0">
      <alignment horizontal="center"/>
    </xf>
    <xf numFmtId="0" fontId="9" fillId="40" borderId="9" applyAlignment="1" pivotButton="0" quotePrefix="0" xfId="0">
      <alignment horizontal="right"/>
    </xf>
    <xf numFmtId="49" fontId="13" fillId="38" borderId="5" applyProtection="1" pivotButton="0" quotePrefix="0" xfId="0">
      <protection locked="0" hidden="0"/>
    </xf>
    <xf numFmtId="0" fontId="13" fillId="38" borderId="5" applyAlignment="1" applyProtection="1" pivotButton="0" quotePrefix="0" xfId="0">
      <alignment horizontal="right"/>
      <protection locked="0" hidden="0"/>
    </xf>
    <xf numFmtId="37" fontId="109" fillId="39" borderId="5" applyAlignment="1" applyProtection="1" pivotButton="0" quotePrefix="0" xfId="0">
      <alignment horizontal="right"/>
      <protection locked="0" hidden="0"/>
    </xf>
    <xf numFmtId="0" fontId="109" fillId="39" borderId="5" applyAlignment="1" applyProtection="1" pivotButton="0" quotePrefix="0" xfId="0">
      <alignment horizontal="center"/>
      <protection locked="0" hidden="0"/>
    </xf>
    <xf numFmtId="167" fontId="13" fillId="38" borderId="5" applyAlignment="1" applyProtection="1" pivotButton="0" quotePrefix="0" xfId="0">
      <alignment horizontal="right"/>
      <protection locked="0" hidden="0"/>
    </xf>
    <xf numFmtId="0" fontId="5" fillId="38" borderId="5" applyAlignment="1" pivotButton="0" quotePrefix="0" xfId="0">
      <alignment horizontal="right"/>
    </xf>
    <xf numFmtId="167" fontId="13" fillId="38" borderId="6" applyAlignment="1" applyProtection="1" pivotButton="0" quotePrefix="0" xfId="0">
      <alignment horizontal="right"/>
      <protection locked="0" hidden="0"/>
    </xf>
    <xf numFmtId="49" fontId="109" fillId="39" borderId="5" applyProtection="1" pivotButton="0" quotePrefix="0" xfId="0">
      <protection locked="0" hidden="0"/>
    </xf>
    <xf numFmtId="0" fontId="109" fillId="39" borderId="5" applyAlignment="1" applyProtection="1" pivotButton="0" quotePrefix="0" xfId="0">
      <alignment horizontal="right"/>
      <protection locked="0" hidden="0"/>
    </xf>
    <xf numFmtId="37" fontId="109" fillId="39" borderId="5" applyAlignment="1" pivotButton="0" quotePrefix="0" xfId="0">
      <alignment horizontal="right"/>
    </xf>
    <xf numFmtId="9" fontId="13" fillId="38" borderId="5" applyAlignment="1" applyProtection="1" pivotButton="0" quotePrefix="0" xfId="0">
      <alignment horizontal="right"/>
      <protection locked="0" hidden="0"/>
    </xf>
    <xf numFmtId="49" fontId="13" fillId="38" borderId="5" applyAlignment="1" applyProtection="1" pivotButton="0" quotePrefix="0" xfId="0">
      <alignment horizontal="right"/>
      <protection locked="0" hidden="0"/>
    </xf>
    <xf numFmtId="0" fontId="109" fillId="39" borderId="21" applyProtection="1" pivotButton="0" quotePrefix="0" xfId="0">
      <protection locked="0" hidden="0"/>
    </xf>
    <xf numFmtId="0" fontId="109" fillId="39" borderId="21" applyAlignment="1" applyProtection="1" pivotButton="0" quotePrefix="0" xfId="0">
      <alignment horizontal="right"/>
      <protection locked="0" hidden="0"/>
    </xf>
    <xf numFmtId="37" fontId="109" fillId="39" borderId="21" applyAlignment="1" applyProtection="1" pivotButton="0" quotePrefix="0" xfId="0">
      <alignment horizontal="right"/>
      <protection locked="0" hidden="0"/>
    </xf>
    <xf numFmtId="0" fontId="13" fillId="38" borderId="21" applyAlignment="1" applyProtection="1" pivotButton="0" quotePrefix="0" xfId="0">
      <alignment horizontal="center"/>
      <protection locked="0" hidden="0"/>
    </xf>
    <xf numFmtId="9" fontId="13" fillId="38" borderId="21" applyAlignment="1" applyProtection="1" pivotButton="0" quotePrefix="0" xfId="0">
      <alignment horizontal="right"/>
      <protection locked="0" hidden="0"/>
    </xf>
    <xf numFmtId="166" fontId="13" fillId="38" borderId="21" applyAlignment="1" applyProtection="1" pivotButton="0" quotePrefix="0" xfId="0">
      <alignment horizontal="right"/>
      <protection locked="0" hidden="0"/>
    </xf>
    <xf numFmtId="166" fontId="11" fillId="38" borderId="30" applyAlignment="1" applyProtection="1" pivotButton="0" quotePrefix="0" xfId="0">
      <alignment horizontal="right"/>
      <protection locked="0" hidden="0"/>
    </xf>
    <xf numFmtId="0" fontId="81" fillId="37" borderId="2" applyAlignment="1" pivotButton="0" quotePrefix="0" xfId="0">
      <alignment horizontal="right"/>
    </xf>
    <xf numFmtId="0" fontId="81" fillId="37" borderId="3" applyAlignment="1" pivotButton="0" quotePrefix="0" xfId="0">
      <alignment horizontal="right"/>
    </xf>
    <xf numFmtId="0" fontId="7" fillId="40" borderId="11" pivotButton="0" quotePrefix="0" xfId="0"/>
    <xf numFmtId="0" fontId="9" fillId="40" borderId="12" pivotButton="0" quotePrefix="0" xfId="0"/>
    <xf numFmtId="0" fontId="9" fillId="40" borderId="13" applyAlignment="1" pivotButton="0" quotePrefix="0" xfId="0">
      <alignment horizontal="right"/>
    </xf>
    <xf numFmtId="0" fontId="9" fillId="40" borderId="12" applyAlignment="1" pivotButton="0" quotePrefix="0" xfId="0">
      <alignment horizontal="right"/>
    </xf>
    <xf numFmtId="0" fontId="9" fillId="40" borderId="13" applyAlignment="1" pivotButton="0" quotePrefix="0" xfId="0">
      <alignment horizontal="center"/>
    </xf>
    <xf numFmtId="0" fontId="9" fillId="40" borderId="14" applyAlignment="1" pivotButton="0" quotePrefix="0" xfId="0">
      <alignment horizontal="right"/>
    </xf>
    <xf numFmtId="0" fontId="7" fillId="40" borderId="4" pivotButton="0" quotePrefix="0" xfId="0"/>
    <xf numFmtId="0" fontId="9" fillId="40" borderId="15" pivotButton="0" quotePrefix="0" xfId="0"/>
    <xf numFmtId="0" fontId="9" fillId="40" borderId="0" applyAlignment="1" pivotButton="0" quotePrefix="0" xfId="0">
      <alignment horizontal="right"/>
    </xf>
    <xf numFmtId="0" fontId="9" fillId="40" borderId="15" applyAlignment="1" pivotButton="0" quotePrefix="0" xfId="0">
      <alignment horizontal="right"/>
    </xf>
    <xf numFmtId="0" fontId="9" fillId="40" borderId="0" applyAlignment="1" pivotButton="0" quotePrefix="0" xfId="0">
      <alignment horizontal="center"/>
    </xf>
    <xf numFmtId="0" fontId="7" fillId="40" borderId="7" applyAlignment="1" pivotButton="0" quotePrefix="0" xfId="0">
      <alignment horizontal="center"/>
    </xf>
    <xf numFmtId="0" fontId="9" fillId="40" borderId="16" pivotButton="0" quotePrefix="0" xfId="0"/>
    <xf numFmtId="0" fontId="9" fillId="40" borderId="17" applyAlignment="1" pivotButton="0" quotePrefix="0" xfId="0">
      <alignment horizontal="right"/>
    </xf>
    <xf numFmtId="0" fontId="9" fillId="40" borderId="16" applyAlignment="1" pivotButton="0" quotePrefix="0" xfId="0">
      <alignment horizontal="right"/>
    </xf>
    <xf numFmtId="0" fontId="9" fillId="40" borderId="17" applyAlignment="1" pivotButton="0" quotePrefix="0" xfId="0">
      <alignment horizontal="center"/>
    </xf>
    <xf numFmtId="0" fontId="82" fillId="38" borderId="0" applyAlignment="1" pivotButton="0" quotePrefix="0" xfId="0">
      <alignment horizontal="center"/>
    </xf>
    <xf numFmtId="0" fontId="81" fillId="37" borderId="23" pivotButton="0" quotePrefix="0" xfId="0"/>
    <xf numFmtId="0" fontId="7" fillId="40" borderId="24" pivotButton="0" quotePrefix="0" xfId="0"/>
    <xf numFmtId="0" fontId="9" fillId="40" borderId="14" pivotButton="0" quotePrefix="0" xfId="0"/>
    <xf numFmtId="0" fontId="9" fillId="40" borderId="14" applyAlignment="1" pivotButton="0" quotePrefix="0" xfId="0">
      <alignment horizontal="center"/>
    </xf>
    <xf numFmtId="0" fontId="9" fillId="40" borderId="25" pivotButton="0" quotePrefix="0" xfId="0"/>
    <xf numFmtId="0" fontId="7" fillId="40" borderId="0" pivotButton="0" quotePrefix="0" xfId="0"/>
    <xf numFmtId="0" fontId="7" fillId="40" borderId="18" pivotButton="0" quotePrefix="0" xfId="0"/>
    <xf numFmtId="0" fontId="9" fillId="40" borderId="26" applyAlignment="1" pivotButton="0" quotePrefix="0" xfId="0">
      <alignment horizontal="right"/>
    </xf>
    <xf numFmtId="0" fontId="7" fillId="40" borderId="19" applyAlignment="1" pivotButton="0" quotePrefix="0" xfId="0">
      <alignment horizontal="center"/>
    </xf>
    <xf numFmtId="0" fontId="9" fillId="40" borderId="27" applyAlignment="1" pivotButton="0" quotePrefix="0" xfId="0">
      <alignment horizontal="right"/>
    </xf>
    <xf numFmtId="0" fontId="81" fillId="37" borderId="0" applyAlignment="1" pivotButton="0" quotePrefix="0" xfId="7">
      <alignment horizontal="centerContinuous"/>
    </xf>
    <xf numFmtId="0" fontId="104" fillId="40" borderId="32" pivotButton="0" quotePrefix="0" xfId="7"/>
    <xf numFmtId="0" fontId="104" fillId="40" borderId="32" applyAlignment="1" pivotButton="0" quotePrefix="0" xfId="7">
      <alignment horizontal="right"/>
    </xf>
    <xf numFmtId="0" fontId="104" fillId="40" borderId="33" applyAlignment="1" pivotButton="0" quotePrefix="0" xfId="7">
      <alignment horizontal="right"/>
    </xf>
    <xf numFmtId="0" fontId="104" fillId="40" borderId="34" applyAlignment="1" pivotButton="0" quotePrefix="0" xfId="7">
      <alignment horizontal="right"/>
    </xf>
    <xf numFmtId="0" fontId="104" fillId="40" borderId="32" applyAlignment="1" pivotButton="0" quotePrefix="1" xfId="7">
      <alignment horizontal="right"/>
    </xf>
    <xf numFmtId="0" fontId="104" fillId="40" borderId="35" pivotButton="0" quotePrefix="0" xfId="7"/>
    <xf numFmtId="0" fontId="104" fillId="40" borderId="35" applyAlignment="1" pivotButton="0" quotePrefix="0" xfId="7">
      <alignment horizontal="right"/>
    </xf>
    <xf numFmtId="0" fontId="104" fillId="40" borderId="36" applyAlignment="1" pivotButton="0" quotePrefix="0" xfId="7">
      <alignment horizontal="right"/>
    </xf>
    <xf numFmtId="0" fontId="104" fillId="40" borderId="37" applyAlignment="1" pivotButton="0" quotePrefix="0" xfId="7">
      <alignment horizontal="right"/>
    </xf>
    <xf numFmtId="0" fontId="104" fillId="40" borderId="38" applyAlignment="1" pivotButton="0" quotePrefix="1" xfId="7">
      <alignment horizontal="right"/>
    </xf>
    <xf numFmtId="0" fontId="104" fillId="40" borderId="35" applyAlignment="1" pivotButton="0" quotePrefix="1" xfId="7">
      <alignment horizontal="right"/>
    </xf>
    <xf numFmtId="0" fontId="104" fillId="40" borderId="36" applyAlignment="1" pivotButton="0" quotePrefix="1" xfId="7">
      <alignment horizontal="right"/>
    </xf>
    <xf numFmtId="0" fontId="104" fillId="40" borderId="39" applyAlignment="1" pivotButton="0" quotePrefix="1" xfId="7">
      <alignment horizontal="left"/>
    </xf>
    <xf numFmtId="0" fontId="104" fillId="40" borderId="39" pivotButton="0" quotePrefix="0" xfId="7"/>
    <xf numFmtId="0" fontId="104" fillId="40" borderId="39" applyAlignment="1" pivotButton="0" quotePrefix="1" xfId="7">
      <alignment horizontal="right"/>
    </xf>
    <xf numFmtId="0" fontId="104" fillId="40" borderId="39" applyAlignment="1" pivotButton="0" quotePrefix="0" xfId="7">
      <alignment horizontal="right"/>
    </xf>
    <xf numFmtId="0" fontId="104" fillId="40" borderId="40" applyAlignment="1" pivotButton="0" quotePrefix="0" xfId="7">
      <alignment horizontal="centerContinuous"/>
    </xf>
    <xf numFmtId="0" fontId="104" fillId="40" borderId="41" applyAlignment="1" pivotButton="0" quotePrefix="0" xfId="7">
      <alignment horizontal="centerContinuous"/>
    </xf>
    <xf numFmtId="0" fontId="81" fillId="37" borderId="0" applyAlignment="1" pivotButton="0" quotePrefix="0" xfId="8">
      <alignment horizontal="centerContinuous"/>
    </xf>
    <xf numFmtId="0" fontId="105" fillId="40" borderId="0" applyAlignment="1" pivotButton="0" quotePrefix="0" xfId="8">
      <alignment horizontal="centerContinuous" vertical="center"/>
    </xf>
    <xf numFmtId="0" fontId="106" fillId="40" borderId="0" applyAlignment="1" pivotButton="0" quotePrefix="0" xfId="8">
      <alignment horizontal="centerContinuous" vertical="center"/>
    </xf>
    <xf numFmtId="0" fontId="104" fillId="40" borderId="42" pivotButton="0" quotePrefix="0" xfId="8"/>
    <xf numFmtId="0" fontId="104" fillId="40" borderId="42" applyAlignment="1" pivotButton="0" quotePrefix="1" xfId="8">
      <alignment horizontal="right"/>
    </xf>
    <xf numFmtId="0" fontId="104" fillId="40" borderId="42" applyAlignment="1" pivotButton="0" quotePrefix="0" xfId="8">
      <alignment horizontal="right"/>
    </xf>
    <xf numFmtId="0" fontId="104" fillId="40" borderId="28" applyAlignment="1" pivotButton="0" quotePrefix="0" xfId="8">
      <alignment horizontal="right"/>
    </xf>
    <xf numFmtId="0" fontId="104" fillId="40" borderId="23" pivotButton="0" quotePrefix="0" xfId="8"/>
    <xf numFmtId="0" fontId="104" fillId="40" borderId="43" pivotButton="0" quotePrefix="0" xfId="8"/>
    <xf numFmtId="0" fontId="104" fillId="40" borderId="43" applyAlignment="1" pivotButton="0" quotePrefix="1" xfId="8">
      <alignment horizontal="right"/>
    </xf>
    <xf numFmtId="0" fontId="104" fillId="40" borderId="43" applyAlignment="1" pivotButton="0" quotePrefix="0" xfId="8">
      <alignment horizontal="right"/>
    </xf>
    <xf numFmtId="0" fontId="104" fillId="40" borderId="4" applyAlignment="1" pivotButton="0" quotePrefix="0" xfId="8">
      <alignment horizontal="right"/>
    </xf>
    <xf numFmtId="0" fontId="104" fillId="40" borderId="6" pivotButton="0" quotePrefix="0" xfId="8"/>
    <xf numFmtId="0" fontId="104" fillId="40" borderId="44" pivotButton="0" quotePrefix="0" xfId="8"/>
    <xf numFmtId="0" fontId="104" fillId="40" borderId="44" applyAlignment="1" pivotButton="0" quotePrefix="1" xfId="8">
      <alignment horizontal="right"/>
    </xf>
    <xf numFmtId="0" fontId="104" fillId="40" borderId="44" applyAlignment="1" pivotButton="0" quotePrefix="0" xfId="8">
      <alignment horizontal="right"/>
    </xf>
    <xf numFmtId="0" fontId="104" fillId="40" borderId="10" applyAlignment="1" pivotButton="0" quotePrefix="0" xfId="8">
      <alignment horizontal="centerContinuous"/>
    </xf>
    <xf numFmtId="0" fontId="104" fillId="40" borderId="30" applyAlignment="1" pivotButton="0" quotePrefix="1" xfId="8">
      <alignment horizontal="centerContinuous"/>
    </xf>
    <xf numFmtId="0" fontId="81" fillId="37" borderId="0" applyAlignment="1" pivotButton="0" quotePrefix="0" xfId="8">
      <alignment horizontal="centerContinuous" vertical="center"/>
    </xf>
    <xf numFmtId="0" fontId="81" fillId="37" borderId="0" applyAlignment="1" pivotButton="0" quotePrefix="0" xfId="9">
      <alignment horizontal="center"/>
    </xf>
    <xf numFmtId="0" fontId="81" fillId="37" borderId="0" applyAlignment="1" pivotButton="0" quotePrefix="0" xfId="9">
      <alignment horizontal="centerContinuous"/>
    </xf>
    <xf numFmtId="0" fontId="1" fillId="38" borderId="45" applyAlignment="1" pivotButton="0" quotePrefix="0" xfId="9">
      <alignment horizontal="left"/>
    </xf>
    <xf numFmtId="0" fontId="1" fillId="38" borderId="46" applyAlignment="1" pivotButton="0" quotePrefix="0" xfId="9">
      <alignment horizontal="left"/>
    </xf>
    <xf numFmtId="0" fontId="81" fillId="37" borderId="50" pivotButton="0" quotePrefix="0" xfId="9"/>
    <xf numFmtId="0" fontId="81" fillId="37" borderId="13" pivotButton="0" quotePrefix="0" xfId="9"/>
    <xf numFmtId="0" fontId="81" fillId="37" borderId="13" applyAlignment="1" pivotButton="0" quotePrefix="1" xfId="9">
      <alignment horizontal="right"/>
    </xf>
    <xf numFmtId="0" fontId="81" fillId="37" borderId="14" applyAlignment="1" pivotButton="0" quotePrefix="1" xfId="9">
      <alignment horizontal="right"/>
    </xf>
    <xf numFmtId="0" fontId="107" fillId="40" borderId="17" applyAlignment="1" pivotButton="0" quotePrefix="1" xfId="9">
      <alignment horizontal="center"/>
    </xf>
    <xf numFmtId="0" fontId="107" fillId="40" borderId="17" pivotButton="0" quotePrefix="0" xfId="9"/>
    <xf numFmtId="0" fontId="107" fillId="40" borderId="17" applyAlignment="1" pivotButton="0" quotePrefix="0" xfId="9">
      <alignment horizontal="center"/>
    </xf>
    <xf numFmtId="0" fontId="107" fillId="40" borderId="17" applyAlignment="1" pivotButton="0" quotePrefix="1" xfId="9">
      <alignment horizontal="right"/>
    </xf>
    <xf numFmtId="0" fontId="107" fillId="40" borderId="17" applyAlignment="1" pivotButton="0" quotePrefix="0" xfId="9">
      <alignment horizontal="right"/>
    </xf>
    <xf numFmtId="0" fontId="107" fillId="40" borderId="8" applyAlignment="1" pivotButton="0" quotePrefix="1" xfId="9">
      <alignment horizontal="right"/>
    </xf>
    <xf numFmtId="0" fontId="81" fillId="37" borderId="13" applyAlignment="1" pivotButton="0" quotePrefix="0" xfId="9">
      <alignment horizontal="right"/>
    </xf>
    <xf numFmtId="0" fontId="81" fillId="37" borderId="14" applyAlignment="1" pivotButton="0" quotePrefix="0" xfId="9">
      <alignment horizontal="right"/>
    </xf>
    <xf numFmtId="0" fontId="107" fillId="40" borderId="8" applyAlignment="1" pivotButton="0" quotePrefix="0" xfId="9">
      <alignment horizontal="right"/>
    </xf>
    <xf numFmtId="0" fontId="80" fillId="38" borderId="62" applyAlignment="1" pivotButton="0" quotePrefix="0" xfId="0">
      <alignment horizontal="center"/>
    </xf>
    <xf numFmtId="0" fontId="80" fillId="39" borderId="60" applyAlignment="1" pivotButton="0" quotePrefix="0" xfId="0">
      <alignment vertical="center"/>
    </xf>
    <xf numFmtId="0" fontId="80" fillId="38" borderId="62" applyAlignment="1" pivotButton="0" quotePrefix="0" xfId="0">
      <alignment horizontal="right"/>
    </xf>
    <xf numFmtId="0" fontId="80" fillId="38" borderId="62" pivotButton="0" quotePrefix="0" xfId="0"/>
    <xf numFmtId="3" fontId="80" fillId="38" borderId="62" pivotButton="0" quotePrefix="0" xfId="0"/>
    <xf numFmtId="2" fontId="80" fillId="38" borderId="62" pivotButton="0" quotePrefix="0" xfId="0"/>
    <xf numFmtId="2" fontId="80" fillId="38" borderId="62" applyAlignment="1" pivotButton="0" quotePrefix="0" xfId="0">
      <alignment horizontal="center" vertical="center"/>
    </xf>
    <xf numFmtId="0" fontId="80" fillId="38" borderId="62" applyAlignment="1" pivotButton="0" quotePrefix="0" xfId="0">
      <alignment vertical="center"/>
    </xf>
    <xf numFmtId="181" fontId="80" fillId="38" borderId="62" applyAlignment="1" pivotButton="0" quotePrefix="0" xfId="0">
      <alignment vertical="center"/>
    </xf>
    <xf numFmtId="0" fontId="73" fillId="37" borderId="60" applyAlignment="1" pivotButton="0" quotePrefix="0" xfId="0">
      <alignment horizontal="left" vertical="center" indent="1"/>
    </xf>
    <xf numFmtId="0" fontId="73" fillId="37" borderId="60" applyAlignment="1" pivotButton="0" quotePrefix="0" xfId="0">
      <alignment vertical="center"/>
    </xf>
    <xf numFmtId="0" fontId="77" fillId="40" borderId="60" applyAlignment="1" pivotButton="0" quotePrefix="0" xfId="0">
      <alignment horizontal="left" vertical="center" indent="2"/>
    </xf>
    <xf numFmtId="0" fontId="77" fillId="40" borderId="60" pivotButton="0" quotePrefix="0" xfId="0"/>
    <xf numFmtId="0" fontId="77" fillId="40" borderId="60" applyAlignment="1" pivotButton="0" quotePrefix="0" xfId="0">
      <alignment vertical="center"/>
    </xf>
    <xf numFmtId="3" fontId="80" fillId="39" borderId="60" pivotButton="0" quotePrefix="0" xfId="0"/>
    <xf numFmtId="3" fontId="80" fillId="38" borderId="62" applyAlignment="1" pivotButton="0" quotePrefix="0" xfId="0">
      <alignment vertical="center"/>
    </xf>
    <xf numFmtId="182" fontId="80" fillId="38" borderId="62" applyAlignment="1" pivotButton="0" quotePrefix="0" xfId="0">
      <alignment vertical="center"/>
    </xf>
    <xf numFmtId="170" fontId="80" fillId="38" borderId="62" applyAlignment="1" pivotButton="0" quotePrefix="0" xfId="0">
      <alignment vertical="center"/>
    </xf>
    <xf numFmtId="183" fontId="80" fillId="38" borderId="62" applyAlignment="1" pivotButton="0" quotePrefix="0" xfId="0">
      <alignment horizontal="center"/>
    </xf>
    <xf numFmtId="170" fontId="80" fillId="39" borderId="60" applyAlignment="1" pivotButton="0" quotePrefix="0" xfId="0">
      <alignment vertical="center"/>
    </xf>
    <xf numFmtId="170" fontId="80" fillId="38" borderId="62" pivotButton="0" quotePrefix="0" xfId="0"/>
    <xf numFmtId="183" fontId="80" fillId="38" borderId="60" applyAlignment="1" pivotButton="0" quotePrefix="0" xfId="0">
      <alignment horizontal="center"/>
    </xf>
    <xf numFmtId="0" fontId="108" fillId="37" borderId="0" applyAlignment="1" pivotButton="0" quotePrefix="0" xfId="0">
      <alignment horizontal="center" vertical="center" wrapText="1"/>
    </xf>
    <xf numFmtId="0" fontId="108" fillId="37" borderId="0" applyAlignment="1" pivotButton="0" quotePrefix="1" xfId="0">
      <alignment horizontal="center" vertical="center" wrapText="1"/>
    </xf>
    <xf numFmtId="174" fontId="108" fillId="37" borderId="0" applyAlignment="1" pivotButton="0" quotePrefix="0" xfId="3">
      <alignment horizontal="center" vertical="center" wrapText="1"/>
    </xf>
    <xf numFmtId="0" fontId="90" fillId="37" borderId="0" applyAlignment="1" pivotButton="0" quotePrefix="0" xfId="0">
      <alignment horizontal="center" wrapText="1"/>
    </xf>
    <xf numFmtId="0" fontId="108" fillId="37" borderId="49" applyAlignment="1" pivotButton="0" quotePrefix="0" xfId="0">
      <alignment horizontal="center" vertical="center" wrapText="1"/>
    </xf>
    <xf numFmtId="1" fontId="108" fillId="37" borderId="49" applyAlignment="1" pivotButton="0" quotePrefix="0" xfId="0">
      <alignment horizontal="center" vertical="center" wrapText="1"/>
    </xf>
    <xf numFmtId="173" fontId="108" fillId="37" borderId="49" applyAlignment="1" pivotButton="0" quotePrefix="0" xfId="0">
      <alignment horizontal="center" vertical="center" wrapText="1"/>
    </xf>
    <xf numFmtId="0" fontId="108" fillId="37" borderId="49" applyAlignment="1" pivotButton="0" quotePrefix="1" xfId="0">
      <alignment horizontal="center" vertical="center" wrapText="1"/>
    </xf>
    <xf numFmtId="3" fontId="108" fillId="37" borderId="49" applyAlignment="1" pivotButton="0" quotePrefix="0" xfId="0">
      <alignment horizontal="center" vertical="center" wrapText="1"/>
    </xf>
    <xf numFmtId="0" fontId="90" fillId="37" borderId="0" applyAlignment="1" pivotButton="0" quotePrefix="0" xfId="0">
      <alignment horizontal="center"/>
    </xf>
    <xf numFmtId="184" fontId="123" fillId="0" borderId="60" applyAlignment="1" pivotButton="0" quotePrefix="0" xfId="0">
      <alignment horizontal="center" vertical="top" wrapText="1"/>
    </xf>
    <xf numFmtId="0" fontId="91" fillId="37" borderId="0" applyAlignment="1" pivotButton="0" quotePrefix="0" xfId="0">
      <alignment horizontal="center" vertical="center"/>
    </xf>
    <xf numFmtId="0" fontId="94" fillId="40" borderId="64" applyAlignment="1" pivotButton="0" quotePrefix="0" xfId="0">
      <alignment horizontal="center" vertical="center"/>
    </xf>
    <xf numFmtId="0" fontId="109" fillId="39" borderId="0" pivotButton="0" quotePrefix="0" xfId="0"/>
    <xf numFmtId="0" fontId="97" fillId="37" borderId="0" applyAlignment="1" pivotButton="0" quotePrefix="0" xfId="0">
      <alignment horizontal="center" vertical="center"/>
    </xf>
    <xf numFmtId="0" fontId="94" fillId="40" borderId="64" applyAlignment="1" pivotButton="0" quotePrefix="0" xfId="0">
      <alignment horizontal="center"/>
    </xf>
    <xf numFmtId="4" fontId="98" fillId="39" borderId="64" applyAlignment="1" pivotButton="0" quotePrefix="0" xfId="0">
      <alignment vertical="center"/>
    </xf>
    <xf numFmtId="4" fontId="98" fillId="38" borderId="64" applyAlignment="1" pivotButton="0" quotePrefix="0" xfId="0">
      <alignment vertical="center"/>
    </xf>
    <xf numFmtId="4" fontId="98" fillId="38" borderId="64" applyAlignment="1" pivotButton="0" quotePrefix="0" xfId="0">
      <alignment vertical="center" wrapText="1"/>
    </xf>
    <xf numFmtId="0" fontId="98" fillId="39" borderId="64" applyAlignment="1" pivotButton="0" quotePrefix="0" xfId="0">
      <alignment vertical="center"/>
    </xf>
    <xf numFmtId="0" fontId="98" fillId="38" borderId="64" applyAlignment="1" pivotButton="0" quotePrefix="0" xfId="0">
      <alignment vertical="center"/>
    </xf>
    <xf numFmtId="0" fontId="97" fillId="37" borderId="0" applyAlignment="1" pivotButton="0" quotePrefix="0" xfId="0">
      <alignment horizontal="left" vertical="center"/>
    </xf>
    <xf numFmtId="0" fontId="100" fillId="40" borderId="64" applyAlignment="1" pivotButton="0" quotePrefix="0" xfId="0">
      <alignment horizontal="center" vertical="center" wrapText="1"/>
    </xf>
    <xf numFmtId="0" fontId="96" fillId="38" borderId="64" applyAlignment="1" pivotButton="0" quotePrefix="0" xfId="0">
      <alignment horizontal="left" vertical="center"/>
    </xf>
    <xf numFmtId="3" fontId="96" fillId="38" borderId="64" applyAlignment="1" pivotButton="0" quotePrefix="0" xfId="0">
      <alignment horizontal="right" vertical="center"/>
    </xf>
    <xf numFmtId="38" fontId="96" fillId="38" borderId="64" applyAlignment="1" pivotButton="0" quotePrefix="0" xfId="0">
      <alignment horizontal="right" vertical="center"/>
    </xf>
    <xf numFmtId="0" fontId="96" fillId="38" borderId="64" applyAlignment="1" pivotButton="0" quotePrefix="0" xfId="0">
      <alignment horizontal="left" vertical="center" wrapText="1"/>
    </xf>
    <xf numFmtId="180" fontId="96" fillId="38" borderId="64" applyAlignment="1" pivotButton="0" quotePrefix="0" xfId="0">
      <alignment horizontal="right" vertical="center"/>
    </xf>
    <xf numFmtId="0" fontId="81" fillId="37" borderId="0" applyAlignment="1" pivotButton="0" quotePrefix="1" xfId="0">
      <alignment vertical="top" wrapText="1"/>
    </xf>
    <xf numFmtId="0" fontId="40" fillId="0" borderId="0" applyAlignment="1" pivotButton="0" quotePrefix="1" xfId="0">
      <alignment horizontal="left" vertical="top" wrapText="1"/>
    </xf>
    <xf numFmtId="0" fontId="101" fillId="0" borderId="62" applyAlignment="1" pivotButton="0" quotePrefix="0" xfId="0">
      <alignment vertical="top" wrapText="1"/>
    </xf>
    <xf numFmtId="0" fontId="72" fillId="0" borderId="0" applyAlignment="1" pivotButton="0" quotePrefix="0" xfId="0">
      <alignment vertical="top" wrapText="1"/>
    </xf>
    <xf numFmtId="0" fontId="73" fillId="6" borderId="0" applyAlignment="1" pivotButton="0" quotePrefix="0" xfId="0">
      <alignment vertical="top" wrapText="1"/>
    </xf>
    <xf numFmtId="0" fontId="73" fillId="7" borderId="0" applyAlignment="1" pivotButton="0" quotePrefix="0" xfId="0">
      <alignment vertical="top" wrapText="1"/>
    </xf>
    <xf numFmtId="0" fontId="74" fillId="8" borderId="0" applyAlignment="1" pivotButton="0" quotePrefix="0" xfId="0">
      <alignment vertical="top" wrapText="1"/>
    </xf>
    <xf numFmtId="176" fontId="75" fillId="8" borderId="0" applyAlignment="1" pivotButton="0" quotePrefix="0" xfId="0">
      <alignment vertical="top" wrapText="1"/>
    </xf>
    <xf numFmtId="0" fontId="73" fillId="9" borderId="0" applyAlignment="1" pivotButton="0" quotePrefix="0" xfId="0">
      <alignment vertical="top" wrapText="1"/>
    </xf>
    <xf numFmtId="0" fontId="76" fillId="10" borderId="0" applyAlignment="1" pivotButton="0" quotePrefix="0" xfId="0">
      <alignment vertical="top" wrapText="1"/>
    </xf>
    <xf numFmtId="0" fontId="77" fillId="11" borderId="0" applyAlignment="1" pivotButton="0" quotePrefix="0" xfId="0">
      <alignment vertical="top" wrapText="1"/>
    </xf>
    <xf numFmtId="0" fontId="0" fillId="0" borderId="0" applyAlignment="1" pivotButton="0" quotePrefix="0" xfId="0">
      <alignment vertical="top" wrapText="1"/>
    </xf>
    <xf numFmtId="178" fontId="56" fillId="0" borderId="0" applyAlignment="1" pivotButton="0" quotePrefix="0" xfId="0">
      <alignment vertical="top" wrapText="1"/>
    </xf>
    <xf numFmtId="2" fontId="56" fillId="0" borderId="0" applyAlignment="1" pivotButton="0" quotePrefix="0" xfId="0">
      <alignment vertical="top" wrapText="1"/>
    </xf>
    <xf numFmtId="0" fontId="72" fillId="0" borderId="60" applyAlignment="1" pivotButton="0" quotePrefix="0" xfId="0">
      <alignment vertical="top" wrapText="1"/>
    </xf>
    <xf numFmtId="0" fontId="81" fillId="6" borderId="61" applyAlignment="1" pivotButton="0" quotePrefix="0" xfId="0">
      <alignment vertical="top" wrapText="1"/>
    </xf>
    <xf numFmtId="0" fontId="81" fillId="12" borderId="60" applyAlignment="1" pivotButton="0" quotePrefix="0" xfId="0">
      <alignment horizontal="center" vertical="top" wrapText="1"/>
    </xf>
    <xf numFmtId="0" fontId="80" fillId="0" borderId="60" applyAlignment="1" pivotButton="0" quotePrefix="0" xfId="0">
      <alignment vertical="top" wrapText="1"/>
    </xf>
    <xf numFmtId="0" fontId="79" fillId="0" borderId="60" applyAlignment="1" pivotButton="0" quotePrefix="0" xfId="0">
      <alignment vertical="top" wrapText="1"/>
    </xf>
    <xf numFmtId="0" fontId="80" fillId="0" borderId="60" applyAlignment="1" pivotButton="0" quotePrefix="0" xfId="0">
      <alignment horizontal="left" vertical="top" wrapText="1" indent="1"/>
    </xf>
    <xf numFmtId="0" fontId="80" fillId="0" borderId="60" applyAlignment="1" pivotButton="0" quotePrefix="0" xfId="0">
      <alignment horizontal="left" vertical="top" wrapText="1" indent="2"/>
    </xf>
    <xf numFmtId="0" fontId="81" fillId="12" borderId="60" applyAlignment="1" pivotButton="0" quotePrefix="0" xfId="0">
      <alignment horizontal="left" vertical="top" wrapText="1" indent="2"/>
    </xf>
    <xf numFmtId="0" fontId="73" fillId="37" borderId="60" applyAlignment="1" pivotButton="0" quotePrefix="0" xfId="0">
      <alignment horizontal="left" vertical="top" wrapText="1" indent="1"/>
    </xf>
    <xf numFmtId="0" fontId="77" fillId="40" borderId="60" applyAlignment="1" pivotButton="0" quotePrefix="0" xfId="0">
      <alignment horizontal="left" vertical="top" wrapText="1" indent="2"/>
    </xf>
    <xf numFmtId="0" fontId="82" fillId="0" borderId="60" applyAlignment="1" pivotButton="0" quotePrefix="0" xfId="0">
      <alignment horizontal="left" vertical="top" wrapText="1" indent="2"/>
    </xf>
    <xf numFmtId="0" fontId="82" fillId="0" borderId="60" applyAlignment="1" pivotButton="0" quotePrefix="0" xfId="0">
      <alignment horizontal="left" vertical="top" wrapText="1" indent="1"/>
    </xf>
    <xf numFmtId="0" fontId="73" fillId="17" borderId="60" applyAlignment="1" pivotButton="0" quotePrefix="0" xfId="0">
      <alignment horizontal="left" vertical="top" wrapText="1" indent="2"/>
    </xf>
    <xf numFmtId="0" fontId="80" fillId="0" borderId="60" applyAlignment="1" pivotButton="0" quotePrefix="0" xfId="0">
      <alignment horizontal="left" vertical="top" wrapText="1" indent="3"/>
    </xf>
    <xf numFmtId="0" fontId="82" fillId="0" borderId="60" applyAlignment="1" pivotButton="0" quotePrefix="0" xfId="0">
      <alignment vertical="top" wrapText="1"/>
    </xf>
    <xf numFmtId="0" fontId="83" fillId="0" borderId="60" applyAlignment="1" pivotButton="0" quotePrefix="0" xfId="0">
      <alignment vertical="top" wrapText="1"/>
    </xf>
    <xf numFmtId="0" fontId="80" fillId="0" borderId="60" applyAlignment="1" applyProtection="1" pivotButton="0" quotePrefix="0" xfId="0">
      <alignment horizontal="left" vertical="top" wrapText="1"/>
      <protection locked="0" hidden="0"/>
    </xf>
    <xf numFmtId="0" fontId="73" fillId="17" borderId="60" applyAlignment="1" pivotButton="0" quotePrefix="0" xfId="0">
      <alignment horizontal="left" vertical="top" wrapText="1" indent="1"/>
    </xf>
    <xf numFmtId="0" fontId="84" fillId="0" borderId="60" applyAlignment="1" pivotButton="0" quotePrefix="0" xfId="0">
      <alignment vertical="top" wrapText="1"/>
    </xf>
    <xf numFmtId="0" fontId="84" fillId="0" borderId="60" applyAlignment="1" pivotButton="0" quotePrefix="0" xfId="0">
      <alignment horizontal="left" vertical="top" wrapText="1" indent="2"/>
    </xf>
    <xf numFmtId="3" fontId="80" fillId="0" borderId="60" applyAlignment="1" pivotButton="0" quotePrefix="0" xfId="0">
      <alignment horizontal="left" vertical="top" wrapText="1" indent="2"/>
    </xf>
    <xf numFmtId="0" fontId="108" fillId="37" borderId="0" applyAlignment="1" pivotButton="0" quotePrefix="0" xfId="0">
      <alignment horizontal="center" vertical="top" wrapText="1"/>
    </xf>
    <xf numFmtId="0" fontId="108" fillId="37" borderId="49" applyAlignment="1" pivotButton="0" quotePrefix="0" xfId="0">
      <alignment horizontal="center" vertical="top" wrapText="1"/>
    </xf>
    <xf numFmtId="0" fontId="2" fillId="0" borderId="0" applyAlignment="1" pivotButton="0" quotePrefix="0" xfId="0">
      <alignment vertical="top" wrapText="1"/>
    </xf>
    <xf numFmtId="169" fontId="23" fillId="0" borderId="0" applyAlignment="1" pivotButton="0" quotePrefix="0" xfId="0">
      <alignment vertical="top" wrapText="1"/>
    </xf>
    <xf numFmtId="0" fontId="90" fillId="37" borderId="0" applyAlignment="1" pivotButton="0" quotePrefix="0" xfId="0">
      <alignment horizontal="center" vertical="top" wrapText="1"/>
    </xf>
    <xf numFmtId="0" fontId="127" fillId="31" borderId="60" applyAlignment="1" pivotButton="0" quotePrefix="0" xfId="0">
      <alignment horizontal="center" vertical="top" wrapText="1"/>
    </xf>
    <xf numFmtId="0" fontId="129" fillId="0" borderId="60" applyAlignment="1" pivotButton="0" quotePrefix="0" xfId="0">
      <alignment vertical="top" wrapText="1"/>
    </xf>
    <xf numFmtId="0" fontId="128" fillId="0" borderId="60" applyAlignment="1" pivotButton="0" quotePrefix="0" xfId="0">
      <alignment vertical="top" wrapText="1"/>
    </xf>
    <xf numFmtId="0" fontId="125" fillId="29" borderId="60" applyAlignment="1" pivotButton="0" quotePrefix="0" xfId="0">
      <alignment horizontal="left" vertical="top" wrapText="1"/>
    </xf>
    <xf numFmtId="0" fontId="126" fillId="30" borderId="60" applyAlignment="1" pivotButton="0" quotePrefix="0" xfId="0">
      <alignment vertical="top" wrapText="1"/>
    </xf>
    <xf numFmtId="0" fontId="93" fillId="20" borderId="64" applyAlignment="1" pivotButton="0" quotePrefix="0" xfId="0">
      <alignment horizontal="center" vertical="top" wrapText="1"/>
    </xf>
    <xf numFmtId="0" fontId="96" fillId="22" borderId="64" applyAlignment="1" pivotButton="0" quotePrefix="0" xfId="0">
      <alignment vertical="top" wrapText="1"/>
    </xf>
    <xf numFmtId="0" fontId="96" fillId="0" borderId="64" applyAlignment="1" pivotButton="0" quotePrefix="0" xfId="0">
      <alignment vertical="top" wrapText="1"/>
    </xf>
    <xf numFmtId="0" fontId="96" fillId="0" borderId="64" applyAlignment="1" pivotButton="0" quotePrefix="0" xfId="0">
      <alignment horizontal="left" vertical="top" wrapText="1"/>
    </xf>
    <xf numFmtId="0" fontId="100" fillId="40" borderId="64" applyAlignment="1" pivotButton="0" quotePrefix="0" xfId="0">
      <alignment horizontal="center" vertical="top" wrapText="1"/>
    </xf>
    <xf numFmtId="0" fontId="96" fillId="25" borderId="64" applyAlignment="1" pivotButton="0" quotePrefix="0" xfId="0">
      <alignment horizontal="left" vertical="top" wrapText="1"/>
    </xf>
    <xf numFmtId="0" fontId="96" fillId="38" borderId="64" applyAlignment="1" pivotButton="0" quotePrefix="0" xfId="0">
      <alignment horizontal="left" vertical="top" wrapText="1"/>
    </xf>
    <xf numFmtId="0" fontId="96" fillId="26" borderId="64" applyAlignment="1" pivotButton="0" quotePrefix="0" xfId="0">
      <alignment horizontal="left" vertical="top" wrapText="1"/>
    </xf>
    <xf numFmtId="0" fontId="96" fillId="27" borderId="64" applyAlignment="1" pivotButton="0" quotePrefix="0" xfId="0">
      <alignment horizontal="left" vertical="top" wrapText="1"/>
    </xf>
    <xf numFmtId="0" fontId="73" fillId="42" borderId="0" applyAlignment="1" pivotButton="0" quotePrefix="0" xfId="0">
      <alignment vertical="top" wrapText="1"/>
    </xf>
    <xf numFmtId="0" fontId="73" fillId="37" borderId="0" applyAlignment="1" pivotButton="0" quotePrefix="0" xfId="0">
      <alignment vertical="top" wrapText="1"/>
    </xf>
    <xf numFmtId="0" fontId="74" fillId="40" borderId="0" applyAlignment="1" pivotButton="0" quotePrefix="0" xfId="0">
      <alignment vertical="top" wrapText="1"/>
    </xf>
    <xf numFmtId="176" fontId="75" fillId="40" borderId="0" applyAlignment="1" pivotButton="0" quotePrefix="0" xfId="0">
      <alignment vertical="top" wrapText="1"/>
    </xf>
    <xf numFmtId="0" fontId="73" fillId="43" borderId="0" applyAlignment="1" pivotButton="0" quotePrefix="0" xfId="0">
      <alignment vertical="top" wrapText="1"/>
    </xf>
    <xf numFmtId="0" fontId="73" fillId="43" borderId="0" pivotButton="0" quotePrefix="0" xfId="0"/>
    <xf numFmtId="0" fontId="130" fillId="40" borderId="0" applyAlignment="1" pivotButton="0" quotePrefix="0" xfId="0">
      <alignment vertical="top" wrapText="1"/>
    </xf>
    <xf numFmtId="0" fontId="130" fillId="40" borderId="0" pivotButton="0" quotePrefix="0" xfId="0"/>
    <xf numFmtId="0" fontId="77" fillId="41" borderId="0" applyAlignment="1" pivotButton="0" quotePrefix="0" xfId="0">
      <alignment vertical="top" wrapText="1"/>
    </xf>
    <xf numFmtId="0" fontId="77" fillId="41" borderId="0" pivotButton="0" quotePrefix="0" xfId="0"/>
    <xf numFmtId="0" fontId="131" fillId="0" borderId="0" pivotButton="0" quotePrefix="0" xfId="0"/>
    <xf numFmtId="0" fontId="81" fillId="42" borderId="61" applyAlignment="1" pivotButton="0" quotePrefix="0" xfId="0">
      <alignment vertical="top" wrapText="1"/>
    </xf>
    <xf numFmtId="0" fontId="81" fillId="43" borderId="60" applyAlignment="1" pivotButton="0" quotePrefix="0" xfId="0">
      <alignment horizontal="center" vertical="top" wrapText="1"/>
    </xf>
    <xf numFmtId="0" fontId="81" fillId="43" borderId="60" pivotButton="0" quotePrefix="0" xfId="0"/>
    <xf numFmtId="0" fontId="81" fillId="43" borderId="60" applyAlignment="1" pivotButton="0" quotePrefix="0" xfId="0">
      <alignment horizontal="left" vertical="top" wrapText="1" indent="2"/>
    </xf>
    <xf numFmtId="0" fontId="81" fillId="43" borderId="60" applyAlignment="1" pivotButton="0" quotePrefix="0" xfId="0">
      <alignment vertical="center"/>
    </xf>
    <xf numFmtId="0" fontId="73" fillId="43" borderId="60" applyAlignment="1" pivotButton="0" quotePrefix="0" xfId="0">
      <alignment horizontal="left" vertical="top" wrapText="1" indent="2"/>
    </xf>
    <xf numFmtId="0" fontId="73" fillId="43" borderId="60" applyAlignment="1" pivotButton="0" quotePrefix="0" xfId="0">
      <alignment vertical="center"/>
    </xf>
    <xf numFmtId="0" fontId="73" fillId="43" borderId="60" applyAlignment="1" pivotButton="0" quotePrefix="0" xfId="0">
      <alignment horizontal="center" vertical="center"/>
    </xf>
    <xf numFmtId="0" fontId="73" fillId="43" borderId="60" pivotButton="0" quotePrefix="0" xfId="0"/>
    <xf numFmtId="0" fontId="73" fillId="43" borderId="60" applyAlignment="1" pivotButton="0" quotePrefix="0" xfId="0">
      <alignment horizontal="left" vertical="top" wrapText="1" indent="1"/>
    </xf>
    <xf numFmtId="0" fontId="92" fillId="43" borderId="0" applyAlignment="1" pivotButton="0" quotePrefix="0" xfId="0">
      <alignment horizontal="center" vertical="center"/>
    </xf>
    <xf numFmtId="0" fontId="93" fillId="43" borderId="64" applyAlignment="1" pivotButton="0" quotePrefix="0" xfId="0">
      <alignment horizontal="center" vertical="center" wrapText="1"/>
    </xf>
    <xf numFmtId="0" fontId="93" fillId="43" borderId="64" applyAlignment="1" pivotButton="0" quotePrefix="0" xfId="0">
      <alignment horizontal="center" vertical="top" wrapText="1"/>
    </xf>
    <xf numFmtId="0" fontId="96" fillId="41" borderId="64" pivotButton="0" quotePrefix="0" xfId="0"/>
    <xf numFmtId="0" fontId="96" fillId="41" borderId="64" applyAlignment="1" pivotButton="0" quotePrefix="0" xfId="0">
      <alignment vertical="top" wrapText="1"/>
    </xf>
    <xf numFmtId="0" fontId="99" fillId="41" borderId="0" applyAlignment="1" pivotButton="0" quotePrefix="0" xfId="0">
      <alignment horizontal="left" vertical="center"/>
    </xf>
    <xf numFmtId="0" fontId="96" fillId="41" borderId="64" applyAlignment="1" pivotButton="0" quotePrefix="0" xfId="0">
      <alignment horizontal="left" vertical="center"/>
    </xf>
    <xf numFmtId="0" fontId="96" fillId="41" borderId="64" applyAlignment="1" pivotButton="0" quotePrefix="0" xfId="0">
      <alignment horizontal="left" vertical="top" wrapText="1"/>
    </xf>
    <xf numFmtId="3" fontId="96" fillId="41" borderId="64" applyAlignment="1" pivotButton="0" quotePrefix="0" xfId="0">
      <alignment horizontal="right" vertical="center"/>
    </xf>
    <xf numFmtId="180" fontId="96" fillId="41" borderId="64" applyAlignment="1" pivotButton="0" quotePrefix="0" xfId="0">
      <alignment horizontal="right" vertical="center"/>
    </xf>
    <xf numFmtId="0" fontId="96" fillId="41" borderId="64" applyAlignment="1" pivotButton="0" quotePrefix="0" xfId="0">
      <alignment horizontal="left" vertical="center" wrapText="1"/>
    </xf>
    <xf numFmtId="38" fontId="96" fillId="41" borderId="64" applyAlignment="1" pivotButton="0" quotePrefix="0" xfId="0">
      <alignment horizontal="right" vertical="center"/>
    </xf>
    <xf numFmtId="0" fontId="96" fillId="44" borderId="64" applyAlignment="1" pivotButton="0" quotePrefix="0" xfId="0">
      <alignment horizontal="left" vertical="center"/>
    </xf>
    <xf numFmtId="0" fontId="96" fillId="44" borderId="64" applyAlignment="1" pivotButton="0" quotePrefix="0" xfId="0">
      <alignment horizontal="left" vertical="top" wrapText="1"/>
    </xf>
    <xf numFmtId="3" fontId="96" fillId="44" borderId="64" applyAlignment="1" pivotButton="0" quotePrefix="0" xfId="0">
      <alignment horizontal="right" vertical="center"/>
    </xf>
    <xf numFmtId="38" fontId="96" fillId="44" borderId="64" applyAlignment="1" pivotButton="0" quotePrefix="0" xfId="0">
      <alignment horizontal="right" vertical="center"/>
    </xf>
    <xf numFmtId="180" fontId="96" fillId="44" borderId="64" applyAlignment="1" pivotButton="0" quotePrefix="0" xfId="0">
      <alignment horizontal="right" vertical="center"/>
    </xf>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2">
    <dxf>
      <font>
        <color rgb="FF9C0006"/>
      </font>
      <fill>
        <patternFill>
          <bgColor rgb="FFFFC7CE"/>
        </patternFill>
      </fill>
    </dxf>
    <dxf>
      <fill>
        <patternFill patternType="solid">
          <fgColor rgb="FFF3F6F8"/>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externalLink" Target="/xl/externalLinks/externalLink1.xml" Id="rId26" /><Relationship Type="http://schemas.openxmlformats.org/officeDocument/2006/relationships/externalLink" Target="/xl/externalLinks/externalLink2.xml" Id="rId27" /><Relationship Type="http://schemas.openxmlformats.org/officeDocument/2006/relationships/externalLink" Target="/xl/externalLinks/externalLink3.xml" Id="rId28" /><Relationship Type="http://schemas.openxmlformats.org/officeDocument/2006/relationships/externalLink" Target="/xl/externalLinks/externalLink4.xml" Id="rId29" /><Relationship Type="http://schemas.openxmlformats.org/officeDocument/2006/relationships/styles" Target="styles.xml" Id="rId30" /><Relationship Type="http://schemas.openxmlformats.org/officeDocument/2006/relationships/theme" Target="theme/theme1.xml" Id="rId31" /><Relationship Type="http://schemas.microsoft.com/office/2006/relationships/vbaProject" Target="vbaProject.bin" Id="rId32" /></Relationships>
</file>

<file path=xl/comments/comment1.xml><?xml version="1.0" encoding="utf-8"?>
<comments xmlns="http://schemas.openxmlformats.org/spreadsheetml/2006/main">
  <authors>
    <author>Workbook</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Workbook</author>
  </authors>
  <commentList>
    <comment ref="B1" authorId="0" shapeId="0">
      <text>
        <t xml:space="preserve">To Save Grid
1)Click Save button
2)Click File SaveAs
    new filename
   </t>
      </text>
    </comment>
    <comment ref="Y20" authorId="1" shapeId="0">
      <text>
        <t>Which ranked match to show here? 1 = closest match by size, 2 = 2nd closest, etc. Defaults to 1 (top matches in order) -- change it to swap in a different comp. See the Comp Picker tab for the full ranked list before picking.</t>
      </text>
    </comment>
    <comment ref="Y23" authorId="1" shapeId="0">
      <text>
        <t>Which ranked match to show here? 1 = closest match by size, 2 = 2nd closest, etc. Defaults to 2 (top matches in order) -- change it to swap in a different comp. See the Comp Picker tab for the full ranked list before picking.</t>
      </text>
    </comment>
    <comment ref="Y26"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Workbook</author>
    <author> DEBRA K COAK</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1" shapeId="0">
      <text>
        <t xml:space="preserve"> Type adjustment here, use minus sign for deduction
</t>
      </text>
    </comment>
    <comment ref="G24" authorId="1"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1" shapeId="0">
      <text>
        <t xml:space="preserve"> Type adjustment here, use minus sign for deduction
</t>
      </text>
    </comment>
    <comment ref="G29" authorId="1"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1" shapeId="0">
      <text>
        <t xml:space="preserve"> Type adjustment here, use minus sign for deduction
</t>
      </text>
    </comment>
    <comment ref="G34" authorId="1"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1" shapeId="0">
      <text>
        <t xml:space="preserve"> Type adjustment here, use minus sign for deduction
</t>
      </text>
    </comment>
    <comment ref="G39" authorId="1"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 DEBRA K COAK</author>
    <author>Workbook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1" shapeId="0">
      <text>
        <t>Which ranked match to show here? 1 = closest match by size, 2 = 2nd closest, etc. Defaults to 1 (top matches in order) -- change it to swap in a different comp. See the Comp Picker tab for the full ranked list before picking.</t>
      </text>
    </comment>
    <comment ref="Y73" authorId="1" shapeId="0">
      <text>
        <t>Which ranked match to show here? 1 = closest match by size, 2 = 2nd closest, etc. Defaults to 2 (top matches in order) -- change it to swap in a different comp. See the Comp Picker tab for the full ranked list before picking.</t>
      </text>
    </comment>
    <comment ref="Y74"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Workbook</author>
    <author> DEBRA K COAK</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1" shapeId="0">
      <text>
        <t xml:space="preserve"> Check desired box
</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3.xml.rels><Relationships xmlns="http://schemas.openxmlformats.org/package/2006/relationships"><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11.xml.rels><Relationships xmlns="http://schemas.openxmlformats.org/package/2006/relationships"><Relationship Type="http://schemas.openxmlformats.org/officeDocument/2006/relationships/vmlDrawing" Target="/xl/drawings/vmlDrawing7.vml" Id="anysvml" /></Relationships>
</file>

<file path=xl/worksheets/_rels/sheet12.xml.rels><Relationships xmlns="http://schemas.openxmlformats.org/package/2006/relationships"><Relationship Type="http://schemas.openxmlformats.org/officeDocument/2006/relationships/vmlDrawing" Target="/xl/drawings/vmlDrawing8.vml" Id="anysvml" /></Relationships>
</file>

<file path=xl/worksheets/_rels/sheet17.xml.rels><Relationships xmlns="http://schemas.openxmlformats.org/package/2006/relationships"><Relationship Type="http://schemas.openxmlformats.org/officeDocument/2006/relationships/hyperlink" Target="https://adamscountyco.gov/" TargetMode="External" Id="rId1" /><Relationship Type="http://schemas.openxmlformats.org/officeDocument/2006/relationships/hyperlink" Target="https://adamscountyco.gov/service/gis-interactive-maps/" TargetMode="External" Id="rId2" /><Relationship Type="http://schemas.openxmlformats.org/officeDocument/2006/relationships/hyperlink" Target="https://adamscountyco.gov/our-county/community-economic-development/planning-development/development-standards-regulations/" TargetMode="External" Id="rId3" /><Relationship Type="http://schemas.openxmlformats.org/officeDocument/2006/relationships/hyperlink" Target="https://adamscountyco.gov/our-county/community-economic-development/planning-development/" TargetMode="External" Id="rId4" /><Relationship Type="http://schemas.openxmlformats.org/officeDocument/2006/relationships/hyperlink" Target="https://adamscountyco.gov/our-county/community-economic-development/planning-development/current-land-use-cases/" TargetMode="External" Id="rId5" /><Relationship Type="http://schemas.openxmlformats.org/officeDocument/2006/relationships/hyperlink" Target="https://adamscountyco.gov/our-county/community-economic-development/building-safety/building-permit/" TargetMode="External" Id="rId6" /><Relationship Type="http://schemas.openxmlformats.org/officeDocument/2006/relationships/hyperlink" Target="https://adamscountyco.gov/our-county/community-economic-development/advancing-adams/comprehensive-plan/" TargetMode="External" Id="rId7" /><Relationship Type="http://schemas.openxmlformats.org/officeDocument/2006/relationships/hyperlink" Target="https://adamscountyco.gov/about-adams-county/public-meetings/" TargetMode="External" Id="rId8" /><Relationship Type="http://schemas.openxmlformats.org/officeDocument/2006/relationships/hyperlink" Target="https://www.arvadaco.gov/" TargetMode="External" Id="rId9" /><Relationship Type="http://schemas.openxmlformats.org/officeDocument/2006/relationships/hyperlink" Target="https://www.arvadaco.gov/702/Maps-and-Property-Search" TargetMode="External" Id="rId10" /><Relationship Type="http://schemas.openxmlformats.org/officeDocument/2006/relationships/hyperlink" Target="https://www.arvadaco.gov/168/Zoning" TargetMode="External" Id="rId11" /><Relationship Type="http://schemas.openxmlformats.org/officeDocument/2006/relationships/hyperlink" Target="https://www.arvadaco.gov/1369/Planning-and-Development" TargetMode="External" Id="rId12" /><Relationship Type="http://schemas.openxmlformats.org/officeDocument/2006/relationships/hyperlink" Target="https://www.arvadaco.gov/1394/Active-Development-Projects" TargetMode="External" Id="rId13" /><Relationship Type="http://schemas.openxmlformats.org/officeDocument/2006/relationships/hyperlink" Target="https://www.arvadaco.gov/330/Permits" TargetMode="External" Id="rId14" /><Relationship Type="http://schemas.openxmlformats.org/officeDocument/2006/relationships/hyperlink" Target="https://www.arvadaco.gov/1374/2026-27-Comprehensive-Plan" TargetMode="External" Id="rId15" /><Relationship Type="http://schemas.openxmlformats.org/officeDocument/2006/relationships/hyperlink" Target="https://www.arvadaco.gov/AgendaCenter" TargetMode="External" Id="rId16" /><Relationship Type="http://schemas.openxmlformats.org/officeDocument/2006/relationships/hyperlink" Target="https://www.auroragov.org/" TargetMode="External" Id="rId17" /><Relationship Type="http://schemas.openxmlformats.org/officeDocument/2006/relationships/hyperlink" Target="https://www.auroragov.org/city_hall/maps/planning_and_zoning_maps" TargetMode="External" Id="rId18" /><Relationship Type="http://schemas.openxmlformats.org/officeDocument/2006/relationships/hyperlink" Target="https://zoning.auroragov.org/" TargetMode="External" Id="rId19" /><Relationship Type="http://schemas.openxmlformats.org/officeDocument/2006/relationships/hyperlink" Target="https://www.auroragov.org/business_services/planning" TargetMode="External" Id="rId20" /><Relationship Type="http://schemas.openxmlformats.org/officeDocument/2006/relationships/hyperlink" Target="https://coaapps.auroragov.org/ProjectStatus/search.aspx" TargetMode="External" Id="rId21" /><Relationship Type="http://schemas.openxmlformats.org/officeDocument/2006/relationships/hyperlink" Target="https://www.auroragov.org/business_services/building_division/permits" TargetMode="External" Id="rId22" /><Relationship Type="http://schemas.openxmlformats.org/officeDocument/2006/relationships/hyperlink" Target="https://www.auroragov.org/business_services/planning/projects__plans___studies/comprehensive_plan" TargetMode="External" Id="rId23" /><Relationship Type="http://schemas.openxmlformats.org/officeDocument/2006/relationships/hyperlink" Target="https://www.auroragov.org/city_hall/mayor___city_council/council_meetings" TargetMode="External" Id="rId24" /><Relationship Type="http://schemas.openxmlformats.org/officeDocument/2006/relationships/hyperlink" Target="https://www.bennettco.gov/" TargetMode="External" Id="rId25" /><Relationship Type="http://schemas.openxmlformats.org/officeDocument/2006/relationships/hyperlink" Target="https://www.bennettco.gov/business/page/bennett-zoning-map" TargetMode="External" Id="rId26" /><Relationship Type="http://schemas.openxmlformats.org/officeDocument/2006/relationships/hyperlink" Target="https://www.bennettco.gov/planning-economic-development/page/zoning-and-subdivision-regulations" TargetMode="External" Id="rId27" /><Relationship Type="http://schemas.openxmlformats.org/officeDocument/2006/relationships/hyperlink" Target="https://www.bennettco.gov/planning-economic-development/page/planning-and-zoning" TargetMode="External" Id="rId28" /><Relationship Type="http://schemas.openxmlformats.org/officeDocument/2006/relationships/hyperlink" Target="https://www.bennettco.gov/projects" TargetMode="External" Id="rId29" /><Relationship Type="http://schemas.openxmlformats.org/officeDocument/2006/relationships/hyperlink" Target="https://www.bennettco.gov/community-development/page/building-department" TargetMode="External" Id="rId30" /><Relationship Type="http://schemas.openxmlformats.org/officeDocument/2006/relationships/hyperlink" Target="https://www.bennettco.gov/planning-economic-development/page/master-plans-and-guiding-documents" TargetMode="External" Id="rId31" /><Relationship Type="http://schemas.openxmlformats.org/officeDocument/2006/relationships/hyperlink" Target="https://www.bennettco.gov/meetings/recent" TargetMode="External" Id="rId32" /><Relationship Type="http://schemas.openxmlformats.org/officeDocument/2006/relationships/hyperlink" Target="https://www.brightonco.gov/" TargetMode="External" Id="rId33" /><Relationship Type="http://schemas.openxmlformats.org/officeDocument/2006/relationships/hyperlink" Target="https://www.brightonco.gov/248/Geographic-Information-Systems" TargetMode="External" Id="rId34" /><Relationship Type="http://schemas.openxmlformats.org/officeDocument/2006/relationships/hyperlink" Target="https://www.brightonco.gov/363/Land-Use-Development-Code" TargetMode="External" Id="rId35" /><Relationship Type="http://schemas.openxmlformats.org/officeDocument/2006/relationships/hyperlink" Target="https://www.brightonco.gov/224/Planning-Zoning" TargetMode="External" Id="rId36" /><Relationship Type="http://schemas.openxmlformats.org/officeDocument/2006/relationships/hyperlink" Target="https://www.brightonco.gov/1596/Interactive-Development-Map" TargetMode="External" Id="rId37" /><Relationship Type="http://schemas.openxmlformats.org/officeDocument/2006/relationships/hyperlink" Target="https://www.brightonco.gov/222/Permitting" TargetMode="External" Id="rId38" /><Relationship Type="http://schemas.openxmlformats.org/officeDocument/2006/relationships/hyperlink" Target="https://www.brightonco.gov/553/Long-Range-Planning" TargetMode="External" Id="rId39" /><Relationship Type="http://schemas.openxmlformats.org/officeDocument/2006/relationships/hyperlink" Target="https://www.brightonco.gov/agendacenter" TargetMode="External" Id="rId40" /><Relationship Type="http://schemas.openxmlformats.org/officeDocument/2006/relationships/hyperlink" Target="https://www.c3gov.com/Home" TargetMode="External" Id="rId41" /><Relationship Type="http://schemas.openxmlformats.org/officeDocument/2006/relationships/hyperlink" Target="https://www.c3gov.com/Residents/Maps-Data-GIS" TargetMode="External" Id="rId42" /><Relationship Type="http://schemas.openxmlformats.org/officeDocument/2006/relationships/hyperlink" Target="https://www.c3gov.com/Government/City-Codes/Land-Development-Code" TargetMode="External" Id="rId43" /><Relationship Type="http://schemas.openxmlformats.org/officeDocument/2006/relationships/hyperlink" Target="https://www.c3gov.com/Government/Departments-Divisions/Community-Development" TargetMode="External" Id="rId44" /><Relationship Type="http://schemas.openxmlformats.org/officeDocument/2006/relationships/hyperlink" Target="https://www.c3gov.com/Business-Development/Development-Projects-Map" TargetMode="External" Id="rId45" /><Relationship Type="http://schemas.openxmlformats.org/officeDocument/2006/relationships/hyperlink" Target="https://www.c3gov.com/Business-Development/Building-Permits-Inspections" TargetMode="External" Id="rId46" /><Relationship Type="http://schemas.openxmlformats.org/officeDocument/2006/relationships/hyperlink" Target="https://www.c3gov.com/Government/City-Charter-Master-Plans/Comprehensive-Plan" TargetMode="External" Id="rId47" /><Relationship Type="http://schemas.openxmlformats.org/officeDocument/2006/relationships/hyperlink" Target="https://www.c3gov.com/Site-Footer/Footer-Widgets/Quick-Links/Meeting-Agendas-and-Schedules" TargetMode="External" Id="rId48" /><Relationship Type="http://schemas.openxmlformats.org/officeDocument/2006/relationships/hyperlink" Target="https://www.fedheights.org/" TargetMode="External" Id="rId49" /><Relationship Type="http://schemas.openxmlformats.org/officeDocument/2006/relationships/hyperlink" Target="https://www.fedheights.org/index.asp?SEC=D1A883BE-0C29-4602-8CC9-5D6A08DA5503" TargetMode="External" Id="rId50" /><Relationship Type="http://schemas.openxmlformats.org/officeDocument/2006/relationships/hyperlink" Target="https://www.fedheights.org/index.asp?SEC=D7AA9940-8607-468A-8215-7308DD3BF799" TargetMode="External" Id="rId51" /><Relationship Type="http://schemas.openxmlformats.org/officeDocument/2006/relationships/hyperlink" Target="https://www.fedheights.org/planning" TargetMode="External" Id="rId52" /><Relationship Type="http://schemas.openxmlformats.org/officeDocument/2006/relationships/hyperlink" Target="https://www.fedheights.org/index.asp?SEC=%7B76F23E1D-0819-4BAB-BD73-23D6092E8A3B%7D&amp;persistdesign=none" TargetMode="External" Id="rId53" /><Relationship Type="http://schemas.openxmlformats.org/officeDocument/2006/relationships/hyperlink" Target="https://www.fedheights.org/index.asp?SEC=D1CB6EB6-9C4B-4FA8-B119-EF1785E54CB6" TargetMode="External" Id="rId54" /><Relationship Type="http://schemas.openxmlformats.org/officeDocument/2006/relationships/hyperlink" Target="https://www.fedheights.org/index.asp?SEC=%7B5CF1D2C4-3E29-4A1A-BBFA-2BE19B3ABFD0%7D" TargetMode="External" Id="rId55" /><Relationship Type="http://schemas.openxmlformats.org/officeDocument/2006/relationships/hyperlink" Target="https://www.fedheights.org/index.asp?SEC=%7BE66D34DF-8290-4807-83DA-3AF56D110C00%7D" TargetMode="External" Id="rId56" /><Relationship Type="http://schemas.openxmlformats.org/officeDocument/2006/relationships/hyperlink" Target="https://www.lochbuie.org/" TargetMode="External" Id="rId57" /><Relationship Type="http://schemas.openxmlformats.org/officeDocument/2006/relationships/hyperlink" Target="https://www.lochbuie.org/community-dev/page/interactive-land-use-map" TargetMode="External" Id="rId58" /><Relationship Type="http://schemas.openxmlformats.org/officeDocument/2006/relationships/hyperlink" Target="https://www.lochbuie.org/administration/page/zoning-map" TargetMode="External" Id="rId59" /><Relationship Type="http://schemas.openxmlformats.org/officeDocument/2006/relationships/hyperlink" Target="https://www.lochbuie.org/community-dev/page/current-planning" TargetMode="External" Id="rId60" /><Relationship Type="http://schemas.openxmlformats.org/officeDocument/2006/relationships/hyperlink" Target="https://www.lochbuie.org/projects" TargetMode="External" Id="rId61" /><Relationship Type="http://schemas.openxmlformats.org/officeDocument/2006/relationships/hyperlink" Target="https://www.lochbuie.org/community-dev/page/building-permits-and-inspections" TargetMode="External" Id="rId62" /><Relationship Type="http://schemas.openxmlformats.org/officeDocument/2006/relationships/hyperlink" Target="https://www.lochbuie.org/community-dev/page/documents" TargetMode="External" Id="rId63" /><Relationship Type="http://schemas.openxmlformats.org/officeDocument/2006/relationships/hyperlink" Target="https://www.lochbuie.org/meetings" TargetMode="External" Id="rId64" /><Relationship Type="http://schemas.openxmlformats.org/officeDocument/2006/relationships/hyperlink" Target="https://www.northglenn.org/" TargetMode="External" Id="rId65" /><Relationship Type="http://schemas.openxmlformats.org/officeDocument/2006/relationships/hyperlink" Target="https://biz.northglenn.org/quickzone" TargetMode="External" Id="rId66" /><Relationship Type="http://schemas.openxmlformats.org/officeDocument/2006/relationships/hyperlink" Target="https://www.northglenn.org/government/land_use_zoning/new_code_northglenn.php" TargetMode="External" Id="rId67" /><Relationship Type="http://schemas.openxmlformats.org/officeDocument/2006/relationships/hyperlink" Target="https://www.northglenn.org/government/departments/planning_development/index.php" TargetMode="External" Id="rId68" /><Relationship Type="http://schemas.openxmlformats.org/officeDocument/2006/relationships/hyperlink" Target="https://www.northglenn.org/government/project_updates/" TargetMode="External" Id="rId69" /><Relationship Type="http://schemas.openxmlformats.org/officeDocument/2006/relationships/hyperlink" Target="https://www.northglenn.org/government/departments/building/pull_a_permit.php" TargetMode="External" Id="rId70" /><Relationship Type="http://schemas.openxmlformats.org/officeDocument/2006/relationships/hyperlink" Target="https://www.northglenn.org/government/land_use_zoning/comprehensive_plan.php" TargetMode="External" Id="rId71" /><Relationship Type="http://schemas.openxmlformats.org/officeDocument/2006/relationships/hyperlink" Target="https://webdocs.northglenn.org/" TargetMode="External" Id="rId72" /><Relationship Type="http://schemas.openxmlformats.org/officeDocument/2006/relationships/hyperlink" Target="https://www.thorntonco.gov/" TargetMode="External" Id="rId73" /><Relationship Type="http://schemas.openxmlformats.org/officeDocument/2006/relationships/hyperlink" Target="https://cityofthornton.maps.arcgis.com/apps/webappviewer/index.html?id=643abe02e8b8446586b6eb6d8ed43f84" TargetMode="External" Id="rId74" /><Relationship Type="http://schemas.openxmlformats.org/officeDocument/2006/relationships/hyperlink" Target="https://www.thorntonco.gov/business-development/city-development/current-planning-zoning/zoning-districts-uses-and-regulations" TargetMode="External" Id="rId75" /><Relationship Type="http://schemas.openxmlformats.org/officeDocument/2006/relationships/hyperlink" Target="https://www.thorntonco.gov/business-development/city-development" TargetMode="External" Id="rId76" /><Relationship Type="http://schemas.openxmlformats.org/officeDocument/2006/relationships/hyperlink" Target="https://www.thorntonco.gov/business-development/active-development" TargetMode="External" Id="rId77" /><Relationship Type="http://schemas.openxmlformats.org/officeDocument/2006/relationships/hyperlink" Target="https://www.thorntonco.gov/business-development/city-development/building-permits-inspections" TargetMode="External" Id="rId78" /><Relationship Type="http://schemas.openxmlformats.org/officeDocument/2006/relationships/hyperlink" Target="https://www.thorntonco.gov/business-development/city-development/long-range-planning/plans/thornton-comprehensive-plan" TargetMode="External" Id="rId79" /><Relationship Type="http://schemas.openxmlformats.org/officeDocument/2006/relationships/hyperlink" Target="https://www.thorntonco.gov/government/mayor-council/upcoming-meetings" TargetMode="External" Id="rId80" /><Relationship Type="http://schemas.openxmlformats.org/officeDocument/2006/relationships/hyperlink" Target="https://www.westminsterco.gov/" TargetMode="External" Id="rId81" /><Relationship Type="http://schemas.openxmlformats.org/officeDocument/2006/relationships/hyperlink" Target="https://www.westminsterco.gov/471/Maps" TargetMode="External" Id="rId82" /><Relationship Type="http://schemas.openxmlformats.org/officeDocument/2006/relationships/hyperlink" Target="https://www.westminsterco.gov/727/Zoning" TargetMode="External" Id="rId83" /><Relationship Type="http://schemas.openxmlformats.org/officeDocument/2006/relationships/hyperlink" Target="https://www.westminsterco.gov/707/Planning" TargetMode="External" Id="rId84" /><Relationship Type="http://schemas.openxmlformats.org/officeDocument/2006/relationships/hyperlink" Target="https://www.westminsterco.gov/855/Current-Development-Project-Map" TargetMode="External" Id="rId85" /><Relationship Type="http://schemas.openxmlformats.org/officeDocument/2006/relationships/hyperlink" Target="https://www.westminsterco.gov/617/Apply-for-a-Permit-Project" TargetMode="External" Id="rId86" /><Relationship Type="http://schemas.openxmlformats.org/officeDocument/2006/relationships/hyperlink" Target="https://www.westminsterco.gov/DocumentCenter/View/5605/Comprehensive-Plan_November2025-LR" TargetMode="External" Id="rId87" /><Relationship Type="http://schemas.openxmlformats.org/officeDocument/2006/relationships/hyperlink" Target="https://www.westminsterco.gov/AgendaCenter" TargetMode="External" Id="rId88" /></Relationships>
</file>

<file path=xl/worksheets/_rels/sheet18.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s>
</file>

<file path=xl/worksheets/_rels/sheet19.xml.rels><Relationships xmlns="http://schemas.openxmlformats.org/package/2006/relationships"><Relationship Type="http://schemas.openxmlformats.org/officeDocument/2006/relationships/hyperlink" Target="https://www.arvadaco.gov/" TargetMode="External" Id="rId1" /><Relationship Type="http://schemas.openxmlformats.org/officeDocument/2006/relationships/hyperlink" Target="https://www.arvadaco.gov/702/Maps-and-Property-Search" TargetMode="External" Id="rId2" /><Relationship Type="http://schemas.openxmlformats.org/officeDocument/2006/relationships/hyperlink" Target="https://www.arvadaco.gov/168/Zoning" TargetMode="External" Id="rId3" /><Relationship Type="http://schemas.openxmlformats.org/officeDocument/2006/relationships/hyperlink" Target="https://www.arvadaco.gov/1369/Planning-and-Development" TargetMode="External" Id="rId4" /><Relationship Type="http://schemas.openxmlformats.org/officeDocument/2006/relationships/hyperlink" Target="https://www.arvadaco.gov/1397/Land-Development-Code" TargetMode="External" Id="rId5" /><Relationship Type="http://schemas.openxmlformats.org/officeDocument/2006/relationships/hyperlink" Target="https://www.arvadaco.gov/1394/Active-Development-Projects" TargetMode="External" Id="rId6" /><Relationship Type="http://schemas.openxmlformats.org/officeDocument/2006/relationships/hyperlink" Target="https://www.arvadaco.gov/1393/Development-Review-Process" TargetMode="External" Id="rId7" /><Relationship Type="http://schemas.openxmlformats.org/officeDocument/2006/relationships/hyperlink" Target="https://www.arvadaco.gov/363/Documents-and-Downloads" TargetMode="External" Id="rId8" /><Relationship Type="http://schemas.openxmlformats.org/officeDocument/2006/relationships/hyperlink" Target="https://www.arvadaco.gov/330/Permits" TargetMode="External" Id="rId9" /><Relationship Type="http://schemas.openxmlformats.org/officeDocument/2006/relationships/hyperlink" Target="https://www.arvadaco.gov/332/Building-Permits" TargetMode="External" Id="rId10" /><Relationship Type="http://schemas.openxmlformats.org/officeDocument/2006/relationships/hyperlink" Target="https://www.arvadaco.gov/593/eTRAKiT-Help/permithelp" TargetMode="External" Id="rId11" /><Relationship Type="http://schemas.openxmlformats.org/officeDocument/2006/relationships/hyperlink" Target="https://www.arvadaco.gov/627/Researching-Permits" TargetMode="External" Id="rId12" /><Relationship Type="http://schemas.openxmlformats.org/officeDocument/2006/relationships/hyperlink" Target="https://www.arvadaco.gov/1374/2026-27-Comprehensive-Plan" TargetMode="External" Id="rId13" /><Relationship Type="http://schemas.openxmlformats.org/officeDocument/2006/relationships/hyperlink" Target="https://www.arvadaco.gov/304/City-Plans" TargetMode="External" Id="rId14" /><Relationship Type="http://schemas.openxmlformats.org/officeDocument/2006/relationships/hyperlink" Target="https://www.arvadaco.gov/276/Planning-Commission" TargetMode="External" Id="rId15" /><Relationship Type="http://schemas.openxmlformats.org/officeDocument/2006/relationships/hyperlink" Target="https://www.arvadaco.gov/AgendaCenter" TargetMode="External" Id="rId16" /><Relationship Type="http://schemas.openxmlformats.org/officeDocument/2006/relationships/hyperlink" Target="https://www.arvadaco.gov/245/Meetings-and-Other-Legal-Notices" TargetMode="External" Id="rId17" /><Relationship Type="http://schemas.openxmlformats.org/officeDocument/2006/relationships/hyperlink" Target="https://www.arvadaco.gov/908/News-Releases" TargetMode="External" Id="rId18" /><Relationship Type="http://schemas.openxmlformats.org/officeDocument/2006/relationships/hyperlink" Target="https://www.arvadaco.gov/247/Records-and-Requests" TargetMode="External" Id="rId19" /><Relationship Type="http://schemas.openxmlformats.org/officeDocument/2006/relationships/hyperlink" Target="https://www.auroragov.org/" TargetMode="External" Id="rId20" /><Relationship Type="http://schemas.openxmlformats.org/officeDocument/2006/relationships/hyperlink" Target="https://www.auroragov.org/city_hall/maps/planning_and_zoning_maps" TargetMode="External" Id="rId21" /><Relationship Type="http://schemas.openxmlformats.org/officeDocument/2006/relationships/hyperlink" Target="https://ags.auroragov.org/aurora/rest/services/OpenData/MapServer" TargetMode="External" Id="rId22" /><Relationship Type="http://schemas.openxmlformats.org/officeDocument/2006/relationships/hyperlink" Target="https://zoning.auroragov.org/" TargetMode="External" Id="rId23" /><Relationship Type="http://schemas.openxmlformats.org/officeDocument/2006/relationships/hyperlink" Target="https://www.auroragov.org/business_services/planning" TargetMode="External" Id="rId24" /><Relationship Type="http://schemas.openxmlformats.org/officeDocument/2006/relationships/hyperlink" Target="https://www.auroragov.org/city_hall/departments/planning___development_services" TargetMode="External" Id="rId25" /><Relationship Type="http://schemas.openxmlformats.org/officeDocument/2006/relationships/hyperlink" Target="https://www.auroragov.org/business_services/development_center/codes_rules/building___zoning_code/unified_development_ordinance" TargetMode="External" Id="rId26" /><Relationship Type="http://schemas.openxmlformats.org/officeDocument/2006/relationships/hyperlink" Target="https://www.auroragov.org/business_services/development_center/codes_rules/building___zoning_code" TargetMode="External" Id="rId27" /><Relationship Type="http://schemas.openxmlformats.org/officeDocument/2006/relationships/hyperlink" Target="https://coaapps.auroragov.org/ProjectStatus/search.aspx" TargetMode="External" Id="rId28" /><Relationship Type="http://schemas.openxmlformats.org/officeDocument/2006/relationships/hyperlink" Target="https://www.auroragov.org/business_services/development_center/development_process/forms_and_applications" TargetMode="External" Id="rId29" /><Relationship Type="http://schemas.openxmlformats.org/officeDocument/2006/relationships/hyperlink" Target="https://www.auroragov.org/business_services/planning/projects__plans___studies" TargetMode="External" Id="rId30" /><Relationship Type="http://schemas.openxmlformats.org/officeDocument/2006/relationships/hyperlink" Target="https://www.auroragov.org/business_services/planning/projects__plans___studies/comprehensive_plan" TargetMode="External" Id="rId31" /><Relationship Type="http://schemas.openxmlformats.org/officeDocument/2006/relationships/hyperlink" Target="https://www.auroragov.org/residents/neighborhood_planning" TargetMode="External" Id="rId32" /><Relationship Type="http://schemas.openxmlformats.org/officeDocument/2006/relationships/hyperlink" Target="https://www.auroragov.org/business_services/building_division/permits" TargetMode="External" Id="rId33" /><Relationship Type="http://schemas.openxmlformats.org/officeDocument/2006/relationships/hyperlink" Target="https://www.auroragov.org/business_services/development_center/permitting" TargetMode="External" Id="rId34" /><Relationship Type="http://schemas.openxmlformats.org/officeDocument/2006/relationships/hyperlink" Target="https://www.auroragov.org/business_services/aurora4biz" TargetMode="External" Id="rId35" /><Relationship Type="http://schemas.openxmlformats.org/officeDocument/2006/relationships/hyperlink" Target="https://www.auroragov.org/city_hall/boards___commissions/planning___zoning_commission" TargetMode="External" Id="rId36" /><Relationship Type="http://schemas.openxmlformats.org/officeDocument/2006/relationships/hyperlink" Target="https://www.auroragov.org/city_hall/mayor___city_council/council_meetings" TargetMode="External" Id="rId37" /><Relationship Type="http://schemas.openxmlformats.org/officeDocument/2006/relationships/hyperlink" Target="https://www.auroragov.org/city_hall/public_records/legal_notices/public_hearings" TargetMode="External" Id="rId38" /><Relationship Type="http://schemas.openxmlformats.org/officeDocument/2006/relationships/hyperlink" Target="https://www.auroragov.org/city_hall/public_records" TargetMode="External" Id="rId39" /><Relationship Type="http://schemas.openxmlformats.org/officeDocument/2006/relationships/hyperlink" Target="https://www.auroragov.org/news/whats_new" TargetMode="External" Id="rId40" /><Relationship Type="http://schemas.openxmlformats.org/officeDocument/2006/relationships/hyperlink" Target="https://www.bennettco.gov/" TargetMode="External" Id="rId41" /><Relationship Type="http://schemas.openxmlformats.org/officeDocument/2006/relationships/hyperlink" Target="https://www.bennettco.gov/business/page/bennett-zoning-map" TargetMode="External" Id="rId42" /><Relationship Type="http://schemas.openxmlformats.org/officeDocument/2006/relationships/hyperlink" Target="https://www.bennettco.gov/planning-economic-development/page/planning-and-zoning" TargetMode="External" Id="rId43" /><Relationship Type="http://schemas.openxmlformats.org/officeDocument/2006/relationships/hyperlink" Target="https://www.bennettco.gov/planning-economic-development" TargetMode="External" Id="rId44" /><Relationship Type="http://schemas.openxmlformats.org/officeDocument/2006/relationships/hyperlink" Target="https://www.bennettco.gov/planning-economic-development/page/zoning-and-subdivision-regulations" TargetMode="External" Id="rId45" /><Relationship Type="http://schemas.openxmlformats.org/officeDocument/2006/relationships/hyperlink" Target="https://www.bennettco.gov/development" TargetMode="External" Id="rId46" /><Relationship Type="http://schemas.openxmlformats.org/officeDocument/2006/relationships/hyperlink" Target="https://www.bennettco.gov/projects" TargetMode="External" Id="rId47" /><Relationship Type="http://schemas.openxmlformats.org/officeDocument/2006/relationships/hyperlink" Target="https://www.bennettco.gov/planning-economic-development/page/applicant-guides" TargetMode="External" Id="rId48" /><Relationship Type="http://schemas.openxmlformats.org/officeDocument/2006/relationships/hyperlink" Target="https://www.bennettco.gov/community-development/page/self-service-guide-permits-and-zoning" TargetMode="External" Id="rId49" /><Relationship Type="http://schemas.openxmlformats.org/officeDocument/2006/relationships/hyperlink" Target="https://www.bennettco.gov/community-development/page/building-department" TargetMode="External" Id="rId50" /><Relationship Type="http://schemas.openxmlformats.org/officeDocument/2006/relationships/hyperlink" Target="https://www.bennettco.gov/community-development/page/how-obtain-permit" TargetMode="External" Id="rId51" /><Relationship Type="http://schemas.openxmlformats.org/officeDocument/2006/relationships/hyperlink" Target="https://www.bennettco.gov/planning-economic-development/page/master-plans-and-guiding-documents" TargetMode="External" Id="rId52" /><Relationship Type="http://schemas.openxmlformats.org/officeDocument/2006/relationships/hyperlink" Target="https://www.bennettco.gov/planning-and-zoning-commission" TargetMode="External" Id="rId53" /><Relationship Type="http://schemas.openxmlformats.org/officeDocument/2006/relationships/hyperlink" Target="https://www.bennettco.gov/meetings/recent" TargetMode="External" Id="rId54" /><Relationship Type="http://schemas.openxmlformats.org/officeDocument/2006/relationships/hyperlink" Target="https://www.bennettco.gov/town-clerk/page/public-records" TargetMode="External" Id="rId55" /><Relationship Type="http://schemas.openxmlformats.org/officeDocument/2006/relationships/hyperlink" Target="https://www.bennettco.gov/news" TargetMode="External" Id="rId56" /><Relationship Type="http://schemas.openxmlformats.org/officeDocument/2006/relationships/hyperlink" Target="https://www.brightonco.gov/" TargetMode="External" Id="rId57" /><Relationship Type="http://schemas.openxmlformats.org/officeDocument/2006/relationships/hyperlink" Target="https://www.brightonco.gov/248/Geographic-Information-Systems" TargetMode="External" Id="rId58" /><Relationship Type="http://schemas.openxmlformats.org/officeDocument/2006/relationships/hyperlink" Target="https://www.brightonco.gov/224/Planning-Zoning" TargetMode="External" Id="rId59" /><Relationship Type="http://schemas.openxmlformats.org/officeDocument/2006/relationships/hyperlink" Target="https://www.brightonco.gov/363/Land-Use-Development-Code" TargetMode="External" Id="rId60" /><Relationship Type="http://schemas.openxmlformats.org/officeDocument/2006/relationships/hyperlink" Target="https://www.brightonco.gov/1142/Land-Use-Development-Applications" TargetMode="External" Id="rId61" /><Relationship Type="http://schemas.openxmlformats.org/officeDocument/2006/relationships/hyperlink" Target="https://www.brightonco.gov/1596/Interactive-Development-Map" TargetMode="External" Id="rId62" /><Relationship Type="http://schemas.openxmlformats.org/officeDocument/2006/relationships/hyperlink" Target="https://www.brightonco.gov/1146/Development-Resources" TargetMode="External" Id="rId63" /><Relationship Type="http://schemas.openxmlformats.org/officeDocument/2006/relationships/hyperlink" Target="https://www.brightonco.gov/222/Permitting" TargetMode="External" Id="rId64" /><Relationship Type="http://schemas.openxmlformats.org/officeDocument/2006/relationships/hyperlink" Target="https://www.brightonco.gov/1194/Codes"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197/Planning-Commission" TargetMode="External" Id="rId67" /><Relationship Type="http://schemas.openxmlformats.org/officeDocument/2006/relationships/hyperlink" Target="https://www.brightonco.gov/agendacenter" TargetMode="External" Id="rId68" /><Relationship Type="http://schemas.openxmlformats.org/officeDocument/2006/relationships/hyperlink" Target="https://www.brightonco.gov/453/Legal-Notices" TargetMode="External" Id="rId69" /><Relationship Type="http://schemas.openxmlformats.org/officeDocument/2006/relationships/hyperlink" Target="https://www.brightonco.gov/175/News" TargetMode="External" Id="rId70" /><Relationship Type="http://schemas.openxmlformats.org/officeDocument/2006/relationships/hyperlink" Target="https://www.brightonco.gov/notifyme" TargetMode="External" Id="rId71" /><Relationship Type="http://schemas.openxmlformats.org/officeDocument/2006/relationships/hyperlink" Target="https://www.c3gov.com/Home" TargetMode="External" Id="rId72" /><Relationship Type="http://schemas.openxmlformats.org/officeDocument/2006/relationships/hyperlink" Target="https://www.c3gov.com/Residents/Maps-Data-GIS" TargetMode="External" Id="rId73" /><Relationship Type="http://schemas.openxmlformats.org/officeDocument/2006/relationships/hyperlink" Target="https://www.c3gov.com/Government/City-Codes/Land-Development-Code" TargetMode="External" Id="rId74" /><Relationship Type="http://schemas.openxmlformats.org/officeDocument/2006/relationships/hyperlink" Target="https://www.c3gov.com/Government/City-Codes/Land-Development-Code/Land-Development-Code-Transition" TargetMode="External" Id="rId75" /><Relationship Type="http://schemas.openxmlformats.org/officeDocument/2006/relationships/hyperlink" Target="https://www.c3gov.com/Business-Development/Developing-in-Commerce-City/Land-Use-Standards" TargetMode="External" Id="rId76" /><Relationship Type="http://schemas.openxmlformats.org/officeDocument/2006/relationships/hyperlink" Target="https://www.c3gov.com/Government/Departments-Divisions/Community-Development" TargetMode="External" Id="rId77" /><Relationship Type="http://schemas.openxmlformats.org/officeDocument/2006/relationships/hyperlink" Target="https://www.c3gov.com/Business-Development/Developing-in-Commerce-City" TargetMode="External" Id="rId78" /><Relationship Type="http://schemas.openxmlformats.org/officeDocument/2006/relationships/hyperlink" Target="https://www.c3gov.com/Business-Development/Developing-in-Commerce-City/Land-Use-Approvals" TargetMode="External" Id="rId79" /><Relationship Type="http://schemas.openxmlformats.org/officeDocument/2006/relationships/hyperlink" Target="https://www.c3gov.com/Business-Development/Development-Projects-Map" TargetMode="External" Id="rId80" /><Relationship Type="http://schemas.openxmlformats.org/officeDocument/2006/relationships/hyperlink" Target="https://www.c3gov.com/Business-Development/Building-Permits-Inspections" TargetMode="External" Id="rId81" /><Relationship Type="http://schemas.openxmlformats.org/officeDocument/2006/relationships/hyperlink" Target="https://www.c3gov.com/Business-Development/eTRAKiT-Portal" TargetMode="External" Id="rId82" /><Relationship Type="http://schemas.openxmlformats.org/officeDocument/2006/relationships/hyperlink" Target="https://www.c3gov.com/Government/City-Charter-Master-Plans/Comprehensive-Plan" TargetMode="External" Id="rId83" /><Relationship Type="http://schemas.openxmlformats.org/officeDocument/2006/relationships/hyperlink" Target="https://www.c3gov.com/Government/Boards-Commissions/Planning-Commission" TargetMode="External" Id="rId84" /><Relationship Type="http://schemas.openxmlformats.org/officeDocument/2006/relationships/hyperlink" Target="https://www.c3gov.com/Site-Footer/Footer-Widgets/Quick-Links/Meeting-Agendas-and-Schedules" TargetMode="External" Id="rId85" /><Relationship Type="http://schemas.openxmlformats.org/officeDocument/2006/relationships/hyperlink" Target="https://www.c3gov.com/Government/Departments-Divisions/City-Clerks-Office/Legal-Notices-Ordinances" TargetMode="External" Id="rId86" /><Relationship Type="http://schemas.openxmlformats.org/officeDocument/2006/relationships/hyperlink" Target="https://www.c3gov.com/Government/Media-News/News-Announcements" TargetMode="External" Id="rId87" /><Relationship Type="http://schemas.openxmlformats.org/officeDocument/2006/relationships/hyperlink" Target="https://www.fedheights.org/" TargetMode="External" Id="rId88" /><Relationship Type="http://schemas.openxmlformats.org/officeDocument/2006/relationships/hyperlink" Target="https://www.fedheights.org/index.asp?SEC=D1A883BE-0C29-4602-8CC9-5D6A08DA5503" TargetMode="External" Id="rId89" /><Relationship Type="http://schemas.openxmlformats.org/officeDocument/2006/relationships/hyperlink" Target="https://www.fedheights.org/index.asp?SEC=D7AA9940-8607-468A-8215-7308DD3BF799" TargetMode="External" Id="rId90" /><Relationship Type="http://schemas.openxmlformats.org/officeDocument/2006/relationships/hyperlink" Target="https://www.fedheights.org/planning" TargetMode="External" Id="rId91" /><Relationship Type="http://schemas.openxmlformats.org/officeDocument/2006/relationships/hyperlink" Target="https://www.fedheights.org/index.asp?SEC=E0D5E6BC-02A8-4AEF-88A1-9093297C3662" TargetMode="External" Id="rId92" /><Relationship Type="http://schemas.openxmlformats.org/officeDocument/2006/relationships/hyperlink" Target="https://www.fedheights.org/index.asp?SEC=D1CB6EB6-9C4B-4FA8-B119-EF1785E54CB6" TargetMode="External" Id="rId93" /><Relationship Type="http://schemas.openxmlformats.org/officeDocument/2006/relationships/hyperlink" Target="https://www.fedheights.org/index.asp?SEC=%7BCB7135BC-846F-468B-B85D-0ECE8B03FFCD%7D&amp;persistdesign=none" TargetMode="External" Id="rId94" /><Relationship Type="http://schemas.openxmlformats.org/officeDocument/2006/relationships/hyperlink" Target="https://www.fedheights.org/index.asp?SEC=%7B76F23E1D-0819-4BAB-BD73-23D6092E8A3B%7D&amp;persistdesign=none" TargetMode="External" Id="rId95" /><Relationship Type="http://schemas.openxmlformats.org/officeDocument/2006/relationships/hyperlink" Target="https://www.fedheights.org/index.asp?SEC=%7B5CF1D2C4-3E29-4A1A-BBFA-2BE19B3ABFD0%7D" TargetMode="External" Id="rId96" /><Relationship Type="http://schemas.openxmlformats.org/officeDocument/2006/relationships/hyperlink" Target="https://www.fedheights.org/index.asp?SEC=%7BE66D34DF-8290-4807-83DA-3AF56D110C00%7D" TargetMode="External" Id="rId97" /><Relationship Type="http://schemas.openxmlformats.org/officeDocument/2006/relationships/hyperlink" Target="https://www.fedheights.org/index.asp?SEC=%7B13723B89-BA4A-47C1-9634-50363F8CD1D2%7D&amp;persistdesign=none" TargetMode="External" Id="rId98" /><Relationship Type="http://schemas.openxmlformats.org/officeDocument/2006/relationships/hyperlink" Target="https://www.fedheights.org/index.asp?SEC=407F7286-34E9-495F-B5F7-88E905D7C9A5" TargetMode="External" Id="rId99" /><Relationship Type="http://schemas.openxmlformats.org/officeDocument/2006/relationships/hyperlink" Target="https://www.fedheights.org/index.asp?SEC=%7B2E7DCCA1-1FEF-4EA7-8AE7-6C3F92D19EF3%7D&amp;persistdesign=none" TargetMode="External" Id="rId100" /><Relationship Type="http://schemas.openxmlformats.org/officeDocument/2006/relationships/hyperlink" Target="https://www.lochbuie.org/" TargetMode="External" Id="rId101" /><Relationship Type="http://schemas.openxmlformats.org/officeDocument/2006/relationships/hyperlink" Target="https://www.lochbuie.org/community-dev/page/interactive-land-use-map" TargetMode="External" Id="rId102" /><Relationship Type="http://schemas.openxmlformats.org/officeDocument/2006/relationships/hyperlink" Target="https://www.lochbuie.org/community-dev/page/maps" TargetMode="External" Id="rId103" /><Relationship Type="http://schemas.openxmlformats.org/officeDocument/2006/relationships/hyperlink" Target="https://www.lochbuie.org/administration/page/zoning-map" TargetMode="External" Id="rId104" /><Relationship Type="http://schemas.openxmlformats.org/officeDocument/2006/relationships/hyperlink" Target="https://www.lochbuie.org/community-dev/page/current-planning" TargetMode="External" Id="rId105" /><Relationship Type="http://schemas.openxmlformats.org/officeDocument/2006/relationships/hyperlink" Target="https://www.lochbuie.org/community-dev" TargetMode="External" Id="rId106" /><Relationship Type="http://schemas.openxmlformats.org/officeDocument/2006/relationships/hyperlink" Target="https://www.lochbuie.org/community-dev/page/land-use-applications" TargetMode="External" Id="rId107" /><Relationship Type="http://schemas.openxmlformats.org/officeDocument/2006/relationships/hyperlink" Target="https://www.lochbuie.org/community-dev/page/development-resources" TargetMode="External" Id="rId108" /><Relationship Type="http://schemas.openxmlformats.org/officeDocument/2006/relationships/hyperlink" Target="https://www.lochbuie.org/projects" TargetMode="External" Id="rId109" /><Relationship Type="http://schemas.openxmlformats.org/officeDocument/2006/relationships/hyperlink" Target="https://www.lochbuie.org/community-dev/page/building-permits-and-inspections" TargetMode="External" Id="rId110" /><Relationship Type="http://schemas.openxmlformats.org/officeDocument/2006/relationships/hyperlink" Target="https://www.lochbuie.org/community-dev/page/documents" TargetMode="External" Id="rId111" /><Relationship Type="http://schemas.openxmlformats.org/officeDocument/2006/relationships/hyperlink" Target="https://www.lochbuie.org/community-dev/page/long-range-planning" TargetMode="External" Id="rId112" /><Relationship Type="http://schemas.openxmlformats.org/officeDocument/2006/relationships/hyperlink" Target="https://www.lochbuie.org/publicnotice/page/ordinances" TargetMode="External" Id="rId113" /><Relationship Type="http://schemas.openxmlformats.org/officeDocument/2006/relationships/hyperlink" Target="https://www.lochbuie.org/meetings" TargetMode="External" Id="rId114" /><Relationship Type="http://schemas.openxmlformats.org/officeDocument/2006/relationships/hyperlink" Target="https://www.lochbuie.org/publicnotice" TargetMode="External" Id="rId115" /><Relationship Type="http://schemas.openxmlformats.org/officeDocument/2006/relationships/hyperlink" Target="https://www.lochbuie.org/news" TargetMode="External" Id="rId116" /><Relationship Type="http://schemas.openxmlformats.org/officeDocument/2006/relationships/hyperlink" Target="https://www.lochbuie.org/portal" TargetMode="External" Id="rId117" /><Relationship Type="http://schemas.openxmlformats.org/officeDocument/2006/relationships/hyperlink" Target="https://www.northglenn.org/" TargetMode="External" Id="rId118" /><Relationship Type="http://schemas.openxmlformats.org/officeDocument/2006/relationships/hyperlink" Target="https://www.northglenn.org/government/departments/planning_development/index.php" TargetMode="External" Id="rId119" /><Relationship Type="http://schemas.openxmlformats.org/officeDocument/2006/relationships/hyperlink" Target="https://www.northglenn.org/government/land_use_zoning/index.php" TargetMode="External" Id="rId120" /><Relationship Type="http://schemas.openxmlformats.org/officeDocument/2006/relationships/hyperlink" Target="https://www.northglenn.org/government/land_use_zoning/zoning_map.php" TargetMode="External" Id="rId121" /><Relationship Type="http://schemas.openxmlformats.org/officeDocument/2006/relationships/hyperlink" Target="https://biz.northglenn.org/quickzone" TargetMode="External" Id="rId122" /><Relationship Type="http://schemas.openxmlformats.org/officeDocument/2006/relationships/hyperlink" Target="https://www.northglenn.org/government/land_use_zoning/new_code_northglenn.php" TargetMode="External" Id="rId123" /><Relationship Type="http://schemas.openxmlformats.org/officeDocument/2006/relationships/hyperlink" Target="https://www.northglenn.org/government/land_use_zoning/land_use_applications.php" TargetMode="External" Id="rId124" /><Relationship Type="http://schemas.openxmlformats.org/officeDocument/2006/relationships/hyperlink" Target="https://www.northglenn.org/government/departments/planning_development/development_review_process.php" TargetMode="External" Id="rId125" /><Relationship Type="http://schemas.openxmlformats.org/officeDocument/2006/relationships/hyperlink" Target="https://www.northglenn.org/government/project_updates/" TargetMode="External" Id="rId126" /><Relationship Type="http://schemas.openxmlformats.org/officeDocument/2006/relationships/hyperlink" Target="https://www.northglenn.org/services/licenses_and_permits/index.php" TargetMode="External" Id="rId127" /><Relationship Type="http://schemas.openxmlformats.org/officeDocument/2006/relationships/hyperlink" Target="https://www.northglenn.org/government/departments/building/pull_a_permit.php" TargetMode="External" Id="rId128" /><Relationship Type="http://schemas.openxmlformats.org/officeDocument/2006/relationships/hyperlink" Target="https://www.northglenn.org/government/land_use_zoning/comprehensive_plan.php" TargetMode="External" Id="rId129" /><Relationship Type="http://schemas.openxmlformats.org/officeDocument/2006/relationships/hyperlink" Target="https://www.northglenn.org/government/land_use_zoning/area_plans/index.php" TargetMode="External" Id="rId130" /><Relationship Type="http://schemas.openxmlformats.org/officeDocument/2006/relationships/hyperlink" Target="https://www.northglenn.org/government/boards_commissions/planning_commission.php" TargetMode="External" Id="rId131" /><Relationship Type="http://schemas.openxmlformats.org/officeDocument/2006/relationships/hyperlink" Target="https://webdocs.northglenn.org/" TargetMode="External" Id="rId132" /><Relationship Type="http://schemas.openxmlformats.org/officeDocument/2006/relationships/hyperlink" Target="https://www.northglenn.org/newslist.php" TargetMode="External" Id="rId133" /><Relationship Type="http://schemas.openxmlformats.org/officeDocument/2006/relationships/hyperlink" Target="https://www.northglenn.org/community/communications/textmygov.php" TargetMode="External" Id="rId134" /><Relationship Type="http://schemas.openxmlformats.org/officeDocument/2006/relationships/hyperlink" Target="https://www.thorntonco.gov/" TargetMode="External" Id="rId135" /><Relationship Type="http://schemas.openxmlformats.org/officeDocument/2006/relationships/hyperlink" Target="https://www.thorntonco.gov/business-development/city-development" TargetMode="External" Id="rId136" /><Relationship Type="http://schemas.openxmlformats.org/officeDocument/2006/relationships/hyperlink" Target="https://www.thorntonco.gov/business-development/city-development/current-planning-zoning" TargetMode="External" Id="rId137" /><Relationship Type="http://schemas.openxmlformats.org/officeDocument/2006/relationships/hyperlink" Target="https://www.thorntonco.gov/business-development/city-development/current-planning-zoning/zoning-districts-uses-and-regulations" TargetMode="External" Id="rId138" /><Relationship Type="http://schemas.openxmlformats.org/officeDocument/2006/relationships/hyperlink" Target="https://cityofthornton.maps.arcgis.com/apps/webappviewer/index.html?id=643abe02e8b8446586b6eb6d8ed43f84" TargetMode="External" Id="rId139" /><Relationship Type="http://schemas.openxmlformats.org/officeDocument/2006/relationships/hyperlink" Target="https://data-cityofthornton.opendata.arcgis.com/" TargetMode="External" Id="rId140" /><Relationship Type="http://schemas.openxmlformats.org/officeDocument/2006/relationships/hyperlink" Target="https://cityviewportal.thorntonco.gov/Planning/Locator" TargetMode="External" Id="rId141" /><Relationship Type="http://schemas.openxmlformats.org/officeDocument/2006/relationships/hyperlink" Target="https://www.thorntonco.gov/business-development/active-development" TargetMode="External" Id="rId142" /><Relationship Type="http://schemas.openxmlformats.org/officeDocument/2006/relationships/hyperlink" Target="https://www.thorntonco.gov/business-development/city-development/current-planning-zoning/development-applications" TargetMode="External" Id="rId143" /><Relationship Type="http://schemas.openxmlformats.org/officeDocument/2006/relationships/hyperlink" Target="https://www.thorntonco.gov/business-development/city-development/development-engineering-construction" TargetMode="External" Id="rId144" /><Relationship Type="http://schemas.openxmlformats.org/officeDocument/2006/relationships/hyperlink" Target="https://www.thorntonco.gov/business-development/city-development/building-permits-inspections" TargetMode="External" Id="rId145" /><Relationship Type="http://schemas.openxmlformats.org/officeDocument/2006/relationships/hyperlink" Target="https://cityviewportal.thorntonco.gov/Permit/LocatorSubmittals" TargetMode="External" Id="rId146" /><Relationship Type="http://schemas.openxmlformats.org/officeDocument/2006/relationships/hyperlink" Target="https://permits.thorntonco.gov/" TargetMode="External" Id="rId147" /><Relationship Type="http://schemas.openxmlformats.org/officeDocument/2006/relationships/hyperlink" Target="https://www.thorntonco.gov/business-development/city-development/long-range-planning" TargetMode="External" Id="rId148" /><Relationship Type="http://schemas.openxmlformats.org/officeDocument/2006/relationships/hyperlink" Target="https://www.thorntonco.gov/business-development/city-development/long-range-planning/plans/thornton-comprehensive-plan" TargetMode="External" Id="rId149" /><Relationship Type="http://schemas.openxmlformats.org/officeDocument/2006/relationships/hyperlink" Target="https://www.thorntonco.gov/business-development/city-development/long-range-planning/current-projects" TargetMode="External" Id="rId150" /><Relationship Type="http://schemas.openxmlformats.org/officeDocument/2006/relationships/hyperlink" Target="https://www.thorntonco.gov/government/boards-commissions/planning-commission-board-adjustment" TargetMode="External" Id="rId151" /><Relationship Type="http://schemas.openxmlformats.org/officeDocument/2006/relationships/hyperlink" Target="https://www.thorntonco.gov/government/mayor-council/upcoming-meetings" TargetMode="External" Id="rId152" /><Relationship Type="http://schemas.openxmlformats.org/officeDocument/2006/relationships/hyperlink" Target="https://www.thorntonco.gov/government/public-notices" TargetMode="External" Id="rId153" /><Relationship Type="http://schemas.openxmlformats.org/officeDocument/2006/relationships/hyperlink" Target="https://www.thorntonco.gov/news" TargetMode="External" Id="rId154" /><Relationship Type="http://schemas.openxmlformats.org/officeDocument/2006/relationships/hyperlink" Target="https://talerts.thorntonco.gov/" TargetMode="External" Id="rId155" /><Relationship Type="http://schemas.openxmlformats.org/officeDocument/2006/relationships/hyperlink" Target="https://www.westminsterco.gov/" TargetMode="External" Id="rId156" /><Relationship Type="http://schemas.openxmlformats.org/officeDocument/2006/relationships/hyperlink" Target="https://www.westminsterco.gov/471/Maps" TargetMode="External" Id="rId157" /><Relationship Type="http://schemas.openxmlformats.org/officeDocument/2006/relationships/hyperlink" Target="https://www.westminsterco.gov/727/Zoning" TargetMode="External" Id="rId158" /><Relationship Type="http://schemas.openxmlformats.org/officeDocument/2006/relationships/hyperlink" Target="https://www.westminsterco.gov/707/Planning" TargetMode="External" Id="rId159" /><Relationship Type="http://schemas.openxmlformats.org/officeDocument/2006/relationships/hyperlink" Target="https://www.westminsterco.gov/703/Develop-in-Westminster" TargetMode="External" Id="rId160" /><Relationship Type="http://schemas.openxmlformats.org/officeDocument/2006/relationships/hyperlink" Target="https://www.westminsterco.gov/855/Current-Development-Project-Map" TargetMode="External" Id="rId161" /><Relationship Type="http://schemas.openxmlformats.org/officeDocument/2006/relationships/hyperlink" Target="https://www.westminsterco.gov/1060/Redevelopment" TargetMode="External" Id="rId162" /><Relationship Type="http://schemas.openxmlformats.org/officeDocument/2006/relationships/hyperlink" Target="https://www.westminsterco.gov/833/Permits-Licenses" TargetMode="External" Id="rId163" /><Relationship Type="http://schemas.openxmlformats.org/officeDocument/2006/relationships/hyperlink" Target="https://www.westminsterco.gov/617/Apply-for-a-Permit-Project" TargetMode="External" Id="rId164" /><Relationship Type="http://schemas.openxmlformats.org/officeDocument/2006/relationships/hyperlink" Target="https://www.westminsterco.gov/DocumentCenter/View/5605/Comprehensive-Plan_November2025-LR" TargetMode="External" Id="rId165" /><Relationship Type="http://schemas.openxmlformats.org/officeDocument/2006/relationships/hyperlink" Target="https://www.westminsterco.gov/747/City-Standards-Specifications" TargetMode="External" Id="rId166" /><Relationship Type="http://schemas.openxmlformats.org/officeDocument/2006/relationships/hyperlink" Target="https://www.westminsterco.gov/639/Code-Enforcement" TargetMode="External" Id="rId167" /><Relationship Type="http://schemas.openxmlformats.org/officeDocument/2006/relationships/hyperlink" Target="https://www.westminsterco.gov/614/Planning-Commission" TargetMode="External" Id="rId168" /><Relationship Type="http://schemas.openxmlformats.org/officeDocument/2006/relationships/hyperlink" Target="https://www.westminsterco.gov/AgendaCenter" TargetMode="External" Id="rId169" /><Relationship Type="http://schemas.openxmlformats.org/officeDocument/2006/relationships/hyperlink" Target="https://www.westminsterco.gov/1098/Public-Notices" TargetMode="External" Id="rId170" /><Relationship Type="http://schemas.openxmlformats.org/officeDocument/2006/relationships/hyperlink" Target="https://www.westminsterco.gov/m/NewsFlash" TargetMode="External" Id="rId171" /><Relationship Type="http://schemas.openxmlformats.org/officeDocument/2006/relationships/hyperlink" Target="https://www.westminsterco.gov/565/Public-Records-Request" TargetMode="External" Id="rId172" /></Relationships>
</file>

<file path=xl/worksheets/_rels/sheet20.xml.rels><Relationships xmlns="http://schemas.openxmlformats.org/package/2006/relationships"><Relationship Type="http://schemas.openxmlformats.org/officeDocument/2006/relationships/hyperlink" Target="https://adamscountyco.gov/about-adams-county/public-meetings/" TargetMode="External" Id="rId1" /><Relationship Type="http://schemas.openxmlformats.org/officeDocument/2006/relationships/hyperlink" Target="https://adamscountyco.gov/our-county/community-economic-development/planning-development/current-land-use-cases/" TargetMode="External" Id="rId2" /><Relationship Type="http://schemas.openxmlformats.org/officeDocument/2006/relationships/hyperlink" Target="https://adamscountyco.gov/our-county/elected-officials/board-of-county-commissioners/current-meeting-agendas-archives/" TargetMode="External" Id="rId3" /><Relationship Type="http://schemas.openxmlformats.org/officeDocument/2006/relationships/hyperlink" Target="https://adamscountyco.gov/about-adams-county/public-meetings/archived-hearing-agendas-audio/" TargetMode="External" Id="rId4" /><Relationship Type="http://schemas.openxmlformats.org/officeDocument/2006/relationships/hyperlink" Target="https://adamscountyco.gov/about-adams-county/news/" TargetMode="External" Id="rId5" /><Relationship Type="http://schemas.openxmlformats.org/officeDocument/2006/relationships/hyperlink" Target="https://adamscountyco.gov/our-county/community-economic-development/planning-development/news-updates/" TargetMode="External" Id="rId6" /><Relationship Type="http://schemas.openxmlformats.org/officeDocument/2006/relationships/hyperlink" Target="https://adamscountyco.gov/our-county/elected-officials/clerk-recorder/recording/public-document-postings/" TargetMode="External" Id="rId7" /><Relationship Type="http://schemas.openxmlformats.org/officeDocument/2006/relationships/hyperlink" Target="https://www.arvadaco.gov/AgendaCenter" TargetMode="External" Id="rId8" /><Relationship Type="http://schemas.openxmlformats.org/officeDocument/2006/relationships/hyperlink" Target="https://www.arvadaco.gov/245/Meetings-and-Other-Legal-Notices" TargetMode="External" Id="rId9" /><Relationship Type="http://schemas.openxmlformats.org/officeDocument/2006/relationships/hyperlink" Target="https://www.arvadaco.gov/908/News-Releases" TargetMode="External" Id="rId10" /><Relationship Type="http://schemas.openxmlformats.org/officeDocument/2006/relationships/hyperlink" Target="https://www.auroragov.org/city_hall/boards___commissions/planning___zoning_commission" TargetMode="External" Id="rId11" /><Relationship Type="http://schemas.openxmlformats.org/officeDocument/2006/relationships/hyperlink" Target="https://www.auroragov.org/city_hall/mayor___city_council/council_meetings" TargetMode="External" Id="rId12" /><Relationship Type="http://schemas.openxmlformats.org/officeDocument/2006/relationships/hyperlink" Target="https://www.auroragov.org/city_hall/public_records/legal_notices/public_hearings" TargetMode="External" Id="rId13" /><Relationship Type="http://schemas.openxmlformats.org/officeDocument/2006/relationships/hyperlink" Target="https://www.auroragov.org/news/whats_new" TargetMode="External" Id="rId14" /><Relationship Type="http://schemas.openxmlformats.org/officeDocument/2006/relationships/hyperlink" Target="https://www.bennettco.gov/meetings/recent" TargetMode="External" Id="rId15" /><Relationship Type="http://schemas.openxmlformats.org/officeDocument/2006/relationships/hyperlink" Target="https://www.bennettco.gov/planning-and-zoning-commission" TargetMode="External" Id="rId16" /><Relationship Type="http://schemas.openxmlformats.org/officeDocument/2006/relationships/hyperlink" Target="https://www.bennettco.gov/news" TargetMode="External" Id="rId17" /><Relationship Type="http://schemas.openxmlformats.org/officeDocument/2006/relationships/hyperlink" Target="https://www.brightonco.gov/agendacenter" TargetMode="External" Id="rId18" /><Relationship Type="http://schemas.openxmlformats.org/officeDocument/2006/relationships/hyperlink" Target="https://www.brightonco.gov/453/Legal-Notices" TargetMode="External" Id="rId19" /><Relationship Type="http://schemas.openxmlformats.org/officeDocument/2006/relationships/hyperlink" Target="https://www.brightonco.gov/175/News" TargetMode="External" Id="rId20" /><Relationship Type="http://schemas.openxmlformats.org/officeDocument/2006/relationships/hyperlink" Target="https://www.brightonco.gov/notifyme" TargetMode="External" Id="rId21" /><Relationship Type="http://schemas.openxmlformats.org/officeDocument/2006/relationships/hyperlink" Target="https://www.c3gov.com/Site-Footer/Footer-Widgets/Quick-Links/Meeting-Agendas-and-Schedules" TargetMode="External" Id="rId22" /><Relationship Type="http://schemas.openxmlformats.org/officeDocument/2006/relationships/hyperlink" Target="https://www.c3gov.com/Government/Departments-Divisions/City-Clerks-Office/Legal-Notices-Ordinances" TargetMode="External" Id="rId23" /><Relationship Type="http://schemas.openxmlformats.org/officeDocument/2006/relationships/hyperlink" Target="https://www.c3gov.com/Government/Media-News/News-Announcements" TargetMode="External" Id="rId24" /><Relationship Type="http://schemas.openxmlformats.org/officeDocument/2006/relationships/hyperlink" Target="https://www.fedheights.org/index.asp?SEC=%7BE66D34DF-8290-4807-83DA-3AF56D110C00%7D" TargetMode="External" Id="rId25" /><Relationship Type="http://schemas.openxmlformats.org/officeDocument/2006/relationships/hyperlink" Target="https://www.fedheights.org/index.asp?SEC=407F7286-34E9-495F-B5F7-88E905D7C9A5" TargetMode="External" Id="rId26" /><Relationship Type="http://schemas.openxmlformats.org/officeDocument/2006/relationships/hyperlink" Target="https://www.fedheights.org/index.asp?SEC=%7B2E7DCCA1-1FEF-4EA7-8AE7-6C3F92D19EF3%7D&amp;persistdesign=none" TargetMode="External" Id="rId27" /><Relationship Type="http://schemas.openxmlformats.org/officeDocument/2006/relationships/hyperlink" Target="https://www.lochbuie.org/meetings" TargetMode="External" Id="rId28" /><Relationship Type="http://schemas.openxmlformats.org/officeDocument/2006/relationships/hyperlink" Target="https://www.lochbuie.org/publicnotice" TargetMode="External" Id="rId29" /><Relationship Type="http://schemas.openxmlformats.org/officeDocument/2006/relationships/hyperlink" Target="https://www.lochbuie.org/news" TargetMode="External" Id="rId30" /><Relationship Type="http://schemas.openxmlformats.org/officeDocument/2006/relationships/hyperlink" Target="https://webdocs.northglenn.org/" TargetMode="External" Id="rId31" /><Relationship Type="http://schemas.openxmlformats.org/officeDocument/2006/relationships/hyperlink" Target="https://www.northglenn.org/newslist.php" TargetMode="External" Id="rId32" /><Relationship Type="http://schemas.openxmlformats.org/officeDocument/2006/relationships/hyperlink" Target="https://www.northglenn.org/community/communications/textmygov.php" TargetMode="External" Id="rId33" /><Relationship Type="http://schemas.openxmlformats.org/officeDocument/2006/relationships/hyperlink" Target="https://www.thorntonco.gov/government/mayor-council/upcoming-meetings" TargetMode="External" Id="rId34" /><Relationship Type="http://schemas.openxmlformats.org/officeDocument/2006/relationships/hyperlink" Target="https://www.thorntonco.gov/government/public-notices" TargetMode="External" Id="rId35" /><Relationship Type="http://schemas.openxmlformats.org/officeDocument/2006/relationships/hyperlink" Target="https://www.thorntonco.gov/news" TargetMode="External" Id="rId36" /><Relationship Type="http://schemas.openxmlformats.org/officeDocument/2006/relationships/hyperlink" Target="https://talerts.thorntonco.gov/" TargetMode="External" Id="rId37" /><Relationship Type="http://schemas.openxmlformats.org/officeDocument/2006/relationships/hyperlink" Target="https://www.westminsterco.gov/AgendaCenter" TargetMode="External" Id="rId38" /><Relationship Type="http://schemas.openxmlformats.org/officeDocument/2006/relationships/hyperlink" Target="https://www.westminsterco.gov/1098/Public-Notices" TargetMode="External" Id="rId39" /><Relationship Type="http://schemas.openxmlformats.org/officeDocument/2006/relationships/hyperlink" Target="https://www.westminsterco.gov/m/NewsFlash" TargetMode="External" Id="rId40" /><Relationship Type="http://schemas.openxmlformats.org/officeDocument/2006/relationships/hyperlink" Target="https://sentinelcolorado.com/" TargetMode="External" Id="rId41" /><Relationship Type="http://schemas.openxmlformats.org/officeDocument/2006/relationships/hyperlink" Target="https://i-70scout.com/blog/" TargetMode="External" Id="rId42" /><Relationship Type="http://schemas.openxmlformats.org/officeDocument/2006/relationships/hyperlink" Target="https://arvadapress.presspatron.com/" TargetMode="External" Id="rId43" /><Relationship Type="http://schemas.openxmlformats.org/officeDocument/2006/relationships/hyperlink" Target="https://local.coloradocommunitymedia.com/" TargetMode="External" Id="rId44" /><Relationship Type="http://schemas.openxmlformats.org/officeDocument/2006/relationships/hyperlink" Target="https://westminster-window-colorado-trust.beehiiv.com/" TargetMode="External" Id="rId45" /></Relationships>
</file>

<file path=xl/worksheets/_rels/sheet21.xml.rels><Relationships xmlns="http://schemas.openxmlformats.org/package/2006/relationships"><Relationship Type="http://schemas.openxmlformats.org/officeDocument/2006/relationships/hyperlink" Target="https://co.colorado.gov/search-business-records" TargetMode="External" Id="rId1" /><Relationship Type="http://schemas.openxmlformats.org/officeDocument/2006/relationships/hyperlink" Target="https://www.sos.state.co.us/ucc/pages/home.xhtml" TargetMode="External" Id="rId2" /><Relationship Type="http://schemas.openxmlformats.org/officeDocument/2006/relationships/hyperlink" Target="https://gis.dola.colorado.gov/CO_SpecialDistrict/" TargetMode="External" Id="rId3" /><Relationship Type="http://schemas.openxmlformats.org/officeDocument/2006/relationships/hyperlink" Target="https://dola.colorado.gov/dlg_lgis_ui_pu/" TargetMode="External" Id="rId4" /><Relationship Type="http://schemas.openxmlformats.org/officeDocument/2006/relationships/hyperlink" Target="https://dola.colorado.gov/dlg_lgis_ui_pu/publicLGTaxEntities.jsf" TargetMode="External" Id="rId5" /><Relationship Type="http://schemas.openxmlformats.org/officeDocument/2006/relationships/hyperlink" Target="https://gis.dola.colorado.gov/CO_Muni/" TargetMode="External" Id="rId6" /><Relationship Type="http://schemas.openxmlformats.org/officeDocument/2006/relationships/hyperlink" Target="https://demography.dola.colorado.gov/assets/html/gis_data.html" TargetMode="External" Id="rId7" /><Relationship Type="http://schemas.openxmlformats.org/officeDocument/2006/relationships/hyperlink" Target="https://demography.dola.colorado.gov/assets/lookups/dashboard_lookup.html" TargetMode="External" Id="rId8" /><Relationship Type="http://schemas.openxmlformats.org/officeDocument/2006/relationships/hyperlink" Target="https://geodata.colorado.gov/" TargetMode="External" Id="rId9" /><Relationship Type="http://schemas.openxmlformats.org/officeDocument/2006/relationships/hyperlink" Target="https://gis.colorado.gov/viewer/?page=Home" TargetMode="External" Id="rId10" /><Relationship Type="http://schemas.openxmlformats.org/officeDocument/2006/relationships/hyperlink" Target="https://drcog.org/data-maps-modeling" TargetMode="External" Id="rId11" /><Relationship Type="http://schemas.openxmlformats.org/officeDocument/2006/relationships/hyperlink" Target="https://dwr.state.co.us/Tools" TargetMode="External" Id="rId12" /><Relationship Type="http://schemas.openxmlformats.org/officeDocument/2006/relationships/hyperlink" Target="https://dwr.state.co.us/Tools/WellPermits" TargetMode="External" Id="rId13" /><Relationship Type="http://schemas.openxmlformats.org/officeDocument/2006/relationships/hyperlink" Target="https://ecmc.state.co.us/maps.html" TargetMode="External" Id="rId14" /><Relationship Type="http://schemas.openxmlformats.org/officeDocument/2006/relationships/hyperlink" Target="https://ecmc.state.co.us/data.html" TargetMode="External" Id="rId15" /><Relationship Type="http://schemas.openxmlformats.org/officeDocument/2006/relationships/hyperlink" Target="https://cdphe.colorado.gov/maps-and-gis-for-health-and-environment" TargetMode="External" Id="rId16" /><Relationship Type="http://schemas.openxmlformats.org/officeDocument/2006/relationships/hyperlink" Target="https://cdphe.colorado.gov/hm/gis-data" TargetMode="External" Id="rId17" /><Relationship Type="http://schemas.openxmlformats.org/officeDocument/2006/relationships/hyperlink" Target="https://cdphe.colorado.gov/hm/if-site-contaminated" TargetMode="External" Id="rId18" /><Relationship Type="http://schemas.openxmlformats.org/officeDocument/2006/relationships/hyperlink" Target="https://cdphe.colorado.gov/clean-water-gis-maps" TargetMode="External" Id="rId19" /><Relationship Type="http://schemas.openxmlformats.org/officeDocument/2006/relationships/hyperlink" Target="https://cdphe.colorado.gov/pfas/mapping" TargetMode="External" Id="rId20" /><Relationship Type="http://schemas.openxmlformats.org/officeDocument/2006/relationships/hyperlink" Target="https://www.fema.gov/flood-maps" TargetMode="External" Id="rId21" /><Relationship Type="http://schemas.openxmlformats.org/officeDocument/2006/relationships/hyperlink" Target="https://msc.fema.gov/portal/search" TargetMode="External" Id="rId22" /><Relationship Type="http://schemas.openxmlformats.org/officeDocument/2006/relationships/hyperlink" Target="https://www.fema.gov/flood-maps/national-flood-hazard-layer" TargetMode="External" Id="rId23" /><Relationship Type="http://schemas.openxmlformats.org/officeDocument/2006/relationships/hyperlink" Target="https://www.epa.gov/cleanups/cleanups-my-community" TargetMode="External" Id="rId24" /><Relationship Type="http://schemas.openxmlformats.org/officeDocument/2006/relationships/hyperlink" Target="https://map22.epa.gov/cimc/" TargetMode="External" Id="rId25" /><Relationship Type="http://schemas.openxmlformats.org/officeDocument/2006/relationships/hyperlink" Target="https://www.epa.gov/superfund/search-superfund-sites-where-you-live" TargetMode="External" Id="rId26" /><Relationship Type="http://schemas.openxmlformats.org/officeDocument/2006/relationships/hyperlink" Target="https://websoilsurvey.nrcs.usda.gov/" TargetMode="External" Id="rId27" /><Relationship Type="http://schemas.openxmlformats.org/officeDocument/2006/relationships/hyperlink" Target="https://www.fws.gov/program/national-wetlands-inventory/wetlands-mapper" TargetMode="External" Id="rId28" /><Relationship Type="http://schemas.openxmlformats.org/officeDocument/2006/relationships/hyperlink" Target="https://dtdapps.codot.gov/otis" TargetMode="External" Id="rId29" /><Relationship Type="http://schemas.openxmlformats.org/officeDocument/2006/relationships/hyperlink" Target="https://dtdapps.codot.gov/otis/HighwayData" TargetMode="External" Id="rId30" /><Relationship Type="http://schemas.openxmlformats.org/officeDocument/2006/relationships/hyperlink" Target="https://dtdapps.codot.gov/otis/TrafficData" TargetMode="External" Id="rId31" /><Relationship Type="http://schemas.openxmlformats.org/officeDocument/2006/relationships/hyperlink" Target="https://www.historycolorado.org/compass-information" TargetMode="External" Id="rId32" /><Relationship Type="http://schemas.openxmlformats.org/officeDocument/2006/relationships/hyperlink" Target="https://www.historycolorado.org/national-state-register-listed-properties" TargetMode="External" Id="rId33" /><Relationship Type="http://schemas.openxmlformats.org/officeDocument/2006/relationships/hyperlink" Target="https://dre.colorado.gov/hoa-center" TargetMode="External" Id="rId34" /><Relationship Type="http://schemas.openxmlformats.org/officeDocument/2006/relationships/hyperlink" Target="https://dre.colorado.gov/hoa-registration-services" TargetMode="External" Id="rId35" /><Relationship Type="http://schemas.openxmlformats.org/officeDocument/2006/relationships/hyperlink" Target="https://co.colorado.gov/verify-status-professionals-license" TargetMode="External" Id="rId36" /><Relationship Type="http://schemas.openxmlformats.org/officeDocument/2006/relationships/hyperlink" Target="https://secure.slb.colorado.gov/" TargetMode="External" Id="rId37" /><Relationship Type="http://schemas.openxmlformats.org/officeDocument/2006/relationships/hyperlink" Target="https://www.blm.gov/maps/frequently-requested/colorado/gis-datasets" TargetMode="External" Id="rId38" /></Relationships>
</file>

<file path=xl/worksheets/_rels/sheet22.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dola.colorado.gov/CO_Muni/" TargetMode="External" Id="rId2" /><Relationship Type="http://schemas.openxmlformats.org/officeDocument/2006/relationships/hyperlink" Target="https://gisapp.adcogov.org/quicksearch/"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recording.adamscountyco.gov/landmarkweb/" TargetMode="External" Id="rId5" /><Relationship Type="http://schemas.openxmlformats.org/officeDocument/2006/relationships/hyperlink" Target="https://adamscountyco.gov/service/find-public-records-recorded-documents/" TargetMode="External" Id="rId6" /><Relationship Type="http://schemas.openxmlformats.org/officeDocument/2006/relationships/hyperlink" Target="https://adcotax.com/" TargetMode="External" Id="rId7" /><Relationship Type="http://schemas.openxmlformats.org/officeDocument/2006/relationships/hyperlink" Target="https://adamscountyco.gov/our-county/elected-officials/treasurer-public-trustee/treasurer-division/tax-lien-sale/" TargetMode="External" Id="rId8" /><Relationship Type="http://schemas.openxmlformats.org/officeDocument/2006/relationships/hyperlink" Target="https://apps.adcogov.org/PTForeclosureSearch/?ds=1" TargetMode="External" Id="rId9" /><Relationship Type="http://schemas.openxmlformats.org/officeDocument/2006/relationships/hyperlink" Target="https://adamscountyco.gov/our-county/elected-officials/clerk-recorder/recording/land-survey-plats/" TargetMode="External" Id="rId10" /><Relationship Type="http://schemas.openxmlformats.org/officeDocument/2006/relationships/hyperlink" Target="https://gis.dola.colorado.gov/CO_SpecialDistrict/" TargetMode="External" Id="rId11" /><Relationship Type="http://schemas.openxmlformats.org/officeDocument/2006/relationships/hyperlink" Target="https://dwr.state.co.us/Tools" TargetMode="External" Id="rId12" /><Relationship Type="http://schemas.openxmlformats.org/officeDocument/2006/relationships/hyperlink" Target="https://msc.fema.gov/portal/search" TargetMode="External" Id="rId13" /><Relationship Type="http://schemas.openxmlformats.org/officeDocument/2006/relationships/hyperlink" Target="https://websoilsurvey.nrcs.usda.gov/" TargetMode="External" Id="rId14" /><Relationship Type="http://schemas.openxmlformats.org/officeDocument/2006/relationships/hyperlink" Target="https://www.fws.gov/program/national-wetlands-inventory/wetlands-mapper" TargetMode="External" Id="rId15" /><Relationship Type="http://schemas.openxmlformats.org/officeDocument/2006/relationships/hyperlink" Target="https://cdphe.colorado.gov/hm/gis-data" TargetMode="External" Id="rId16" /><Relationship Type="http://schemas.openxmlformats.org/officeDocument/2006/relationships/hyperlink" Target="https://ecmc.state.co.us/maps.html" TargetMode="External" Id="rId17" /><Relationship Type="http://schemas.openxmlformats.org/officeDocument/2006/relationships/hyperlink" Target="https://dtdapps.codot.gov/otis" TargetMode="External" Id="rId18" /><Relationship Type="http://schemas.openxmlformats.org/officeDocument/2006/relationships/hyperlink" Target="https://www.historycolorado.org/national-state-register-listed-properties" TargetMode="External" Id="rId19" /><Relationship Type="http://schemas.openxmlformats.org/officeDocument/2006/relationships/hyperlink" Target="https://dre.colorado.gov/hoa-center" TargetMode="External" Id="rId20" /><Relationship Type="http://schemas.openxmlformats.org/officeDocument/2006/relationships/hyperlink" Target="https://co.colorado.gov/search-business-records" TargetMode="External" Id="rId21" /></Relationships>
</file>

<file path=xl/worksheets/sheet1.xml><?xml version="1.0" encoding="utf-8"?>
<worksheet xmlns="http://schemas.openxmlformats.org/spreadsheetml/2006/main">
  <sheetPr>
    <tabColor rgb="0017324D"/>
    <outlinePr summaryBelow="1" summaryRight="1"/>
    <pageSetUpPr/>
  </sheetPr>
  <dimension ref="A1:H35"/>
  <sheetViews>
    <sheetView showGridLines="0" workbookViewId="0">
      <selection activeCell="A1" sqref="A1"/>
    </sheetView>
  </sheetViews>
  <sheetFormatPr baseColWidth="8" defaultRowHeight="15"/>
  <cols>
    <col width="2" customWidth="1" min="1" max="1"/>
    <col width="32" customWidth="1" min="2" max="2"/>
    <col width="19" customWidth="1" min="3" max="3"/>
    <col width="24" customWidth="1" min="4" max="4"/>
    <col width="6" customWidth="1" min="5" max="5"/>
    <col width="12" customWidth="1" min="6" max="6"/>
    <col hidden="1" width="13" customWidth="1" min="8" max="8"/>
  </cols>
  <sheetData>
    <row r="1" ht="22" customHeight="1">
      <c r="B1" s="964" t="inlineStr">
        <is>
          <t>SUBJECT PROPERTY — MASTER INPUT</t>
        </is>
      </c>
      <c r="C1" s="964" t="n"/>
      <c r="D1" s="964" t="n"/>
      <c r="E1" s="964" t="n"/>
      <c r="F1" s="964" t="n"/>
    </row>
    <row r="2" ht="28" customHeight="1">
      <c r="B2" s="873" t="inlineStr">
        <is>
          <t>Enter the subject property below. These fields feed the WO tab, the Cost Approach occupancy/quality lookup, and the comp-matching filters on Sales and Expense Database automatically.</t>
        </is>
      </c>
    </row>
    <row r="3"/>
    <row r="4">
      <c r="B4" s="874" t="inlineStr">
        <is>
          <t>Property Address</t>
        </is>
      </c>
      <c r="C4" s="965" t="n"/>
      <c r="D4" s="874" t="inlineStr">
        <is>
          <t>City</t>
        </is>
      </c>
      <c r="E4" s="966" t="inlineStr"/>
    </row>
    <row r="5">
      <c r="B5" s="874" t="inlineStr">
        <is>
          <t>OCC Code</t>
        </is>
      </c>
      <c r="C5" s="965" t="n"/>
      <c r="D5" s="874" t="inlineStr">
        <is>
          <t>Code (parsed):</t>
        </is>
      </c>
      <c r="E5" s="967">
        <f>IFERROR(VALUE(LEFT($C$5,FIND(" - ",$C$5)-1)),"")</f>
        <v/>
      </c>
      <c r="F5" s="876" t="n"/>
    </row>
    <row r="6">
      <c r="B6" s="874" t="inlineStr">
        <is>
          <t>Building Size (SF)</t>
        </is>
      </c>
      <c r="C6" s="968" t="n"/>
    </row>
    <row r="7">
      <c r="B7" s="874" t="inlineStr">
        <is>
          <t>Site / Land Size (SF)</t>
        </is>
      </c>
      <c r="C7" s="968" t="n"/>
    </row>
    <row r="8">
      <c r="B8" s="874" t="inlineStr">
        <is>
          <t>Zoning</t>
        </is>
      </c>
      <c r="C8" s="965" t="n"/>
    </row>
    <row r="9">
      <c r="B9" s="874" t="inlineStr">
        <is>
          <t>Condition</t>
        </is>
      </c>
      <c r="C9" s="965" t="n"/>
    </row>
    <row r="10">
      <c r="B10" s="874" t="inlineStr">
        <is>
          <t>Quality</t>
        </is>
      </c>
      <c r="C10" s="965" t="n"/>
    </row>
    <row r="11">
      <c r="B11" s="874" t="inlineStr">
        <is>
          <t>Year Built (YOC)</t>
        </is>
      </c>
      <c r="C11" s="969" t="n"/>
      <c r="D11" s="874" t="inlineStr">
        <is>
          <t>Actual Age (yrs, auto):</t>
        </is>
      </c>
      <c r="E11" s="970">
        <f>IF($C$11="","",Year-$C$11)</f>
        <v/>
      </c>
    </row>
    <row r="12"/>
    <row r="13">
      <c r="B13" s="874" t="inlineStr">
        <is>
          <t>Size Match Tolerance (+/-)</t>
        </is>
      </c>
      <c r="C13" s="971" t="n">
        <v>0.25</v>
      </c>
    </row>
    <row r="14"/>
    <row r="15"/>
    <row r="16" ht="20" customHeight="1">
      <c r="B16" s="964" t="inlineStr">
        <is>
          <t>AUTOMATED COMP MATCHING</t>
        </is>
      </c>
      <c r="C16" s="964" t="n"/>
      <c r="D16" s="964" t="n"/>
      <c r="E16" s="964" t="n"/>
      <c r="F16" s="964" t="n"/>
    </row>
    <row r="17">
      <c r="B17" s="874" t="inlineStr">
        <is>
          <t>Matching Sales Comps found:</t>
        </is>
      </c>
      <c r="C17" s="970">
        <f>COUNT(Sales!AI2:AI941)</f>
        <v/>
      </c>
    </row>
    <row r="18" ht="26" customHeight="1">
      <c r="B18" s="882" t="inlineStr">
        <is>
          <t>→ The closest matches now auto-populate WO, BAA Market, BOCC, and Appeal directly (Best Match #1 = closest by size) -- nothing to filter or pick by hand. This count is just for reference.</t>
        </is>
      </c>
    </row>
    <row r="19"/>
    <row r="20">
      <c r="B20" s="874" t="inlineStr">
        <is>
          <t>Matching Expense Comps found:</t>
        </is>
      </c>
      <c r="C20" s="970">
        <f>COUNT('Expense Database'!AN4:AN197)</f>
        <v/>
      </c>
    </row>
    <row r="21" ht="26" customHeight="1">
      <c r="B21" s="882" t="inlineStr">
        <is>
          <t>→ The 5 closest matches auto-populate the Top Expense Comps table below -- nothing to filter by hand.</t>
        </is>
      </c>
    </row>
    <row r="22"/>
    <row r="23">
      <c r="B23" s="874" t="inlineStr">
        <is>
          <t>Matching Rent Comps (Income tab):</t>
        </is>
      </c>
      <c r="C23" s="883" t="inlineStr">
        <is>
          <t>Not yet automated</t>
        </is>
      </c>
    </row>
    <row r="24" ht="26" customHeight="1">
      <c r="B24" s="882" t="inlineStr">
        <is>
          <t>The Income tab has no OCC code column, so it can't be matched the same way yet -- this is the open question flagged earlier (Income!Cls/Model use a different, undocumented coding scheme). Say the word when you want to tackle that.</t>
        </is>
      </c>
    </row>
    <row r="25"/>
    <row r="26">
      <c r="B26" s="874" t="inlineStr">
        <is>
          <t>Land Comps:</t>
        </is>
      </c>
      <c r="C26" s="883" t="inlineStr">
        <is>
          <t>Pending</t>
        </is>
      </c>
    </row>
    <row r="27" ht="15" customHeight="1">
      <c r="B27" s="884" t="inlineStr">
        <is>
          <t>No land-sale comp database exists in this workbook yet -- you mentioned you'll build/provide one later.</t>
        </is>
      </c>
    </row>
    <row r="28"/>
    <row r="29">
      <c r="B29" s="972" t="inlineStr">
        <is>
          <t>Top Expense Comps (auto, best match first)</t>
        </is>
      </c>
      <c r="C29" s="973" t="n"/>
      <c r="D29" s="973" t="n"/>
      <c r="E29" s="973" t="n"/>
      <c r="F29" s="973" t="n"/>
    </row>
    <row r="30">
      <c r="B30" s="974" t="inlineStr">
        <is>
          <t>Address</t>
        </is>
      </c>
      <c r="C30" s="974" t="inlineStr">
        <is>
          <t>City</t>
        </is>
      </c>
      <c r="D30" s="974" t="inlineStr">
        <is>
          <t>Bldg SF</t>
        </is>
      </c>
      <c r="E30" s="974" t="inlineStr">
        <is>
          <t>Year</t>
        </is>
      </c>
      <c r="F30" s="974" t="inlineStr">
        <is>
          <t>NOI ($/SF)</t>
        </is>
      </c>
    </row>
    <row r="31">
      <c r="B31">
        <f>IF($H31="","",IFERROR(INDEX('Expense Database'!D:D,$H31),""))</f>
        <v/>
      </c>
      <c r="C31">
        <f>IF($H31="","",IFERROR(INDEX('Expense Database'!E:E,$H31),""))</f>
        <v/>
      </c>
      <c r="D31">
        <f>IF($H31="","",IFERROR(INDEX('Expense Database'!J:J,$H31),""))</f>
        <v/>
      </c>
      <c r="E31">
        <f>IF($H31="","",IFERROR(INDEX('Expense Database'!K:K,$H31),""))</f>
        <v/>
      </c>
      <c r="F31">
        <f>IF($H31="","",IFERROR(INDEX('PSF Summary'!AK:AK,$H31),""))</f>
        <v/>
      </c>
      <c r="H31">
        <f>IFERROR(MATCH(_xlfn.AGGREGATE(15,6,'Expense Database'!$AO$4:$AO$197,1),'Expense Database'!$AO$4:$AO$197,0)+3,"")</f>
        <v/>
      </c>
    </row>
    <row r="32">
      <c r="B32">
        <f>IF($H32="","",IFERROR(INDEX('Expense Database'!D:D,$H32),""))</f>
        <v/>
      </c>
      <c r="C32">
        <f>IF($H32="","",IFERROR(INDEX('Expense Database'!E:E,$H32),""))</f>
        <v/>
      </c>
      <c r="D32">
        <f>IF($H32="","",IFERROR(INDEX('Expense Database'!J:J,$H32),""))</f>
        <v/>
      </c>
      <c r="E32">
        <f>IF($H32="","",IFERROR(INDEX('Expense Database'!K:K,$H32),""))</f>
        <v/>
      </c>
      <c r="F32">
        <f>IF($H32="","",IFERROR(INDEX('PSF Summary'!AK:AK,$H32),""))</f>
        <v/>
      </c>
      <c r="H32">
        <f>IFERROR(MATCH(_xlfn.AGGREGATE(15,6,'Expense Database'!$AO$4:$AO$197,2),'Expense Database'!$AO$4:$AO$197,0)+3,"")</f>
        <v/>
      </c>
    </row>
    <row r="33">
      <c r="B33">
        <f>IF($H33="","",IFERROR(INDEX('Expense Database'!D:D,$H33),""))</f>
        <v/>
      </c>
      <c r="C33">
        <f>IF($H33="","",IFERROR(INDEX('Expense Database'!E:E,$H33),""))</f>
        <v/>
      </c>
      <c r="D33">
        <f>IF($H33="","",IFERROR(INDEX('Expense Database'!J:J,$H33),""))</f>
        <v/>
      </c>
      <c r="E33">
        <f>IF($H33="","",IFERROR(INDEX('Expense Database'!K:K,$H33),""))</f>
        <v/>
      </c>
      <c r="F33">
        <f>IF($H33="","",IFERROR(INDEX('PSF Summary'!AK:AK,$H33),""))</f>
        <v/>
      </c>
      <c r="H33">
        <f>IFERROR(MATCH(_xlfn.AGGREGATE(15,6,'Expense Database'!$AO$4:$AO$197,3),'Expense Database'!$AO$4:$AO$197,0)+3,"")</f>
        <v/>
      </c>
    </row>
    <row r="34">
      <c r="B34">
        <f>IF($H34="","",IFERROR(INDEX('Expense Database'!D:D,$H34),""))</f>
        <v/>
      </c>
      <c r="C34">
        <f>IF($H34="","",IFERROR(INDEX('Expense Database'!E:E,$H34),""))</f>
        <v/>
      </c>
      <c r="D34">
        <f>IF($H34="","",IFERROR(INDEX('Expense Database'!J:J,$H34),""))</f>
        <v/>
      </c>
      <c r="E34">
        <f>IF($H34="","",IFERROR(INDEX('Expense Database'!K:K,$H34),""))</f>
        <v/>
      </c>
      <c r="F34">
        <f>IF($H34="","",IFERROR(INDEX('PSF Summary'!AK:AK,$H34),""))</f>
        <v/>
      </c>
      <c r="H34">
        <f>IFERROR(MATCH(_xlfn.AGGREGATE(15,6,'Expense Database'!$AO$4:$AO$197,4),'Expense Database'!$AO$4:$AO$197,0)+3,"")</f>
        <v/>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Database'!$AO$4:$AO$197,5),'Expense Database'!$AO$4:$AO$197,0)+3,"")</f>
        <v/>
      </c>
    </row>
  </sheetData>
  <mergeCells count="8">
    <mergeCell ref="B21:F21"/>
    <mergeCell ref="E4:F4"/>
    <mergeCell ref="B24:F24"/>
    <mergeCell ref="B2:F2"/>
    <mergeCell ref="C5"/>
    <mergeCell ref="E5:F5"/>
    <mergeCell ref="B18:F18"/>
    <mergeCell ref="B27:F27"/>
  </mergeCells>
  <dataValidations count="5">
    <dataValidation sqref="C9" showDropDown="0" showInputMessage="0" showErrorMessage="1" allowBlank="1" type="list">
      <formula1>"None,Poor,Fair,Typical,Good,Rehabilitated"</formula1>
    </dataValidation>
    <dataValidation sqref="C10" showDropDown="0" showInputMessage="0" showErrorMessage="1" allowBlank="1" type="list">
      <formula1>"Low Cost,Average,Good,Excellent,Cheap"</formula1>
    </dataValidation>
    <dataValidation sqref="C5" showDropDown="0" showInputMessage="0" showErrorMessage="1" allowBlank="1" error="Pick a valid OCC code from the list." type="list">
      <formula1>OCC_TABLE_LABEL</formula1>
    </dataValidation>
    <dataValidation sqref="E4" showDropDown="0" showInputMessage="0" showErrorMessage="0" allowBlank="1" type="list">
      <formula1>"ARVADA,AURORA,BENNETT,BRIGHTON,COMMERCE CITY,FEDERAL HEIGHTS,NORTHGLENN,STRASBURG,THORNTON,WESTMINSTER,Other / Not Listed"</formula1>
    </dataValidation>
    <dataValidation sqref="C8" showDropDown="0" showInputMessage="0" showErrorMessage="0" allowBlank="1" type="list">
      <formula1>=IF(OR($E$4="",$E$4="Other / Not Listed"),ZONING_TABLE,INDIRECT("ZONES_"&amp;SUBSTITUTE(SUBSTITUTE(UPPER($E$4)," ","_"),"-","_")))</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tabColor rgb="0017324D"/>
    <outlinePr summaryBelow="1" summaryRight="1"/>
    <pageSetUpPr/>
  </sheetPr>
  <dimension ref="A1:K57"/>
  <sheetViews>
    <sheetView showGridLines="0" workbookViewId="0">
      <selection activeCell="A1" sqref="A1"/>
    </sheetView>
  </sheetViews>
  <sheetFormatPr baseColWidth="8" defaultRowHeight="15"/>
  <cols>
    <col width="32" customWidth="1" min="2" max="2"/>
    <col width="9" customWidth="1" min="3" max="3"/>
    <col width="12" customWidth="1" min="4" max="4"/>
    <col width="9" customWidth="1" min="5" max="5"/>
    <col width="10" customWidth="1" min="6" max="6"/>
    <col width="12" customWidth="1" min="7" max="7"/>
    <col width="12" customWidth="1" min="8" max="8"/>
    <col hidden="1" width="14" customWidth="1" min="9" max="9"/>
    <col hidden="1" width="13" customWidth="1" min="11" max="11"/>
  </cols>
  <sheetData>
    <row r="1">
      <c r="B1" s="964" t="inlineStr">
        <is>
          <t>COMP PICKER -- browse all ranked matches, then type the rank # into WO / BAA Market / BOCC / Appeal</t>
        </is>
      </c>
      <c r="C1" s="973" t="n"/>
      <c r="D1" s="973" t="n"/>
      <c r="E1" s="973" t="n"/>
      <c r="F1" s="973" t="n"/>
      <c r="G1" s="973" t="n"/>
      <c r="H1" s="973" t="n"/>
      <c r="I1" s="973" t="n"/>
    </row>
    <row r="2" ht="40" customHeight="1">
      <c r="B2" s="895"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3"/>
    <row r="4">
      <c r="B4" s="964" t="inlineStr">
        <is>
          <t>Top Sales Comps (auto-ranked by size closeness)</t>
        </is>
      </c>
      <c r="C4" s="973" t="n"/>
      <c r="D4" s="973" t="n"/>
      <c r="E4" s="973" t="n"/>
      <c r="F4" s="973" t="n"/>
      <c r="G4" s="973" t="n"/>
      <c r="H4" s="973" t="n"/>
      <c r="I4" s="973" t="n"/>
    </row>
    <row r="5">
      <c r="B5" s="974" t="inlineStr">
        <is>
          <t>Rank</t>
        </is>
      </c>
      <c r="C5" s="974" t="inlineStr">
        <is>
          <t>Address</t>
        </is>
      </c>
      <c r="D5" s="974" t="inlineStr">
        <is>
          <t>Sale Price</t>
        </is>
      </c>
      <c r="E5" s="974" t="inlineStr">
        <is>
          <t>$ / SF</t>
        </is>
      </c>
      <c r="F5" s="974" t="inlineStr">
        <is>
          <t>NRA (SF)</t>
        </is>
      </c>
      <c r="G5" s="974" t="inlineStr">
        <is>
          <t>YOC</t>
        </is>
      </c>
      <c r="H5" s="974" t="inlineStr">
        <is>
          <t>Sale Date</t>
        </is>
      </c>
      <c r="I5" s="974" t="inlineStr">
        <is>
          <t>Parcel #</t>
        </is>
      </c>
    </row>
    <row r="6">
      <c r="B6">
        <f>IF($K6="","",1)</f>
        <v/>
      </c>
      <c r="C6">
        <f>IF($K6="","",IFERROR(INDEX(Sales!D:D,$K6),""))</f>
        <v/>
      </c>
      <c r="D6" s="927">
        <f>IF($K6="","",IFERROR(INDEX(Sales!AA:AA,$K6),""))</f>
        <v/>
      </c>
      <c r="E6" s="928">
        <f>IF(OR($D6="",$F6="",$F6=0),"",$D6/$F6)</f>
        <v/>
      </c>
      <c r="F6" s="929">
        <f>IF($K6="","",IFERROR(INDEX(Sales!L:L,$K6),""))</f>
        <v/>
      </c>
      <c r="G6">
        <f>IF($K6="","",IFERROR(INDEX(Sales!M:M,$K6),""))</f>
        <v/>
      </c>
      <c r="H6" s="930">
        <f>IF($K6="","",IFERROR(INDEX(Sales!I:I,$K6),""))</f>
        <v/>
      </c>
      <c r="I6">
        <f>IF($K6="","",IFERROR(INDEX(Sales!AC:AC,$K6),""))</f>
        <v/>
      </c>
      <c r="K6">
        <f>IFERROR(MATCH(_xlfn.AGGREGATE(15,6,Sales!$AJ$2:$AJ$941,1),Sales!$AJ$2:$AJ$941,0)+1,"")</f>
        <v/>
      </c>
    </row>
    <row r="7">
      <c r="B7">
        <f>IF($K7="","",2)</f>
        <v/>
      </c>
      <c r="C7">
        <f>IF($K7="","",IFERROR(INDEX(Sales!D:D,$K7),""))</f>
        <v/>
      </c>
      <c r="D7" s="927">
        <f>IF($K7="","",IFERROR(INDEX(Sales!AA:AA,$K7),""))</f>
        <v/>
      </c>
      <c r="E7" s="928">
        <f>IF(OR($D7="",$F7="",$F7=0),"",$D7/$F7)</f>
        <v/>
      </c>
      <c r="F7" s="929">
        <f>IF($K7="","",IFERROR(INDEX(Sales!L:L,$K7),""))</f>
        <v/>
      </c>
      <c r="G7">
        <f>IF($K7="","",IFERROR(INDEX(Sales!M:M,$K7),""))</f>
        <v/>
      </c>
      <c r="H7" s="930">
        <f>IF($K7="","",IFERROR(INDEX(Sales!I:I,$K7),""))</f>
        <v/>
      </c>
      <c r="I7">
        <f>IF($K7="","",IFERROR(INDEX(Sales!AC:AC,$K7),""))</f>
        <v/>
      </c>
      <c r="K7">
        <f>IFERROR(MATCH(_xlfn.AGGREGATE(15,6,Sales!$AJ$2:$AJ$941,2),Sales!$AJ$2:$AJ$941,0)+1,"")</f>
        <v/>
      </c>
    </row>
    <row r="8">
      <c r="B8">
        <f>IF($K8="","",3)</f>
        <v/>
      </c>
      <c r="C8">
        <f>IF($K8="","",IFERROR(INDEX(Sales!D:D,$K8),""))</f>
        <v/>
      </c>
      <c r="D8" s="927">
        <f>IF($K8="","",IFERROR(INDEX(Sales!AA:AA,$K8),""))</f>
        <v/>
      </c>
      <c r="E8" s="928">
        <f>IF(OR($D8="",$F8="",$F8=0),"",$D8/$F8)</f>
        <v/>
      </c>
      <c r="F8" s="929">
        <f>IF($K8="","",IFERROR(INDEX(Sales!L:L,$K8),""))</f>
        <v/>
      </c>
      <c r="G8">
        <f>IF($K8="","",IFERROR(INDEX(Sales!M:M,$K8),""))</f>
        <v/>
      </c>
      <c r="H8" s="930">
        <f>IF($K8="","",IFERROR(INDEX(Sales!I:I,$K8),""))</f>
        <v/>
      </c>
      <c r="I8">
        <f>IF($K8="","",IFERROR(INDEX(Sales!AC:AC,$K8),""))</f>
        <v/>
      </c>
      <c r="K8">
        <f>IFERROR(MATCH(_xlfn.AGGREGATE(15,6,Sales!$AJ$2:$AJ$941,3),Sales!$AJ$2:$AJ$941,0)+1,"")</f>
        <v/>
      </c>
    </row>
    <row r="9">
      <c r="B9">
        <f>IF($K9="","",4)</f>
        <v/>
      </c>
      <c r="C9">
        <f>IF($K9="","",IFERROR(INDEX(Sales!D:D,$K9),""))</f>
        <v/>
      </c>
      <c r="D9" s="927">
        <f>IF($K9="","",IFERROR(INDEX(Sales!AA:AA,$K9),""))</f>
        <v/>
      </c>
      <c r="E9" s="928">
        <f>IF(OR($D9="",$F9="",$F9=0),"",$D9/$F9)</f>
        <v/>
      </c>
      <c r="F9" s="929">
        <f>IF($K9="","",IFERROR(INDEX(Sales!L:L,$K9),""))</f>
        <v/>
      </c>
      <c r="G9">
        <f>IF($K9="","",IFERROR(INDEX(Sales!M:M,$K9),""))</f>
        <v/>
      </c>
      <c r="H9" s="930">
        <f>IF($K9="","",IFERROR(INDEX(Sales!I:I,$K9),""))</f>
        <v/>
      </c>
      <c r="I9">
        <f>IF($K9="","",IFERROR(INDEX(Sales!AC:AC,$K9),""))</f>
        <v/>
      </c>
      <c r="K9">
        <f>IFERROR(MATCH(_xlfn.AGGREGATE(15,6,Sales!$AJ$2:$AJ$941,4),Sales!$AJ$2:$AJ$941,0)+1,"")</f>
        <v/>
      </c>
    </row>
    <row r="10">
      <c r="B10">
        <f>IF($K10="","",5)</f>
        <v/>
      </c>
      <c r="C10">
        <f>IF($K10="","",IFERROR(INDEX(Sales!D:D,$K10),""))</f>
        <v/>
      </c>
      <c r="D10" s="927">
        <f>IF($K10="","",IFERROR(INDEX(Sales!AA:AA,$K10),""))</f>
        <v/>
      </c>
      <c r="E10" s="928">
        <f>IF(OR($D10="",$F10="",$F10=0),"",$D10/$F10)</f>
        <v/>
      </c>
      <c r="F10" s="929">
        <f>IF($K10="","",IFERROR(INDEX(Sales!L:L,$K10),""))</f>
        <v/>
      </c>
      <c r="G10">
        <f>IF($K10="","",IFERROR(INDEX(Sales!M:M,$K10),""))</f>
        <v/>
      </c>
      <c r="H10" s="930">
        <f>IF($K10="","",IFERROR(INDEX(Sales!I:I,$K10),""))</f>
        <v/>
      </c>
      <c r="I10">
        <f>IF($K10="","",IFERROR(INDEX(Sales!AC:AC,$K10),""))</f>
        <v/>
      </c>
      <c r="K10">
        <f>IFERROR(MATCH(_xlfn.AGGREGATE(15,6,Sales!$AJ$2:$AJ$941,5),Sales!$AJ$2:$AJ$941,0)+1,"")</f>
        <v/>
      </c>
    </row>
    <row r="11">
      <c r="B11">
        <f>IF($K11="","",6)</f>
        <v/>
      </c>
      <c r="C11">
        <f>IF($K11="","",IFERROR(INDEX(Sales!D:D,$K11),""))</f>
        <v/>
      </c>
      <c r="D11" s="927">
        <f>IF($K11="","",IFERROR(INDEX(Sales!AA:AA,$K11),""))</f>
        <v/>
      </c>
      <c r="E11" s="928">
        <f>IF(OR($D11="",$F11="",$F11=0),"",$D11/$F11)</f>
        <v/>
      </c>
      <c r="F11" s="929">
        <f>IF($K11="","",IFERROR(INDEX(Sales!L:L,$K11),""))</f>
        <v/>
      </c>
      <c r="G11">
        <f>IF($K11="","",IFERROR(INDEX(Sales!M:M,$K11),""))</f>
        <v/>
      </c>
      <c r="H11" s="930">
        <f>IF($K11="","",IFERROR(INDEX(Sales!I:I,$K11),""))</f>
        <v/>
      </c>
      <c r="I11">
        <f>IF($K11="","",IFERROR(INDEX(Sales!AC:AC,$K11),""))</f>
        <v/>
      </c>
      <c r="K11">
        <f>IFERROR(MATCH(_xlfn.AGGREGATE(15,6,Sales!$AJ$2:$AJ$941,6),Sales!$AJ$2:$AJ$941,0)+1,"")</f>
        <v/>
      </c>
    </row>
    <row r="12">
      <c r="B12">
        <f>IF($K12="","",7)</f>
        <v/>
      </c>
      <c r="C12">
        <f>IF($K12="","",IFERROR(INDEX(Sales!D:D,$K12),""))</f>
        <v/>
      </c>
      <c r="D12" s="927">
        <f>IF($K12="","",IFERROR(INDEX(Sales!AA:AA,$K12),""))</f>
        <v/>
      </c>
      <c r="E12" s="928">
        <f>IF(OR($D12="",$F12="",$F12=0),"",$D12/$F12)</f>
        <v/>
      </c>
      <c r="F12" s="929">
        <f>IF($K12="","",IFERROR(INDEX(Sales!L:L,$K12),""))</f>
        <v/>
      </c>
      <c r="G12">
        <f>IF($K12="","",IFERROR(INDEX(Sales!M:M,$K12),""))</f>
        <v/>
      </c>
      <c r="H12" s="930">
        <f>IF($K12="","",IFERROR(INDEX(Sales!I:I,$K12),""))</f>
        <v/>
      </c>
      <c r="I12">
        <f>IF($K12="","",IFERROR(INDEX(Sales!AC:AC,$K12),""))</f>
        <v/>
      </c>
      <c r="K12">
        <f>IFERROR(MATCH(_xlfn.AGGREGATE(15,6,Sales!$AJ$2:$AJ$941,7),Sales!$AJ$2:$AJ$941,0)+1,"")</f>
        <v/>
      </c>
    </row>
    <row r="13">
      <c r="B13">
        <f>IF($K13="","",8)</f>
        <v/>
      </c>
      <c r="C13">
        <f>IF($K13="","",IFERROR(INDEX(Sales!D:D,$K13),""))</f>
        <v/>
      </c>
      <c r="D13" s="927">
        <f>IF($K13="","",IFERROR(INDEX(Sales!AA:AA,$K13),""))</f>
        <v/>
      </c>
      <c r="E13" s="928">
        <f>IF(OR($D13="",$F13="",$F13=0),"",$D13/$F13)</f>
        <v/>
      </c>
      <c r="F13" s="929">
        <f>IF($K13="","",IFERROR(INDEX(Sales!L:L,$K13),""))</f>
        <v/>
      </c>
      <c r="G13">
        <f>IF($K13="","",IFERROR(INDEX(Sales!M:M,$K13),""))</f>
        <v/>
      </c>
      <c r="H13" s="930">
        <f>IF($K13="","",IFERROR(INDEX(Sales!I:I,$K13),""))</f>
        <v/>
      </c>
      <c r="I13">
        <f>IF($K13="","",IFERROR(INDEX(Sales!AC:AC,$K13),""))</f>
        <v/>
      </c>
      <c r="K13">
        <f>IFERROR(MATCH(_xlfn.AGGREGATE(15,6,Sales!$AJ$2:$AJ$941,8),Sales!$AJ$2:$AJ$941,0)+1,"")</f>
        <v/>
      </c>
    </row>
    <row r="14">
      <c r="B14">
        <f>IF($K14="","",9)</f>
        <v/>
      </c>
      <c r="C14">
        <f>IF($K14="","",IFERROR(INDEX(Sales!D:D,$K14),""))</f>
        <v/>
      </c>
      <c r="D14" s="927">
        <f>IF($K14="","",IFERROR(INDEX(Sales!AA:AA,$K14),""))</f>
        <v/>
      </c>
      <c r="E14" s="928">
        <f>IF(OR($D14="",$F14="",$F14=0),"",$D14/$F14)</f>
        <v/>
      </c>
      <c r="F14" s="929">
        <f>IF($K14="","",IFERROR(INDEX(Sales!L:L,$K14),""))</f>
        <v/>
      </c>
      <c r="G14">
        <f>IF($K14="","",IFERROR(INDEX(Sales!M:M,$K14),""))</f>
        <v/>
      </c>
      <c r="H14" s="930">
        <f>IF($K14="","",IFERROR(INDEX(Sales!I:I,$K14),""))</f>
        <v/>
      </c>
      <c r="I14">
        <f>IF($K14="","",IFERROR(INDEX(Sales!AC:AC,$K14),""))</f>
        <v/>
      </c>
      <c r="K14">
        <f>IFERROR(MATCH(_xlfn.AGGREGATE(15,6,Sales!$AJ$2:$AJ$941,9),Sales!$AJ$2:$AJ$941,0)+1,"")</f>
        <v/>
      </c>
    </row>
    <row r="15">
      <c r="B15">
        <f>IF($K15="","",10)</f>
        <v/>
      </c>
      <c r="C15">
        <f>IF($K15="","",IFERROR(INDEX(Sales!D:D,$K15),""))</f>
        <v/>
      </c>
      <c r="D15" s="927">
        <f>IF($K15="","",IFERROR(INDEX(Sales!AA:AA,$K15),""))</f>
        <v/>
      </c>
      <c r="E15" s="928">
        <f>IF(OR($D15="",$F15="",$F15=0),"",$D15/$F15)</f>
        <v/>
      </c>
      <c r="F15" s="929">
        <f>IF($K15="","",IFERROR(INDEX(Sales!L:L,$K15),""))</f>
        <v/>
      </c>
      <c r="G15">
        <f>IF($K15="","",IFERROR(INDEX(Sales!M:M,$K15),""))</f>
        <v/>
      </c>
      <c r="H15" s="930">
        <f>IF($K15="","",IFERROR(INDEX(Sales!I:I,$K15),""))</f>
        <v/>
      </c>
      <c r="I15">
        <f>IF($K15="","",IFERROR(INDEX(Sales!AC:AC,$K15),""))</f>
        <v/>
      </c>
      <c r="K15">
        <f>IFERROR(MATCH(_xlfn.AGGREGATE(15,6,Sales!$AJ$2:$AJ$941,10),Sales!$AJ$2:$AJ$941,0)+1,"")</f>
        <v/>
      </c>
    </row>
    <row r="16">
      <c r="B16">
        <f>IF($K16="","",11)</f>
        <v/>
      </c>
      <c r="C16">
        <f>IF($K16="","",IFERROR(INDEX(Sales!D:D,$K16),""))</f>
        <v/>
      </c>
      <c r="D16" s="927">
        <f>IF($K16="","",IFERROR(INDEX(Sales!AA:AA,$K16),""))</f>
        <v/>
      </c>
      <c r="E16" s="928">
        <f>IF(OR($D16="",$F16="",$F16=0),"",$D16/$F16)</f>
        <v/>
      </c>
      <c r="F16" s="929">
        <f>IF($K16="","",IFERROR(INDEX(Sales!L:L,$K16),""))</f>
        <v/>
      </c>
      <c r="G16">
        <f>IF($K16="","",IFERROR(INDEX(Sales!M:M,$K16),""))</f>
        <v/>
      </c>
      <c r="H16" s="930">
        <f>IF($K16="","",IFERROR(INDEX(Sales!I:I,$K16),""))</f>
        <v/>
      </c>
      <c r="I16">
        <f>IF($K16="","",IFERROR(INDEX(Sales!AC:AC,$K16),""))</f>
        <v/>
      </c>
      <c r="K16">
        <f>IFERROR(MATCH(_xlfn.AGGREGATE(15,6,Sales!$AJ$2:$AJ$941,11),Sales!$AJ$2:$AJ$941,0)+1,"")</f>
        <v/>
      </c>
    </row>
    <row r="17">
      <c r="B17">
        <f>IF($K17="","",12)</f>
        <v/>
      </c>
      <c r="C17">
        <f>IF($K17="","",IFERROR(INDEX(Sales!D:D,$K17),""))</f>
        <v/>
      </c>
      <c r="D17" s="927">
        <f>IF($K17="","",IFERROR(INDEX(Sales!AA:AA,$K17),""))</f>
        <v/>
      </c>
      <c r="E17" s="928">
        <f>IF(OR($D17="",$F17="",$F17=0),"",$D17/$F17)</f>
        <v/>
      </c>
      <c r="F17" s="929">
        <f>IF($K17="","",IFERROR(INDEX(Sales!L:L,$K17),""))</f>
        <v/>
      </c>
      <c r="G17">
        <f>IF($K17="","",IFERROR(INDEX(Sales!M:M,$K17),""))</f>
        <v/>
      </c>
      <c r="H17" s="930">
        <f>IF($K17="","",IFERROR(INDEX(Sales!I:I,$K17),""))</f>
        <v/>
      </c>
      <c r="I17">
        <f>IF($K17="","",IFERROR(INDEX(Sales!AC:AC,$K17),""))</f>
        <v/>
      </c>
      <c r="K17">
        <f>IFERROR(MATCH(_xlfn.AGGREGATE(15,6,Sales!$AJ$2:$AJ$941,12),Sales!$AJ$2:$AJ$941,0)+1,"")</f>
        <v/>
      </c>
    </row>
    <row r="18">
      <c r="B18">
        <f>IF($K18="","",13)</f>
        <v/>
      </c>
      <c r="C18">
        <f>IF($K18="","",IFERROR(INDEX(Sales!D:D,$K18),""))</f>
        <v/>
      </c>
      <c r="D18" s="927">
        <f>IF($K18="","",IFERROR(INDEX(Sales!AA:AA,$K18),""))</f>
        <v/>
      </c>
      <c r="E18" s="928">
        <f>IF(OR($D18="",$F18="",$F18=0),"",$D18/$F18)</f>
        <v/>
      </c>
      <c r="F18" s="929">
        <f>IF($K18="","",IFERROR(INDEX(Sales!L:L,$K18),""))</f>
        <v/>
      </c>
      <c r="G18">
        <f>IF($K18="","",IFERROR(INDEX(Sales!M:M,$K18),""))</f>
        <v/>
      </c>
      <c r="H18" s="930">
        <f>IF($K18="","",IFERROR(INDEX(Sales!I:I,$K18),""))</f>
        <v/>
      </c>
      <c r="I18">
        <f>IF($K18="","",IFERROR(INDEX(Sales!AC:AC,$K18),""))</f>
        <v/>
      </c>
      <c r="K18">
        <f>IFERROR(MATCH(_xlfn.AGGREGATE(15,6,Sales!$AJ$2:$AJ$941,13),Sales!$AJ$2:$AJ$941,0)+1,"")</f>
        <v/>
      </c>
    </row>
    <row r="19">
      <c r="B19">
        <f>IF($K19="","",14)</f>
        <v/>
      </c>
      <c r="C19">
        <f>IF($K19="","",IFERROR(INDEX(Sales!D:D,$K19),""))</f>
        <v/>
      </c>
      <c r="D19" s="927">
        <f>IF($K19="","",IFERROR(INDEX(Sales!AA:AA,$K19),""))</f>
        <v/>
      </c>
      <c r="E19" s="928">
        <f>IF(OR($D19="",$F19="",$F19=0),"",$D19/$F19)</f>
        <v/>
      </c>
      <c r="F19" s="929">
        <f>IF($K19="","",IFERROR(INDEX(Sales!L:L,$K19),""))</f>
        <v/>
      </c>
      <c r="G19">
        <f>IF($K19="","",IFERROR(INDEX(Sales!M:M,$K19),""))</f>
        <v/>
      </c>
      <c r="H19" s="930">
        <f>IF($K19="","",IFERROR(INDEX(Sales!I:I,$K19),""))</f>
        <v/>
      </c>
      <c r="I19">
        <f>IF($K19="","",IFERROR(INDEX(Sales!AC:AC,$K19),""))</f>
        <v/>
      </c>
      <c r="K19">
        <f>IFERROR(MATCH(_xlfn.AGGREGATE(15,6,Sales!$AJ$2:$AJ$941,14),Sales!$AJ$2:$AJ$941,0)+1,"")</f>
        <v/>
      </c>
    </row>
    <row r="20">
      <c r="B20">
        <f>IF($K20="","",15)</f>
        <v/>
      </c>
      <c r="C20">
        <f>IF($K20="","",IFERROR(INDEX(Sales!D:D,$K20),""))</f>
        <v/>
      </c>
      <c r="D20" s="927">
        <f>IF($K20="","",IFERROR(INDEX(Sales!AA:AA,$K20),""))</f>
        <v/>
      </c>
      <c r="E20" s="928">
        <f>IF(OR($D20="",$F20="",$F20=0),"",$D20/$F20)</f>
        <v/>
      </c>
      <c r="F20" s="929">
        <f>IF($K20="","",IFERROR(INDEX(Sales!L:L,$K20),""))</f>
        <v/>
      </c>
      <c r="G20">
        <f>IF($K20="","",IFERROR(INDEX(Sales!M:M,$K20),""))</f>
        <v/>
      </c>
      <c r="H20" s="930">
        <f>IF($K20="","",IFERROR(INDEX(Sales!I:I,$K20),""))</f>
        <v/>
      </c>
      <c r="I20">
        <f>IF($K20="","",IFERROR(INDEX(Sales!AC:AC,$K20),""))</f>
        <v/>
      </c>
      <c r="K20">
        <f>IFERROR(MATCH(_xlfn.AGGREGATE(15,6,Sales!$AJ$2:$AJ$941,15),Sales!$AJ$2:$AJ$941,0)+1,"")</f>
        <v/>
      </c>
    </row>
    <row r="21"/>
    <row r="22">
      <c r="B22" s="931" t="inlineStr">
        <is>
          <t>Stats (of the matches actually found above)</t>
        </is>
      </c>
    </row>
    <row r="23">
      <c r="B23" s="932" t="inlineStr">
        <is>
          <t>Count</t>
        </is>
      </c>
      <c r="D23" s="975">
        <f>IF(COUNT(D6:D20)=0,"",COUNT(D6:D20))</f>
        <v/>
      </c>
      <c r="E23" s="976">
        <f>IF(COUNT(E6:E20)=0,"",COUNT(E6:E20))</f>
        <v/>
      </c>
    </row>
    <row r="24">
      <c r="B24" s="932" t="inlineStr">
        <is>
          <t>Min</t>
        </is>
      </c>
      <c r="D24" s="975">
        <f>IF(COUNT(D6:D20)=0,"",MIN(D6:D20))</f>
        <v/>
      </c>
      <c r="E24" s="976">
        <f>IF(COUNT(E6:E20)=0,"",MIN(E6:E20))</f>
        <v/>
      </c>
    </row>
    <row r="25">
      <c r="B25" s="932" t="inlineStr">
        <is>
          <t>Max</t>
        </is>
      </c>
      <c r="D25" s="975">
        <f>IF(COUNT(D6:D20)=0,"",MAX(D6:D20))</f>
        <v/>
      </c>
      <c r="E25" s="976">
        <f>IF(COUNT(E6:E20)=0,"",MAX(E6:E20))</f>
        <v/>
      </c>
    </row>
    <row r="26">
      <c r="B26" s="932" t="inlineStr">
        <is>
          <t>Range (Max-Min)</t>
        </is>
      </c>
      <c r="D26" s="975">
        <f>IF(COUNT(D6:D20)=0,"",MAX(D6:D20)-MIN(D6:D20))</f>
        <v/>
      </c>
      <c r="E26" s="976">
        <f>IF(COUNT(E6:E20)=0,"",MAX(E6:E20)-MIN(E6:E20))</f>
        <v/>
      </c>
    </row>
    <row r="27">
      <c r="B27" s="932" t="inlineStr">
        <is>
          <t>Median</t>
        </is>
      </c>
      <c r="D27" s="975">
        <f>IF(COUNT(D6:D20)=0,"",MEDIAN(D6:D20))</f>
        <v/>
      </c>
      <c r="E27" s="976">
        <f>IF(COUNT(E6:E20)=0,"",MEDIAN(E6:E20))</f>
        <v/>
      </c>
    </row>
    <row r="28">
      <c r="B28" s="932" t="inlineStr">
        <is>
          <t>Average</t>
        </is>
      </c>
      <c r="D28" s="975">
        <f>IF(COUNT(D6:D20)=0,"",AVERAGE(D6:D20))</f>
        <v/>
      </c>
      <c r="E28" s="976">
        <f>IF(COUNT(E6:E20)=0,"",AVERAGE(E6:E20))</f>
        <v/>
      </c>
    </row>
    <row r="29">
      <c r="B29" s="932" t="inlineStr">
        <is>
          <t>Std Dev</t>
        </is>
      </c>
      <c r="D29" s="975">
        <f>IF(COUNT(D6:D20)=0,"",STDEV(D6:D20))</f>
        <v/>
      </c>
      <c r="E29" s="976">
        <f>IF(COUNT(E6:E20)=0,"",STDEV(E6:E20))</f>
        <v/>
      </c>
    </row>
    <row r="30"/>
    <row r="31"/>
    <row r="32">
      <c r="B32" s="977" t="inlineStr">
        <is>
          <t>Top Expense Comps (auto-ranked by size closeness)</t>
        </is>
      </c>
      <c r="C32" s="973" t="n"/>
      <c r="D32" s="973" t="n"/>
      <c r="E32" s="973" t="n"/>
      <c r="F32" s="973" t="n"/>
      <c r="G32" s="973" t="n"/>
    </row>
    <row r="33">
      <c r="B33" s="974" t="inlineStr">
        <is>
          <t>Rank</t>
        </is>
      </c>
      <c r="C33" s="974" t="inlineStr">
        <is>
          <t>Address</t>
        </is>
      </c>
      <c r="D33" s="974" t="inlineStr">
        <is>
          <t>City</t>
        </is>
      </c>
      <c r="E33" s="974" t="inlineStr">
        <is>
          <t>Bldg SF</t>
        </is>
      </c>
      <c r="F33" s="974" t="inlineStr">
        <is>
          <t>Year</t>
        </is>
      </c>
      <c r="G33" s="974" t="inlineStr">
        <is>
          <t>NOI ($/SF)</t>
        </is>
      </c>
    </row>
    <row r="34">
      <c r="B34">
        <f>IF($I34="","",1)</f>
        <v/>
      </c>
      <c r="C34">
        <f>IF($I34="","",IFERROR(INDEX('Expense Database'!D:D,$I34),""))</f>
        <v/>
      </c>
      <c r="D34">
        <f>IF($I34="","",IFERROR(INDEX('Expense Database'!E:E,$I34),""))</f>
        <v/>
      </c>
      <c r="E34" s="929">
        <f>IF($I34="","",IFERROR(INDEX('Expense Database'!J:J,$I34),""))</f>
        <v/>
      </c>
      <c r="F34">
        <f>IF($I34="","",IFERROR(INDEX('Expense Database'!K:K,$I34),""))</f>
        <v/>
      </c>
      <c r="G34" s="928">
        <f>IF($I34="","",IFERROR(INDEX('PSF Summary'!AK:AK,$I34),""))</f>
        <v/>
      </c>
      <c r="I34">
        <f>IFERROR(MATCH(_xlfn.AGGREGATE(15,6,'Expense Database'!$AO$4:$AO$197,1),'Expense Database'!$AO$4:$AO$197,0)+3,"")</f>
        <v/>
      </c>
    </row>
    <row r="35">
      <c r="B35">
        <f>IF($I35="","",2)</f>
        <v/>
      </c>
      <c r="C35">
        <f>IF($I35="","",IFERROR(INDEX('Expense Database'!D:D,$I35),""))</f>
        <v/>
      </c>
      <c r="D35">
        <f>IF($I35="","",IFERROR(INDEX('Expense Database'!E:E,$I35),""))</f>
        <v/>
      </c>
      <c r="E35" s="929">
        <f>IF($I35="","",IFERROR(INDEX('Expense Database'!J:J,$I35),""))</f>
        <v/>
      </c>
      <c r="F35">
        <f>IF($I35="","",IFERROR(INDEX('Expense Database'!K:K,$I35),""))</f>
        <v/>
      </c>
      <c r="G35" s="928">
        <f>IF($I35="","",IFERROR(INDEX('PSF Summary'!AK:AK,$I35),""))</f>
        <v/>
      </c>
      <c r="I35">
        <f>IFERROR(MATCH(_xlfn.AGGREGATE(15,6,'Expense Database'!$AO$4:$AO$197,2),'Expense Database'!$AO$4:$AO$197,0)+3,"")</f>
        <v/>
      </c>
    </row>
    <row r="36">
      <c r="B36">
        <f>IF($I36="","",3)</f>
        <v/>
      </c>
      <c r="C36">
        <f>IF($I36="","",IFERROR(INDEX('Expense Database'!D:D,$I36),""))</f>
        <v/>
      </c>
      <c r="D36">
        <f>IF($I36="","",IFERROR(INDEX('Expense Database'!E:E,$I36),""))</f>
        <v/>
      </c>
      <c r="E36" s="929">
        <f>IF($I36="","",IFERROR(INDEX('Expense Database'!J:J,$I36),""))</f>
        <v/>
      </c>
      <c r="F36">
        <f>IF($I36="","",IFERROR(INDEX('Expense Database'!K:K,$I36),""))</f>
        <v/>
      </c>
      <c r="G36" s="928">
        <f>IF($I36="","",IFERROR(INDEX('PSF Summary'!AK:AK,$I36),""))</f>
        <v/>
      </c>
      <c r="I36">
        <f>IFERROR(MATCH(_xlfn.AGGREGATE(15,6,'Expense Database'!$AO$4:$AO$197,3),'Expense Database'!$AO$4:$AO$197,0)+3,"")</f>
        <v/>
      </c>
    </row>
    <row r="37">
      <c r="B37">
        <f>IF($I37="","",4)</f>
        <v/>
      </c>
      <c r="C37">
        <f>IF($I37="","",IFERROR(INDEX('Expense Database'!D:D,$I37),""))</f>
        <v/>
      </c>
      <c r="D37">
        <f>IF($I37="","",IFERROR(INDEX('Expense Database'!E:E,$I37),""))</f>
        <v/>
      </c>
      <c r="E37" s="929">
        <f>IF($I37="","",IFERROR(INDEX('Expense Database'!J:J,$I37),""))</f>
        <v/>
      </c>
      <c r="F37">
        <f>IF($I37="","",IFERROR(INDEX('Expense Database'!K:K,$I37),""))</f>
        <v/>
      </c>
      <c r="G37" s="928">
        <f>IF($I37="","",IFERROR(INDEX('PSF Summary'!AK:AK,$I37),""))</f>
        <v/>
      </c>
      <c r="I37">
        <f>IFERROR(MATCH(_xlfn.AGGREGATE(15,6,'Expense Database'!$AO$4:$AO$197,4),'Expense Database'!$AO$4:$AO$197,0)+3,"")</f>
        <v/>
      </c>
    </row>
    <row r="38">
      <c r="B38">
        <f>IF($I38="","",5)</f>
        <v/>
      </c>
      <c r="C38">
        <f>IF($I38="","",IFERROR(INDEX('Expense Database'!D:D,$I38),""))</f>
        <v/>
      </c>
      <c r="D38">
        <f>IF($I38="","",IFERROR(INDEX('Expense Database'!E:E,$I38),""))</f>
        <v/>
      </c>
      <c r="E38" s="929">
        <f>IF($I38="","",IFERROR(INDEX('Expense Database'!J:J,$I38),""))</f>
        <v/>
      </c>
      <c r="F38">
        <f>IF($I38="","",IFERROR(INDEX('Expense Database'!K:K,$I38),""))</f>
        <v/>
      </c>
      <c r="G38" s="928">
        <f>IF($I38="","",IFERROR(INDEX('PSF Summary'!AK:AK,$I38),""))</f>
        <v/>
      </c>
      <c r="I38">
        <f>IFERROR(MATCH(_xlfn.AGGREGATE(15,6,'Expense Database'!$AO$4:$AO$197,5),'Expense Database'!$AO$4:$AO$197,0)+3,"")</f>
        <v/>
      </c>
    </row>
    <row r="39">
      <c r="B39">
        <f>IF($I39="","",6)</f>
        <v/>
      </c>
      <c r="C39">
        <f>IF($I39="","",IFERROR(INDEX('Expense Database'!D:D,$I39),""))</f>
        <v/>
      </c>
      <c r="D39">
        <f>IF($I39="","",IFERROR(INDEX('Expense Database'!E:E,$I39),""))</f>
        <v/>
      </c>
      <c r="E39" s="929">
        <f>IF($I39="","",IFERROR(INDEX('Expense Database'!J:J,$I39),""))</f>
        <v/>
      </c>
      <c r="F39">
        <f>IF($I39="","",IFERROR(INDEX('Expense Database'!K:K,$I39),""))</f>
        <v/>
      </c>
      <c r="G39" s="928">
        <f>IF($I39="","",IFERROR(INDEX('PSF Summary'!AK:AK,$I39),""))</f>
        <v/>
      </c>
      <c r="I39">
        <f>IFERROR(MATCH(_xlfn.AGGREGATE(15,6,'Expense Database'!$AO$4:$AO$197,6),'Expense Database'!$AO$4:$AO$197,0)+3,"")</f>
        <v/>
      </c>
    </row>
    <row r="40">
      <c r="B40">
        <f>IF($I40="","",7)</f>
        <v/>
      </c>
      <c r="C40">
        <f>IF($I40="","",IFERROR(INDEX('Expense Database'!D:D,$I40),""))</f>
        <v/>
      </c>
      <c r="D40">
        <f>IF($I40="","",IFERROR(INDEX('Expense Database'!E:E,$I40),""))</f>
        <v/>
      </c>
      <c r="E40" s="929">
        <f>IF($I40="","",IFERROR(INDEX('Expense Database'!J:J,$I40),""))</f>
        <v/>
      </c>
      <c r="F40">
        <f>IF($I40="","",IFERROR(INDEX('Expense Database'!K:K,$I40),""))</f>
        <v/>
      </c>
      <c r="G40" s="928">
        <f>IF($I40="","",IFERROR(INDEX('PSF Summary'!AK:AK,$I40),""))</f>
        <v/>
      </c>
      <c r="I40">
        <f>IFERROR(MATCH(_xlfn.AGGREGATE(15,6,'Expense Database'!$AO$4:$AO$197,7),'Expense Database'!$AO$4:$AO$197,0)+3,"")</f>
        <v/>
      </c>
    </row>
    <row r="41">
      <c r="B41">
        <f>IF($I41="","",8)</f>
        <v/>
      </c>
      <c r="C41">
        <f>IF($I41="","",IFERROR(INDEX('Expense Database'!D:D,$I41),""))</f>
        <v/>
      </c>
      <c r="D41">
        <f>IF($I41="","",IFERROR(INDEX('Expense Database'!E:E,$I41),""))</f>
        <v/>
      </c>
      <c r="E41" s="929">
        <f>IF($I41="","",IFERROR(INDEX('Expense Database'!J:J,$I41),""))</f>
        <v/>
      </c>
      <c r="F41">
        <f>IF($I41="","",IFERROR(INDEX('Expense Database'!K:K,$I41),""))</f>
        <v/>
      </c>
      <c r="G41" s="928">
        <f>IF($I41="","",IFERROR(INDEX('PSF Summary'!AK:AK,$I41),""))</f>
        <v/>
      </c>
      <c r="I41">
        <f>IFERROR(MATCH(_xlfn.AGGREGATE(15,6,'Expense Database'!$AO$4:$AO$197,8),'Expense Database'!$AO$4:$AO$197,0)+3,"")</f>
        <v/>
      </c>
    </row>
    <row r="42">
      <c r="B42">
        <f>IF($I42="","",9)</f>
        <v/>
      </c>
      <c r="C42">
        <f>IF($I42="","",IFERROR(INDEX('Expense Database'!D:D,$I42),""))</f>
        <v/>
      </c>
      <c r="D42">
        <f>IF($I42="","",IFERROR(INDEX('Expense Database'!E:E,$I42),""))</f>
        <v/>
      </c>
      <c r="E42" s="929">
        <f>IF($I42="","",IFERROR(INDEX('Expense Database'!J:J,$I42),""))</f>
        <v/>
      </c>
      <c r="F42">
        <f>IF($I42="","",IFERROR(INDEX('Expense Database'!K:K,$I42),""))</f>
        <v/>
      </c>
      <c r="G42" s="928">
        <f>IF($I42="","",IFERROR(INDEX('PSF Summary'!AK:AK,$I42),""))</f>
        <v/>
      </c>
      <c r="I42">
        <f>IFERROR(MATCH(_xlfn.AGGREGATE(15,6,'Expense Database'!$AO$4:$AO$197,9),'Expense Database'!$AO$4:$AO$197,0)+3,"")</f>
        <v/>
      </c>
    </row>
    <row r="43">
      <c r="B43">
        <f>IF($I43="","",10)</f>
        <v/>
      </c>
      <c r="C43">
        <f>IF($I43="","",IFERROR(INDEX('Expense Database'!D:D,$I43),""))</f>
        <v/>
      </c>
      <c r="D43">
        <f>IF($I43="","",IFERROR(INDEX('Expense Database'!E:E,$I43),""))</f>
        <v/>
      </c>
      <c r="E43" s="929">
        <f>IF($I43="","",IFERROR(INDEX('Expense Database'!J:J,$I43),""))</f>
        <v/>
      </c>
      <c r="F43">
        <f>IF($I43="","",IFERROR(INDEX('Expense Database'!K:K,$I43),""))</f>
        <v/>
      </c>
      <c r="G43" s="928">
        <f>IF($I43="","",IFERROR(INDEX('PSF Summary'!AK:AK,$I43),""))</f>
        <v/>
      </c>
      <c r="I43">
        <f>IFERROR(MATCH(_xlfn.AGGREGATE(15,6,'Expense Database'!$AO$4:$AO$197,10),'Expense Database'!$AO$4:$AO$197,0)+3,"")</f>
        <v/>
      </c>
    </row>
    <row r="44">
      <c r="B44">
        <f>IF($I44="","",11)</f>
        <v/>
      </c>
      <c r="C44">
        <f>IF($I44="","",IFERROR(INDEX('Expense Database'!D:D,$I44),""))</f>
        <v/>
      </c>
      <c r="D44">
        <f>IF($I44="","",IFERROR(INDEX('Expense Database'!E:E,$I44),""))</f>
        <v/>
      </c>
      <c r="E44" s="929">
        <f>IF($I44="","",IFERROR(INDEX('Expense Database'!J:J,$I44),""))</f>
        <v/>
      </c>
      <c r="F44">
        <f>IF($I44="","",IFERROR(INDEX('Expense Database'!K:K,$I44),""))</f>
        <v/>
      </c>
      <c r="G44" s="928">
        <f>IF($I44="","",IFERROR(INDEX('PSF Summary'!AK:AK,$I44),""))</f>
        <v/>
      </c>
      <c r="I44">
        <f>IFERROR(MATCH(_xlfn.AGGREGATE(15,6,'Expense Database'!$AO$4:$AO$197,11),'Expense Database'!$AO$4:$AO$197,0)+3,"")</f>
        <v/>
      </c>
    </row>
    <row r="45">
      <c r="B45">
        <f>IF($I45="","",12)</f>
        <v/>
      </c>
      <c r="C45">
        <f>IF($I45="","",IFERROR(INDEX('Expense Database'!D:D,$I45),""))</f>
        <v/>
      </c>
      <c r="D45">
        <f>IF($I45="","",IFERROR(INDEX('Expense Database'!E:E,$I45),""))</f>
        <v/>
      </c>
      <c r="E45" s="929">
        <f>IF($I45="","",IFERROR(INDEX('Expense Database'!J:J,$I45),""))</f>
        <v/>
      </c>
      <c r="F45">
        <f>IF($I45="","",IFERROR(INDEX('Expense Database'!K:K,$I45),""))</f>
        <v/>
      </c>
      <c r="G45" s="928">
        <f>IF($I45="","",IFERROR(INDEX('PSF Summary'!AK:AK,$I45),""))</f>
        <v/>
      </c>
      <c r="I45">
        <f>IFERROR(MATCH(_xlfn.AGGREGATE(15,6,'Expense Database'!$AO$4:$AO$197,12),'Expense Database'!$AO$4:$AO$197,0)+3,"")</f>
        <v/>
      </c>
    </row>
    <row r="46">
      <c r="B46">
        <f>IF($I46="","",13)</f>
        <v/>
      </c>
      <c r="C46">
        <f>IF($I46="","",IFERROR(INDEX('Expense Database'!D:D,$I46),""))</f>
        <v/>
      </c>
      <c r="D46">
        <f>IF($I46="","",IFERROR(INDEX('Expense Database'!E:E,$I46),""))</f>
        <v/>
      </c>
      <c r="E46" s="929">
        <f>IF($I46="","",IFERROR(INDEX('Expense Database'!J:J,$I46),""))</f>
        <v/>
      </c>
      <c r="F46">
        <f>IF($I46="","",IFERROR(INDEX('Expense Database'!K:K,$I46),""))</f>
        <v/>
      </c>
      <c r="G46" s="928">
        <f>IF($I46="","",IFERROR(INDEX('PSF Summary'!AK:AK,$I46),""))</f>
        <v/>
      </c>
      <c r="I46">
        <f>IFERROR(MATCH(_xlfn.AGGREGATE(15,6,'Expense Database'!$AO$4:$AO$197,13),'Expense Database'!$AO$4:$AO$197,0)+3,"")</f>
        <v/>
      </c>
    </row>
    <row r="47">
      <c r="B47">
        <f>IF($I47="","",14)</f>
        <v/>
      </c>
      <c r="C47">
        <f>IF($I47="","",IFERROR(INDEX('Expense Database'!D:D,$I47),""))</f>
        <v/>
      </c>
      <c r="D47">
        <f>IF($I47="","",IFERROR(INDEX('Expense Database'!E:E,$I47),""))</f>
        <v/>
      </c>
      <c r="E47" s="929">
        <f>IF($I47="","",IFERROR(INDEX('Expense Database'!J:J,$I47),""))</f>
        <v/>
      </c>
      <c r="F47">
        <f>IF($I47="","",IFERROR(INDEX('Expense Database'!K:K,$I47),""))</f>
        <v/>
      </c>
      <c r="G47" s="928">
        <f>IF($I47="","",IFERROR(INDEX('PSF Summary'!AK:AK,$I47),""))</f>
        <v/>
      </c>
      <c r="I47">
        <f>IFERROR(MATCH(_xlfn.AGGREGATE(15,6,'Expense Database'!$AO$4:$AO$197,14),'Expense Database'!$AO$4:$AO$197,0)+3,"")</f>
        <v/>
      </c>
    </row>
    <row r="48">
      <c r="B48">
        <f>IF($I48="","",15)</f>
        <v/>
      </c>
      <c r="C48">
        <f>IF($I48="","",IFERROR(INDEX('Expense Database'!D:D,$I48),""))</f>
        <v/>
      </c>
      <c r="D48">
        <f>IF($I48="","",IFERROR(INDEX('Expense Database'!E:E,$I48),""))</f>
        <v/>
      </c>
      <c r="E48" s="929">
        <f>IF($I48="","",IFERROR(INDEX('Expense Database'!J:J,$I48),""))</f>
        <v/>
      </c>
      <c r="F48">
        <f>IF($I48="","",IFERROR(INDEX('Expense Database'!K:K,$I48),""))</f>
        <v/>
      </c>
      <c r="G48" s="928">
        <f>IF($I48="","",IFERROR(INDEX('PSF Summary'!AK:AK,$I48),""))</f>
        <v/>
      </c>
      <c r="I48">
        <f>IFERROR(MATCH(_xlfn.AGGREGATE(15,6,'Expense Database'!$AO$4:$AO$197,15),'Expense Database'!$AO$4:$AO$197,0)+3,"")</f>
        <v/>
      </c>
    </row>
    <row r="49"/>
    <row r="50">
      <c r="B50" s="931" t="inlineStr">
        <is>
          <t>Stats (of the matches actually found above)</t>
        </is>
      </c>
    </row>
    <row r="51">
      <c r="B51" s="932" t="inlineStr">
        <is>
          <t>Count</t>
        </is>
      </c>
      <c r="G51" s="976">
        <f>IF(COUNT(G34:G48)=0,"",COUNT(G34:G48))</f>
        <v/>
      </c>
    </row>
    <row r="52">
      <c r="B52" s="932" t="inlineStr">
        <is>
          <t>Min</t>
        </is>
      </c>
      <c r="G52" s="976">
        <f>IF(COUNT(G34:G48)=0,"",MIN(G34:G48))</f>
        <v/>
      </c>
    </row>
    <row r="53">
      <c r="B53" s="932" t="inlineStr">
        <is>
          <t>Max</t>
        </is>
      </c>
      <c r="G53" s="976">
        <f>IF(COUNT(G34:G48)=0,"",MAX(G34:G48))</f>
        <v/>
      </c>
    </row>
    <row r="54">
      <c r="B54" s="932" t="inlineStr">
        <is>
          <t>Range (Max-Min)</t>
        </is>
      </c>
      <c r="G54" s="976">
        <f>IF(COUNT(G34:G48)=0,"",MAX(G34:G48)-MIN(G34:G48))</f>
        <v/>
      </c>
    </row>
    <row r="55">
      <c r="B55" s="932" t="inlineStr">
        <is>
          <t>Median</t>
        </is>
      </c>
      <c r="G55" s="976">
        <f>IF(COUNT(G34:G48)=0,"",MEDIAN(G34:G48))</f>
        <v/>
      </c>
    </row>
    <row r="56">
      <c r="B56" s="932" t="inlineStr">
        <is>
          <t>Average</t>
        </is>
      </c>
      <c r="G56" s="976">
        <f>IF(COUNT(G34:G48)=0,"",AVERAGE(G34:G48))</f>
        <v/>
      </c>
    </row>
    <row r="57">
      <c r="B57" s="932" t="inlineStr">
        <is>
          <t>Std Dev</t>
        </is>
      </c>
      <c r="G57" s="976">
        <f>IF(COUNT(G34:G48)=0,"",STDEV(G34:G48))</f>
        <v/>
      </c>
    </row>
  </sheetData>
  <mergeCells count="1">
    <mergeCell ref="B2:I2"/>
  </mergeCells>
  <pageMargins left="0.75" right="0.75" top="1" bottom="1" header="0.5" footer="0.5"/>
</worksheet>
</file>

<file path=xl/worksheets/sheet3.xml><?xml version="1.0" encoding="utf-8"?>
<worksheet xmlns="http://schemas.openxmlformats.org/spreadsheetml/2006/main">
  <sheetPr codeName="Sheet6">
    <tabColor rgb="000E7490"/>
    <outlinePr summaryBelow="1" summaryRight="1"/>
    <pageSetUpPr/>
  </sheetPr>
  <dimension ref="A1:O8"/>
  <sheetViews>
    <sheetView showGridLines="0" workbookViewId="0">
      <selection activeCell="C21" sqref="C21"/>
    </sheetView>
  </sheetViews>
  <sheetFormatPr baseColWidth="8" defaultColWidth="9.1640625" defaultRowHeight="14.25"/>
  <cols>
    <col width="52" customWidth="1" style="229" min="1" max="1"/>
    <col width="7" customWidth="1" style="229" min="2" max="2"/>
    <col width="30" customWidth="1" style="229" min="3" max="3"/>
    <col width="9.1640625" customWidth="1" style="229" min="4" max="16384"/>
  </cols>
  <sheetData>
    <row r="1">
      <c r="A1" s="1147" t="inlineStr">
        <is>
          <t>Click on the tab at the bottom to switch between worksheets</t>
        </is>
      </c>
      <c r="B1" s="977" t="n"/>
      <c r="C1" s="977" t="n"/>
      <c r="D1" s="977" t="n"/>
      <c r="E1" s="977" t="n"/>
      <c r="F1" s="977" t="n"/>
      <c r="G1" s="977" t="n"/>
      <c r="H1" s="977" t="n"/>
    </row>
    <row r="2" ht="9" customHeight="1"/>
    <row r="3">
      <c r="A3" s="1148" t="inlineStr">
        <is>
          <t>To print all sheets, click printer icon on toolbar.</t>
        </is>
      </c>
    </row>
    <row r="4" ht="9.6" customHeight="1"/>
    <row r="5" ht="40.9" customHeight="1">
      <c r="A5" s="1148" t="inlineStr">
        <is>
          <t>Click Edit Worksheet Text on Appeal worksheet to enter data onto Word Form, Close Word when done with the front of the appeal sheet.  DO NOT SAVE PAGE IN WORD, it is saved as part of Excel when you save the worksheet. 
If the Appeal sheet is grayed out in Excel, you still have Word open and MUST exit from Word.</t>
        </is>
      </c>
      <c r="D5" s="232" t="n"/>
      <c r="E5" s="232" t="n"/>
      <c r="F5" s="232" t="n"/>
      <c r="G5" s="232" t="n"/>
      <c r="H5" s="232" t="n"/>
      <c r="I5" s="232" t="n"/>
      <c r="J5" s="232" t="n"/>
      <c r="K5" s="232" t="n"/>
      <c r="L5" s="232" t="n"/>
      <c r="M5" s="232" t="n"/>
      <c r="N5" s="232" t="n"/>
      <c r="O5" s="232" t="n"/>
    </row>
    <row r="6">
      <c r="A6" s="231" t="n"/>
      <c r="B6" s="231" t="n"/>
      <c r="C6" s="231" t="n"/>
      <c r="D6" s="231" t="n"/>
      <c r="E6" s="231" t="n"/>
      <c r="F6" s="231" t="n"/>
      <c r="G6" s="231" t="n"/>
      <c r="H6" s="231" t="n"/>
      <c r="I6" s="231" t="n"/>
      <c r="J6" s="231" t="n"/>
      <c r="K6" s="231" t="n"/>
      <c r="L6" s="231" t="n"/>
      <c r="M6" s="231" t="n"/>
      <c r="N6" s="231" t="n"/>
      <c r="O6" s="231" t="n"/>
    </row>
    <row r="7">
      <c r="C7" s="233" t="inlineStr">
        <is>
          <t>Click desired sheet to work.</t>
        </is>
      </c>
    </row>
    <row r="8">
      <c r="A8" s="1149" t="inlineStr">
        <is>
          <t>Appeal Year</t>
        </is>
      </c>
      <c r="B8" s="979" t="n">
        <v>2025</v>
      </c>
    </row>
  </sheetData>
  <mergeCells count="1">
    <mergeCell ref="A5:C5"/>
  </mergeCells>
  <pageMargins left="0.75" right="0.75" top="1" bottom="1" header="0.5" footer="0.5"/>
  <pageSetup orientation="portrait" verticalDpi="300"/>
  <legacyDrawing xmlns:r="http://schemas.openxmlformats.org/officeDocument/2006/relationships" r:id="anysvml"/>
</worksheet>
</file>

<file path=xl/worksheets/sheet4.xml><?xml version="1.0" encoding="utf-8"?>
<worksheet xmlns="http://schemas.openxmlformats.org/spreadsheetml/2006/main">
  <sheetPr codeName="Sheet1" transitionEvaluation="1" transitionEntry="1">
    <tabColor rgb="000E7490"/>
    <outlinePr summaryBelow="1" summaryRight="1"/>
    <pageSetUpPr fitToPage="1"/>
  </sheetPr>
  <dimension ref="A1:Z55"/>
  <sheetViews>
    <sheetView showGridLines="0" workbookViewId="0">
      <selection activeCell="D13" sqref="D13"/>
    </sheetView>
  </sheetViews>
  <sheetFormatPr baseColWidth="8" defaultColWidth="9.6640625" defaultRowHeight="10.5"/>
  <cols>
    <col width="25" customWidth="1" min="1" max="1"/>
    <col width="24" customWidth="1" min="2" max="2"/>
    <col width="6" customWidth="1" min="3" max="3"/>
    <col width="16" customWidth="1" min="4" max="4"/>
    <col width="20" customWidth="1" min="5" max="5"/>
    <col width="22" customWidth="1" min="6" max="6"/>
    <col width="27" customWidth="1" min="7" max="7"/>
    <col width="28" customWidth="1" min="8" max="8"/>
    <col width="6" customWidth="1" min="25" max="25"/>
    <col hidden="1" width="13" customWidth="1" min="26" max="26"/>
  </cols>
  <sheetData>
    <row r="1" ht="23.45" customHeight="1">
      <c r="A1" s="5" t="n"/>
      <c r="B1" t="n"/>
      <c r="E1" s="1" t="inlineStr">
        <is>
          <t>y</t>
        </is>
      </c>
    </row>
    <row r="2" ht="25.5" customHeight="1">
      <c r="A2" s="980" t="inlineStr">
        <is>
          <t>MARKET SALES &amp; RENT COMPARABLES</t>
        </is>
      </c>
      <c r="B2" s="980" t="n"/>
      <c r="C2" s="980" t="n"/>
      <c r="D2" s="980" t="n"/>
      <c r="E2" s="980" t="n"/>
      <c r="F2" s="980" t="n"/>
      <c r="G2" s="980" t="n"/>
      <c r="H2" s="980" t="n"/>
    </row>
    <row r="3" ht="19.5" customHeight="1">
      <c r="A3" s="226">
        <f>TEXT([0]!Year,"0")&amp;" APPEALS"</f>
        <v/>
      </c>
      <c r="B3" s="226" t="n"/>
      <c r="C3" s="226" t="n"/>
      <c r="D3" s="226" t="n"/>
      <c r="E3" s="226" t="n"/>
      <c r="F3" s="226" t="n"/>
      <c r="G3" s="226" t="n"/>
      <c r="H3" s="226" t="n"/>
    </row>
    <row r="4" ht="19.5" customHeight="1">
      <c r="A4" s="388" t="inlineStr">
        <is>
          <t>PROTEST #</t>
        </is>
      </c>
      <c r="B4" s="7" t="n"/>
      <c r="C4" s="90" t="n"/>
    </row>
    <row r="5" ht="18" customHeight="1">
      <c r="A5" s="60" t="n"/>
      <c r="B5" s="7" t="n"/>
      <c r="C5" s="90" t="n"/>
    </row>
    <row r="6" ht="7.15" customHeight="1" thickBot="1"/>
    <row r="7" ht="20.25" customHeight="1" thickTop="1">
      <c r="A7" s="981" t="inlineStr">
        <is>
          <t>SUBJECT  PROPERTY  INFORMATION</t>
        </is>
      </c>
      <c r="B7" s="982" t="n"/>
      <c r="C7" s="982" t="n"/>
      <c r="D7" s="982" t="n"/>
      <c r="E7" s="982" t="n"/>
      <c r="F7" s="982" t="n"/>
      <c r="G7" s="982" t="n"/>
      <c r="H7" s="983" t="n"/>
    </row>
    <row r="8" ht="12" customHeight="1">
      <c r="A8" s="984" t="n"/>
      <c r="B8" s="985" t="inlineStr">
        <is>
          <t>Account Number</t>
        </is>
      </c>
      <c r="C8" s="986" t="inlineStr">
        <is>
          <t>Ngbh</t>
        </is>
      </c>
      <c r="D8" s="986" t="inlineStr">
        <is>
          <t xml:space="preserve">Land Area </t>
        </is>
      </c>
      <c r="E8" s="987" t="inlineStr">
        <is>
          <t>Quality</t>
        </is>
      </c>
      <c r="F8" s="986" t="inlineStr">
        <is>
          <t>Rent / Sq Ft</t>
        </is>
      </c>
      <c r="G8" s="986" t="inlineStr">
        <is>
          <t>Subject Sale Information</t>
        </is>
      </c>
      <c r="H8" s="988" t="inlineStr">
        <is>
          <t>Parcel Number</t>
        </is>
      </c>
    </row>
    <row r="9" ht="12" customHeight="1">
      <c r="A9" s="12" t="n"/>
      <c r="B9" s="985" t="inlineStr">
        <is>
          <t>Property Address</t>
        </is>
      </c>
      <c r="C9" s="986" t="inlineStr">
        <is>
          <t>Zone</t>
        </is>
      </c>
      <c r="D9" s="986" t="inlineStr">
        <is>
          <t xml:space="preserve">L : B  Ratio </t>
        </is>
      </c>
      <c r="E9" s="987" t="inlineStr">
        <is>
          <t>Physical Condition</t>
        </is>
      </c>
      <c r="F9" s="986" t="inlineStr">
        <is>
          <t>Vacancy</t>
        </is>
      </c>
      <c r="G9" s="986" t="inlineStr">
        <is>
          <t>Last Sale Date</t>
        </is>
      </c>
      <c r="H9" s="989" t="inlineStr">
        <is>
          <t>Assigned Value / Sq Ft</t>
        </is>
      </c>
    </row>
    <row r="10" ht="12" customHeight="1">
      <c r="A10" s="18" t="n"/>
      <c r="B10" s="990" t="inlineStr">
        <is>
          <t>Property Type</t>
        </is>
      </c>
      <c r="C10" s="991" t="inlineStr">
        <is>
          <t>YOC</t>
        </is>
      </c>
      <c r="D10" s="991" t="inlineStr">
        <is>
          <t xml:space="preserve">Building Area </t>
        </is>
      </c>
      <c r="E10" s="992" t="inlineStr">
        <is>
          <t>Functional Utility</t>
        </is>
      </c>
      <c r="F10" s="991" t="inlineStr">
        <is>
          <t>Expense Ratio</t>
        </is>
      </c>
      <c r="G10" s="991" t="inlineStr">
        <is>
          <t>Last Sale Price</t>
        </is>
      </c>
      <c r="H10" s="993" t="inlineStr">
        <is>
          <t>Assigned Value</t>
        </is>
      </c>
    </row>
    <row r="11" ht="12" customHeight="1">
      <c r="A11" s="12" t="n"/>
      <c r="B11" s="994" t="n"/>
      <c r="C11" s="995" t="n"/>
      <c r="D11" s="996">
        <f>Subj_SiteSF</f>
        <v/>
      </c>
      <c r="E11" s="997">
        <f>Subj_Quality</f>
        <v/>
      </c>
      <c r="F11" s="998" t="n"/>
      <c r="G11" s="999" t="n"/>
      <c r="H11" s="1000" t="n"/>
    </row>
    <row r="12" ht="12" customHeight="1">
      <c r="A12" s="12" t="n"/>
      <c r="B12" s="1001">
        <f>Subj_Address</f>
        <v/>
      </c>
      <c r="C12" s="1002">
        <f>Subj_Zoning</f>
        <v/>
      </c>
      <c r="D12" s="1003">
        <f>IF(OR(D13="",D13=0),"",ROUND(D11/D13,1)&amp;":1")</f>
        <v/>
      </c>
      <c r="E12" s="997">
        <f>Subj_Condition</f>
        <v/>
      </c>
      <c r="F12" s="1004" t="n"/>
      <c r="G12" s="1005" t="n"/>
      <c r="H12" s="518">
        <f>IF(D13=0,0,ROUND(H13/D13,2))</f>
        <v/>
      </c>
    </row>
    <row r="13" ht="12" customHeight="1" thickBot="1">
      <c r="A13" s="23" t="n"/>
      <c r="B13" s="1006">
        <f>IFERROR(INDEX(OCC_TABLE_DESC,MATCH(Subj_OccCode,OCC_TABLE_CODE,0)),"")</f>
        <v/>
      </c>
      <c r="C13" s="1007">
        <f>Subj_YOC</f>
        <v/>
      </c>
      <c r="D13" s="1008">
        <f>Subj_BldgSF</f>
        <v/>
      </c>
      <c r="E13" s="1009" t="n"/>
      <c r="F13" s="1010" t="n"/>
      <c r="G13" s="1011" t="n"/>
      <c r="H13" s="1012" t="n"/>
    </row>
    <row r="14" ht="6" customHeight="1" thickTop="1">
      <c r="C14" s="487" t="n"/>
      <c r="D14" s="487" t="n"/>
      <c r="F14" s="487" t="n"/>
      <c r="G14" s="487" t="n"/>
      <c r="H14" s="487" t="n"/>
    </row>
    <row r="15" ht="6" customHeight="1" thickBot="1">
      <c r="C15" s="487" t="n"/>
      <c r="D15" s="487" t="n"/>
      <c r="F15" s="487" t="n"/>
      <c r="G15" s="487" t="n"/>
      <c r="H15" s="487" t="n"/>
    </row>
    <row r="16" ht="20.25" customHeight="1" thickTop="1">
      <c r="A16" s="981" t="inlineStr">
        <is>
          <t>MARKET  SALE  COMPARABLES</t>
        </is>
      </c>
      <c r="B16" s="982" t="n"/>
      <c r="C16" s="1013" t="n"/>
      <c r="D16" s="1013" t="n"/>
      <c r="E16" s="982" t="n"/>
      <c r="F16" s="1013" t="n"/>
      <c r="G16" s="1013" t="n"/>
      <c r="H16" s="1014" t="n"/>
    </row>
    <row r="17" ht="12" customHeight="1">
      <c r="A17" s="1015" t="n"/>
      <c r="B17" s="1016" t="inlineStr">
        <is>
          <t>Account Number</t>
        </is>
      </c>
      <c r="C17" s="1017" t="inlineStr">
        <is>
          <t>Ngbh</t>
        </is>
      </c>
      <c r="D17" s="1018" t="inlineStr">
        <is>
          <t xml:space="preserve">Land Area </t>
        </is>
      </c>
      <c r="E17" s="1019" t="inlineStr">
        <is>
          <t>Quality</t>
        </is>
      </c>
      <c r="F17" s="1018" t="inlineStr">
        <is>
          <t xml:space="preserve">Sale Date </t>
        </is>
      </c>
      <c r="G17" s="1020" t="inlineStr">
        <is>
          <t>Adj Sale Price / Sq Ft</t>
        </is>
      </c>
      <c r="H17" s="988" t="inlineStr">
        <is>
          <t>Parcel Number</t>
        </is>
      </c>
    </row>
    <row r="18" ht="12" customHeight="1">
      <c r="A18" s="1021" t="n"/>
      <c r="B18" s="1022" t="inlineStr">
        <is>
          <t>Property Address</t>
        </is>
      </c>
      <c r="C18" s="1023" t="inlineStr">
        <is>
          <t>Zone</t>
        </is>
      </c>
      <c r="D18" s="1024" t="inlineStr">
        <is>
          <t xml:space="preserve">L : B  Ratio </t>
        </is>
      </c>
      <c r="E18" s="1025" t="inlineStr">
        <is>
          <t>Physical Condition</t>
        </is>
      </c>
      <c r="F18" s="1024" t="inlineStr">
        <is>
          <t xml:space="preserve">Sale Price </t>
        </is>
      </c>
      <c r="G18" s="986" t="inlineStr">
        <is>
          <t>Net Adjustments</t>
        </is>
      </c>
      <c r="H18" s="989" t="inlineStr">
        <is>
          <t>Sale Remarks</t>
        </is>
      </c>
    </row>
    <row r="19" ht="12" customHeight="1">
      <c r="A19" s="1026" t="inlineStr">
        <is>
          <t>#</t>
        </is>
      </c>
      <c r="B19" s="1027" t="inlineStr">
        <is>
          <t>Property Type</t>
        </is>
      </c>
      <c r="C19" s="1028" t="inlineStr">
        <is>
          <t>YOC</t>
        </is>
      </c>
      <c r="D19" s="1029" t="inlineStr">
        <is>
          <t xml:space="preserve">Building Area </t>
        </is>
      </c>
      <c r="E19" s="1030" t="inlineStr">
        <is>
          <t>Functional Utility</t>
        </is>
      </c>
      <c r="F19" s="1029" t="inlineStr">
        <is>
          <t xml:space="preserve">Adjusted Sale Price </t>
        </is>
      </c>
      <c r="G19" s="991" t="inlineStr">
        <is>
          <t>Adj Value of Comp / Sq Ft</t>
        </is>
      </c>
      <c r="H19" s="993" t="inlineStr">
        <is>
          <t>Indicated Value of Subject</t>
        </is>
      </c>
    </row>
    <row r="20" ht="12" customHeight="1">
      <c r="A20" s="40" t="n"/>
      <c r="B20" s="41">
        <f>IF(IFERROR(INDEX(Sales!C:C,$Z$20),"")="","",+" "&amp;IFERROR(INDEX(Sales!C:C,$Z$20),""))</f>
        <v/>
      </c>
      <c r="C20" s="62">
        <f>IF(IFERROR(INDEX(Sales!F:F,$Z$20),"")="","",IFERROR(INDEX(Sales!F:F,$Z$20),""))</f>
        <v/>
      </c>
      <c r="D20" s="65">
        <f>IF(IFERROR(INDEX(Sales!S:S,$Z$20),"")="","",IFERROR(INDEX(Sales!S:S,$Z$20),""))</f>
        <v/>
      </c>
      <c r="E20" s="68">
        <f>IF(IFERROR(INDEX(Sales!R:R,$Z$20),"")="","",IFERROR(VLOOKUP(IFERROR(INDEX(Sales!R:R,$Z$20),""),[0]!GRADE,2),IFERROR(INDEX(Sales!R:R,$Z$20),"")))</f>
        <v/>
      </c>
      <c r="F20" s="521">
        <f>IF(IFERROR(INDEX(Sales!I:I,$Z$20),"")="","",IFERROR(INDEX(Sales!I:I,$Z$20),""))</f>
        <v/>
      </c>
      <c r="G20" s="522">
        <f>IF(IFERROR(INDEX(Sales!H:H,$Z$20),"")="","",IFERROR(INDEX(Sales!H:H,$Z$20),""))</f>
        <v/>
      </c>
      <c r="H20" s="518">
        <f>IF(IFERROR(INDEX(Sales!AC:AC,$Z$20),"")="","",+IFERROR(INDEX(Sales!AC:AC,$Z$20),""))</f>
        <v/>
      </c>
      <c r="Y20" s="1031" t="n">
        <v>1</v>
      </c>
      <c r="Z20">
        <f>IFERROR(MATCH(_xlfn.AGGREGATE(15,6,Sales!$AJ$2:$AJ$941,$Y$20),Sales!$AJ$2:$AJ$941,0)+1,"")</f>
        <v/>
      </c>
    </row>
    <row r="21" ht="12" customHeight="1">
      <c r="A21" s="42" t="inlineStr">
        <is>
          <t>Best Match #1</t>
        </is>
      </c>
      <c r="B21" s="41">
        <f>IF(IFERROR(INDEX(Sales!D:D,$Z$20),"")="","",+" "&amp;IFERROR(INDEX(Sales!D:D,$Z$20),""))</f>
        <v/>
      </c>
      <c r="C21" s="62">
        <f>IF(IFERROR(INDEX(Sales!P:P,$Z$20),"")="","",IFERROR(INDEX(Sales!P:P,$Z$20),""))</f>
        <v/>
      </c>
      <c r="D21" s="65">
        <f>IF(IFERROR(INDEX(Sales!T:T,$Z$20),"")="","",IFERROR(INDEX(Sales!T:T,$Z$20),""))</f>
        <v/>
      </c>
      <c r="E21" s="68">
        <f>IF(IFERROR(INDEX(Sales!U:U,$Z$20),"")="","",IFERROR(VLOOKUP(IFERROR(INDEX(Sales!U:U,$Z$20),""),Codes!$A$12:$B$16,2),IFERROR(INDEX(Sales!U:U,$Z$20),"")))</f>
        <v/>
      </c>
      <c r="F21" s="523">
        <f>IF(IFERROR(INDEX(Sales!Y:Y,$Z$20),"")="","",IFERROR(INDEX(Sales!Y:Y,$Z$20),""))</f>
        <v/>
      </c>
      <c r="G21" s="75" t="n"/>
      <c r="H21" s="518">
        <f>IF(IFERROR(INDEX(Sales!AB:AB,$Z$20),"")="","",IFERROR(INDEX(Sales!AB:AB,$Z$20),""))</f>
        <v/>
      </c>
    </row>
    <row r="22" ht="12" customHeight="1">
      <c r="A22" s="43" t="n"/>
      <c r="B22" s="44">
        <f>IF(IFERROR(INDEX(Sales!E:E,$Z$20),"")="","",+" "&amp;IFERROR(VLOOKUP(IFERROR(INDEX(Sales!E:E,$Z$20),""),[0]!Class,2),IFERROR(INDEX(Sales!E:E,$Z$20),"")))</f>
        <v/>
      </c>
      <c r="C22" s="63">
        <f>IF(IFERROR(INDEX(Sales!M:M,$Z$20),"")="","",IFERROR(INDEX(Sales!M:M,$Z$20),""))</f>
        <v/>
      </c>
      <c r="D22" s="66">
        <f>IF(IFERROR(INDEX(Sales!L:L,$Z$20),"")="","",IFERROR(INDEX(Sales!L:L,$Z$20),""))</f>
        <v/>
      </c>
      <c r="E22" s="69">
        <f>IF(IFERROR(INDEX(Sales!V:V,$Z$20),"")="","",IFERROR(VLOOKUP(IFERROR(INDEX(Sales!V:V,$Z$20),""),Codes!$A$1:$B$5,2),IFERROR(INDEX(Sales!V:V,$Z$20),"")))</f>
        <v/>
      </c>
      <c r="F22" s="524">
        <f>IF(IFERROR(INDEX(Sales!AA:AA,$Z$20),"")="","",IFERROR(INDEX(Sales!AA:AA,$Z$20),""))</f>
        <v/>
      </c>
      <c r="G22" s="525">
        <f>IF(G20="","",ROUND(G20*(1+G21),2))</f>
        <v/>
      </c>
      <c r="H22" s="526">
        <f>IF(G22="","",ROUND(G22*$D$13,-2))</f>
        <v/>
      </c>
    </row>
    <row r="23" ht="12" customHeight="1">
      <c r="A23" s="40" t="n"/>
      <c r="B23" s="41">
        <f>IF(IFERROR(INDEX(Sales!C:C,$Z$23),"")="","",+" "&amp;IFERROR(INDEX(Sales!C:C,$Z$23),""))</f>
        <v/>
      </c>
      <c r="C23" s="62">
        <f>IF(IFERROR(INDEX(Sales!F:F,$Z$23),"")="","",IFERROR(INDEX(Sales!F:F,$Z$23),""))</f>
        <v/>
      </c>
      <c r="D23" s="65">
        <f>IF(IFERROR(INDEX(Sales!S:S,$Z$23),"")="","",IFERROR(INDEX(Sales!S:S,$Z$23),""))</f>
        <v/>
      </c>
      <c r="E23" s="68">
        <f>IF(IFERROR(INDEX(Sales!R:R,$Z$23),"")="","",IFERROR(VLOOKUP(IFERROR(INDEX(Sales!R:R,$Z$23),""),[0]!GRADE,2),IFERROR(INDEX(Sales!R:R,$Z$23),"")))</f>
        <v/>
      </c>
      <c r="F23" s="521">
        <f>IF(IFERROR(INDEX(Sales!I:I,$Z$23),"")="","",IFERROR(INDEX(Sales!I:I,$Z$23),""))</f>
        <v/>
      </c>
      <c r="G23" s="522">
        <f>IF(IFERROR(INDEX(Sales!H:H,$Z$23),"")="","",IFERROR(INDEX(Sales!H:H,$Z$23),""))</f>
        <v/>
      </c>
      <c r="H23" s="518">
        <f>IF(IFERROR(INDEX(Sales!AC:AC,$Z$23),"")="","",+IFERROR(INDEX(Sales!AC:AC,$Z$23),""))</f>
        <v/>
      </c>
      <c r="Y23" s="1031" t="n">
        <v>2</v>
      </c>
      <c r="Z23">
        <f>IFERROR(MATCH(_xlfn.AGGREGATE(15,6,Sales!$AJ$2:$AJ$941,$Y$23),Sales!$AJ$2:$AJ$941,0)+1,"")</f>
        <v/>
      </c>
    </row>
    <row r="24" ht="12" customHeight="1">
      <c r="A24" s="42" t="inlineStr">
        <is>
          <t>Best Match #2</t>
        </is>
      </c>
      <c r="B24" s="41">
        <f>IF(IFERROR(INDEX(Sales!D:D,$Z$23),"")="","",+" "&amp;IFERROR(INDEX(Sales!D:D,$Z$23),""))</f>
        <v/>
      </c>
      <c r="C24" s="62">
        <f>IF(IFERROR(INDEX(Sales!P:P,$Z$23),"")="","",IFERROR(INDEX(Sales!P:P,$Z$23),""))</f>
        <v/>
      </c>
      <c r="D24" s="65">
        <f>IF(IFERROR(INDEX(Sales!T:T,$Z$23),"")="","",IFERROR(INDEX(Sales!T:T,$Z$23),""))</f>
        <v/>
      </c>
      <c r="E24" s="68">
        <f>IF(IFERROR(INDEX(Sales!U:U,$Z$23),"")="","",IFERROR(VLOOKUP(IFERROR(INDEX(Sales!U:U,$Z$23),""),Codes!$A$12:$B$16,2),IFERROR(INDEX(Sales!U:U,$Z$23),"")))</f>
        <v/>
      </c>
      <c r="F24" s="523">
        <f>IF(IFERROR(INDEX(Sales!Y:Y,$Z$23),"")="","",IFERROR(INDEX(Sales!Y:Y,$Z$23),""))</f>
        <v/>
      </c>
      <c r="G24" s="75" t="n"/>
      <c r="H24" s="518">
        <f>IF(IFERROR(INDEX(Sales!AB:AB,$Z$23),"")="","",IFERROR(INDEX(Sales!AB:AB,$Z$23),""))</f>
        <v/>
      </c>
    </row>
    <row r="25" ht="12" customHeight="1">
      <c r="A25" s="43" t="n"/>
      <c r="B25" s="44">
        <f>IF(IFERROR(INDEX(Sales!E:E,$Z$23),"")="","",+" "&amp;IFERROR(VLOOKUP(IFERROR(INDEX(Sales!E:E,$Z$23),""),[0]!Class,2),IFERROR(INDEX(Sales!E:E,$Z$23),"")))</f>
        <v/>
      </c>
      <c r="C25" s="63">
        <f>IF(IFERROR(INDEX(Sales!M:M,$Z$23),"")="","",IFERROR(INDEX(Sales!M:M,$Z$23),""))</f>
        <v/>
      </c>
      <c r="D25" s="66">
        <f>IF(IFERROR(INDEX(Sales!L:L,$Z$23),"")="","",IFERROR(INDEX(Sales!L:L,$Z$23),""))</f>
        <v/>
      </c>
      <c r="E25" s="69">
        <f>IF(IFERROR(INDEX(Sales!V:V,$Z$23),"")="","",IFERROR(VLOOKUP(IFERROR(INDEX(Sales!V:V,$Z$23),""),Codes!$A$1:$B$5,2),IFERROR(INDEX(Sales!V:V,$Z$23),"")))</f>
        <v/>
      </c>
      <c r="F25" s="524">
        <f>IF(IFERROR(INDEX(Sales!AA:AA,$Z$23),"")="","",IFERROR(INDEX(Sales!AA:AA,$Z$23),""))</f>
        <v/>
      </c>
      <c r="G25" s="525">
        <f>IF(G23="","",ROUND(G23*(1+G24),2))</f>
        <v/>
      </c>
      <c r="H25" s="526">
        <f>IF(G25="","",ROUND(G25*$D$13,-2))</f>
        <v/>
      </c>
    </row>
    <row r="26" ht="12" customHeight="1">
      <c r="A26" s="40" t="n"/>
      <c r="B26" s="41">
        <f>IF(IFERROR(INDEX(Sales!C:C,$Z$26),"")="","",+" "&amp;IFERROR(INDEX(Sales!C:C,$Z$26),""))</f>
        <v/>
      </c>
      <c r="C26" s="62">
        <f>IF(IFERROR(INDEX(Sales!F:F,$Z$26),"")="","",IFERROR(INDEX(Sales!F:F,$Z$26),""))</f>
        <v/>
      </c>
      <c r="D26" s="65">
        <f>IF(IFERROR(INDEX(Sales!S:S,$Z$26),"")="","",IFERROR(INDEX(Sales!S:S,$Z$26),""))</f>
        <v/>
      </c>
      <c r="E26" s="68">
        <f>IF(IFERROR(INDEX(Sales!R:R,$Z$26),"")="","",IFERROR(VLOOKUP(IFERROR(INDEX(Sales!R:R,$Z$26),""),[0]!GRADE,2),IFERROR(INDEX(Sales!R:R,$Z$26),"")))</f>
        <v/>
      </c>
      <c r="F26" s="521">
        <f>IF(IFERROR(INDEX(Sales!I:I,$Z$26),"")="","",IFERROR(INDEX(Sales!I:I,$Z$26),""))</f>
        <v/>
      </c>
      <c r="G26" s="522">
        <f>IF(IFERROR(INDEX(Sales!H:H,$Z$26),"")="","",IFERROR(INDEX(Sales!H:H,$Z$26),""))</f>
        <v/>
      </c>
      <c r="H26" s="518">
        <f>IF(IFERROR(INDEX(Sales!AC:AC,$Z$26),"")="","",+IFERROR(INDEX(Sales!AC:AC,$Z$26),""))</f>
        <v/>
      </c>
      <c r="Y26" s="1031" t="n">
        <v>3</v>
      </c>
      <c r="Z26">
        <f>IFERROR(MATCH(_xlfn.AGGREGATE(15,6,Sales!$AJ$2:$AJ$941,$Y$26),Sales!$AJ$2:$AJ$941,0)+1,"")</f>
        <v/>
      </c>
    </row>
    <row r="27" ht="12" customHeight="1">
      <c r="A27" s="42" t="inlineStr">
        <is>
          <t>Best Match #3</t>
        </is>
      </c>
      <c r="B27" s="41">
        <f>IF(IFERROR(INDEX(Sales!D:D,$Z$26),"")="","",+" "&amp;IFERROR(INDEX(Sales!D:D,$Z$26),""))</f>
        <v/>
      </c>
      <c r="C27" s="62">
        <f>IF(IFERROR(INDEX(Sales!P:P,$Z$26),"")="","",IFERROR(INDEX(Sales!P:P,$Z$26),""))</f>
        <v/>
      </c>
      <c r="D27" s="65">
        <f>IF(IFERROR(INDEX(Sales!T:T,$Z$26),"")="","",IFERROR(INDEX(Sales!T:T,$Z$26),""))</f>
        <v/>
      </c>
      <c r="E27" s="68">
        <f>IF(IFERROR(INDEX(Sales!U:U,$Z$26),"")="","",IFERROR(VLOOKUP(IFERROR(INDEX(Sales!U:U,$Z$26),""),Codes!$A$12:$B$16,2),IFERROR(INDEX(Sales!U:U,$Z$26),"")))</f>
        <v/>
      </c>
      <c r="F27" s="523">
        <f>IF(IFERROR(INDEX(Sales!Y:Y,$Z$26),"")="","",IFERROR(INDEX(Sales!Y:Y,$Z$26),""))</f>
        <v/>
      </c>
      <c r="G27" s="115" t="n"/>
      <c r="H27" s="518">
        <f>IF(IFERROR(INDEX(Sales!AB:AB,$Z$26),"")="","",IFERROR(INDEX(Sales!AB:AB,$Z$26),""))</f>
        <v/>
      </c>
    </row>
    <row r="28" ht="12" customHeight="1" thickBot="1">
      <c r="A28" s="45" t="n"/>
      <c r="B28" s="46">
        <f>IF(IFERROR(INDEX(Sales!E:E,$Z$26),"")="","",+" "&amp;IFERROR(VLOOKUP(IFERROR(INDEX(Sales!E:E,$Z$26),""),[0]!Class,2),IFERROR(INDEX(Sales!E:E,$Z$26),"")))</f>
        <v/>
      </c>
      <c r="C28" s="110">
        <f>IF(IFERROR(INDEX(Sales!M:M,$Z$26),"")="","",IFERROR(INDEX(Sales!M:M,$Z$26),""))</f>
        <v/>
      </c>
      <c r="D28" s="67">
        <f>IF(IFERROR(INDEX(Sales!L:L,$Z$26),"")="","",IFERROR(INDEX(Sales!L:L,$Z$26),""))</f>
        <v/>
      </c>
      <c r="E28" s="70">
        <f>IF(IFERROR(INDEX(Sales!V:V,$Z$26),"")="","",IFERROR(VLOOKUP(IFERROR(INDEX(Sales!V:V,$Z$26),""),Codes!$A$1:$B$5,2),IFERROR(INDEX(Sales!V:V,$Z$26),"")))</f>
        <v/>
      </c>
      <c r="F28" s="527">
        <f>IF(IFERROR(INDEX(Sales!AA:AA,$Z$26),"")="","",IFERROR(INDEX(Sales!AA:AA,$Z$26),""))</f>
        <v/>
      </c>
      <c r="G28" s="528">
        <f>IF(G26="","",ROUND(G26*(1+G27),2))</f>
        <v/>
      </c>
      <c r="H28" s="529">
        <f>IF(G28="","",ROUND(G28*$D$13,-2))</f>
        <v/>
      </c>
    </row>
    <row r="29" ht="10.15" customHeight="1" thickBot="1" thickTop="1"/>
    <row r="30" ht="15" customHeight="1" thickTop="1">
      <c r="A30" s="794" t="inlineStr">
        <is>
          <t>MARKET SALE REMARKS</t>
        </is>
      </c>
      <c r="B30" s="47" t="n"/>
      <c r="C30" s="48" t="n"/>
      <c r="D30" s="48" t="n"/>
      <c r="E30" s="48" t="n"/>
      <c r="F30" s="48" t="n"/>
      <c r="G30" s="48" t="n"/>
      <c r="H30" s="49" t="n"/>
    </row>
    <row r="31" ht="12" customHeight="1">
      <c r="A31" s="530" t="n"/>
      <c r="B31" s="531" t="n"/>
      <c r="C31" s="531" t="n"/>
      <c r="D31" s="531" t="n"/>
      <c r="E31" s="531" t="n"/>
      <c r="F31" s="531" t="n"/>
      <c r="G31" s="531" t="n"/>
      <c r="H31" s="532" t="n"/>
    </row>
    <row r="32" ht="12" customHeight="1">
      <c r="A32" s="533" t="n"/>
      <c r="B32" s="531" t="n"/>
      <c r="C32" s="531" t="n"/>
      <c r="D32" s="531" t="n"/>
      <c r="E32" s="531" t="n"/>
      <c r="F32" s="531" t="n"/>
      <c r="G32" s="531" t="n"/>
      <c r="H32" s="532" t="n"/>
    </row>
    <row r="33" ht="12" customHeight="1">
      <c r="A33" s="533" t="n"/>
      <c r="B33" s="531" t="n"/>
      <c r="C33" s="531" t="n"/>
      <c r="D33" s="531" t="n"/>
      <c r="E33" s="531" t="n"/>
      <c r="F33" s="531" t="n"/>
      <c r="G33" s="531" t="n"/>
      <c r="H33" s="532" t="n"/>
    </row>
    <row r="34" ht="12" customHeight="1" thickBot="1">
      <c r="A34" s="534" t="n"/>
      <c r="B34" s="535" t="n"/>
      <c r="C34" s="535" t="n"/>
      <c r="D34" s="535" t="n"/>
      <c r="E34" s="535" t="n"/>
      <c r="F34" s="535" t="n"/>
      <c r="G34" s="535" t="n"/>
      <c r="H34" s="536" t="n"/>
    </row>
    <row r="35" ht="12" customHeight="1" thickBot="1" thickTop="1"/>
    <row r="36" ht="20.25" customHeight="1" thickTop="1">
      <c r="A36" s="981" t="inlineStr">
        <is>
          <t>RENT  COMPARABLE  INFORMATION</t>
        </is>
      </c>
      <c r="B36" s="982" t="n"/>
      <c r="C36" s="982" t="n"/>
      <c r="D36" s="982" t="n"/>
      <c r="E36" s="982" t="n"/>
      <c r="F36" s="982" t="n"/>
      <c r="G36" s="1032" t="n"/>
      <c r="H36" s="977" t="n"/>
    </row>
    <row r="37" ht="12" customHeight="1">
      <c r="A37" s="1033" t="n"/>
      <c r="B37" s="1034" t="inlineStr">
        <is>
          <t xml:space="preserve"> Source of Information</t>
        </is>
      </c>
      <c r="C37" s="1020" t="inlineStr">
        <is>
          <t>Ngbh</t>
        </is>
      </c>
      <c r="D37" s="1020" t="inlineStr">
        <is>
          <t xml:space="preserve">Land Area </t>
        </is>
      </c>
      <c r="E37" s="1035" t="inlineStr">
        <is>
          <t>Quality</t>
        </is>
      </c>
      <c r="F37" s="1020" t="inlineStr">
        <is>
          <t>Rent / Sq Ft</t>
        </is>
      </c>
      <c r="G37" s="1036" t="n"/>
      <c r="H37" s="1037" t="n"/>
    </row>
    <row r="38" ht="12" customHeight="1">
      <c r="A38" s="1038" t="n"/>
      <c r="B38" s="985" t="inlineStr">
        <is>
          <t xml:space="preserve">  Location</t>
        </is>
      </c>
      <c r="C38" s="986" t="inlineStr">
        <is>
          <t>Zone</t>
        </is>
      </c>
      <c r="D38" s="986" t="inlineStr">
        <is>
          <t xml:space="preserve">L : B  Ratio </t>
        </is>
      </c>
      <c r="E38" s="987" t="n"/>
      <c r="F38" s="986" t="inlineStr">
        <is>
          <t>Vacancy</t>
        </is>
      </c>
      <c r="G38" s="1039" t="inlineStr">
        <is>
          <t xml:space="preserve">Net Adjustments </t>
        </is>
      </c>
      <c r="H38" s="1037" t="n"/>
    </row>
    <row r="39" ht="12" customHeight="1">
      <c r="A39" s="1040" t="inlineStr">
        <is>
          <t>#</t>
        </is>
      </c>
      <c r="B39" s="990" t="inlineStr">
        <is>
          <t xml:space="preserve"> Property Type</t>
        </is>
      </c>
      <c r="C39" s="991" t="inlineStr">
        <is>
          <t>YOC</t>
        </is>
      </c>
      <c r="D39" s="991" t="inlineStr">
        <is>
          <t xml:space="preserve">Building Area </t>
        </is>
      </c>
      <c r="E39" s="992" t="n"/>
      <c r="F39" s="991" t="inlineStr">
        <is>
          <t>Expense Ratio</t>
        </is>
      </c>
      <c r="G39" s="1041" t="inlineStr">
        <is>
          <t xml:space="preserve">Adjusted Rent </t>
        </is>
      </c>
      <c r="H39" s="1037" t="n"/>
    </row>
    <row r="40" ht="12" customHeight="1">
      <c r="A40" s="40" t="n"/>
      <c r="B40" s="41">
        <f>IF(Income!E2="","",+Income!E2)</f>
        <v/>
      </c>
      <c r="C40" s="62">
        <f>IF(Income!H2="","",IF(Income!H2&gt;9100,+Income!H2,+"            "&amp;Income!H2))</f>
        <v/>
      </c>
      <c r="D40" s="65">
        <f>IF(Income!W2="","",Income!W2)</f>
        <v/>
      </c>
      <c r="E40" s="68">
        <f>IF(Income!Z2="","",VLOOKUP(LEFT(Income!Z2,1),[0]!GRADE,2))</f>
        <v/>
      </c>
      <c r="F40" s="522">
        <f>IF(Income!K2="","",Income!K2)</f>
        <v/>
      </c>
      <c r="G40" s="81" t="n"/>
    </row>
    <row r="41" ht="12" customHeight="1">
      <c r="A41" s="42" t="inlineStr">
        <is>
          <t>1</t>
        </is>
      </c>
      <c r="B41" s="41">
        <f>IF(Income!H2="","",+" "&amp;VLOOKUP(Income!H2,Codes!$G$1:$H$68,2))</f>
        <v/>
      </c>
      <c r="C41" s="62">
        <f>IF(Income!T2="","",Income!T2)</f>
        <v/>
      </c>
      <c r="D41" s="121">
        <f>IF(Income!X2="","",TEXT(Income!X2,"0.00"))</f>
        <v/>
      </c>
      <c r="E41" s="68" t="n"/>
      <c r="F41" s="82">
        <f>IF(Income!L2="","",Income!L2)</f>
        <v/>
      </c>
      <c r="G41" s="83" t="n"/>
    </row>
    <row r="42" ht="12" customHeight="1">
      <c r="A42" s="43" t="n"/>
      <c r="B42" s="44">
        <f>IF(Income!G2="","",+" "&amp;VLOOKUP(Income!G2,[0]!Class,2))</f>
        <v/>
      </c>
      <c r="C42" s="63">
        <f>IF(Income!N2="","",Income!N2)</f>
        <v/>
      </c>
      <c r="D42" s="66">
        <f>IF(Income!Y2="","",Income!Y2)</f>
        <v/>
      </c>
      <c r="E42" s="69" t="n"/>
      <c r="F42" s="84">
        <f>IF(Income!M2="","",Income!M2)</f>
        <v/>
      </c>
      <c r="G42" s="537">
        <f>IF(F40="","",ROUND(F40*(1+G41),2))</f>
        <v/>
      </c>
    </row>
    <row r="43" ht="12" customHeight="1">
      <c r="A43" s="40" t="n"/>
      <c r="B43" s="41">
        <f>IF(Income!E3="","",+Income!E3)</f>
        <v/>
      </c>
      <c r="C43" s="62">
        <f>IF(Income!H3="","",IF(Income!H3&gt;9100,+Income!H3,+"            "&amp;Income!H3))</f>
        <v/>
      </c>
      <c r="D43" s="65">
        <f>IF(Income!W3="","",Income!W3)</f>
        <v/>
      </c>
      <c r="E43" s="68">
        <f>IF(Income!Z3="","",VLOOKUP(LEFT(Income!Z3,1),[0]!GRADE,2))</f>
        <v/>
      </c>
      <c r="F43" s="522">
        <f>IF(Income!K3="","",Income!K3)</f>
        <v/>
      </c>
      <c r="G43" s="86" t="n"/>
    </row>
    <row r="44" ht="12" customHeight="1">
      <c r="A44" s="42" t="inlineStr">
        <is>
          <t>2</t>
        </is>
      </c>
      <c r="B44" s="41">
        <f>IF(Income!H3="","",+" "&amp;VLOOKUP(Income!H3,Codes!$G$1:$H$68,2))</f>
        <v/>
      </c>
      <c r="C44" s="62">
        <f>IF(Income!T3="","",Income!T3)</f>
        <v/>
      </c>
      <c r="D44" s="121">
        <f>IF(Income!X3="","",TEXT(Income!X3,"0.00"))</f>
        <v/>
      </c>
      <c r="E44" s="68" t="n"/>
      <c r="F44" s="82">
        <f>IF(Income!L3="","",Income!L3)</f>
        <v/>
      </c>
      <c r="G44" s="83" t="n"/>
    </row>
    <row r="45" ht="12" customHeight="1">
      <c r="A45" s="43" t="n"/>
      <c r="B45" s="44">
        <f>IF(Income!G3="","",+" "&amp;VLOOKUP(Income!G3,[0]!Class,2))</f>
        <v/>
      </c>
      <c r="C45" s="63">
        <f>IF(Income!N3="","",Income!N3)</f>
        <v/>
      </c>
      <c r="D45" s="66">
        <f>IF(Income!Y3="","",Income!Y3)</f>
        <v/>
      </c>
      <c r="E45" s="69" t="n"/>
      <c r="F45" s="84">
        <f>IF(Income!M3="","",Income!M3)</f>
        <v/>
      </c>
      <c r="G45" s="538">
        <f>IF(F43="","",ROUND(F43*(1+G44),2))</f>
        <v/>
      </c>
    </row>
    <row r="46" ht="12" customHeight="1">
      <c r="A46" s="40" t="n"/>
      <c r="B46" s="41">
        <f>IF(Income!E4="","",+Income!E4)</f>
        <v/>
      </c>
      <c r="C46" s="62">
        <f>IF(Income!H4="","",IF(Income!H4&gt;9100,+Income!H4,+"            "&amp;Income!H4))</f>
        <v/>
      </c>
      <c r="D46" s="65">
        <f>IF(Income!W4="","",Income!W4)</f>
        <v/>
      </c>
      <c r="E46" s="68">
        <f>IF(Income!Z4="","",VLOOKUP(LEFT(Income!Z4,1),[0]!GRADE,2))</f>
        <v/>
      </c>
      <c r="F46" s="522">
        <f>IF(Income!K4="","",Income!K4)</f>
        <v/>
      </c>
      <c r="G46" s="81" t="n"/>
    </row>
    <row r="47" ht="12" customHeight="1">
      <c r="A47" s="42" t="inlineStr">
        <is>
          <t>3</t>
        </is>
      </c>
      <c r="B47" s="41">
        <f>IF(Income!H4="","",+" "&amp;VLOOKUP(Income!H4,Codes!$G$1:$H$68,2))</f>
        <v/>
      </c>
      <c r="C47" s="62">
        <f>IF(Income!T2="","",Income!T2)</f>
        <v/>
      </c>
      <c r="D47" s="121">
        <f>IF(Income!X4="","",TEXT(Income!X4,"0.00"))</f>
        <v/>
      </c>
      <c r="E47" s="68" t="n"/>
      <c r="F47" s="82">
        <f>IF(Income!L4="","",Income!L4)</f>
        <v/>
      </c>
      <c r="G47" s="83" t="n"/>
    </row>
    <row r="48" ht="12" customHeight="1" thickBot="1">
      <c r="A48" s="45" t="n"/>
      <c r="B48" s="46">
        <f>IF(Income!G4="","",+" "&amp;VLOOKUP(Income!G4,[0]!Class,2))</f>
        <v/>
      </c>
      <c r="C48" s="64">
        <f>IF(Income!N4="","",Income!N4)</f>
        <v/>
      </c>
      <c r="D48" s="67">
        <f>IF(Income!Y4="","",Income!Y4)</f>
        <v/>
      </c>
      <c r="E48" s="70" t="n"/>
      <c r="F48" s="87">
        <f>IF(Income!M4="","",Income!M4)</f>
        <v/>
      </c>
      <c r="G48" s="539">
        <f>IF(F46="","",ROUND(F46*(1+G47),2))</f>
        <v/>
      </c>
    </row>
    <row r="49" ht="11.25" customHeight="1" thickTop="1"/>
    <row r="50" ht="11.25" customHeight="1" thickBot="1"/>
    <row r="51" ht="15" customHeight="1" thickTop="1">
      <c r="A51" s="794" t="inlineStr">
        <is>
          <t>RENT COMPARABLE REMARKS</t>
        </is>
      </c>
      <c r="B51" s="47" t="n"/>
      <c r="C51" s="48" t="n"/>
      <c r="D51" s="48" t="n"/>
      <c r="E51" s="48" t="n"/>
      <c r="F51" s="48" t="n"/>
      <c r="G51" s="48" t="n"/>
      <c r="H51" s="49" t="n"/>
    </row>
    <row r="52" ht="12" customHeight="1">
      <c r="A52" s="530" t="n"/>
      <c r="B52" s="531" t="n"/>
      <c r="C52" s="531" t="n"/>
      <c r="D52" s="531" t="n"/>
      <c r="E52" s="531" t="n"/>
      <c r="F52" s="531" t="n"/>
      <c r="G52" s="531" t="n"/>
      <c r="H52" s="532" t="n"/>
    </row>
    <row r="53" ht="12" customHeight="1">
      <c r="A53" s="533" t="n"/>
      <c r="B53" s="531" t="n"/>
      <c r="C53" s="531" t="n"/>
      <c r="D53" s="531" t="n"/>
      <c r="E53" s="531" t="n"/>
      <c r="F53" s="531" t="n"/>
      <c r="G53" s="531" t="n"/>
      <c r="H53" s="532" t="n"/>
    </row>
    <row r="54" ht="12" customHeight="1">
      <c r="A54" s="533" t="n"/>
      <c r="B54" s="531" t="n"/>
      <c r="C54" s="531" t="n"/>
      <c r="D54" s="531" t="n"/>
      <c r="E54" s="531" t="n"/>
      <c r="F54" s="531" t="n"/>
      <c r="G54" s="531" t="n"/>
      <c r="H54" s="532" t="n"/>
    </row>
    <row r="55" ht="12" customHeight="1" thickBot="1">
      <c r="A55" s="534" t="n"/>
      <c r="B55" s="535" t="n"/>
      <c r="C55" s="535" t="n"/>
      <c r="D55" s="535" t="n"/>
      <c r="E55" s="535" t="n"/>
      <c r="F55" s="535" t="n"/>
      <c r="G55" s="535" t="n"/>
      <c r="H55" s="536" t="n"/>
    </row>
    <row r="56" ht="4.9" customHeight="1" thickTop="1"/>
  </sheetData>
  <mergeCells count="2">
    <mergeCell ref="A52:H55"/>
    <mergeCell ref="A31:H34"/>
  </mergeCells>
  <printOptions horizontalCentered="1" verticalCentered="1"/>
  <pageMargins left="0.5" right="0.25" top="0.25" bottom="0.25" header="0.5" footer="0.5"/>
  <pageSetup orientation="landscape" scale="77"/>
  <legacyDrawing xmlns:r="http://schemas.openxmlformats.org/officeDocument/2006/relationships" r:id="anysvml"/>
</worksheet>
</file>

<file path=xl/worksheets/sheet5.xml><?xml version="1.0" encoding="utf-8"?>
<worksheet xmlns="http://schemas.openxmlformats.org/spreadsheetml/2006/main">
  <sheetPr codeName="Sheet5">
    <tabColor rgb="000E7490"/>
    <outlinePr summaryBelow="1" summaryRight="1"/>
    <pageSetUpPr fitToPage="1"/>
  </sheetPr>
  <dimension ref="A1:Z39"/>
  <sheetViews>
    <sheetView tabSelected="1" zoomScale="93" zoomScaleNormal="100" workbookViewId="0">
      <pane ySplit="7" topLeftCell="A8" activePane="bottomLeft" state="frozen"/>
      <selection pane="bottomLeft" activeCell="H12" sqref="H12"/>
    </sheetView>
  </sheetViews>
  <sheetFormatPr baseColWidth="8" defaultColWidth="13.6640625" defaultRowHeight="12.75"/>
  <cols>
    <col width="9" customWidth="1" style="413" min="1" max="1"/>
    <col width="18" customWidth="1" style="413" min="2" max="2"/>
    <col width="18" customWidth="1" style="413" min="3" max="3"/>
    <col width="22" customWidth="1" style="413" min="4" max="4"/>
    <col width="20" customWidth="1" style="413" min="5" max="5"/>
    <col width="19" customWidth="1" style="413" min="6" max="6"/>
    <col width="10" customWidth="1" style="413" min="7" max="7"/>
    <col width="10" bestFit="1" customWidth="1" style="413" min="8" max="8"/>
    <col width="19" customWidth="1" style="413" min="9" max="9"/>
    <col width="18.1640625" customWidth="1" style="413" min="10" max="10"/>
    <col width="13.6640625" customWidth="1" style="413" min="11" max="16384"/>
    <col width="6" customWidth="1" min="25" max="25"/>
    <col hidden="1" width="13" customWidth="1" min="26" max="26"/>
  </cols>
  <sheetData>
    <row r="1" ht="26.25" customHeight="1">
      <c r="A1" s="1042" t="inlineStr">
        <is>
          <t>IMPROVED MARKET APPROACH</t>
        </is>
      </c>
      <c r="B1" s="1042" t="n"/>
      <c r="C1" s="1042" t="n"/>
      <c r="D1" s="1042" t="n"/>
      <c r="E1" s="1042" t="n"/>
      <c r="F1" s="1042" t="n"/>
      <c r="G1" s="1042" t="n"/>
      <c r="H1" s="1042" t="n"/>
      <c r="I1" s="1042" t="n"/>
      <c r="J1" s="977" t="n"/>
      <c r="K1" s="977" t="n"/>
    </row>
    <row r="2"/>
    <row r="3" ht="21" customHeight="1" thickBot="1">
      <c r="A3" s="131" t="inlineStr">
        <is>
          <t>SUBJECT</t>
        </is>
      </c>
      <c r="B3" s="131" t="n"/>
      <c r="C3" s="131" t="n"/>
      <c r="D3" s="131" t="n"/>
      <c r="E3" s="131" t="n"/>
      <c r="F3" s="131" t="n"/>
      <c r="G3" s="131" t="n"/>
      <c r="H3" s="131" t="n"/>
      <c r="I3" s="131" t="n"/>
    </row>
    <row r="4" ht="13.5" customHeight="1" thickTop="1">
      <c r="B4" s="1043" t="inlineStr">
        <is>
          <t>Account Number</t>
        </is>
      </c>
      <c r="C4" s="1043" t="inlineStr">
        <is>
          <t>Grantor</t>
        </is>
      </c>
      <c r="D4" s="1044" t="inlineStr">
        <is>
          <t xml:space="preserve">Sale Price </t>
        </is>
      </c>
      <c r="E4" s="1044" t="inlineStr">
        <is>
          <t>Location</t>
        </is>
      </c>
      <c r="F4" s="1044" t="inlineStr">
        <is>
          <t>Age</t>
        </is>
      </c>
      <c r="G4" s="1045" t="n"/>
      <c r="H4" s="1046" t="n"/>
      <c r="I4" s="1047" t="inlineStr">
        <is>
          <t>Value of the</t>
        </is>
      </c>
    </row>
    <row r="5">
      <c r="B5" s="1048" t="inlineStr">
        <is>
          <t>Property Address</t>
        </is>
      </c>
      <c r="C5" s="1048" t="inlineStr">
        <is>
          <t>Grantee</t>
        </is>
      </c>
      <c r="D5" s="1049" t="inlineStr">
        <is>
          <t>Sale Price  / SF</t>
        </is>
      </c>
      <c r="E5" s="1049" t="inlineStr">
        <is>
          <t>Land Size</t>
        </is>
      </c>
      <c r="F5" s="1049" t="inlineStr">
        <is>
          <t>Quality</t>
        </is>
      </c>
      <c r="G5" s="1050" t="n"/>
      <c r="H5" s="1051" t="n"/>
      <c r="I5" s="1052" t="inlineStr">
        <is>
          <t xml:space="preserve"> Subject/SF</t>
        </is>
      </c>
    </row>
    <row r="6">
      <c r="B6" s="1048" t="inlineStr">
        <is>
          <t>Parcel Number</t>
        </is>
      </c>
      <c r="C6" s="1048" t="inlineStr">
        <is>
          <t>Reception Number</t>
        </is>
      </c>
      <c r="D6" s="1053" t="inlineStr">
        <is>
          <t>PP/Time/Mkt Cond</t>
        </is>
      </c>
      <c r="E6" s="1049" t="inlineStr">
        <is>
          <t>L : B  Ratio</t>
        </is>
      </c>
      <c r="F6" s="1053" t="inlineStr">
        <is>
          <t>Phy./Funct Rating</t>
        </is>
      </c>
      <c r="G6" s="1054" t="n"/>
      <c r="H6" s="1051" t="n"/>
      <c r="I6" s="1053" t="inlineStr">
        <is>
          <t>Value</t>
        </is>
      </c>
    </row>
    <row r="7" ht="13.5" customHeight="1" thickBot="1">
      <c r="B7" s="1055" t="inlineStr">
        <is>
          <t>Property Type</t>
        </is>
      </c>
      <c r="C7" s="1056" t="inlineStr">
        <is>
          <t>Sale Date</t>
        </is>
      </c>
      <c r="D7" s="1057" t="inlineStr">
        <is>
          <t>Adj S P  / SF</t>
        </is>
      </c>
      <c r="E7" s="1058" t="inlineStr">
        <is>
          <t>Building Size</t>
        </is>
      </c>
      <c r="F7" s="1058" t="inlineStr">
        <is>
          <t>Zoning</t>
        </is>
      </c>
      <c r="G7" s="1059" t="inlineStr">
        <is>
          <t>Comments</t>
        </is>
      </c>
      <c r="H7" s="1060" t="n"/>
      <c r="I7" s="1057" t="inlineStr">
        <is>
          <t>of the Subject</t>
        </is>
      </c>
    </row>
    <row r="8" ht="14.25" customHeight="1" thickBot="1" thickTop="1"/>
    <row r="9" ht="13.5" customHeight="1" thickTop="1">
      <c r="B9" s="432" t="n"/>
      <c r="C9" s="432" t="n"/>
      <c r="D9" s="540" t="n"/>
      <c r="E9" s="434" t="n"/>
      <c r="F9" s="434" t="n"/>
      <c r="G9" s="435" t="n"/>
      <c r="H9" s="436" t="n"/>
      <c r="I9" s="434" t="n"/>
    </row>
    <row r="10">
      <c r="B10" s="437" t="n"/>
      <c r="C10" s="437" t="n"/>
      <c r="D10" s="541">
        <f>D9/E12</f>
        <v/>
      </c>
      <c r="E10" s="439" t="n"/>
      <c r="F10" s="440" t="n"/>
      <c r="G10" s="441" t="n"/>
      <c r="H10" s="442" t="n"/>
      <c r="I10" s="542">
        <f>IF(E12="","",ROUND(I12/E12,2))</f>
        <v/>
      </c>
    </row>
    <row r="11">
      <c r="B11" s="465" t="n"/>
      <c r="C11" s="465" t="n"/>
      <c r="D11" s="543" t="n"/>
      <c r="E11" s="461" t="n"/>
      <c r="F11" s="440" t="n"/>
      <c r="G11" s="441" t="n"/>
      <c r="H11" s="442" t="n"/>
      <c r="I11" s="440" t="n"/>
    </row>
    <row r="12" ht="13.5" customHeight="1" thickBot="1">
      <c r="B12" s="445" t="n"/>
      <c r="C12" s="446" t="n"/>
      <c r="D12" s="544" t="n"/>
      <c r="E12" s="448" t="n"/>
      <c r="F12" s="449" t="n"/>
      <c r="G12" s="450" t="n"/>
      <c r="H12" s="451" t="n"/>
      <c r="I12" s="545" t="n"/>
    </row>
    <row r="13" ht="13.5" customHeight="1" thickTop="1">
      <c r="I13" s="546" t="n"/>
    </row>
    <row r="14">
      <c r="I14" s="546" t="n"/>
    </row>
    <row r="15" ht="21" customHeight="1" thickBot="1">
      <c r="A15" s="1042" t="inlineStr">
        <is>
          <t>COMPARABLE SALE PROPERTIES</t>
        </is>
      </c>
      <c r="B15" s="1042" t="n"/>
      <c r="C15" s="1042" t="n"/>
      <c r="D15" s="1042" t="n"/>
      <c r="E15" s="1042" t="n"/>
      <c r="F15" s="1042" t="n"/>
      <c r="G15" s="1042" t="n"/>
      <c r="H15" s="1042" t="n"/>
      <c r="I15" s="1042" t="n"/>
      <c r="J15" s="977" t="n"/>
      <c r="K15" s="977" t="n"/>
    </row>
    <row r="16" ht="13.5" customHeight="1" thickTop="1">
      <c r="A16" s="1037" t="n"/>
      <c r="B16" s="1043" t="inlineStr">
        <is>
          <t>Account Number</t>
        </is>
      </c>
      <c r="C16" s="1043" t="inlineStr">
        <is>
          <t>Grantor</t>
        </is>
      </c>
      <c r="D16" s="1044" t="inlineStr">
        <is>
          <t xml:space="preserve">Sale Price </t>
        </is>
      </c>
      <c r="E16" s="1044" t="inlineStr">
        <is>
          <t>Location</t>
        </is>
      </c>
      <c r="F16" s="1044" t="inlineStr">
        <is>
          <t>Age</t>
        </is>
      </c>
      <c r="G16" s="1044" t="n"/>
      <c r="H16" s="1044" t="n"/>
      <c r="I16" s="1044" t="inlineStr">
        <is>
          <t>Indicated Value</t>
        </is>
      </c>
    </row>
    <row r="17">
      <c r="A17" s="1037" t="n"/>
      <c r="B17" s="1048" t="inlineStr">
        <is>
          <t>Property Address</t>
        </is>
      </c>
      <c r="C17" s="1048" t="inlineStr">
        <is>
          <t>Grantee</t>
        </is>
      </c>
      <c r="D17" s="1049" t="inlineStr">
        <is>
          <t>Sale Price  / SF</t>
        </is>
      </c>
      <c r="E17" s="1049" t="inlineStr">
        <is>
          <t>Land Size</t>
        </is>
      </c>
      <c r="F17" s="1049" t="inlineStr">
        <is>
          <t>Quality</t>
        </is>
      </c>
      <c r="G17" s="1049" t="n"/>
      <c r="H17" s="1049" t="inlineStr">
        <is>
          <t>Adjusted</t>
        </is>
      </c>
      <c r="I17" s="1052" t="inlineStr">
        <is>
          <t>of the Subject/SF</t>
        </is>
      </c>
    </row>
    <row r="18">
      <c r="A18" s="1037" t="n"/>
      <c r="B18" s="1048" t="inlineStr">
        <is>
          <t>Parcel Number</t>
        </is>
      </c>
      <c r="C18" s="1048" t="inlineStr">
        <is>
          <t>Reception Number</t>
        </is>
      </c>
      <c r="D18" s="1053" t="inlineStr">
        <is>
          <t>PP/Time/Mkt Cond Adj</t>
        </is>
      </c>
      <c r="E18" s="1049" t="inlineStr">
        <is>
          <t>L : B  Ratio</t>
        </is>
      </c>
      <c r="F18" s="1053" t="inlineStr">
        <is>
          <t>Phy/Funct Rating</t>
        </is>
      </c>
      <c r="G18" s="1053" t="inlineStr">
        <is>
          <t>Net</t>
        </is>
      </c>
      <c r="H18" s="1049" t="inlineStr">
        <is>
          <t>Sale</t>
        </is>
      </c>
      <c r="I18" s="1053" t="inlineStr">
        <is>
          <t>Indicated Value</t>
        </is>
      </c>
    </row>
    <row r="19" ht="13.5" customHeight="1" thickBot="1">
      <c r="A19" s="1037" t="n"/>
      <c r="B19" s="1055" t="inlineStr">
        <is>
          <t>Property Type</t>
        </is>
      </c>
      <c r="C19" s="1056" t="inlineStr">
        <is>
          <t>Sale Date</t>
        </is>
      </c>
      <c r="D19" s="1057" t="inlineStr">
        <is>
          <t>Adj S P  / SF</t>
        </is>
      </c>
      <c r="E19" s="1058" t="inlineStr">
        <is>
          <t>Building Size/Keys</t>
        </is>
      </c>
      <c r="F19" s="1058" t="inlineStr">
        <is>
          <t>Zoning</t>
        </is>
      </c>
      <c r="G19" s="1057" t="inlineStr">
        <is>
          <t>Adj.</t>
        </is>
      </c>
      <c r="H19" s="1058" t="inlineStr">
        <is>
          <t>Price/SF</t>
        </is>
      </c>
      <c r="I19" s="1057" t="inlineStr">
        <is>
          <t>of the Subject</t>
        </is>
      </c>
    </row>
    <row r="20" ht="14.25" customHeight="1" thickBot="1" thickTop="1"/>
    <row r="21" ht="13.5" customHeight="1" thickTop="1">
      <c r="A21" s="482" t="inlineStr">
        <is>
          <t>Best Match #1</t>
        </is>
      </c>
      <c r="B21" s="394">
        <f>IF(IFERROR(INDEX(Sales!C:C,$Z$21),"")="","",+" "&amp;IFERROR(INDEX(Sales!C:C,$Z$21),""))</f>
        <v/>
      </c>
      <c r="C21" s="394">
        <f>IF(IFERROR(INDEX(Sales!AE:AE,$Z$21),"")="","",IFERROR(INDEX(Sales!AE:AE,$Z$21),""))</f>
        <v/>
      </c>
      <c r="D21" s="547">
        <f>IF(IFERROR(INDEX(Sales!AA:AA,$Z$21),"")="","",IFERROR(INDEX(Sales!AA:AA,$Z$21),""))</f>
        <v/>
      </c>
      <c r="E21" s="547">
        <f>IF(IFERROR(INDEX(Sales!F:F,$Z$21),"")="","",IFERROR(INDEX(Sales!F:F,$Z$21),""))</f>
        <v/>
      </c>
      <c r="F21" s="396">
        <f>IF(IFERROR(INDEX(Sales!M:M,$Z$21),"")="","",IFERROR(INDEX(Sales!M:M,$Z$21),""))</f>
        <v/>
      </c>
      <c r="G21" s="462" t="n"/>
      <c r="H21" s="396" t="n"/>
      <c r="I21" s="396" t="n"/>
      <c r="Y21" s="1031" t="n">
        <v>1</v>
      </c>
      <c r="Z21">
        <f>IFERROR(MATCH(_xlfn.AGGREGATE(15,6,Sales!$AJ$2:$AJ$941,$Y$21),Sales!$AJ$2:$AJ$941,0)+1,"")</f>
        <v/>
      </c>
    </row>
    <row r="22">
      <c r="B22" s="397">
        <f>IF(IFERROR(INDEX(Sales!D:D,$Z$21),"")="","",IFERROR(INDEX(Sales!D:D,$Z$21),""))</f>
        <v/>
      </c>
      <c r="C22" s="397">
        <f>IF(IFERROR(INDEX(Sales!AF:AF,$Z$21),"")="","",IFERROR(INDEX(Sales!AF:AF,$Z$21),""))</f>
        <v/>
      </c>
      <c r="D22" s="548">
        <f>IF(IFERROR(INDEX(Sales!H:H,$Z$21),"")="","",IFERROR(INDEX(Sales!H:H,$Z$21),""))</f>
        <v/>
      </c>
      <c r="E22" s="399">
        <f>IF(IFERROR(INDEX(Sales!S:S,$Z$21),"")="","",IFERROR(INDEX(Sales!S:S,$Z$21),""))</f>
        <v/>
      </c>
      <c r="F22" s="456">
        <f>IF(IFERROR(INDEX(Sales!R:R,$Z$21),"")="","",IFERROR(VLOOKUP(IFERROR(INDEX(Sales!R:R,$Z$21),""),[0]!GRADE,2),IFERROR(INDEX(Sales!R:R,$Z$21),"")))</f>
        <v/>
      </c>
      <c r="G22" s="400" t="n"/>
      <c r="H22" s="400" t="n"/>
      <c r="I22" s="549">
        <f>IF(H24="","",H24)</f>
        <v/>
      </c>
    </row>
    <row r="23">
      <c r="B23" s="397">
        <f>IF(IFERROR(INDEX(Sales!AC:AC,$Z$21),"")="","",+IFERROR(INDEX(Sales!AC:AC,$Z$21),""))</f>
        <v/>
      </c>
      <c r="C23" s="402">
        <f>IF(IFERROR(INDEX(Sales!AD:AD,$Z$21),"")="","",IFERROR(INDEX(Sales!AD:AD,$Z$21),""))</f>
        <v/>
      </c>
      <c r="D23" s="550" t="n"/>
      <c r="E23" s="400">
        <f>IF(IFERROR(INDEX(Sales!T:T,$Z$21),"")="","",IFERROR(INDEX(Sales!T:T,$Z$21),""))</f>
        <v/>
      </c>
      <c r="F23" s="457">
        <f>IF(IFERROR(INDEX(Sales!V:V,$Z$21),"")="","",IFERROR(VLOOKUP(IFERROR(INDEX(Sales!V:V,$Z$21),""),Codes!$A$12:$B$16,2),IFERROR(INDEX(Sales!V:V,$Z$21),"")))</f>
        <v/>
      </c>
      <c r="G23" s="400" t="n"/>
      <c r="H23" s="400" t="n"/>
      <c r="I23" s="400" t="n"/>
    </row>
    <row r="24" ht="13.5" customHeight="1" thickBot="1">
      <c r="B24" s="404">
        <f>IF(IFERROR(INDEX(Sales!E:E,$Z$21),"")="","",+" "&amp;IFERROR(VLOOKUP(IFERROR(INDEX(Sales!E:E,$Z$21),""),[0]!Class,2),IFERROR(INDEX(Sales!E:E,$Z$21),"")))</f>
        <v/>
      </c>
      <c r="C24" s="551">
        <f>IF(IFERROR(INDEX(Sales!I:I,$Z$21),"")="","",IFERROR(INDEX(Sales!I:I,$Z$21),""))</f>
        <v/>
      </c>
      <c r="D24" s="552">
        <f>IF(D21="","",ROUND((D21+D23)/E24,2))</f>
        <v/>
      </c>
      <c r="E24" s="407">
        <f>IF(IFERROR(INDEX(Sales!L:L,$Z$21),"")="","",IFERROR(INDEX(Sales!L:L,$Z$21),""))</f>
        <v/>
      </c>
      <c r="F24" s="408">
        <f>IF(IFERROR(INDEX(Sales!P:P,$Z$21),"")="","",IFERROR(INDEX(Sales!P:P,$Z$21),""))</f>
        <v/>
      </c>
      <c r="G24" s="409" t="n"/>
      <c r="H24" s="553">
        <f>IF(D24="","",ROUND(D24*(1+G24),2))</f>
        <v/>
      </c>
      <c r="I24" s="554">
        <f>IF(E12="","",ROUND(E12*H24,-2))</f>
        <v/>
      </c>
    </row>
    <row r="25" ht="14.25" customHeight="1" thickBot="1" thickTop="1">
      <c r="A25" s="453" t="n"/>
      <c r="G25" s="454" t="n"/>
      <c r="I25" s="555" t="n"/>
    </row>
    <row r="26" ht="13.5" customHeight="1" thickTop="1">
      <c r="A26" s="482" t="inlineStr">
        <is>
          <t>Best Match #2</t>
        </is>
      </c>
      <c r="B26" s="394">
        <f>IF(IFERROR(INDEX(Sales!C:C,$Z$26),"")="","",+" "&amp;IFERROR(INDEX(Sales!C:C,$Z$26),""))</f>
        <v/>
      </c>
      <c r="C26" s="394">
        <f>IF(IFERROR(INDEX(Sales!AE:AE,$Z$26),"")="","",IFERROR(INDEX(Sales!AE:AE,$Z$26),""))</f>
        <v/>
      </c>
      <c r="D26" s="547">
        <f>IF(IFERROR(INDEX(Sales!AA:AA,$Z$26),"")="","",IFERROR(INDEX(Sales!AA:AA,$Z$26),""))</f>
        <v/>
      </c>
      <c r="E26" s="547">
        <f>IF(IFERROR(INDEX(Sales!F:F,$Z$26),"")="","",IFERROR(INDEX(Sales!F:F,$Z$26),""))</f>
        <v/>
      </c>
      <c r="F26" s="396">
        <f>IF(IFERROR(INDEX(Sales!M:M,$Z$26),"")="","",IFERROR(INDEX(Sales!M:M,$Z$26),""))</f>
        <v/>
      </c>
      <c r="G26" s="463" t="n"/>
      <c r="H26" s="396" t="n"/>
      <c r="I26" s="396" t="n"/>
      <c r="Y26" s="1031" t="n">
        <v>2</v>
      </c>
      <c r="Z26">
        <f>IFERROR(MATCH(_xlfn.AGGREGATE(15,6,Sales!$AJ$2:$AJ$941,$Y$26),Sales!$AJ$2:$AJ$941,0)+1,"")</f>
        <v/>
      </c>
    </row>
    <row r="27">
      <c r="B27" s="397">
        <f>IF(IFERROR(INDEX(Sales!D:D,$Z$26),"")="","",IFERROR(INDEX(Sales!D:D,$Z$26),""))</f>
        <v/>
      </c>
      <c r="C27" s="397">
        <f>IF(IFERROR(INDEX(Sales!AF:AF,$Z$26),"")="","",IFERROR(INDEX(Sales!AF:AF,$Z$26),""))</f>
        <v/>
      </c>
      <c r="D27" s="548">
        <f>IF(IFERROR(INDEX(Sales!H:H,$Z$26),"")="","",IFERROR(INDEX(Sales!H:H,$Z$26),""))</f>
        <v/>
      </c>
      <c r="E27" s="399">
        <f>IF(IFERROR(INDEX(Sales!S:S,$Z$26),"")="","",IFERROR(INDEX(Sales!S:S,$Z$26),""))</f>
        <v/>
      </c>
      <c r="F27" s="400">
        <f>IF(IFERROR(INDEX(Sales!R:R,$Z$26),"")="","",IFERROR(VLOOKUP(IFERROR(INDEX(Sales!R:R,$Z$26),""),[0]!GRADE,2),IFERROR(INDEX(Sales!R:R,$Z$26),"")))</f>
        <v/>
      </c>
      <c r="G27" s="400" t="n"/>
      <c r="H27" s="400" t="n"/>
      <c r="I27" s="549">
        <f>IF(H29="","",H29)</f>
        <v/>
      </c>
    </row>
    <row r="28">
      <c r="B28" s="397">
        <f>IF(IFERROR(INDEX(Sales!AC:AC,$Z$26),"")="","",+IFERROR(INDEX(Sales!AC:AC,$Z$26),""))</f>
        <v/>
      </c>
      <c r="C28" s="402">
        <f>IF(IFERROR(INDEX(Sales!AD:AD,$Z$26),"")="","",IFERROR(INDEX(Sales!AD:AD,$Z$26),""))</f>
        <v/>
      </c>
      <c r="D28" s="550" t="n"/>
      <c r="E28" s="400">
        <f>IF(IFERROR(INDEX(Sales!T:T,$Z$26),"")="","",IFERROR(INDEX(Sales!T:T,$Z$26),""))</f>
        <v/>
      </c>
      <c r="F28" s="400">
        <f>IF(IFERROR(INDEX(Sales!V:V,$Z$26),"")="","",IFERROR(VLOOKUP(IFERROR(INDEX(Sales!V:V,$Z$26),""),Codes!$A$12:$B$16,2),IFERROR(INDEX(Sales!V:V,$Z$26),"")))</f>
        <v/>
      </c>
      <c r="G28" s="400" t="n"/>
      <c r="H28" s="400" t="n"/>
      <c r="I28" s="400" t="n"/>
    </row>
    <row r="29" ht="13.5" customHeight="1" thickBot="1">
      <c r="B29" s="404">
        <f>IF(IFERROR(INDEX(Sales!E:E,$Z$26),"")="","",+" "&amp;IFERROR(VLOOKUP(IFERROR(INDEX(Sales!E:E,$Z$26),""),[0]!Class,2),IFERROR(INDEX(Sales!E:E,$Z$26),"")))</f>
        <v/>
      </c>
      <c r="C29" s="551">
        <f>IF(IFERROR(INDEX(Sales!I:I,$Z$26),"")="","",IFERROR(INDEX(Sales!I:I,$Z$26),""))</f>
        <v/>
      </c>
      <c r="D29" s="552">
        <f>IF(D26="","",ROUND((D26+D28)/E29,2))</f>
        <v/>
      </c>
      <c r="E29" s="407">
        <f>IF(IFERROR(INDEX(Sales!L:L,$Z$26),"")="","",IFERROR(INDEX(Sales!L:L,$Z$26),""))</f>
        <v/>
      </c>
      <c r="F29" s="408">
        <f>IF(IFERROR(INDEX(Sales!P:P,$Z$26),"")="","",IFERROR(INDEX(Sales!P:P,$Z$26),""))</f>
        <v/>
      </c>
      <c r="G29" s="409" t="n"/>
      <c r="H29" s="553">
        <f>IF(D29="","",ROUND(D29*(1+G29),2))</f>
        <v/>
      </c>
      <c r="I29" s="554">
        <f>IF(E12="","",ROUND(E12*H29,-2))</f>
        <v/>
      </c>
    </row>
    <row r="30" ht="14.25" customHeight="1" thickBot="1" thickTop="1">
      <c r="A30" s="453" t="n"/>
      <c r="G30" s="454" t="n"/>
      <c r="I30" s="555" t="n"/>
    </row>
    <row r="31" ht="13.5" customHeight="1" thickTop="1">
      <c r="A31" s="482" t="inlineStr">
        <is>
          <t>Best Match #3</t>
        </is>
      </c>
      <c r="B31" s="394">
        <f>IF(IFERROR(INDEX(Sales!C:C,$Z$31),"")="","",+" "&amp;IFERROR(INDEX(Sales!C:C,$Z$31),""))</f>
        <v/>
      </c>
      <c r="C31" s="394">
        <f>IF(IFERROR(INDEX(Sales!AE:AE,$Z$31),"")="","",IFERROR(INDEX(Sales!AE:AE,$Z$31),""))</f>
        <v/>
      </c>
      <c r="D31" s="547">
        <f>IF(IFERROR(INDEX(Sales!AA:AA,$Z$31),"")="","",IFERROR(INDEX(Sales!AA:AA,$Z$31),""))</f>
        <v/>
      </c>
      <c r="E31" s="547">
        <f>IF(IFERROR(INDEX(Sales!F:F,$Z$31),"")="","",IFERROR(INDEX(Sales!F:F,$Z$31),""))</f>
        <v/>
      </c>
      <c r="F31" s="396">
        <f>IF(IFERROR(INDEX(Sales!M:M,$Z$31),"")="","",IFERROR(INDEX(Sales!M:M,$Z$31),""))</f>
        <v/>
      </c>
      <c r="G31" s="462" t="n"/>
      <c r="H31" s="396" t="n"/>
      <c r="I31" s="396" t="n"/>
      <c r="Y31" s="1031" t="n">
        <v>3</v>
      </c>
      <c r="Z31">
        <f>IFERROR(MATCH(_xlfn.AGGREGATE(15,6,Sales!$AJ$2:$AJ$941,$Y$31),Sales!$AJ$2:$AJ$941,0)+1,"")</f>
        <v/>
      </c>
    </row>
    <row r="32">
      <c r="B32" s="397">
        <f>IF(IFERROR(INDEX(Sales!D:D,$Z$31),"")="","",IFERROR(INDEX(Sales!D:D,$Z$31),""))</f>
        <v/>
      </c>
      <c r="C32" s="397">
        <f>IF(IFERROR(INDEX(Sales!AF:AF,$Z$31),"")="","",IFERROR(INDEX(Sales!AF:AF,$Z$31),""))</f>
        <v/>
      </c>
      <c r="D32" s="548">
        <f>IF(IFERROR(INDEX(Sales!H:H,$Z$31),"")="","",IFERROR(INDEX(Sales!H:H,$Z$31),""))</f>
        <v/>
      </c>
      <c r="E32" s="399">
        <f>IF(IFERROR(INDEX(Sales!S:S,$Z$31),"")="","",IFERROR(INDEX(Sales!S:S,$Z$31),""))</f>
        <v/>
      </c>
      <c r="F32" s="400">
        <f>IF(IFERROR(INDEX(Sales!R:R,$Z$31),"")="","",IFERROR(VLOOKUP(IFERROR(INDEX(Sales!R:R,$Z$31),""),[0]!GRADE,2),IFERROR(INDEX(Sales!R:R,$Z$31),"")))</f>
        <v/>
      </c>
      <c r="G32" s="400" t="n"/>
      <c r="H32" s="400" t="n"/>
      <c r="I32" s="549">
        <f>IF(H34="","",H34)</f>
        <v/>
      </c>
    </row>
    <row r="33">
      <c r="B33" s="397">
        <f>IF(IFERROR(INDEX(Sales!AC:AC,$Z$31),"")="","",+IFERROR(INDEX(Sales!AC:AC,$Z$31),""))</f>
        <v/>
      </c>
      <c r="C33" s="402">
        <f>IF(IFERROR(INDEX(Sales!AD:AD,$Z$31),"")="","",IFERROR(INDEX(Sales!AD:AD,$Z$31),""))</f>
        <v/>
      </c>
      <c r="D33" s="550" t="n"/>
      <c r="E33" s="400">
        <f>IF(IFERROR(INDEX(Sales!T:T,$Z$31),"")="","",IFERROR(INDEX(Sales!T:T,$Z$31),""))</f>
        <v/>
      </c>
      <c r="F33" s="400">
        <f>IF(IFERROR(INDEX(Sales!V:V,$Z$31),"")="","",IFERROR(VLOOKUP(IFERROR(INDEX(Sales!V:V,$Z$31),""),Codes!$A$12:$B$16,2),IFERROR(INDEX(Sales!V:V,$Z$31),"")))</f>
        <v/>
      </c>
      <c r="G33" s="400" t="n"/>
      <c r="H33" s="400" t="n"/>
      <c r="I33" s="400" t="n"/>
      <c r="K33" s="555" t="n"/>
    </row>
    <row r="34" ht="13.5" customHeight="1" thickBot="1">
      <c r="B34" s="404">
        <f>IF(IFERROR(INDEX(Sales!E:E,$Z$31),"")="","",+" "&amp;IFERROR(VLOOKUP(IFERROR(INDEX(Sales!E:E,$Z$31),""),[0]!Class,2),IFERROR(INDEX(Sales!E:E,$Z$31),"")))</f>
        <v/>
      </c>
      <c r="C34" s="551">
        <f>IF(IFERROR(INDEX(Sales!I:I,$Z$31),"")="","",IFERROR(INDEX(Sales!I:I,$Z$31),""))</f>
        <v/>
      </c>
      <c r="D34" s="552">
        <f>IF(D31="","",ROUND((D31+D33)/E34,2))</f>
        <v/>
      </c>
      <c r="E34" s="407">
        <f>IF(IFERROR(INDEX(Sales!L:L,$Z$31),"")="","",IFERROR(INDEX(Sales!L:L,$Z$31),""))</f>
        <v/>
      </c>
      <c r="F34" s="408">
        <f>IF(IFERROR(INDEX(Sales!P:P,$Z$31),"")="","",IFERROR(INDEX(Sales!P:P,$Z$31),""))</f>
        <v/>
      </c>
      <c r="G34" s="409" t="n"/>
      <c r="H34" s="553">
        <f>IF(D34="","",ROUND(D34*(1+G34),2))</f>
        <v/>
      </c>
      <c r="I34" s="554">
        <f>IF(E12="","",ROUND(E12*H34,-2))</f>
        <v/>
      </c>
    </row>
    <row r="35" ht="14.25" customHeight="1" thickBot="1" thickTop="1">
      <c r="A35" s="453" t="n"/>
      <c r="G35" s="454" t="n"/>
      <c r="I35" s="555" t="n"/>
    </row>
    <row r="36" ht="13.5" customHeight="1" thickTop="1">
      <c r="A36" s="482" t="inlineStr">
        <is>
          <t>Best Match #4</t>
        </is>
      </c>
      <c r="B36" s="394">
        <f>IF(IFERROR(INDEX(Sales!C:C,$Z$36),"")="","",+" "&amp;IFERROR(INDEX(Sales!C:C,$Z$36),""))</f>
        <v/>
      </c>
      <c r="C36" s="394">
        <f>IF(IFERROR(INDEX(Sales!AE:AE,$Z$36),"")="","",IFERROR(INDEX(Sales!AE:AE,$Z$36),""))</f>
        <v/>
      </c>
      <c r="D36" s="547">
        <f>IF(IFERROR(INDEX(Sales!AA:AA,$Z$36),"")="","",IFERROR(INDEX(Sales!AA:AA,$Z$36),""))</f>
        <v/>
      </c>
      <c r="E36" s="547">
        <f>IF(IFERROR(INDEX(Sales!F:F,$Z$36),"")="","",IFERROR(INDEX(Sales!F:F,$Z$36),""))</f>
        <v/>
      </c>
      <c r="F36" s="396">
        <f>IF(IFERROR(INDEX(Sales!M:M,$Z$36),"")="","",IFERROR(INDEX(Sales!M:M,$Z$36),""))</f>
        <v/>
      </c>
      <c r="G36" s="396" t="n"/>
      <c r="H36" s="396" t="n"/>
      <c r="I36" s="396" t="n"/>
      <c r="Y36" s="1031" t="n">
        <v>4</v>
      </c>
      <c r="Z36">
        <f>IFERROR(MATCH(_xlfn.AGGREGATE(15,6,Sales!$AJ$2:$AJ$941,$Y$36),Sales!$AJ$2:$AJ$941,0)+1,"")</f>
        <v/>
      </c>
    </row>
    <row r="37">
      <c r="B37" s="397">
        <f>IF(IFERROR(INDEX(Sales!D:D,$Z$36),"")="","",IFERROR(INDEX(Sales!D:D,$Z$36),""))</f>
        <v/>
      </c>
      <c r="C37" s="397">
        <f>IF(IFERROR(INDEX(Sales!AF:AF,$Z$36),"")="","",IFERROR(INDEX(Sales!AF:AF,$Z$36),""))</f>
        <v/>
      </c>
      <c r="D37" s="548">
        <f>IF(IFERROR(INDEX(Sales!H:H,$Z$36),"")="","",IFERROR(INDEX(Sales!H:H,$Z$36),""))</f>
        <v/>
      </c>
      <c r="E37" s="399">
        <f>IF(IFERROR(INDEX(Sales!S:S,$Z$36),"")="","",IFERROR(INDEX(Sales!S:S,$Z$36),""))</f>
        <v/>
      </c>
      <c r="F37" s="400">
        <f>IF(IFERROR(INDEX(Sales!R:R,$Z$36),"")="","",IFERROR(VLOOKUP(IFERROR(INDEX(Sales!R:R,$Z$36),""),[0]!GRADE,2),IFERROR(INDEX(Sales!R:R,$Z$36),"")))</f>
        <v/>
      </c>
      <c r="G37" s="400" t="n"/>
      <c r="H37" s="400" t="n"/>
      <c r="I37" s="549">
        <f>IF(H39="","",H39)</f>
        <v/>
      </c>
    </row>
    <row r="38">
      <c r="B38" s="397">
        <f>IF(IFERROR(INDEX(Sales!AC:AC,$Z$36),"")="","",+IFERROR(INDEX(Sales!AC:AC,$Z$36),""))</f>
        <v/>
      </c>
      <c r="C38" s="402">
        <f>IF(IFERROR(INDEX(Sales!AD:AD,$Z$36),"")="","",IFERROR(INDEX(Sales!AD:AD,$Z$36),""))</f>
        <v/>
      </c>
      <c r="D38" s="550" t="n"/>
      <c r="E38" s="400">
        <f>IF(IFERROR(INDEX(Sales!T:T,$Z$36),"")="","",IFERROR(INDEX(Sales!T:T,$Z$36),""))</f>
        <v/>
      </c>
      <c r="F38" s="400">
        <f>IF(IFERROR(INDEX(Sales!V:V,$Z$36),"")="","",IFERROR(VLOOKUP(IFERROR(INDEX(Sales!V:V,$Z$36),""),Codes!$A$12:$B$16,2),IFERROR(INDEX(Sales!V:V,$Z$36),"")))</f>
        <v/>
      </c>
      <c r="G38" s="400" t="n"/>
      <c r="H38" s="400" t="n"/>
      <c r="I38" s="400" t="n"/>
    </row>
    <row r="39" ht="13.5" customHeight="1" thickBot="1">
      <c r="B39" s="404">
        <f>IF(IFERROR(INDEX(Sales!E:E,$Z$36),"")="","",+" "&amp;IFERROR(VLOOKUP(IFERROR(INDEX(Sales!E:E,$Z$36),""),[0]!Class,2),IFERROR(INDEX(Sales!E:E,$Z$36),"")))</f>
        <v/>
      </c>
      <c r="C39" s="551">
        <f>IF(IFERROR(INDEX(Sales!I:I,$Z$36),"")="","",IFERROR(INDEX(Sales!I:I,$Z$36),""))</f>
        <v/>
      </c>
      <c r="D39" s="552">
        <f>IF(D36="","",ROUND((D36+D38)/E39,2))</f>
        <v/>
      </c>
      <c r="E39" s="407">
        <f>IF(IFERROR(INDEX(Sales!L:L,$Z$36),"")="","",IFERROR(INDEX(Sales!L:L,$Z$36),""))</f>
        <v/>
      </c>
      <c r="F39" s="408">
        <f>IF(IFERROR(INDEX(Sales!P:P,$Z$36),"")="","",IFERROR(INDEX(Sales!P:P,$Z$36),""))</f>
        <v/>
      </c>
      <c r="G39" s="409" t="n"/>
      <c r="H39" s="553">
        <f>IF(D39="","",ROUND(D39*(1+G39),2))</f>
        <v/>
      </c>
      <c r="I39" s="554">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verticalDpi="300"/>
  <legacyDrawing xmlns:r="http://schemas.openxmlformats.org/officeDocument/2006/relationships" r:id="anysvml"/>
</worksheet>
</file>

<file path=xl/worksheets/sheet6.xml><?xml version="1.0" encoding="utf-8"?>
<worksheet xmlns="http://schemas.openxmlformats.org/spreadsheetml/2006/main">
  <sheetPr codeName="Sheet11">
    <tabColor rgb="000E7490"/>
    <outlinePr summaryBelow="1" summaryRight="1"/>
    <pageSetUpPr fitToPage="1"/>
  </sheetPr>
  <dimension ref="A1:H41"/>
  <sheetViews>
    <sheetView zoomScale="85" zoomScaleNormal="125" zoomScaleSheetLayoutView="100" workbookViewId="0">
      <selection activeCell="E47" sqref="E47"/>
    </sheetView>
  </sheetViews>
  <sheetFormatPr baseColWidth="8" defaultColWidth="12.5" defaultRowHeight="12.75"/>
  <cols>
    <col width="5.5" customWidth="1" style="132" min="1" max="1"/>
    <col width="18" customWidth="1" style="132" min="2" max="2"/>
    <col width="19" customWidth="1" style="133" min="3" max="6"/>
    <col width="15" customWidth="1" min="4" max="4"/>
    <col width="18" customWidth="1" min="5" max="5"/>
    <col width="7" customWidth="1" min="6" max="6"/>
    <col width="13" customWidth="1" style="133" min="7" max="7"/>
    <col width="13" customWidth="1" style="132" min="8" max="8"/>
    <col width="12.5" customWidth="1" style="132" min="9" max="16384"/>
  </cols>
  <sheetData>
    <row r="1" ht="32.25" customHeight="1">
      <c r="B1" t="n"/>
    </row>
    <row r="2" ht="26.25" customHeight="1">
      <c r="A2" s="977" t="n"/>
      <c r="B2" s="1061" t="inlineStr">
        <is>
          <t>RENT COMPARABLES</t>
        </is>
      </c>
      <c r="C2" s="1061" t="n"/>
      <c r="D2" s="1061" t="n"/>
      <c r="E2" s="1061" t="n"/>
      <c r="F2" s="1061" t="n"/>
      <c r="G2" s="1061" t="n"/>
      <c r="H2" s="1061" t="n"/>
    </row>
    <row r="3"/>
    <row r="4" ht="25.15" customHeight="1" thickBot="1">
      <c r="B4" s="1062" t="inlineStr">
        <is>
          <t>SUBJECT</t>
        </is>
      </c>
      <c r="C4" s="1063" t="n"/>
      <c r="D4" s="1063" t="n"/>
      <c r="E4" s="1063" t="n"/>
      <c r="F4" s="1063" t="n"/>
      <c r="G4" s="1063" t="n"/>
      <c r="H4" s="1063" t="n"/>
    </row>
    <row r="5" ht="13.5" customHeight="1" thickTop="1">
      <c r="B5" s="1064" t="inlineStr">
        <is>
          <t>Schedule Number</t>
        </is>
      </c>
      <c r="C5" s="1065" t="inlineStr">
        <is>
          <t>Rent/Sq.Ft.</t>
        </is>
      </c>
      <c r="D5" s="1066" t="inlineStr">
        <is>
          <t>Location</t>
        </is>
      </c>
      <c r="E5" s="1066" t="inlineStr">
        <is>
          <t>Age</t>
        </is>
      </c>
      <c r="F5" s="1066" t="n"/>
      <c r="G5" s="1067" t="n"/>
      <c r="H5" s="1068" t="n"/>
    </row>
    <row r="6">
      <c r="B6" s="1069" t="inlineStr">
        <is>
          <t>Property Address</t>
        </is>
      </c>
      <c r="C6" s="1070" t="inlineStr">
        <is>
          <t>Vacancy</t>
        </is>
      </c>
      <c r="D6" s="1071" t="inlineStr">
        <is>
          <t>Land Size</t>
        </is>
      </c>
      <c r="E6" s="1071" t="inlineStr">
        <is>
          <t>Quality</t>
        </is>
      </c>
      <c r="F6" s="1071" t="n"/>
      <c r="G6" s="1072" t="n"/>
      <c r="H6" s="1073" t="n"/>
    </row>
    <row r="7">
      <c r="B7" s="1069" t="inlineStr">
        <is>
          <t>Property Name</t>
        </is>
      </c>
      <c r="C7" s="1071" t="inlineStr">
        <is>
          <t>Expense / Sq. Ft.</t>
        </is>
      </c>
      <c r="D7" s="1071" t="inlineStr">
        <is>
          <t>L:B Ratio</t>
        </is>
      </c>
      <c r="E7" s="1071" t="inlineStr">
        <is>
          <t>Phy/Funct Rating</t>
        </is>
      </c>
      <c r="F7" s="1071" t="n"/>
      <c r="G7" s="1072" t="n"/>
      <c r="H7" s="1073" t="n"/>
    </row>
    <row r="8" ht="13.5" customHeight="1" thickBot="1">
      <c r="B8" s="1074" t="inlineStr">
        <is>
          <t>Property Type</t>
        </is>
      </c>
      <c r="C8" s="1075" t="inlineStr">
        <is>
          <t>Expense Ratio</t>
        </is>
      </c>
      <c r="D8" s="1076" t="inlineStr">
        <is>
          <t>Building Size</t>
        </is>
      </c>
      <c r="E8" s="1076" t="inlineStr">
        <is>
          <t>Zoning</t>
        </is>
      </c>
      <c r="F8" s="1076" t="inlineStr">
        <is>
          <t>Other</t>
        </is>
      </c>
      <c r="G8" s="1077" t="inlineStr">
        <is>
          <t>Comments</t>
        </is>
      </c>
      <c r="H8" s="1078" t="n"/>
    </row>
    <row r="9" ht="14.25" customHeight="1" thickBot="1" thickTop="1"/>
    <row r="10" ht="13.5" customHeight="1" thickTop="1">
      <c r="B10" s="136">
        <f>IF('BAA Market'!B9="","",'BAA Market'!B9)</f>
        <v/>
      </c>
      <c r="C10" s="556" t="n"/>
      <c r="D10" s="138">
        <f>IF('BAA Market'!E9="","",'BAA Market'!E9)</f>
        <v/>
      </c>
      <c r="E10" s="138">
        <f>IF('BAA Market'!F9="","",'BAA Market'!F9)</f>
        <v/>
      </c>
      <c r="F10" s="138" t="n"/>
      <c r="G10" s="139" t="n"/>
      <c r="H10" s="140" t="n"/>
    </row>
    <row r="11">
      <c r="B11" s="141">
        <f>IF('BAA Market'!B10="","",'BAA Market'!B10)</f>
        <v/>
      </c>
      <c r="C11" s="557" t="n"/>
      <c r="D11" s="143">
        <f>IF('BAA Market'!E10="","",'BAA Market'!E10)</f>
        <v/>
      </c>
      <c r="E11" s="144">
        <f>IF('BAA Market'!F10="","",'BAA Market'!F10)</f>
        <v/>
      </c>
      <c r="F11" s="144" t="n"/>
      <c r="G11" s="145" t="n"/>
      <c r="H11" s="146" t="n"/>
    </row>
    <row r="12">
      <c r="B12" s="147">
        <f>IF('BAA Market'!B11="","",'BAA Market'!B11)</f>
        <v/>
      </c>
      <c r="C12" s="558" t="n"/>
      <c r="D12" s="149">
        <f>IF('BAA Market'!E11="","",'BAA Market'!E11)</f>
        <v/>
      </c>
      <c r="E12" s="144">
        <f>IF('BAA Market'!F11="","",'BAA Market'!F11)</f>
        <v/>
      </c>
      <c r="F12" s="144" t="n"/>
      <c r="G12" s="145" t="n"/>
      <c r="H12" s="146" t="n"/>
    </row>
    <row r="13" ht="13.5" customHeight="1" thickBot="1">
      <c r="B13" s="150">
        <f>IF('BAA Market'!B12="","",'BAA Market'!B12)</f>
        <v/>
      </c>
      <c r="C13" s="559" t="n"/>
      <c r="D13" s="152">
        <f>IF('BAA Market'!E12="","",'BAA Market'!E12)</f>
        <v/>
      </c>
      <c r="E13" s="153">
        <f>IF('BAA Market'!F12="","",'BAA Market'!F12)</f>
        <v/>
      </c>
      <c r="F13" s="153" t="n"/>
      <c r="G13" s="154" t="n"/>
      <c r="H13" s="155" t="n"/>
    </row>
    <row r="14" ht="13.5" customHeight="1" thickTop="1"/>
    <row r="15"/>
    <row r="16"/>
    <row r="17" ht="25.15" customHeight="1" thickBot="1">
      <c r="A17" s="977" t="n"/>
      <c r="B17" s="1079" t="inlineStr">
        <is>
          <t>COMPARABLE RENTAL PROPERTIES</t>
        </is>
      </c>
      <c r="C17" s="1079" t="n"/>
      <c r="D17" s="1079" t="n"/>
      <c r="E17" s="1079" t="n"/>
      <c r="F17" s="1079" t="n"/>
      <c r="G17" s="1079" t="n"/>
      <c r="H17" s="1079" t="n"/>
    </row>
    <row r="18" ht="13.5" customHeight="1" thickTop="1">
      <c r="A18" s="1037" t="n"/>
      <c r="B18" s="1064" t="n"/>
      <c r="C18" s="1065" t="inlineStr">
        <is>
          <t>Rent/Sq.Ft.</t>
        </is>
      </c>
      <c r="D18" s="1066" t="inlineStr">
        <is>
          <t>Location</t>
        </is>
      </c>
      <c r="E18" s="1066" t="inlineStr">
        <is>
          <t>Age</t>
        </is>
      </c>
      <c r="F18" s="1066" t="n"/>
      <c r="G18" s="1066" t="n"/>
      <c r="H18" s="1064" t="n"/>
    </row>
    <row r="19">
      <c r="A19" s="1037" t="n"/>
      <c r="B19" s="1069" t="inlineStr">
        <is>
          <t>OFFICE</t>
        </is>
      </c>
      <c r="C19" s="1070" t="inlineStr">
        <is>
          <t>Vacancy</t>
        </is>
      </c>
      <c r="D19" s="1071" t="inlineStr">
        <is>
          <t>Land Size</t>
        </is>
      </c>
      <c r="E19" s="1071" t="inlineStr">
        <is>
          <t>Quality</t>
        </is>
      </c>
      <c r="F19" s="1071" t="n"/>
      <c r="G19" s="1071" t="n"/>
      <c r="H19" s="1070" t="n"/>
    </row>
    <row r="20">
      <c r="A20" s="1037" t="n"/>
      <c r="B20" s="1069" t="inlineStr">
        <is>
          <t>Source</t>
        </is>
      </c>
      <c r="C20" s="1071" t="inlineStr">
        <is>
          <t>Expense / Sq. Ft.</t>
        </is>
      </c>
      <c r="D20" s="1071" t="inlineStr">
        <is>
          <t>L:B Ratio</t>
        </is>
      </c>
      <c r="E20" s="1071" t="inlineStr">
        <is>
          <t>Phy/Funct Rating</t>
        </is>
      </c>
      <c r="F20" s="1071" t="n"/>
      <c r="G20" s="1070" t="inlineStr">
        <is>
          <t>Net</t>
        </is>
      </c>
      <c r="H20" s="1070" t="inlineStr">
        <is>
          <t>Adjusted</t>
        </is>
      </c>
    </row>
    <row r="21" ht="13.5" customHeight="1" thickBot="1">
      <c r="A21" s="1037" t="n"/>
      <c r="B21" s="1074" t="inlineStr">
        <is>
          <t>Property Type</t>
        </is>
      </c>
      <c r="C21" s="1075" t="inlineStr">
        <is>
          <t>Expense Ratio</t>
        </is>
      </c>
      <c r="D21" s="1076" t="inlineStr">
        <is>
          <t>Building Size</t>
        </is>
      </c>
      <c r="E21" s="1076" t="inlineStr">
        <is>
          <t>Zoning</t>
        </is>
      </c>
      <c r="F21" s="1076" t="inlineStr">
        <is>
          <t>Other</t>
        </is>
      </c>
      <c r="G21" s="1075" t="inlineStr">
        <is>
          <t>Adjustments</t>
        </is>
      </c>
      <c r="H21" s="1075" t="inlineStr">
        <is>
          <t>Rent/Sq.Ft.</t>
        </is>
      </c>
    </row>
    <row r="22" ht="14.25" customHeight="1" thickBot="1" thickTop="1"/>
    <row r="23" ht="13.5" customHeight="1" thickTop="1">
      <c r="A23" s="484" t="inlineStr">
        <is>
          <t>#1</t>
        </is>
      </c>
      <c r="B23" s="157" t="n"/>
      <c r="C23" s="556">
        <f>IF(Income!K2="","",Income!K$2)</f>
        <v/>
      </c>
      <c r="D23" s="284">
        <f>IF(Income!H2="","",VLOOKUP(Income!H2,[0]!Location,2))</f>
        <v/>
      </c>
      <c r="E23" s="284">
        <f>IF(Income!N2="","",Income!N2)</f>
        <v/>
      </c>
      <c r="F23" s="156" t="n"/>
      <c r="G23" s="156" t="n"/>
      <c r="H23" s="157" t="n"/>
    </row>
    <row r="24">
      <c r="A24" s="560" t="n"/>
      <c r="B24" s="285" t="n"/>
      <c r="C24" s="351">
        <f>IF(Income!L$2="","",Income!L$2)</f>
        <v/>
      </c>
      <c r="D24" s="286">
        <f>IF(Income!W2="","",Income!W2)</f>
        <v/>
      </c>
      <c r="E24" s="287">
        <f>IF(Income!Z2="","",VLOOKUP(Income!Z2,[0]!GRADE,2))</f>
        <v/>
      </c>
      <c r="F24" s="149" t="n"/>
      <c r="G24" s="149" t="n"/>
      <c r="H24" s="158" t="n"/>
    </row>
    <row r="25">
      <c r="A25" s="560" t="n"/>
      <c r="B25" s="158">
        <f>IF(Income!AA$2="","",Income!E$2)</f>
        <v/>
      </c>
      <c r="C25" s="558">
        <f>C23*(1-C24)*C26</f>
        <v/>
      </c>
      <c r="D25" s="287">
        <f>IF(Income!X2="","",Income!X2)</f>
        <v/>
      </c>
      <c r="E25" s="287">
        <f>IF(Income!AC2="","",VLOOKUP(Income!AC2,[0]!P_f,2))</f>
        <v/>
      </c>
      <c r="F25" s="149" t="n"/>
      <c r="G25" s="149" t="n"/>
      <c r="H25" s="158" t="n"/>
    </row>
    <row r="26" ht="13.5" customHeight="1" thickBot="1">
      <c r="A26" s="560" t="n"/>
      <c r="B26" s="288">
        <f>IF(Income!G$2="","",VLOOKUP(Income!G$2,[0]!Class,2))</f>
        <v/>
      </c>
      <c r="C26" s="352">
        <f>IF(Income!M2="","",Income!M$2)</f>
        <v/>
      </c>
      <c r="D26" s="289">
        <f>IF(Income!Y2="","",Income!Y2)</f>
        <v/>
      </c>
      <c r="E26" s="290">
        <f>IF(Income!T2="","",Income!T2)</f>
        <v/>
      </c>
      <c r="F26" s="559" t="n"/>
      <c r="G26" s="561" t="n"/>
      <c r="H26" s="562">
        <f>IF(C23="","",C23*(1+G26))</f>
        <v/>
      </c>
    </row>
    <row r="27" ht="14.25" customHeight="1" thickBot="1" thickTop="1">
      <c r="F27" s="563" t="n"/>
    </row>
    <row r="28" ht="13.5" customHeight="1" thickTop="1">
      <c r="A28" s="484" t="inlineStr">
        <is>
          <t>#2</t>
        </is>
      </c>
      <c r="B28" s="157" t="n"/>
      <c r="C28" s="556">
        <f>IF(Income!K3="","",Income!K3)</f>
        <v/>
      </c>
      <c r="D28" s="284">
        <f>IF(Income!H3="","",VLOOKUP(Income!H3,[0]!Location,2))</f>
        <v/>
      </c>
      <c r="E28" s="284">
        <f>IF(Income!N3="","",Income!N3)</f>
        <v/>
      </c>
      <c r="F28" s="156" t="n"/>
      <c r="G28" s="156" t="n"/>
      <c r="H28" s="157" t="n"/>
    </row>
    <row r="29">
      <c r="A29" s="560" t="n"/>
      <c r="B29" s="285" t="n"/>
      <c r="C29" s="351">
        <f>IF(Income!L3="","",Income!L3)</f>
        <v/>
      </c>
      <c r="D29" s="286">
        <f>IF(Income!W3="","",Income!W3)</f>
        <v/>
      </c>
      <c r="E29" s="287">
        <f>IF(Income!Z3="","",VLOOKUP(Income!Z3,[0]!GRADE,2))</f>
        <v/>
      </c>
      <c r="F29" s="149" t="n"/>
      <c r="G29" s="149" t="n"/>
      <c r="H29" s="158" t="n"/>
    </row>
    <row r="30">
      <c r="A30" s="560" t="n"/>
      <c r="B30" s="158">
        <f>IF(Income!E3="","",Income!E3)</f>
        <v/>
      </c>
      <c r="C30" s="558">
        <f>C28*(1-C29)*C31</f>
        <v/>
      </c>
      <c r="D30" s="287">
        <f>IF(Income!X3="","",Income!X3)</f>
        <v/>
      </c>
      <c r="E30" s="287">
        <f>IF(Income!AC3="","",VLOOKUP(Income!AC3,[0]!P_f,2))</f>
        <v/>
      </c>
      <c r="F30" s="149" t="n"/>
      <c r="G30" s="149" t="n"/>
      <c r="H30" s="158" t="n"/>
    </row>
    <row r="31" ht="13.5" customHeight="1" thickBot="1">
      <c r="A31" s="560" t="n"/>
      <c r="B31" s="288">
        <f>IF(Income!G3="","",VLOOKUP(Income!G3,[0]!Class,2))</f>
        <v/>
      </c>
      <c r="C31" s="352">
        <f>IF(Income!M3="","",Income!M3)</f>
        <v/>
      </c>
      <c r="D31" s="289">
        <f>IF(Income!Y3="","",Income!Y3)</f>
        <v/>
      </c>
      <c r="E31" s="290">
        <f>IF(Income!T3="","",Income!T3)</f>
        <v/>
      </c>
      <c r="F31" s="559" t="n"/>
      <c r="G31" s="561" t="n"/>
      <c r="H31" s="562">
        <f>IF(C28="","",C28*(1+G31))</f>
        <v/>
      </c>
    </row>
    <row r="32" ht="14.25" customHeight="1" thickBot="1" thickTop="1">
      <c r="F32" s="563" t="n"/>
    </row>
    <row r="33" ht="13.5" customHeight="1" thickTop="1">
      <c r="A33" s="484" t="inlineStr">
        <is>
          <t>#3</t>
        </is>
      </c>
      <c r="B33" s="157" t="n"/>
      <c r="C33" s="556">
        <f>IF(Income!K4="","",Income!K4)</f>
        <v/>
      </c>
      <c r="D33" s="284">
        <f>IF(Income!H4="","",VLOOKUP(Income!H4,[0]!Location,2))</f>
        <v/>
      </c>
      <c r="E33" s="284">
        <f>IF(Income!N4="","",Income!N4)</f>
        <v/>
      </c>
      <c r="F33" s="156" t="n"/>
      <c r="G33" s="156" t="n"/>
      <c r="H33" s="157" t="n"/>
    </row>
    <row r="34">
      <c r="A34" s="560" t="n"/>
      <c r="B34" s="285" t="n"/>
      <c r="C34" s="351">
        <f>IF(Income!L4="","",Income!L4)</f>
        <v/>
      </c>
      <c r="D34" s="286">
        <f>IF(Income!W4="","",Income!W4)</f>
        <v/>
      </c>
      <c r="E34" s="287">
        <f>IF(Income!Z4="","",VLOOKUP(Income!Z4,[0]!GRADE,2))</f>
        <v/>
      </c>
      <c r="F34" s="149" t="n"/>
      <c r="G34" s="149" t="n"/>
      <c r="H34" s="158" t="n"/>
    </row>
    <row r="35">
      <c r="A35" s="560" t="n"/>
      <c r="B35" s="158">
        <f>IF(Income!E4="","",Income!E4)</f>
        <v/>
      </c>
      <c r="C35" s="558">
        <f>C33*(1-C34)*C36</f>
        <v/>
      </c>
      <c r="D35" s="287">
        <f>IF(Income!X4="","",Income!X4)</f>
        <v/>
      </c>
      <c r="E35" s="287">
        <f>IF(Income!AC4="","",VLOOKUP(Income!AC4,[0]!P_f,2))</f>
        <v/>
      </c>
      <c r="F35" s="149" t="n"/>
      <c r="G35" s="149" t="n"/>
      <c r="H35" s="158" t="n"/>
    </row>
    <row r="36" ht="13.5" customHeight="1" thickBot="1">
      <c r="A36" s="560" t="n"/>
      <c r="B36" s="288">
        <f>IF(Income!G4="","",VLOOKUP(Income!G4,[0]!Class,2))</f>
        <v/>
      </c>
      <c r="C36" s="352">
        <f>IF(Income!M4="","",Income!M4)</f>
        <v/>
      </c>
      <c r="D36" s="289">
        <f>IF(Income!Y4="","",Income!Y4)</f>
        <v/>
      </c>
      <c r="E36" s="290">
        <f>IF(Income!T4="","",Income!T4)</f>
        <v/>
      </c>
      <c r="F36" s="559" t="n"/>
      <c r="G36" s="561" t="n"/>
      <c r="H36" s="562">
        <f>IF(C33="","",C33*(1+G36))</f>
        <v/>
      </c>
    </row>
    <row r="37" ht="14.25" customHeight="1" thickBot="1" thickTop="1">
      <c r="F37" s="563" t="n"/>
    </row>
    <row r="38" ht="13.5" customHeight="1" thickTop="1">
      <c r="A38" s="484" t="inlineStr">
        <is>
          <t>#4</t>
        </is>
      </c>
      <c r="B38" s="157" t="n"/>
      <c r="C38" s="556">
        <f>IF(Income!K5="","",Income!K5)</f>
        <v/>
      </c>
      <c r="D38" s="284">
        <f>IF(Income!H5="","",VLOOKUP(Income!H5,[0]!Location,2))</f>
        <v/>
      </c>
      <c r="E38" s="284">
        <f>IF(Income!N5="","",Income!N5)</f>
        <v/>
      </c>
      <c r="F38" s="156" t="n"/>
      <c r="G38" s="156" t="n"/>
      <c r="H38" s="157" t="n"/>
    </row>
    <row r="39">
      <c r="A39" s="560" t="n"/>
      <c r="B39" s="285" t="n"/>
      <c r="C39" s="351">
        <f>IF(Income!L5="","",Income!L5)</f>
        <v/>
      </c>
      <c r="D39" s="286">
        <f>IF(Income!W5="","",Income!W5)</f>
        <v/>
      </c>
      <c r="E39" s="287">
        <f>IF(Income!Z5="","",VLOOKUP(Income!Z5,[0]!GRADE,2))</f>
        <v/>
      </c>
      <c r="F39" s="149" t="n"/>
      <c r="G39" s="149" t="n"/>
      <c r="H39" s="158" t="n"/>
    </row>
    <row r="40">
      <c r="A40" s="560" t="n"/>
      <c r="B40" s="158">
        <f>IF(Income!E5="","",Income!E5)</f>
        <v/>
      </c>
      <c r="C40" s="558">
        <f>C38*(1-C39)*C41</f>
        <v/>
      </c>
      <c r="D40" s="287">
        <f>IF(Income!X5="","",Income!X5)</f>
        <v/>
      </c>
      <c r="E40" s="287">
        <f>IF(Income!AC5="","",VLOOKUP(Income!AC5,[0]!P_f,2))</f>
        <v/>
      </c>
      <c r="F40" s="149" t="n"/>
      <c r="G40" s="149" t="n"/>
      <c r="H40" s="158" t="n"/>
    </row>
    <row r="41" ht="13.5" customHeight="1" thickBot="1">
      <c r="A41" s="560" t="n"/>
      <c r="B41" s="288">
        <f>IF(Income!G5="","",VLOOKUP(Income!G5,[0]!Class,2))</f>
        <v/>
      </c>
      <c r="C41" s="352">
        <f>IF(Income!M5="","",Income!M5)</f>
        <v/>
      </c>
      <c r="D41" s="289">
        <f>IF(Income!Y5="","",Income!Y5)</f>
        <v/>
      </c>
      <c r="E41" s="290">
        <f>IF(Income!T5="","",Income!T5)</f>
        <v/>
      </c>
      <c r="F41" s="559" t="n"/>
      <c r="G41" s="561" t="n"/>
      <c r="H41" s="562">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horizontalDpi="300" verticalDpi="300"/>
  <legacyDrawing xmlns:r="http://schemas.openxmlformats.org/officeDocument/2006/relationships" r:id="anysvml"/>
</worksheet>
</file>

<file path=xl/worksheets/sheet7.xml><?xml version="1.0" encoding="utf-8"?>
<worksheet xmlns="http://schemas.openxmlformats.org/spreadsheetml/2006/main">
  <sheetPr codeName="Sheet21">
    <tabColor rgb="000E7490"/>
    <outlinePr summaryBelow="1" summaryRight="1"/>
    <pageSetUpPr autoPageBreaks="0"/>
  </sheetPr>
  <dimension ref="A1:Z74"/>
  <sheetViews>
    <sheetView zoomScaleNormal="100" zoomScaleSheetLayoutView="75" workbookViewId="0">
      <selection activeCell="E47" sqref="E47"/>
    </sheetView>
  </sheetViews>
  <sheetFormatPr baseColWidth="8" defaultColWidth="12.5" defaultRowHeight="15.75"/>
  <cols>
    <col width="25" customWidth="1" style="162" min="1" max="1"/>
    <col width="18" customWidth="1" style="162" min="2" max="2"/>
    <col width="10" customWidth="1" style="162" min="3" max="3"/>
    <col width="17" customWidth="1" style="162" min="4" max="4"/>
    <col width="2.1640625" customWidth="1" style="162" min="5" max="5"/>
    <col width="6" customWidth="1" style="162" min="6" max="6"/>
    <col width="6.6640625" customWidth="1" style="162" min="7" max="7"/>
    <col width="10" customWidth="1" style="162" min="8" max="8"/>
    <col width="2.1640625" customWidth="1" style="162" min="9" max="9"/>
    <col width="6" customWidth="1" style="162" min="10" max="10"/>
    <col width="9" customWidth="1" style="162" min="11" max="11"/>
    <col width="7" customWidth="1" style="162" min="12" max="12"/>
    <col width="12.5" customWidth="1" style="162" min="13" max="16384"/>
    <col width="6" customWidth="1" min="25" max="25"/>
    <col hidden="1" width="13" customWidth="1" min="26" max="26"/>
  </cols>
  <sheetData>
    <row r="1">
      <c r="D1" t="n"/>
    </row>
    <row r="2"/>
    <row r="3"/>
    <row r="4"/>
    <row r="5"/>
    <row r="6"/>
    <row r="7"/>
    <row r="8"/>
    <row r="9"/>
    <row r="10"/>
    <row r="11"/>
    <row r="12"/>
    <row r="13"/>
    <row r="14"/>
    <row r="15"/>
    <row r="16"/>
    <row r="17"/>
    <row r="18"/>
    <row r="19">
      <c r="B19" s="162" t="inlineStr">
        <is>
          <t>OFFICE</t>
        </is>
      </c>
    </row>
    <row r="20"/>
    <row r="21"/>
    <row r="22"/>
    <row r="23"/>
    <row r="24"/>
    <row r="25"/>
    <row r="26"/>
    <row r="27"/>
    <row r="28"/>
    <row r="29"/>
    <row r="30"/>
    <row r="31"/>
    <row r="32"/>
    <row r="33"/>
    <row r="34"/>
    <row r="35"/>
    <row r="36"/>
    <row r="37"/>
    <row r="38"/>
    <row r="39"/>
    <row r="40"/>
    <row r="41"/>
    <row r="42"/>
    <row r="43"/>
    <row r="44"/>
    <row r="45"/>
    <row r="46"/>
    <row r="47"/>
    <row r="48">
      <c r="C48" s="486" t="inlineStr">
        <is>
          <t>Value Prior To Review</t>
        </is>
      </c>
      <c r="E48" s="163" t="n"/>
      <c r="F48" s="490" t="inlineStr">
        <is>
          <t>Recommended Value</t>
        </is>
      </c>
      <c r="J48" s="486" t="inlineStr">
        <is>
          <t>Value Reduction</t>
        </is>
      </c>
    </row>
    <row r="49">
      <c r="A49" s="162" t="inlineStr">
        <is>
          <t>Land</t>
        </is>
      </c>
      <c r="C49" s="564" t="n"/>
      <c r="D49" s="565" t="n"/>
      <c r="E49" s="566" t="n"/>
      <c r="F49" s="564" t="n"/>
      <c r="G49" s="565" t="n"/>
      <c r="H49" s="565" t="n"/>
      <c r="J49" s="567">
        <f>F49-C49</f>
        <v/>
      </c>
      <c r="K49" s="489" t="n"/>
    </row>
    <row r="50">
      <c r="A50" s="166" t="inlineStr">
        <is>
          <t>Imp(s)</t>
        </is>
      </c>
      <c r="C50" s="564" t="n"/>
      <c r="D50" s="565" t="n"/>
      <c r="E50" s="566" t="n"/>
      <c r="F50" s="564" t="n"/>
      <c r="G50" s="565" t="n"/>
      <c r="H50" s="565" t="n"/>
      <c r="J50" s="567">
        <f>F50-C50</f>
        <v/>
      </c>
      <c r="K50" s="489" t="n"/>
    </row>
    <row r="51">
      <c r="A51" s="162" t="inlineStr">
        <is>
          <t>Total</t>
        </is>
      </c>
      <c r="C51" s="568">
        <f>C50+C49</f>
        <v/>
      </c>
      <c r="D51" s="489" t="n"/>
      <c r="E51" s="566" t="n"/>
      <c r="F51" s="569">
        <f>F50+F49</f>
        <v/>
      </c>
      <c r="G51" s="489" t="n"/>
      <c r="H51" s="489" t="n"/>
      <c r="J51" s="567">
        <f>F51-C51</f>
        <v/>
      </c>
      <c r="K51" s="489" t="n"/>
    </row>
    <row r="52"/>
    <row r="53"/>
    <row r="54" ht="19.9" customHeight="1">
      <c r="A54" s="162" t="inlineStr">
        <is>
          <t>Appraiser</t>
        </is>
      </c>
      <c r="B54" s="500" t="n"/>
      <c r="C54" s="167" t="n"/>
      <c r="F54" s="500" t="n"/>
    </row>
    <row r="55" ht="19.9" customHeight="1">
      <c r="A55" s="168" t="inlineStr">
        <is>
          <t>Supervisor</t>
        </is>
      </c>
      <c r="B55" s="168" t="n"/>
      <c r="C55" s="168" t="n"/>
      <c r="D55" s="168" t="n"/>
      <c r="E55" s="168" t="n"/>
      <c r="F55" s="168" t="n"/>
    </row>
    <row r="56" ht="19.9" customHeight="1">
      <c r="A56" s="500" t="inlineStr">
        <is>
          <t>Deputy Assessor</t>
        </is>
      </c>
      <c r="B56" s="168" t="n"/>
      <c r="C56" s="500" t="n"/>
      <c r="D56" s="500" t="n"/>
      <c r="E56" s="500" t="n"/>
      <c r="F56" s="500" t="n"/>
    </row>
    <row r="57" ht="19.9" customHeight="1"/>
    <row r="58" ht="19.9" customHeight="1"/>
    <row r="59" ht="19.9" customHeight="1"/>
    <row r="60">
      <c r="A60" s="291" t="inlineStr">
        <is>
          <t>MARKET RENT COMPARABLES</t>
        </is>
      </c>
      <c r="B60" s="292" t="n"/>
      <c r="C60" s="292" t="n"/>
      <c r="D60" s="293" t="n"/>
      <c r="E60" s="293" t="n"/>
      <c r="F60" s="307" t="n"/>
      <c r="G60" s="307" t="n"/>
      <c r="H60" s="294" t="inlineStr">
        <is>
          <t>BUILDING</t>
        </is>
      </c>
      <c r="I60" s="294" t="n"/>
      <c r="J60" s="294" t="n"/>
      <c r="K60" s="294" t="n"/>
      <c r="L60" s="295" t="inlineStr">
        <is>
          <t>EXP</t>
        </is>
      </c>
    </row>
    <row r="61">
      <c r="A61" s="296" t="n"/>
      <c r="B61" s="297" t="inlineStr">
        <is>
          <t>MAP</t>
        </is>
      </c>
      <c r="C61" s="297" t="inlineStr">
        <is>
          <t>USE TYPE</t>
        </is>
      </c>
      <c r="D61" s="297" t="n"/>
      <c r="E61" s="297" t="n"/>
      <c r="F61" s="298" t="inlineStr">
        <is>
          <t>ZONE</t>
        </is>
      </c>
      <c r="G61" s="298" t="inlineStr">
        <is>
          <t>YOC</t>
        </is>
      </c>
      <c r="H61" s="299" t="inlineStr">
        <is>
          <t>SQ FT</t>
        </is>
      </c>
      <c r="I61" s="299" t="n"/>
      <c r="J61" s="299" t="inlineStr">
        <is>
          <t>RENT</t>
        </is>
      </c>
      <c r="K61" s="310" t="inlineStr">
        <is>
          <t>VACANCY</t>
        </is>
      </c>
      <c r="L61" s="300" t="inlineStr">
        <is>
          <t>RATIO</t>
        </is>
      </c>
    </row>
    <row r="62">
      <c r="A62" s="169" t="n"/>
      <c r="B62" s="170" t="inlineStr">
        <is>
          <t>SUBJECT PROPERTY</t>
        </is>
      </c>
      <c r="C62" s="170" t="n"/>
      <c r="D62" s="170" t="n"/>
      <c r="E62" s="170" t="n"/>
      <c r="F62" s="197" t="n"/>
      <c r="G62" s="197" t="n"/>
      <c r="H62" s="171" t="n"/>
      <c r="I62" s="171" t="n"/>
      <c r="J62" s="171" t="n"/>
      <c r="K62" s="171" t="n"/>
      <c r="L62" s="172" t="n"/>
    </row>
    <row r="63">
      <c r="A63" s="173" t="n"/>
      <c r="B63" s="494" t="n"/>
      <c r="C63" s="494" t="n"/>
      <c r="D63" s="531" t="n"/>
      <c r="E63" s="566" t="n"/>
      <c r="F63" s="198" t="n"/>
      <c r="G63" s="198" t="n"/>
      <c r="H63" s="175" t="n"/>
      <c r="I63" s="566" t="n"/>
      <c r="J63" s="570" t="n"/>
      <c r="K63" s="312" t="n"/>
      <c r="L63" s="176" t="n"/>
    </row>
    <row r="64">
      <c r="A64" s="177" t="inlineStr">
        <is>
          <t>1)</t>
        </is>
      </c>
      <c r="B64" s="515">
        <f>IF(Income!D$2="","",MID(Income!D2,1,5))</f>
        <v/>
      </c>
      <c r="C64" s="515">
        <f>IF(Income!G$2="","",VLOOKUP(Income!G$2,[0]!Class,2))</f>
        <v/>
      </c>
      <c r="D64" s="515" t="n"/>
      <c r="E64" s="515" t="n"/>
      <c r="F64" s="199">
        <f>IF(Income!T$2="","",Income!T$2)</f>
        <v/>
      </c>
      <c r="G64" s="199">
        <f>IF(Income!N$2="","",Income!N$2)</f>
        <v/>
      </c>
      <c r="H64" s="179">
        <f>IF(Income!J$2="","",Income!J$2)</f>
        <v/>
      </c>
      <c r="I64" s="179" t="n"/>
      <c r="J64" s="570">
        <f>IF(Income!K$2="","",Income!K$2)</f>
        <v/>
      </c>
      <c r="K64" s="313">
        <f>IF(Income!L$2="","",Income!L$2)</f>
        <v/>
      </c>
      <c r="L64" s="181">
        <f>IF(Income!M$2="","",Income!M$2)</f>
        <v/>
      </c>
    </row>
    <row r="65">
      <c r="A65" s="177" t="inlineStr">
        <is>
          <t>2)</t>
        </is>
      </c>
      <c r="B65" s="515">
        <f>IF(Income!D$3="","",MID(Income!D$3,1,5))</f>
        <v/>
      </c>
      <c r="C65" s="515">
        <f>IF(Income!G$3="","",VLOOKUP(Income!G$3,[0]!Class,2))</f>
        <v/>
      </c>
      <c r="D65" s="515" t="n"/>
      <c r="E65" s="515" t="n"/>
      <c r="F65" s="199">
        <f>IF(Income!T$3="","",Income!T$3)</f>
        <v/>
      </c>
      <c r="G65" s="199">
        <f>IF(Income!N$3="","",Income!N$3)</f>
        <v/>
      </c>
      <c r="H65" s="179">
        <f>IF(Income!J$3="","",Income!J$3)</f>
        <v/>
      </c>
      <c r="I65" s="179" t="n"/>
      <c r="J65" s="570">
        <f>IF(Income!K$3="","",Income!K$3)</f>
        <v/>
      </c>
      <c r="K65" s="313">
        <f>IF(Income!L$3="","",Income!L$3)</f>
        <v/>
      </c>
      <c r="L65" s="181">
        <f>IF(Income!M$3="","",Income!M$3)</f>
        <v/>
      </c>
    </row>
    <row r="66">
      <c r="A66" s="182" t="inlineStr">
        <is>
          <t>3)</t>
        </is>
      </c>
      <c r="B66" s="183">
        <f>IF(Income!D$4="","",MID(Income!D$4,1,5))</f>
        <v/>
      </c>
      <c r="C66" s="499">
        <f>IF(Income!G$4="","",VLOOKUP(Income!G$4,[0]!Class,2))</f>
        <v/>
      </c>
      <c r="D66" s="500" t="n"/>
      <c r="E66" s="500" t="n"/>
      <c r="F66" s="200">
        <f>IF(Income!T$4="","",Income!T$4)</f>
        <v/>
      </c>
      <c r="G66" s="200">
        <f>IF(Income!N$4="","",Income!N$4)</f>
        <v/>
      </c>
      <c r="H66" s="184">
        <f>IF(Income!J$4="","",Income!J$4)</f>
        <v/>
      </c>
      <c r="I66" s="184" t="n"/>
      <c r="J66" s="571">
        <f>IF(Income!K$4="","",Income!K$4)</f>
        <v/>
      </c>
      <c r="K66" s="314">
        <f>IF(Income!L$4="","",Income!L$4)</f>
        <v/>
      </c>
      <c r="L66" s="186">
        <f>IF(Income!M$4="","",Income!M$4)</f>
        <v/>
      </c>
    </row>
    <row r="67">
      <c r="A67" s="187" t="n"/>
      <c r="B67" s="187" t="n"/>
      <c r="C67" s="187" t="n"/>
      <c r="D67" s="187" t="n"/>
      <c r="E67" s="187" t="n"/>
    </row>
    <row r="68">
      <c r="A68" s="291" t="inlineStr">
        <is>
          <t>MARKET SALE COMPARABLES</t>
        </is>
      </c>
      <c r="B68" s="292" t="n"/>
      <c r="C68" s="292" t="n"/>
      <c r="D68" s="293" t="n"/>
      <c r="E68" s="293" t="n"/>
      <c r="F68" s="293" t="n"/>
      <c r="G68" s="307" t="n"/>
      <c r="H68" s="301" t="inlineStr">
        <is>
          <t>BUILDING</t>
        </is>
      </c>
      <c r="I68" s="301" t="n"/>
      <c r="J68" s="301" t="inlineStr">
        <is>
          <t>SALE</t>
        </is>
      </c>
      <c r="K68" s="301" t="inlineStr">
        <is>
          <t>SALE</t>
        </is>
      </c>
      <c r="L68" s="302" t="inlineStr">
        <is>
          <t>S.P./</t>
        </is>
      </c>
    </row>
    <row r="69">
      <c r="A69" s="303" t="inlineStr">
        <is>
          <t>PROPERTY ADDRESS</t>
        </is>
      </c>
      <c r="B69" s="304" t="n"/>
      <c r="C69" s="304" t="n"/>
      <c r="D69" s="304" t="inlineStr">
        <is>
          <t>SCHEDULE NUMBER</t>
        </is>
      </c>
      <c r="E69" s="304" t="n"/>
      <c r="F69" s="304" t="n"/>
      <c r="G69" s="308" t="inlineStr">
        <is>
          <t>YOC</t>
        </is>
      </c>
      <c r="H69" s="305" t="inlineStr">
        <is>
          <t>SQ FT</t>
        </is>
      </c>
      <c r="I69" s="305" t="n"/>
      <c r="J69" s="305" t="inlineStr">
        <is>
          <t>DATE</t>
        </is>
      </c>
      <c r="K69" s="305" t="inlineStr">
        <is>
          <t>PRICE</t>
        </is>
      </c>
      <c r="L69" s="306" t="inlineStr">
        <is>
          <t>SQ FT</t>
        </is>
      </c>
    </row>
    <row r="70">
      <c r="A70" s="173" t="n"/>
      <c r="B70" s="162" t="inlineStr">
        <is>
          <t>SUBJECT PROPERTY</t>
        </is>
      </c>
      <c r="G70" s="309" t="n"/>
      <c r="L70" s="188" t="n"/>
    </row>
    <row r="71">
      <c r="A71" s="173" t="n"/>
      <c r="B71" s="494" t="n"/>
      <c r="C71" s="495" t="n"/>
      <c r="D71" s="515" t="n"/>
      <c r="E71" s="515" t="n"/>
      <c r="F71" s="515" t="n"/>
      <c r="G71" s="199">
        <f>G63</f>
        <v/>
      </c>
      <c r="H71" s="179">
        <f>H63</f>
        <v/>
      </c>
      <c r="I71" s="179" t="n"/>
      <c r="J71" s="572" t="n"/>
      <c r="K71" s="572" t="n"/>
      <c r="L71" s="573">
        <f>+F51/H71</f>
        <v/>
      </c>
    </row>
    <row r="72">
      <c r="A72" s="177" t="inlineStr">
        <is>
          <t>Best Match 1)</t>
        </is>
      </c>
      <c r="B72" s="515">
        <f>IF(IFERROR(INDEX(Sales!D:D,$Z$72),"")="","",IFERROR(INDEX(Sales!D:D,$Z$72),""))</f>
        <v/>
      </c>
      <c r="C72" s="515" t="n"/>
      <c r="D72" s="515">
        <f>IF(IFERROR(INDEX(Sales!C:C,$Z$72),"")="","",IFERROR(INDEX(Sales!C:C,$Z$72),""))</f>
        <v/>
      </c>
      <c r="E72" s="515" t="n"/>
      <c r="F72" s="515" t="n"/>
      <c r="G72" s="199">
        <f>IF(IFERROR(INDEX(Sales!M:M,$Z$72),"")="","",IFERROR(INDEX(Sales!M:M,$Z$72),""))</f>
        <v/>
      </c>
      <c r="H72" s="179">
        <f>IF(IFERROR(INDEX(Sales!L:L,$Z$72),"")="","",IFERROR(INDEX(Sales!L:L,$Z$72),""))</f>
        <v/>
      </c>
      <c r="I72" s="179" t="n"/>
      <c r="J72" s="574">
        <f>IF(IFERROR(INDEX(Sales!I:I,$Z$72),"")="","",IFERROR(INDEX(Sales!I:I,$Z$72),""))</f>
        <v/>
      </c>
      <c r="K72" s="575">
        <f>IF(IFERROR(INDEX(Sales!AA:AA,$Z$72),"")="","",IFERROR(INDEX(Sales!AA:AA,$Z$72),""))</f>
        <v/>
      </c>
      <c r="L72" s="576">
        <f>IF(IFERROR(INDEX(Sales!H:H,$Z$72),"")="","",IFERROR(INDEX(Sales!H:H,$Z$72),""))</f>
        <v/>
      </c>
      <c r="Y72" s="1031" t="n">
        <v>1</v>
      </c>
      <c r="Z72">
        <f>IFERROR(MATCH(_xlfn.AGGREGATE(15,6,Sales!$AJ$2:$AJ$941,$Y$72),Sales!$AJ$2:$AJ$941,0)+1,"")</f>
        <v/>
      </c>
    </row>
    <row r="73">
      <c r="A73" s="177" t="inlineStr">
        <is>
          <t>Best Match 2)</t>
        </is>
      </c>
      <c r="B73" s="515">
        <f>IF(IFERROR(INDEX(Sales!D:D,$Z$73),"")="","",IFERROR(INDEX(Sales!D:D,$Z$73),""))</f>
        <v/>
      </c>
      <c r="C73" s="515" t="n"/>
      <c r="D73" s="515">
        <f>IF(IFERROR(INDEX(Sales!C:C,$Z$73),"")="","",IFERROR(INDEX(Sales!C:C,$Z$73),""))</f>
        <v/>
      </c>
      <c r="E73" s="515" t="n"/>
      <c r="F73" s="515" t="n"/>
      <c r="G73" s="199">
        <f>IF(IFERROR(INDEX(Sales!M:M,$Z$73),"")="","",IFERROR(INDEX(Sales!M:M,$Z$73),""))</f>
        <v/>
      </c>
      <c r="H73" s="179">
        <f>IF(IFERROR(INDEX(Sales!L:L,$Z$73),"")="","",IFERROR(INDEX(Sales!L:L,$Z$73),""))</f>
        <v/>
      </c>
      <c r="I73" s="179" t="n"/>
      <c r="J73" s="574">
        <f>IF(IFERROR(INDEX(Sales!I:I,$Z$73),"")="","",IFERROR(INDEX(Sales!I:I,$Z$73),""))</f>
        <v/>
      </c>
      <c r="K73" s="575">
        <f>IF(IFERROR(INDEX(Sales!AA:AA,$Z$73),"")="","",IFERROR(INDEX(Sales!AA:AA,$Z$73),""))</f>
        <v/>
      </c>
      <c r="L73" s="576">
        <f>IF(IFERROR(INDEX(Sales!H:H,$Z$73),"")="","",IFERROR(INDEX(Sales!H:H,$Z$73),""))</f>
        <v/>
      </c>
      <c r="Y73" s="1031" t="n">
        <v>2</v>
      </c>
      <c r="Z73">
        <f>IFERROR(MATCH(_xlfn.AGGREGATE(15,6,Sales!$AJ$2:$AJ$941,$Y$73),Sales!$AJ$2:$AJ$941,0)+1,"")</f>
        <v/>
      </c>
    </row>
    <row r="74">
      <c r="A74" s="182" t="inlineStr">
        <is>
          <t>Best Match 3)</t>
        </is>
      </c>
      <c r="B74" s="183">
        <f>IF(IFERROR(INDEX(Sales!D:D,$Z$74),"")="","",IFERROR(INDEX(Sales!D:D,$Z$74),""))</f>
        <v/>
      </c>
      <c r="C74" s="183" t="n"/>
      <c r="D74" s="183">
        <f>IF(IFERROR(INDEX(Sales!C:C,$Z$74),"")="","",IFERROR(INDEX(Sales!C:C,$Z$74),""))</f>
        <v/>
      </c>
      <c r="E74" s="183" t="n"/>
      <c r="F74" s="183" t="n"/>
      <c r="G74" s="200">
        <f>IF(IFERROR(INDEX(Sales!M:M,$Z$74),"")="","",IFERROR(INDEX(Sales!M:M,$Z$74),""))</f>
        <v/>
      </c>
      <c r="H74" s="184">
        <f>IF(IFERROR(INDEX(Sales!L:L,$Z$74),"")="","",IFERROR(INDEX(Sales!L:L,$Z$74),""))</f>
        <v/>
      </c>
      <c r="I74" s="184" t="n"/>
      <c r="J74" s="577">
        <f>IF(IFERROR(INDEX(Sales!I:I,$Z$74),"")="","",IFERROR(INDEX(Sales!I:I,$Z$74),""))</f>
        <v/>
      </c>
      <c r="K74" s="578">
        <f>IF(IFERROR(INDEX(Sales!AA:AA,$Z$74),"")="","",IFERROR(INDEX(Sales!AA:AA,$Z$74),""))</f>
        <v/>
      </c>
      <c r="L74" s="579">
        <f>IF(IFERROR(INDEX(Sales!H:H,$Z$74),"")="","",IFERROR(INDEX(Sales!H:H,$Z$74),""))</f>
        <v/>
      </c>
      <c r="Y74" s="1031" t="n">
        <v>3</v>
      </c>
      <c r="Z74">
        <f>IFERROR(MATCH(_xlfn.AGGREGATE(15,6,Sales!$AJ$2:$AJ$941,$Y$74),Sales!$AJ$2:$AJ$941,0)+1,"")</f>
        <v/>
      </c>
    </row>
  </sheetData>
  <mergeCells count="13">
    <mergeCell ref="J50:K50"/>
    <mergeCell ref="F49:H49"/>
    <mergeCell ref="C63:D63"/>
    <mergeCell ref="C51:D51"/>
    <mergeCell ref="J51:K51"/>
    <mergeCell ref="F50:H50"/>
    <mergeCell ref="C50:D50"/>
    <mergeCell ref="J49:K49"/>
    <mergeCell ref="F48:H48"/>
    <mergeCell ref="C48:D48"/>
    <mergeCell ref="J48:K48"/>
    <mergeCell ref="C49:D49"/>
    <mergeCell ref="F51:H51"/>
  </mergeCells>
  <printOptions horizontalCentered="1"/>
  <pageMargins left="0.43" right="0.44" top="0.76" bottom="0.42" header="0.5" footer="0.29"/>
  <pageSetup orientation="portrait" scale="92" fitToHeight="2" horizontalDpi="300" verticalDpi="300"/>
  <rowBreaks count="1" manualBreakCount="1">
    <brk id="40" min="0" max="16383" man="1"/>
  </rowBreaks>
  <legacyDrawing xmlns:r="http://schemas.openxmlformats.org/officeDocument/2006/relationships" r:id="anysvml"/>
</worksheet>
</file>

<file path=xl/worksheets/sheet8.xml><?xml version="1.0" encoding="utf-8"?>
<worksheet xmlns="http://schemas.openxmlformats.org/spreadsheetml/2006/main">
  <sheetPr codeName="Sheet12">
    <tabColor rgb="000E7490"/>
    <outlinePr summaryBelow="1" summaryRight="1"/>
    <pageSetUpPr fitToPage="1"/>
  </sheetPr>
  <dimension ref="A1:Z48"/>
  <sheetViews>
    <sheetView workbookViewId="0">
      <selection activeCell="P15" sqref="P15"/>
    </sheetView>
  </sheetViews>
  <sheetFormatPr baseColWidth="8" defaultColWidth="11.5" defaultRowHeight="12.75"/>
  <cols>
    <col width="32" customWidth="1" style="203" min="1" max="1"/>
    <col width="18" customWidth="1" style="203" min="2" max="2"/>
    <col width="10" customWidth="1" style="203" min="3" max="3"/>
    <col width="16" customWidth="1" style="203" min="4" max="4"/>
    <col width="6.83203125" customWidth="1" style="203" min="5" max="5"/>
    <col width="6" customWidth="1" style="203" min="6" max="6"/>
    <col width="11" customWidth="1" style="203" min="7" max="7"/>
    <col width="7" customWidth="1" style="203" min="8" max="8"/>
    <col width="10.6640625" customWidth="1" style="203" min="9" max="9"/>
    <col width="9" customWidth="1" style="203" min="10" max="10"/>
    <col width="7" customWidth="1" style="203" min="11" max="11"/>
    <col width="11.5" customWidth="1" style="203" min="12" max="16384"/>
    <col width="6" customWidth="1" min="25" max="25"/>
    <col hidden="1" width="13" customWidth="1" min="26" max="26"/>
  </cols>
  <sheetData>
    <row r="1" ht="34.9" customHeight="1">
      <c r="A1" s="1080" t="inlineStr">
        <is>
          <t>2025 APPEAL WORKSHEET</t>
        </is>
      </c>
      <c r="B1" s="1081" t="n"/>
      <c r="C1" s="1081" t="n"/>
      <c r="D1" s="1081" t="n"/>
      <c r="E1" s="1081" t="n"/>
      <c r="F1" s="1081" t="n"/>
      <c r="G1" s="1081" t="n"/>
      <c r="H1" s="1081" t="n"/>
      <c r="I1" s="1081" t="n"/>
      <c r="J1" s="1081" t="n"/>
      <c r="K1" s="1081" t="n"/>
    </row>
    <row r="2" ht="16.15" customHeight="1">
      <c r="A2" s="845" t="inlineStr">
        <is>
          <t>ACCOUNT NUMBER</t>
        </is>
      </c>
      <c r="D2" s="1082" t="inlineStr">
        <is>
          <t> </t>
        </is>
      </c>
      <c r="E2" s="204" t="n"/>
      <c r="F2" s="204" t="n"/>
      <c r="G2" s="204" t="n"/>
      <c r="H2" s="204" t="n"/>
    </row>
    <row r="3" ht="16.15" customHeight="1">
      <c r="A3" s="845" t="inlineStr">
        <is>
          <t>PROPERTY ADDRESS</t>
        </is>
      </c>
      <c r="D3" s="1083" t="inlineStr">
        <is>
          <t> </t>
        </is>
      </c>
      <c r="E3" s="205" t="n"/>
      <c r="F3" s="205" t="n"/>
      <c r="G3" s="205" t="n"/>
      <c r="H3" s="205" t="n"/>
    </row>
    <row r="4" ht="16.15" customHeight="1">
      <c r="A4" s="845" t="inlineStr">
        <is>
          <t>PROTEST NUMBER</t>
        </is>
      </c>
      <c r="D4" s="1083" t="inlineStr">
        <is>
          <t> </t>
        </is>
      </c>
      <c r="E4" s="205" t="n"/>
      <c r="F4" s="205" t="n"/>
      <c r="G4" s="205" t="n"/>
      <c r="H4" s="205" t="n"/>
    </row>
    <row r="5" ht="16.15" customHeight="1">
      <c r="A5" s="845" t="inlineStr">
        <is>
          <t>PETITIONER'S NAME</t>
        </is>
      </c>
      <c r="D5" s="1083" t="inlineStr">
        <is>
          <t> </t>
        </is>
      </c>
      <c r="E5" s="205" t="n"/>
      <c r="F5" s="205" t="n"/>
      <c r="G5" s="205" t="n"/>
      <c r="H5" s="205" t="n"/>
    </row>
    <row r="6"/>
    <row r="7" ht="15.75" customHeight="1">
      <c r="A7" s="848" t="inlineStr">
        <is>
          <t>ASSESSOR'S REMARKS:</t>
        </is>
      </c>
    </row>
    <row r="8">
      <c r="A8" s="580" t="inlineStr">
        <is>
          <t> </t>
        </is>
      </c>
      <c r="B8" s="581" t="n"/>
      <c r="C8" s="581" t="n"/>
      <c r="D8" s="581" t="n"/>
      <c r="E8" s="581" t="n"/>
      <c r="F8" s="581" t="n"/>
      <c r="G8" s="581" t="n"/>
      <c r="H8" s="581" t="n"/>
      <c r="I8" s="581" t="n"/>
      <c r="J8" s="581" t="n"/>
      <c r="K8" s="582" t="n"/>
    </row>
    <row r="9">
      <c r="A9" s="583" t="n"/>
      <c r="K9" s="584" t="n"/>
    </row>
    <row r="10">
      <c r="A10" s="583" t="n"/>
      <c r="K10" s="584" t="n"/>
    </row>
    <row r="11">
      <c r="A11" s="583" t="n"/>
      <c r="K11" s="584" t="n"/>
    </row>
    <row r="12">
      <c r="A12" s="583" t="n"/>
      <c r="K12" s="584" t="n"/>
    </row>
    <row r="13">
      <c r="A13" s="583" t="n"/>
      <c r="K13" s="584" t="n"/>
    </row>
    <row r="14">
      <c r="A14" s="583" t="n"/>
      <c r="K14" s="584" t="n"/>
    </row>
    <row r="15">
      <c r="A15" s="585" t="n"/>
      <c r="B15" s="489" t="n"/>
      <c r="C15" s="489" t="n"/>
      <c r="D15" s="489" t="n"/>
      <c r="E15" s="489" t="n"/>
      <c r="F15" s="489" t="n"/>
      <c r="G15" s="489" t="n"/>
      <c r="H15" s="489" t="n"/>
      <c r="I15" s="489" t="n"/>
      <c r="J15" s="489" t="n"/>
      <c r="K15" s="586" t="n"/>
    </row>
    <row r="16"/>
    <row r="17"/>
    <row r="18" ht="15" customHeight="1">
      <c r="A18" s="1084" t="inlineStr">
        <is>
          <t>MARKET RENT COMPARABLES</t>
        </is>
      </c>
      <c r="B18" s="1085" t="n"/>
      <c r="C18" s="1085" t="n"/>
      <c r="D18" s="1085" t="n"/>
      <c r="E18" s="1085" t="n"/>
      <c r="F18" s="1085" t="n"/>
      <c r="G18" s="1085" t="n"/>
      <c r="H18" s="1086" t="inlineStr">
        <is>
          <t>BUILDING</t>
        </is>
      </c>
      <c r="I18" s="1086" t="n"/>
      <c r="J18" s="1086" t="n"/>
      <c r="K18" s="1087" t="inlineStr">
        <is>
          <t>EXP</t>
        </is>
      </c>
    </row>
    <row r="19" ht="15" customHeight="1">
      <c r="A19" s="324" t="n"/>
      <c r="B19" s="1088" t="inlineStr">
        <is>
          <t>OFFICE</t>
        </is>
      </c>
      <c r="C19" s="1089" t="inlineStr">
        <is>
          <t>USE TYPE</t>
        </is>
      </c>
      <c r="D19" s="1089" t="n"/>
      <c r="E19" s="1089" t="n"/>
      <c r="F19" s="1090" t="inlineStr">
        <is>
          <t>ZONE</t>
        </is>
      </c>
      <c r="G19" s="1088" t="inlineStr">
        <is>
          <t>YOC</t>
        </is>
      </c>
      <c r="H19" s="1091" t="inlineStr">
        <is>
          <t>SQ FT</t>
        </is>
      </c>
      <c r="I19" s="1092" t="inlineStr">
        <is>
          <t>RENT</t>
        </is>
      </c>
      <c r="J19" s="1092" t="inlineStr">
        <is>
          <t>VACANCY</t>
        </is>
      </c>
      <c r="K19" s="1093" t="inlineStr">
        <is>
          <t>RATIO</t>
        </is>
      </c>
    </row>
    <row r="20" ht="16.5" customHeight="1">
      <c r="A20" s="207" t="n"/>
      <c r="B20" s="337" t="inlineStr">
        <is>
          <t>SUBJECT PROPERTY</t>
        </is>
      </c>
      <c r="C20" s="208" t="n"/>
      <c r="D20" s="208" t="n"/>
      <c r="E20" s="208" t="n"/>
      <c r="F20" s="236" t="n"/>
      <c r="G20" s="236" t="n"/>
      <c r="H20" s="209" t="n"/>
      <c r="I20" s="209" t="n"/>
      <c r="J20" s="209" t="n"/>
      <c r="K20" s="210" t="n"/>
    </row>
    <row r="21" ht="15.6" customHeight="1">
      <c r="A21" s="211" t="n"/>
      <c r="B21" s="235">
        <f>LEFT(D2,5)</f>
        <v/>
      </c>
      <c r="C21" s="501" t="inlineStr">
        <is>
          <t> </t>
        </is>
      </c>
      <c r="D21" s="531" t="n"/>
      <c r="E21" s="587" t="n"/>
      <c r="F21" s="235" t="inlineStr">
        <is>
          <t> </t>
        </is>
      </c>
      <c r="G21" s="235" t="inlineStr">
        <is>
          <t> </t>
        </is>
      </c>
      <c r="H21" s="213" t="inlineStr">
        <is>
          <t> </t>
        </is>
      </c>
      <c r="I21" s="570" t="inlineStr">
        <is>
          <t> </t>
        </is>
      </c>
      <c r="J21" s="344" t="inlineStr">
        <is>
          <t> </t>
        </is>
      </c>
      <c r="K21" s="214" t="inlineStr">
        <is>
          <t> </t>
        </is>
      </c>
    </row>
    <row r="22" ht="15" customHeight="1">
      <c r="A22" s="317" t="inlineStr">
        <is>
          <t>1)</t>
        </is>
      </c>
      <c r="B22" s="199">
        <f>IF(Income!D$2="","",MID(Income!D2,1,5))</f>
        <v/>
      </c>
      <c r="C22" s="515">
        <f>IF(Income!G$2="","",VLOOKUP(Income!G$2,[0]!Class,2))</f>
        <v/>
      </c>
      <c r="E22" s="515" t="n"/>
      <c r="F22" s="199">
        <f>IF(Income!T$2="","",Income!T$2)</f>
        <v/>
      </c>
      <c r="G22" s="199">
        <f>IF(Income!N$2="","",Income!N$2)</f>
        <v/>
      </c>
      <c r="H22" s="179">
        <f>IF(Income!J$2="","",Income!J$2)</f>
        <v/>
      </c>
      <c r="I22" s="570">
        <f>IF(Income!K$2="","",Income!K$2)</f>
        <v/>
      </c>
      <c r="J22" s="313">
        <f>IF(Income!L$2="","",Income!L$2)</f>
        <v/>
      </c>
      <c r="K22" s="181">
        <f>IF(Income!M$2="","",Income!M$2)</f>
        <v/>
      </c>
    </row>
    <row r="23" ht="15" customHeight="1">
      <c r="A23" s="317" t="inlineStr">
        <is>
          <t>2)</t>
        </is>
      </c>
      <c r="B23" s="199">
        <f>IF(Income!D$3="","",MID(Income!D$3,1,5))</f>
        <v/>
      </c>
      <c r="C23" s="515">
        <f>IF(Income!G$3="","",VLOOKUP(Income!G$3,[0]!Class,2))</f>
        <v/>
      </c>
      <c r="E23" s="515" t="n"/>
      <c r="F23" s="199">
        <f>IF(Income!T$3="","",Income!T$3)</f>
        <v/>
      </c>
      <c r="G23" s="199">
        <f>IF(Income!N$3="","",Income!N$3)</f>
        <v/>
      </c>
      <c r="H23" s="179">
        <f>IF(Income!J$3="","",Income!J$3)</f>
        <v/>
      </c>
      <c r="I23" s="570">
        <f>IF(Income!K$3="","",Income!K$3)</f>
        <v/>
      </c>
      <c r="J23" s="313">
        <f>IF(Income!L$3="","",Income!L$3)</f>
        <v/>
      </c>
      <c r="K23" s="181">
        <f>IF(Income!M$3="","",Income!M$3)</f>
        <v/>
      </c>
    </row>
    <row r="24" ht="15" customHeight="1">
      <c r="A24" s="318" t="inlineStr">
        <is>
          <t>3)</t>
        </is>
      </c>
      <c r="B24" s="200">
        <f>IF(Income!D$4="","",MID(Income!D$4,1,5))</f>
        <v/>
      </c>
      <c r="C24" s="499">
        <f>IF(Income!G$4="","",VLOOKUP(Income!G$4,[0]!Class,2))</f>
        <v/>
      </c>
      <c r="D24" s="489" t="n"/>
      <c r="E24" s="500" t="n"/>
      <c r="F24" s="200">
        <f>IF(Income!T$4="","",Income!T$4)</f>
        <v/>
      </c>
      <c r="G24" s="200">
        <f>IF(Income!N$4="","",Income!N$4)</f>
        <v/>
      </c>
      <c r="H24" s="184">
        <f>IF(Income!J$4="","",Income!J$4)</f>
        <v/>
      </c>
      <c r="I24" s="571">
        <f>IF(Income!K$4="","",Income!K$4)</f>
        <v/>
      </c>
      <c r="J24" s="314">
        <f>IF(Income!L$4="","",Income!L$4)</f>
        <v/>
      </c>
      <c r="K24" s="186">
        <f>IF(Income!M$4="","",Income!M$4)</f>
        <v/>
      </c>
    </row>
    <row r="25" ht="15.75" customHeight="1">
      <c r="A25" s="217" t="n"/>
      <c r="B25" s="217" t="n"/>
      <c r="C25" s="217" t="n"/>
      <c r="D25" s="217" t="n"/>
      <c r="E25" s="217" t="n"/>
    </row>
    <row r="26" ht="14.25" customHeight="1">
      <c r="A26" s="1084" t="inlineStr">
        <is>
          <t>MARKET SALE COMPARABLES</t>
        </is>
      </c>
      <c r="B26" s="1085" t="n"/>
      <c r="C26" s="1085" t="n"/>
      <c r="D26" s="1085" t="n"/>
      <c r="E26" s="1085" t="n"/>
      <c r="F26" s="1085" t="n"/>
      <c r="G26" s="1085" t="n"/>
      <c r="H26" s="1094" t="inlineStr">
        <is>
          <t>BUILDING</t>
        </is>
      </c>
      <c r="I26" s="1094" t="inlineStr">
        <is>
          <t>SALE</t>
        </is>
      </c>
      <c r="J26" s="1094" t="inlineStr">
        <is>
          <t>SALE</t>
        </is>
      </c>
      <c r="K26" s="1095" t="inlineStr">
        <is>
          <t>S.P./</t>
        </is>
      </c>
    </row>
    <row r="27" ht="15" customHeight="1">
      <c r="A27" s="333" t="n"/>
      <c r="B27" s="1089" t="inlineStr">
        <is>
          <t>PROPERTY ADDRESS</t>
        </is>
      </c>
      <c r="C27" s="1089" t="n"/>
      <c r="D27" s="1089" t="inlineStr">
        <is>
          <t>ACCOUNT NUMBER</t>
        </is>
      </c>
      <c r="E27" s="1089" t="n"/>
      <c r="F27" s="1089" t="n"/>
      <c r="G27" s="1090" t="inlineStr">
        <is>
          <t>YOC</t>
        </is>
      </c>
      <c r="H27" s="1092" t="inlineStr">
        <is>
          <t>SQ FT</t>
        </is>
      </c>
      <c r="I27" s="1092" t="inlineStr">
        <is>
          <t>DATE</t>
        </is>
      </c>
      <c r="J27" s="1092" t="inlineStr">
        <is>
          <t>PRICE</t>
        </is>
      </c>
      <c r="K27" s="1096" t="inlineStr">
        <is>
          <t>SQ FT</t>
        </is>
      </c>
    </row>
    <row r="28" ht="16.5" customHeight="1">
      <c r="A28" s="211" t="n"/>
      <c r="B28" s="338" t="inlineStr">
        <is>
          <t>SUBJECT PROPERTY</t>
        </is>
      </c>
      <c r="G28" s="340" t="n"/>
      <c r="K28" s="218" t="n"/>
    </row>
    <row r="29" ht="15.6" customHeight="1">
      <c r="A29" s="211" t="n"/>
      <c r="B29" s="501">
        <f>D3</f>
        <v/>
      </c>
      <c r="C29" s="531" t="n"/>
      <c r="D29" s="513">
        <f>D2</f>
        <v/>
      </c>
      <c r="G29" s="341">
        <f>G21</f>
        <v/>
      </c>
      <c r="H29" s="215">
        <f>H21</f>
        <v/>
      </c>
      <c r="I29" s="588" t="n"/>
      <c r="J29" s="588" t="n"/>
      <c r="K29" s="589">
        <f>+D48/H29</f>
        <v/>
      </c>
    </row>
    <row r="30" ht="15" customHeight="1">
      <c r="A30" s="317" t="inlineStr">
        <is>
          <t>Best Match 1)</t>
        </is>
      </c>
      <c r="B30" s="513">
        <f>IF(IFERROR(INDEX(Sales!D:D,$Z$30),"")="","",IFERROR(INDEX(Sales!D:D,$Z$30),""))</f>
        <v/>
      </c>
      <c r="D30" s="513">
        <f>IF(IFERROR(INDEX(Sales!C:C,$Z$30),"")="","",IFERROR(INDEX(Sales!C:C,$Z$30),""))</f>
        <v/>
      </c>
      <c r="G30" s="341">
        <f>IF(IFERROR(INDEX(Sales!M:M,$Z$30),"")="","",IFERROR(INDEX(Sales!M:M,$Z$30),""))</f>
        <v/>
      </c>
      <c r="H30" s="215">
        <f>IF(IFERROR(INDEX(Sales!L:L,$Z$30),"")="","",IFERROR(INDEX(Sales!L:L,$Z$30),""))</f>
        <v/>
      </c>
      <c r="I30" s="590">
        <f>IF(IFERROR(INDEX(Sales!I:I,$Z$30),"")="","",IFERROR(INDEX(Sales!I:I,$Z$30),""))</f>
        <v/>
      </c>
      <c r="J30" s="591">
        <f>IF(IFERROR(INDEX(Sales!AA:AA,$Z$30),"")="","",IFERROR(INDEX(Sales!AA:AA,$Z$30),""))</f>
        <v/>
      </c>
      <c r="K30" s="589">
        <f>IF(IFERROR(INDEX(Sales!H:H,$Z$30),"")="","",IFERROR(INDEX(Sales!H:H,$Z$30),""))</f>
        <v/>
      </c>
      <c r="Y30" s="1031" t="n">
        <v>1</v>
      </c>
      <c r="Z30">
        <f>IFERROR(MATCH(_xlfn.AGGREGATE(15,6,Sales!$AJ$2:$AJ$941,$Y$30),Sales!$AJ$2:$AJ$941,0)+1,"")</f>
        <v/>
      </c>
    </row>
    <row r="31" ht="15" customHeight="1">
      <c r="A31" s="317" t="inlineStr">
        <is>
          <t>Best Match 2)</t>
        </is>
      </c>
      <c r="B31" s="513">
        <f>IF(IFERROR(INDEX(Sales!D:D,$Z$31),"")="","",IFERROR(INDEX(Sales!D:D,$Z$31),""))</f>
        <v/>
      </c>
      <c r="D31" s="513">
        <f>IF(IFERROR(INDEX(Sales!C:C,$Z$31),"")="","",IFERROR(INDEX(Sales!C:C,$Z$31),""))</f>
        <v/>
      </c>
      <c r="G31" s="341">
        <f>IF(IFERROR(INDEX(Sales!M:M,$Z$31),"")="","",IFERROR(INDEX(Sales!M:M,$Z$31),""))</f>
        <v/>
      </c>
      <c r="H31" s="215">
        <f>IF(IFERROR(INDEX(Sales!L:L,$Z$31),"")="","",IFERROR(INDEX(Sales!L:L,$Z$31),""))</f>
        <v/>
      </c>
      <c r="I31" s="590">
        <f>IF(IFERROR(INDEX(Sales!I:I,$Z$31),"")="","",IFERROR(INDEX(Sales!I:I,$Z$31),""))</f>
        <v/>
      </c>
      <c r="J31" s="591">
        <f>IF(IFERROR(INDEX(Sales!AA:AA,$Z$31),"")="","",IFERROR(INDEX(Sales!AA:AA,$Z$31),""))</f>
        <v/>
      </c>
      <c r="K31" s="589">
        <f>IF(IFERROR(INDEX(Sales!H:H,$Z$31),"")="","",IFERROR(INDEX(Sales!H:H,$Z$31),""))</f>
        <v/>
      </c>
      <c r="Y31" s="1031" t="n">
        <v>2</v>
      </c>
      <c r="Z31">
        <f>IFERROR(MATCH(_xlfn.AGGREGATE(15,6,Sales!$AJ$2:$AJ$941,$Y$31),Sales!$AJ$2:$AJ$941,0)+1,"")</f>
        <v/>
      </c>
    </row>
    <row r="32" ht="15" customHeight="1">
      <c r="A32" s="318" t="inlineStr">
        <is>
          <t>Best Match 3)</t>
        </is>
      </c>
      <c r="B32" s="514">
        <f>IF(IFERROR(INDEX(Sales!D:D,$Z$32),"")="","",IFERROR(INDEX(Sales!D:D,$Z$32),""))</f>
        <v/>
      </c>
      <c r="C32" s="592" t="n"/>
      <c r="D32" s="514">
        <f>IF(IFERROR(INDEX(Sales!C:C,$Z$32),"")="","",IFERROR(INDEX(Sales!C:C,$Z$32),""))</f>
        <v/>
      </c>
      <c r="E32" s="592" t="n"/>
      <c r="F32" s="592" t="n"/>
      <c r="G32" s="342">
        <f>IF(IFERROR(INDEX(Sales!M:M,$Z$32),"")="","",IFERROR(INDEX(Sales!M:M,$Z$32),""))</f>
        <v/>
      </c>
      <c r="H32" s="216">
        <f>IF(IFERROR(INDEX(Sales!L:L,$Z$32),"")="","",IFERROR(INDEX(Sales!L:L,$Z$32),""))</f>
        <v/>
      </c>
      <c r="I32" s="593">
        <f>IF(IFERROR(INDEX(Sales!I:I,$Z$32),"")="","",IFERROR(INDEX(Sales!I:I,$Z$32),""))</f>
        <v/>
      </c>
      <c r="J32" s="594">
        <f>IF(IFERROR(INDEX(Sales!AA:AA,$Z$32),"")="","",IFERROR(INDEX(Sales!AA:AA,$Z$32),""))</f>
        <v/>
      </c>
      <c r="K32" s="595">
        <f>IF(IFERROR(INDEX(Sales!H:H,$Z$32),"")="","",IFERROR(INDEX(Sales!H:H,$Z$32),""))</f>
        <v/>
      </c>
      <c r="Y32" s="1031" t="n">
        <v>3</v>
      </c>
      <c r="Z32">
        <f>IFERROR(MATCH(_xlfn.AGGREGATE(15,6,Sales!$AJ$2:$AJ$941,$Y$32),Sales!$AJ$2:$AJ$941,0)+1,"")</f>
        <v/>
      </c>
    </row>
    <row r="33"/>
    <row r="34" ht="15.75" customHeight="1">
      <c r="A34" s="862" t="inlineStr">
        <is>
          <t>VALUE CONCLUSIONS:</t>
        </is>
      </c>
    </row>
    <row r="35">
      <c r="A35" s="580" t="inlineStr">
        <is>
          <t> </t>
        </is>
      </c>
      <c r="B35" s="581" t="n"/>
      <c r="C35" s="581" t="n"/>
      <c r="D35" s="581" t="n"/>
      <c r="E35" s="581" t="n"/>
      <c r="F35" s="581" t="n"/>
      <c r="G35" s="581" t="n"/>
      <c r="H35" s="581" t="n"/>
      <c r="I35" s="581" t="n"/>
      <c r="J35" s="581" t="n"/>
      <c r="K35" s="582" t="n"/>
    </row>
    <row r="36">
      <c r="A36" s="583" t="n"/>
      <c r="K36" s="584" t="n"/>
    </row>
    <row r="37">
      <c r="A37" s="583" t="n"/>
      <c r="K37" s="584" t="n"/>
    </row>
    <row r="38">
      <c r="A38" s="583" t="n"/>
      <c r="K38" s="584" t="n"/>
    </row>
    <row r="39">
      <c r="A39" s="583" t="n"/>
      <c r="K39" s="584" t="n"/>
    </row>
    <row r="40">
      <c r="A40" s="583" t="n"/>
      <c r="K40" s="584" t="n"/>
    </row>
    <row r="41">
      <c r="A41" s="583" t="n"/>
      <c r="K41" s="584" t="n"/>
    </row>
    <row r="42">
      <c r="A42" s="585" t="n"/>
      <c r="B42" s="489" t="n"/>
      <c r="C42" s="489" t="n"/>
      <c r="D42" s="489" t="n"/>
      <c r="E42" s="489" t="n"/>
      <c r="F42" s="489" t="n"/>
      <c r="G42" s="489" t="n"/>
      <c r="H42" s="489" t="n"/>
      <c r="I42" s="489" t="n"/>
      <c r="J42" s="489" t="n"/>
      <c r="K42" s="586" t="n"/>
    </row>
    <row r="43"/>
    <row r="44" ht="15.75" customHeight="1">
      <c r="A44" s="863" t="inlineStr">
        <is>
          <t>VALUE ALLOCATION OF SUBJECT PROPERTY:</t>
        </is>
      </c>
    </row>
    <row r="45"/>
    <row r="46" ht="13.9" customHeight="1">
      <c r="A46" s="203" t="inlineStr">
        <is>
          <t>LAND VALUE:</t>
        </is>
      </c>
      <c r="D46" s="596" t="inlineStr">
        <is>
          <t> </t>
        </is>
      </c>
      <c r="E46" s="489" t="n"/>
      <c r="G46" s="203" t="inlineStr">
        <is>
          <t>NO CHANGE</t>
        </is>
      </c>
      <c r="H46" t="n"/>
      <c r="I46" s="203" t="inlineStr">
        <is>
          <t>REDUCTION</t>
        </is>
      </c>
    </row>
    <row r="47" ht="13.9" customHeight="1">
      <c r="A47" s="203" t="inlineStr">
        <is>
          <t>IMPROVEMENT VALUE:</t>
        </is>
      </c>
      <c r="D47" s="596" t="inlineStr">
        <is>
          <t> </t>
        </is>
      </c>
      <c r="E47" s="489" t="n"/>
      <c r="G47" s="203" t="inlineStr">
        <is>
          <t>NO CHANGE</t>
        </is>
      </c>
      <c r="I47" s="203" t="inlineStr">
        <is>
          <t>REDUCTION</t>
        </is>
      </c>
    </row>
    <row r="48">
      <c r="A48" s="203" t="inlineStr">
        <is>
          <t>TOTAL VALUE:</t>
        </is>
      </c>
      <c r="D48" s="596" t="inlineStr">
        <is>
          <t> </t>
        </is>
      </c>
      <c r="E48" s="48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verticalDpi="300"/>
  <legacyDrawing xmlns:r="http://schemas.openxmlformats.org/officeDocument/2006/relationships" r:id="anysvml"/>
</worksheet>
</file>

<file path=xl/worksheets/sheet9.xml><?xml version="1.0" encoding="utf-8"?>
<worksheet xmlns="http://schemas.openxmlformats.org/spreadsheetml/2006/main">
  <sheetPr>
    <tabColor rgb="000E7490"/>
    <outlinePr summaryBelow="1" summaryRight="1"/>
    <pageSetUpPr/>
  </sheetPr>
  <dimension ref="A1:M681"/>
  <sheetViews>
    <sheetView showGridLines="0" workbookViewId="0">
      <selection activeCell="A1" sqref="A1"/>
    </sheetView>
  </sheetViews>
  <sheetFormatPr baseColWidth="8" defaultRowHeight="15"/>
  <cols>
    <col width="2" customWidth="1" min="1" max="1"/>
    <col width="52" customWidth="1" min="2" max="2"/>
    <col width="52" customWidth="1" min="3" max="3"/>
    <col width="52" customWidth="1" min="4" max="4"/>
    <col width="52" customWidth="1" min="5" max="5"/>
    <col width="52" customWidth="1" min="6" max="6"/>
    <col width="12" customWidth="1" min="7" max="7"/>
    <col width="10" customWidth="1" min="8" max="8"/>
    <col width="13" customWidth="1" min="9" max="9"/>
    <col width="11" customWidth="1" min="10" max="10"/>
    <col width="15" customWidth="1" min="11" max="11"/>
    <col width="13" customWidth="1" min="12" max="12"/>
    <col width="17" customWidth="1" min="13" max="13"/>
  </cols>
  <sheetData>
    <row r="1">
      <c r="B1" s="1150" t="inlineStr">
        <is>
          <t>MARSHALL AND SWIFT (MVS) REFERENCE ENGINE -- June 2024 Ed. (Section 99/98 multiplier inserts dated Jan 2025)</t>
        </is>
      </c>
    </row>
    <row r="2" ht="28" customHeight="1">
      <c r="B2" s="1201" t="inlineStr">
        <is>
          <t>ALL WORKING INPUTS LIVE ON THE 'COST APPROACH' TAB -- this sheet is locked MVS reference/lookup data only. Go to Cost Approach to value a property.</t>
        </is>
      </c>
    </row>
    <row r="3"/>
    <row r="4">
      <c r="B4" s="1202" t="inlineStr">
        <is>
          <t>CURRENT RESULT  (mirrors the 'Cost Approach' tab)</t>
        </is>
      </c>
      <c r="C4" s="964" t="n"/>
      <c r="D4" s="964" t="n"/>
      <c r="E4" s="964" t="n"/>
      <c r="F4" s="964" t="n"/>
    </row>
    <row r="5">
      <c r="B5" s="1203" t="inlineStr">
        <is>
          <t>Total Replacement Cost New (RCN)</t>
        </is>
      </c>
      <c r="C5" s="1204">
        <f>'Cost Approach'!G51</f>
        <v/>
      </c>
    </row>
    <row r="6">
      <c r="B6" s="1203" t="inlineStr">
        <is>
          <t>Depreciated Value of Improvements</t>
        </is>
      </c>
      <c r="C6" s="1204">
        <f>'Cost Approach'!G64</f>
        <v/>
      </c>
    </row>
    <row r="7">
      <c r="B7" s="1203" t="inlineStr">
        <is>
          <t>Plus: Land Value</t>
        </is>
      </c>
      <c r="C7" s="1204">
        <f>'Cost Approach'!G67</f>
        <v/>
      </c>
    </row>
    <row r="8">
      <c r="B8" s="1203" t="inlineStr">
        <is>
          <t>INDICATED VALUE BY COST APPROACH</t>
        </is>
      </c>
      <c r="C8" s="1204">
        <f>'Cost Approach'!G70</f>
        <v/>
      </c>
    </row>
    <row r="9"/>
    <row r="10"/>
    <row r="11">
      <c r="B11" s="1205" t="inlineStr">
        <is>
          <t>MVS QUICK-REFERENCE TABLES -- DO NOT EDIT  (sourced &amp;amp; verified from the licensed MVS June 2024 edition; Sec.99/98 multiplier inserts dated Jan 2025)</t>
        </is>
      </c>
      <c r="C11" s="1206" t="n"/>
      <c r="D11" s="1206" t="n"/>
      <c r="E11" s="1206" t="n"/>
      <c r="F11" s="1206" t="n"/>
      <c r="G11" s="1206" t="n"/>
      <c r="H11" s="1206" t="n"/>
    </row>
    <row r="12"/>
    <row r="13">
      <c r="B13" s="1207" t="inlineStr">
        <is>
          <t>REFERENCE 1 -- Class of Construction Indicators (MVS Section 1, pp.4-9)</t>
        </is>
      </c>
      <c r="C13" s="1208" t="n"/>
      <c r="D13" s="1208" t="n"/>
      <c r="E13" s="1208" t="n"/>
      <c r="F13" s="1208" t="n"/>
      <c r="G13" s="1208" t="n"/>
      <c r="H13" s="1208" t="n"/>
    </row>
    <row r="14">
      <c r="B14" s="1209" t="inlineStr">
        <is>
          <t>Class</t>
        </is>
      </c>
      <c r="C14" s="1209" t="inlineStr">
        <is>
          <t>Frame</t>
        </is>
      </c>
      <c r="D14" s="1209" t="inlineStr">
        <is>
          <t>Floor</t>
        </is>
      </c>
      <c r="E14" s="1209" t="inlineStr">
        <is>
          <t>Roof</t>
        </is>
      </c>
      <c r="F14" s="1209" t="inlineStr">
        <is>
          <t>Walls</t>
        </is>
      </c>
    </row>
    <row r="15" ht="45" customHeight="1">
      <c r="B15" s="605" t="inlineStr">
        <is>
          <t>A</t>
        </is>
      </c>
      <c r="C15" s="605" t="inlineStr">
        <is>
          <t>Structural steel columns and beams, fireproofed with masonry, concrete, plaster, or other noncombustible material.</t>
        </is>
      </c>
      <c r="D15" s="605" t="inlineStr">
        <is>
          <t>Concrete or concrete on steel deck, fireproofed.</t>
        </is>
      </c>
      <c r="E15" s="605" t="inlineStr">
        <is>
          <t>Formed concrete, precast slabs, concrete or gypsum on steel deck, fireproofed.</t>
        </is>
      </c>
      <c r="F15" s="605" t="inlineStr">
        <is>
          <t>Nonbearing curtain walls, masonry, concrete, metal and glass panels, stone, steel studs and masonry, tile or stucco, etc.</t>
        </is>
      </c>
    </row>
    <row r="16" ht="45" customHeight="1">
      <c r="B16" s="605" t="inlineStr">
        <is>
          <t>B</t>
        </is>
      </c>
      <c r="C16" s="605" t="inlineStr">
        <is>
          <t>Reinforced concrete columns and beams.</t>
        </is>
      </c>
      <c r="D16" s="605" t="inlineStr">
        <is>
          <t>Concrete or concrete on steel deck, fireproofed.</t>
        </is>
      </c>
      <c r="E16" s="605" t="inlineStr">
        <is>
          <t>Formed concrete, precast slabs, concrete or gypsum on steel deck, fireproofed.</t>
        </is>
      </c>
      <c r="F16" s="605" t="inlineStr">
        <is>
          <t>Nonbearing curtain walls, masonry, concrete, metal and glass panels, stone, steel studs and masonry, tile or stucco, etc.</t>
        </is>
      </c>
    </row>
    <row r="17" ht="45" customHeight="1">
      <c r="B17" s="605" t="inlineStr">
        <is>
          <t>C</t>
        </is>
      </c>
      <c r="C17" s="605" t="inlineStr">
        <is>
          <t>Masonry or concrete load-bearing walls with or without pilasters. Masonry, concrete or curtain walls with full or partial open steel, wood, or concrete frame.</t>
        </is>
      </c>
      <c r="D17" s="605" t="inlineStr">
        <is>
          <t>Wood or concrete plank on wood or steel floor joists, or concrete slab on grade.</t>
        </is>
      </c>
      <c r="E17" s="605" t="inlineStr">
        <is>
          <t>Wood or steel joists with wood or steel deck. Concrete plank.</t>
        </is>
      </c>
      <c r="F17" s="605" t="inlineStr">
        <is>
          <t>Brick, concrete block, or tile masonry, tilt-up, formed concrete, nonbearing curtain walls.</t>
        </is>
      </c>
    </row>
    <row r="18" ht="45" customHeight="1">
      <c r="B18" s="605" t="inlineStr">
        <is>
          <t>D</t>
        </is>
      </c>
      <c r="C18" s="605" t="inlineStr">
        <is>
          <t>Wood or steel studs in bearing wall, full or partial open wood or steel frame, primarily combustible construction.</t>
        </is>
      </c>
      <c r="D18" s="605" t="inlineStr">
        <is>
          <t>Wood or steel floor joists or concrete slab on grade.</t>
        </is>
      </c>
      <c r="E18" s="605" t="inlineStr">
        <is>
          <t>Wood or steel joists with wood or steel deck.</t>
        </is>
      </c>
      <c r="F18" s="605" t="inlineStr">
        <is>
          <t>Almost any material except bearing or curtain walls of solid masonry or concrete. Generally combustible construction.</t>
        </is>
      </c>
    </row>
    <row r="19" ht="45" customHeight="1">
      <c r="B19" s="605" t="inlineStr">
        <is>
          <t>S</t>
        </is>
      </c>
      <c r="C19" s="605" t="inlineStr">
        <is>
          <t>Metal bents, columns, girders, purlins and girts without fireproofing, incombustible construction.</t>
        </is>
      </c>
      <c r="D19" s="605" t="inlineStr">
        <is>
          <t>Wood or steel deck on steel floor joists, or concrete slab on grade.</t>
        </is>
      </c>
      <c r="E19" s="605" t="inlineStr">
        <is>
          <t>Steel or wood deck on steel joists.</t>
        </is>
      </c>
      <c r="F19" s="605" t="inlineStr">
        <is>
          <t>Metal skin or sandwich panels. Generally incombustible.</t>
        </is>
      </c>
    </row>
    <row r="20"/>
    <row r="21">
      <c r="B21" s="1207" t="inlineStr">
        <is>
          <t>REFERENCE 2 -- Quality Tier Definitions (MVS Section 1, pp.10-12)</t>
        </is>
      </c>
      <c r="C21" s="1208" t="n"/>
      <c r="D21" s="1208" t="n"/>
      <c r="E21" s="1208" t="n"/>
      <c r="F21" s="1208" t="n"/>
      <c r="G21" s="1208" t="n"/>
      <c r="H21" s="1208" t="n"/>
    </row>
    <row r="22">
      <c r="B22" s="1209" t="inlineStr">
        <is>
          <t>Quality</t>
        </is>
      </c>
      <c r="C22" s="1209" t="inlineStr">
        <is>
          <t>Description</t>
        </is>
      </c>
    </row>
    <row r="23" ht="45" customHeight="1">
      <c r="B23" s="1158" t="inlineStr">
        <is>
          <t>Low Cost</t>
        </is>
      </c>
      <c r="C23" s="605" t="inlineStr">
        <is>
          <t>Constructed to minimum code requirements, little regard for architectural appearance, minimum investment, little ornamentation, minimal/low-quality interior finish.</t>
        </is>
      </c>
    </row>
    <row r="24" ht="45" customHeight="1">
      <c r="B24" s="1158" t="inlineStr">
        <is>
          <t>Average</t>
        </is>
      </c>
      <c r="C24" s="605" t="inlineStr">
        <is>
          <t>Largest group of buildings constructed (~50% of all buildings). Designed for maximum economic potential without pride-of-ownership amenities. Good standard code construction, simple ornamentation and finishes.</t>
        </is>
      </c>
    </row>
    <row r="25" ht="45" customHeight="1">
      <c r="B25" s="1158" t="inlineStr">
        <is>
          <t>Good</t>
        </is>
      </c>
      <c r="C25" s="605" t="inlineStr">
        <is>
          <t>Designed for good appearance, comfort and convenience with an element of prestige. Higher-quality ornamental treatment, interiors designed for upper-class rentals, better lighting and mechanical work.</t>
        </is>
      </c>
    </row>
    <row r="26" ht="45" customHeight="1">
      <c r="B26" s="1158" t="inlineStr">
        <is>
          <t>Excellent</t>
        </is>
      </c>
      <c r="C26" s="605" t="inlineStr">
        <is>
          <t>Prestige buildings. Part of cost is attributable to pride of ownership. Expensive finishes and fixtures; built for established professionals/institutions or high-profile tenants.</t>
        </is>
      </c>
    </row>
    <row r="27"/>
    <row r="28">
      <c r="B28" s="1207" t="inlineStr">
        <is>
          <t>REFERENCE 3 -- Occupancy Base Cost Tables (Calculator Method, $/SF)</t>
        </is>
      </c>
      <c r="C28" s="1208" t="n"/>
      <c r="D28" s="1208" t="n"/>
      <c r="E28" s="1208" t="n"/>
      <c r="F28" s="1208" t="n"/>
      <c r="G28" s="1208" t="n"/>
      <c r="H28" s="1208" t="n"/>
    </row>
    <row r="29">
      <c r="B29" s="1209" t="inlineStr">
        <is>
          <t>Occupancy Name</t>
        </is>
      </c>
      <c r="C29" s="1209" t="inlineStr">
        <is>
          <t>Occ. Code</t>
        </is>
      </c>
      <c r="D29" s="1209" t="inlineStr">
        <is>
          <t>Section</t>
        </is>
      </c>
      <c r="E29" s="1209" t="inlineStr">
        <is>
          <t>Page</t>
        </is>
      </c>
      <c r="F29" s="1209" t="inlineStr">
        <is>
          <t>Class</t>
        </is>
      </c>
      <c r="G29" s="1210" t="inlineStr">
        <is>
          <t>Quality</t>
        </is>
      </c>
      <c r="H29" s="1210" t="inlineStr">
        <is>
          <t>$/SF</t>
        </is>
      </c>
      <c r="I29" s="1210" t="inlineStr">
        <is>
          <t>Lookup Key</t>
        </is>
      </c>
      <c r="J29" s="1210" t="inlineStr">
        <is>
          <t>Story Tbl</t>
        </is>
      </c>
      <c r="K29" s="1210" t="inlineStr">
        <is>
          <t>Sprinkler Tbl</t>
        </is>
      </c>
      <c r="L29" s="1210" t="inlineStr">
        <is>
          <t>Elevator Tbl</t>
        </is>
      </c>
      <c r="M29" s="1210" t="inlineStr">
        <is>
          <t>Citation</t>
        </is>
      </c>
    </row>
    <row r="30">
      <c r="B30" s="1158" t="inlineStr">
        <is>
          <t>Storage Warehouses</t>
        </is>
      </c>
      <c r="C30" s="1158" t="inlineStr">
        <is>
          <t>406</t>
        </is>
      </c>
      <c r="D30" s="1158" t="inlineStr">
        <is>
          <t>14</t>
        </is>
      </c>
      <c r="E30" s="1158" t="inlineStr">
        <is>
          <t>26</t>
        </is>
      </c>
      <c r="F30" s="1158" t="inlineStr">
        <is>
          <t>A</t>
        </is>
      </c>
      <c r="G30" t="inlineStr">
        <is>
          <t>Good</t>
        </is>
      </c>
      <c r="H30" s="606" t="n">
        <v>137</v>
      </c>
      <c r="I30">
        <f>B30&amp;"|"&amp;F30&amp;"|"&amp;G30</f>
        <v/>
      </c>
      <c r="J30" t="inlineStr">
        <is>
          <t>14</t>
        </is>
      </c>
      <c r="K30" t="inlineStr">
        <is>
          <t>14</t>
        </is>
      </c>
      <c r="L30" t="inlineStr">
        <is>
          <t>14</t>
        </is>
      </c>
      <c r="M30" t="inlineStr">
        <is>
          <t>MVS Sec.14 p.26</t>
        </is>
      </c>
    </row>
    <row r="31">
      <c r="B31" s="1158" t="inlineStr">
        <is>
          <t>Storage Warehouses</t>
        </is>
      </c>
      <c r="C31" s="1158" t="inlineStr">
        <is>
          <t>406</t>
        </is>
      </c>
      <c r="D31" s="1158" t="inlineStr">
        <is>
          <t>14</t>
        </is>
      </c>
      <c r="E31" s="1158" t="inlineStr">
        <is>
          <t>26</t>
        </is>
      </c>
      <c r="F31" s="1158" t="inlineStr">
        <is>
          <t>A</t>
        </is>
      </c>
      <c r="G31" t="inlineStr">
        <is>
          <t>Average</t>
        </is>
      </c>
      <c r="H31" s="606" t="n">
        <v>101</v>
      </c>
      <c r="I31">
        <f>B31&amp;"|"&amp;F31&amp;"|"&amp;G31</f>
        <v/>
      </c>
      <c r="J31" t="inlineStr">
        <is>
          <t>14</t>
        </is>
      </c>
      <c r="K31" t="inlineStr">
        <is>
          <t>14</t>
        </is>
      </c>
      <c r="L31" t="inlineStr">
        <is>
          <t>14</t>
        </is>
      </c>
      <c r="M31" t="inlineStr">
        <is>
          <t>MVS Sec.14 p.26</t>
        </is>
      </c>
    </row>
    <row r="32">
      <c r="B32" s="1158" t="inlineStr">
        <is>
          <t>Storage Warehouses</t>
        </is>
      </c>
      <c r="C32" s="1158" t="inlineStr">
        <is>
          <t>406</t>
        </is>
      </c>
      <c r="D32" s="1158" t="inlineStr">
        <is>
          <t>14</t>
        </is>
      </c>
      <c r="E32" s="1158" t="inlineStr">
        <is>
          <t>26</t>
        </is>
      </c>
      <c r="F32" s="1158" t="inlineStr">
        <is>
          <t>A</t>
        </is>
      </c>
      <c r="G32" t="inlineStr">
        <is>
          <t>Low Cost</t>
        </is>
      </c>
      <c r="H32" s="606" t="n">
        <v>79.5</v>
      </c>
      <c r="I32">
        <f>B32&amp;"|"&amp;F32&amp;"|"&amp;G32</f>
        <v/>
      </c>
      <c r="J32" t="inlineStr">
        <is>
          <t>14</t>
        </is>
      </c>
      <c r="K32" t="inlineStr">
        <is>
          <t>14</t>
        </is>
      </c>
      <c r="L32" t="inlineStr">
        <is>
          <t>14</t>
        </is>
      </c>
      <c r="M32" t="inlineStr">
        <is>
          <t>MVS Sec.14 p.26</t>
        </is>
      </c>
    </row>
    <row r="33">
      <c r="B33" s="1158" t="inlineStr">
        <is>
          <t>Storage Warehouses</t>
        </is>
      </c>
      <c r="C33" s="1158" t="inlineStr">
        <is>
          <t>406</t>
        </is>
      </c>
      <c r="D33" s="1158" t="inlineStr">
        <is>
          <t>14</t>
        </is>
      </c>
      <c r="E33" s="1158" t="inlineStr">
        <is>
          <t>26</t>
        </is>
      </c>
      <c r="F33" s="1158" t="inlineStr">
        <is>
          <t>B</t>
        </is>
      </c>
      <c r="G33" t="inlineStr">
        <is>
          <t>Good</t>
        </is>
      </c>
      <c r="H33" s="606" t="n">
        <v>121</v>
      </c>
      <c r="I33">
        <f>B33&amp;"|"&amp;F33&amp;"|"&amp;G33</f>
        <v/>
      </c>
      <c r="J33" t="inlineStr">
        <is>
          <t>14</t>
        </is>
      </c>
      <c r="K33" t="inlineStr">
        <is>
          <t>14</t>
        </is>
      </c>
      <c r="L33" t="inlineStr">
        <is>
          <t>14</t>
        </is>
      </c>
      <c r="M33" t="inlineStr">
        <is>
          <t>MVS Sec.14 p.26</t>
        </is>
      </c>
    </row>
    <row r="34">
      <c r="B34" s="1158" t="inlineStr">
        <is>
          <t>Storage Warehouses</t>
        </is>
      </c>
      <c r="C34" s="1158" t="inlineStr">
        <is>
          <t>406</t>
        </is>
      </c>
      <c r="D34" s="1158" t="inlineStr">
        <is>
          <t>14</t>
        </is>
      </c>
      <c r="E34" s="1158" t="inlineStr">
        <is>
          <t>26</t>
        </is>
      </c>
      <c r="F34" s="1158" t="inlineStr">
        <is>
          <t>B</t>
        </is>
      </c>
      <c r="G34" t="inlineStr">
        <is>
          <t>Average</t>
        </is>
      </c>
      <c r="H34" s="606" t="n">
        <v>88</v>
      </c>
      <c r="I34">
        <f>B34&amp;"|"&amp;F34&amp;"|"&amp;G34</f>
        <v/>
      </c>
      <c r="J34" t="inlineStr">
        <is>
          <t>14</t>
        </is>
      </c>
      <c r="K34" t="inlineStr">
        <is>
          <t>14</t>
        </is>
      </c>
      <c r="L34" t="inlineStr">
        <is>
          <t>14</t>
        </is>
      </c>
      <c r="M34" t="inlineStr">
        <is>
          <t>MVS Sec.14 p.26</t>
        </is>
      </c>
    </row>
    <row r="35">
      <c r="B35" s="1158" t="inlineStr">
        <is>
          <t>Storage Warehouses</t>
        </is>
      </c>
      <c r="C35" s="1158" t="inlineStr">
        <is>
          <t>406</t>
        </is>
      </c>
      <c r="D35" s="1158" t="inlineStr">
        <is>
          <t>14</t>
        </is>
      </c>
      <c r="E35" s="1158" t="inlineStr">
        <is>
          <t>26</t>
        </is>
      </c>
      <c r="F35" s="1158" t="inlineStr">
        <is>
          <t>B</t>
        </is>
      </c>
      <c r="G35" t="inlineStr">
        <is>
          <t>Low Cost</t>
        </is>
      </c>
      <c r="H35" s="606" t="n">
        <v>69</v>
      </c>
      <c r="I35">
        <f>B35&amp;"|"&amp;F35&amp;"|"&amp;G35</f>
        <v/>
      </c>
      <c r="J35" t="inlineStr">
        <is>
          <t>14</t>
        </is>
      </c>
      <c r="K35" t="inlineStr">
        <is>
          <t>14</t>
        </is>
      </c>
      <c r="L35" t="inlineStr">
        <is>
          <t>14</t>
        </is>
      </c>
      <c r="M35" t="inlineStr">
        <is>
          <t>MVS Sec.14 p.26</t>
        </is>
      </c>
    </row>
    <row r="36">
      <c r="B36" s="1158" t="inlineStr">
        <is>
          <t>Storage Warehouses</t>
        </is>
      </c>
      <c r="C36" s="1158" t="inlineStr">
        <is>
          <t>406</t>
        </is>
      </c>
      <c r="D36" s="1158" t="inlineStr">
        <is>
          <t>14</t>
        </is>
      </c>
      <c r="E36" s="1158" t="inlineStr">
        <is>
          <t>26</t>
        </is>
      </c>
      <c r="F36" s="1158" t="inlineStr">
        <is>
          <t>C</t>
        </is>
      </c>
      <c r="G36" t="inlineStr">
        <is>
          <t>Excellent</t>
        </is>
      </c>
      <c r="H36" s="606" t="n">
        <v>134</v>
      </c>
      <c r="I36">
        <f>B36&amp;"|"&amp;F36&amp;"|"&amp;G36</f>
        <v/>
      </c>
      <c r="J36" t="inlineStr">
        <is>
          <t>14</t>
        </is>
      </c>
      <c r="K36" t="inlineStr">
        <is>
          <t>14</t>
        </is>
      </c>
      <c r="L36" t="inlineStr">
        <is>
          <t>14</t>
        </is>
      </c>
      <c r="M36" t="inlineStr">
        <is>
          <t>MVS Sec.14 p.26</t>
        </is>
      </c>
    </row>
    <row r="37">
      <c r="B37" s="1158" t="inlineStr">
        <is>
          <t>Storage Warehouses</t>
        </is>
      </c>
      <c r="C37" s="1158" t="inlineStr">
        <is>
          <t>406</t>
        </is>
      </c>
      <c r="D37" s="1158" t="inlineStr">
        <is>
          <t>14</t>
        </is>
      </c>
      <c r="E37" s="1158" t="inlineStr">
        <is>
          <t>26</t>
        </is>
      </c>
      <c r="F37" s="1158" t="inlineStr">
        <is>
          <t>C</t>
        </is>
      </c>
      <c r="G37" t="inlineStr">
        <is>
          <t>Good</t>
        </is>
      </c>
      <c r="H37" s="606" t="n">
        <v>86.5</v>
      </c>
      <c r="I37">
        <f>B37&amp;"|"&amp;F37&amp;"|"&amp;G37</f>
        <v/>
      </c>
      <c r="J37" t="inlineStr">
        <is>
          <t>14</t>
        </is>
      </c>
      <c r="K37" t="inlineStr">
        <is>
          <t>14</t>
        </is>
      </c>
      <c r="L37" t="inlineStr">
        <is>
          <t>14</t>
        </is>
      </c>
      <c r="M37" t="inlineStr">
        <is>
          <t>MVS Sec.14 p.26</t>
        </is>
      </c>
    </row>
    <row r="38">
      <c r="B38" s="1158" t="inlineStr">
        <is>
          <t>Storage Warehouses</t>
        </is>
      </c>
      <c r="C38" s="1158" t="inlineStr">
        <is>
          <t>406</t>
        </is>
      </c>
      <c r="D38" s="1158" t="inlineStr">
        <is>
          <t>14</t>
        </is>
      </c>
      <c r="E38" s="1158" t="inlineStr">
        <is>
          <t>26</t>
        </is>
      </c>
      <c r="F38" s="1158" t="inlineStr">
        <is>
          <t>C</t>
        </is>
      </c>
      <c r="G38" t="inlineStr">
        <is>
          <t>Average</t>
        </is>
      </c>
      <c r="H38" s="606" t="n">
        <v>61</v>
      </c>
      <c r="I38">
        <f>B38&amp;"|"&amp;F38&amp;"|"&amp;G38</f>
        <v/>
      </c>
      <c r="J38" t="inlineStr">
        <is>
          <t>14</t>
        </is>
      </c>
      <c r="K38" t="inlineStr">
        <is>
          <t>14</t>
        </is>
      </c>
      <c r="L38" t="inlineStr">
        <is>
          <t>14</t>
        </is>
      </c>
      <c r="M38" t="inlineStr">
        <is>
          <t>MVS Sec.14 p.26</t>
        </is>
      </c>
    </row>
    <row r="39">
      <c r="B39" s="1158" t="inlineStr">
        <is>
          <t>Storage Warehouses</t>
        </is>
      </c>
      <c r="C39" s="1158" t="inlineStr">
        <is>
          <t>406</t>
        </is>
      </c>
      <c r="D39" s="1158" t="inlineStr">
        <is>
          <t>14</t>
        </is>
      </c>
      <c r="E39" s="1158" t="inlineStr">
        <is>
          <t>26</t>
        </is>
      </c>
      <c r="F39" s="1158" t="inlineStr">
        <is>
          <t>C</t>
        </is>
      </c>
      <c r="G39" t="inlineStr">
        <is>
          <t>Low Cost</t>
        </is>
      </c>
      <c r="H39" s="606" t="n">
        <v>43</v>
      </c>
      <c r="I39">
        <f>B39&amp;"|"&amp;F39&amp;"|"&amp;G39</f>
        <v/>
      </c>
      <c r="J39" t="inlineStr">
        <is>
          <t>14</t>
        </is>
      </c>
      <c r="K39" t="inlineStr">
        <is>
          <t>14</t>
        </is>
      </c>
      <c r="L39" t="inlineStr">
        <is>
          <t>14</t>
        </is>
      </c>
      <c r="M39" t="inlineStr">
        <is>
          <t>MVS Sec.14 p.26</t>
        </is>
      </c>
    </row>
    <row r="40">
      <c r="B40" s="1158" t="inlineStr">
        <is>
          <t>Storage Warehouses</t>
        </is>
      </c>
      <c r="C40" s="1158" t="inlineStr">
        <is>
          <t>406</t>
        </is>
      </c>
      <c r="D40" s="1158" t="inlineStr">
        <is>
          <t>14</t>
        </is>
      </c>
      <c r="E40" s="1158" t="inlineStr">
        <is>
          <t>26</t>
        </is>
      </c>
      <c r="F40" s="1158" t="inlineStr">
        <is>
          <t>CMILL</t>
        </is>
      </c>
      <c r="G40" t="inlineStr">
        <is>
          <t>Good</t>
        </is>
      </c>
      <c r="H40" s="606" t="n">
        <v>119</v>
      </c>
      <c r="I40">
        <f>B40&amp;"|"&amp;F40&amp;"|"&amp;G40</f>
        <v/>
      </c>
      <c r="J40" t="inlineStr">
        <is>
          <t>14</t>
        </is>
      </c>
      <c r="K40" t="inlineStr">
        <is>
          <t>14</t>
        </is>
      </c>
      <c r="L40" t="inlineStr">
        <is>
          <t>14</t>
        </is>
      </c>
      <c r="M40" t="inlineStr">
        <is>
          <t>MVS Sec.14 p.26</t>
        </is>
      </c>
    </row>
    <row r="41">
      <c r="B41" s="1158" t="inlineStr">
        <is>
          <t>Storage Warehouses</t>
        </is>
      </c>
      <c r="C41" s="1158" t="inlineStr">
        <is>
          <t>406</t>
        </is>
      </c>
      <c r="D41" s="1158" t="inlineStr">
        <is>
          <t>14</t>
        </is>
      </c>
      <c r="E41" s="1158" t="inlineStr">
        <is>
          <t>26</t>
        </is>
      </c>
      <c r="F41" s="1158" t="inlineStr">
        <is>
          <t>CMILL</t>
        </is>
      </c>
      <c r="G41" t="inlineStr">
        <is>
          <t>Average</t>
        </is>
      </c>
      <c r="H41" s="606" t="n">
        <v>82</v>
      </c>
      <c r="I41">
        <f>B41&amp;"|"&amp;F41&amp;"|"&amp;G41</f>
        <v/>
      </c>
      <c r="J41" t="inlineStr">
        <is>
          <t>14</t>
        </is>
      </c>
      <c r="K41" t="inlineStr">
        <is>
          <t>14</t>
        </is>
      </c>
      <c r="L41" t="inlineStr">
        <is>
          <t>14</t>
        </is>
      </c>
      <c r="M41" t="inlineStr">
        <is>
          <t>MVS Sec.14 p.26</t>
        </is>
      </c>
    </row>
    <row r="42">
      <c r="B42" s="1158" t="inlineStr">
        <is>
          <t>Storage Warehouses</t>
        </is>
      </c>
      <c r="C42" s="1158" t="inlineStr">
        <is>
          <t>406</t>
        </is>
      </c>
      <c r="D42" s="1158" t="inlineStr">
        <is>
          <t>14</t>
        </is>
      </c>
      <c r="E42" s="1158" t="inlineStr">
        <is>
          <t>26</t>
        </is>
      </c>
      <c r="F42" s="1158" t="inlineStr">
        <is>
          <t>D</t>
        </is>
      </c>
      <c r="G42" t="inlineStr">
        <is>
          <t>Good</t>
        </is>
      </c>
      <c r="H42" s="606" t="n">
        <v>78</v>
      </c>
      <c r="I42">
        <f>B42&amp;"|"&amp;F42&amp;"|"&amp;G42</f>
        <v/>
      </c>
      <c r="J42" t="inlineStr">
        <is>
          <t>14</t>
        </is>
      </c>
      <c r="K42" t="inlineStr">
        <is>
          <t>14</t>
        </is>
      </c>
      <c r="L42" t="inlineStr">
        <is>
          <t>14</t>
        </is>
      </c>
      <c r="M42" t="inlineStr">
        <is>
          <t>MVS Sec.14 p.26</t>
        </is>
      </c>
    </row>
    <row r="43">
      <c r="B43" s="1158" t="inlineStr">
        <is>
          <t>Storage Warehouses</t>
        </is>
      </c>
      <c r="C43" s="1158" t="inlineStr">
        <is>
          <t>406</t>
        </is>
      </c>
      <c r="D43" s="1158" t="inlineStr">
        <is>
          <t>14</t>
        </is>
      </c>
      <c r="E43" s="1158" t="inlineStr">
        <is>
          <t>26</t>
        </is>
      </c>
      <c r="F43" s="1158" t="inlineStr">
        <is>
          <t>D</t>
        </is>
      </c>
      <c r="G43" t="inlineStr">
        <is>
          <t>Average</t>
        </is>
      </c>
      <c r="H43" s="606" t="n">
        <v>54.5</v>
      </c>
      <c r="I43">
        <f>B43&amp;"|"&amp;F43&amp;"|"&amp;G43</f>
        <v/>
      </c>
      <c r="J43" t="inlineStr">
        <is>
          <t>14</t>
        </is>
      </c>
      <c r="K43" t="inlineStr">
        <is>
          <t>14</t>
        </is>
      </c>
      <c r="L43" t="inlineStr">
        <is>
          <t>14</t>
        </is>
      </c>
      <c r="M43" t="inlineStr">
        <is>
          <t>MVS Sec.14 p.26</t>
        </is>
      </c>
    </row>
    <row r="44">
      <c r="B44" s="1158" t="inlineStr">
        <is>
          <t>Storage Warehouses</t>
        </is>
      </c>
      <c r="C44" s="1158" t="inlineStr">
        <is>
          <t>406</t>
        </is>
      </c>
      <c r="D44" s="1158" t="inlineStr">
        <is>
          <t>14</t>
        </is>
      </c>
      <c r="E44" s="1158" t="inlineStr">
        <is>
          <t>26</t>
        </is>
      </c>
      <c r="F44" s="1158" t="inlineStr">
        <is>
          <t>D</t>
        </is>
      </c>
      <c r="G44" t="inlineStr">
        <is>
          <t>Low Cost</t>
        </is>
      </c>
      <c r="H44" s="606" t="n">
        <v>38.75</v>
      </c>
      <c r="I44">
        <f>B44&amp;"|"&amp;F44&amp;"|"&amp;G44</f>
        <v/>
      </c>
      <c r="J44" t="inlineStr">
        <is>
          <t>14</t>
        </is>
      </c>
      <c r="K44" t="inlineStr">
        <is>
          <t>14</t>
        </is>
      </c>
      <c r="L44" t="inlineStr">
        <is>
          <t>14</t>
        </is>
      </c>
      <c r="M44" t="inlineStr">
        <is>
          <t>MVS Sec.14 p.26</t>
        </is>
      </c>
    </row>
    <row r="45">
      <c r="B45" s="1158" t="inlineStr">
        <is>
          <t>Storage Warehouses</t>
        </is>
      </c>
      <c r="C45" s="1158" t="inlineStr">
        <is>
          <t>406</t>
        </is>
      </c>
      <c r="D45" s="1158" t="inlineStr">
        <is>
          <t>14</t>
        </is>
      </c>
      <c r="E45" s="1158" t="inlineStr">
        <is>
          <t>26</t>
        </is>
      </c>
      <c r="F45" s="1158" t="inlineStr">
        <is>
          <t>DPOLE</t>
        </is>
      </c>
      <c r="G45" t="inlineStr">
        <is>
          <t>Average</t>
        </is>
      </c>
      <c r="H45" s="606" t="n">
        <v>48</v>
      </c>
      <c r="I45">
        <f>B45&amp;"|"&amp;F45&amp;"|"&amp;G45</f>
        <v/>
      </c>
      <c r="J45" t="inlineStr">
        <is>
          <t>14</t>
        </is>
      </c>
      <c r="K45" t="inlineStr">
        <is>
          <t>14</t>
        </is>
      </c>
      <c r="L45" t="inlineStr">
        <is>
          <t>14</t>
        </is>
      </c>
      <c r="M45" t="inlineStr">
        <is>
          <t>MVS Sec.14 p.26</t>
        </is>
      </c>
    </row>
    <row r="46">
      <c r="B46" s="1158" t="inlineStr">
        <is>
          <t>Storage Warehouses</t>
        </is>
      </c>
      <c r="C46" s="1158" t="inlineStr">
        <is>
          <t>406</t>
        </is>
      </c>
      <c r="D46" s="1158" t="inlineStr">
        <is>
          <t>14</t>
        </is>
      </c>
      <c r="E46" s="1158" t="inlineStr">
        <is>
          <t>26</t>
        </is>
      </c>
      <c r="F46" s="1158" t="inlineStr">
        <is>
          <t>DPOLE</t>
        </is>
      </c>
      <c r="G46" t="inlineStr">
        <is>
          <t>Low Cost</t>
        </is>
      </c>
      <c r="H46" s="606" t="n">
        <v>34</v>
      </c>
      <c r="I46">
        <f>B46&amp;"|"&amp;F46&amp;"|"&amp;G46</f>
        <v/>
      </c>
      <c r="J46" t="inlineStr">
        <is>
          <t>14</t>
        </is>
      </c>
      <c r="K46" t="inlineStr">
        <is>
          <t>14</t>
        </is>
      </c>
      <c r="L46" t="inlineStr">
        <is>
          <t>14</t>
        </is>
      </c>
      <c r="M46" t="inlineStr">
        <is>
          <t>MVS Sec.14 p.26</t>
        </is>
      </c>
    </row>
    <row r="47">
      <c r="B47" s="1158" t="inlineStr">
        <is>
          <t>Storage Warehouses</t>
        </is>
      </c>
      <c r="C47" s="1158" t="inlineStr">
        <is>
          <t>406</t>
        </is>
      </c>
      <c r="D47" s="1158" t="inlineStr">
        <is>
          <t>14</t>
        </is>
      </c>
      <c r="E47" s="1158" t="inlineStr">
        <is>
          <t>26</t>
        </is>
      </c>
      <c r="F47" s="1158" t="inlineStr">
        <is>
          <t>S</t>
        </is>
      </c>
      <c r="G47" t="inlineStr">
        <is>
          <t>Excellent</t>
        </is>
      </c>
      <c r="H47" s="606" t="n">
        <v>125</v>
      </c>
      <c r="I47">
        <f>B47&amp;"|"&amp;F47&amp;"|"&amp;G47</f>
        <v/>
      </c>
      <c r="J47" t="inlineStr">
        <is>
          <t>14</t>
        </is>
      </c>
      <c r="K47" t="inlineStr">
        <is>
          <t>14</t>
        </is>
      </c>
      <c r="L47" t="inlineStr">
        <is>
          <t>14</t>
        </is>
      </c>
      <c r="M47" t="inlineStr">
        <is>
          <t>MVS Sec.14 p.26</t>
        </is>
      </c>
    </row>
    <row r="48">
      <c r="B48" s="1158" t="inlineStr">
        <is>
          <t>Storage Warehouses</t>
        </is>
      </c>
      <c r="C48" s="1158" t="inlineStr">
        <is>
          <t>406</t>
        </is>
      </c>
      <c r="D48" s="1158" t="inlineStr">
        <is>
          <t>14</t>
        </is>
      </c>
      <c r="E48" s="1158" t="inlineStr">
        <is>
          <t>26</t>
        </is>
      </c>
      <c r="F48" s="1158" t="inlineStr">
        <is>
          <t>S</t>
        </is>
      </c>
      <c r="G48" t="inlineStr">
        <is>
          <t>Good</t>
        </is>
      </c>
      <c r="H48" s="606" t="n">
        <v>79.5</v>
      </c>
      <c r="I48">
        <f>B48&amp;"|"&amp;F48&amp;"|"&amp;G48</f>
        <v/>
      </c>
      <c r="J48" t="inlineStr">
        <is>
          <t>14</t>
        </is>
      </c>
      <c r="K48" t="inlineStr">
        <is>
          <t>14</t>
        </is>
      </c>
      <c r="L48" t="inlineStr">
        <is>
          <t>14</t>
        </is>
      </c>
      <c r="M48" t="inlineStr">
        <is>
          <t>MVS Sec.14 p.26</t>
        </is>
      </c>
    </row>
    <row r="49">
      <c r="B49" s="1158" t="inlineStr">
        <is>
          <t>Storage Warehouses</t>
        </is>
      </c>
      <c r="C49" s="1158" t="inlineStr">
        <is>
          <t>406</t>
        </is>
      </c>
      <c r="D49" s="1158" t="inlineStr">
        <is>
          <t>14</t>
        </is>
      </c>
      <c r="E49" s="1158" t="inlineStr">
        <is>
          <t>26</t>
        </is>
      </c>
      <c r="F49" s="1158" t="inlineStr">
        <is>
          <t>S</t>
        </is>
      </c>
      <c r="G49" t="inlineStr">
        <is>
          <t>Average</t>
        </is>
      </c>
      <c r="H49" s="606" t="n">
        <v>55.5</v>
      </c>
      <c r="I49">
        <f>B49&amp;"|"&amp;F49&amp;"|"&amp;G49</f>
        <v/>
      </c>
      <c r="J49" t="inlineStr">
        <is>
          <t>14</t>
        </is>
      </c>
      <c r="K49" t="inlineStr">
        <is>
          <t>14</t>
        </is>
      </c>
      <c r="L49" t="inlineStr">
        <is>
          <t>14</t>
        </is>
      </c>
      <c r="M49" t="inlineStr">
        <is>
          <t>MVS Sec.14 p.26</t>
        </is>
      </c>
    </row>
    <row r="50">
      <c r="B50" s="1158" t="inlineStr">
        <is>
          <t>Storage Warehouses</t>
        </is>
      </c>
      <c r="C50" s="1158" t="inlineStr">
        <is>
          <t>406</t>
        </is>
      </c>
      <c r="D50" s="1158" t="inlineStr">
        <is>
          <t>14</t>
        </is>
      </c>
      <c r="E50" s="1158" t="inlineStr">
        <is>
          <t>26</t>
        </is>
      </c>
      <c r="F50" s="1158" t="inlineStr">
        <is>
          <t>S</t>
        </is>
      </c>
      <c r="G50" t="inlineStr">
        <is>
          <t>Low Cost</t>
        </is>
      </c>
      <c r="H50" s="606" t="n">
        <v>38.75</v>
      </c>
      <c r="I50">
        <f>B50&amp;"|"&amp;F50&amp;"|"&amp;G50</f>
        <v/>
      </c>
      <c r="J50" t="inlineStr">
        <is>
          <t>14</t>
        </is>
      </c>
      <c r="K50" t="inlineStr">
        <is>
          <t>14</t>
        </is>
      </c>
      <c r="L50" t="inlineStr">
        <is>
          <t>14</t>
        </is>
      </c>
      <c r="M50" t="inlineStr">
        <is>
          <t>MVS Sec.14 p.26</t>
        </is>
      </c>
    </row>
    <row r="51">
      <c r="B51" s="1158" t="inlineStr">
        <is>
          <t>Distribution Warehouses</t>
        </is>
      </c>
      <c r="C51" s="1158" t="inlineStr">
        <is>
          <t>407</t>
        </is>
      </c>
      <c r="D51" s="1158" t="inlineStr">
        <is>
          <t>14</t>
        </is>
      </c>
      <c r="E51" s="1158" t="inlineStr">
        <is>
          <t>23</t>
        </is>
      </c>
      <c r="F51" s="1158" t="inlineStr">
        <is>
          <t>A</t>
        </is>
      </c>
      <c r="G51" t="inlineStr">
        <is>
          <t>Good</t>
        </is>
      </c>
      <c r="H51" s="606" t="n">
        <v>161</v>
      </c>
      <c r="I51">
        <f>B51&amp;"|"&amp;F51&amp;"|"&amp;G51</f>
        <v/>
      </c>
      <c r="J51" t="inlineStr">
        <is>
          <t>14</t>
        </is>
      </c>
      <c r="K51" t="inlineStr">
        <is>
          <t>14</t>
        </is>
      </c>
      <c r="L51" t="inlineStr">
        <is>
          <t>14</t>
        </is>
      </c>
      <c r="M51" t="inlineStr">
        <is>
          <t>MVS Sec.14 p.23</t>
        </is>
      </c>
    </row>
    <row r="52">
      <c r="B52" s="1158" t="inlineStr">
        <is>
          <t>Distribution Warehouses</t>
        </is>
      </c>
      <c r="C52" s="1158" t="inlineStr">
        <is>
          <t>407</t>
        </is>
      </c>
      <c r="D52" s="1158" t="inlineStr">
        <is>
          <t>14</t>
        </is>
      </c>
      <c r="E52" s="1158" t="inlineStr">
        <is>
          <t>23</t>
        </is>
      </c>
      <c r="F52" s="1158" t="inlineStr">
        <is>
          <t>A</t>
        </is>
      </c>
      <c r="G52" t="inlineStr">
        <is>
          <t>Average</t>
        </is>
      </c>
      <c r="H52" s="606" t="n">
        <v>123</v>
      </c>
      <c r="I52">
        <f>B52&amp;"|"&amp;F52&amp;"|"&amp;G52</f>
        <v/>
      </c>
      <c r="J52" t="inlineStr">
        <is>
          <t>14</t>
        </is>
      </c>
      <c r="K52" t="inlineStr">
        <is>
          <t>14</t>
        </is>
      </c>
      <c r="L52" t="inlineStr">
        <is>
          <t>14</t>
        </is>
      </c>
      <c r="M52" t="inlineStr">
        <is>
          <t>MVS Sec.14 p.23</t>
        </is>
      </c>
    </row>
    <row r="53">
      <c r="B53" s="1158" t="inlineStr">
        <is>
          <t>Distribution Warehouses</t>
        </is>
      </c>
      <c r="C53" s="1158" t="inlineStr">
        <is>
          <t>407</t>
        </is>
      </c>
      <c r="D53" s="1158" t="inlineStr">
        <is>
          <t>14</t>
        </is>
      </c>
      <c r="E53" s="1158" t="inlineStr">
        <is>
          <t>23</t>
        </is>
      </c>
      <c r="F53" s="1158" t="inlineStr">
        <is>
          <t>B</t>
        </is>
      </c>
      <c r="G53" t="inlineStr">
        <is>
          <t>Good</t>
        </is>
      </c>
      <c r="H53" s="606" t="n">
        <v>144</v>
      </c>
      <c r="I53">
        <f>B53&amp;"|"&amp;F53&amp;"|"&amp;G53</f>
        <v/>
      </c>
      <c r="J53" t="inlineStr">
        <is>
          <t>14</t>
        </is>
      </c>
      <c r="K53" t="inlineStr">
        <is>
          <t>14</t>
        </is>
      </c>
      <c r="L53" t="inlineStr">
        <is>
          <t>14</t>
        </is>
      </c>
      <c r="M53" t="inlineStr">
        <is>
          <t>MVS Sec.14 p.23</t>
        </is>
      </c>
    </row>
    <row r="54">
      <c r="B54" s="1158" t="inlineStr">
        <is>
          <t>Distribution Warehouses</t>
        </is>
      </c>
      <c r="C54" s="1158" t="inlineStr">
        <is>
          <t>407</t>
        </is>
      </c>
      <c r="D54" s="1158" t="inlineStr">
        <is>
          <t>14</t>
        </is>
      </c>
      <c r="E54" s="1158" t="inlineStr">
        <is>
          <t>23</t>
        </is>
      </c>
      <c r="F54" s="1158" t="inlineStr">
        <is>
          <t>B</t>
        </is>
      </c>
      <c r="G54" t="inlineStr">
        <is>
          <t>Average</t>
        </is>
      </c>
      <c r="H54" s="606" t="n">
        <v>108</v>
      </c>
      <c r="I54">
        <f>B54&amp;"|"&amp;F54&amp;"|"&amp;G54</f>
        <v/>
      </c>
      <c r="J54" t="inlineStr">
        <is>
          <t>14</t>
        </is>
      </c>
      <c r="K54" t="inlineStr">
        <is>
          <t>14</t>
        </is>
      </c>
      <c r="L54" t="inlineStr">
        <is>
          <t>14</t>
        </is>
      </c>
      <c r="M54" t="inlineStr">
        <is>
          <t>MVS Sec.14 p.23</t>
        </is>
      </c>
    </row>
    <row r="55">
      <c r="B55" s="1158" t="inlineStr">
        <is>
          <t>Distribution Warehouses</t>
        </is>
      </c>
      <c r="C55" s="1158" t="inlineStr">
        <is>
          <t>407</t>
        </is>
      </c>
      <c r="D55" s="1158" t="inlineStr">
        <is>
          <t>14</t>
        </is>
      </c>
      <c r="E55" s="1158" t="inlineStr">
        <is>
          <t>23</t>
        </is>
      </c>
      <c r="F55" s="1158" t="inlineStr">
        <is>
          <t>C</t>
        </is>
      </c>
      <c r="G55" t="inlineStr">
        <is>
          <t>Excellent</t>
        </is>
      </c>
      <c r="H55" s="606" t="n">
        <v>150</v>
      </c>
      <c r="I55">
        <f>B55&amp;"|"&amp;F55&amp;"|"&amp;G55</f>
        <v/>
      </c>
      <c r="J55" t="inlineStr">
        <is>
          <t>14</t>
        </is>
      </c>
      <c r="K55" t="inlineStr">
        <is>
          <t>14</t>
        </is>
      </c>
      <c r="L55" t="inlineStr">
        <is>
          <t>14</t>
        </is>
      </c>
      <c r="M55" t="inlineStr">
        <is>
          <t>MVS Sec.14 p.23</t>
        </is>
      </c>
    </row>
    <row r="56">
      <c r="B56" s="1158" t="inlineStr">
        <is>
          <t>Distribution Warehouses</t>
        </is>
      </c>
      <c r="C56" s="1158" t="inlineStr">
        <is>
          <t>407</t>
        </is>
      </c>
      <c r="D56" s="1158" t="inlineStr">
        <is>
          <t>14</t>
        </is>
      </c>
      <c r="E56" s="1158" t="inlineStr">
        <is>
          <t>23</t>
        </is>
      </c>
      <c r="F56" s="1158" t="inlineStr">
        <is>
          <t>C</t>
        </is>
      </c>
      <c r="G56" t="inlineStr">
        <is>
          <t>Good</t>
        </is>
      </c>
      <c r="H56" s="606" t="n">
        <v>103</v>
      </c>
      <c r="I56">
        <f>B56&amp;"|"&amp;F56&amp;"|"&amp;G56</f>
        <v/>
      </c>
      <c r="J56" t="inlineStr">
        <is>
          <t>14</t>
        </is>
      </c>
      <c r="K56" t="inlineStr">
        <is>
          <t>14</t>
        </is>
      </c>
      <c r="L56" t="inlineStr">
        <is>
          <t>14</t>
        </is>
      </c>
      <c r="M56" t="inlineStr">
        <is>
          <t>MVS Sec.14 p.23</t>
        </is>
      </c>
    </row>
    <row r="57">
      <c r="B57" s="1158" t="inlineStr">
        <is>
          <t>Distribution Warehouses</t>
        </is>
      </c>
      <c r="C57" s="1158" t="inlineStr">
        <is>
          <t>407</t>
        </is>
      </c>
      <c r="D57" s="1158" t="inlineStr">
        <is>
          <t>14</t>
        </is>
      </c>
      <c r="E57" s="1158" t="inlineStr">
        <is>
          <t>23</t>
        </is>
      </c>
      <c r="F57" s="1158" t="inlineStr">
        <is>
          <t>C</t>
        </is>
      </c>
      <c r="G57" t="inlineStr">
        <is>
          <t>Average</t>
        </is>
      </c>
      <c r="H57" s="606" t="n">
        <v>70.5</v>
      </c>
      <c r="I57">
        <f>B57&amp;"|"&amp;F57&amp;"|"&amp;G57</f>
        <v/>
      </c>
      <c r="J57" t="inlineStr">
        <is>
          <t>14</t>
        </is>
      </c>
      <c r="K57" t="inlineStr">
        <is>
          <t>14</t>
        </is>
      </c>
      <c r="L57" t="inlineStr">
        <is>
          <t>14</t>
        </is>
      </c>
      <c r="M57" t="inlineStr">
        <is>
          <t>MVS Sec.14 p.23</t>
        </is>
      </c>
    </row>
    <row r="58">
      <c r="B58" s="1158" t="inlineStr">
        <is>
          <t>Distribution Warehouses</t>
        </is>
      </c>
      <c r="C58" s="1158" t="inlineStr">
        <is>
          <t>407</t>
        </is>
      </c>
      <c r="D58" s="1158" t="inlineStr">
        <is>
          <t>14</t>
        </is>
      </c>
      <c r="E58" s="1158" t="inlineStr">
        <is>
          <t>23</t>
        </is>
      </c>
      <c r="F58" s="1158" t="inlineStr">
        <is>
          <t>C</t>
        </is>
      </c>
      <c r="G58" t="inlineStr">
        <is>
          <t>Low Cost</t>
        </is>
      </c>
      <c r="H58" s="606" t="n">
        <v>50.5</v>
      </c>
      <c r="I58">
        <f>B58&amp;"|"&amp;F58&amp;"|"&amp;G58</f>
        <v/>
      </c>
      <c r="J58" t="inlineStr">
        <is>
          <t>14</t>
        </is>
      </c>
      <c r="K58" t="inlineStr">
        <is>
          <t>14</t>
        </is>
      </c>
      <c r="L58" t="inlineStr">
        <is>
          <t>14</t>
        </is>
      </c>
      <c r="M58" t="inlineStr">
        <is>
          <t>MVS Sec.14 p.23</t>
        </is>
      </c>
    </row>
    <row r="59">
      <c r="B59" s="1158" t="inlineStr">
        <is>
          <t>Distribution Warehouses</t>
        </is>
      </c>
      <c r="C59" s="1158" t="inlineStr">
        <is>
          <t>407</t>
        </is>
      </c>
      <c r="D59" s="1158" t="inlineStr">
        <is>
          <t>14</t>
        </is>
      </c>
      <c r="E59" s="1158" t="inlineStr">
        <is>
          <t>23</t>
        </is>
      </c>
      <c r="F59" s="1158" t="inlineStr">
        <is>
          <t>D</t>
        </is>
      </c>
      <c r="G59" t="inlineStr">
        <is>
          <t>Good</t>
        </is>
      </c>
      <c r="H59" s="606" t="n">
        <v>92.5</v>
      </c>
      <c r="I59">
        <f>B59&amp;"|"&amp;F59&amp;"|"&amp;G59</f>
        <v/>
      </c>
      <c r="J59" t="inlineStr">
        <is>
          <t>14</t>
        </is>
      </c>
      <c r="K59" t="inlineStr">
        <is>
          <t>14</t>
        </is>
      </c>
      <c r="L59" t="inlineStr">
        <is>
          <t>14</t>
        </is>
      </c>
      <c r="M59" t="inlineStr">
        <is>
          <t>MVS Sec.14 p.23</t>
        </is>
      </c>
    </row>
    <row r="60">
      <c r="B60" s="1158" t="inlineStr">
        <is>
          <t>Distribution Warehouses</t>
        </is>
      </c>
      <c r="C60" s="1158" t="inlineStr">
        <is>
          <t>407</t>
        </is>
      </c>
      <c r="D60" s="1158" t="inlineStr">
        <is>
          <t>14</t>
        </is>
      </c>
      <c r="E60" s="1158" t="inlineStr">
        <is>
          <t>23</t>
        </is>
      </c>
      <c r="F60" s="1158" t="inlineStr">
        <is>
          <t>D</t>
        </is>
      </c>
      <c r="G60" t="inlineStr">
        <is>
          <t>Average</t>
        </is>
      </c>
      <c r="H60" s="606" t="n">
        <v>63</v>
      </c>
      <c r="I60">
        <f>B60&amp;"|"&amp;F60&amp;"|"&amp;G60</f>
        <v/>
      </c>
      <c r="J60" t="inlineStr">
        <is>
          <t>14</t>
        </is>
      </c>
      <c r="K60" t="inlineStr">
        <is>
          <t>14</t>
        </is>
      </c>
      <c r="L60" t="inlineStr">
        <is>
          <t>14</t>
        </is>
      </c>
      <c r="M60" t="inlineStr">
        <is>
          <t>MVS Sec.14 p.23</t>
        </is>
      </c>
    </row>
    <row r="61">
      <c r="B61" s="1158" t="inlineStr">
        <is>
          <t>Distribution Warehouses</t>
        </is>
      </c>
      <c r="C61" s="1158" t="inlineStr">
        <is>
          <t>407</t>
        </is>
      </c>
      <c r="D61" s="1158" t="inlineStr">
        <is>
          <t>14</t>
        </is>
      </c>
      <c r="E61" s="1158" t="inlineStr">
        <is>
          <t>23</t>
        </is>
      </c>
      <c r="F61" s="1158" t="inlineStr">
        <is>
          <t>DPOLE</t>
        </is>
      </c>
      <c r="G61" t="inlineStr">
        <is>
          <t>Average</t>
        </is>
      </c>
      <c r="H61" s="606" t="n">
        <v>57</v>
      </c>
      <c r="I61">
        <f>B61&amp;"|"&amp;F61&amp;"|"&amp;G61</f>
        <v/>
      </c>
      <c r="J61" t="inlineStr">
        <is>
          <t>14</t>
        </is>
      </c>
      <c r="K61" t="inlineStr">
        <is>
          <t>14</t>
        </is>
      </c>
      <c r="L61" t="inlineStr">
        <is>
          <t>14</t>
        </is>
      </c>
      <c r="M61" t="inlineStr">
        <is>
          <t>MVS Sec.14 p.23</t>
        </is>
      </c>
    </row>
    <row r="62">
      <c r="B62" s="1158" t="inlineStr">
        <is>
          <t>Distribution Warehouses</t>
        </is>
      </c>
      <c r="C62" s="1158" t="inlineStr">
        <is>
          <t>407</t>
        </is>
      </c>
      <c r="D62" s="1158" t="inlineStr">
        <is>
          <t>14</t>
        </is>
      </c>
      <c r="E62" s="1158" t="inlineStr">
        <is>
          <t>23</t>
        </is>
      </c>
      <c r="F62" s="1158" t="inlineStr">
        <is>
          <t>DPOLE</t>
        </is>
      </c>
      <c r="G62" t="inlineStr">
        <is>
          <t>Low Cost</t>
        </is>
      </c>
      <c r="H62" s="606" t="n">
        <v>41.25</v>
      </c>
      <c r="I62">
        <f>B62&amp;"|"&amp;F62&amp;"|"&amp;G62</f>
        <v/>
      </c>
      <c r="J62" t="inlineStr">
        <is>
          <t>14</t>
        </is>
      </c>
      <c r="K62" t="inlineStr">
        <is>
          <t>14</t>
        </is>
      </c>
      <c r="L62" t="inlineStr">
        <is>
          <t>14</t>
        </is>
      </c>
      <c r="M62" t="inlineStr">
        <is>
          <t>MVS Sec.14 p.23</t>
        </is>
      </c>
    </row>
    <row r="63">
      <c r="B63" s="1158" t="inlineStr">
        <is>
          <t>Distribution Warehouses</t>
        </is>
      </c>
      <c r="C63" s="1158" t="inlineStr">
        <is>
          <t>407</t>
        </is>
      </c>
      <c r="D63" s="1158" t="inlineStr">
        <is>
          <t>14</t>
        </is>
      </c>
      <c r="E63" s="1158" t="inlineStr">
        <is>
          <t>23</t>
        </is>
      </c>
      <c r="F63" s="1158" t="inlineStr">
        <is>
          <t>S</t>
        </is>
      </c>
      <c r="G63" t="inlineStr">
        <is>
          <t>Excellent</t>
        </is>
      </c>
      <c r="H63" s="606" t="n">
        <v>139</v>
      </c>
      <c r="I63">
        <f>B63&amp;"|"&amp;F63&amp;"|"&amp;G63</f>
        <v/>
      </c>
      <c r="J63" t="inlineStr">
        <is>
          <t>14</t>
        </is>
      </c>
      <c r="K63" t="inlineStr">
        <is>
          <t>14</t>
        </is>
      </c>
      <c r="L63" t="inlineStr">
        <is>
          <t>14</t>
        </is>
      </c>
      <c r="M63" t="inlineStr">
        <is>
          <t>MVS Sec.14 p.23</t>
        </is>
      </c>
    </row>
    <row r="64">
      <c r="B64" s="1158" t="inlineStr">
        <is>
          <t>Distribution Warehouses</t>
        </is>
      </c>
      <c r="C64" s="1158" t="inlineStr">
        <is>
          <t>407</t>
        </is>
      </c>
      <c r="D64" s="1158" t="inlineStr">
        <is>
          <t>14</t>
        </is>
      </c>
      <c r="E64" s="1158" t="inlineStr">
        <is>
          <t>23</t>
        </is>
      </c>
      <c r="F64" s="1158" t="inlineStr">
        <is>
          <t>S</t>
        </is>
      </c>
      <c r="G64" t="inlineStr">
        <is>
          <t>Good</t>
        </is>
      </c>
      <c r="H64" s="606" t="n">
        <v>94.5</v>
      </c>
      <c r="I64">
        <f>B64&amp;"|"&amp;F64&amp;"|"&amp;G64</f>
        <v/>
      </c>
      <c r="J64" t="inlineStr">
        <is>
          <t>14</t>
        </is>
      </c>
      <c r="K64" t="inlineStr">
        <is>
          <t>14</t>
        </is>
      </c>
      <c r="L64" t="inlineStr">
        <is>
          <t>14</t>
        </is>
      </c>
      <c r="M64" t="inlineStr">
        <is>
          <t>MVS Sec.14 p.23</t>
        </is>
      </c>
    </row>
    <row r="65">
      <c r="B65" s="1158" t="inlineStr">
        <is>
          <t>Distribution Warehouses</t>
        </is>
      </c>
      <c r="C65" s="1158" t="inlineStr">
        <is>
          <t>407</t>
        </is>
      </c>
      <c r="D65" s="1158" t="inlineStr">
        <is>
          <t>14</t>
        </is>
      </c>
      <c r="E65" s="1158" t="inlineStr">
        <is>
          <t>23</t>
        </is>
      </c>
      <c r="F65" s="1158" t="inlineStr">
        <is>
          <t>S</t>
        </is>
      </c>
      <c r="G65" t="inlineStr">
        <is>
          <t>Average</t>
        </is>
      </c>
      <c r="H65" s="606" t="n">
        <v>64</v>
      </c>
      <c r="I65">
        <f>B65&amp;"|"&amp;F65&amp;"|"&amp;G65</f>
        <v/>
      </c>
      <c r="J65" t="inlineStr">
        <is>
          <t>14</t>
        </is>
      </c>
      <c r="K65" t="inlineStr">
        <is>
          <t>14</t>
        </is>
      </c>
      <c r="L65" t="inlineStr">
        <is>
          <t>14</t>
        </is>
      </c>
      <c r="M65" t="inlineStr">
        <is>
          <t>MVS Sec.14 p.23</t>
        </is>
      </c>
    </row>
    <row r="66">
      <c r="B66" s="1158" t="inlineStr">
        <is>
          <t>Distribution Warehouses</t>
        </is>
      </c>
      <c r="C66" s="1158" t="inlineStr">
        <is>
          <t>407</t>
        </is>
      </c>
      <c r="D66" s="1158" t="inlineStr">
        <is>
          <t>14</t>
        </is>
      </c>
      <c r="E66" s="1158" t="inlineStr">
        <is>
          <t>23</t>
        </is>
      </c>
      <c r="F66" s="1158" t="inlineStr">
        <is>
          <t>S</t>
        </is>
      </c>
      <c r="G66" t="inlineStr">
        <is>
          <t>Low Cost</t>
        </is>
      </c>
      <c r="H66" s="606" t="n">
        <v>45.5</v>
      </c>
      <c r="I66">
        <f>B66&amp;"|"&amp;F66&amp;"|"&amp;G66</f>
        <v/>
      </c>
      <c r="J66" t="inlineStr">
        <is>
          <t>14</t>
        </is>
      </c>
      <c r="K66" t="inlineStr">
        <is>
          <t>14</t>
        </is>
      </c>
      <c r="L66" t="inlineStr">
        <is>
          <t>14</t>
        </is>
      </c>
      <c r="M66" t="inlineStr">
        <is>
          <t>MVS Sec.14 p.23</t>
        </is>
      </c>
    </row>
    <row r="67">
      <c r="B67" s="1158" t="inlineStr">
        <is>
          <t>Mini-Warehouses / Self-Storage</t>
        </is>
      </c>
      <c r="C67" s="1158" t="inlineStr">
        <is>
          <t>386</t>
        </is>
      </c>
      <c r="D67" s="1158" t="inlineStr">
        <is>
          <t>14</t>
        </is>
      </c>
      <c r="E67" s="1158" t="inlineStr">
        <is>
          <t>28</t>
        </is>
      </c>
      <c r="F67" s="1158" t="inlineStr">
        <is>
          <t>C</t>
        </is>
      </c>
      <c r="G67" t="inlineStr">
        <is>
          <t>Good</t>
        </is>
      </c>
      <c r="H67" s="606" t="n">
        <v>68.5</v>
      </c>
      <c r="I67">
        <f>B67&amp;"|"&amp;F67&amp;"|"&amp;G67</f>
        <v/>
      </c>
      <c r="J67" t="inlineStr">
        <is>
          <t>14</t>
        </is>
      </c>
      <c r="K67" t="inlineStr">
        <is>
          <t>14</t>
        </is>
      </c>
      <c r="L67" t="inlineStr">
        <is>
          <t>14</t>
        </is>
      </c>
      <c r="M67" t="inlineStr">
        <is>
          <t>MVS Sec.14 p.28</t>
        </is>
      </c>
    </row>
    <row r="68">
      <c r="B68" s="1158" t="inlineStr">
        <is>
          <t>Mini-Warehouses / Self-Storage</t>
        </is>
      </c>
      <c r="C68" s="1158" t="inlineStr">
        <is>
          <t>386</t>
        </is>
      </c>
      <c r="D68" s="1158" t="inlineStr">
        <is>
          <t>14</t>
        </is>
      </c>
      <c r="E68" s="1158" t="inlineStr">
        <is>
          <t>28</t>
        </is>
      </c>
      <c r="F68" s="1158" t="inlineStr">
        <is>
          <t>C</t>
        </is>
      </c>
      <c r="G68" t="inlineStr">
        <is>
          <t>Average</t>
        </is>
      </c>
      <c r="H68" s="606" t="n">
        <v>51</v>
      </c>
      <c r="I68">
        <f>B68&amp;"|"&amp;F68&amp;"|"&amp;G68</f>
        <v/>
      </c>
      <c r="J68" t="inlineStr">
        <is>
          <t>14</t>
        </is>
      </c>
      <c r="K68" t="inlineStr">
        <is>
          <t>14</t>
        </is>
      </c>
      <c r="L68" t="inlineStr">
        <is>
          <t>14</t>
        </is>
      </c>
      <c r="M68" t="inlineStr">
        <is>
          <t>MVS Sec.14 p.28</t>
        </is>
      </c>
    </row>
    <row r="69">
      <c r="B69" s="1158" t="inlineStr">
        <is>
          <t>Mini-Warehouses / Self-Storage</t>
        </is>
      </c>
      <c r="C69" s="1158" t="inlineStr">
        <is>
          <t>386</t>
        </is>
      </c>
      <c r="D69" s="1158" t="inlineStr">
        <is>
          <t>14</t>
        </is>
      </c>
      <c r="E69" s="1158" t="inlineStr">
        <is>
          <t>28</t>
        </is>
      </c>
      <c r="F69" s="1158" t="inlineStr">
        <is>
          <t>C</t>
        </is>
      </c>
      <c r="G69" t="inlineStr">
        <is>
          <t>Low Cost</t>
        </is>
      </c>
      <c r="H69" s="606" t="n">
        <v>38.25</v>
      </c>
      <c r="I69">
        <f>B69&amp;"|"&amp;F69&amp;"|"&amp;G69</f>
        <v/>
      </c>
      <c r="J69" t="inlineStr">
        <is>
          <t>14</t>
        </is>
      </c>
      <c r="K69" t="inlineStr">
        <is>
          <t>14</t>
        </is>
      </c>
      <c r="L69" t="inlineStr">
        <is>
          <t>14</t>
        </is>
      </c>
      <c r="M69" t="inlineStr">
        <is>
          <t>MVS Sec.14 p.28</t>
        </is>
      </c>
    </row>
    <row r="70">
      <c r="B70" s="1158" t="inlineStr">
        <is>
          <t>Mini-Warehouses / Self-Storage</t>
        </is>
      </c>
      <c r="C70" s="1158" t="inlineStr">
        <is>
          <t>386</t>
        </is>
      </c>
      <c r="D70" s="1158" t="inlineStr">
        <is>
          <t>14</t>
        </is>
      </c>
      <c r="E70" s="1158" t="inlineStr">
        <is>
          <t>28</t>
        </is>
      </c>
      <c r="F70" s="1158" t="inlineStr">
        <is>
          <t>D</t>
        </is>
      </c>
      <c r="G70" t="inlineStr">
        <is>
          <t>Good</t>
        </is>
      </c>
      <c r="H70" s="606" t="n">
        <v>63.5</v>
      </c>
      <c r="I70">
        <f>B70&amp;"|"&amp;F70&amp;"|"&amp;G70</f>
        <v/>
      </c>
      <c r="J70" t="inlineStr">
        <is>
          <t>14</t>
        </is>
      </c>
      <c r="K70" t="inlineStr">
        <is>
          <t>14</t>
        </is>
      </c>
      <c r="L70" t="inlineStr">
        <is>
          <t>14</t>
        </is>
      </c>
      <c r="M70" t="inlineStr">
        <is>
          <t>MVS Sec.14 p.28</t>
        </is>
      </c>
    </row>
    <row r="71">
      <c r="B71" s="1158" t="inlineStr">
        <is>
          <t>Mini-Warehouses / Self-Storage</t>
        </is>
      </c>
      <c r="C71" s="1158" t="inlineStr">
        <is>
          <t>386</t>
        </is>
      </c>
      <c r="D71" s="1158" t="inlineStr">
        <is>
          <t>14</t>
        </is>
      </c>
      <c r="E71" s="1158" t="inlineStr">
        <is>
          <t>28</t>
        </is>
      </c>
      <c r="F71" s="1158" t="inlineStr">
        <is>
          <t>D</t>
        </is>
      </c>
      <c r="G71" t="inlineStr">
        <is>
          <t>Average</t>
        </is>
      </c>
      <c r="H71" s="606" t="n">
        <v>47.5</v>
      </c>
      <c r="I71">
        <f>B71&amp;"|"&amp;F71&amp;"|"&amp;G71</f>
        <v/>
      </c>
      <c r="J71" t="inlineStr">
        <is>
          <t>14</t>
        </is>
      </c>
      <c r="K71" t="inlineStr">
        <is>
          <t>14</t>
        </is>
      </c>
      <c r="L71" t="inlineStr">
        <is>
          <t>14</t>
        </is>
      </c>
      <c r="M71" t="inlineStr">
        <is>
          <t>MVS Sec.14 p.28</t>
        </is>
      </c>
    </row>
    <row r="72">
      <c r="B72" s="1158" t="inlineStr">
        <is>
          <t>Mini-Warehouses / Self-Storage</t>
        </is>
      </c>
      <c r="C72" s="1158" t="inlineStr">
        <is>
          <t>386</t>
        </is>
      </c>
      <c r="D72" s="1158" t="inlineStr">
        <is>
          <t>14</t>
        </is>
      </c>
      <c r="E72" s="1158" t="inlineStr">
        <is>
          <t>28</t>
        </is>
      </c>
      <c r="F72" s="1158" t="inlineStr">
        <is>
          <t>D</t>
        </is>
      </c>
      <c r="G72" t="inlineStr">
        <is>
          <t>Low Cost</t>
        </is>
      </c>
      <c r="H72" s="606" t="n">
        <v>35.5</v>
      </c>
      <c r="I72">
        <f>B72&amp;"|"&amp;F72&amp;"|"&amp;G72</f>
        <v/>
      </c>
      <c r="J72" t="inlineStr">
        <is>
          <t>14</t>
        </is>
      </c>
      <c r="K72" t="inlineStr">
        <is>
          <t>14</t>
        </is>
      </c>
      <c r="L72" t="inlineStr">
        <is>
          <t>14</t>
        </is>
      </c>
      <c r="M72" t="inlineStr">
        <is>
          <t>MVS Sec.14 p.28</t>
        </is>
      </c>
    </row>
    <row r="73">
      <c r="B73" s="1158" t="inlineStr">
        <is>
          <t>Mini-Warehouses / Self-Storage</t>
        </is>
      </c>
      <c r="C73" s="1158" t="inlineStr">
        <is>
          <t>386</t>
        </is>
      </c>
      <c r="D73" s="1158" t="inlineStr">
        <is>
          <t>14</t>
        </is>
      </c>
      <c r="E73" s="1158" t="inlineStr">
        <is>
          <t>28</t>
        </is>
      </c>
      <c r="F73" s="1158" t="inlineStr">
        <is>
          <t>DPOLE</t>
        </is>
      </c>
      <c r="G73" t="inlineStr">
        <is>
          <t>Good</t>
        </is>
      </c>
      <c r="H73" s="606" t="n">
        <v>58.5</v>
      </c>
      <c r="I73">
        <f>B73&amp;"|"&amp;F73&amp;"|"&amp;G73</f>
        <v/>
      </c>
      <c r="J73" t="inlineStr">
        <is>
          <t>14</t>
        </is>
      </c>
      <c r="K73" t="inlineStr">
        <is>
          <t>14</t>
        </is>
      </c>
      <c r="L73" t="inlineStr">
        <is>
          <t>14</t>
        </is>
      </c>
      <c r="M73" t="inlineStr">
        <is>
          <t>MVS Sec.14 p.28</t>
        </is>
      </c>
    </row>
    <row r="74">
      <c r="B74" s="1158" t="inlineStr">
        <is>
          <t>Mini-Warehouses / Self-Storage</t>
        </is>
      </c>
      <c r="C74" s="1158" t="inlineStr">
        <is>
          <t>386</t>
        </is>
      </c>
      <c r="D74" s="1158" t="inlineStr">
        <is>
          <t>14</t>
        </is>
      </c>
      <c r="E74" s="1158" t="inlineStr">
        <is>
          <t>28</t>
        </is>
      </c>
      <c r="F74" s="1158" t="inlineStr">
        <is>
          <t>DPOLE</t>
        </is>
      </c>
      <c r="G74" t="inlineStr">
        <is>
          <t>Average</t>
        </is>
      </c>
      <c r="H74" s="606" t="n">
        <v>43.5</v>
      </c>
      <c r="I74">
        <f>B74&amp;"|"&amp;F74&amp;"|"&amp;G74</f>
        <v/>
      </c>
      <c r="J74" t="inlineStr">
        <is>
          <t>14</t>
        </is>
      </c>
      <c r="K74" t="inlineStr">
        <is>
          <t>14</t>
        </is>
      </c>
      <c r="L74" t="inlineStr">
        <is>
          <t>14</t>
        </is>
      </c>
      <c r="M74" t="inlineStr">
        <is>
          <t>MVS Sec.14 p.28</t>
        </is>
      </c>
    </row>
    <row r="75">
      <c r="B75" s="1158" t="inlineStr">
        <is>
          <t>Mini-Warehouses / Self-Storage</t>
        </is>
      </c>
      <c r="C75" s="1158" t="inlineStr">
        <is>
          <t>386</t>
        </is>
      </c>
      <c r="D75" s="1158" t="inlineStr">
        <is>
          <t>14</t>
        </is>
      </c>
      <c r="E75" s="1158" t="inlineStr">
        <is>
          <t>28</t>
        </is>
      </c>
      <c r="F75" s="1158" t="inlineStr">
        <is>
          <t>DPOLE</t>
        </is>
      </c>
      <c r="G75" t="inlineStr">
        <is>
          <t>Low Cost</t>
        </is>
      </c>
      <c r="H75" s="606" t="n">
        <v>32.5</v>
      </c>
      <c r="I75">
        <f>B75&amp;"|"&amp;F75&amp;"|"&amp;G75</f>
        <v/>
      </c>
      <c r="J75" t="inlineStr">
        <is>
          <t>14</t>
        </is>
      </c>
      <c r="K75" t="inlineStr">
        <is>
          <t>14</t>
        </is>
      </c>
      <c r="L75" t="inlineStr">
        <is>
          <t>14</t>
        </is>
      </c>
      <c r="M75" t="inlineStr">
        <is>
          <t>MVS Sec.14 p.28</t>
        </is>
      </c>
    </row>
    <row r="76">
      <c r="B76" s="1158" t="inlineStr">
        <is>
          <t>Mini-Warehouses / Self-Storage</t>
        </is>
      </c>
      <c r="C76" s="1158" t="inlineStr">
        <is>
          <t>386</t>
        </is>
      </c>
      <c r="D76" s="1158" t="inlineStr">
        <is>
          <t>14</t>
        </is>
      </c>
      <c r="E76" s="1158" t="inlineStr">
        <is>
          <t>28</t>
        </is>
      </c>
      <c r="F76" s="1158" t="inlineStr">
        <is>
          <t>S</t>
        </is>
      </c>
      <c r="G76" t="inlineStr">
        <is>
          <t>Good</t>
        </is>
      </c>
      <c r="H76" s="606" t="n">
        <v>63.5</v>
      </c>
      <c r="I76">
        <f>B76&amp;"|"&amp;F76&amp;"|"&amp;G76</f>
        <v/>
      </c>
      <c r="J76" t="inlineStr">
        <is>
          <t>14</t>
        </is>
      </c>
      <c r="K76" t="inlineStr">
        <is>
          <t>14</t>
        </is>
      </c>
      <c r="L76" t="inlineStr">
        <is>
          <t>14</t>
        </is>
      </c>
      <c r="M76" t="inlineStr">
        <is>
          <t>MVS Sec.14 p.28</t>
        </is>
      </c>
    </row>
    <row r="77">
      <c r="B77" s="1158" t="inlineStr">
        <is>
          <t>Mini-Warehouses / Self-Storage</t>
        </is>
      </c>
      <c r="C77" s="1158" t="inlineStr">
        <is>
          <t>386</t>
        </is>
      </c>
      <c r="D77" s="1158" t="inlineStr">
        <is>
          <t>14</t>
        </is>
      </c>
      <c r="E77" s="1158" t="inlineStr">
        <is>
          <t>28</t>
        </is>
      </c>
      <c r="F77" s="1158" t="inlineStr">
        <is>
          <t>S</t>
        </is>
      </c>
      <c r="G77" t="inlineStr">
        <is>
          <t>Average</t>
        </is>
      </c>
      <c r="H77" s="606" t="n">
        <v>47.5</v>
      </c>
      <c r="I77">
        <f>B77&amp;"|"&amp;F77&amp;"|"&amp;G77</f>
        <v/>
      </c>
      <c r="J77" t="inlineStr">
        <is>
          <t>14</t>
        </is>
      </c>
      <c r="K77" t="inlineStr">
        <is>
          <t>14</t>
        </is>
      </c>
      <c r="L77" t="inlineStr">
        <is>
          <t>14</t>
        </is>
      </c>
      <c r="M77" t="inlineStr">
        <is>
          <t>MVS Sec.14 p.28</t>
        </is>
      </c>
    </row>
    <row r="78">
      <c r="B78" s="1158" t="inlineStr">
        <is>
          <t>Mini-Warehouses / Self-Storage</t>
        </is>
      </c>
      <c r="C78" s="1158" t="inlineStr">
        <is>
          <t>386</t>
        </is>
      </c>
      <c r="D78" s="1158" t="inlineStr">
        <is>
          <t>14</t>
        </is>
      </c>
      <c r="E78" s="1158" t="inlineStr">
        <is>
          <t>28</t>
        </is>
      </c>
      <c r="F78" s="1158" t="inlineStr">
        <is>
          <t>S</t>
        </is>
      </c>
      <c r="G78" t="inlineStr">
        <is>
          <t>Low Cost</t>
        </is>
      </c>
      <c r="H78" s="606" t="n">
        <v>35.5</v>
      </c>
      <c r="I78">
        <f>B78&amp;"|"&amp;F78&amp;"|"&amp;G78</f>
        <v/>
      </c>
      <c r="J78" t="inlineStr">
        <is>
          <t>14</t>
        </is>
      </c>
      <c r="K78" t="inlineStr">
        <is>
          <t>14</t>
        </is>
      </c>
      <c r="L78" t="inlineStr">
        <is>
          <t>14</t>
        </is>
      </c>
      <c r="M78" t="inlineStr">
        <is>
          <t>MVS Sec.14 p.28</t>
        </is>
      </c>
    </row>
    <row r="79">
      <c r="B79" s="1158" t="inlineStr">
        <is>
          <t>Mini-Warehouses / Self-Storage</t>
        </is>
      </c>
      <c r="C79" s="1158" t="inlineStr">
        <is>
          <t>386</t>
        </is>
      </c>
      <c r="D79" s="1158" t="inlineStr">
        <is>
          <t>14</t>
        </is>
      </c>
      <c r="E79" s="1158" t="inlineStr">
        <is>
          <t>28</t>
        </is>
      </c>
      <c r="F79" s="1158" t="inlineStr">
        <is>
          <t>S</t>
        </is>
      </c>
      <c r="G79" t="inlineStr">
        <is>
          <t>Cheap</t>
        </is>
      </c>
      <c r="H79" s="606" t="n">
        <v>26.25</v>
      </c>
      <c r="I79">
        <f>B79&amp;"|"&amp;F79&amp;"|"&amp;G79</f>
        <v/>
      </c>
      <c r="J79" t="inlineStr">
        <is>
          <t>14</t>
        </is>
      </c>
      <c r="K79" t="inlineStr">
        <is>
          <t>14</t>
        </is>
      </c>
      <c r="L79" t="inlineStr">
        <is>
          <t>14</t>
        </is>
      </c>
      <c r="M79" t="inlineStr">
        <is>
          <t>MVS Sec.14 p.28</t>
        </is>
      </c>
    </row>
    <row r="80">
      <c r="B80" s="1158" t="inlineStr">
        <is>
          <t>Mini-Warehouses, High-Rise</t>
        </is>
      </c>
      <c r="C80" s="1158" t="inlineStr">
        <is>
          <t>525</t>
        </is>
      </c>
      <c r="D80" s="1158" t="inlineStr">
        <is>
          <t>14</t>
        </is>
      </c>
      <c r="E80" s="1158" t="inlineStr">
        <is>
          <t>28</t>
        </is>
      </c>
      <c r="F80" s="1158" t="inlineStr">
        <is>
          <t>A-B</t>
        </is>
      </c>
      <c r="G80" t="inlineStr">
        <is>
          <t>Average</t>
        </is>
      </c>
      <c r="H80" s="606" t="n">
        <v>94</v>
      </c>
      <c r="I80">
        <f>B80&amp;"|"&amp;F80&amp;"|"&amp;G80</f>
        <v/>
      </c>
      <c r="J80" t="inlineStr">
        <is>
          <t>14</t>
        </is>
      </c>
      <c r="K80" t="inlineStr">
        <is>
          <t>14</t>
        </is>
      </c>
      <c r="L80" t="inlineStr">
        <is>
          <t>14</t>
        </is>
      </c>
      <c r="M80" t="inlineStr">
        <is>
          <t>MVS Sec.14 p.28</t>
        </is>
      </c>
    </row>
    <row r="81">
      <c r="B81" s="1158" t="inlineStr">
        <is>
          <t>Mini-Warehouses, High-Rise</t>
        </is>
      </c>
      <c r="C81" s="1158" t="inlineStr">
        <is>
          <t>525</t>
        </is>
      </c>
      <c r="D81" s="1158" t="inlineStr">
        <is>
          <t>14</t>
        </is>
      </c>
      <c r="E81" s="1158" t="inlineStr">
        <is>
          <t>28</t>
        </is>
      </c>
      <c r="F81" s="1158" t="inlineStr">
        <is>
          <t>C</t>
        </is>
      </c>
      <c r="G81" t="inlineStr">
        <is>
          <t>Good</t>
        </is>
      </c>
      <c r="H81" s="606" t="n">
        <v>86.5</v>
      </c>
      <c r="I81">
        <f>B81&amp;"|"&amp;F81&amp;"|"&amp;G81</f>
        <v/>
      </c>
      <c r="J81" t="inlineStr">
        <is>
          <t>14</t>
        </is>
      </c>
      <c r="K81" t="inlineStr">
        <is>
          <t>14</t>
        </is>
      </c>
      <c r="L81" t="inlineStr">
        <is>
          <t>14</t>
        </is>
      </c>
      <c r="M81" t="inlineStr">
        <is>
          <t>MVS Sec.14 p.28</t>
        </is>
      </c>
    </row>
    <row r="82">
      <c r="B82" s="1158" t="inlineStr">
        <is>
          <t>Mini-Warehouses, High-Rise</t>
        </is>
      </c>
      <c r="C82" s="1158" t="inlineStr">
        <is>
          <t>525</t>
        </is>
      </c>
      <c r="D82" s="1158" t="inlineStr">
        <is>
          <t>14</t>
        </is>
      </c>
      <c r="E82" s="1158" t="inlineStr">
        <is>
          <t>28</t>
        </is>
      </c>
      <c r="F82" s="1158" t="inlineStr">
        <is>
          <t>C</t>
        </is>
      </c>
      <c r="G82" t="inlineStr">
        <is>
          <t>Average</t>
        </is>
      </c>
      <c r="H82" s="606" t="n">
        <v>66</v>
      </c>
      <c r="I82">
        <f>B82&amp;"|"&amp;F82&amp;"|"&amp;G82</f>
        <v/>
      </c>
      <c r="J82" t="inlineStr">
        <is>
          <t>14</t>
        </is>
      </c>
      <c r="K82" t="inlineStr">
        <is>
          <t>14</t>
        </is>
      </c>
      <c r="L82" t="inlineStr">
        <is>
          <t>14</t>
        </is>
      </c>
      <c r="M82" t="inlineStr">
        <is>
          <t>MVS Sec.14 p.28</t>
        </is>
      </c>
    </row>
    <row r="83">
      <c r="B83" s="1158" t="inlineStr">
        <is>
          <t>Mini-Warehouses, High-Rise</t>
        </is>
      </c>
      <c r="C83" s="1158" t="inlineStr">
        <is>
          <t>525</t>
        </is>
      </c>
      <c r="D83" s="1158" t="inlineStr">
        <is>
          <t>14</t>
        </is>
      </c>
      <c r="E83" s="1158" t="inlineStr">
        <is>
          <t>28</t>
        </is>
      </c>
      <c r="F83" s="1158" t="inlineStr">
        <is>
          <t>D</t>
        </is>
      </c>
      <c r="G83" t="inlineStr">
        <is>
          <t>Good</t>
        </is>
      </c>
      <c r="H83" s="606" t="n">
        <v>79.5</v>
      </c>
      <c r="I83">
        <f>B83&amp;"|"&amp;F83&amp;"|"&amp;G83</f>
        <v/>
      </c>
      <c r="J83" t="inlineStr">
        <is>
          <t>14</t>
        </is>
      </c>
      <c r="K83" t="inlineStr">
        <is>
          <t>14</t>
        </is>
      </c>
      <c r="L83" t="inlineStr">
        <is>
          <t>14</t>
        </is>
      </c>
      <c r="M83" t="inlineStr">
        <is>
          <t>MVS Sec.14 p.28</t>
        </is>
      </c>
    </row>
    <row r="84">
      <c r="B84" s="1158" t="inlineStr">
        <is>
          <t>Mini-Warehouses, High-Rise</t>
        </is>
      </c>
      <c r="C84" s="1158" t="inlineStr">
        <is>
          <t>525</t>
        </is>
      </c>
      <c r="D84" s="1158" t="inlineStr">
        <is>
          <t>14</t>
        </is>
      </c>
      <c r="E84" s="1158" t="inlineStr">
        <is>
          <t>28</t>
        </is>
      </c>
      <c r="F84" s="1158" t="inlineStr">
        <is>
          <t>S</t>
        </is>
      </c>
      <c r="G84" t="inlineStr">
        <is>
          <t>Good</t>
        </is>
      </c>
      <c r="H84" s="606" t="n">
        <v>81</v>
      </c>
      <c r="I84">
        <f>B84&amp;"|"&amp;F84&amp;"|"&amp;G84</f>
        <v/>
      </c>
      <c r="J84" t="inlineStr">
        <is>
          <t>14</t>
        </is>
      </c>
      <c r="K84" t="inlineStr">
        <is>
          <t>14</t>
        </is>
      </c>
      <c r="L84" t="inlineStr">
        <is>
          <t>14</t>
        </is>
      </c>
      <c r="M84" t="inlineStr">
        <is>
          <t>MVS Sec.14 p.28</t>
        </is>
      </c>
    </row>
    <row r="85">
      <c r="B85" s="1158" t="inlineStr">
        <is>
          <t>Industrials, Light Manufacturing</t>
        </is>
      </c>
      <c r="C85" s="1158" t="inlineStr">
        <is>
          <t>494</t>
        </is>
      </c>
      <c r="D85" s="1158" t="inlineStr">
        <is>
          <t>14</t>
        </is>
      </c>
      <c r="E85" s="1158" t="inlineStr">
        <is>
          <t>14</t>
        </is>
      </c>
      <c r="F85" s="1158" t="inlineStr">
        <is>
          <t>A</t>
        </is>
      </c>
      <c r="G85" t="inlineStr">
        <is>
          <t>Average</t>
        </is>
      </c>
      <c r="H85" s="606" t="n">
        <v>122</v>
      </c>
      <c r="I85">
        <f>B85&amp;"|"&amp;F85&amp;"|"&amp;G85</f>
        <v/>
      </c>
      <c r="J85" t="inlineStr">
        <is>
          <t>14</t>
        </is>
      </c>
      <c r="K85" t="inlineStr">
        <is>
          <t>14</t>
        </is>
      </c>
      <c r="L85" t="inlineStr">
        <is>
          <t>14</t>
        </is>
      </c>
      <c r="M85" t="inlineStr">
        <is>
          <t>MVS Sec.14 p.14</t>
        </is>
      </c>
    </row>
    <row r="86">
      <c r="B86" s="1158" t="inlineStr">
        <is>
          <t>Industrials, Light Manufacturing</t>
        </is>
      </c>
      <c r="C86" s="1158" t="inlineStr">
        <is>
          <t>494</t>
        </is>
      </c>
      <c r="D86" s="1158" t="inlineStr">
        <is>
          <t>14</t>
        </is>
      </c>
      <c r="E86" s="1158" t="inlineStr">
        <is>
          <t>14</t>
        </is>
      </c>
      <c r="F86" s="1158" t="inlineStr">
        <is>
          <t>A</t>
        </is>
      </c>
      <c r="G86" t="inlineStr">
        <is>
          <t>Low Cost</t>
        </is>
      </c>
      <c r="H86" s="606" t="n">
        <v>84.5</v>
      </c>
      <c r="I86">
        <f>B86&amp;"|"&amp;F86&amp;"|"&amp;G86</f>
        <v/>
      </c>
      <c r="J86" t="inlineStr">
        <is>
          <t>14</t>
        </is>
      </c>
      <c r="K86" t="inlineStr">
        <is>
          <t>14</t>
        </is>
      </c>
      <c r="L86" t="inlineStr">
        <is>
          <t>14</t>
        </is>
      </c>
      <c r="M86" t="inlineStr">
        <is>
          <t>MVS Sec.14 p.14</t>
        </is>
      </c>
    </row>
    <row r="87">
      <c r="B87" s="1158" t="inlineStr">
        <is>
          <t>Industrials, Light Manufacturing</t>
        </is>
      </c>
      <c r="C87" s="1158" t="inlineStr">
        <is>
          <t>494</t>
        </is>
      </c>
      <c r="D87" s="1158" t="inlineStr">
        <is>
          <t>14</t>
        </is>
      </c>
      <c r="E87" s="1158" t="inlineStr">
        <is>
          <t>14</t>
        </is>
      </c>
      <c r="F87" s="1158" t="inlineStr">
        <is>
          <t>B</t>
        </is>
      </c>
      <c r="G87" t="inlineStr">
        <is>
          <t>Average</t>
        </is>
      </c>
      <c r="H87" s="606" t="n">
        <v>107</v>
      </c>
      <c r="I87">
        <f>B87&amp;"|"&amp;F87&amp;"|"&amp;G87</f>
        <v/>
      </c>
      <c r="J87" t="inlineStr">
        <is>
          <t>14</t>
        </is>
      </c>
      <c r="K87" t="inlineStr">
        <is>
          <t>14</t>
        </is>
      </c>
      <c r="L87" t="inlineStr">
        <is>
          <t>14</t>
        </is>
      </c>
      <c r="M87" t="inlineStr">
        <is>
          <t>MVS Sec.14 p.14</t>
        </is>
      </c>
    </row>
    <row r="88">
      <c r="B88" s="1158" t="inlineStr">
        <is>
          <t>Industrials, Light Manufacturing</t>
        </is>
      </c>
      <c r="C88" s="1158" t="inlineStr">
        <is>
          <t>494</t>
        </is>
      </c>
      <c r="D88" s="1158" t="inlineStr">
        <is>
          <t>14</t>
        </is>
      </c>
      <c r="E88" s="1158" t="inlineStr">
        <is>
          <t>14</t>
        </is>
      </c>
      <c r="F88" s="1158" t="inlineStr">
        <is>
          <t>B</t>
        </is>
      </c>
      <c r="G88" t="inlineStr">
        <is>
          <t>Low Cost</t>
        </is>
      </c>
      <c r="H88" s="606" t="n">
        <v>74</v>
      </c>
      <c r="I88">
        <f>B88&amp;"|"&amp;F88&amp;"|"&amp;G88</f>
        <v/>
      </c>
      <c r="J88" t="inlineStr">
        <is>
          <t>14</t>
        </is>
      </c>
      <c r="K88" t="inlineStr">
        <is>
          <t>14</t>
        </is>
      </c>
      <c r="L88" t="inlineStr">
        <is>
          <t>14</t>
        </is>
      </c>
      <c r="M88" t="inlineStr">
        <is>
          <t>MVS Sec.14 p.14</t>
        </is>
      </c>
    </row>
    <row r="89">
      <c r="B89" s="1158" t="inlineStr">
        <is>
          <t>Industrials, Light Manufacturing</t>
        </is>
      </c>
      <c r="C89" s="1158" t="inlineStr">
        <is>
          <t>494</t>
        </is>
      </c>
      <c r="D89" s="1158" t="inlineStr">
        <is>
          <t>14</t>
        </is>
      </c>
      <c r="E89" s="1158" t="inlineStr">
        <is>
          <t>14</t>
        </is>
      </c>
      <c r="F89" s="1158" t="inlineStr">
        <is>
          <t>C</t>
        </is>
      </c>
      <c r="G89" t="inlineStr">
        <is>
          <t>Good</t>
        </is>
      </c>
      <c r="H89" s="606" t="n">
        <v>100</v>
      </c>
      <c r="I89">
        <f>B89&amp;"|"&amp;F89&amp;"|"&amp;G89</f>
        <v/>
      </c>
      <c r="J89" t="inlineStr">
        <is>
          <t>14</t>
        </is>
      </c>
      <c r="K89" t="inlineStr">
        <is>
          <t>14</t>
        </is>
      </c>
      <c r="L89" t="inlineStr">
        <is>
          <t>14</t>
        </is>
      </c>
      <c r="M89" t="inlineStr">
        <is>
          <t>MVS Sec.14 p.14</t>
        </is>
      </c>
    </row>
    <row r="90">
      <c r="B90" s="1158" t="inlineStr">
        <is>
          <t>Industrials, Light Manufacturing</t>
        </is>
      </c>
      <c r="C90" s="1158" t="inlineStr">
        <is>
          <t>494</t>
        </is>
      </c>
      <c r="D90" s="1158" t="inlineStr">
        <is>
          <t>14</t>
        </is>
      </c>
      <c r="E90" s="1158" t="inlineStr">
        <is>
          <t>14</t>
        </is>
      </c>
      <c r="F90" s="1158" t="inlineStr">
        <is>
          <t>C</t>
        </is>
      </c>
      <c r="G90" t="inlineStr">
        <is>
          <t>Average</t>
        </is>
      </c>
      <c r="H90" s="606" t="n">
        <v>72</v>
      </c>
      <c r="I90">
        <f>B90&amp;"|"&amp;F90&amp;"|"&amp;G90</f>
        <v/>
      </c>
      <c r="J90" t="inlineStr">
        <is>
          <t>14</t>
        </is>
      </c>
      <c r="K90" t="inlineStr">
        <is>
          <t>14</t>
        </is>
      </c>
      <c r="L90" t="inlineStr">
        <is>
          <t>14</t>
        </is>
      </c>
      <c r="M90" t="inlineStr">
        <is>
          <t>MVS Sec.14 p.14</t>
        </is>
      </c>
    </row>
    <row r="91">
      <c r="B91" s="1158" t="inlineStr">
        <is>
          <t>Industrials, Light Manufacturing</t>
        </is>
      </c>
      <c r="C91" s="1158" t="inlineStr">
        <is>
          <t>494</t>
        </is>
      </c>
      <c r="D91" s="1158" t="inlineStr">
        <is>
          <t>14</t>
        </is>
      </c>
      <c r="E91" s="1158" t="inlineStr">
        <is>
          <t>14</t>
        </is>
      </c>
      <c r="F91" s="1158" t="inlineStr">
        <is>
          <t>C</t>
        </is>
      </c>
      <c r="G91" t="inlineStr">
        <is>
          <t>Low Cost</t>
        </is>
      </c>
      <c r="H91" s="606" t="n">
        <v>52.5</v>
      </c>
      <c r="I91">
        <f>B91&amp;"|"&amp;F91&amp;"|"&amp;G91</f>
        <v/>
      </c>
      <c r="J91" t="inlineStr">
        <is>
          <t>14</t>
        </is>
      </c>
      <c r="K91" t="inlineStr">
        <is>
          <t>14</t>
        </is>
      </c>
      <c r="L91" t="inlineStr">
        <is>
          <t>14</t>
        </is>
      </c>
      <c r="M91" t="inlineStr">
        <is>
          <t>MVS Sec.14 p.14</t>
        </is>
      </c>
    </row>
    <row r="92">
      <c r="B92" s="1158" t="inlineStr">
        <is>
          <t>Industrials, Light Manufacturing</t>
        </is>
      </c>
      <c r="C92" s="1158" t="inlineStr">
        <is>
          <t>494</t>
        </is>
      </c>
      <c r="D92" s="1158" t="inlineStr">
        <is>
          <t>14</t>
        </is>
      </c>
      <c r="E92" s="1158" t="inlineStr">
        <is>
          <t>14</t>
        </is>
      </c>
      <c r="F92" s="1158" t="inlineStr">
        <is>
          <t>D</t>
        </is>
      </c>
      <c r="G92" t="inlineStr">
        <is>
          <t>Good</t>
        </is>
      </c>
      <c r="H92" s="606" t="n">
        <v>92</v>
      </c>
      <c r="I92">
        <f>B92&amp;"|"&amp;F92&amp;"|"&amp;G92</f>
        <v/>
      </c>
      <c r="J92" t="inlineStr">
        <is>
          <t>14</t>
        </is>
      </c>
      <c r="K92" t="inlineStr">
        <is>
          <t>14</t>
        </is>
      </c>
      <c r="L92" t="inlineStr">
        <is>
          <t>14</t>
        </is>
      </c>
      <c r="M92" t="inlineStr">
        <is>
          <t>MVS Sec.14 p.14</t>
        </is>
      </c>
    </row>
    <row r="93">
      <c r="B93" s="1158" t="inlineStr">
        <is>
          <t>Industrials, Light Manufacturing</t>
        </is>
      </c>
      <c r="C93" s="1158" t="inlineStr">
        <is>
          <t>494</t>
        </is>
      </c>
      <c r="D93" s="1158" t="inlineStr">
        <is>
          <t>14</t>
        </is>
      </c>
      <c r="E93" s="1158" t="inlineStr">
        <is>
          <t>14</t>
        </is>
      </c>
      <c r="F93" s="1158" t="inlineStr">
        <is>
          <t>D</t>
        </is>
      </c>
      <c r="G93" t="inlineStr">
        <is>
          <t>Average</t>
        </is>
      </c>
      <c r="H93" s="606" t="n">
        <v>65.5</v>
      </c>
      <c r="I93">
        <f>B93&amp;"|"&amp;F93&amp;"|"&amp;G93</f>
        <v/>
      </c>
      <c r="J93" t="inlineStr">
        <is>
          <t>14</t>
        </is>
      </c>
      <c r="K93" t="inlineStr">
        <is>
          <t>14</t>
        </is>
      </c>
      <c r="L93" t="inlineStr">
        <is>
          <t>14</t>
        </is>
      </c>
      <c r="M93" t="inlineStr">
        <is>
          <t>MVS Sec.14 p.14</t>
        </is>
      </c>
    </row>
    <row r="94">
      <c r="B94" s="1158" t="inlineStr">
        <is>
          <t>Industrials, Light Manufacturing</t>
        </is>
      </c>
      <c r="C94" s="1158" t="inlineStr">
        <is>
          <t>494</t>
        </is>
      </c>
      <c r="D94" s="1158" t="inlineStr">
        <is>
          <t>14</t>
        </is>
      </c>
      <c r="E94" s="1158" t="inlineStr">
        <is>
          <t>14</t>
        </is>
      </c>
      <c r="F94" s="1158" t="inlineStr">
        <is>
          <t>D</t>
        </is>
      </c>
      <c r="G94" t="inlineStr">
        <is>
          <t>Low Cost</t>
        </is>
      </c>
      <c r="H94" s="606" t="n">
        <v>47</v>
      </c>
      <c r="I94">
        <f>B94&amp;"|"&amp;F94&amp;"|"&amp;G94</f>
        <v/>
      </c>
      <c r="J94" t="inlineStr">
        <is>
          <t>14</t>
        </is>
      </c>
      <c r="K94" t="inlineStr">
        <is>
          <t>14</t>
        </is>
      </c>
      <c r="L94" t="inlineStr">
        <is>
          <t>14</t>
        </is>
      </c>
      <c r="M94" t="inlineStr">
        <is>
          <t>MVS Sec.14 p.14</t>
        </is>
      </c>
    </row>
    <row r="95">
      <c r="B95" s="1158" t="inlineStr">
        <is>
          <t>Industrials, Light Manufacturing</t>
        </is>
      </c>
      <c r="C95" s="1158" t="inlineStr">
        <is>
          <t>494</t>
        </is>
      </c>
      <c r="D95" s="1158" t="inlineStr">
        <is>
          <t>14</t>
        </is>
      </c>
      <c r="E95" s="1158" t="inlineStr">
        <is>
          <t>14</t>
        </is>
      </c>
      <c r="F95" s="1158" t="inlineStr">
        <is>
          <t>DPOLE</t>
        </is>
      </c>
      <c r="G95" t="inlineStr">
        <is>
          <t>Good</t>
        </is>
      </c>
      <c r="H95" s="606" t="n">
        <v>84</v>
      </c>
      <c r="I95">
        <f>B95&amp;"|"&amp;F95&amp;"|"&amp;G95</f>
        <v/>
      </c>
      <c r="J95" t="inlineStr">
        <is>
          <t>14</t>
        </is>
      </c>
      <c r="K95" t="inlineStr">
        <is>
          <t>14</t>
        </is>
      </c>
      <c r="L95" t="inlineStr">
        <is>
          <t>14</t>
        </is>
      </c>
      <c r="M95" t="inlineStr">
        <is>
          <t>MVS Sec.14 p.14</t>
        </is>
      </c>
    </row>
    <row r="96">
      <c r="B96" s="1158" t="inlineStr">
        <is>
          <t>Industrials, Light Manufacturing</t>
        </is>
      </c>
      <c r="C96" s="1158" t="inlineStr">
        <is>
          <t>494</t>
        </is>
      </c>
      <c r="D96" s="1158" t="inlineStr">
        <is>
          <t>14</t>
        </is>
      </c>
      <c r="E96" s="1158" t="inlineStr">
        <is>
          <t>14</t>
        </is>
      </c>
      <c r="F96" s="1158" t="inlineStr">
        <is>
          <t>DPOLE</t>
        </is>
      </c>
      <c r="G96" t="inlineStr">
        <is>
          <t>Average</t>
        </is>
      </c>
      <c r="H96" s="606" t="n">
        <v>60.5</v>
      </c>
      <c r="I96">
        <f>B96&amp;"|"&amp;F96&amp;"|"&amp;G96</f>
        <v/>
      </c>
      <c r="J96" t="inlineStr">
        <is>
          <t>14</t>
        </is>
      </c>
      <c r="K96" t="inlineStr">
        <is>
          <t>14</t>
        </is>
      </c>
      <c r="L96" t="inlineStr">
        <is>
          <t>14</t>
        </is>
      </c>
      <c r="M96" t="inlineStr">
        <is>
          <t>MVS Sec.14 p.14</t>
        </is>
      </c>
    </row>
    <row r="97">
      <c r="B97" s="1158" t="inlineStr">
        <is>
          <t>Industrials, Light Manufacturing</t>
        </is>
      </c>
      <c r="C97" s="1158" t="inlineStr">
        <is>
          <t>494</t>
        </is>
      </c>
      <c r="D97" s="1158" t="inlineStr">
        <is>
          <t>14</t>
        </is>
      </c>
      <c r="E97" s="1158" t="inlineStr">
        <is>
          <t>14</t>
        </is>
      </c>
      <c r="F97" s="1158" t="inlineStr">
        <is>
          <t>DPOLE</t>
        </is>
      </c>
      <c r="G97" t="inlineStr">
        <is>
          <t>Low Cost</t>
        </is>
      </c>
      <c r="H97" s="606" t="n">
        <v>43.5</v>
      </c>
      <c r="I97">
        <f>B97&amp;"|"&amp;F97&amp;"|"&amp;G97</f>
        <v/>
      </c>
      <c r="J97" t="inlineStr">
        <is>
          <t>14</t>
        </is>
      </c>
      <c r="K97" t="inlineStr">
        <is>
          <t>14</t>
        </is>
      </c>
      <c r="L97" t="inlineStr">
        <is>
          <t>14</t>
        </is>
      </c>
      <c r="M97" t="inlineStr">
        <is>
          <t>MVS Sec.14 p.14</t>
        </is>
      </c>
    </row>
    <row r="98">
      <c r="B98" s="1158" t="inlineStr">
        <is>
          <t>Industrials, Light Manufacturing</t>
        </is>
      </c>
      <c r="C98" s="1158" t="inlineStr">
        <is>
          <t>494</t>
        </is>
      </c>
      <c r="D98" s="1158" t="inlineStr">
        <is>
          <t>14</t>
        </is>
      </c>
      <c r="E98" s="1158" t="inlineStr">
        <is>
          <t>14</t>
        </is>
      </c>
      <c r="F98" s="1158" t="inlineStr">
        <is>
          <t>S</t>
        </is>
      </c>
      <c r="G98" t="inlineStr">
        <is>
          <t>Good</t>
        </is>
      </c>
      <c r="H98" s="606" t="n">
        <v>93</v>
      </c>
      <c r="I98">
        <f>B98&amp;"|"&amp;F98&amp;"|"&amp;G98</f>
        <v/>
      </c>
      <c r="J98" t="inlineStr">
        <is>
          <t>14</t>
        </is>
      </c>
      <c r="K98" t="inlineStr">
        <is>
          <t>14</t>
        </is>
      </c>
      <c r="L98" t="inlineStr">
        <is>
          <t>14</t>
        </is>
      </c>
      <c r="M98" t="inlineStr">
        <is>
          <t>MVS Sec.14 p.14</t>
        </is>
      </c>
    </row>
    <row r="99">
      <c r="B99" s="1158" t="inlineStr">
        <is>
          <t>Industrials, Light Manufacturing</t>
        </is>
      </c>
      <c r="C99" s="1158" t="inlineStr">
        <is>
          <t>494</t>
        </is>
      </c>
      <c r="D99" s="1158" t="inlineStr">
        <is>
          <t>14</t>
        </is>
      </c>
      <c r="E99" s="1158" t="inlineStr">
        <is>
          <t>14</t>
        </is>
      </c>
      <c r="F99" s="1158" t="inlineStr">
        <is>
          <t>S</t>
        </is>
      </c>
      <c r="G99" t="inlineStr">
        <is>
          <t>Average</t>
        </is>
      </c>
      <c r="H99" s="606" t="n">
        <v>66</v>
      </c>
      <c r="I99">
        <f>B99&amp;"|"&amp;F99&amp;"|"&amp;G99</f>
        <v/>
      </c>
      <c r="J99" t="inlineStr">
        <is>
          <t>14</t>
        </is>
      </c>
      <c r="K99" t="inlineStr">
        <is>
          <t>14</t>
        </is>
      </c>
      <c r="L99" t="inlineStr">
        <is>
          <t>14</t>
        </is>
      </c>
      <c r="M99" t="inlineStr">
        <is>
          <t>MVS Sec.14 p.14</t>
        </is>
      </c>
    </row>
    <row r="100">
      <c r="B100" s="1158" t="inlineStr">
        <is>
          <t>Industrials, Light Manufacturing</t>
        </is>
      </c>
      <c r="C100" s="1158" t="inlineStr">
        <is>
          <t>494</t>
        </is>
      </c>
      <c r="D100" s="1158" t="inlineStr">
        <is>
          <t>14</t>
        </is>
      </c>
      <c r="E100" s="1158" t="inlineStr">
        <is>
          <t>14</t>
        </is>
      </c>
      <c r="F100" s="1158" t="inlineStr">
        <is>
          <t>S</t>
        </is>
      </c>
      <c r="G100" t="inlineStr">
        <is>
          <t>Low Cost</t>
        </is>
      </c>
      <c r="H100" s="606" t="n">
        <v>46.75</v>
      </c>
      <c r="I100">
        <f>B100&amp;"|"&amp;F100&amp;"|"&amp;G100</f>
        <v/>
      </c>
      <c r="J100" t="inlineStr">
        <is>
          <t>14</t>
        </is>
      </c>
      <c r="K100" t="inlineStr">
        <is>
          <t>14</t>
        </is>
      </c>
      <c r="L100" t="inlineStr">
        <is>
          <t>14</t>
        </is>
      </c>
      <c r="M100" t="inlineStr">
        <is>
          <t>MVS Sec.14 p.14</t>
        </is>
      </c>
    </row>
    <row r="101">
      <c r="B101" s="1158" t="inlineStr">
        <is>
          <t>Industrials, Heavy (Process) Manufacturing</t>
        </is>
      </c>
      <c r="C101" s="1158" t="inlineStr">
        <is>
          <t>495</t>
        </is>
      </c>
      <c r="D101" s="1158" t="inlineStr">
        <is>
          <t>14</t>
        </is>
      </c>
      <c r="E101" s="1158" t="inlineStr">
        <is>
          <t>15</t>
        </is>
      </c>
      <c r="F101" s="1158" t="inlineStr">
        <is>
          <t>A</t>
        </is>
      </c>
      <c r="G101" t="inlineStr">
        <is>
          <t>Excellent</t>
        </is>
      </c>
      <c r="H101" s="606" t="n">
        <v>376</v>
      </c>
      <c r="I101">
        <f>B101&amp;"|"&amp;F101&amp;"|"&amp;G101</f>
        <v/>
      </c>
      <c r="J101" t="inlineStr">
        <is>
          <t>14</t>
        </is>
      </c>
      <c r="K101" t="inlineStr">
        <is>
          <t>14</t>
        </is>
      </c>
      <c r="L101" t="inlineStr">
        <is>
          <t>14</t>
        </is>
      </c>
      <c r="M101" t="inlineStr">
        <is>
          <t>MVS Sec.14 p.15</t>
        </is>
      </c>
    </row>
    <row r="102">
      <c r="B102" s="1158" t="inlineStr">
        <is>
          <t>Industrials, Heavy (Process) Manufacturing</t>
        </is>
      </c>
      <c r="C102" s="1158" t="inlineStr">
        <is>
          <t>495</t>
        </is>
      </c>
      <c r="D102" s="1158" t="inlineStr">
        <is>
          <t>14</t>
        </is>
      </c>
      <c r="E102" s="1158" t="inlineStr">
        <is>
          <t>15</t>
        </is>
      </c>
      <c r="F102" s="1158" t="inlineStr">
        <is>
          <t>A</t>
        </is>
      </c>
      <c r="G102" t="inlineStr">
        <is>
          <t>Good</t>
        </is>
      </c>
      <c r="H102" s="606" t="n">
        <v>302</v>
      </c>
      <c r="I102">
        <f>B102&amp;"|"&amp;F102&amp;"|"&amp;G102</f>
        <v/>
      </c>
      <c r="J102" t="inlineStr">
        <is>
          <t>14</t>
        </is>
      </c>
      <c r="K102" t="inlineStr">
        <is>
          <t>14</t>
        </is>
      </c>
      <c r="L102" t="inlineStr">
        <is>
          <t>14</t>
        </is>
      </c>
      <c r="M102" t="inlineStr">
        <is>
          <t>MVS Sec.14 p.15</t>
        </is>
      </c>
    </row>
    <row r="103">
      <c r="B103" s="1158" t="inlineStr">
        <is>
          <t>Industrials, Heavy (Process) Manufacturing</t>
        </is>
      </c>
      <c r="C103" s="1158" t="inlineStr">
        <is>
          <t>495</t>
        </is>
      </c>
      <c r="D103" s="1158" t="inlineStr">
        <is>
          <t>14</t>
        </is>
      </c>
      <c r="E103" s="1158" t="inlineStr">
        <is>
          <t>15</t>
        </is>
      </c>
      <c r="F103" s="1158" t="inlineStr">
        <is>
          <t>A</t>
        </is>
      </c>
      <c r="G103" t="inlineStr">
        <is>
          <t>Average</t>
        </is>
      </c>
      <c r="H103" s="606" t="n">
        <v>232</v>
      </c>
      <c r="I103">
        <f>B103&amp;"|"&amp;F103&amp;"|"&amp;G103</f>
        <v/>
      </c>
      <c r="J103" t="inlineStr">
        <is>
          <t>14</t>
        </is>
      </c>
      <c r="K103" t="inlineStr">
        <is>
          <t>14</t>
        </is>
      </c>
      <c r="L103" t="inlineStr">
        <is>
          <t>14</t>
        </is>
      </c>
      <c r="M103" t="inlineStr">
        <is>
          <t>MVS Sec.14 p.15</t>
        </is>
      </c>
    </row>
    <row r="104">
      <c r="B104" s="1158" t="inlineStr">
        <is>
          <t>Industrials, Heavy (Process) Manufacturing</t>
        </is>
      </c>
      <c r="C104" s="1158" t="inlineStr">
        <is>
          <t>495</t>
        </is>
      </c>
      <c r="D104" s="1158" t="inlineStr">
        <is>
          <t>14</t>
        </is>
      </c>
      <c r="E104" s="1158" t="inlineStr">
        <is>
          <t>15</t>
        </is>
      </c>
      <c r="F104" s="1158" t="inlineStr">
        <is>
          <t>A</t>
        </is>
      </c>
      <c r="G104" t="inlineStr">
        <is>
          <t>Low Cost</t>
        </is>
      </c>
      <c r="H104" s="606" t="n">
        <v>180</v>
      </c>
      <c r="I104">
        <f>B104&amp;"|"&amp;F104&amp;"|"&amp;G104</f>
        <v/>
      </c>
      <c r="J104" t="inlineStr">
        <is>
          <t>14</t>
        </is>
      </c>
      <c r="K104" t="inlineStr">
        <is>
          <t>14</t>
        </is>
      </c>
      <c r="L104" t="inlineStr">
        <is>
          <t>14</t>
        </is>
      </c>
      <c r="M104" t="inlineStr">
        <is>
          <t>MVS Sec.14 p.15</t>
        </is>
      </c>
    </row>
    <row r="105">
      <c r="B105" s="1158" t="inlineStr">
        <is>
          <t>Industrials, Heavy (Process) Manufacturing</t>
        </is>
      </c>
      <c r="C105" s="1158" t="inlineStr">
        <is>
          <t>495</t>
        </is>
      </c>
      <c r="D105" s="1158" t="inlineStr">
        <is>
          <t>14</t>
        </is>
      </c>
      <c r="E105" s="1158" t="inlineStr">
        <is>
          <t>15</t>
        </is>
      </c>
      <c r="F105" s="1158" t="inlineStr">
        <is>
          <t>B</t>
        </is>
      </c>
      <c r="G105" t="inlineStr">
        <is>
          <t>Excellent</t>
        </is>
      </c>
      <c r="H105" s="606" t="n">
        <v>339</v>
      </c>
      <c r="I105">
        <f>B105&amp;"|"&amp;F105&amp;"|"&amp;G105</f>
        <v/>
      </c>
      <c r="J105" t="inlineStr">
        <is>
          <t>14</t>
        </is>
      </c>
      <c r="K105" t="inlineStr">
        <is>
          <t>14</t>
        </is>
      </c>
      <c r="L105" t="inlineStr">
        <is>
          <t>14</t>
        </is>
      </c>
      <c r="M105" t="inlineStr">
        <is>
          <t>MVS Sec.14 p.15</t>
        </is>
      </c>
    </row>
    <row r="106">
      <c r="B106" s="1158" t="inlineStr">
        <is>
          <t>Industrials, Heavy (Process) Manufacturing</t>
        </is>
      </c>
      <c r="C106" s="1158" t="inlineStr">
        <is>
          <t>495</t>
        </is>
      </c>
      <c r="D106" s="1158" t="inlineStr">
        <is>
          <t>14</t>
        </is>
      </c>
      <c r="E106" s="1158" t="inlineStr">
        <is>
          <t>15</t>
        </is>
      </c>
      <c r="F106" s="1158" t="inlineStr">
        <is>
          <t>B</t>
        </is>
      </c>
      <c r="G106" t="inlineStr">
        <is>
          <t>Good</t>
        </is>
      </c>
      <c r="H106" s="606" t="n">
        <v>272</v>
      </c>
      <c r="I106">
        <f>B106&amp;"|"&amp;F106&amp;"|"&amp;G106</f>
        <v/>
      </c>
      <c r="J106" t="inlineStr">
        <is>
          <t>14</t>
        </is>
      </c>
      <c r="K106" t="inlineStr">
        <is>
          <t>14</t>
        </is>
      </c>
      <c r="L106" t="inlineStr">
        <is>
          <t>14</t>
        </is>
      </c>
      <c r="M106" t="inlineStr">
        <is>
          <t>MVS Sec.14 p.15</t>
        </is>
      </c>
    </row>
    <row r="107">
      <c r="B107" s="1158" t="inlineStr">
        <is>
          <t>Industrials, Heavy (Process) Manufacturing</t>
        </is>
      </c>
      <c r="C107" s="1158" t="inlineStr">
        <is>
          <t>495</t>
        </is>
      </c>
      <c r="D107" s="1158" t="inlineStr">
        <is>
          <t>14</t>
        </is>
      </c>
      <c r="E107" s="1158" t="inlineStr">
        <is>
          <t>15</t>
        </is>
      </c>
      <c r="F107" s="1158" t="inlineStr">
        <is>
          <t>B</t>
        </is>
      </c>
      <c r="G107" t="inlineStr">
        <is>
          <t>Average</t>
        </is>
      </c>
      <c r="H107" s="606" t="n">
        <v>208</v>
      </c>
      <c r="I107">
        <f>B107&amp;"|"&amp;F107&amp;"|"&amp;G107</f>
        <v/>
      </c>
      <c r="J107" t="inlineStr">
        <is>
          <t>14</t>
        </is>
      </c>
      <c r="K107" t="inlineStr">
        <is>
          <t>14</t>
        </is>
      </c>
      <c r="L107" t="inlineStr">
        <is>
          <t>14</t>
        </is>
      </c>
      <c r="M107" t="inlineStr">
        <is>
          <t>MVS Sec.14 p.15</t>
        </is>
      </c>
    </row>
    <row r="108">
      <c r="B108" s="1158" t="inlineStr">
        <is>
          <t>Industrials, Heavy (Process) Manufacturing</t>
        </is>
      </c>
      <c r="C108" s="1158" t="inlineStr">
        <is>
          <t>495</t>
        </is>
      </c>
      <c r="D108" s="1158" t="inlineStr">
        <is>
          <t>14</t>
        </is>
      </c>
      <c r="E108" s="1158" t="inlineStr">
        <is>
          <t>15</t>
        </is>
      </c>
      <c r="F108" s="1158" t="inlineStr">
        <is>
          <t>B</t>
        </is>
      </c>
      <c r="G108" t="inlineStr">
        <is>
          <t>Low Cost</t>
        </is>
      </c>
      <c r="H108" s="606" t="n">
        <v>161</v>
      </c>
      <c r="I108">
        <f>B108&amp;"|"&amp;F108&amp;"|"&amp;G108</f>
        <v/>
      </c>
      <c r="J108" t="inlineStr">
        <is>
          <t>14</t>
        </is>
      </c>
      <c r="K108" t="inlineStr">
        <is>
          <t>14</t>
        </is>
      </c>
      <c r="L108" t="inlineStr">
        <is>
          <t>14</t>
        </is>
      </c>
      <c r="M108" t="inlineStr">
        <is>
          <t>MVS Sec.14 p.15</t>
        </is>
      </c>
    </row>
    <row r="109">
      <c r="B109" s="1158" t="inlineStr">
        <is>
          <t>Industrials, Heavy (Process) Manufacturing</t>
        </is>
      </c>
      <c r="C109" s="1158" t="inlineStr">
        <is>
          <t>495</t>
        </is>
      </c>
      <c r="D109" s="1158" t="inlineStr">
        <is>
          <t>14</t>
        </is>
      </c>
      <c r="E109" s="1158" t="inlineStr">
        <is>
          <t>15</t>
        </is>
      </c>
      <c r="F109" s="1158" t="inlineStr">
        <is>
          <t>C</t>
        </is>
      </c>
      <c r="G109" t="inlineStr">
        <is>
          <t>Good</t>
        </is>
      </c>
      <c r="H109" s="606" t="n">
        <v>217</v>
      </c>
      <c r="I109">
        <f>B109&amp;"|"&amp;F109&amp;"|"&amp;G109</f>
        <v/>
      </c>
      <c r="J109" t="inlineStr">
        <is>
          <t>14</t>
        </is>
      </c>
      <c r="K109" t="inlineStr">
        <is>
          <t>14</t>
        </is>
      </c>
      <c r="L109" t="inlineStr">
        <is>
          <t>14</t>
        </is>
      </c>
      <c r="M109" t="inlineStr">
        <is>
          <t>MVS Sec.14 p.15</t>
        </is>
      </c>
    </row>
    <row r="110">
      <c r="B110" s="1158" t="inlineStr">
        <is>
          <t>Industrials, Heavy (Process) Manufacturing</t>
        </is>
      </c>
      <c r="C110" s="1158" t="inlineStr">
        <is>
          <t>495</t>
        </is>
      </c>
      <c r="D110" s="1158" t="inlineStr">
        <is>
          <t>14</t>
        </is>
      </c>
      <c r="E110" s="1158" t="inlineStr">
        <is>
          <t>15</t>
        </is>
      </c>
      <c r="F110" s="1158" t="inlineStr">
        <is>
          <t>C</t>
        </is>
      </c>
      <c r="G110" t="inlineStr">
        <is>
          <t>Average</t>
        </is>
      </c>
      <c r="H110" s="606" t="n">
        <v>162</v>
      </c>
      <c r="I110">
        <f>B110&amp;"|"&amp;F110&amp;"|"&amp;G110</f>
        <v/>
      </c>
      <c r="J110" t="inlineStr">
        <is>
          <t>14</t>
        </is>
      </c>
      <c r="K110" t="inlineStr">
        <is>
          <t>14</t>
        </is>
      </c>
      <c r="L110" t="inlineStr">
        <is>
          <t>14</t>
        </is>
      </c>
      <c r="M110" t="inlineStr">
        <is>
          <t>MVS Sec.14 p.15</t>
        </is>
      </c>
    </row>
    <row r="111">
      <c r="B111" s="1158" t="inlineStr">
        <is>
          <t>Industrials, Heavy (Process) Manufacturing</t>
        </is>
      </c>
      <c r="C111" s="1158" t="inlineStr">
        <is>
          <t>495</t>
        </is>
      </c>
      <c r="D111" s="1158" t="inlineStr">
        <is>
          <t>14</t>
        </is>
      </c>
      <c r="E111" s="1158" t="inlineStr">
        <is>
          <t>15</t>
        </is>
      </c>
      <c r="F111" s="1158" t="inlineStr">
        <is>
          <t>C</t>
        </is>
      </c>
      <c r="G111" t="inlineStr">
        <is>
          <t>Low Cost</t>
        </is>
      </c>
      <c r="H111" s="606" t="n">
        <v>117</v>
      </c>
      <c r="I111">
        <f>B111&amp;"|"&amp;F111&amp;"|"&amp;G111</f>
        <v/>
      </c>
      <c r="J111" t="inlineStr">
        <is>
          <t>14</t>
        </is>
      </c>
      <c r="K111" t="inlineStr">
        <is>
          <t>14</t>
        </is>
      </c>
      <c r="L111" t="inlineStr">
        <is>
          <t>14</t>
        </is>
      </c>
      <c r="M111" t="inlineStr">
        <is>
          <t>MVS Sec.14 p.15</t>
        </is>
      </c>
    </row>
    <row r="112">
      <c r="B112" s="1158" t="inlineStr">
        <is>
          <t>Industrials, Heavy (Process) Manufacturing</t>
        </is>
      </c>
      <c r="C112" s="1158" t="inlineStr">
        <is>
          <t>495</t>
        </is>
      </c>
      <c r="D112" s="1158" t="inlineStr">
        <is>
          <t>14</t>
        </is>
      </c>
      <c r="E112" s="1158" t="inlineStr">
        <is>
          <t>15</t>
        </is>
      </c>
      <c r="F112" s="1158" t="inlineStr">
        <is>
          <t>CMILL</t>
        </is>
      </c>
      <c r="G112" t="inlineStr">
        <is>
          <t>Good</t>
        </is>
      </c>
      <c r="H112" s="606" t="n">
        <v>139</v>
      </c>
      <c r="I112">
        <f>B112&amp;"|"&amp;F112&amp;"|"&amp;G112</f>
        <v/>
      </c>
      <c r="J112" t="inlineStr">
        <is>
          <t>14</t>
        </is>
      </c>
      <c r="K112" t="inlineStr">
        <is>
          <t>14</t>
        </is>
      </c>
      <c r="L112" t="inlineStr">
        <is>
          <t>14</t>
        </is>
      </c>
      <c r="M112" t="inlineStr">
        <is>
          <t>MVS Sec.14 p.15</t>
        </is>
      </c>
    </row>
    <row r="113">
      <c r="B113" s="1158" t="inlineStr">
        <is>
          <t>Industrials, Heavy (Process) Manufacturing</t>
        </is>
      </c>
      <c r="C113" s="1158" t="inlineStr">
        <is>
          <t>495</t>
        </is>
      </c>
      <c r="D113" s="1158" t="inlineStr">
        <is>
          <t>14</t>
        </is>
      </c>
      <c r="E113" s="1158" t="inlineStr">
        <is>
          <t>15</t>
        </is>
      </c>
      <c r="F113" s="1158" t="inlineStr">
        <is>
          <t>CMILL</t>
        </is>
      </c>
      <c r="G113" t="inlineStr">
        <is>
          <t>Average</t>
        </is>
      </c>
      <c r="H113" s="606" t="n">
        <v>106</v>
      </c>
      <c r="I113">
        <f>B113&amp;"|"&amp;F113&amp;"|"&amp;G113</f>
        <v/>
      </c>
      <c r="J113" t="inlineStr">
        <is>
          <t>14</t>
        </is>
      </c>
      <c r="K113" t="inlineStr">
        <is>
          <t>14</t>
        </is>
      </c>
      <c r="L113" t="inlineStr">
        <is>
          <t>14</t>
        </is>
      </c>
      <c r="M113" t="inlineStr">
        <is>
          <t>MVS Sec.14 p.15</t>
        </is>
      </c>
    </row>
    <row r="114">
      <c r="B114" s="1158" t="inlineStr">
        <is>
          <t>Industrials, Heavy (Process) Manufacturing</t>
        </is>
      </c>
      <c r="C114" s="1158" t="inlineStr">
        <is>
          <t>495</t>
        </is>
      </c>
      <c r="D114" s="1158" t="inlineStr">
        <is>
          <t>14</t>
        </is>
      </c>
      <c r="E114" s="1158" t="inlineStr">
        <is>
          <t>15</t>
        </is>
      </c>
      <c r="F114" s="1158" t="inlineStr">
        <is>
          <t>D</t>
        </is>
      </c>
      <c r="G114" t="inlineStr">
        <is>
          <t>Average</t>
        </is>
      </c>
      <c r="H114" s="606" t="n">
        <v>144</v>
      </c>
      <c r="I114">
        <f>B114&amp;"|"&amp;F114&amp;"|"&amp;G114</f>
        <v/>
      </c>
      <c r="J114" t="inlineStr">
        <is>
          <t>14</t>
        </is>
      </c>
      <c r="K114" t="inlineStr">
        <is>
          <t>14</t>
        </is>
      </c>
      <c r="L114" t="inlineStr">
        <is>
          <t>14</t>
        </is>
      </c>
      <c r="M114" t="inlineStr">
        <is>
          <t>MVS Sec.14 p.15</t>
        </is>
      </c>
    </row>
    <row r="115">
      <c r="B115" s="1158" t="inlineStr">
        <is>
          <t>Industrials, Heavy (Process) Manufacturing</t>
        </is>
      </c>
      <c r="C115" s="1158" t="inlineStr">
        <is>
          <t>495</t>
        </is>
      </c>
      <c r="D115" s="1158" t="inlineStr">
        <is>
          <t>14</t>
        </is>
      </c>
      <c r="E115" s="1158" t="inlineStr">
        <is>
          <t>15</t>
        </is>
      </c>
      <c r="F115" s="1158" t="inlineStr">
        <is>
          <t>D</t>
        </is>
      </c>
      <c r="G115" t="inlineStr">
        <is>
          <t>Low Cost</t>
        </is>
      </c>
      <c r="H115" s="606" t="n">
        <v>111</v>
      </c>
      <c r="I115">
        <f>B115&amp;"|"&amp;F115&amp;"|"&amp;G115</f>
        <v/>
      </c>
      <c r="J115" t="inlineStr">
        <is>
          <t>14</t>
        </is>
      </c>
      <c r="K115" t="inlineStr">
        <is>
          <t>14</t>
        </is>
      </c>
      <c r="L115" t="inlineStr">
        <is>
          <t>14</t>
        </is>
      </c>
      <c r="M115" t="inlineStr">
        <is>
          <t>MVS Sec.14 p.15</t>
        </is>
      </c>
    </row>
    <row r="116">
      <c r="B116" s="1158" t="inlineStr">
        <is>
          <t>Industrials, Heavy (Process) Manufacturing</t>
        </is>
      </c>
      <c r="C116" s="1158" t="inlineStr">
        <is>
          <t>495</t>
        </is>
      </c>
      <c r="D116" s="1158" t="inlineStr">
        <is>
          <t>14</t>
        </is>
      </c>
      <c r="E116" s="1158" t="inlineStr">
        <is>
          <t>15</t>
        </is>
      </c>
      <c r="F116" s="1158" t="inlineStr">
        <is>
          <t>S</t>
        </is>
      </c>
      <c r="G116" t="inlineStr">
        <is>
          <t>Good</t>
        </is>
      </c>
      <c r="H116" s="606" t="n">
        <v>209</v>
      </c>
      <c r="I116">
        <f>B116&amp;"|"&amp;F116&amp;"|"&amp;G116</f>
        <v/>
      </c>
      <c r="J116" t="inlineStr">
        <is>
          <t>14</t>
        </is>
      </c>
      <c r="K116" t="inlineStr">
        <is>
          <t>14</t>
        </is>
      </c>
      <c r="L116" t="inlineStr">
        <is>
          <t>14</t>
        </is>
      </c>
      <c r="M116" t="inlineStr">
        <is>
          <t>MVS Sec.14 p.15</t>
        </is>
      </c>
    </row>
    <row r="117">
      <c r="B117" s="1158" t="inlineStr">
        <is>
          <t>Industrials, Heavy (Process) Manufacturing</t>
        </is>
      </c>
      <c r="C117" s="1158" t="inlineStr">
        <is>
          <t>495</t>
        </is>
      </c>
      <c r="D117" s="1158" t="inlineStr">
        <is>
          <t>14</t>
        </is>
      </c>
      <c r="E117" s="1158" t="inlineStr">
        <is>
          <t>15</t>
        </is>
      </c>
      <c r="F117" s="1158" t="inlineStr">
        <is>
          <t>S</t>
        </is>
      </c>
      <c r="G117" t="inlineStr">
        <is>
          <t>Average</t>
        </is>
      </c>
      <c r="H117" s="606" t="n">
        <v>149</v>
      </c>
      <c r="I117">
        <f>B117&amp;"|"&amp;F117&amp;"|"&amp;G117</f>
        <v/>
      </c>
      <c r="J117" t="inlineStr">
        <is>
          <t>14</t>
        </is>
      </c>
      <c r="K117" t="inlineStr">
        <is>
          <t>14</t>
        </is>
      </c>
      <c r="L117" t="inlineStr">
        <is>
          <t>14</t>
        </is>
      </c>
      <c r="M117" t="inlineStr">
        <is>
          <t>MVS Sec.14 p.15</t>
        </is>
      </c>
    </row>
    <row r="118">
      <c r="B118" s="1158" t="inlineStr">
        <is>
          <t>Industrials, Heavy (Process) Manufacturing</t>
        </is>
      </c>
      <c r="C118" s="1158" t="inlineStr">
        <is>
          <t>495</t>
        </is>
      </c>
      <c r="D118" s="1158" t="inlineStr">
        <is>
          <t>14</t>
        </is>
      </c>
      <c r="E118" s="1158" t="inlineStr">
        <is>
          <t>15</t>
        </is>
      </c>
      <c r="F118" s="1158" t="inlineStr">
        <is>
          <t>S</t>
        </is>
      </c>
      <c r="G118" t="inlineStr">
        <is>
          <t>Low Cost</t>
        </is>
      </c>
      <c r="H118" s="606" t="n">
        <v>113</v>
      </c>
      <c r="I118">
        <f>B118&amp;"|"&amp;F118&amp;"|"&amp;G118</f>
        <v/>
      </c>
      <c r="J118" t="inlineStr">
        <is>
          <t>14</t>
        </is>
      </c>
      <c r="K118" t="inlineStr">
        <is>
          <t>14</t>
        </is>
      </c>
      <c r="L118" t="inlineStr">
        <is>
          <t>14</t>
        </is>
      </c>
      <c r="M118" t="inlineStr">
        <is>
          <t>MVS Sec.14 p.15</t>
        </is>
      </c>
    </row>
    <row r="119">
      <c r="B119" s="1158" t="inlineStr">
        <is>
          <t>Service Garages (Commercial/Repair)</t>
        </is>
      </c>
      <c r="C119" s="1158" t="inlineStr">
        <is>
          <t>528</t>
        </is>
      </c>
      <c r="D119" s="1158" t="inlineStr">
        <is>
          <t>14</t>
        </is>
      </c>
      <c r="E119" s="1158" t="inlineStr">
        <is>
          <t>32</t>
        </is>
      </c>
      <c r="F119" s="1158" t="inlineStr">
        <is>
          <t>A-B</t>
        </is>
      </c>
      <c r="G119" t="inlineStr">
        <is>
          <t>Average</t>
        </is>
      </c>
      <c r="H119" s="606" t="n">
        <v>122</v>
      </c>
      <c r="I119">
        <f>B119&amp;"|"&amp;F119&amp;"|"&amp;G119</f>
        <v/>
      </c>
      <c r="J119" t="inlineStr">
        <is>
          <t>14</t>
        </is>
      </c>
      <c r="K119" t="inlineStr">
        <is>
          <t>14</t>
        </is>
      </c>
      <c r="L119" t="inlineStr">
        <is>
          <t>14</t>
        </is>
      </c>
      <c r="M119" t="inlineStr">
        <is>
          <t>MVS Sec.14 p.32</t>
        </is>
      </c>
    </row>
    <row r="120">
      <c r="B120" s="1158" t="inlineStr">
        <is>
          <t>Service Garages (Commercial/Repair)</t>
        </is>
      </c>
      <c r="C120" s="1158" t="inlineStr">
        <is>
          <t>528</t>
        </is>
      </c>
      <c r="D120" s="1158" t="inlineStr">
        <is>
          <t>14</t>
        </is>
      </c>
      <c r="E120" s="1158" t="inlineStr">
        <is>
          <t>32</t>
        </is>
      </c>
      <c r="F120" s="1158" t="inlineStr">
        <is>
          <t>C</t>
        </is>
      </c>
      <c r="G120" t="inlineStr">
        <is>
          <t>Excellent</t>
        </is>
      </c>
      <c r="H120" s="606" t="n">
        <v>156</v>
      </c>
      <c r="I120">
        <f>B120&amp;"|"&amp;F120&amp;"|"&amp;G120</f>
        <v/>
      </c>
      <c r="J120" t="inlineStr">
        <is>
          <t>14</t>
        </is>
      </c>
      <c r="K120" t="inlineStr">
        <is>
          <t>14</t>
        </is>
      </c>
      <c r="L120" t="inlineStr">
        <is>
          <t>14</t>
        </is>
      </c>
      <c r="M120" t="inlineStr">
        <is>
          <t>MVS Sec.14 p.32</t>
        </is>
      </c>
    </row>
    <row r="121">
      <c r="B121" s="1158" t="inlineStr">
        <is>
          <t>Service Garages (Commercial/Repair)</t>
        </is>
      </c>
      <c r="C121" s="1158" t="inlineStr">
        <is>
          <t>528</t>
        </is>
      </c>
      <c r="D121" s="1158" t="inlineStr">
        <is>
          <t>14</t>
        </is>
      </c>
      <c r="E121" s="1158" t="inlineStr">
        <is>
          <t>32</t>
        </is>
      </c>
      <c r="F121" s="1158" t="inlineStr">
        <is>
          <t>C</t>
        </is>
      </c>
      <c r="G121" t="inlineStr">
        <is>
          <t>Good</t>
        </is>
      </c>
      <c r="H121" s="606" t="n">
        <v>109</v>
      </c>
      <c r="I121">
        <f>B121&amp;"|"&amp;F121&amp;"|"&amp;G121</f>
        <v/>
      </c>
      <c r="J121" t="inlineStr">
        <is>
          <t>14</t>
        </is>
      </c>
      <c r="K121" t="inlineStr">
        <is>
          <t>14</t>
        </is>
      </c>
      <c r="L121" t="inlineStr">
        <is>
          <t>14</t>
        </is>
      </c>
      <c r="M121" t="inlineStr">
        <is>
          <t>MVS Sec.14 p.32</t>
        </is>
      </c>
    </row>
    <row r="122">
      <c r="B122" s="1158" t="inlineStr">
        <is>
          <t>Service Garages (Commercial/Repair)</t>
        </is>
      </c>
      <c r="C122" s="1158" t="inlineStr">
        <is>
          <t>528</t>
        </is>
      </c>
      <c r="D122" s="1158" t="inlineStr">
        <is>
          <t>14</t>
        </is>
      </c>
      <c r="E122" s="1158" t="inlineStr">
        <is>
          <t>32</t>
        </is>
      </c>
      <c r="F122" s="1158" t="inlineStr">
        <is>
          <t>C</t>
        </is>
      </c>
      <c r="G122" t="inlineStr">
        <is>
          <t>Average</t>
        </is>
      </c>
      <c r="H122" s="606" t="n">
        <v>79.5</v>
      </c>
      <c r="I122">
        <f>B122&amp;"|"&amp;F122&amp;"|"&amp;G122</f>
        <v/>
      </c>
      <c r="J122" t="inlineStr">
        <is>
          <t>14</t>
        </is>
      </c>
      <c r="K122" t="inlineStr">
        <is>
          <t>14</t>
        </is>
      </c>
      <c r="L122" t="inlineStr">
        <is>
          <t>14</t>
        </is>
      </c>
      <c r="M122" t="inlineStr">
        <is>
          <t>MVS Sec.14 p.32</t>
        </is>
      </c>
    </row>
    <row r="123">
      <c r="B123" s="1158" t="inlineStr">
        <is>
          <t>Service Garages (Commercial/Repair)</t>
        </is>
      </c>
      <c r="C123" s="1158" t="inlineStr">
        <is>
          <t>528</t>
        </is>
      </c>
      <c r="D123" s="1158" t="inlineStr">
        <is>
          <t>14</t>
        </is>
      </c>
      <c r="E123" s="1158" t="inlineStr">
        <is>
          <t>32</t>
        </is>
      </c>
      <c r="F123" s="1158" t="inlineStr">
        <is>
          <t>C</t>
        </is>
      </c>
      <c r="G123" t="inlineStr">
        <is>
          <t>Low Cost</t>
        </is>
      </c>
      <c r="H123" s="606" t="n">
        <v>57.5</v>
      </c>
      <c r="I123">
        <f>B123&amp;"|"&amp;F123&amp;"|"&amp;G123</f>
        <v/>
      </c>
      <c r="J123" t="inlineStr">
        <is>
          <t>14</t>
        </is>
      </c>
      <c r="K123" t="inlineStr">
        <is>
          <t>14</t>
        </is>
      </c>
      <c r="L123" t="inlineStr">
        <is>
          <t>14</t>
        </is>
      </c>
      <c r="M123" t="inlineStr">
        <is>
          <t>MVS Sec.14 p.32</t>
        </is>
      </c>
    </row>
    <row r="124">
      <c r="B124" s="1158" t="inlineStr">
        <is>
          <t>Service Garages (Commercial/Repair)</t>
        </is>
      </c>
      <c r="C124" s="1158" t="inlineStr">
        <is>
          <t>528</t>
        </is>
      </c>
      <c r="D124" s="1158" t="inlineStr">
        <is>
          <t>14</t>
        </is>
      </c>
      <c r="E124" s="1158" t="inlineStr">
        <is>
          <t>32</t>
        </is>
      </c>
      <c r="F124" s="1158" t="inlineStr">
        <is>
          <t>D</t>
        </is>
      </c>
      <c r="G124" t="inlineStr">
        <is>
          <t>Good</t>
        </is>
      </c>
      <c r="H124" s="606" t="n">
        <v>96</v>
      </c>
      <c r="I124">
        <f>B124&amp;"|"&amp;F124&amp;"|"&amp;G124</f>
        <v/>
      </c>
      <c r="J124" t="inlineStr">
        <is>
          <t>14</t>
        </is>
      </c>
      <c r="K124" t="inlineStr">
        <is>
          <t>14</t>
        </is>
      </c>
      <c r="L124" t="inlineStr">
        <is>
          <t>14</t>
        </is>
      </c>
      <c r="M124" t="inlineStr">
        <is>
          <t>MVS Sec.14 p.32</t>
        </is>
      </c>
    </row>
    <row r="125">
      <c r="B125" s="1158" t="inlineStr">
        <is>
          <t>Service Garages (Commercial/Repair)</t>
        </is>
      </c>
      <c r="C125" s="1158" t="inlineStr">
        <is>
          <t>528</t>
        </is>
      </c>
      <c r="D125" s="1158" t="inlineStr">
        <is>
          <t>14</t>
        </is>
      </c>
      <c r="E125" s="1158" t="inlineStr">
        <is>
          <t>32</t>
        </is>
      </c>
      <c r="F125" s="1158" t="inlineStr">
        <is>
          <t>D</t>
        </is>
      </c>
      <c r="G125" t="inlineStr">
        <is>
          <t>Average</t>
        </is>
      </c>
      <c r="H125" s="606" t="n">
        <v>70.5</v>
      </c>
      <c r="I125">
        <f>B125&amp;"|"&amp;F125&amp;"|"&amp;G125</f>
        <v/>
      </c>
      <c r="J125" t="inlineStr">
        <is>
          <t>14</t>
        </is>
      </c>
      <c r="K125" t="inlineStr">
        <is>
          <t>14</t>
        </is>
      </c>
      <c r="L125" t="inlineStr">
        <is>
          <t>14</t>
        </is>
      </c>
      <c r="M125" t="inlineStr">
        <is>
          <t>MVS Sec.14 p.32</t>
        </is>
      </c>
    </row>
    <row r="126">
      <c r="B126" s="1158" t="inlineStr">
        <is>
          <t>Service Garages (Commercial/Repair)</t>
        </is>
      </c>
      <c r="C126" s="1158" t="inlineStr">
        <is>
          <t>528</t>
        </is>
      </c>
      <c r="D126" s="1158" t="inlineStr">
        <is>
          <t>14</t>
        </is>
      </c>
      <c r="E126" s="1158" t="inlineStr">
        <is>
          <t>32</t>
        </is>
      </c>
      <c r="F126" s="1158" t="inlineStr">
        <is>
          <t>D</t>
        </is>
      </c>
      <c r="G126" t="inlineStr">
        <is>
          <t>Low Cost</t>
        </is>
      </c>
      <c r="H126" s="606" t="n">
        <v>52</v>
      </c>
      <c r="I126">
        <f>B126&amp;"|"&amp;F126&amp;"|"&amp;G126</f>
        <v/>
      </c>
      <c r="J126" t="inlineStr">
        <is>
          <t>14</t>
        </is>
      </c>
      <c r="K126" t="inlineStr">
        <is>
          <t>14</t>
        </is>
      </c>
      <c r="L126" t="inlineStr">
        <is>
          <t>14</t>
        </is>
      </c>
      <c r="M126" t="inlineStr">
        <is>
          <t>MVS Sec.14 p.32</t>
        </is>
      </c>
    </row>
    <row r="127">
      <c r="B127" s="1158" t="inlineStr">
        <is>
          <t>Service Garages (Commercial/Repair)</t>
        </is>
      </c>
      <c r="C127" s="1158" t="inlineStr">
        <is>
          <t>528</t>
        </is>
      </c>
      <c r="D127" s="1158" t="inlineStr">
        <is>
          <t>14</t>
        </is>
      </c>
      <c r="E127" s="1158" t="inlineStr">
        <is>
          <t>32</t>
        </is>
      </c>
      <c r="F127" s="1158" t="inlineStr">
        <is>
          <t>DPOLE</t>
        </is>
      </c>
      <c r="G127" t="inlineStr">
        <is>
          <t>Average</t>
        </is>
      </c>
      <c r="H127" s="606" t="n">
        <v>62</v>
      </c>
      <c r="I127">
        <f>B127&amp;"|"&amp;F127&amp;"|"&amp;G127</f>
        <v/>
      </c>
      <c r="J127" t="inlineStr">
        <is>
          <t>14</t>
        </is>
      </c>
      <c r="K127" t="inlineStr">
        <is>
          <t>14</t>
        </is>
      </c>
      <c r="L127" t="inlineStr">
        <is>
          <t>14</t>
        </is>
      </c>
      <c r="M127" t="inlineStr">
        <is>
          <t>MVS Sec.14 p.32</t>
        </is>
      </c>
    </row>
    <row r="128">
      <c r="B128" s="1158" t="inlineStr">
        <is>
          <t>Service Garages (Commercial/Repair)</t>
        </is>
      </c>
      <c r="C128" s="1158" t="inlineStr">
        <is>
          <t>528</t>
        </is>
      </c>
      <c r="D128" s="1158" t="inlineStr">
        <is>
          <t>14</t>
        </is>
      </c>
      <c r="E128" s="1158" t="inlineStr">
        <is>
          <t>32</t>
        </is>
      </c>
      <c r="F128" s="1158" t="inlineStr">
        <is>
          <t>DPOLE</t>
        </is>
      </c>
      <c r="G128" t="inlineStr">
        <is>
          <t>Low Cost</t>
        </is>
      </c>
      <c r="H128" s="606" t="n">
        <v>45.5</v>
      </c>
      <c r="I128">
        <f>B128&amp;"|"&amp;F128&amp;"|"&amp;G128</f>
        <v/>
      </c>
      <c r="J128" t="inlineStr">
        <is>
          <t>14</t>
        </is>
      </c>
      <c r="K128" t="inlineStr">
        <is>
          <t>14</t>
        </is>
      </c>
      <c r="L128" t="inlineStr">
        <is>
          <t>14</t>
        </is>
      </c>
      <c r="M128" t="inlineStr">
        <is>
          <t>MVS Sec.14 p.32</t>
        </is>
      </c>
    </row>
    <row r="129">
      <c r="B129" s="1158" t="inlineStr">
        <is>
          <t>Service Garages (Commercial/Repair)</t>
        </is>
      </c>
      <c r="C129" s="1158" t="inlineStr">
        <is>
          <t>528</t>
        </is>
      </c>
      <c r="D129" s="1158" t="inlineStr">
        <is>
          <t>14</t>
        </is>
      </c>
      <c r="E129" s="1158" t="inlineStr">
        <is>
          <t>32</t>
        </is>
      </c>
      <c r="F129" s="1158" t="inlineStr">
        <is>
          <t>S</t>
        </is>
      </c>
      <c r="G129" t="inlineStr">
        <is>
          <t>Good</t>
        </is>
      </c>
      <c r="H129" s="606" t="n">
        <v>94.5</v>
      </c>
      <c r="I129">
        <f>B129&amp;"|"&amp;F129&amp;"|"&amp;G129</f>
        <v/>
      </c>
      <c r="J129" t="inlineStr">
        <is>
          <t>14</t>
        </is>
      </c>
      <c r="K129" t="inlineStr">
        <is>
          <t>14</t>
        </is>
      </c>
      <c r="L129" t="inlineStr">
        <is>
          <t>14</t>
        </is>
      </c>
      <c r="M129" t="inlineStr">
        <is>
          <t>MVS Sec.14 p.32</t>
        </is>
      </c>
    </row>
    <row r="130">
      <c r="B130" s="1158" t="inlineStr">
        <is>
          <t>Service Garages (Commercial/Repair)</t>
        </is>
      </c>
      <c r="C130" s="1158" t="inlineStr">
        <is>
          <t>528</t>
        </is>
      </c>
      <c r="D130" s="1158" t="inlineStr">
        <is>
          <t>14</t>
        </is>
      </c>
      <c r="E130" s="1158" t="inlineStr">
        <is>
          <t>32</t>
        </is>
      </c>
      <c r="F130" s="1158" t="inlineStr">
        <is>
          <t>S</t>
        </is>
      </c>
      <c r="G130" t="inlineStr">
        <is>
          <t>Average</t>
        </is>
      </c>
      <c r="H130" s="606" t="n">
        <v>68</v>
      </c>
      <c r="I130">
        <f>B130&amp;"|"&amp;F130&amp;"|"&amp;G130</f>
        <v/>
      </c>
      <c r="J130" t="inlineStr">
        <is>
          <t>14</t>
        </is>
      </c>
      <c r="K130" t="inlineStr">
        <is>
          <t>14</t>
        </is>
      </c>
      <c r="L130" t="inlineStr">
        <is>
          <t>14</t>
        </is>
      </c>
      <c r="M130" t="inlineStr">
        <is>
          <t>MVS Sec.14 p.32</t>
        </is>
      </c>
    </row>
    <row r="131">
      <c r="B131" s="1158" t="inlineStr">
        <is>
          <t>Service Garages (Commercial/Repair)</t>
        </is>
      </c>
      <c r="C131" s="1158" t="inlineStr">
        <is>
          <t>528</t>
        </is>
      </c>
      <c r="D131" s="1158" t="inlineStr">
        <is>
          <t>14</t>
        </is>
      </c>
      <c r="E131" s="1158" t="inlineStr">
        <is>
          <t>32</t>
        </is>
      </c>
      <c r="F131" s="1158" t="inlineStr">
        <is>
          <t>S</t>
        </is>
      </c>
      <c r="G131" t="inlineStr">
        <is>
          <t>Low Cost</t>
        </is>
      </c>
      <c r="H131" s="606" t="n">
        <v>49.5</v>
      </c>
      <c r="I131">
        <f>B131&amp;"|"&amp;F131&amp;"|"&amp;G131</f>
        <v/>
      </c>
      <c r="J131" t="inlineStr">
        <is>
          <t>14</t>
        </is>
      </c>
      <c r="K131" t="inlineStr">
        <is>
          <t>14</t>
        </is>
      </c>
      <c r="L131" t="inlineStr">
        <is>
          <t>14</t>
        </is>
      </c>
      <c r="M131" t="inlineStr">
        <is>
          <t>MVS Sec.14 p.32</t>
        </is>
      </c>
    </row>
    <row r="132">
      <c r="B132" s="1158" t="inlineStr">
        <is>
          <t>Retail Stores</t>
        </is>
      </c>
      <c r="C132" s="1158" t="inlineStr">
        <is>
          <t>353</t>
        </is>
      </c>
      <c r="D132" s="1158" t="inlineStr">
        <is>
          <t>13</t>
        </is>
      </c>
      <c r="E132" s="1158" t="inlineStr">
        <is>
          <t>26</t>
        </is>
      </c>
      <c r="F132" s="1158" t="inlineStr">
        <is>
          <t>A</t>
        </is>
      </c>
      <c r="G132" t="inlineStr">
        <is>
          <t>Excellent</t>
        </is>
      </c>
      <c r="H132" s="606" t="n">
        <v>273</v>
      </c>
      <c r="I132">
        <f>B132&amp;"|"&amp;F132&amp;"|"&amp;G132</f>
        <v/>
      </c>
      <c r="J132" t="inlineStr">
        <is>
          <t>13</t>
        </is>
      </c>
      <c r="K132" t="inlineStr">
        <is>
          <t>13</t>
        </is>
      </c>
      <c r="L132" t="inlineStr">
        <is>
          <t>13</t>
        </is>
      </c>
      <c r="M132" t="inlineStr">
        <is>
          <t>MVS Sec.13 p.26</t>
        </is>
      </c>
    </row>
    <row r="133">
      <c r="B133" s="1158" t="inlineStr">
        <is>
          <t>Retail Stores</t>
        </is>
      </c>
      <c r="C133" s="1158" t="inlineStr">
        <is>
          <t>353</t>
        </is>
      </c>
      <c r="D133" s="1158" t="inlineStr">
        <is>
          <t>13</t>
        </is>
      </c>
      <c r="E133" s="1158" t="inlineStr">
        <is>
          <t>26</t>
        </is>
      </c>
      <c r="F133" s="1158" t="inlineStr">
        <is>
          <t>A</t>
        </is>
      </c>
      <c r="G133" t="inlineStr">
        <is>
          <t>Good</t>
        </is>
      </c>
      <c r="H133" s="606" t="n">
        <v>205</v>
      </c>
      <c r="I133">
        <f>B133&amp;"|"&amp;F133&amp;"|"&amp;G133</f>
        <v/>
      </c>
      <c r="J133" t="inlineStr">
        <is>
          <t>13</t>
        </is>
      </c>
      <c r="K133" t="inlineStr">
        <is>
          <t>13</t>
        </is>
      </c>
      <c r="L133" t="inlineStr">
        <is>
          <t>13</t>
        </is>
      </c>
      <c r="M133" t="inlineStr">
        <is>
          <t>MVS Sec.13 p.26</t>
        </is>
      </c>
    </row>
    <row r="134">
      <c r="B134" s="1158" t="inlineStr">
        <is>
          <t>Retail Stores</t>
        </is>
      </c>
      <c r="C134" s="1158" t="inlineStr">
        <is>
          <t>353</t>
        </is>
      </c>
      <c r="D134" s="1158" t="inlineStr">
        <is>
          <t>13</t>
        </is>
      </c>
      <c r="E134" s="1158" t="inlineStr">
        <is>
          <t>26</t>
        </is>
      </c>
      <c r="F134" s="1158" t="inlineStr">
        <is>
          <t>A</t>
        </is>
      </c>
      <c r="G134" t="inlineStr">
        <is>
          <t>Average</t>
        </is>
      </c>
      <c r="H134" s="606" t="n">
        <v>161</v>
      </c>
      <c r="I134">
        <f>B134&amp;"|"&amp;F134&amp;"|"&amp;G134</f>
        <v/>
      </c>
      <c r="J134" t="inlineStr">
        <is>
          <t>13</t>
        </is>
      </c>
      <c r="K134" t="inlineStr">
        <is>
          <t>13</t>
        </is>
      </c>
      <c r="L134" t="inlineStr">
        <is>
          <t>13</t>
        </is>
      </c>
      <c r="M134" t="inlineStr">
        <is>
          <t>MVS Sec.13 p.26</t>
        </is>
      </c>
    </row>
    <row r="135">
      <c r="B135" s="1158" t="inlineStr">
        <is>
          <t>Retail Stores</t>
        </is>
      </c>
      <c r="C135" s="1158" t="inlineStr">
        <is>
          <t>353</t>
        </is>
      </c>
      <c r="D135" s="1158" t="inlineStr">
        <is>
          <t>13</t>
        </is>
      </c>
      <c r="E135" s="1158" t="inlineStr">
        <is>
          <t>26</t>
        </is>
      </c>
      <c r="F135" s="1158" t="inlineStr">
        <is>
          <t>A</t>
        </is>
      </c>
      <c r="G135" t="inlineStr">
        <is>
          <t>Low Cost</t>
        </is>
      </c>
      <c r="H135" s="606" t="n">
        <v>123</v>
      </c>
      <c r="I135">
        <f>B135&amp;"|"&amp;F135&amp;"|"&amp;G135</f>
        <v/>
      </c>
      <c r="J135" t="inlineStr">
        <is>
          <t>13</t>
        </is>
      </c>
      <c r="K135" t="inlineStr">
        <is>
          <t>13</t>
        </is>
      </c>
      <c r="L135" t="inlineStr">
        <is>
          <t>13</t>
        </is>
      </c>
      <c r="M135" t="inlineStr">
        <is>
          <t>MVS Sec.13 p.26</t>
        </is>
      </c>
    </row>
    <row r="136">
      <c r="B136" s="1158" t="inlineStr">
        <is>
          <t>Retail Stores</t>
        </is>
      </c>
      <c r="C136" s="1158" t="inlineStr">
        <is>
          <t>353</t>
        </is>
      </c>
      <c r="D136" s="1158" t="inlineStr">
        <is>
          <t>13</t>
        </is>
      </c>
      <c r="E136" s="1158" t="inlineStr">
        <is>
          <t>26</t>
        </is>
      </c>
      <c r="F136" s="1158" t="inlineStr">
        <is>
          <t>B</t>
        </is>
      </c>
      <c r="G136" t="inlineStr">
        <is>
          <t>Excellent</t>
        </is>
      </c>
      <c r="H136" s="606" t="n">
        <v>248</v>
      </c>
      <c r="I136">
        <f>B136&amp;"|"&amp;F136&amp;"|"&amp;G136</f>
        <v/>
      </c>
      <c r="J136" t="inlineStr">
        <is>
          <t>13</t>
        </is>
      </c>
      <c r="K136" t="inlineStr">
        <is>
          <t>13</t>
        </is>
      </c>
      <c r="L136" t="inlineStr">
        <is>
          <t>13</t>
        </is>
      </c>
      <c r="M136" t="inlineStr">
        <is>
          <t>MVS Sec.13 p.26</t>
        </is>
      </c>
    </row>
    <row r="137">
      <c r="B137" s="1158" t="inlineStr">
        <is>
          <t>Retail Stores</t>
        </is>
      </c>
      <c r="C137" s="1158" t="inlineStr">
        <is>
          <t>353</t>
        </is>
      </c>
      <c r="D137" s="1158" t="inlineStr">
        <is>
          <t>13</t>
        </is>
      </c>
      <c r="E137" s="1158" t="inlineStr">
        <is>
          <t>26</t>
        </is>
      </c>
      <c r="F137" s="1158" t="inlineStr">
        <is>
          <t>B</t>
        </is>
      </c>
      <c r="G137" t="inlineStr">
        <is>
          <t>Good</t>
        </is>
      </c>
      <c r="H137" s="606" t="n">
        <v>185</v>
      </c>
      <c r="I137">
        <f>B137&amp;"|"&amp;F137&amp;"|"&amp;G137</f>
        <v/>
      </c>
      <c r="J137" t="inlineStr">
        <is>
          <t>13</t>
        </is>
      </c>
      <c r="K137" t="inlineStr">
        <is>
          <t>13</t>
        </is>
      </c>
      <c r="L137" t="inlineStr">
        <is>
          <t>13</t>
        </is>
      </c>
      <c r="M137" t="inlineStr">
        <is>
          <t>MVS Sec.13 p.26</t>
        </is>
      </c>
    </row>
    <row r="138">
      <c r="B138" s="1158" t="inlineStr">
        <is>
          <t>Retail Stores</t>
        </is>
      </c>
      <c r="C138" s="1158" t="inlineStr">
        <is>
          <t>353</t>
        </is>
      </c>
      <c r="D138" s="1158" t="inlineStr">
        <is>
          <t>13</t>
        </is>
      </c>
      <c r="E138" s="1158" t="inlineStr">
        <is>
          <t>26</t>
        </is>
      </c>
      <c r="F138" s="1158" t="inlineStr">
        <is>
          <t>B</t>
        </is>
      </c>
      <c r="G138" t="inlineStr">
        <is>
          <t>Average</t>
        </is>
      </c>
      <c r="H138" s="606" t="n">
        <v>145</v>
      </c>
      <c r="I138">
        <f>B138&amp;"|"&amp;F138&amp;"|"&amp;G138</f>
        <v/>
      </c>
      <c r="J138" t="inlineStr">
        <is>
          <t>13</t>
        </is>
      </c>
      <c r="K138" t="inlineStr">
        <is>
          <t>13</t>
        </is>
      </c>
      <c r="L138" t="inlineStr">
        <is>
          <t>13</t>
        </is>
      </c>
      <c r="M138" t="inlineStr">
        <is>
          <t>MVS Sec.13 p.26</t>
        </is>
      </c>
    </row>
    <row r="139">
      <c r="B139" s="1158" t="inlineStr">
        <is>
          <t>Retail Stores</t>
        </is>
      </c>
      <c r="C139" s="1158" t="inlineStr">
        <is>
          <t>353</t>
        </is>
      </c>
      <c r="D139" s="1158" t="inlineStr">
        <is>
          <t>13</t>
        </is>
      </c>
      <c r="E139" s="1158" t="inlineStr">
        <is>
          <t>26</t>
        </is>
      </c>
      <c r="F139" s="1158" t="inlineStr">
        <is>
          <t>B</t>
        </is>
      </c>
      <c r="G139" t="inlineStr">
        <is>
          <t>Low Cost</t>
        </is>
      </c>
      <c r="H139" s="606" t="n">
        <v>110</v>
      </c>
      <c r="I139">
        <f>B139&amp;"|"&amp;F139&amp;"|"&amp;G139</f>
        <v/>
      </c>
      <c r="J139" t="inlineStr">
        <is>
          <t>13</t>
        </is>
      </c>
      <c r="K139" t="inlineStr">
        <is>
          <t>13</t>
        </is>
      </c>
      <c r="L139" t="inlineStr">
        <is>
          <t>13</t>
        </is>
      </c>
      <c r="M139" t="inlineStr">
        <is>
          <t>MVS Sec.13 p.26</t>
        </is>
      </c>
    </row>
    <row r="140">
      <c r="B140" s="1158" t="inlineStr">
        <is>
          <t>Retail Stores</t>
        </is>
      </c>
      <c r="C140" s="1158" t="inlineStr">
        <is>
          <t>353</t>
        </is>
      </c>
      <c r="D140" s="1158" t="inlineStr">
        <is>
          <t>13</t>
        </is>
      </c>
      <c r="E140" s="1158" t="inlineStr">
        <is>
          <t>26</t>
        </is>
      </c>
      <c r="F140" s="1158" t="inlineStr">
        <is>
          <t>C</t>
        </is>
      </c>
      <c r="G140" t="inlineStr">
        <is>
          <t>Excellent</t>
        </is>
      </c>
      <c r="H140" s="606" t="n">
        <v>208</v>
      </c>
      <c r="I140">
        <f>B140&amp;"|"&amp;F140&amp;"|"&amp;G140</f>
        <v/>
      </c>
      <c r="J140" t="inlineStr">
        <is>
          <t>13</t>
        </is>
      </c>
      <c r="K140" t="inlineStr">
        <is>
          <t>13</t>
        </is>
      </c>
      <c r="L140" t="inlineStr">
        <is>
          <t>13</t>
        </is>
      </c>
      <c r="M140" t="inlineStr">
        <is>
          <t>MVS Sec.13 p.26</t>
        </is>
      </c>
    </row>
    <row r="141">
      <c r="B141" s="1158" t="inlineStr">
        <is>
          <t>Retail Stores</t>
        </is>
      </c>
      <c r="C141" s="1158" t="inlineStr">
        <is>
          <t>353</t>
        </is>
      </c>
      <c r="D141" s="1158" t="inlineStr">
        <is>
          <t>13</t>
        </is>
      </c>
      <c r="E141" s="1158" t="inlineStr">
        <is>
          <t>26</t>
        </is>
      </c>
      <c r="F141" s="1158" t="inlineStr">
        <is>
          <t>C</t>
        </is>
      </c>
      <c r="G141" t="inlineStr">
        <is>
          <t>Good</t>
        </is>
      </c>
      <c r="H141" s="606" t="n">
        <v>154</v>
      </c>
      <c r="I141">
        <f>B141&amp;"|"&amp;F141&amp;"|"&amp;G141</f>
        <v/>
      </c>
      <c r="J141" t="inlineStr">
        <is>
          <t>13</t>
        </is>
      </c>
      <c r="K141" t="inlineStr">
        <is>
          <t>13</t>
        </is>
      </c>
      <c r="L141" t="inlineStr">
        <is>
          <t>13</t>
        </is>
      </c>
      <c r="M141" t="inlineStr">
        <is>
          <t>MVS Sec.13 p.26</t>
        </is>
      </c>
    </row>
    <row r="142">
      <c r="B142" s="1158" t="inlineStr">
        <is>
          <t>Retail Stores</t>
        </is>
      </c>
      <c r="C142" s="1158" t="inlineStr">
        <is>
          <t>353</t>
        </is>
      </c>
      <c r="D142" s="1158" t="inlineStr">
        <is>
          <t>13</t>
        </is>
      </c>
      <c r="E142" s="1158" t="inlineStr">
        <is>
          <t>26</t>
        </is>
      </c>
      <c r="F142" s="1158" t="inlineStr">
        <is>
          <t>C</t>
        </is>
      </c>
      <c r="G142" t="inlineStr">
        <is>
          <t>Average</t>
        </is>
      </c>
      <c r="H142" s="606" t="n">
        <v>117</v>
      </c>
      <c r="I142">
        <f>B142&amp;"|"&amp;F142&amp;"|"&amp;G142</f>
        <v/>
      </c>
      <c r="J142" t="inlineStr">
        <is>
          <t>13</t>
        </is>
      </c>
      <c r="K142" t="inlineStr">
        <is>
          <t>13</t>
        </is>
      </c>
      <c r="L142" t="inlineStr">
        <is>
          <t>13</t>
        </is>
      </c>
      <c r="M142" t="inlineStr">
        <is>
          <t>MVS Sec.13 p.26</t>
        </is>
      </c>
    </row>
    <row r="143">
      <c r="B143" s="1158" t="inlineStr">
        <is>
          <t>Retail Stores</t>
        </is>
      </c>
      <c r="C143" s="1158" t="inlineStr">
        <is>
          <t>353</t>
        </is>
      </c>
      <c r="D143" s="1158" t="inlineStr">
        <is>
          <t>13</t>
        </is>
      </c>
      <c r="E143" s="1158" t="inlineStr">
        <is>
          <t>26</t>
        </is>
      </c>
      <c r="F143" s="1158" t="inlineStr">
        <is>
          <t>C</t>
        </is>
      </c>
      <c r="G143" t="inlineStr">
        <is>
          <t>Low Cost</t>
        </is>
      </c>
      <c r="H143" s="606" t="n">
        <v>84</v>
      </c>
      <c r="I143">
        <f>B143&amp;"|"&amp;F143&amp;"|"&amp;G143</f>
        <v/>
      </c>
      <c r="J143" t="inlineStr">
        <is>
          <t>13</t>
        </is>
      </c>
      <c r="K143" t="inlineStr">
        <is>
          <t>13</t>
        </is>
      </c>
      <c r="L143" t="inlineStr">
        <is>
          <t>13</t>
        </is>
      </c>
      <c r="M143" t="inlineStr">
        <is>
          <t>MVS Sec.13 p.26</t>
        </is>
      </c>
    </row>
    <row r="144">
      <c r="B144" s="1158" t="inlineStr">
        <is>
          <t>Retail Stores</t>
        </is>
      </c>
      <c r="C144" s="1158" t="inlineStr">
        <is>
          <t>353</t>
        </is>
      </c>
      <c r="D144" s="1158" t="inlineStr">
        <is>
          <t>13</t>
        </is>
      </c>
      <c r="E144" s="1158" t="inlineStr">
        <is>
          <t>26</t>
        </is>
      </c>
      <c r="F144" s="1158" t="inlineStr">
        <is>
          <t>D</t>
        </is>
      </c>
      <c r="G144" t="inlineStr">
        <is>
          <t>Excellent</t>
        </is>
      </c>
      <c r="H144" s="606" t="n">
        <v>198</v>
      </c>
      <c r="I144">
        <f>B144&amp;"|"&amp;F144&amp;"|"&amp;G144</f>
        <v/>
      </c>
      <c r="J144" t="inlineStr">
        <is>
          <t>13</t>
        </is>
      </c>
      <c r="K144" t="inlineStr">
        <is>
          <t>13</t>
        </is>
      </c>
      <c r="L144" t="inlineStr">
        <is>
          <t>13</t>
        </is>
      </c>
      <c r="M144" t="inlineStr">
        <is>
          <t>MVS Sec.13 p.26</t>
        </is>
      </c>
    </row>
    <row r="145">
      <c r="B145" s="1158" t="inlineStr">
        <is>
          <t>Retail Stores</t>
        </is>
      </c>
      <c r="C145" s="1158" t="inlineStr">
        <is>
          <t>353</t>
        </is>
      </c>
      <c r="D145" s="1158" t="inlineStr">
        <is>
          <t>13</t>
        </is>
      </c>
      <c r="E145" s="1158" t="inlineStr">
        <is>
          <t>26</t>
        </is>
      </c>
      <c r="F145" s="1158" t="inlineStr">
        <is>
          <t>D</t>
        </is>
      </c>
      <c r="G145" t="inlineStr">
        <is>
          <t>Good</t>
        </is>
      </c>
      <c r="H145" s="606" t="n">
        <v>145</v>
      </c>
      <c r="I145">
        <f>B145&amp;"|"&amp;F145&amp;"|"&amp;G145</f>
        <v/>
      </c>
      <c r="J145" t="inlineStr">
        <is>
          <t>13</t>
        </is>
      </c>
      <c r="K145" t="inlineStr">
        <is>
          <t>13</t>
        </is>
      </c>
      <c r="L145" t="inlineStr">
        <is>
          <t>13</t>
        </is>
      </c>
      <c r="M145" t="inlineStr">
        <is>
          <t>MVS Sec.13 p.26</t>
        </is>
      </c>
    </row>
    <row r="146">
      <c r="B146" s="1158" t="inlineStr">
        <is>
          <t>Retail Stores</t>
        </is>
      </c>
      <c r="C146" s="1158" t="inlineStr">
        <is>
          <t>353</t>
        </is>
      </c>
      <c r="D146" s="1158" t="inlineStr">
        <is>
          <t>13</t>
        </is>
      </c>
      <c r="E146" s="1158" t="inlineStr">
        <is>
          <t>26</t>
        </is>
      </c>
      <c r="F146" s="1158" t="inlineStr">
        <is>
          <t>D</t>
        </is>
      </c>
      <c r="G146" t="inlineStr">
        <is>
          <t>Average</t>
        </is>
      </c>
      <c r="H146" s="606" t="n">
        <v>110</v>
      </c>
      <c r="I146">
        <f>B146&amp;"|"&amp;F146&amp;"|"&amp;G146</f>
        <v/>
      </c>
      <c r="J146" t="inlineStr">
        <is>
          <t>13</t>
        </is>
      </c>
      <c r="K146" t="inlineStr">
        <is>
          <t>13</t>
        </is>
      </c>
      <c r="L146" t="inlineStr">
        <is>
          <t>13</t>
        </is>
      </c>
      <c r="M146" t="inlineStr">
        <is>
          <t>MVS Sec.13 p.26</t>
        </is>
      </c>
    </row>
    <row r="147">
      <c r="B147" s="1158" t="inlineStr">
        <is>
          <t>Retail Stores</t>
        </is>
      </c>
      <c r="C147" s="1158" t="inlineStr">
        <is>
          <t>353</t>
        </is>
      </c>
      <c r="D147" s="1158" t="inlineStr">
        <is>
          <t>13</t>
        </is>
      </c>
      <c r="E147" s="1158" t="inlineStr">
        <is>
          <t>26</t>
        </is>
      </c>
      <c r="F147" s="1158" t="inlineStr">
        <is>
          <t>D</t>
        </is>
      </c>
      <c r="G147" t="inlineStr">
        <is>
          <t>Low Cost</t>
        </is>
      </c>
      <c r="H147" s="606" t="n">
        <v>78.5</v>
      </c>
      <c r="I147">
        <f>B147&amp;"|"&amp;F147&amp;"|"&amp;G147</f>
        <v/>
      </c>
      <c r="J147" t="inlineStr">
        <is>
          <t>13</t>
        </is>
      </c>
      <c r="K147" t="inlineStr">
        <is>
          <t>13</t>
        </is>
      </c>
      <c r="L147" t="inlineStr">
        <is>
          <t>13</t>
        </is>
      </c>
      <c r="M147" t="inlineStr">
        <is>
          <t>MVS Sec.13 p.26</t>
        </is>
      </c>
    </row>
    <row r="148">
      <c r="B148" s="1158" t="inlineStr">
        <is>
          <t>Retail Stores</t>
        </is>
      </c>
      <c r="C148" s="1158" t="inlineStr">
        <is>
          <t>353</t>
        </is>
      </c>
      <c r="D148" s="1158" t="inlineStr">
        <is>
          <t>13</t>
        </is>
      </c>
      <c r="E148" s="1158" t="inlineStr">
        <is>
          <t>26</t>
        </is>
      </c>
      <c r="F148" s="1158" t="inlineStr">
        <is>
          <t>DPOLE</t>
        </is>
      </c>
      <c r="G148" t="inlineStr">
        <is>
          <t>Low Cost</t>
        </is>
      </c>
      <c r="H148" s="606" t="n">
        <v>73</v>
      </c>
      <c r="I148">
        <f>B148&amp;"|"&amp;F148&amp;"|"&amp;G148</f>
        <v/>
      </c>
      <c r="J148" t="inlineStr">
        <is>
          <t>13</t>
        </is>
      </c>
      <c r="K148" t="inlineStr">
        <is>
          <t>13</t>
        </is>
      </c>
      <c r="L148" t="inlineStr">
        <is>
          <t>13</t>
        </is>
      </c>
      <c r="M148" t="inlineStr">
        <is>
          <t>MVS Sec.13 p.26</t>
        </is>
      </c>
    </row>
    <row r="149">
      <c r="B149" s="1158" t="inlineStr">
        <is>
          <t>Retail Stores</t>
        </is>
      </c>
      <c r="C149" s="1158" t="inlineStr">
        <is>
          <t>353</t>
        </is>
      </c>
      <c r="D149" s="1158" t="inlineStr">
        <is>
          <t>13</t>
        </is>
      </c>
      <c r="E149" s="1158" t="inlineStr">
        <is>
          <t>26</t>
        </is>
      </c>
      <c r="F149" s="1158" t="inlineStr">
        <is>
          <t>S</t>
        </is>
      </c>
      <c r="G149" t="inlineStr">
        <is>
          <t>Good</t>
        </is>
      </c>
      <c r="H149" s="606" t="n">
        <v>146</v>
      </c>
      <c r="I149">
        <f>B149&amp;"|"&amp;F149&amp;"|"&amp;G149</f>
        <v/>
      </c>
      <c r="J149" t="inlineStr">
        <is>
          <t>13</t>
        </is>
      </c>
      <c r="K149" t="inlineStr">
        <is>
          <t>13</t>
        </is>
      </c>
      <c r="L149" t="inlineStr">
        <is>
          <t>13</t>
        </is>
      </c>
      <c r="M149" t="inlineStr">
        <is>
          <t>MVS Sec.13 p.26</t>
        </is>
      </c>
    </row>
    <row r="150">
      <c r="B150" s="1158" t="inlineStr">
        <is>
          <t>Retail Stores</t>
        </is>
      </c>
      <c r="C150" s="1158" t="inlineStr">
        <is>
          <t>353</t>
        </is>
      </c>
      <c r="D150" s="1158" t="inlineStr">
        <is>
          <t>13</t>
        </is>
      </c>
      <c r="E150" s="1158" t="inlineStr">
        <is>
          <t>26</t>
        </is>
      </c>
      <c r="F150" s="1158" t="inlineStr">
        <is>
          <t>S</t>
        </is>
      </c>
      <c r="G150" t="inlineStr">
        <is>
          <t>Average</t>
        </is>
      </c>
      <c r="H150" s="606" t="n">
        <v>108</v>
      </c>
      <c r="I150">
        <f>B150&amp;"|"&amp;F150&amp;"|"&amp;G150</f>
        <v/>
      </c>
      <c r="J150" t="inlineStr">
        <is>
          <t>13</t>
        </is>
      </c>
      <c r="K150" t="inlineStr">
        <is>
          <t>13</t>
        </is>
      </c>
      <c r="L150" t="inlineStr">
        <is>
          <t>13</t>
        </is>
      </c>
      <c r="M150" t="inlineStr">
        <is>
          <t>MVS Sec.13 p.26</t>
        </is>
      </c>
    </row>
    <row r="151">
      <c r="B151" s="1158" t="inlineStr">
        <is>
          <t>Retail Stores</t>
        </is>
      </c>
      <c r="C151" s="1158" t="inlineStr">
        <is>
          <t>353</t>
        </is>
      </c>
      <c r="D151" s="1158" t="inlineStr">
        <is>
          <t>13</t>
        </is>
      </c>
      <c r="E151" s="1158" t="inlineStr">
        <is>
          <t>26</t>
        </is>
      </c>
      <c r="F151" s="1158" t="inlineStr">
        <is>
          <t>S</t>
        </is>
      </c>
      <c r="G151" t="inlineStr">
        <is>
          <t>Low Cost</t>
        </is>
      </c>
      <c r="H151" s="606" t="n">
        <v>76</v>
      </c>
      <c r="I151">
        <f>B151&amp;"|"&amp;F151&amp;"|"&amp;G151</f>
        <v/>
      </c>
      <c r="J151" t="inlineStr">
        <is>
          <t>13</t>
        </is>
      </c>
      <c r="K151" t="inlineStr">
        <is>
          <t>13</t>
        </is>
      </c>
      <c r="L151" t="inlineStr">
        <is>
          <t>13</t>
        </is>
      </c>
      <c r="M151" t="inlineStr">
        <is>
          <t>MVS Sec.13 p.26</t>
        </is>
      </c>
    </row>
    <row r="152">
      <c r="B152" s="1158" t="inlineStr">
        <is>
          <t>Neighborhood Shopping Centers</t>
        </is>
      </c>
      <c r="C152" s="1158" t="inlineStr">
        <is>
          <t>412</t>
        </is>
      </c>
      <c r="D152" s="1158" t="inlineStr">
        <is>
          <t>13</t>
        </is>
      </c>
      <c r="E152" s="1158" t="inlineStr">
        <is>
          <t>33</t>
        </is>
      </c>
      <c r="F152" s="1158" t="inlineStr">
        <is>
          <t>C</t>
        </is>
      </c>
      <c r="G152" t="inlineStr">
        <is>
          <t>Good</t>
        </is>
      </c>
      <c r="H152" s="606" t="n">
        <v>152</v>
      </c>
      <c r="I152">
        <f>B152&amp;"|"&amp;F152&amp;"|"&amp;G152</f>
        <v/>
      </c>
      <c r="J152" t="inlineStr">
        <is>
          <t>13</t>
        </is>
      </c>
      <c r="K152" t="inlineStr">
        <is>
          <t>13</t>
        </is>
      </c>
      <c r="L152" t="inlineStr">
        <is>
          <t>13</t>
        </is>
      </c>
      <c r="M152" t="inlineStr">
        <is>
          <t>MVS Sec.13 p.33</t>
        </is>
      </c>
    </row>
    <row r="153">
      <c r="B153" s="1158" t="inlineStr">
        <is>
          <t>Neighborhood Shopping Centers</t>
        </is>
      </c>
      <c r="C153" s="1158" t="inlineStr">
        <is>
          <t>412</t>
        </is>
      </c>
      <c r="D153" s="1158" t="inlineStr">
        <is>
          <t>13</t>
        </is>
      </c>
      <c r="E153" s="1158" t="inlineStr">
        <is>
          <t>33</t>
        </is>
      </c>
      <c r="F153" s="1158" t="inlineStr">
        <is>
          <t>C</t>
        </is>
      </c>
      <c r="G153" t="inlineStr">
        <is>
          <t>Average</t>
        </is>
      </c>
      <c r="H153" s="606" t="n">
        <v>127</v>
      </c>
      <c r="I153">
        <f>B153&amp;"|"&amp;F153&amp;"|"&amp;G153</f>
        <v/>
      </c>
      <c r="J153" t="inlineStr">
        <is>
          <t>13</t>
        </is>
      </c>
      <c r="K153" t="inlineStr">
        <is>
          <t>13</t>
        </is>
      </c>
      <c r="L153" t="inlineStr">
        <is>
          <t>13</t>
        </is>
      </c>
      <c r="M153" t="inlineStr">
        <is>
          <t>MVS Sec.13 p.33</t>
        </is>
      </c>
    </row>
    <row r="154">
      <c r="B154" s="1158" t="inlineStr">
        <is>
          <t>Neighborhood Shopping Centers</t>
        </is>
      </c>
      <c r="C154" s="1158" t="inlineStr">
        <is>
          <t>412</t>
        </is>
      </c>
      <c r="D154" s="1158" t="inlineStr">
        <is>
          <t>13</t>
        </is>
      </c>
      <c r="E154" s="1158" t="inlineStr">
        <is>
          <t>33</t>
        </is>
      </c>
      <c r="F154" s="1158" t="inlineStr">
        <is>
          <t>C</t>
        </is>
      </c>
      <c r="G154" t="inlineStr">
        <is>
          <t>Low Cost</t>
        </is>
      </c>
      <c r="H154" s="606" t="n">
        <v>100</v>
      </c>
      <c r="I154">
        <f>B154&amp;"|"&amp;F154&amp;"|"&amp;G154</f>
        <v/>
      </c>
      <c r="J154" t="inlineStr">
        <is>
          <t>13</t>
        </is>
      </c>
      <c r="K154" t="inlineStr">
        <is>
          <t>13</t>
        </is>
      </c>
      <c r="L154" t="inlineStr">
        <is>
          <t>13</t>
        </is>
      </c>
      <c r="M154" t="inlineStr">
        <is>
          <t>MVS Sec.13 p.33</t>
        </is>
      </c>
    </row>
    <row r="155">
      <c r="B155" s="1158" t="inlineStr">
        <is>
          <t>Neighborhood Shopping Centers</t>
        </is>
      </c>
      <c r="C155" s="1158" t="inlineStr">
        <is>
          <t>412</t>
        </is>
      </c>
      <c r="D155" s="1158" t="inlineStr">
        <is>
          <t>13</t>
        </is>
      </c>
      <c r="E155" s="1158" t="inlineStr">
        <is>
          <t>33</t>
        </is>
      </c>
      <c r="F155" s="1158" t="inlineStr">
        <is>
          <t>CMILL</t>
        </is>
      </c>
      <c r="G155" t="inlineStr">
        <is>
          <t>Average</t>
        </is>
      </c>
      <c r="H155" s="606" t="n">
        <v>145</v>
      </c>
      <c r="I155">
        <f>B155&amp;"|"&amp;F155&amp;"|"&amp;G155</f>
        <v/>
      </c>
      <c r="J155" t="inlineStr">
        <is>
          <t>13</t>
        </is>
      </c>
      <c r="K155" t="inlineStr">
        <is>
          <t>13</t>
        </is>
      </c>
      <c r="L155" t="inlineStr">
        <is>
          <t>13</t>
        </is>
      </c>
      <c r="M155" t="inlineStr">
        <is>
          <t>MVS Sec.13 p.33</t>
        </is>
      </c>
    </row>
    <row r="156">
      <c r="B156" s="1158" t="inlineStr">
        <is>
          <t>Neighborhood Shopping Centers</t>
        </is>
      </c>
      <c r="C156" s="1158" t="inlineStr">
        <is>
          <t>412</t>
        </is>
      </c>
      <c r="D156" s="1158" t="inlineStr">
        <is>
          <t>13</t>
        </is>
      </c>
      <c r="E156" s="1158" t="inlineStr">
        <is>
          <t>33</t>
        </is>
      </c>
      <c r="F156" s="1158" t="inlineStr">
        <is>
          <t>D</t>
        </is>
      </c>
      <c r="G156" t="inlineStr">
        <is>
          <t>Good</t>
        </is>
      </c>
      <c r="H156" s="606" t="n">
        <v>143</v>
      </c>
      <c r="I156">
        <f>B156&amp;"|"&amp;F156&amp;"|"&amp;G156</f>
        <v/>
      </c>
      <c r="J156" t="inlineStr">
        <is>
          <t>13</t>
        </is>
      </c>
      <c r="K156" t="inlineStr">
        <is>
          <t>13</t>
        </is>
      </c>
      <c r="L156" t="inlineStr">
        <is>
          <t>13</t>
        </is>
      </c>
      <c r="M156" t="inlineStr">
        <is>
          <t>MVS Sec.13 p.33</t>
        </is>
      </c>
    </row>
    <row r="157">
      <c r="B157" s="1158" t="inlineStr">
        <is>
          <t>Neighborhood Shopping Centers</t>
        </is>
      </c>
      <c r="C157" s="1158" t="inlineStr">
        <is>
          <t>412</t>
        </is>
      </c>
      <c r="D157" s="1158" t="inlineStr">
        <is>
          <t>13</t>
        </is>
      </c>
      <c r="E157" s="1158" t="inlineStr">
        <is>
          <t>33</t>
        </is>
      </c>
      <c r="F157" s="1158" t="inlineStr">
        <is>
          <t>D</t>
        </is>
      </c>
      <c r="G157" t="inlineStr">
        <is>
          <t>Average</t>
        </is>
      </c>
      <c r="H157" s="606" t="n">
        <v>119</v>
      </c>
      <c r="I157">
        <f>B157&amp;"|"&amp;F157&amp;"|"&amp;G157</f>
        <v/>
      </c>
      <c r="J157" t="inlineStr">
        <is>
          <t>13</t>
        </is>
      </c>
      <c r="K157" t="inlineStr">
        <is>
          <t>13</t>
        </is>
      </c>
      <c r="L157" t="inlineStr">
        <is>
          <t>13</t>
        </is>
      </c>
      <c r="M157" t="inlineStr">
        <is>
          <t>MVS Sec.13 p.33</t>
        </is>
      </c>
    </row>
    <row r="158">
      <c r="B158" s="1158" t="inlineStr">
        <is>
          <t>Neighborhood Shopping Centers</t>
        </is>
      </c>
      <c r="C158" s="1158" t="inlineStr">
        <is>
          <t>412</t>
        </is>
      </c>
      <c r="D158" s="1158" t="inlineStr">
        <is>
          <t>13</t>
        </is>
      </c>
      <c r="E158" s="1158" t="inlineStr">
        <is>
          <t>33</t>
        </is>
      </c>
      <c r="F158" s="1158" t="inlineStr">
        <is>
          <t>D</t>
        </is>
      </c>
      <c r="G158" t="inlineStr">
        <is>
          <t>Low Cost</t>
        </is>
      </c>
      <c r="H158" s="606" t="n">
        <v>93</v>
      </c>
      <c r="I158">
        <f>B158&amp;"|"&amp;F158&amp;"|"&amp;G158</f>
        <v/>
      </c>
      <c r="J158" t="inlineStr">
        <is>
          <t>13</t>
        </is>
      </c>
      <c r="K158" t="inlineStr">
        <is>
          <t>13</t>
        </is>
      </c>
      <c r="L158" t="inlineStr">
        <is>
          <t>13</t>
        </is>
      </c>
      <c r="M158" t="inlineStr">
        <is>
          <t>MVS Sec.13 p.33</t>
        </is>
      </c>
    </row>
    <row r="159">
      <c r="B159" s="1158" t="inlineStr">
        <is>
          <t>Neighborhood Shopping Centers</t>
        </is>
      </c>
      <c r="C159" s="1158" t="inlineStr">
        <is>
          <t>412</t>
        </is>
      </c>
      <c r="D159" s="1158" t="inlineStr">
        <is>
          <t>13</t>
        </is>
      </c>
      <c r="E159" s="1158" t="inlineStr">
        <is>
          <t>33</t>
        </is>
      </c>
      <c r="F159" s="1158" t="inlineStr">
        <is>
          <t>DPOLE</t>
        </is>
      </c>
      <c r="G159" t="inlineStr">
        <is>
          <t>Low Cost</t>
        </is>
      </c>
      <c r="H159" s="606" t="n">
        <v>88.5</v>
      </c>
      <c r="I159">
        <f>B159&amp;"|"&amp;F159&amp;"|"&amp;G159</f>
        <v/>
      </c>
      <c r="J159" t="inlineStr">
        <is>
          <t>13</t>
        </is>
      </c>
      <c r="K159" t="inlineStr">
        <is>
          <t>13</t>
        </is>
      </c>
      <c r="L159" t="inlineStr">
        <is>
          <t>13</t>
        </is>
      </c>
      <c r="M159" t="inlineStr">
        <is>
          <t>MVS Sec.13 p.33</t>
        </is>
      </c>
    </row>
    <row r="160">
      <c r="B160" s="1158" t="inlineStr">
        <is>
          <t>Neighborhood Shopping Centers</t>
        </is>
      </c>
      <c r="C160" s="1158" t="inlineStr">
        <is>
          <t>412</t>
        </is>
      </c>
      <c r="D160" s="1158" t="inlineStr">
        <is>
          <t>13</t>
        </is>
      </c>
      <c r="E160" s="1158" t="inlineStr">
        <is>
          <t>33</t>
        </is>
      </c>
      <c r="F160" s="1158" t="inlineStr">
        <is>
          <t>S</t>
        </is>
      </c>
      <c r="G160" t="inlineStr">
        <is>
          <t>Average</t>
        </is>
      </c>
      <c r="H160" s="606" t="n">
        <v>116</v>
      </c>
      <c r="I160">
        <f>B160&amp;"|"&amp;F160&amp;"|"&amp;G160</f>
        <v/>
      </c>
      <c r="J160" t="inlineStr">
        <is>
          <t>13</t>
        </is>
      </c>
      <c r="K160" t="inlineStr">
        <is>
          <t>13</t>
        </is>
      </c>
      <c r="L160" t="inlineStr">
        <is>
          <t>13</t>
        </is>
      </c>
      <c r="M160" t="inlineStr">
        <is>
          <t>MVS Sec.13 p.33</t>
        </is>
      </c>
    </row>
    <row r="161">
      <c r="B161" s="1158" t="inlineStr">
        <is>
          <t>Neighborhood Shopping Centers</t>
        </is>
      </c>
      <c r="C161" s="1158" t="inlineStr">
        <is>
          <t>412</t>
        </is>
      </c>
      <c r="D161" s="1158" t="inlineStr">
        <is>
          <t>13</t>
        </is>
      </c>
      <c r="E161" s="1158" t="inlineStr">
        <is>
          <t>33</t>
        </is>
      </c>
      <c r="F161" s="1158" t="inlineStr">
        <is>
          <t>S</t>
        </is>
      </c>
      <c r="G161" t="inlineStr">
        <is>
          <t>Low Cost</t>
        </is>
      </c>
      <c r="H161" s="606" t="n">
        <v>91</v>
      </c>
      <c r="I161">
        <f>B161&amp;"|"&amp;F161&amp;"|"&amp;G161</f>
        <v/>
      </c>
      <c r="J161" t="inlineStr">
        <is>
          <t>13</t>
        </is>
      </c>
      <c r="K161" t="inlineStr">
        <is>
          <t>13</t>
        </is>
      </c>
      <c r="L161" t="inlineStr">
        <is>
          <t>13</t>
        </is>
      </c>
      <c r="M161" t="inlineStr">
        <is>
          <t>MVS Sec.13 p.33</t>
        </is>
      </c>
    </row>
    <row r="162">
      <c r="B162" s="1158" t="inlineStr">
        <is>
          <t>Community Shopping Centers</t>
        </is>
      </c>
      <c r="C162" s="1158" t="inlineStr">
        <is>
          <t>413</t>
        </is>
      </c>
      <c r="D162" s="1158" t="inlineStr">
        <is>
          <t>13</t>
        </is>
      </c>
      <c r="E162" s="1158" t="inlineStr">
        <is>
          <t>34</t>
        </is>
      </c>
      <c r="F162" s="1158" t="inlineStr">
        <is>
          <t>C</t>
        </is>
      </c>
      <c r="G162" t="inlineStr">
        <is>
          <t>Excellent</t>
        </is>
      </c>
      <c r="H162" s="606" t="n">
        <v>207</v>
      </c>
      <c r="I162">
        <f>B162&amp;"|"&amp;F162&amp;"|"&amp;G162</f>
        <v/>
      </c>
      <c r="J162" t="inlineStr">
        <is>
          <t>13</t>
        </is>
      </c>
      <c r="K162" t="inlineStr">
        <is>
          <t>13</t>
        </is>
      </c>
      <c r="L162" t="inlineStr">
        <is>
          <t>13</t>
        </is>
      </c>
      <c r="M162" t="inlineStr">
        <is>
          <t>MVS Sec.13 p.34</t>
        </is>
      </c>
    </row>
    <row r="163">
      <c r="B163" s="1158" t="inlineStr">
        <is>
          <t>Community Shopping Centers</t>
        </is>
      </c>
      <c r="C163" s="1158" t="inlineStr">
        <is>
          <t>413</t>
        </is>
      </c>
      <c r="D163" s="1158" t="inlineStr">
        <is>
          <t>13</t>
        </is>
      </c>
      <c r="E163" s="1158" t="inlineStr">
        <is>
          <t>34</t>
        </is>
      </c>
      <c r="F163" s="1158" t="inlineStr">
        <is>
          <t>C</t>
        </is>
      </c>
      <c r="G163" t="inlineStr">
        <is>
          <t>Good</t>
        </is>
      </c>
      <c r="H163" s="606" t="n">
        <v>169</v>
      </c>
      <c r="I163">
        <f>B163&amp;"|"&amp;F163&amp;"|"&amp;G163</f>
        <v/>
      </c>
      <c r="J163" t="inlineStr">
        <is>
          <t>13</t>
        </is>
      </c>
      <c r="K163" t="inlineStr">
        <is>
          <t>13</t>
        </is>
      </c>
      <c r="L163" t="inlineStr">
        <is>
          <t>13</t>
        </is>
      </c>
      <c r="M163" t="inlineStr">
        <is>
          <t>MVS Sec.13 p.34</t>
        </is>
      </c>
    </row>
    <row r="164">
      <c r="B164" s="1158" t="inlineStr">
        <is>
          <t>Community Shopping Centers</t>
        </is>
      </c>
      <c r="C164" s="1158" t="inlineStr">
        <is>
          <t>413</t>
        </is>
      </c>
      <c r="D164" s="1158" t="inlineStr">
        <is>
          <t>13</t>
        </is>
      </c>
      <c r="E164" s="1158" t="inlineStr">
        <is>
          <t>34</t>
        </is>
      </c>
      <c r="F164" s="1158" t="inlineStr">
        <is>
          <t>C</t>
        </is>
      </c>
      <c r="G164" t="inlineStr">
        <is>
          <t>Average</t>
        </is>
      </c>
      <c r="H164" s="606" t="n">
        <v>135</v>
      </c>
      <c r="I164">
        <f>B164&amp;"|"&amp;F164&amp;"|"&amp;G164</f>
        <v/>
      </c>
      <c r="J164" t="inlineStr">
        <is>
          <t>13</t>
        </is>
      </c>
      <c r="K164" t="inlineStr">
        <is>
          <t>13</t>
        </is>
      </c>
      <c r="L164" t="inlineStr">
        <is>
          <t>13</t>
        </is>
      </c>
      <c r="M164" t="inlineStr">
        <is>
          <t>MVS Sec.13 p.34</t>
        </is>
      </c>
    </row>
    <row r="165">
      <c r="B165" s="1158" t="inlineStr">
        <is>
          <t>Community Shopping Centers</t>
        </is>
      </c>
      <c r="C165" s="1158" t="inlineStr">
        <is>
          <t>413</t>
        </is>
      </c>
      <c r="D165" s="1158" t="inlineStr">
        <is>
          <t>13</t>
        </is>
      </c>
      <c r="E165" s="1158" t="inlineStr">
        <is>
          <t>34</t>
        </is>
      </c>
      <c r="F165" s="1158" t="inlineStr">
        <is>
          <t>C</t>
        </is>
      </c>
      <c r="G165" t="inlineStr">
        <is>
          <t>Low Cost</t>
        </is>
      </c>
      <c r="H165" s="606" t="n">
        <v>111</v>
      </c>
      <c r="I165">
        <f>B165&amp;"|"&amp;F165&amp;"|"&amp;G165</f>
        <v/>
      </c>
      <c r="J165" t="inlineStr">
        <is>
          <t>13</t>
        </is>
      </c>
      <c r="K165" t="inlineStr">
        <is>
          <t>13</t>
        </is>
      </c>
      <c r="L165" t="inlineStr">
        <is>
          <t>13</t>
        </is>
      </c>
      <c r="M165" t="inlineStr">
        <is>
          <t>MVS Sec.13 p.34</t>
        </is>
      </c>
    </row>
    <row r="166">
      <c r="B166" s="1158" t="inlineStr">
        <is>
          <t>Community Shopping Centers</t>
        </is>
      </c>
      <c r="C166" s="1158" t="inlineStr">
        <is>
          <t>413</t>
        </is>
      </c>
      <c r="D166" s="1158" t="inlineStr">
        <is>
          <t>13</t>
        </is>
      </c>
      <c r="E166" s="1158" t="inlineStr">
        <is>
          <t>34</t>
        </is>
      </c>
      <c r="F166" s="1158" t="inlineStr">
        <is>
          <t>D</t>
        </is>
      </c>
      <c r="G166" t="inlineStr">
        <is>
          <t>Excellent</t>
        </is>
      </c>
      <c r="H166" s="606" t="n">
        <v>195</v>
      </c>
      <c r="I166">
        <f>B166&amp;"|"&amp;F166&amp;"|"&amp;G166</f>
        <v/>
      </c>
      <c r="J166" t="inlineStr">
        <is>
          <t>13</t>
        </is>
      </c>
      <c r="K166" t="inlineStr">
        <is>
          <t>13</t>
        </is>
      </c>
      <c r="L166" t="inlineStr">
        <is>
          <t>13</t>
        </is>
      </c>
      <c r="M166" t="inlineStr">
        <is>
          <t>MVS Sec.13 p.34</t>
        </is>
      </c>
    </row>
    <row r="167">
      <c r="B167" s="1158" t="inlineStr">
        <is>
          <t>Community Shopping Centers</t>
        </is>
      </c>
      <c r="C167" s="1158" t="inlineStr">
        <is>
          <t>413</t>
        </is>
      </c>
      <c r="D167" s="1158" t="inlineStr">
        <is>
          <t>13</t>
        </is>
      </c>
      <c r="E167" s="1158" t="inlineStr">
        <is>
          <t>34</t>
        </is>
      </c>
      <c r="F167" s="1158" t="inlineStr">
        <is>
          <t>D</t>
        </is>
      </c>
      <c r="G167" t="inlineStr">
        <is>
          <t>Good</t>
        </is>
      </c>
      <c r="H167" s="606" t="n">
        <v>159</v>
      </c>
      <c r="I167">
        <f>B167&amp;"|"&amp;F167&amp;"|"&amp;G167</f>
        <v/>
      </c>
      <c r="J167" t="inlineStr">
        <is>
          <t>13</t>
        </is>
      </c>
      <c r="K167" t="inlineStr">
        <is>
          <t>13</t>
        </is>
      </c>
      <c r="L167" t="inlineStr">
        <is>
          <t>13</t>
        </is>
      </c>
      <c r="M167" t="inlineStr">
        <is>
          <t>MVS Sec.13 p.34</t>
        </is>
      </c>
    </row>
    <row r="168">
      <c r="B168" s="1158" t="inlineStr">
        <is>
          <t>Community Shopping Centers</t>
        </is>
      </c>
      <c r="C168" s="1158" t="inlineStr">
        <is>
          <t>413</t>
        </is>
      </c>
      <c r="D168" s="1158" t="inlineStr">
        <is>
          <t>13</t>
        </is>
      </c>
      <c r="E168" s="1158" t="inlineStr">
        <is>
          <t>34</t>
        </is>
      </c>
      <c r="F168" s="1158" t="inlineStr">
        <is>
          <t>D</t>
        </is>
      </c>
      <c r="G168" t="inlineStr">
        <is>
          <t>Average</t>
        </is>
      </c>
      <c r="H168" s="606" t="n">
        <v>126</v>
      </c>
      <c r="I168">
        <f>B168&amp;"|"&amp;F168&amp;"|"&amp;G168</f>
        <v/>
      </c>
      <c r="J168" t="inlineStr">
        <is>
          <t>13</t>
        </is>
      </c>
      <c r="K168" t="inlineStr">
        <is>
          <t>13</t>
        </is>
      </c>
      <c r="L168" t="inlineStr">
        <is>
          <t>13</t>
        </is>
      </c>
      <c r="M168" t="inlineStr">
        <is>
          <t>MVS Sec.13 p.34</t>
        </is>
      </c>
    </row>
    <row r="169">
      <c r="B169" s="1158" t="inlineStr">
        <is>
          <t>Community Shopping Centers</t>
        </is>
      </c>
      <c r="C169" s="1158" t="inlineStr">
        <is>
          <t>413</t>
        </is>
      </c>
      <c r="D169" s="1158" t="inlineStr">
        <is>
          <t>13</t>
        </is>
      </c>
      <c r="E169" s="1158" t="inlineStr">
        <is>
          <t>34</t>
        </is>
      </c>
      <c r="F169" s="1158" t="inlineStr">
        <is>
          <t>S</t>
        </is>
      </c>
      <c r="G169" t="inlineStr">
        <is>
          <t>Average</t>
        </is>
      </c>
      <c r="H169" s="606" t="n">
        <v>124</v>
      </c>
      <c r="I169">
        <f>B169&amp;"|"&amp;F169&amp;"|"&amp;G169</f>
        <v/>
      </c>
      <c r="J169" t="inlineStr">
        <is>
          <t>13</t>
        </is>
      </c>
      <c r="K169" t="inlineStr">
        <is>
          <t>13</t>
        </is>
      </c>
      <c r="L169" t="inlineStr">
        <is>
          <t>13</t>
        </is>
      </c>
      <c r="M169" t="inlineStr">
        <is>
          <t>MVS Sec.13 p.34</t>
        </is>
      </c>
    </row>
    <row r="170">
      <c r="B170" s="1158" t="inlineStr">
        <is>
          <t>Regional Shopping Centers</t>
        </is>
      </c>
      <c r="C170" s="1158" t="inlineStr">
        <is>
          <t>414</t>
        </is>
      </c>
      <c r="D170" s="1158" t="inlineStr">
        <is>
          <t>13</t>
        </is>
      </c>
      <c r="E170" s="1158" t="inlineStr">
        <is>
          <t>35</t>
        </is>
      </c>
      <c r="F170" s="1158" t="inlineStr">
        <is>
          <t>A-B</t>
        </is>
      </c>
      <c r="G170" t="inlineStr">
        <is>
          <t>Excellent*</t>
        </is>
      </c>
      <c r="H170" s="606" t="n">
        <v>284</v>
      </c>
      <c r="I170">
        <f>B170&amp;"|"&amp;F170&amp;"|"&amp;G170</f>
        <v/>
      </c>
      <c r="J170" t="inlineStr">
        <is>
          <t>13</t>
        </is>
      </c>
      <c r="K170" t="inlineStr">
        <is>
          <t>13</t>
        </is>
      </c>
      <c r="L170" t="inlineStr">
        <is>
          <t>13</t>
        </is>
      </c>
      <c r="M170" t="inlineStr">
        <is>
          <t>MVS Sec.13 p.35</t>
        </is>
      </c>
    </row>
    <row r="171">
      <c r="B171" s="1158" t="inlineStr">
        <is>
          <t>Regional Shopping Centers</t>
        </is>
      </c>
      <c r="C171" s="1158" t="inlineStr">
        <is>
          <t>414</t>
        </is>
      </c>
      <c r="D171" s="1158" t="inlineStr">
        <is>
          <t>13</t>
        </is>
      </c>
      <c r="E171" s="1158" t="inlineStr">
        <is>
          <t>35</t>
        </is>
      </c>
      <c r="F171" s="1158" t="inlineStr">
        <is>
          <t>A-B</t>
        </is>
      </c>
      <c r="G171" t="inlineStr">
        <is>
          <t>Good*</t>
        </is>
      </c>
      <c r="H171" s="606" t="n">
        <v>233</v>
      </c>
      <c r="I171">
        <f>B171&amp;"|"&amp;F171&amp;"|"&amp;G171</f>
        <v/>
      </c>
      <c r="J171" t="inlineStr">
        <is>
          <t>13</t>
        </is>
      </c>
      <c r="K171" t="inlineStr">
        <is>
          <t>13</t>
        </is>
      </c>
      <c r="L171" t="inlineStr">
        <is>
          <t>13</t>
        </is>
      </c>
      <c r="M171" t="inlineStr">
        <is>
          <t>MVS Sec.13 p.35</t>
        </is>
      </c>
    </row>
    <row r="172">
      <c r="B172" s="1158" t="inlineStr">
        <is>
          <t>Regional Shopping Centers</t>
        </is>
      </c>
      <c r="C172" s="1158" t="inlineStr">
        <is>
          <t>414</t>
        </is>
      </c>
      <c r="D172" s="1158" t="inlineStr">
        <is>
          <t>13</t>
        </is>
      </c>
      <c r="E172" s="1158" t="inlineStr">
        <is>
          <t>35</t>
        </is>
      </c>
      <c r="F172" s="1158" t="inlineStr">
        <is>
          <t>C</t>
        </is>
      </c>
      <c r="G172" t="inlineStr">
        <is>
          <t>Excellent*</t>
        </is>
      </c>
      <c r="H172" s="606" t="n">
        <v>238</v>
      </c>
      <c r="I172">
        <f>B172&amp;"|"&amp;F172&amp;"|"&amp;G172</f>
        <v/>
      </c>
      <c r="J172" t="inlineStr">
        <is>
          <t>13</t>
        </is>
      </c>
      <c r="K172" t="inlineStr">
        <is>
          <t>13</t>
        </is>
      </c>
      <c r="L172" t="inlineStr">
        <is>
          <t>13</t>
        </is>
      </c>
      <c r="M172" t="inlineStr">
        <is>
          <t>MVS Sec.13 p.35</t>
        </is>
      </c>
    </row>
    <row r="173">
      <c r="B173" s="1158" t="inlineStr">
        <is>
          <t>Regional Shopping Centers</t>
        </is>
      </c>
      <c r="C173" s="1158" t="inlineStr">
        <is>
          <t>414</t>
        </is>
      </c>
      <c r="D173" s="1158" t="inlineStr">
        <is>
          <t>13</t>
        </is>
      </c>
      <c r="E173" s="1158" t="inlineStr">
        <is>
          <t>35</t>
        </is>
      </c>
      <c r="F173" s="1158" t="inlineStr">
        <is>
          <t>C</t>
        </is>
      </c>
      <c r="G173" t="inlineStr">
        <is>
          <t>Good*</t>
        </is>
      </c>
      <c r="H173" s="606" t="n">
        <v>189</v>
      </c>
      <c r="I173">
        <f>B173&amp;"|"&amp;F173&amp;"|"&amp;G173</f>
        <v/>
      </c>
      <c r="J173" t="inlineStr">
        <is>
          <t>13</t>
        </is>
      </c>
      <c r="K173" t="inlineStr">
        <is>
          <t>13</t>
        </is>
      </c>
      <c r="L173" t="inlineStr">
        <is>
          <t>13</t>
        </is>
      </c>
      <c r="M173" t="inlineStr">
        <is>
          <t>MVS Sec.13 p.35</t>
        </is>
      </c>
    </row>
    <row r="174">
      <c r="B174" s="1158" t="inlineStr">
        <is>
          <t>Regional Shopping Centers</t>
        </is>
      </c>
      <c r="C174" s="1158" t="inlineStr">
        <is>
          <t>414</t>
        </is>
      </c>
      <c r="D174" s="1158" t="inlineStr">
        <is>
          <t>13</t>
        </is>
      </c>
      <c r="E174" s="1158" t="inlineStr">
        <is>
          <t>35</t>
        </is>
      </c>
      <c r="F174" s="1158" t="inlineStr">
        <is>
          <t>C</t>
        </is>
      </c>
      <c r="G174" t="inlineStr">
        <is>
          <t>Average</t>
        </is>
      </c>
      <c r="H174" s="606" t="n">
        <v>153</v>
      </c>
      <c r="I174">
        <f>B174&amp;"|"&amp;F174&amp;"|"&amp;G174</f>
        <v/>
      </c>
      <c r="J174" t="inlineStr">
        <is>
          <t>13</t>
        </is>
      </c>
      <c r="K174" t="inlineStr">
        <is>
          <t>13</t>
        </is>
      </c>
      <c r="L174" t="inlineStr">
        <is>
          <t>13</t>
        </is>
      </c>
      <c r="M174" t="inlineStr">
        <is>
          <t>MVS Sec.13 p.35</t>
        </is>
      </c>
    </row>
    <row r="175">
      <c r="B175" s="1158" t="inlineStr">
        <is>
          <t>Regional Shopping Centers</t>
        </is>
      </c>
      <c r="C175" s="1158" t="inlineStr">
        <is>
          <t>414</t>
        </is>
      </c>
      <c r="D175" s="1158" t="inlineStr">
        <is>
          <t>13</t>
        </is>
      </c>
      <c r="E175" s="1158" t="inlineStr">
        <is>
          <t>35</t>
        </is>
      </c>
      <c r="F175" s="1158" t="inlineStr">
        <is>
          <t>D</t>
        </is>
      </c>
      <c r="G175" t="inlineStr">
        <is>
          <t>Excellent*</t>
        </is>
      </c>
      <c r="H175" s="606" t="n">
        <v>223</v>
      </c>
      <c r="I175">
        <f>B175&amp;"|"&amp;F175&amp;"|"&amp;G175</f>
        <v/>
      </c>
      <c r="J175" t="inlineStr">
        <is>
          <t>13</t>
        </is>
      </c>
      <c r="K175" t="inlineStr">
        <is>
          <t>13</t>
        </is>
      </c>
      <c r="L175" t="inlineStr">
        <is>
          <t>13</t>
        </is>
      </c>
      <c r="M175" t="inlineStr">
        <is>
          <t>MVS Sec.13 p.35</t>
        </is>
      </c>
    </row>
    <row r="176">
      <c r="B176" s="1158" t="inlineStr">
        <is>
          <t>Regional Shopping Centers</t>
        </is>
      </c>
      <c r="C176" s="1158" t="inlineStr">
        <is>
          <t>414</t>
        </is>
      </c>
      <c r="D176" s="1158" t="inlineStr">
        <is>
          <t>13</t>
        </is>
      </c>
      <c r="E176" s="1158" t="inlineStr">
        <is>
          <t>35</t>
        </is>
      </c>
      <c r="F176" s="1158" t="inlineStr">
        <is>
          <t>D</t>
        </is>
      </c>
      <c r="G176" t="inlineStr">
        <is>
          <t>Good*</t>
        </is>
      </c>
      <c r="H176" s="606" t="n">
        <v>176</v>
      </c>
      <c r="I176">
        <f>B176&amp;"|"&amp;F176&amp;"|"&amp;G176</f>
        <v/>
      </c>
      <c r="J176" t="inlineStr">
        <is>
          <t>13</t>
        </is>
      </c>
      <c r="K176" t="inlineStr">
        <is>
          <t>13</t>
        </is>
      </c>
      <c r="L176" t="inlineStr">
        <is>
          <t>13</t>
        </is>
      </c>
      <c r="M176" t="inlineStr">
        <is>
          <t>MVS Sec.13 p.35</t>
        </is>
      </c>
    </row>
    <row r="177">
      <c r="B177" s="1158" t="inlineStr">
        <is>
          <t>Regional Shopping Centers</t>
        </is>
      </c>
      <c r="C177" s="1158" t="inlineStr">
        <is>
          <t>414</t>
        </is>
      </c>
      <c r="D177" s="1158" t="inlineStr">
        <is>
          <t>13</t>
        </is>
      </c>
      <c r="E177" s="1158" t="inlineStr">
        <is>
          <t>35</t>
        </is>
      </c>
      <c r="F177" s="1158" t="inlineStr">
        <is>
          <t>D</t>
        </is>
      </c>
      <c r="G177" t="inlineStr">
        <is>
          <t>Average</t>
        </is>
      </c>
      <c r="H177" s="606" t="n">
        <v>142</v>
      </c>
      <c r="I177">
        <f>B177&amp;"|"&amp;F177&amp;"|"&amp;G177</f>
        <v/>
      </c>
      <c r="J177" t="inlineStr">
        <is>
          <t>13</t>
        </is>
      </c>
      <c r="K177" t="inlineStr">
        <is>
          <t>13</t>
        </is>
      </c>
      <c r="L177" t="inlineStr">
        <is>
          <t>13</t>
        </is>
      </c>
      <c r="M177" t="inlineStr">
        <is>
          <t>MVS Sec.13 p.35</t>
        </is>
      </c>
    </row>
    <row r="178">
      <c r="B178" s="1158" t="inlineStr">
        <is>
          <t>Regional Shopping Centers</t>
        </is>
      </c>
      <c r="C178" s="1158" t="inlineStr">
        <is>
          <t>414</t>
        </is>
      </c>
      <c r="D178" s="1158" t="inlineStr">
        <is>
          <t>13</t>
        </is>
      </c>
      <c r="E178" s="1158" t="inlineStr">
        <is>
          <t>35</t>
        </is>
      </c>
      <c r="F178" s="1158" t="inlineStr">
        <is>
          <t>S</t>
        </is>
      </c>
      <c r="G178" t="inlineStr">
        <is>
          <t>Average</t>
        </is>
      </c>
      <c r="H178" s="606" t="n">
        <v>142</v>
      </c>
      <c r="I178">
        <f>B178&amp;"|"&amp;F178&amp;"|"&amp;G178</f>
        <v/>
      </c>
      <c r="J178" t="inlineStr">
        <is>
          <t>13</t>
        </is>
      </c>
      <c r="K178" t="inlineStr">
        <is>
          <t>13</t>
        </is>
      </c>
      <c r="L178" t="inlineStr">
        <is>
          <t>13</t>
        </is>
      </c>
      <c r="M178" t="inlineStr">
        <is>
          <t>MVS Sec.13 p.35</t>
        </is>
      </c>
    </row>
    <row r="179">
      <c r="B179" s="1158" t="inlineStr">
        <is>
          <t>Department Stores</t>
        </is>
      </c>
      <c r="C179" s="1158" t="inlineStr">
        <is>
          <t>318</t>
        </is>
      </c>
      <c r="D179" s="1158" t="inlineStr">
        <is>
          <t>13</t>
        </is>
      </c>
      <c r="E179" s="1158" t="inlineStr">
        <is>
          <t>27</t>
        </is>
      </c>
      <c r="F179" s="1158" t="inlineStr">
        <is>
          <t>A</t>
        </is>
      </c>
      <c r="G179" t="inlineStr">
        <is>
          <t>Excellent</t>
        </is>
      </c>
      <c r="H179" s="606" t="n">
        <v>317</v>
      </c>
      <c r="I179">
        <f>B179&amp;"|"&amp;F179&amp;"|"&amp;G179</f>
        <v/>
      </c>
      <c r="J179" t="inlineStr">
        <is>
          <t>13</t>
        </is>
      </c>
      <c r="K179" t="inlineStr">
        <is>
          <t>13</t>
        </is>
      </c>
      <c r="L179" t="inlineStr">
        <is>
          <t>13</t>
        </is>
      </c>
      <c r="M179" t="inlineStr">
        <is>
          <t>MVS Sec.13 p.27</t>
        </is>
      </c>
    </row>
    <row r="180">
      <c r="B180" s="1158" t="inlineStr">
        <is>
          <t>Department Stores</t>
        </is>
      </c>
      <c r="C180" s="1158" t="inlineStr">
        <is>
          <t>318</t>
        </is>
      </c>
      <c r="D180" s="1158" t="inlineStr">
        <is>
          <t>13</t>
        </is>
      </c>
      <c r="E180" s="1158" t="inlineStr">
        <is>
          <t>27</t>
        </is>
      </c>
      <c r="F180" s="1158" t="inlineStr">
        <is>
          <t>A</t>
        </is>
      </c>
      <c r="G180" t="inlineStr">
        <is>
          <t>Good</t>
        </is>
      </c>
      <c r="H180" s="606" t="n">
        <v>256</v>
      </c>
      <c r="I180">
        <f>B180&amp;"|"&amp;F180&amp;"|"&amp;G180</f>
        <v/>
      </c>
      <c r="J180" t="inlineStr">
        <is>
          <t>13</t>
        </is>
      </c>
      <c r="K180" t="inlineStr">
        <is>
          <t>13</t>
        </is>
      </c>
      <c r="L180" t="inlineStr">
        <is>
          <t>13</t>
        </is>
      </c>
      <c r="M180" t="inlineStr">
        <is>
          <t>MVS Sec.13 p.27</t>
        </is>
      </c>
    </row>
    <row r="181">
      <c r="B181" s="1158" t="inlineStr">
        <is>
          <t>Department Stores</t>
        </is>
      </c>
      <c r="C181" s="1158" t="inlineStr">
        <is>
          <t>318</t>
        </is>
      </c>
      <c r="D181" s="1158" t="inlineStr">
        <is>
          <t>13</t>
        </is>
      </c>
      <c r="E181" s="1158" t="inlineStr">
        <is>
          <t>27</t>
        </is>
      </c>
      <c r="F181" s="1158" t="inlineStr">
        <is>
          <t>A</t>
        </is>
      </c>
      <c r="G181" t="inlineStr">
        <is>
          <t>Average</t>
        </is>
      </c>
      <c r="H181" s="606" t="n">
        <v>198</v>
      </c>
      <c r="I181">
        <f>B181&amp;"|"&amp;F181&amp;"|"&amp;G181</f>
        <v/>
      </c>
      <c r="J181" t="inlineStr">
        <is>
          <t>13</t>
        </is>
      </c>
      <c r="K181" t="inlineStr">
        <is>
          <t>13</t>
        </is>
      </c>
      <c r="L181" t="inlineStr">
        <is>
          <t>13</t>
        </is>
      </c>
      <c r="M181" t="inlineStr">
        <is>
          <t>MVS Sec.13 p.27</t>
        </is>
      </c>
    </row>
    <row r="182">
      <c r="B182" s="1158" t="inlineStr">
        <is>
          <t>Department Stores</t>
        </is>
      </c>
      <c r="C182" s="1158" t="inlineStr">
        <is>
          <t>318</t>
        </is>
      </c>
      <c r="D182" s="1158" t="inlineStr">
        <is>
          <t>13</t>
        </is>
      </c>
      <c r="E182" s="1158" t="inlineStr">
        <is>
          <t>27</t>
        </is>
      </c>
      <c r="F182" s="1158" t="inlineStr">
        <is>
          <t>B</t>
        </is>
      </c>
      <c r="G182" t="inlineStr">
        <is>
          <t>Excellent</t>
        </is>
      </c>
      <c r="H182" s="606" t="n">
        <v>289</v>
      </c>
      <c r="I182">
        <f>B182&amp;"|"&amp;F182&amp;"|"&amp;G182</f>
        <v/>
      </c>
      <c r="J182" t="inlineStr">
        <is>
          <t>13</t>
        </is>
      </c>
      <c r="K182" t="inlineStr">
        <is>
          <t>13</t>
        </is>
      </c>
      <c r="L182" t="inlineStr">
        <is>
          <t>13</t>
        </is>
      </c>
      <c r="M182" t="inlineStr">
        <is>
          <t>MVS Sec.13 p.27</t>
        </is>
      </c>
    </row>
    <row r="183">
      <c r="B183" s="1158" t="inlineStr">
        <is>
          <t>Department Stores</t>
        </is>
      </c>
      <c r="C183" s="1158" t="inlineStr">
        <is>
          <t>318</t>
        </is>
      </c>
      <c r="D183" s="1158" t="inlineStr">
        <is>
          <t>13</t>
        </is>
      </c>
      <c r="E183" s="1158" t="inlineStr">
        <is>
          <t>27</t>
        </is>
      </c>
      <c r="F183" s="1158" t="inlineStr">
        <is>
          <t>B</t>
        </is>
      </c>
      <c r="G183" t="inlineStr">
        <is>
          <t>Good</t>
        </is>
      </c>
      <c r="H183" s="606" t="n">
        <v>233</v>
      </c>
      <c r="I183">
        <f>B183&amp;"|"&amp;F183&amp;"|"&amp;G183</f>
        <v/>
      </c>
      <c r="J183" t="inlineStr">
        <is>
          <t>13</t>
        </is>
      </c>
      <c r="K183" t="inlineStr">
        <is>
          <t>13</t>
        </is>
      </c>
      <c r="L183" t="inlineStr">
        <is>
          <t>13</t>
        </is>
      </c>
      <c r="M183" t="inlineStr">
        <is>
          <t>MVS Sec.13 p.27</t>
        </is>
      </c>
    </row>
    <row r="184">
      <c r="B184" s="1158" t="inlineStr">
        <is>
          <t>Department Stores</t>
        </is>
      </c>
      <c r="C184" s="1158" t="inlineStr">
        <is>
          <t>318</t>
        </is>
      </c>
      <c r="D184" s="1158" t="inlineStr">
        <is>
          <t>13</t>
        </is>
      </c>
      <c r="E184" s="1158" t="inlineStr">
        <is>
          <t>27</t>
        </is>
      </c>
      <c r="F184" s="1158" t="inlineStr">
        <is>
          <t>B</t>
        </is>
      </c>
      <c r="G184" t="inlineStr">
        <is>
          <t>Average</t>
        </is>
      </c>
      <c r="H184" s="606" t="n">
        <v>180</v>
      </c>
      <c r="I184">
        <f>B184&amp;"|"&amp;F184&amp;"|"&amp;G184</f>
        <v/>
      </c>
      <c r="J184" t="inlineStr">
        <is>
          <t>13</t>
        </is>
      </c>
      <c r="K184" t="inlineStr">
        <is>
          <t>13</t>
        </is>
      </c>
      <c r="L184" t="inlineStr">
        <is>
          <t>13</t>
        </is>
      </c>
      <c r="M184" t="inlineStr">
        <is>
          <t>MVS Sec.13 p.27</t>
        </is>
      </c>
    </row>
    <row r="185">
      <c r="B185" s="1158" t="inlineStr">
        <is>
          <t>Department Stores</t>
        </is>
      </c>
      <c r="C185" s="1158" t="inlineStr">
        <is>
          <t>318</t>
        </is>
      </c>
      <c r="D185" s="1158" t="inlineStr">
        <is>
          <t>13</t>
        </is>
      </c>
      <c r="E185" s="1158" t="inlineStr">
        <is>
          <t>27</t>
        </is>
      </c>
      <c r="F185" s="1158" t="inlineStr">
        <is>
          <t>C</t>
        </is>
      </c>
      <c r="G185" t="inlineStr">
        <is>
          <t>Excellent</t>
        </is>
      </c>
      <c r="H185" s="606" t="n">
        <v>254</v>
      </c>
      <c r="I185">
        <f>B185&amp;"|"&amp;F185&amp;"|"&amp;G185</f>
        <v/>
      </c>
      <c r="J185" t="inlineStr">
        <is>
          <t>13</t>
        </is>
      </c>
      <c r="K185" t="inlineStr">
        <is>
          <t>13</t>
        </is>
      </c>
      <c r="L185" t="inlineStr">
        <is>
          <t>13</t>
        </is>
      </c>
      <c r="M185" t="inlineStr">
        <is>
          <t>MVS Sec.13 p.27</t>
        </is>
      </c>
    </row>
    <row r="186">
      <c r="B186" s="1158" t="inlineStr">
        <is>
          <t>Department Stores</t>
        </is>
      </c>
      <c r="C186" s="1158" t="inlineStr">
        <is>
          <t>318</t>
        </is>
      </c>
      <c r="D186" s="1158" t="inlineStr">
        <is>
          <t>13</t>
        </is>
      </c>
      <c r="E186" s="1158" t="inlineStr">
        <is>
          <t>27</t>
        </is>
      </c>
      <c r="F186" s="1158" t="inlineStr">
        <is>
          <t>C</t>
        </is>
      </c>
      <c r="G186" t="inlineStr">
        <is>
          <t>Good</t>
        </is>
      </c>
      <c r="H186" s="606" t="n">
        <v>193</v>
      </c>
      <c r="I186">
        <f>B186&amp;"|"&amp;F186&amp;"|"&amp;G186</f>
        <v/>
      </c>
      <c r="J186" t="inlineStr">
        <is>
          <t>13</t>
        </is>
      </c>
      <c r="K186" t="inlineStr">
        <is>
          <t>13</t>
        </is>
      </c>
      <c r="L186" t="inlineStr">
        <is>
          <t>13</t>
        </is>
      </c>
      <c r="M186" t="inlineStr">
        <is>
          <t>MVS Sec.13 p.27</t>
        </is>
      </c>
    </row>
    <row r="187">
      <c r="B187" s="1158" t="inlineStr">
        <is>
          <t>Department Stores</t>
        </is>
      </c>
      <c r="C187" s="1158" t="inlineStr">
        <is>
          <t>318</t>
        </is>
      </c>
      <c r="D187" s="1158" t="inlineStr">
        <is>
          <t>13</t>
        </is>
      </c>
      <c r="E187" s="1158" t="inlineStr">
        <is>
          <t>27</t>
        </is>
      </c>
      <c r="F187" s="1158" t="inlineStr">
        <is>
          <t>C</t>
        </is>
      </c>
      <c r="G187" t="inlineStr">
        <is>
          <t>Average</t>
        </is>
      </c>
      <c r="H187" s="606" t="n">
        <v>154</v>
      </c>
      <c r="I187">
        <f>B187&amp;"|"&amp;F187&amp;"|"&amp;G187</f>
        <v/>
      </c>
      <c r="J187" t="inlineStr">
        <is>
          <t>13</t>
        </is>
      </c>
      <c r="K187" t="inlineStr">
        <is>
          <t>13</t>
        </is>
      </c>
      <c r="L187" t="inlineStr">
        <is>
          <t>13</t>
        </is>
      </c>
      <c r="M187" t="inlineStr">
        <is>
          <t>MVS Sec.13 p.27</t>
        </is>
      </c>
    </row>
    <row r="188">
      <c r="B188" s="1158" t="inlineStr">
        <is>
          <t>Discount Stores</t>
        </is>
      </c>
      <c r="C188" s="1158" t="inlineStr">
        <is>
          <t>319</t>
        </is>
      </c>
      <c r="D188" s="1158" t="inlineStr">
        <is>
          <t>13</t>
        </is>
      </c>
      <c r="E188" s="1158" t="inlineStr">
        <is>
          <t>28</t>
        </is>
      </c>
      <c r="F188" s="1158" t="inlineStr">
        <is>
          <t>A-B</t>
        </is>
      </c>
      <c r="G188" t="inlineStr">
        <is>
          <t>Average</t>
        </is>
      </c>
      <c r="H188" s="606" t="n">
        <v>121</v>
      </c>
      <c r="I188">
        <f>B188&amp;"|"&amp;F188&amp;"|"&amp;G188</f>
        <v/>
      </c>
      <c r="J188" t="inlineStr">
        <is>
          <t>13</t>
        </is>
      </c>
      <c r="K188" t="inlineStr">
        <is>
          <t>13</t>
        </is>
      </c>
      <c r="L188" t="inlineStr">
        <is>
          <t>13</t>
        </is>
      </c>
      <c r="M188" t="inlineStr">
        <is>
          <t>MVS Sec.13 p.28</t>
        </is>
      </c>
    </row>
    <row r="189">
      <c r="B189" s="1158" t="inlineStr">
        <is>
          <t>Discount Stores</t>
        </is>
      </c>
      <c r="C189" s="1158" t="inlineStr">
        <is>
          <t>319</t>
        </is>
      </c>
      <c r="D189" s="1158" t="inlineStr">
        <is>
          <t>13</t>
        </is>
      </c>
      <c r="E189" s="1158" t="inlineStr">
        <is>
          <t>28</t>
        </is>
      </c>
      <c r="F189" s="1158" t="inlineStr">
        <is>
          <t>C</t>
        </is>
      </c>
      <c r="G189" t="inlineStr">
        <is>
          <t>Good</t>
        </is>
      </c>
      <c r="H189" s="606" t="n">
        <v>118</v>
      </c>
      <c r="I189">
        <f>B189&amp;"|"&amp;F189&amp;"|"&amp;G189</f>
        <v/>
      </c>
      <c r="J189" t="inlineStr">
        <is>
          <t>13</t>
        </is>
      </c>
      <c r="K189" t="inlineStr">
        <is>
          <t>13</t>
        </is>
      </c>
      <c r="L189" t="inlineStr">
        <is>
          <t>13</t>
        </is>
      </c>
      <c r="M189" t="inlineStr">
        <is>
          <t>MVS Sec.13 p.28</t>
        </is>
      </c>
    </row>
    <row r="190">
      <c r="B190" s="1158" t="inlineStr">
        <is>
          <t>Discount Stores</t>
        </is>
      </c>
      <c r="C190" s="1158" t="inlineStr">
        <is>
          <t>319</t>
        </is>
      </c>
      <c r="D190" s="1158" t="inlineStr">
        <is>
          <t>13</t>
        </is>
      </c>
      <c r="E190" s="1158" t="inlineStr">
        <is>
          <t>28</t>
        </is>
      </c>
      <c r="F190" s="1158" t="inlineStr">
        <is>
          <t>C</t>
        </is>
      </c>
      <c r="G190" t="inlineStr">
        <is>
          <t>Average</t>
        </is>
      </c>
      <c r="H190" s="606" t="n">
        <v>94</v>
      </c>
      <c r="I190">
        <f>B190&amp;"|"&amp;F190&amp;"|"&amp;G190</f>
        <v/>
      </c>
      <c r="J190" t="inlineStr">
        <is>
          <t>13</t>
        </is>
      </c>
      <c r="K190" t="inlineStr">
        <is>
          <t>13</t>
        </is>
      </c>
      <c r="L190" t="inlineStr">
        <is>
          <t>13</t>
        </is>
      </c>
      <c r="M190" t="inlineStr">
        <is>
          <t>MVS Sec.13 p.28</t>
        </is>
      </c>
    </row>
    <row r="191">
      <c r="B191" s="1158" t="inlineStr">
        <is>
          <t>Discount Stores</t>
        </is>
      </c>
      <c r="C191" s="1158" t="inlineStr">
        <is>
          <t>319</t>
        </is>
      </c>
      <c r="D191" s="1158" t="inlineStr">
        <is>
          <t>13</t>
        </is>
      </c>
      <c r="E191" s="1158" t="inlineStr">
        <is>
          <t>28</t>
        </is>
      </c>
      <c r="F191" s="1158" t="inlineStr">
        <is>
          <t>C</t>
        </is>
      </c>
      <c r="G191" t="inlineStr">
        <is>
          <t>Low Cost</t>
        </is>
      </c>
      <c r="H191" s="606" t="n">
        <v>72</v>
      </c>
      <c r="I191">
        <f>B191&amp;"|"&amp;F191&amp;"|"&amp;G191</f>
        <v/>
      </c>
      <c r="J191" t="inlineStr">
        <is>
          <t>13</t>
        </is>
      </c>
      <c r="K191" t="inlineStr">
        <is>
          <t>13</t>
        </is>
      </c>
      <c r="L191" t="inlineStr">
        <is>
          <t>13</t>
        </is>
      </c>
      <c r="M191" t="inlineStr">
        <is>
          <t>MVS Sec.13 p.28</t>
        </is>
      </c>
    </row>
    <row r="192">
      <c r="B192" s="1158" t="inlineStr">
        <is>
          <t>Discount Stores</t>
        </is>
      </c>
      <c r="C192" s="1158" t="inlineStr">
        <is>
          <t>319</t>
        </is>
      </c>
      <c r="D192" s="1158" t="inlineStr">
        <is>
          <t>13</t>
        </is>
      </c>
      <c r="E192" s="1158" t="inlineStr">
        <is>
          <t>28</t>
        </is>
      </c>
      <c r="F192" s="1158" t="inlineStr">
        <is>
          <t>D</t>
        </is>
      </c>
      <c r="G192" t="inlineStr">
        <is>
          <t>Good</t>
        </is>
      </c>
      <c r="H192" s="606" t="n">
        <v>111</v>
      </c>
      <c r="I192">
        <f>B192&amp;"|"&amp;F192&amp;"|"&amp;G192</f>
        <v/>
      </c>
      <c r="J192" t="inlineStr">
        <is>
          <t>13</t>
        </is>
      </c>
      <c r="K192" t="inlineStr">
        <is>
          <t>13</t>
        </is>
      </c>
      <c r="L192" t="inlineStr">
        <is>
          <t>13</t>
        </is>
      </c>
      <c r="M192" t="inlineStr">
        <is>
          <t>MVS Sec.13 p.28</t>
        </is>
      </c>
    </row>
    <row r="193">
      <c r="B193" s="1158" t="inlineStr">
        <is>
          <t>Discount Stores</t>
        </is>
      </c>
      <c r="C193" s="1158" t="inlineStr">
        <is>
          <t>319</t>
        </is>
      </c>
      <c r="D193" s="1158" t="inlineStr">
        <is>
          <t>13</t>
        </is>
      </c>
      <c r="E193" s="1158" t="inlineStr">
        <is>
          <t>28</t>
        </is>
      </c>
      <c r="F193" s="1158" t="inlineStr">
        <is>
          <t>D</t>
        </is>
      </c>
      <c r="G193" t="inlineStr">
        <is>
          <t>Average</t>
        </is>
      </c>
      <c r="H193" s="606" t="n">
        <v>87</v>
      </c>
      <c r="I193">
        <f>B193&amp;"|"&amp;F193&amp;"|"&amp;G193</f>
        <v/>
      </c>
      <c r="J193" t="inlineStr">
        <is>
          <t>13</t>
        </is>
      </c>
      <c r="K193" t="inlineStr">
        <is>
          <t>13</t>
        </is>
      </c>
      <c r="L193" t="inlineStr">
        <is>
          <t>13</t>
        </is>
      </c>
      <c r="M193" t="inlineStr">
        <is>
          <t>MVS Sec.13 p.28</t>
        </is>
      </c>
    </row>
    <row r="194">
      <c r="B194" s="1158" t="inlineStr">
        <is>
          <t>Discount Stores</t>
        </is>
      </c>
      <c r="C194" s="1158" t="inlineStr">
        <is>
          <t>319</t>
        </is>
      </c>
      <c r="D194" s="1158" t="inlineStr">
        <is>
          <t>13</t>
        </is>
      </c>
      <c r="E194" s="1158" t="inlineStr">
        <is>
          <t>28</t>
        </is>
      </c>
      <c r="F194" s="1158" t="inlineStr">
        <is>
          <t>D</t>
        </is>
      </c>
      <c r="G194" t="inlineStr">
        <is>
          <t>Low Cost</t>
        </is>
      </c>
      <c r="H194" s="606" t="n">
        <v>65.5</v>
      </c>
      <c r="I194">
        <f>B194&amp;"|"&amp;F194&amp;"|"&amp;G194</f>
        <v/>
      </c>
      <c r="J194" t="inlineStr">
        <is>
          <t>13</t>
        </is>
      </c>
      <c r="K194" t="inlineStr">
        <is>
          <t>13</t>
        </is>
      </c>
      <c r="L194" t="inlineStr">
        <is>
          <t>13</t>
        </is>
      </c>
      <c r="M194" t="inlineStr">
        <is>
          <t>MVS Sec.13 p.28</t>
        </is>
      </c>
    </row>
    <row r="195">
      <c r="B195" s="1158" t="inlineStr">
        <is>
          <t>Discount Stores</t>
        </is>
      </c>
      <c r="C195" s="1158" t="inlineStr">
        <is>
          <t>319</t>
        </is>
      </c>
      <c r="D195" s="1158" t="inlineStr">
        <is>
          <t>13</t>
        </is>
      </c>
      <c r="E195" s="1158" t="inlineStr">
        <is>
          <t>28</t>
        </is>
      </c>
      <c r="F195" s="1158" t="inlineStr">
        <is>
          <t>DPOLE</t>
        </is>
      </c>
      <c r="G195" t="inlineStr">
        <is>
          <t>Low Cost</t>
        </is>
      </c>
      <c r="H195" s="606" t="n">
        <v>59</v>
      </c>
      <c r="I195">
        <f>B195&amp;"|"&amp;F195&amp;"|"&amp;G195</f>
        <v/>
      </c>
      <c r="J195" t="inlineStr">
        <is>
          <t>13</t>
        </is>
      </c>
      <c r="K195" t="inlineStr">
        <is>
          <t>13</t>
        </is>
      </c>
      <c r="L195" t="inlineStr">
        <is>
          <t>13</t>
        </is>
      </c>
      <c r="M195" t="inlineStr">
        <is>
          <t>MVS Sec.13 p.28</t>
        </is>
      </c>
    </row>
    <row r="196">
      <c r="B196" s="1158" t="inlineStr">
        <is>
          <t>Discount Stores</t>
        </is>
      </c>
      <c r="C196" s="1158" t="inlineStr">
        <is>
          <t>319</t>
        </is>
      </c>
      <c r="D196" s="1158" t="inlineStr">
        <is>
          <t>13</t>
        </is>
      </c>
      <c r="E196" s="1158" t="inlineStr">
        <is>
          <t>28</t>
        </is>
      </c>
      <c r="F196" s="1158" t="inlineStr">
        <is>
          <t>S</t>
        </is>
      </c>
      <c r="G196" t="inlineStr">
        <is>
          <t>Good</t>
        </is>
      </c>
      <c r="H196" s="606" t="n">
        <v>111</v>
      </c>
      <c r="I196">
        <f>B196&amp;"|"&amp;F196&amp;"|"&amp;G196</f>
        <v/>
      </c>
      <c r="J196" t="inlineStr">
        <is>
          <t>13</t>
        </is>
      </c>
      <c r="K196" t="inlineStr">
        <is>
          <t>13</t>
        </is>
      </c>
      <c r="L196" t="inlineStr">
        <is>
          <t>13</t>
        </is>
      </c>
      <c r="M196" t="inlineStr">
        <is>
          <t>MVS Sec.13 p.28</t>
        </is>
      </c>
    </row>
    <row r="197">
      <c r="B197" s="1158" t="inlineStr">
        <is>
          <t>Discount Stores</t>
        </is>
      </c>
      <c r="C197" s="1158" t="inlineStr">
        <is>
          <t>319</t>
        </is>
      </c>
      <c r="D197" s="1158" t="inlineStr">
        <is>
          <t>13</t>
        </is>
      </c>
      <c r="E197" s="1158" t="inlineStr">
        <is>
          <t>28</t>
        </is>
      </c>
      <c r="F197" s="1158" t="inlineStr">
        <is>
          <t>S</t>
        </is>
      </c>
      <c r="G197" t="inlineStr">
        <is>
          <t>Average</t>
        </is>
      </c>
      <c r="H197" s="606" t="n">
        <v>85</v>
      </c>
      <c r="I197">
        <f>B197&amp;"|"&amp;F197&amp;"|"&amp;G197</f>
        <v/>
      </c>
      <c r="J197" t="inlineStr">
        <is>
          <t>13</t>
        </is>
      </c>
      <c r="K197" t="inlineStr">
        <is>
          <t>13</t>
        </is>
      </c>
      <c r="L197" t="inlineStr">
        <is>
          <t>13</t>
        </is>
      </c>
      <c r="M197" t="inlineStr">
        <is>
          <t>MVS Sec.13 p.28</t>
        </is>
      </c>
    </row>
    <row r="198">
      <c r="B198" s="1158" t="inlineStr">
        <is>
          <t>Discount Stores</t>
        </is>
      </c>
      <c r="C198" s="1158" t="inlineStr">
        <is>
          <t>319</t>
        </is>
      </c>
      <c r="D198" s="1158" t="inlineStr">
        <is>
          <t>13</t>
        </is>
      </c>
      <c r="E198" s="1158" t="inlineStr">
        <is>
          <t>28</t>
        </is>
      </c>
      <c r="F198" s="1158" t="inlineStr">
        <is>
          <t>S</t>
        </is>
      </c>
      <c r="G198" t="inlineStr">
        <is>
          <t>Low Cost</t>
        </is>
      </c>
      <c r="H198" s="606" t="n">
        <v>63</v>
      </c>
      <c r="I198">
        <f>B198&amp;"|"&amp;F198&amp;"|"&amp;G198</f>
        <v/>
      </c>
      <c r="J198" t="inlineStr">
        <is>
          <t>13</t>
        </is>
      </c>
      <c r="K198" t="inlineStr">
        <is>
          <t>13</t>
        </is>
      </c>
      <c r="L198" t="inlineStr">
        <is>
          <t>13</t>
        </is>
      </c>
      <c r="M198" t="inlineStr">
        <is>
          <t>MVS Sec.13 p.28</t>
        </is>
      </c>
    </row>
    <row r="199">
      <c r="B199" s="1158" t="inlineStr">
        <is>
          <t>Office Buildings</t>
        </is>
      </c>
      <c r="C199" s="1158" t="inlineStr">
        <is>
          <t>344</t>
        </is>
      </c>
      <c r="D199" s="1158" t="inlineStr">
        <is>
          <t>15</t>
        </is>
      </c>
      <c r="E199" s="1158" t="inlineStr">
        <is>
          <t>17</t>
        </is>
      </c>
      <c r="F199" s="1158" t="inlineStr">
        <is>
          <t>A</t>
        </is>
      </c>
      <c r="G199" t="inlineStr">
        <is>
          <t>Excellent</t>
        </is>
      </c>
      <c r="H199" s="606" t="n">
        <v>404</v>
      </c>
      <c r="I199">
        <f>B199&amp;"|"&amp;F199&amp;"|"&amp;G199</f>
        <v/>
      </c>
      <c r="J199" t="inlineStr">
        <is>
          <t>15</t>
        </is>
      </c>
      <c r="K199" t="inlineStr">
        <is>
          <t>15</t>
        </is>
      </c>
      <c r="L199" t="inlineStr">
        <is>
          <t>15</t>
        </is>
      </c>
      <c r="M199" t="inlineStr">
        <is>
          <t>MVS Sec.15 p.17</t>
        </is>
      </c>
    </row>
    <row r="200">
      <c r="B200" s="1158" t="inlineStr">
        <is>
          <t>Office Buildings</t>
        </is>
      </c>
      <c r="C200" s="1158" t="inlineStr">
        <is>
          <t>344</t>
        </is>
      </c>
      <c r="D200" s="1158" t="inlineStr">
        <is>
          <t>15</t>
        </is>
      </c>
      <c r="E200" s="1158" t="inlineStr">
        <is>
          <t>17</t>
        </is>
      </c>
      <c r="F200" s="1158" t="inlineStr">
        <is>
          <t>A</t>
        </is>
      </c>
      <c r="G200" t="inlineStr">
        <is>
          <t>Good</t>
        </is>
      </c>
      <c r="H200" s="606" t="n">
        <v>320</v>
      </c>
      <c r="I200">
        <f>B200&amp;"|"&amp;F200&amp;"|"&amp;G200</f>
        <v/>
      </c>
      <c r="J200" t="inlineStr">
        <is>
          <t>15</t>
        </is>
      </c>
      <c r="K200" t="inlineStr">
        <is>
          <t>15</t>
        </is>
      </c>
      <c r="L200" t="inlineStr">
        <is>
          <t>15</t>
        </is>
      </c>
      <c r="M200" t="inlineStr">
        <is>
          <t>MVS Sec.15 p.17</t>
        </is>
      </c>
    </row>
    <row r="201">
      <c r="B201" s="1158" t="inlineStr">
        <is>
          <t>Office Buildings</t>
        </is>
      </c>
      <c r="C201" s="1158" t="inlineStr">
        <is>
          <t>344</t>
        </is>
      </c>
      <c r="D201" s="1158" t="inlineStr">
        <is>
          <t>15</t>
        </is>
      </c>
      <c r="E201" s="1158" t="inlineStr">
        <is>
          <t>17</t>
        </is>
      </c>
      <c r="F201" s="1158" t="inlineStr">
        <is>
          <t>A</t>
        </is>
      </c>
      <c r="G201" t="inlineStr">
        <is>
          <t>Average</t>
        </is>
      </c>
      <c r="H201" s="606" t="n">
        <v>241</v>
      </c>
      <c r="I201">
        <f>B201&amp;"|"&amp;F201&amp;"|"&amp;G201</f>
        <v/>
      </c>
      <c r="J201" t="inlineStr">
        <is>
          <t>15</t>
        </is>
      </c>
      <c r="K201" t="inlineStr">
        <is>
          <t>15</t>
        </is>
      </c>
      <c r="L201" t="inlineStr">
        <is>
          <t>15</t>
        </is>
      </c>
      <c r="M201" t="inlineStr">
        <is>
          <t>MVS Sec.15 p.17</t>
        </is>
      </c>
    </row>
    <row r="202">
      <c r="B202" s="1158" t="inlineStr">
        <is>
          <t>Office Buildings</t>
        </is>
      </c>
      <c r="C202" s="1158" t="inlineStr">
        <is>
          <t>344</t>
        </is>
      </c>
      <c r="D202" s="1158" t="inlineStr">
        <is>
          <t>15</t>
        </is>
      </c>
      <c r="E202" s="1158" t="inlineStr">
        <is>
          <t>17</t>
        </is>
      </c>
      <c r="F202" s="1158" t="inlineStr">
        <is>
          <t>A</t>
        </is>
      </c>
      <c r="G202" t="inlineStr">
        <is>
          <t>Low Cost</t>
        </is>
      </c>
      <c r="H202" s="606" t="n">
        <v>192</v>
      </c>
      <c r="I202">
        <f>B202&amp;"|"&amp;F202&amp;"|"&amp;G202</f>
        <v/>
      </c>
      <c r="J202" t="inlineStr">
        <is>
          <t>15</t>
        </is>
      </c>
      <c r="K202" t="inlineStr">
        <is>
          <t>15</t>
        </is>
      </c>
      <c r="L202" t="inlineStr">
        <is>
          <t>15</t>
        </is>
      </c>
      <c r="M202" t="inlineStr">
        <is>
          <t>MVS Sec.15 p.17</t>
        </is>
      </c>
    </row>
    <row r="203">
      <c r="B203" s="1158" t="inlineStr">
        <is>
          <t>Office Buildings</t>
        </is>
      </c>
      <c r="C203" s="1158" t="inlineStr">
        <is>
          <t>344</t>
        </is>
      </c>
      <c r="D203" s="1158" t="inlineStr">
        <is>
          <t>15</t>
        </is>
      </c>
      <c r="E203" s="1158" t="inlineStr">
        <is>
          <t>17</t>
        </is>
      </c>
      <c r="F203" s="1158" t="inlineStr">
        <is>
          <t>B</t>
        </is>
      </c>
      <c r="G203" t="inlineStr">
        <is>
          <t>Excellent</t>
        </is>
      </c>
      <c r="H203" s="606" t="n">
        <v>372</v>
      </c>
      <c r="I203">
        <f>B203&amp;"|"&amp;F203&amp;"|"&amp;G203</f>
        <v/>
      </c>
      <c r="J203" t="inlineStr">
        <is>
          <t>15</t>
        </is>
      </c>
      <c r="K203" t="inlineStr">
        <is>
          <t>15</t>
        </is>
      </c>
      <c r="L203" t="inlineStr">
        <is>
          <t>15</t>
        </is>
      </c>
      <c r="M203" t="inlineStr">
        <is>
          <t>MVS Sec.15 p.17</t>
        </is>
      </c>
    </row>
    <row r="204">
      <c r="B204" s="1158" t="inlineStr">
        <is>
          <t>Office Buildings</t>
        </is>
      </c>
      <c r="C204" s="1158" t="inlineStr">
        <is>
          <t>344</t>
        </is>
      </c>
      <c r="D204" s="1158" t="inlineStr">
        <is>
          <t>15</t>
        </is>
      </c>
      <c r="E204" s="1158" t="inlineStr">
        <is>
          <t>17</t>
        </is>
      </c>
      <c r="F204" s="1158" t="inlineStr">
        <is>
          <t>B</t>
        </is>
      </c>
      <c r="G204" t="inlineStr">
        <is>
          <t>Good</t>
        </is>
      </c>
      <c r="H204" s="606" t="n">
        <v>293</v>
      </c>
      <c r="I204">
        <f>B204&amp;"|"&amp;F204&amp;"|"&amp;G204</f>
        <v/>
      </c>
      <c r="J204" t="inlineStr">
        <is>
          <t>15</t>
        </is>
      </c>
      <c r="K204" t="inlineStr">
        <is>
          <t>15</t>
        </is>
      </c>
      <c r="L204" t="inlineStr">
        <is>
          <t>15</t>
        </is>
      </c>
      <c r="M204" t="inlineStr">
        <is>
          <t>MVS Sec.15 p.17</t>
        </is>
      </c>
    </row>
    <row r="205">
      <c r="B205" s="1158" t="inlineStr">
        <is>
          <t>Office Buildings</t>
        </is>
      </c>
      <c r="C205" s="1158" t="inlineStr">
        <is>
          <t>344</t>
        </is>
      </c>
      <c r="D205" s="1158" t="inlineStr">
        <is>
          <t>15</t>
        </is>
      </c>
      <c r="E205" s="1158" t="inlineStr">
        <is>
          <t>17</t>
        </is>
      </c>
      <c r="F205" s="1158" t="inlineStr">
        <is>
          <t>B</t>
        </is>
      </c>
      <c r="G205" t="inlineStr">
        <is>
          <t>Average</t>
        </is>
      </c>
      <c r="H205" s="606" t="n">
        <v>219</v>
      </c>
      <c r="I205">
        <f>B205&amp;"|"&amp;F205&amp;"|"&amp;G205</f>
        <v/>
      </c>
      <c r="J205" t="inlineStr">
        <is>
          <t>15</t>
        </is>
      </c>
      <c r="K205" t="inlineStr">
        <is>
          <t>15</t>
        </is>
      </c>
      <c r="L205" t="inlineStr">
        <is>
          <t>15</t>
        </is>
      </c>
      <c r="M205" t="inlineStr">
        <is>
          <t>MVS Sec.15 p.17</t>
        </is>
      </c>
    </row>
    <row r="206">
      <c r="B206" s="1158" t="inlineStr">
        <is>
          <t>Office Buildings</t>
        </is>
      </c>
      <c r="C206" s="1158" t="inlineStr">
        <is>
          <t>344</t>
        </is>
      </c>
      <c r="D206" s="1158" t="inlineStr">
        <is>
          <t>15</t>
        </is>
      </c>
      <c r="E206" s="1158" t="inlineStr">
        <is>
          <t>17</t>
        </is>
      </c>
      <c r="F206" s="1158" t="inlineStr">
        <is>
          <t>B</t>
        </is>
      </c>
      <c r="G206" t="inlineStr">
        <is>
          <t>Low Cost</t>
        </is>
      </c>
      <c r="H206" s="606" t="n">
        <v>173</v>
      </c>
      <c r="I206">
        <f>B206&amp;"|"&amp;F206&amp;"|"&amp;G206</f>
        <v/>
      </c>
      <c r="J206" t="inlineStr">
        <is>
          <t>15</t>
        </is>
      </c>
      <c r="K206" t="inlineStr">
        <is>
          <t>15</t>
        </is>
      </c>
      <c r="L206" t="inlineStr">
        <is>
          <t>15</t>
        </is>
      </c>
      <c r="M206" t="inlineStr">
        <is>
          <t>MVS Sec.15 p.17</t>
        </is>
      </c>
    </row>
    <row r="207">
      <c r="B207" s="1158" t="inlineStr">
        <is>
          <t>Office Buildings</t>
        </is>
      </c>
      <c r="C207" s="1158" t="inlineStr">
        <is>
          <t>344</t>
        </is>
      </c>
      <c r="D207" s="1158" t="inlineStr">
        <is>
          <t>15</t>
        </is>
      </c>
      <c r="E207" s="1158" t="inlineStr">
        <is>
          <t>17</t>
        </is>
      </c>
      <c r="F207" s="1158" t="inlineStr">
        <is>
          <t>C</t>
        </is>
      </c>
      <c r="G207" t="inlineStr">
        <is>
          <t>Excellent</t>
        </is>
      </c>
      <c r="H207" s="606" t="n">
        <v>317</v>
      </c>
      <c r="I207">
        <f>B207&amp;"|"&amp;F207&amp;"|"&amp;G207</f>
        <v/>
      </c>
      <c r="J207" t="inlineStr">
        <is>
          <t>15</t>
        </is>
      </c>
      <c r="K207" t="inlineStr">
        <is>
          <t>15</t>
        </is>
      </c>
      <c r="L207" t="inlineStr">
        <is>
          <t>15</t>
        </is>
      </c>
      <c r="M207" t="inlineStr">
        <is>
          <t>MVS Sec.15 p.17</t>
        </is>
      </c>
    </row>
    <row r="208">
      <c r="B208" s="1158" t="inlineStr">
        <is>
          <t>Office Buildings</t>
        </is>
      </c>
      <c r="C208" s="1158" t="inlineStr">
        <is>
          <t>344</t>
        </is>
      </c>
      <c r="D208" s="1158" t="inlineStr">
        <is>
          <t>15</t>
        </is>
      </c>
      <c r="E208" s="1158" t="inlineStr">
        <is>
          <t>17</t>
        </is>
      </c>
      <c r="F208" s="1158" t="inlineStr">
        <is>
          <t>C</t>
        </is>
      </c>
      <c r="G208" t="inlineStr">
        <is>
          <t>Good</t>
        </is>
      </c>
      <c r="H208" s="606" t="n">
        <v>221</v>
      </c>
      <c r="I208">
        <f>B208&amp;"|"&amp;F208&amp;"|"&amp;G208</f>
        <v/>
      </c>
      <c r="J208" t="inlineStr">
        <is>
          <t>15</t>
        </is>
      </c>
      <c r="K208" t="inlineStr">
        <is>
          <t>15</t>
        </is>
      </c>
      <c r="L208" t="inlineStr">
        <is>
          <t>15</t>
        </is>
      </c>
      <c r="M208" t="inlineStr">
        <is>
          <t>MVS Sec.15 p.17</t>
        </is>
      </c>
    </row>
    <row r="209">
      <c r="B209" s="1158" t="inlineStr">
        <is>
          <t>Office Buildings</t>
        </is>
      </c>
      <c r="C209" s="1158" t="inlineStr">
        <is>
          <t>344</t>
        </is>
      </c>
      <c r="D209" s="1158" t="inlineStr">
        <is>
          <t>15</t>
        </is>
      </c>
      <c r="E209" s="1158" t="inlineStr">
        <is>
          <t>17</t>
        </is>
      </c>
      <c r="F209" s="1158" t="inlineStr">
        <is>
          <t>C</t>
        </is>
      </c>
      <c r="G209" t="inlineStr">
        <is>
          <t>Average</t>
        </is>
      </c>
      <c r="H209" s="606" t="n">
        <v>157</v>
      </c>
      <c r="I209">
        <f>B209&amp;"|"&amp;F209&amp;"|"&amp;G209</f>
        <v/>
      </c>
      <c r="J209" t="inlineStr">
        <is>
          <t>15</t>
        </is>
      </c>
      <c r="K209" t="inlineStr">
        <is>
          <t>15</t>
        </is>
      </c>
      <c r="L209" t="inlineStr">
        <is>
          <t>15</t>
        </is>
      </c>
      <c r="M209" t="inlineStr">
        <is>
          <t>MVS Sec.15 p.17</t>
        </is>
      </c>
    </row>
    <row r="210">
      <c r="B210" s="1158" t="inlineStr">
        <is>
          <t>Office Buildings</t>
        </is>
      </c>
      <c r="C210" s="1158" t="inlineStr">
        <is>
          <t>344</t>
        </is>
      </c>
      <c r="D210" s="1158" t="inlineStr">
        <is>
          <t>15</t>
        </is>
      </c>
      <c r="E210" s="1158" t="inlineStr">
        <is>
          <t>17</t>
        </is>
      </c>
      <c r="F210" s="1158" t="inlineStr">
        <is>
          <t>C</t>
        </is>
      </c>
      <c r="G210" t="inlineStr">
        <is>
          <t>Low Cost</t>
        </is>
      </c>
      <c r="H210" s="606" t="n">
        <v>106</v>
      </c>
      <c r="I210">
        <f>B210&amp;"|"&amp;F210&amp;"|"&amp;G210</f>
        <v/>
      </c>
      <c r="J210" t="inlineStr">
        <is>
          <t>15</t>
        </is>
      </c>
      <c r="K210" t="inlineStr">
        <is>
          <t>15</t>
        </is>
      </c>
      <c r="L210" t="inlineStr">
        <is>
          <t>15</t>
        </is>
      </c>
      <c r="M210" t="inlineStr">
        <is>
          <t>MVS Sec.15 p.17</t>
        </is>
      </c>
    </row>
    <row r="211">
      <c r="B211" s="1158" t="inlineStr">
        <is>
          <t>Office Buildings</t>
        </is>
      </c>
      <c r="C211" s="1158" t="inlineStr">
        <is>
          <t>344</t>
        </is>
      </c>
      <c r="D211" s="1158" t="inlineStr">
        <is>
          <t>15</t>
        </is>
      </c>
      <c r="E211" s="1158" t="inlineStr">
        <is>
          <t>17</t>
        </is>
      </c>
      <c r="F211" s="1158" t="inlineStr">
        <is>
          <t>D</t>
        </is>
      </c>
      <c r="G211" t="inlineStr">
        <is>
          <t>Excellent</t>
        </is>
      </c>
      <c r="H211" s="606" t="n">
        <v>302</v>
      </c>
      <c r="I211">
        <f>B211&amp;"|"&amp;F211&amp;"|"&amp;G211</f>
        <v/>
      </c>
      <c r="J211" t="inlineStr">
        <is>
          <t>15</t>
        </is>
      </c>
      <c r="K211" t="inlineStr">
        <is>
          <t>15</t>
        </is>
      </c>
      <c r="L211" t="inlineStr">
        <is>
          <t>15</t>
        </is>
      </c>
      <c r="M211" t="inlineStr">
        <is>
          <t>MVS Sec.15 p.17</t>
        </is>
      </c>
    </row>
    <row r="212">
      <c r="B212" s="1158" t="inlineStr">
        <is>
          <t>Office Buildings</t>
        </is>
      </c>
      <c r="C212" s="1158" t="inlineStr">
        <is>
          <t>344</t>
        </is>
      </c>
      <c r="D212" s="1158" t="inlineStr">
        <is>
          <t>15</t>
        </is>
      </c>
      <c r="E212" s="1158" t="inlineStr">
        <is>
          <t>17</t>
        </is>
      </c>
      <c r="F212" s="1158" t="inlineStr">
        <is>
          <t>D</t>
        </is>
      </c>
      <c r="G212" t="inlineStr">
        <is>
          <t>Good</t>
        </is>
      </c>
      <c r="H212" s="606" t="n">
        <v>210</v>
      </c>
      <c r="I212">
        <f>B212&amp;"|"&amp;F212&amp;"|"&amp;G212</f>
        <v/>
      </c>
      <c r="J212" t="inlineStr">
        <is>
          <t>15</t>
        </is>
      </c>
      <c r="K212" t="inlineStr">
        <is>
          <t>15</t>
        </is>
      </c>
      <c r="L212" t="inlineStr">
        <is>
          <t>15</t>
        </is>
      </c>
      <c r="M212" t="inlineStr">
        <is>
          <t>MVS Sec.15 p.17</t>
        </is>
      </c>
    </row>
    <row r="213">
      <c r="B213" s="1158" t="inlineStr">
        <is>
          <t>Office Buildings</t>
        </is>
      </c>
      <c r="C213" s="1158" t="inlineStr">
        <is>
          <t>344</t>
        </is>
      </c>
      <c r="D213" s="1158" t="inlineStr">
        <is>
          <t>15</t>
        </is>
      </c>
      <c r="E213" s="1158" t="inlineStr">
        <is>
          <t>17</t>
        </is>
      </c>
      <c r="F213" s="1158" t="inlineStr">
        <is>
          <t>D</t>
        </is>
      </c>
      <c r="G213" t="inlineStr">
        <is>
          <t>Average</t>
        </is>
      </c>
      <c r="H213" s="606" t="n">
        <v>149</v>
      </c>
      <c r="I213">
        <f>B213&amp;"|"&amp;F213&amp;"|"&amp;G213</f>
        <v/>
      </c>
      <c r="J213" t="inlineStr">
        <is>
          <t>15</t>
        </is>
      </c>
      <c r="K213" t="inlineStr">
        <is>
          <t>15</t>
        </is>
      </c>
      <c r="L213" t="inlineStr">
        <is>
          <t>15</t>
        </is>
      </c>
      <c r="M213" t="inlineStr">
        <is>
          <t>MVS Sec.15 p.17</t>
        </is>
      </c>
    </row>
    <row r="214">
      <c r="B214" s="1158" t="inlineStr">
        <is>
          <t>Office Buildings</t>
        </is>
      </c>
      <c r="C214" s="1158" t="inlineStr">
        <is>
          <t>344</t>
        </is>
      </c>
      <c r="D214" s="1158" t="inlineStr">
        <is>
          <t>15</t>
        </is>
      </c>
      <c r="E214" s="1158" t="inlineStr">
        <is>
          <t>17</t>
        </is>
      </c>
      <c r="F214" s="1158" t="inlineStr">
        <is>
          <t>D</t>
        </is>
      </c>
      <c r="G214" t="inlineStr">
        <is>
          <t>Low Cost</t>
        </is>
      </c>
      <c r="H214" s="606" t="n">
        <v>99.5</v>
      </c>
      <c r="I214">
        <f>B214&amp;"|"&amp;F214&amp;"|"&amp;G214</f>
        <v/>
      </c>
      <c r="J214" t="inlineStr">
        <is>
          <t>15</t>
        </is>
      </c>
      <c r="K214" t="inlineStr">
        <is>
          <t>15</t>
        </is>
      </c>
      <c r="L214" t="inlineStr">
        <is>
          <t>15</t>
        </is>
      </c>
      <c r="M214" t="inlineStr">
        <is>
          <t>MVS Sec.15 p.17</t>
        </is>
      </c>
    </row>
    <row r="215">
      <c r="B215" s="1158" t="inlineStr">
        <is>
          <t>Office Buildings</t>
        </is>
      </c>
      <c r="C215" s="1158" t="inlineStr">
        <is>
          <t>344</t>
        </is>
      </c>
      <c r="D215" s="1158" t="inlineStr">
        <is>
          <t>15</t>
        </is>
      </c>
      <c r="E215" s="1158" t="inlineStr">
        <is>
          <t>17</t>
        </is>
      </c>
      <c r="F215" s="1158" t="inlineStr">
        <is>
          <t>DPOLE</t>
        </is>
      </c>
      <c r="G215" t="inlineStr">
        <is>
          <t>Good</t>
        </is>
      </c>
      <c r="H215" s="606" t="n">
        <v>198</v>
      </c>
      <c r="I215">
        <f>B215&amp;"|"&amp;F215&amp;"|"&amp;G215</f>
        <v/>
      </c>
      <c r="J215" t="inlineStr">
        <is>
          <t>15</t>
        </is>
      </c>
      <c r="K215" t="inlineStr">
        <is>
          <t>15</t>
        </is>
      </c>
      <c r="L215" t="inlineStr">
        <is>
          <t>15</t>
        </is>
      </c>
      <c r="M215" t="inlineStr">
        <is>
          <t>MVS Sec.15 p.17</t>
        </is>
      </c>
    </row>
    <row r="216">
      <c r="B216" s="1158" t="inlineStr">
        <is>
          <t>Office Buildings</t>
        </is>
      </c>
      <c r="C216" s="1158" t="inlineStr">
        <is>
          <t>344</t>
        </is>
      </c>
      <c r="D216" s="1158" t="inlineStr">
        <is>
          <t>15</t>
        </is>
      </c>
      <c r="E216" s="1158" t="inlineStr">
        <is>
          <t>17</t>
        </is>
      </c>
      <c r="F216" s="1158" t="inlineStr">
        <is>
          <t>DPOLE</t>
        </is>
      </c>
      <c r="G216" t="inlineStr">
        <is>
          <t>Average</t>
        </is>
      </c>
      <c r="H216" s="606" t="n">
        <v>135</v>
      </c>
      <c r="I216">
        <f>B216&amp;"|"&amp;F216&amp;"|"&amp;G216</f>
        <v/>
      </c>
      <c r="J216" t="inlineStr">
        <is>
          <t>15</t>
        </is>
      </c>
      <c r="K216" t="inlineStr">
        <is>
          <t>15</t>
        </is>
      </c>
      <c r="L216" t="inlineStr">
        <is>
          <t>15</t>
        </is>
      </c>
      <c r="M216" t="inlineStr">
        <is>
          <t>MVS Sec.15 p.17</t>
        </is>
      </c>
    </row>
    <row r="217">
      <c r="B217" s="1158" t="inlineStr">
        <is>
          <t>Office Buildings</t>
        </is>
      </c>
      <c r="C217" s="1158" t="inlineStr">
        <is>
          <t>344</t>
        </is>
      </c>
      <c r="D217" s="1158" t="inlineStr">
        <is>
          <t>15</t>
        </is>
      </c>
      <c r="E217" s="1158" t="inlineStr">
        <is>
          <t>17</t>
        </is>
      </c>
      <c r="F217" s="1158" t="inlineStr">
        <is>
          <t>DPOLE</t>
        </is>
      </c>
      <c r="G217" t="inlineStr">
        <is>
          <t>Low Cost</t>
        </is>
      </c>
      <c r="H217" s="606" t="n">
        <v>91.5</v>
      </c>
      <c r="I217">
        <f>B217&amp;"|"&amp;F217&amp;"|"&amp;G217</f>
        <v/>
      </c>
      <c r="J217" t="inlineStr">
        <is>
          <t>15</t>
        </is>
      </c>
      <c r="K217" t="inlineStr">
        <is>
          <t>15</t>
        </is>
      </c>
      <c r="L217" t="inlineStr">
        <is>
          <t>15</t>
        </is>
      </c>
      <c r="M217" t="inlineStr">
        <is>
          <t>MVS Sec.15 p.17</t>
        </is>
      </c>
    </row>
    <row r="218">
      <c r="B218" s="1158" t="inlineStr">
        <is>
          <t>Office Buildings</t>
        </is>
      </c>
      <c r="C218" s="1158" t="inlineStr">
        <is>
          <t>344</t>
        </is>
      </c>
      <c r="D218" s="1158" t="inlineStr">
        <is>
          <t>15</t>
        </is>
      </c>
      <c r="E218" s="1158" t="inlineStr">
        <is>
          <t>17</t>
        </is>
      </c>
      <c r="F218" s="1158" t="inlineStr">
        <is>
          <t>S</t>
        </is>
      </c>
      <c r="G218" t="inlineStr">
        <is>
          <t>Good</t>
        </is>
      </c>
      <c r="H218" s="606" t="n">
        <v>203</v>
      </c>
      <c r="I218">
        <f>B218&amp;"|"&amp;F218&amp;"|"&amp;G218</f>
        <v/>
      </c>
      <c r="J218" t="inlineStr">
        <is>
          <t>15</t>
        </is>
      </c>
      <c r="K218" t="inlineStr">
        <is>
          <t>15</t>
        </is>
      </c>
      <c r="L218" t="inlineStr">
        <is>
          <t>15</t>
        </is>
      </c>
      <c r="M218" t="inlineStr">
        <is>
          <t>MVS Sec.15 p.17</t>
        </is>
      </c>
    </row>
    <row r="219">
      <c r="B219" s="1158" t="inlineStr">
        <is>
          <t>Office Buildings</t>
        </is>
      </c>
      <c r="C219" s="1158" t="inlineStr">
        <is>
          <t>344</t>
        </is>
      </c>
      <c r="D219" s="1158" t="inlineStr">
        <is>
          <t>15</t>
        </is>
      </c>
      <c r="E219" s="1158" t="inlineStr">
        <is>
          <t>17</t>
        </is>
      </c>
      <c r="F219" s="1158" t="inlineStr">
        <is>
          <t>S</t>
        </is>
      </c>
      <c r="G219" t="inlineStr">
        <is>
          <t>Average</t>
        </is>
      </c>
      <c r="H219" s="606" t="n">
        <v>140</v>
      </c>
      <c r="I219">
        <f>B219&amp;"|"&amp;F219&amp;"|"&amp;G219</f>
        <v/>
      </c>
      <c r="J219" t="inlineStr">
        <is>
          <t>15</t>
        </is>
      </c>
      <c r="K219" t="inlineStr">
        <is>
          <t>15</t>
        </is>
      </c>
      <c r="L219" t="inlineStr">
        <is>
          <t>15</t>
        </is>
      </c>
      <c r="M219" t="inlineStr">
        <is>
          <t>MVS Sec.15 p.17</t>
        </is>
      </c>
    </row>
    <row r="220">
      <c r="B220" s="1158" t="inlineStr">
        <is>
          <t>Office Buildings</t>
        </is>
      </c>
      <c r="C220" s="1158" t="inlineStr">
        <is>
          <t>344</t>
        </is>
      </c>
      <c r="D220" s="1158" t="inlineStr">
        <is>
          <t>15</t>
        </is>
      </c>
      <c r="E220" s="1158" t="inlineStr">
        <is>
          <t>17</t>
        </is>
      </c>
      <c r="F220" s="1158" t="inlineStr">
        <is>
          <t>S</t>
        </is>
      </c>
      <c r="G220" t="inlineStr">
        <is>
          <t>Low Cost</t>
        </is>
      </c>
      <c r="H220" s="606" t="n">
        <v>94.5</v>
      </c>
      <c r="I220">
        <f>B220&amp;"|"&amp;F220&amp;"|"&amp;G220</f>
        <v/>
      </c>
      <c r="J220" t="inlineStr">
        <is>
          <t>15</t>
        </is>
      </c>
      <c r="K220" t="inlineStr">
        <is>
          <t>15</t>
        </is>
      </c>
      <c r="L220" t="inlineStr">
        <is>
          <t>15</t>
        </is>
      </c>
      <c r="M220" t="inlineStr">
        <is>
          <t>MVS Sec.15 p.17</t>
        </is>
      </c>
    </row>
    <row r="221">
      <c r="B221" s="1158" t="inlineStr">
        <is>
          <t>Medical Office Buildings</t>
        </is>
      </c>
      <c r="C221" s="1158" t="inlineStr">
        <is>
          <t>341</t>
        </is>
      </c>
      <c r="D221" s="1158" t="inlineStr">
        <is>
          <t>15</t>
        </is>
      </c>
      <c r="E221" s="1158" t="inlineStr">
        <is>
          <t>22</t>
        </is>
      </c>
      <c r="F221" s="1158" t="inlineStr">
        <is>
          <t>A</t>
        </is>
      </c>
      <c r="G221" t="inlineStr">
        <is>
          <t>Excellent</t>
        </is>
      </c>
      <c r="H221" s="606" t="n">
        <v>438</v>
      </c>
      <c r="I221">
        <f>B221&amp;"|"&amp;F221&amp;"|"&amp;G221</f>
        <v/>
      </c>
      <c r="J221" t="inlineStr">
        <is>
          <t>15</t>
        </is>
      </c>
      <c r="K221" t="inlineStr">
        <is>
          <t>15</t>
        </is>
      </c>
      <c r="L221" t="inlineStr">
        <is>
          <t>15</t>
        </is>
      </c>
      <c r="M221" t="inlineStr">
        <is>
          <t>MVS Sec.15 p.22</t>
        </is>
      </c>
    </row>
    <row r="222">
      <c r="B222" s="1158" t="inlineStr">
        <is>
          <t>Medical Office Buildings</t>
        </is>
      </c>
      <c r="C222" s="1158" t="inlineStr">
        <is>
          <t>341</t>
        </is>
      </c>
      <c r="D222" s="1158" t="inlineStr">
        <is>
          <t>15</t>
        </is>
      </c>
      <c r="E222" s="1158" t="inlineStr">
        <is>
          <t>22</t>
        </is>
      </c>
      <c r="F222" s="1158" t="inlineStr">
        <is>
          <t>A</t>
        </is>
      </c>
      <c r="G222" t="inlineStr">
        <is>
          <t>Good</t>
        </is>
      </c>
      <c r="H222" s="606" t="n">
        <v>351</v>
      </c>
      <c r="I222">
        <f>B222&amp;"|"&amp;F222&amp;"|"&amp;G222</f>
        <v/>
      </c>
      <c r="J222" t="inlineStr">
        <is>
          <t>15</t>
        </is>
      </c>
      <c r="K222" t="inlineStr">
        <is>
          <t>15</t>
        </is>
      </c>
      <c r="L222" t="inlineStr">
        <is>
          <t>15</t>
        </is>
      </c>
      <c r="M222" t="inlineStr">
        <is>
          <t>MVS Sec.15 p.22</t>
        </is>
      </c>
    </row>
    <row r="223">
      <c r="B223" s="1158" t="inlineStr">
        <is>
          <t>Medical Office Buildings</t>
        </is>
      </c>
      <c r="C223" s="1158" t="inlineStr">
        <is>
          <t>341</t>
        </is>
      </c>
      <c r="D223" s="1158" t="inlineStr">
        <is>
          <t>15</t>
        </is>
      </c>
      <c r="E223" s="1158" t="inlineStr">
        <is>
          <t>22</t>
        </is>
      </c>
      <c r="F223" s="1158" t="inlineStr">
        <is>
          <t>A</t>
        </is>
      </c>
      <c r="G223" t="inlineStr">
        <is>
          <t>Average</t>
        </is>
      </c>
      <c r="H223" s="606" t="n">
        <v>270</v>
      </c>
      <c r="I223">
        <f>B223&amp;"|"&amp;F223&amp;"|"&amp;G223</f>
        <v/>
      </c>
      <c r="J223" t="inlineStr">
        <is>
          <t>15</t>
        </is>
      </c>
      <c r="K223" t="inlineStr">
        <is>
          <t>15</t>
        </is>
      </c>
      <c r="L223" t="inlineStr">
        <is>
          <t>15</t>
        </is>
      </c>
      <c r="M223" t="inlineStr">
        <is>
          <t>MVS Sec.15 p.22</t>
        </is>
      </c>
    </row>
    <row r="224">
      <c r="B224" s="1158" t="inlineStr">
        <is>
          <t>Medical Office Buildings</t>
        </is>
      </c>
      <c r="C224" s="1158" t="inlineStr">
        <is>
          <t>341</t>
        </is>
      </c>
      <c r="D224" s="1158" t="inlineStr">
        <is>
          <t>15</t>
        </is>
      </c>
      <c r="E224" s="1158" t="inlineStr">
        <is>
          <t>22</t>
        </is>
      </c>
      <c r="F224" s="1158" t="inlineStr">
        <is>
          <t>A</t>
        </is>
      </c>
      <c r="G224" t="inlineStr">
        <is>
          <t>Low Cost</t>
        </is>
      </c>
      <c r="H224" s="606" t="n">
        <v>207</v>
      </c>
      <c r="I224">
        <f>B224&amp;"|"&amp;F224&amp;"|"&amp;G224</f>
        <v/>
      </c>
      <c r="J224" t="inlineStr">
        <is>
          <t>15</t>
        </is>
      </c>
      <c r="K224" t="inlineStr">
        <is>
          <t>15</t>
        </is>
      </c>
      <c r="L224" t="inlineStr">
        <is>
          <t>15</t>
        </is>
      </c>
      <c r="M224" t="inlineStr">
        <is>
          <t>MVS Sec.15 p.22</t>
        </is>
      </c>
    </row>
    <row r="225">
      <c r="B225" s="1158" t="inlineStr">
        <is>
          <t>Medical Office Buildings</t>
        </is>
      </c>
      <c r="C225" s="1158" t="inlineStr">
        <is>
          <t>341</t>
        </is>
      </c>
      <c r="D225" s="1158" t="inlineStr">
        <is>
          <t>15</t>
        </is>
      </c>
      <c r="E225" s="1158" t="inlineStr">
        <is>
          <t>22</t>
        </is>
      </c>
      <c r="F225" s="1158" t="inlineStr">
        <is>
          <t>B</t>
        </is>
      </c>
      <c r="G225" t="inlineStr">
        <is>
          <t>Excellent</t>
        </is>
      </c>
      <c r="H225" s="606" t="n">
        <v>402</v>
      </c>
      <c r="I225">
        <f>B225&amp;"|"&amp;F225&amp;"|"&amp;G225</f>
        <v/>
      </c>
      <c r="J225" t="inlineStr">
        <is>
          <t>15</t>
        </is>
      </c>
      <c r="K225" t="inlineStr">
        <is>
          <t>15</t>
        </is>
      </c>
      <c r="L225" t="inlineStr">
        <is>
          <t>15</t>
        </is>
      </c>
      <c r="M225" t="inlineStr">
        <is>
          <t>MVS Sec.15 p.22</t>
        </is>
      </c>
    </row>
    <row r="226">
      <c r="B226" s="1158" t="inlineStr">
        <is>
          <t>Medical Office Buildings</t>
        </is>
      </c>
      <c r="C226" s="1158" t="inlineStr">
        <is>
          <t>341</t>
        </is>
      </c>
      <c r="D226" s="1158" t="inlineStr">
        <is>
          <t>15</t>
        </is>
      </c>
      <c r="E226" s="1158" t="inlineStr">
        <is>
          <t>22</t>
        </is>
      </c>
      <c r="F226" s="1158" t="inlineStr">
        <is>
          <t>B</t>
        </is>
      </c>
      <c r="G226" t="inlineStr">
        <is>
          <t>Good</t>
        </is>
      </c>
      <c r="H226" s="606" t="n">
        <v>322</v>
      </c>
      <c r="I226">
        <f>B226&amp;"|"&amp;F226&amp;"|"&amp;G226</f>
        <v/>
      </c>
      <c r="J226" t="inlineStr">
        <is>
          <t>15</t>
        </is>
      </c>
      <c r="K226" t="inlineStr">
        <is>
          <t>15</t>
        </is>
      </c>
      <c r="L226" t="inlineStr">
        <is>
          <t>15</t>
        </is>
      </c>
      <c r="M226" t="inlineStr">
        <is>
          <t>MVS Sec.15 p.22</t>
        </is>
      </c>
    </row>
    <row r="227">
      <c r="B227" s="1158" t="inlineStr">
        <is>
          <t>Medical Office Buildings</t>
        </is>
      </c>
      <c r="C227" s="1158" t="inlineStr">
        <is>
          <t>341</t>
        </is>
      </c>
      <c r="D227" s="1158" t="inlineStr">
        <is>
          <t>15</t>
        </is>
      </c>
      <c r="E227" s="1158" t="inlineStr">
        <is>
          <t>22</t>
        </is>
      </c>
      <c r="F227" s="1158" t="inlineStr">
        <is>
          <t>B</t>
        </is>
      </c>
      <c r="G227" t="inlineStr">
        <is>
          <t>Average</t>
        </is>
      </c>
      <c r="H227" s="606" t="n">
        <v>246</v>
      </c>
      <c r="I227">
        <f>B227&amp;"|"&amp;F227&amp;"|"&amp;G227</f>
        <v/>
      </c>
      <c r="J227" t="inlineStr">
        <is>
          <t>15</t>
        </is>
      </c>
      <c r="K227" t="inlineStr">
        <is>
          <t>15</t>
        </is>
      </c>
      <c r="L227" t="inlineStr">
        <is>
          <t>15</t>
        </is>
      </c>
      <c r="M227" t="inlineStr">
        <is>
          <t>MVS Sec.15 p.22</t>
        </is>
      </c>
    </row>
    <row r="228">
      <c r="B228" s="1158" t="inlineStr">
        <is>
          <t>Medical Office Buildings</t>
        </is>
      </c>
      <c r="C228" s="1158" t="inlineStr">
        <is>
          <t>341</t>
        </is>
      </c>
      <c r="D228" s="1158" t="inlineStr">
        <is>
          <t>15</t>
        </is>
      </c>
      <c r="E228" s="1158" t="inlineStr">
        <is>
          <t>22</t>
        </is>
      </c>
      <c r="F228" s="1158" t="inlineStr">
        <is>
          <t>B</t>
        </is>
      </c>
      <c r="G228" t="inlineStr">
        <is>
          <t>Low Cost</t>
        </is>
      </c>
      <c r="H228" s="606" t="n">
        <v>187</v>
      </c>
      <c r="I228">
        <f>B228&amp;"|"&amp;F228&amp;"|"&amp;G228</f>
        <v/>
      </c>
      <c r="J228" t="inlineStr">
        <is>
          <t>15</t>
        </is>
      </c>
      <c r="K228" t="inlineStr">
        <is>
          <t>15</t>
        </is>
      </c>
      <c r="L228" t="inlineStr">
        <is>
          <t>15</t>
        </is>
      </c>
      <c r="M228" t="inlineStr">
        <is>
          <t>MVS Sec.15 p.22</t>
        </is>
      </c>
    </row>
    <row r="229">
      <c r="B229" s="1158" t="inlineStr">
        <is>
          <t>Medical Office Buildings</t>
        </is>
      </c>
      <c r="C229" s="1158" t="inlineStr">
        <is>
          <t>341</t>
        </is>
      </c>
      <c r="D229" s="1158" t="inlineStr">
        <is>
          <t>15</t>
        </is>
      </c>
      <c r="E229" s="1158" t="inlineStr">
        <is>
          <t>22</t>
        </is>
      </c>
      <c r="F229" s="1158" t="inlineStr">
        <is>
          <t>C</t>
        </is>
      </c>
      <c r="G229" t="inlineStr">
        <is>
          <t>Excellent</t>
        </is>
      </c>
      <c r="H229" s="606" t="n">
        <v>344</v>
      </c>
      <c r="I229">
        <f>B229&amp;"|"&amp;F229&amp;"|"&amp;G229</f>
        <v/>
      </c>
      <c r="J229" t="inlineStr">
        <is>
          <t>15</t>
        </is>
      </c>
      <c r="K229" t="inlineStr">
        <is>
          <t>15</t>
        </is>
      </c>
      <c r="L229" t="inlineStr">
        <is>
          <t>15</t>
        </is>
      </c>
      <c r="M229" t="inlineStr">
        <is>
          <t>MVS Sec.15 p.22</t>
        </is>
      </c>
    </row>
    <row r="230">
      <c r="B230" s="1158" t="inlineStr">
        <is>
          <t>Medical Office Buildings</t>
        </is>
      </c>
      <c r="C230" s="1158" t="inlineStr">
        <is>
          <t>341</t>
        </is>
      </c>
      <c r="D230" s="1158" t="inlineStr">
        <is>
          <t>15</t>
        </is>
      </c>
      <c r="E230" s="1158" t="inlineStr">
        <is>
          <t>22</t>
        </is>
      </c>
      <c r="F230" s="1158" t="inlineStr">
        <is>
          <t>C</t>
        </is>
      </c>
      <c r="G230" t="inlineStr">
        <is>
          <t>Good</t>
        </is>
      </c>
      <c r="H230" s="606" t="n">
        <v>261</v>
      </c>
      <c r="I230">
        <f>B230&amp;"|"&amp;F230&amp;"|"&amp;G230</f>
        <v/>
      </c>
      <c r="J230" t="inlineStr">
        <is>
          <t>15</t>
        </is>
      </c>
      <c r="K230" t="inlineStr">
        <is>
          <t>15</t>
        </is>
      </c>
      <c r="L230" t="inlineStr">
        <is>
          <t>15</t>
        </is>
      </c>
      <c r="M230" t="inlineStr">
        <is>
          <t>MVS Sec.15 p.22</t>
        </is>
      </c>
    </row>
    <row r="231">
      <c r="B231" s="1158" t="inlineStr">
        <is>
          <t>Medical Office Buildings</t>
        </is>
      </c>
      <c r="C231" s="1158" t="inlineStr">
        <is>
          <t>341</t>
        </is>
      </c>
      <c r="D231" s="1158" t="inlineStr">
        <is>
          <t>15</t>
        </is>
      </c>
      <c r="E231" s="1158" t="inlineStr">
        <is>
          <t>22</t>
        </is>
      </c>
      <c r="F231" s="1158" t="inlineStr">
        <is>
          <t>C</t>
        </is>
      </c>
      <c r="G231" t="inlineStr">
        <is>
          <t>Average</t>
        </is>
      </c>
      <c r="H231" s="606" t="n">
        <v>198</v>
      </c>
      <c r="I231">
        <f>B231&amp;"|"&amp;F231&amp;"|"&amp;G231</f>
        <v/>
      </c>
      <c r="J231" t="inlineStr">
        <is>
          <t>15</t>
        </is>
      </c>
      <c r="K231" t="inlineStr">
        <is>
          <t>15</t>
        </is>
      </c>
      <c r="L231" t="inlineStr">
        <is>
          <t>15</t>
        </is>
      </c>
      <c r="M231" t="inlineStr">
        <is>
          <t>MVS Sec.15 p.22</t>
        </is>
      </c>
    </row>
    <row r="232">
      <c r="B232" s="1158" t="inlineStr">
        <is>
          <t>Medical Office Buildings</t>
        </is>
      </c>
      <c r="C232" s="1158" t="inlineStr">
        <is>
          <t>341</t>
        </is>
      </c>
      <c r="D232" s="1158" t="inlineStr">
        <is>
          <t>15</t>
        </is>
      </c>
      <c r="E232" s="1158" t="inlineStr">
        <is>
          <t>22</t>
        </is>
      </c>
      <c r="F232" s="1158" t="inlineStr">
        <is>
          <t>C</t>
        </is>
      </c>
      <c r="G232" t="inlineStr">
        <is>
          <t>Low Cost</t>
        </is>
      </c>
      <c r="H232" s="606" t="n">
        <v>150</v>
      </c>
      <c r="I232">
        <f>B232&amp;"|"&amp;F232&amp;"|"&amp;G232</f>
        <v/>
      </c>
      <c r="J232" t="inlineStr">
        <is>
          <t>15</t>
        </is>
      </c>
      <c r="K232" t="inlineStr">
        <is>
          <t>15</t>
        </is>
      </c>
      <c r="L232" t="inlineStr">
        <is>
          <t>15</t>
        </is>
      </c>
      <c r="M232" t="inlineStr">
        <is>
          <t>MVS Sec.15 p.22</t>
        </is>
      </c>
    </row>
    <row r="233">
      <c r="B233" s="1158" t="inlineStr">
        <is>
          <t>Medical Office Buildings</t>
        </is>
      </c>
      <c r="C233" s="1158" t="inlineStr">
        <is>
          <t>341</t>
        </is>
      </c>
      <c r="D233" s="1158" t="inlineStr">
        <is>
          <t>15</t>
        </is>
      </c>
      <c r="E233" s="1158" t="inlineStr">
        <is>
          <t>22</t>
        </is>
      </c>
      <c r="F233" s="1158" t="inlineStr">
        <is>
          <t>D</t>
        </is>
      </c>
      <c r="G233" t="inlineStr">
        <is>
          <t>Excellent</t>
        </is>
      </c>
      <c r="H233" s="606" t="n">
        <v>314</v>
      </c>
      <c r="I233">
        <f>B233&amp;"|"&amp;F233&amp;"|"&amp;G233</f>
        <v/>
      </c>
      <c r="J233" t="inlineStr">
        <is>
          <t>15</t>
        </is>
      </c>
      <c r="K233" t="inlineStr">
        <is>
          <t>15</t>
        </is>
      </c>
      <c r="L233" t="inlineStr">
        <is>
          <t>15</t>
        </is>
      </c>
      <c r="M233" t="inlineStr">
        <is>
          <t>MVS Sec.15 p.22</t>
        </is>
      </c>
    </row>
    <row r="234">
      <c r="B234" s="1158" t="inlineStr">
        <is>
          <t>Medical Office Buildings</t>
        </is>
      </c>
      <c r="C234" s="1158" t="inlineStr">
        <is>
          <t>341</t>
        </is>
      </c>
      <c r="D234" s="1158" t="inlineStr">
        <is>
          <t>15</t>
        </is>
      </c>
      <c r="E234" s="1158" t="inlineStr">
        <is>
          <t>22</t>
        </is>
      </c>
      <c r="F234" s="1158" t="inlineStr">
        <is>
          <t>D</t>
        </is>
      </c>
      <c r="G234" t="inlineStr">
        <is>
          <t>Good</t>
        </is>
      </c>
      <c r="H234" s="606" t="n">
        <v>249</v>
      </c>
      <c r="I234">
        <f>B234&amp;"|"&amp;F234&amp;"|"&amp;G234</f>
        <v/>
      </c>
      <c r="J234" t="inlineStr">
        <is>
          <t>15</t>
        </is>
      </c>
      <c r="K234" t="inlineStr">
        <is>
          <t>15</t>
        </is>
      </c>
      <c r="L234" t="inlineStr">
        <is>
          <t>15</t>
        </is>
      </c>
      <c r="M234" t="inlineStr">
        <is>
          <t>MVS Sec.15 p.22</t>
        </is>
      </c>
    </row>
    <row r="235">
      <c r="B235" s="1158" t="inlineStr">
        <is>
          <t>Medical Office Buildings</t>
        </is>
      </c>
      <c r="C235" s="1158" t="inlineStr">
        <is>
          <t>341</t>
        </is>
      </c>
      <c r="D235" s="1158" t="inlineStr">
        <is>
          <t>15</t>
        </is>
      </c>
      <c r="E235" s="1158" t="inlineStr">
        <is>
          <t>22</t>
        </is>
      </c>
      <c r="F235" s="1158" t="inlineStr">
        <is>
          <t>D</t>
        </is>
      </c>
      <c r="G235" t="inlineStr">
        <is>
          <t>Average</t>
        </is>
      </c>
      <c r="H235" s="606" t="n">
        <v>189</v>
      </c>
      <c r="I235">
        <f>B235&amp;"|"&amp;F235&amp;"|"&amp;G235</f>
        <v/>
      </c>
      <c r="J235" t="inlineStr">
        <is>
          <t>15</t>
        </is>
      </c>
      <c r="K235" t="inlineStr">
        <is>
          <t>15</t>
        </is>
      </c>
      <c r="L235" t="inlineStr">
        <is>
          <t>15</t>
        </is>
      </c>
      <c r="M235" t="inlineStr">
        <is>
          <t>MVS Sec.15 p.22</t>
        </is>
      </c>
    </row>
    <row r="236">
      <c r="B236" s="1158" t="inlineStr">
        <is>
          <t>Medical Office Buildings</t>
        </is>
      </c>
      <c r="C236" s="1158" t="inlineStr">
        <is>
          <t>341</t>
        </is>
      </c>
      <c r="D236" s="1158" t="inlineStr">
        <is>
          <t>15</t>
        </is>
      </c>
      <c r="E236" s="1158" t="inlineStr">
        <is>
          <t>22</t>
        </is>
      </c>
      <c r="F236" s="1158" t="inlineStr">
        <is>
          <t>D</t>
        </is>
      </c>
      <c r="G236" t="inlineStr">
        <is>
          <t>Low Cost</t>
        </is>
      </c>
      <c r="H236" s="606" t="n">
        <v>144</v>
      </c>
      <c r="I236">
        <f>B236&amp;"|"&amp;F236&amp;"|"&amp;G236</f>
        <v/>
      </c>
      <c r="J236" t="inlineStr">
        <is>
          <t>15</t>
        </is>
      </c>
      <c r="K236" t="inlineStr">
        <is>
          <t>15</t>
        </is>
      </c>
      <c r="L236" t="inlineStr">
        <is>
          <t>15</t>
        </is>
      </c>
      <c r="M236" t="inlineStr">
        <is>
          <t>MVS Sec.15 p.22</t>
        </is>
      </c>
    </row>
    <row r="237">
      <c r="B237" s="1158" t="inlineStr">
        <is>
          <t>Medical Office Buildings</t>
        </is>
      </c>
      <c r="C237" s="1158" t="inlineStr">
        <is>
          <t>341</t>
        </is>
      </c>
      <c r="D237" s="1158" t="inlineStr">
        <is>
          <t>15</t>
        </is>
      </c>
      <c r="E237" s="1158" t="inlineStr">
        <is>
          <t>22</t>
        </is>
      </c>
      <c r="F237" s="1158" t="inlineStr">
        <is>
          <t>DPOLE</t>
        </is>
      </c>
      <c r="G237" t="inlineStr">
        <is>
          <t>Low Cost</t>
        </is>
      </c>
      <c r="H237" s="606" t="n">
        <v>132</v>
      </c>
      <c r="I237">
        <f>B237&amp;"|"&amp;F237&amp;"|"&amp;G237</f>
        <v/>
      </c>
      <c r="J237" t="inlineStr">
        <is>
          <t>15</t>
        </is>
      </c>
      <c r="K237" t="inlineStr">
        <is>
          <t>15</t>
        </is>
      </c>
      <c r="L237" t="inlineStr">
        <is>
          <t>15</t>
        </is>
      </c>
      <c r="M237" t="inlineStr">
        <is>
          <t>MVS Sec.15 p.22</t>
        </is>
      </c>
    </row>
    <row r="238">
      <c r="B238" s="1158" t="inlineStr">
        <is>
          <t>Medical Office Buildings</t>
        </is>
      </c>
      <c r="C238" s="1158" t="inlineStr">
        <is>
          <t>341</t>
        </is>
      </c>
      <c r="D238" s="1158" t="inlineStr">
        <is>
          <t>15</t>
        </is>
      </c>
      <c r="E238" s="1158" t="inlineStr">
        <is>
          <t>22</t>
        </is>
      </c>
      <c r="F238" s="1158" t="inlineStr">
        <is>
          <t>S</t>
        </is>
      </c>
      <c r="G238" t="inlineStr">
        <is>
          <t>Good</t>
        </is>
      </c>
      <c r="H238" s="606" t="n">
        <v>242</v>
      </c>
      <c r="I238">
        <f>B238&amp;"|"&amp;F238&amp;"|"&amp;G238</f>
        <v/>
      </c>
      <c r="J238" t="inlineStr">
        <is>
          <t>15</t>
        </is>
      </c>
      <c r="K238" t="inlineStr">
        <is>
          <t>15</t>
        </is>
      </c>
      <c r="L238" t="inlineStr">
        <is>
          <t>15</t>
        </is>
      </c>
      <c r="M238" t="inlineStr">
        <is>
          <t>MVS Sec.15 p.22</t>
        </is>
      </c>
    </row>
    <row r="239">
      <c r="B239" s="1158" t="inlineStr">
        <is>
          <t>Medical Office Buildings</t>
        </is>
      </c>
      <c r="C239" s="1158" t="inlineStr">
        <is>
          <t>341</t>
        </is>
      </c>
      <c r="D239" s="1158" t="inlineStr">
        <is>
          <t>15</t>
        </is>
      </c>
      <c r="E239" s="1158" t="inlineStr">
        <is>
          <t>22</t>
        </is>
      </c>
      <c r="F239" s="1158" t="inlineStr">
        <is>
          <t>S</t>
        </is>
      </c>
      <c r="G239" t="inlineStr">
        <is>
          <t>Average</t>
        </is>
      </c>
      <c r="H239" s="606" t="n">
        <v>177</v>
      </c>
      <c r="I239">
        <f>B239&amp;"|"&amp;F239&amp;"|"&amp;G239</f>
        <v/>
      </c>
      <c r="J239" t="inlineStr">
        <is>
          <t>15</t>
        </is>
      </c>
      <c r="K239" t="inlineStr">
        <is>
          <t>15</t>
        </is>
      </c>
      <c r="L239" t="inlineStr">
        <is>
          <t>15</t>
        </is>
      </c>
      <c r="M239" t="inlineStr">
        <is>
          <t>MVS Sec.15 p.22</t>
        </is>
      </c>
    </row>
    <row r="240">
      <c r="B240" s="1158" t="inlineStr">
        <is>
          <t>Medical Office Buildings</t>
        </is>
      </c>
      <c r="C240" s="1158" t="inlineStr">
        <is>
          <t>341</t>
        </is>
      </c>
      <c r="D240" s="1158" t="inlineStr">
        <is>
          <t>15</t>
        </is>
      </c>
      <c r="E240" s="1158" t="inlineStr">
        <is>
          <t>22</t>
        </is>
      </c>
      <c r="F240" s="1158" t="inlineStr">
        <is>
          <t>S</t>
        </is>
      </c>
      <c r="G240" t="inlineStr">
        <is>
          <t>Low Cost</t>
        </is>
      </c>
      <c r="H240" s="606" t="n">
        <v>135</v>
      </c>
      <c r="I240">
        <f>B240&amp;"|"&amp;F240&amp;"|"&amp;G240</f>
        <v/>
      </c>
      <c r="J240" t="inlineStr">
        <is>
          <t>15</t>
        </is>
      </c>
      <c r="K240" t="inlineStr">
        <is>
          <t>15</t>
        </is>
      </c>
      <c r="L240" t="inlineStr">
        <is>
          <t>15</t>
        </is>
      </c>
      <c r="M240" t="inlineStr">
        <is>
          <t>MVS Sec.15 p.22</t>
        </is>
      </c>
    </row>
    <row r="241">
      <c r="B241" s="1158" t="inlineStr">
        <is>
          <t>Banks, Branch</t>
        </is>
      </c>
      <c r="C241" s="1158" t="inlineStr">
        <is>
          <t>304</t>
        </is>
      </c>
      <c r="D241" s="1158" t="inlineStr">
        <is>
          <t>15</t>
        </is>
      </c>
      <c r="E241" s="1158" t="inlineStr">
        <is>
          <t>21</t>
        </is>
      </c>
      <c r="F241" s="1158" t="inlineStr">
        <is>
          <t>A</t>
        </is>
      </c>
      <c r="G241" t="inlineStr">
        <is>
          <t>Good</t>
        </is>
      </c>
      <c r="H241" s="606" t="n">
        <v>416</v>
      </c>
      <c r="I241">
        <f>B241&amp;"|"&amp;F241&amp;"|"&amp;G241</f>
        <v/>
      </c>
      <c r="J241" t="inlineStr">
        <is>
          <t>15</t>
        </is>
      </c>
      <c r="K241" t="inlineStr">
        <is>
          <t>15</t>
        </is>
      </c>
      <c r="L241" t="inlineStr">
        <is>
          <t>15</t>
        </is>
      </c>
      <c r="M241" t="inlineStr">
        <is>
          <t>MVS Sec.15 p.21</t>
        </is>
      </c>
    </row>
    <row r="242">
      <c r="B242" s="1158" t="inlineStr">
        <is>
          <t>Banks, Branch</t>
        </is>
      </c>
      <c r="C242" s="1158" t="inlineStr">
        <is>
          <t>304</t>
        </is>
      </c>
      <c r="D242" s="1158" t="inlineStr">
        <is>
          <t>15</t>
        </is>
      </c>
      <c r="E242" s="1158" t="inlineStr">
        <is>
          <t>21</t>
        </is>
      </c>
      <c r="F242" s="1158" t="inlineStr">
        <is>
          <t>A</t>
        </is>
      </c>
      <c r="G242" t="inlineStr">
        <is>
          <t>Average</t>
        </is>
      </c>
      <c r="H242" s="606" t="n">
        <v>327</v>
      </c>
      <c r="I242">
        <f>B242&amp;"|"&amp;F242&amp;"|"&amp;G242</f>
        <v/>
      </c>
      <c r="J242" t="inlineStr">
        <is>
          <t>15</t>
        </is>
      </c>
      <c r="K242" t="inlineStr">
        <is>
          <t>15</t>
        </is>
      </c>
      <c r="L242" t="inlineStr">
        <is>
          <t>15</t>
        </is>
      </c>
      <c r="M242" t="inlineStr">
        <is>
          <t>MVS Sec.15 p.21</t>
        </is>
      </c>
    </row>
    <row r="243">
      <c r="B243" s="1158" t="inlineStr">
        <is>
          <t>Banks, Branch</t>
        </is>
      </c>
      <c r="C243" s="1158" t="inlineStr">
        <is>
          <t>304</t>
        </is>
      </c>
      <c r="D243" s="1158" t="inlineStr">
        <is>
          <t>15</t>
        </is>
      </c>
      <c r="E243" s="1158" t="inlineStr">
        <is>
          <t>21</t>
        </is>
      </c>
      <c r="F243" s="1158" t="inlineStr">
        <is>
          <t>A</t>
        </is>
      </c>
      <c r="G243" t="inlineStr">
        <is>
          <t>Low Cost</t>
        </is>
      </c>
      <c r="H243" s="606" t="n">
        <v>260</v>
      </c>
      <c r="I243">
        <f>B243&amp;"|"&amp;F243&amp;"|"&amp;G243</f>
        <v/>
      </c>
      <c r="J243" t="inlineStr">
        <is>
          <t>15</t>
        </is>
      </c>
      <c r="K243" t="inlineStr">
        <is>
          <t>15</t>
        </is>
      </c>
      <c r="L243" t="inlineStr">
        <is>
          <t>15</t>
        </is>
      </c>
      <c r="M243" t="inlineStr">
        <is>
          <t>MVS Sec.15 p.21</t>
        </is>
      </c>
    </row>
    <row r="244">
      <c r="B244" s="1158" t="inlineStr">
        <is>
          <t>Banks, Branch</t>
        </is>
      </c>
      <c r="C244" s="1158" t="inlineStr">
        <is>
          <t>304</t>
        </is>
      </c>
      <c r="D244" s="1158" t="inlineStr">
        <is>
          <t>15</t>
        </is>
      </c>
      <c r="E244" s="1158" t="inlineStr">
        <is>
          <t>21</t>
        </is>
      </c>
      <c r="F244" s="1158" t="inlineStr">
        <is>
          <t>B</t>
        </is>
      </c>
      <c r="G244" t="inlineStr">
        <is>
          <t>Good</t>
        </is>
      </c>
      <c r="H244" s="606" t="n">
        <v>378</v>
      </c>
      <c r="I244">
        <f>B244&amp;"|"&amp;F244&amp;"|"&amp;G244</f>
        <v/>
      </c>
      <c r="J244" t="inlineStr">
        <is>
          <t>15</t>
        </is>
      </c>
      <c r="K244" t="inlineStr">
        <is>
          <t>15</t>
        </is>
      </c>
      <c r="L244" t="inlineStr">
        <is>
          <t>15</t>
        </is>
      </c>
      <c r="M244" t="inlineStr">
        <is>
          <t>MVS Sec.15 p.21</t>
        </is>
      </c>
    </row>
    <row r="245">
      <c r="B245" s="1158" t="inlineStr">
        <is>
          <t>Banks, Branch</t>
        </is>
      </c>
      <c r="C245" s="1158" t="inlineStr">
        <is>
          <t>304</t>
        </is>
      </c>
      <c r="D245" s="1158" t="inlineStr">
        <is>
          <t>15</t>
        </is>
      </c>
      <c r="E245" s="1158" t="inlineStr">
        <is>
          <t>21</t>
        </is>
      </c>
      <c r="F245" s="1158" t="inlineStr">
        <is>
          <t>B</t>
        </is>
      </c>
      <c r="G245" t="inlineStr">
        <is>
          <t>Average</t>
        </is>
      </c>
      <c r="H245" s="606" t="n">
        <v>296</v>
      </c>
      <c r="I245">
        <f>B245&amp;"|"&amp;F245&amp;"|"&amp;G245</f>
        <v/>
      </c>
      <c r="J245" t="inlineStr">
        <is>
          <t>15</t>
        </is>
      </c>
      <c r="K245" t="inlineStr">
        <is>
          <t>15</t>
        </is>
      </c>
      <c r="L245" t="inlineStr">
        <is>
          <t>15</t>
        </is>
      </c>
      <c r="M245" t="inlineStr">
        <is>
          <t>MVS Sec.15 p.21</t>
        </is>
      </c>
    </row>
    <row r="246">
      <c r="B246" s="1158" t="inlineStr">
        <is>
          <t>Banks, Branch</t>
        </is>
      </c>
      <c r="C246" s="1158" t="inlineStr">
        <is>
          <t>304</t>
        </is>
      </c>
      <c r="D246" s="1158" t="inlineStr">
        <is>
          <t>15</t>
        </is>
      </c>
      <c r="E246" s="1158" t="inlineStr">
        <is>
          <t>21</t>
        </is>
      </c>
      <c r="F246" s="1158" t="inlineStr">
        <is>
          <t>B</t>
        </is>
      </c>
      <c r="G246" t="inlineStr">
        <is>
          <t>Low Cost</t>
        </is>
      </c>
      <c r="H246" s="606" t="n">
        <v>234</v>
      </c>
      <c r="I246">
        <f>B246&amp;"|"&amp;F246&amp;"|"&amp;G246</f>
        <v/>
      </c>
      <c r="J246" t="inlineStr">
        <is>
          <t>15</t>
        </is>
      </c>
      <c r="K246" t="inlineStr">
        <is>
          <t>15</t>
        </is>
      </c>
      <c r="L246" t="inlineStr">
        <is>
          <t>15</t>
        </is>
      </c>
      <c r="M246" t="inlineStr">
        <is>
          <t>MVS Sec.15 p.21</t>
        </is>
      </c>
    </row>
    <row r="247">
      <c r="B247" s="1158" t="inlineStr">
        <is>
          <t>Banks, Branch</t>
        </is>
      </c>
      <c r="C247" s="1158" t="inlineStr">
        <is>
          <t>304</t>
        </is>
      </c>
      <c r="D247" s="1158" t="inlineStr">
        <is>
          <t>15</t>
        </is>
      </c>
      <c r="E247" s="1158" t="inlineStr">
        <is>
          <t>21</t>
        </is>
      </c>
      <c r="F247" s="1158" t="inlineStr">
        <is>
          <t>C</t>
        </is>
      </c>
      <c r="G247" t="inlineStr">
        <is>
          <t>Excellent</t>
        </is>
      </c>
      <c r="H247" s="606" t="n">
        <v>448</v>
      </c>
      <c r="I247">
        <f>B247&amp;"|"&amp;F247&amp;"|"&amp;G247</f>
        <v/>
      </c>
      <c r="J247" t="inlineStr">
        <is>
          <t>15</t>
        </is>
      </c>
      <c r="K247" t="inlineStr">
        <is>
          <t>15</t>
        </is>
      </c>
      <c r="L247" t="inlineStr">
        <is>
          <t>15</t>
        </is>
      </c>
      <c r="M247" t="inlineStr">
        <is>
          <t>MVS Sec.15 p.21</t>
        </is>
      </c>
    </row>
    <row r="248">
      <c r="B248" s="1158" t="inlineStr">
        <is>
          <t>Banks, Branch</t>
        </is>
      </c>
      <c r="C248" s="1158" t="inlineStr">
        <is>
          <t>304</t>
        </is>
      </c>
      <c r="D248" s="1158" t="inlineStr">
        <is>
          <t>15</t>
        </is>
      </c>
      <c r="E248" s="1158" t="inlineStr">
        <is>
          <t>21</t>
        </is>
      </c>
      <c r="F248" s="1158" t="inlineStr">
        <is>
          <t>C</t>
        </is>
      </c>
      <c r="G248" t="inlineStr">
        <is>
          <t>Good</t>
        </is>
      </c>
      <c r="H248" s="606" t="n">
        <v>326</v>
      </c>
      <c r="I248">
        <f>B248&amp;"|"&amp;F248&amp;"|"&amp;G248</f>
        <v/>
      </c>
      <c r="J248" t="inlineStr">
        <is>
          <t>15</t>
        </is>
      </c>
      <c r="K248" t="inlineStr">
        <is>
          <t>15</t>
        </is>
      </c>
      <c r="L248" t="inlineStr">
        <is>
          <t>15</t>
        </is>
      </c>
      <c r="M248" t="inlineStr">
        <is>
          <t>MVS Sec.15 p.21</t>
        </is>
      </c>
    </row>
    <row r="249">
      <c r="B249" s="1158" t="inlineStr">
        <is>
          <t>Banks, Branch</t>
        </is>
      </c>
      <c r="C249" s="1158" t="inlineStr">
        <is>
          <t>304</t>
        </is>
      </c>
      <c r="D249" s="1158" t="inlineStr">
        <is>
          <t>15</t>
        </is>
      </c>
      <c r="E249" s="1158" t="inlineStr">
        <is>
          <t>21</t>
        </is>
      </c>
      <c r="F249" s="1158" t="inlineStr">
        <is>
          <t>C</t>
        </is>
      </c>
      <c r="G249" t="inlineStr">
        <is>
          <t>Average</t>
        </is>
      </c>
      <c r="H249" s="606" t="n">
        <v>236</v>
      </c>
      <c r="I249">
        <f>B249&amp;"|"&amp;F249&amp;"|"&amp;G249</f>
        <v/>
      </c>
      <c r="J249" t="inlineStr">
        <is>
          <t>15</t>
        </is>
      </c>
      <c r="K249" t="inlineStr">
        <is>
          <t>15</t>
        </is>
      </c>
      <c r="L249" t="inlineStr">
        <is>
          <t>15</t>
        </is>
      </c>
      <c r="M249" t="inlineStr">
        <is>
          <t>MVS Sec.15 p.21</t>
        </is>
      </c>
    </row>
    <row r="250">
      <c r="B250" s="1158" t="inlineStr">
        <is>
          <t>Banks, Branch</t>
        </is>
      </c>
      <c r="C250" s="1158" t="inlineStr">
        <is>
          <t>304</t>
        </is>
      </c>
      <c r="D250" s="1158" t="inlineStr">
        <is>
          <t>15</t>
        </is>
      </c>
      <c r="E250" s="1158" t="inlineStr">
        <is>
          <t>21</t>
        </is>
      </c>
      <c r="F250" s="1158" t="inlineStr">
        <is>
          <t>C</t>
        </is>
      </c>
      <c r="G250" t="inlineStr">
        <is>
          <t>Low Cost</t>
        </is>
      </c>
      <c r="H250" s="606" t="n">
        <v>177</v>
      </c>
      <c r="I250">
        <f>B250&amp;"|"&amp;F250&amp;"|"&amp;G250</f>
        <v/>
      </c>
      <c r="J250" t="inlineStr">
        <is>
          <t>15</t>
        </is>
      </c>
      <c r="K250" t="inlineStr">
        <is>
          <t>15</t>
        </is>
      </c>
      <c r="L250" t="inlineStr">
        <is>
          <t>15</t>
        </is>
      </c>
      <c r="M250" t="inlineStr">
        <is>
          <t>MVS Sec.15 p.21</t>
        </is>
      </c>
    </row>
    <row r="251">
      <c r="B251" s="1158" t="inlineStr">
        <is>
          <t>Banks, Branch</t>
        </is>
      </c>
      <c r="C251" s="1158" t="inlineStr">
        <is>
          <t>304</t>
        </is>
      </c>
      <c r="D251" s="1158" t="inlineStr">
        <is>
          <t>15</t>
        </is>
      </c>
      <c r="E251" s="1158" t="inlineStr">
        <is>
          <t>21</t>
        </is>
      </c>
      <c r="F251" s="1158" t="inlineStr">
        <is>
          <t>D</t>
        </is>
      </c>
      <c r="G251" t="inlineStr">
        <is>
          <t>Excellent</t>
        </is>
      </c>
      <c r="H251" s="606" t="n">
        <v>423</v>
      </c>
      <c r="I251">
        <f>B251&amp;"|"&amp;F251&amp;"|"&amp;G251</f>
        <v/>
      </c>
      <c r="J251" t="inlineStr">
        <is>
          <t>15</t>
        </is>
      </c>
      <c r="K251" t="inlineStr">
        <is>
          <t>15</t>
        </is>
      </c>
      <c r="L251" t="inlineStr">
        <is>
          <t>15</t>
        </is>
      </c>
      <c r="M251" t="inlineStr">
        <is>
          <t>MVS Sec.15 p.21</t>
        </is>
      </c>
    </row>
    <row r="252">
      <c r="B252" s="1158" t="inlineStr">
        <is>
          <t>Banks, Branch</t>
        </is>
      </c>
      <c r="C252" s="1158" t="inlineStr">
        <is>
          <t>304</t>
        </is>
      </c>
      <c r="D252" s="1158" t="inlineStr">
        <is>
          <t>15</t>
        </is>
      </c>
      <c r="E252" s="1158" t="inlineStr">
        <is>
          <t>21</t>
        </is>
      </c>
      <c r="F252" s="1158" t="inlineStr">
        <is>
          <t>D</t>
        </is>
      </c>
      <c r="G252" t="inlineStr">
        <is>
          <t>Good</t>
        </is>
      </c>
      <c r="H252" s="606" t="n">
        <v>308</v>
      </c>
      <c r="I252">
        <f>B252&amp;"|"&amp;F252&amp;"|"&amp;G252</f>
        <v/>
      </c>
      <c r="J252" t="inlineStr">
        <is>
          <t>15</t>
        </is>
      </c>
      <c r="K252" t="inlineStr">
        <is>
          <t>15</t>
        </is>
      </c>
      <c r="L252" t="inlineStr">
        <is>
          <t>15</t>
        </is>
      </c>
      <c r="M252" t="inlineStr">
        <is>
          <t>MVS Sec.15 p.21</t>
        </is>
      </c>
    </row>
    <row r="253">
      <c r="B253" s="1158" t="inlineStr">
        <is>
          <t>Banks, Branch</t>
        </is>
      </c>
      <c r="C253" s="1158" t="inlineStr">
        <is>
          <t>304</t>
        </is>
      </c>
      <c r="D253" s="1158" t="inlineStr">
        <is>
          <t>15</t>
        </is>
      </c>
      <c r="E253" s="1158" t="inlineStr">
        <is>
          <t>21</t>
        </is>
      </c>
      <c r="F253" s="1158" t="inlineStr">
        <is>
          <t>D</t>
        </is>
      </c>
      <c r="G253" t="inlineStr">
        <is>
          <t>Average</t>
        </is>
      </c>
      <c r="H253" s="606" t="n">
        <v>223</v>
      </c>
      <c r="I253">
        <f>B253&amp;"|"&amp;F253&amp;"|"&amp;G253</f>
        <v/>
      </c>
      <c r="J253" t="inlineStr">
        <is>
          <t>15</t>
        </is>
      </c>
      <c r="K253" t="inlineStr">
        <is>
          <t>15</t>
        </is>
      </c>
      <c r="L253" t="inlineStr">
        <is>
          <t>15</t>
        </is>
      </c>
      <c r="M253" t="inlineStr">
        <is>
          <t>MVS Sec.15 p.21</t>
        </is>
      </c>
    </row>
    <row r="254">
      <c r="B254" s="1158" t="inlineStr">
        <is>
          <t>Banks, Branch</t>
        </is>
      </c>
      <c r="C254" s="1158" t="inlineStr">
        <is>
          <t>304</t>
        </is>
      </c>
      <c r="D254" s="1158" t="inlineStr">
        <is>
          <t>15</t>
        </is>
      </c>
      <c r="E254" s="1158" t="inlineStr">
        <is>
          <t>21</t>
        </is>
      </c>
      <c r="F254" s="1158" t="inlineStr">
        <is>
          <t>D</t>
        </is>
      </c>
      <c r="G254" t="inlineStr">
        <is>
          <t>Low Cost</t>
        </is>
      </c>
      <c r="H254" s="606" t="n">
        <v>168</v>
      </c>
      <c r="I254">
        <f>B254&amp;"|"&amp;F254&amp;"|"&amp;G254</f>
        <v/>
      </c>
      <c r="J254" t="inlineStr">
        <is>
          <t>15</t>
        </is>
      </c>
      <c r="K254" t="inlineStr">
        <is>
          <t>15</t>
        </is>
      </c>
      <c r="L254" t="inlineStr">
        <is>
          <t>15</t>
        </is>
      </c>
      <c r="M254" t="inlineStr">
        <is>
          <t>MVS Sec.15 p.21</t>
        </is>
      </c>
    </row>
    <row r="255">
      <c r="B255" s="1158" t="inlineStr">
        <is>
          <t>Banks, Branch</t>
        </is>
      </c>
      <c r="C255" s="1158" t="inlineStr">
        <is>
          <t>304</t>
        </is>
      </c>
      <c r="D255" s="1158" t="inlineStr">
        <is>
          <t>15</t>
        </is>
      </c>
      <c r="E255" s="1158" t="inlineStr">
        <is>
          <t>21</t>
        </is>
      </c>
      <c r="F255" s="1158" t="inlineStr">
        <is>
          <t>S</t>
        </is>
      </c>
      <c r="G255" t="inlineStr">
        <is>
          <t>Good</t>
        </is>
      </c>
      <c r="H255" s="606" t="n">
        <v>288</v>
      </c>
      <c r="I255">
        <f>B255&amp;"|"&amp;F255&amp;"|"&amp;G255</f>
        <v/>
      </c>
      <c r="J255" t="inlineStr">
        <is>
          <t>15</t>
        </is>
      </c>
      <c r="K255" t="inlineStr">
        <is>
          <t>15</t>
        </is>
      </c>
      <c r="L255" t="inlineStr">
        <is>
          <t>15</t>
        </is>
      </c>
      <c r="M255" t="inlineStr">
        <is>
          <t>MVS Sec.15 p.21</t>
        </is>
      </c>
    </row>
    <row r="256">
      <c r="B256" s="1158" t="inlineStr">
        <is>
          <t>Banks, Branch</t>
        </is>
      </c>
      <c r="C256" s="1158" t="inlineStr">
        <is>
          <t>304</t>
        </is>
      </c>
      <c r="D256" s="1158" t="inlineStr">
        <is>
          <t>15</t>
        </is>
      </c>
      <c r="E256" s="1158" t="inlineStr">
        <is>
          <t>21</t>
        </is>
      </c>
      <c r="F256" s="1158" t="inlineStr">
        <is>
          <t>S</t>
        </is>
      </c>
      <c r="G256" t="inlineStr">
        <is>
          <t>Average</t>
        </is>
      </c>
      <c r="H256" s="606" t="n">
        <v>218</v>
      </c>
      <c r="I256">
        <f>B256&amp;"|"&amp;F256&amp;"|"&amp;G256</f>
        <v/>
      </c>
      <c r="J256" t="inlineStr">
        <is>
          <t>15</t>
        </is>
      </c>
      <c r="K256" t="inlineStr">
        <is>
          <t>15</t>
        </is>
      </c>
      <c r="L256" t="inlineStr">
        <is>
          <t>15</t>
        </is>
      </c>
      <c r="M256" t="inlineStr">
        <is>
          <t>MVS Sec.15 p.21</t>
        </is>
      </c>
    </row>
    <row r="257">
      <c r="B257" s="1158" t="inlineStr">
        <is>
          <t>Banks, Branch</t>
        </is>
      </c>
      <c r="C257" s="1158" t="inlineStr">
        <is>
          <t>304</t>
        </is>
      </c>
      <c r="D257" s="1158" t="inlineStr">
        <is>
          <t>15</t>
        </is>
      </c>
      <c r="E257" s="1158" t="inlineStr">
        <is>
          <t>21</t>
        </is>
      </c>
      <c r="F257" s="1158" t="inlineStr">
        <is>
          <t>S</t>
        </is>
      </c>
      <c r="G257" t="inlineStr">
        <is>
          <t>Low Cost</t>
        </is>
      </c>
      <c r="H257" s="606" t="n">
        <v>167</v>
      </c>
      <c r="I257">
        <f>B257&amp;"|"&amp;F257&amp;"|"&amp;G257</f>
        <v/>
      </c>
      <c r="J257" t="inlineStr">
        <is>
          <t>15</t>
        </is>
      </c>
      <c r="K257" t="inlineStr">
        <is>
          <t>15</t>
        </is>
      </c>
      <c r="L257" t="inlineStr">
        <is>
          <t>15</t>
        </is>
      </c>
      <c r="M257" t="inlineStr">
        <is>
          <t>MVS Sec.15 p.21</t>
        </is>
      </c>
    </row>
    <row r="258">
      <c r="B258" s="1158" t="inlineStr">
        <is>
          <t>Hotels, Full Service</t>
        </is>
      </c>
      <c r="C258" s="1158" t="inlineStr">
        <is>
          <t>594</t>
        </is>
      </c>
      <c r="D258" s="1158" t="inlineStr">
        <is>
          <t>11</t>
        </is>
      </c>
      <c r="E258" s="1158" t="inlineStr">
        <is>
          <t>25</t>
        </is>
      </c>
      <c r="F258" s="1158" t="inlineStr">
        <is>
          <t>A</t>
        </is>
      </c>
      <c r="G258" t="inlineStr">
        <is>
          <t>Excellent</t>
        </is>
      </c>
      <c r="H258" s="606" t="n">
        <v>380</v>
      </c>
      <c r="I258">
        <f>B258&amp;"|"&amp;F258&amp;"|"&amp;G258</f>
        <v/>
      </c>
      <c r="J258" t="inlineStr">
        <is>
          <t>11</t>
        </is>
      </c>
      <c r="K258" t="inlineStr">
        <is>
          <t>11</t>
        </is>
      </c>
      <c r="L258" t="inlineStr">
        <is>
          <t>11</t>
        </is>
      </c>
      <c r="M258" t="inlineStr">
        <is>
          <t>MVS Sec.11 p.25</t>
        </is>
      </c>
    </row>
    <row r="259">
      <c r="B259" s="1158" t="inlineStr">
        <is>
          <t>Hotels, Full Service</t>
        </is>
      </c>
      <c r="C259" s="1158" t="inlineStr">
        <is>
          <t>594</t>
        </is>
      </c>
      <c r="D259" s="1158" t="inlineStr">
        <is>
          <t>11</t>
        </is>
      </c>
      <c r="E259" s="1158" t="inlineStr">
        <is>
          <t>25</t>
        </is>
      </c>
      <c r="F259" s="1158" t="inlineStr">
        <is>
          <t>A</t>
        </is>
      </c>
      <c r="G259" t="inlineStr">
        <is>
          <t>Good</t>
        </is>
      </c>
      <c r="H259" s="606" t="n">
        <v>310</v>
      </c>
      <c r="I259">
        <f>B259&amp;"|"&amp;F259&amp;"|"&amp;G259</f>
        <v/>
      </c>
      <c r="J259" t="inlineStr">
        <is>
          <t>11</t>
        </is>
      </c>
      <c r="K259" t="inlineStr">
        <is>
          <t>11</t>
        </is>
      </c>
      <c r="L259" t="inlineStr">
        <is>
          <t>11</t>
        </is>
      </c>
      <c r="M259" t="inlineStr">
        <is>
          <t>MVS Sec.11 p.25</t>
        </is>
      </c>
    </row>
    <row r="260">
      <c r="B260" s="1158" t="inlineStr">
        <is>
          <t>Hotels, Full Service</t>
        </is>
      </c>
      <c r="C260" s="1158" t="inlineStr">
        <is>
          <t>594</t>
        </is>
      </c>
      <c r="D260" s="1158" t="inlineStr">
        <is>
          <t>11</t>
        </is>
      </c>
      <c r="E260" s="1158" t="inlineStr">
        <is>
          <t>25</t>
        </is>
      </c>
      <c r="F260" s="1158" t="inlineStr">
        <is>
          <t>A</t>
        </is>
      </c>
      <c r="G260" t="inlineStr">
        <is>
          <t>Average</t>
        </is>
      </c>
      <c r="H260" s="606" t="n">
        <v>244</v>
      </c>
      <c r="I260">
        <f>B260&amp;"|"&amp;F260&amp;"|"&amp;G260</f>
        <v/>
      </c>
      <c r="J260" t="inlineStr">
        <is>
          <t>11</t>
        </is>
      </c>
      <c r="K260" t="inlineStr">
        <is>
          <t>11</t>
        </is>
      </c>
      <c r="L260" t="inlineStr">
        <is>
          <t>11</t>
        </is>
      </c>
      <c r="M260" t="inlineStr">
        <is>
          <t>MVS Sec.11 p.25</t>
        </is>
      </c>
    </row>
    <row r="261">
      <c r="B261" s="1158" t="inlineStr">
        <is>
          <t>Hotels, Full Service</t>
        </is>
      </c>
      <c r="C261" s="1158" t="inlineStr">
        <is>
          <t>594</t>
        </is>
      </c>
      <c r="D261" s="1158" t="inlineStr">
        <is>
          <t>11</t>
        </is>
      </c>
      <c r="E261" s="1158" t="inlineStr">
        <is>
          <t>25</t>
        </is>
      </c>
      <c r="F261" s="1158" t="inlineStr">
        <is>
          <t>A</t>
        </is>
      </c>
      <c r="G261" t="inlineStr">
        <is>
          <t>Low Cost</t>
        </is>
      </c>
      <c r="H261" s="606" t="n">
        <v>194</v>
      </c>
      <c r="I261">
        <f>B261&amp;"|"&amp;F261&amp;"|"&amp;G261</f>
        <v/>
      </c>
      <c r="J261" t="inlineStr">
        <is>
          <t>11</t>
        </is>
      </c>
      <c r="K261" t="inlineStr">
        <is>
          <t>11</t>
        </is>
      </c>
      <c r="L261" t="inlineStr">
        <is>
          <t>11</t>
        </is>
      </c>
      <c r="M261" t="inlineStr">
        <is>
          <t>MVS Sec.11 p.25</t>
        </is>
      </c>
    </row>
    <row r="262">
      <c r="B262" s="1158" t="inlineStr">
        <is>
          <t>Hotels, Full Service</t>
        </is>
      </c>
      <c r="C262" s="1158" t="inlineStr">
        <is>
          <t>594</t>
        </is>
      </c>
      <c r="D262" s="1158" t="inlineStr">
        <is>
          <t>11</t>
        </is>
      </c>
      <c r="E262" s="1158" t="inlineStr">
        <is>
          <t>25</t>
        </is>
      </c>
      <c r="F262" s="1158" t="inlineStr">
        <is>
          <t>B</t>
        </is>
      </c>
      <c r="G262" t="inlineStr">
        <is>
          <t>Excellent</t>
        </is>
      </c>
      <c r="H262" s="606" t="n">
        <v>343</v>
      </c>
      <c r="I262">
        <f>B262&amp;"|"&amp;F262&amp;"|"&amp;G262</f>
        <v/>
      </c>
      <c r="J262" t="inlineStr">
        <is>
          <t>11</t>
        </is>
      </c>
      <c r="K262" t="inlineStr">
        <is>
          <t>11</t>
        </is>
      </c>
      <c r="L262" t="inlineStr">
        <is>
          <t>11</t>
        </is>
      </c>
      <c r="M262" t="inlineStr">
        <is>
          <t>MVS Sec.11 p.25</t>
        </is>
      </c>
    </row>
    <row r="263">
      <c r="B263" s="1158" t="inlineStr">
        <is>
          <t>Hotels, Full Service</t>
        </is>
      </c>
      <c r="C263" s="1158" t="inlineStr">
        <is>
          <t>594</t>
        </is>
      </c>
      <c r="D263" s="1158" t="inlineStr">
        <is>
          <t>11</t>
        </is>
      </c>
      <c r="E263" s="1158" t="inlineStr">
        <is>
          <t>25</t>
        </is>
      </c>
      <c r="F263" s="1158" t="inlineStr">
        <is>
          <t>B</t>
        </is>
      </c>
      <c r="G263" t="inlineStr">
        <is>
          <t>Good</t>
        </is>
      </c>
      <c r="H263" s="606" t="n">
        <v>280</v>
      </c>
      <c r="I263">
        <f>B263&amp;"|"&amp;F263&amp;"|"&amp;G263</f>
        <v/>
      </c>
      <c r="J263" t="inlineStr">
        <is>
          <t>11</t>
        </is>
      </c>
      <c r="K263" t="inlineStr">
        <is>
          <t>11</t>
        </is>
      </c>
      <c r="L263" t="inlineStr">
        <is>
          <t>11</t>
        </is>
      </c>
      <c r="M263" t="inlineStr">
        <is>
          <t>MVS Sec.11 p.25</t>
        </is>
      </c>
    </row>
    <row r="264">
      <c r="B264" s="1158" t="inlineStr">
        <is>
          <t>Hotels, Full Service</t>
        </is>
      </c>
      <c r="C264" s="1158" t="inlineStr">
        <is>
          <t>594</t>
        </is>
      </c>
      <c r="D264" s="1158" t="inlineStr">
        <is>
          <t>11</t>
        </is>
      </c>
      <c r="E264" s="1158" t="inlineStr">
        <is>
          <t>25</t>
        </is>
      </c>
      <c r="F264" s="1158" t="inlineStr">
        <is>
          <t>B</t>
        </is>
      </c>
      <c r="G264" t="inlineStr">
        <is>
          <t>Average</t>
        </is>
      </c>
      <c r="H264" s="606" t="n">
        <v>219</v>
      </c>
      <c r="I264">
        <f>B264&amp;"|"&amp;F264&amp;"|"&amp;G264</f>
        <v/>
      </c>
      <c r="J264" t="inlineStr">
        <is>
          <t>11</t>
        </is>
      </c>
      <c r="K264" t="inlineStr">
        <is>
          <t>11</t>
        </is>
      </c>
      <c r="L264" t="inlineStr">
        <is>
          <t>11</t>
        </is>
      </c>
      <c r="M264" t="inlineStr">
        <is>
          <t>MVS Sec.11 p.25</t>
        </is>
      </c>
    </row>
    <row r="265">
      <c r="B265" s="1158" t="inlineStr">
        <is>
          <t>Hotels, Full Service</t>
        </is>
      </c>
      <c r="C265" s="1158" t="inlineStr">
        <is>
          <t>594</t>
        </is>
      </c>
      <c r="D265" s="1158" t="inlineStr">
        <is>
          <t>11</t>
        </is>
      </c>
      <c r="E265" s="1158" t="inlineStr">
        <is>
          <t>25</t>
        </is>
      </c>
      <c r="F265" s="1158" t="inlineStr">
        <is>
          <t>B</t>
        </is>
      </c>
      <c r="G265" t="inlineStr">
        <is>
          <t>Low Cost</t>
        </is>
      </c>
      <c r="H265" s="606" t="n">
        <v>173</v>
      </c>
      <c r="I265">
        <f>B265&amp;"|"&amp;F265&amp;"|"&amp;G265</f>
        <v/>
      </c>
      <c r="J265" t="inlineStr">
        <is>
          <t>11</t>
        </is>
      </c>
      <c r="K265" t="inlineStr">
        <is>
          <t>11</t>
        </is>
      </c>
      <c r="L265" t="inlineStr">
        <is>
          <t>11</t>
        </is>
      </c>
      <c r="M265" t="inlineStr">
        <is>
          <t>MVS Sec.11 p.25</t>
        </is>
      </c>
    </row>
    <row r="266">
      <c r="B266" s="1158" t="inlineStr">
        <is>
          <t>Hotels, Full Service</t>
        </is>
      </c>
      <c r="C266" s="1158" t="inlineStr">
        <is>
          <t>594</t>
        </is>
      </c>
      <c r="D266" s="1158" t="inlineStr">
        <is>
          <t>11</t>
        </is>
      </c>
      <c r="E266" s="1158" t="inlineStr">
        <is>
          <t>25</t>
        </is>
      </c>
      <c r="F266" s="1158" t="inlineStr">
        <is>
          <t>C</t>
        </is>
      </c>
      <c r="G266" t="inlineStr">
        <is>
          <t>Excellent</t>
        </is>
      </c>
      <c r="H266" s="606" t="n">
        <v>281</v>
      </c>
      <c r="I266">
        <f>B266&amp;"|"&amp;F266&amp;"|"&amp;G266</f>
        <v/>
      </c>
      <c r="J266" t="inlineStr">
        <is>
          <t>11</t>
        </is>
      </c>
      <c r="K266" t="inlineStr">
        <is>
          <t>11</t>
        </is>
      </c>
      <c r="L266" t="inlineStr">
        <is>
          <t>11</t>
        </is>
      </c>
      <c r="M266" t="inlineStr">
        <is>
          <t>MVS Sec.11 p.25</t>
        </is>
      </c>
    </row>
    <row r="267">
      <c r="B267" s="1158" t="inlineStr">
        <is>
          <t>Hotels, Full Service</t>
        </is>
      </c>
      <c r="C267" s="1158" t="inlineStr">
        <is>
          <t>594</t>
        </is>
      </c>
      <c r="D267" s="1158" t="inlineStr">
        <is>
          <t>11</t>
        </is>
      </c>
      <c r="E267" s="1158" t="inlineStr">
        <is>
          <t>25</t>
        </is>
      </c>
      <c r="F267" s="1158" t="inlineStr">
        <is>
          <t>C</t>
        </is>
      </c>
      <c r="G267" t="inlineStr">
        <is>
          <t>Good</t>
        </is>
      </c>
      <c r="H267" s="606" t="n">
        <v>228</v>
      </c>
      <c r="I267">
        <f>B267&amp;"|"&amp;F267&amp;"|"&amp;G267</f>
        <v/>
      </c>
      <c r="J267" t="inlineStr">
        <is>
          <t>11</t>
        </is>
      </c>
      <c r="K267" t="inlineStr">
        <is>
          <t>11</t>
        </is>
      </c>
      <c r="L267" t="inlineStr">
        <is>
          <t>11</t>
        </is>
      </c>
      <c r="M267" t="inlineStr">
        <is>
          <t>MVS Sec.11 p.25</t>
        </is>
      </c>
    </row>
    <row r="268">
      <c r="B268" s="1158" t="inlineStr">
        <is>
          <t>Hotels, Full Service</t>
        </is>
      </c>
      <c r="C268" s="1158" t="inlineStr">
        <is>
          <t>594</t>
        </is>
      </c>
      <c r="D268" s="1158" t="inlineStr">
        <is>
          <t>11</t>
        </is>
      </c>
      <c r="E268" s="1158" t="inlineStr">
        <is>
          <t>25</t>
        </is>
      </c>
      <c r="F268" s="1158" t="inlineStr">
        <is>
          <t>C</t>
        </is>
      </c>
      <c r="G268" t="inlineStr">
        <is>
          <t>Average</t>
        </is>
      </c>
      <c r="H268" s="606" t="n">
        <v>191</v>
      </c>
      <c r="I268">
        <f>B268&amp;"|"&amp;F268&amp;"|"&amp;G268</f>
        <v/>
      </c>
      <c r="J268" t="inlineStr">
        <is>
          <t>11</t>
        </is>
      </c>
      <c r="K268" t="inlineStr">
        <is>
          <t>11</t>
        </is>
      </c>
      <c r="L268" t="inlineStr">
        <is>
          <t>11</t>
        </is>
      </c>
      <c r="M268" t="inlineStr">
        <is>
          <t>MVS Sec.11 p.25</t>
        </is>
      </c>
    </row>
    <row r="269">
      <c r="B269" s="1158" t="inlineStr">
        <is>
          <t>Hotels, Full Service</t>
        </is>
      </c>
      <c r="C269" s="1158" t="inlineStr">
        <is>
          <t>594</t>
        </is>
      </c>
      <c r="D269" s="1158" t="inlineStr">
        <is>
          <t>11</t>
        </is>
      </c>
      <c r="E269" s="1158" t="inlineStr">
        <is>
          <t>25</t>
        </is>
      </c>
      <c r="F269" s="1158" t="inlineStr">
        <is>
          <t>C</t>
        </is>
      </c>
      <c r="G269" t="inlineStr">
        <is>
          <t>Low Cost</t>
        </is>
      </c>
      <c r="H269" s="606" t="n">
        <v>154</v>
      </c>
      <c r="I269">
        <f>B269&amp;"|"&amp;F269&amp;"|"&amp;G269</f>
        <v/>
      </c>
      <c r="J269" t="inlineStr">
        <is>
          <t>11</t>
        </is>
      </c>
      <c r="K269" t="inlineStr">
        <is>
          <t>11</t>
        </is>
      </c>
      <c r="L269" t="inlineStr">
        <is>
          <t>11</t>
        </is>
      </c>
      <c r="M269" t="inlineStr">
        <is>
          <t>MVS Sec.11 p.25</t>
        </is>
      </c>
    </row>
    <row r="270">
      <c r="B270" s="1158" t="inlineStr">
        <is>
          <t>Hotels, Full Service</t>
        </is>
      </c>
      <c r="C270" s="1158" t="inlineStr">
        <is>
          <t>594</t>
        </is>
      </c>
      <c r="D270" s="1158" t="inlineStr">
        <is>
          <t>11</t>
        </is>
      </c>
      <c r="E270" s="1158" t="inlineStr">
        <is>
          <t>25</t>
        </is>
      </c>
      <c r="F270" s="1158" t="inlineStr">
        <is>
          <t>D</t>
        </is>
      </c>
      <c r="G270" t="inlineStr">
        <is>
          <t>Excellent</t>
        </is>
      </c>
      <c r="H270" s="606" t="n">
        <v>268</v>
      </c>
      <c r="I270">
        <f>B270&amp;"|"&amp;F270&amp;"|"&amp;G270</f>
        <v/>
      </c>
      <c r="J270" t="inlineStr">
        <is>
          <t>11</t>
        </is>
      </c>
      <c r="K270" t="inlineStr">
        <is>
          <t>11</t>
        </is>
      </c>
      <c r="L270" t="inlineStr">
        <is>
          <t>11</t>
        </is>
      </c>
      <c r="M270" t="inlineStr">
        <is>
          <t>MVS Sec.11 p.25</t>
        </is>
      </c>
    </row>
    <row r="271">
      <c r="B271" s="1158" t="inlineStr">
        <is>
          <t>Hotels, Full Service</t>
        </is>
      </c>
      <c r="C271" s="1158" t="inlineStr">
        <is>
          <t>594</t>
        </is>
      </c>
      <c r="D271" s="1158" t="inlineStr">
        <is>
          <t>11</t>
        </is>
      </c>
      <c r="E271" s="1158" t="inlineStr">
        <is>
          <t>25</t>
        </is>
      </c>
      <c r="F271" s="1158" t="inlineStr">
        <is>
          <t>D</t>
        </is>
      </c>
      <c r="G271" t="inlineStr">
        <is>
          <t>Good</t>
        </is>
      </c>
      <c r="H271" s="606" t="n">
        <v>216</v>
      </c>
      <c r="I271">
        <f>B271&amp;"|"&amp;F271&amp;"|"&amp;G271</f>
        <v/>
      </c>
      <c r="J271" t="inlineStr">
        <is>
          <t>11</t>
        </is>
      </c>
      <c r="K271" t="inlineStr">
        <is>
          <t>11</t>
        </is>
      </c>
      <c r="L271" t="inlineStr">
        <is>
          <t>11</t>
        </is>
      </c>
      <c r="M271" t="inlineStr">
        <is>
          <t>MVS Sec.11 p.25</t>
        </is>
      </c>
    </row>
    <row r="272">
      <c r="B272" s="1158" t="inlineStr">
        <is>
          <t>Hotels, Full Service</t>
        </is>
      </c>
      <c r="C272" s="1158" t="inlineStr">
        <is>
          <t>594</t>
        </is>
      </c>
      <c r="D272" s="1158" t="inlineStr">
        <is>
          <t>11</t>
        </is>
      </c>
      <c r="E272" s="1158" t="inlineStr">
        <is>
          <t>25</t>
        </is>
      </c>
      <c r="F272" s="1158" t="inlineStr">
        <is>
          <t>D</t>
        </is>
      </c>
      <c r="G272" t="inlineStr">
        <is>
          <t>Average</t>
        </is>
      </c>
      <c r="H272" s="606" t="n">
        <v>180</v>
      </c>
      <c r="I272">
        <f>B272&amp;"|"&amp;F272&amp;"|"&amp;G272</f>
        <v/>
      </c>
      <c r="J272" t="inlineStr">
        <is>
          <t>11</t>
        </is>
      </c>
      <c r="K272" t="inlineStr">
        <is>
          <t>11</t>
        </is>
      </c>
      <c r="L272" t="inlineStr">
        <is>
          <t>11</t>
        </is>
      </c>
      <c r="M272" t="inlineStr">
        <is>
          <t>MVS Sec.11 p.25</t>
        </is>
      </c>
    </row>
    <row r="273">
      <c r="B273" s="1158" t="inlineStr">
        <is>
          <t>Hotels, Full Service</t>
        </is>
      </c>
      <c r="C273" s="1158" t="inlineStr">
        <is>
          <t>594</t>
        </is>
      </c>
      <c r="D273" s="1158" t="inlineStr">
        <is>
          <t>11</t>
        </is>
      </c>
      <c r="E273" s="1158" t="inlineStr">
        <is>
          <t>25</t>
        </is>
      </c>
      <c r="F273" s="1158" t="inlineStr">
        <is>
          <t>D</t>
        </is>
      </c>
      <c r="G273" t="inlineStr">
        <is>
          <t>Low Cost</t>
        </is>
      </c>
      <c r="H273" s="606" t="n">
        <v>144</v>
      </c>
      <c r="I273">
        <f>B273&amp;"|"&amp;F273&amp;"|"&amp;G273</f>
        <v/>
      </c>
      <c r="J273" t="inlineStr">
        <is>
          <t>11</t>
        </is>
      </c>
      <c r="K273" t="inlineStr">
        <is>
          <t>11</t>
        </is>
      </c>
      <c r="L273" t="inlineStr">
        <is>
          <t>11</t>
        </is>
      </c>
      <c r="M273" t="inlineStr">
        <is>
          <t>MVS Sec.11 p.25</t>
        </is>
      </c>
    </row>
    <row r="274">
      <c r="B274" s="1158" t="inlineStr">
        <is>
          <t>Hotels, Limited Service</t>
        </is>
      </c>
      <c r="C274" s="1158" t="inlineStr">
        <is>
          <t>595</t>
        </is>
      </c>
      <c r="D274" s="1158" t="inlineStr">
        <is>
          <t>11</t>
        </is>
      </c>
      <c r="E274" s="1158" t="inlineStr">
        <is>
          <t>22</t>
        </is>
      </c>
      <c r="F274" s="1158" t="inlineStr">
        <is>
          <t>A</t>
        </is>
      </c>
      <c r="G274" t="inlineStr">
        <is>
          <t>Excellent</t>
        </is>
      </c>
      <c r="H274" s="606" t="n">
        <v>271</v>
      </c>
      <c r="I274">
        <f>B274&amp;"|"&amp;F274&amp;"|"&amp;G274</f>
        <v/>
      </c>
      <c r="J274" t="inlineStr">
        <is>
          <t>11</t>
        </is>
      </c>
      <c r="K274" t="inlineStr">
        <is>
          <t>11</t>
        </is>
      </c>
      <c r="L274" t="inlineStr">
        <is>
          <t>11</t>
        </is>
      </c>
      <c r="M274" t="inlineStr">
        <is>
          <t>MVS Sec.11 p.22</t>
        </is>
      </c>
    </row>
    <row r="275">
      <c r="B275" s="1158" t="inlineStr">
        <is>
          <t>Hotels, Limited Service</t>
        </is>
      </c>
      <c r="C275" s="1158" t="inlineStr">
        <is>
          <t>595</t>
        </is>
      </c>
      <c r="D275" s="1158" t="inlineStr">
        <is>
          <t>11</t>
        </is>
      </c>
      <c r="E275" s="1158" t="inlineStr">
        <is>
          <t>22</t>
        </is>
      </c>
      <c r="F275" s="1158" t="inlineStr">
        <is>
          <t>A</t>
        </is>
      </c>
      <c r="G275" t="inlineStr">
        <is>
          <t>Good</t>
        </is>
      </c>
      <c r="H275" s="606" t="n">
        <v>228</v>
      </c>
      <c r="I275">
        <f>B275&amp;"|"&amp;F275&amp;"|"&amp;G275</f>
        <v/>
      </c>
      <c r="J275" t="inlineStr">
        <is>
          <t>11</t>
        </is>
      </c>
      <c r="K275" t="inlineStr">
        <is>
          <t>11</t>
        </is>
      </c>
      <c r="L275" t="inlineStr">
        <is>
          <t>11</t>
        </is>
      </c>
      <c r="M275" t="inlineStr">
        <is>
          <t>MVS Sec.11 p.22</t>
        </is>
      </c>
    </row>
    <row r="276">
      <c r="B276" s="1158" t="inlineStr">
        <is>
          <t>Hotels, Limited Service</t>
        </is>
      </c>
      <c r="C276" s="1158" t="inlineStr">
        <is>
          <t>595</t>
        </is>
      </c>
      <c r="D276" s="1158" t="inlineStr">
        <is>
          <t>11</t>
        </is>
      </c>
      <c r="E276" s="1158" t="inlineStr">
        <is>
          <t>22</t>
        </is>
      </c>
      <c r="F276" s="1158" t="inlineStr">
        <is>
          <t>A</t>
        </is>
      </c>
      <c r="G276" t="inlineStr">
        <is>
          <t>Average</t>
        </is>
      </c>
      <c r="H276" s="606" t="n">
        <v>197</v>
      </c>
      <c r="I276">
        <f>B276&amp;"|"&amp;F276&amp;"|"&amp;G276</f>
        <v/>
      </c>
      <c r="J276" t="inlineStr">
        <is>
          <t>11</t>
        </is>
      </c>
      <c r="K276" t="inlineStr">
        <is>
          <t>11</t>
        </is>
      </c>
      <c r="L276" t="inlineStr">
        <is>
          <t>11</t>
        </is>
      </c>
      <c r="M276" t="inlineStr">
        <is>
          <t>MVS Sec.11 p.22</t>
        </is>
      </c>
    </row>
    <row r="277">
      <c r="B277" s="1158" t="inlineStr">
        <is>
          <t>Hotels, Limited Service</t>
        </is>
      </c>
      <c r="C277" s="1158" t="inlineStr">
        <is>
          <t>595</t>
        </is>
      </c>
      <c r="D277" s="1158" t="inlineStr">
        <is>
          <t>11</t>
        </is>
      </c>
      <c r="E277" s="1158" t="inlineStr">
        <is>
          <t>22</t>
        </is>
      </c>
      <c r="F277" s="1158" t="inlineStr">
        <is>
          <t>A</t>
        </is>
      </c>
      <c r="G277" t="inlineStr">
        <is>
          <t>Low Cost</t>
        </is>
      </c>
      <c r="H277" s="606" t="n">
        <v>165</v>
      </c>
      <c r="I277">
        <f>B277&amp;"|"&amp;F277&amp;"|"&amp;G277</f>
        <v/>
      </c>
      <c r="J277" t="inlineStr">
        <is>
          <t>11</t>
        </is>
      </c>
      <c r="K277" t="inlineStr">
        <is>
          <t>11</t>
        </is>
      </c>
      <c r="L277" t="inlineStr">
        <is>
          <t>11</t>
        </is>
      </c>
      <c r="M277" t="inlineStr">
        <is>
          <t>MVS Sec.11 p.22</t>
        </is>
      </c>
    </row>
    <row r="278">
      <c r="B278" s="1158" t="inlineStr">
        <is>
          <t>Hotels, Limited Service</t>
        </is>
      </c>
      <c r="C278" s="1158" t="inlineStr">
        <is>
          <t>595</t>
        </is>
      </c>
      <c r="D278" s="1158" t="inlineStr">
        <is>
          <t>11</t>
        </is>
      </c>
      <c r="E278" s="1158" t="inlineStr">
        <is>
          <t>22</t>
        </is>
      </c>
      <c r="F278" s="1158" t="inlineStr">
        <is>
          <t>B</t>
        </is>
      </c>
      <c r="G278" t="inlineStr">
        <is>
          <t>Excellent</t>
        </is>
      </c>
      <c r="H278" s="606" t="n">
        <v>245</v>
      </c>
      <c r="I278">
        <f>B278&amp;"|"&amp;F278&amp;"|"&amp;G278</f>
        <v/>
      </c>
      <c r="J278" t="inlineStr">
        <is>
          <t>11</t>
        </is>
      </c>
      <c r="K278" t="inlineStr">
        <is>
          <t>11</t>
        </is>
      </c>
      <c r="L278" t="inlineStr">
        <is>
          <t>11</t>
        </is>
      </c>
      <c r="M278" t="inlineStr">
        <is>
          <t>MVS Sec.11 p.22</t>
        </is>
      </c>
    </row>
    <row r="279">
      <c r="B279" s="1158" t="inlineStr">
        <is>
          <t>Hotels, Limited Service</t>
        </is>
      </c>
      <c r="C279" s="1158" t="inlineStr">
        <is>
          <t>595</t>
        </is>
      </c>
      <c r="D279" s="1158" t="inlineStr">
        <is>
          <t>11</t>
        </is>
      </c>
      <c r="E279" s="1158" t="inlineStr">
        <is>
          <t>22</t>
        </is>
      </c>
      <c r="F279" s="1158" t="inlineStr">
        <is>
          <t>B</t>
        </is>
      </c>
      <c r="G279" t="inlineStr">
        <is>
          <t>Good</t>
        </is>
      </c>
      <c r="H279" s="606" t="n">
        <v>205</v>
      </c>
      <c r="I279">
        <f>B279&amp;"|"&amp;F279&amp;"|"&amp;G279</f>
        <v/>
      </c>
      <c r="J279" t="inlineStr">
        <is>
          <t>11</t>
        </is>
      </c>
      <c r="K279" t="inlineStr">
        <is>
          <t>11</t>
        </is>
      </c>
      <c r="L279" t="inlineStr">
        <is>
          <t>11</t>
        </is>
      </c>
      <c r="M279" t="inlineStr">
        <is>
          <t>MVS Sec.11 p.22</t>
        </is>
      </c>
    </row>
    <row r="280">
      <c r="B280" s="1158" t="inlineStr">
        <is>
          <t>Hotels, Limited Service</t>
        </is>
      </c>
      <c r="C280" s="1158" t="inlineStr">
        <is>
          <t>595</t>
        </is>
      </c>
      <c r="D280" s="1158" t="inlineStr">
        <is>
          <t>11</t>
        </is>
      </c>
      <c r="E280" s="1158" t="inlineStr">
        <is>
          <t>22</t>
        </is>
      </c>
      <c r="F280" s="1158" t="inlineStr">
        <is>
          <t>B</t>
        </is>
      </c>
      <c r="G280" t="inlineStr">
        <is>
          <t>Average</t>
        </is>
      </c>
      <c r="H280" s="606" t="n">
        <v>177</v>
      </c>
      <c r="I280">
        <f>B280&amp;"|"&amp;F280&amp;"|"&amp;G280</f>
        <v/>
      </c>
      <c r="J280" t="inlineStr">
        <is>
          <t>11</t>
        </is>
      </c>
      <c r="K280" t="inlineStr">
        <is>
          <t>11</t>
        </is>
      </c>
      <c r="L280" t="inlineStr">
        <is>
          <t>11</t>
        </is>
      </c>
      <c r="M280" t="inlineStr">
        <is>
          <t>MVS Sec.11 p.22</t>
        </is>
      </c>
    </row>
    <row r="281">
      <c r="B281" s="1158" t="inlineStr">
        <is>
          <t>Hotels, Limited Service</t>
        </is>
      </c>
      <c r="C281" s="1158" t="inlineStr">
        <is>
          <t>595</t>
        </is>
      </c>
      <c r="D281" s="1158" t="inlineStr">
        <is>
          <t>11</t>
        </is>
      </c>
      <c r="E281" s="1158" t="inlineStr">
        <is>
          <t>22</t>
        </is>
      </c>
      <c r="F281" s="1158" t="inlineStr">
        <is>
          <t>B</t>
        </is>
      </c>
      <c r="G281" t="inlineStr">
        <is>
          <t>Low Cost</t>
        </is>
      </c>
      <c r="H281" s="606" t="n">
        <v>147</v>
      </c>
      <c r="I281">
        <f>B281&amp;"|"&amp;F281&amp;"|"&amp;G281</f>
        <v/>
      </c>
      <c r="J281" t="inlineStr">
        <is>
          <t>11</t>
        </is>
      </c>
      <c r="K281" t="inlineStr">
        <is>
          <t>11</t>
        </is>
      </c>
      <c r="L281" t="inlineStr">
        <is>
          <t>11</t>
        </is>
      </c>
      <c r="M281" t="inlineStr">
        <is>
          <t>MVS Sec.11 p.22</t>
        </is>
      </c>
    </row>
    <row r="282">
      <c r="B282" s="1158" t="inlineStr">
        <is>
          <t>Hotels, Limited Service</t>
        </is>
      </c>
      <c r="C282" s="1158" t="inlineStr">
        <is>
          <t>595</t>
        </is>
      </c>
      <c r="D282" s="1158" t="inlineStr">
        <is>
          <t>11</t>
        </is>
      </c>
      <c r="E282" s="1158" t="inlineStr">
        <is>
          <t>22</t>
        </is>
      </c>
      <c r="F282" s="1158" t="inlineStr">
        <is>
          <t>C</t>
        </is>
      </c>
      <c r="G282" t="inlineStr">
        <is>
          <t>Excellent</t>
        </is>
      </c>
      <c r="H282" s="606" t="n">
        <v>222</v>
      </c>
      <c r="I282">
        <f>B282&amp;"|"&amp;F282&amp;"|"&amp;G282</f>
        <v/>
      </c>
      <c r="J282" t="inlineStr">
        <is>
          <t>11</t>
        </is>
      </c>
      <c r="K282" t="inlineStr">
        <is>
          <t>11</t>
        </is>
      </c>
      <c r="L282" t="inlineStr">
        <is>
          <t>11</t>
        </is>
      </c>
      <c r="M282" t="inlineStr">
        <is>
          <t>MVS Sec.11 p.22</t>
        </is>
      </c>
    </row>
    <row r="283">
      <c r="B283" s="1158" t="inlineStr">
        <is>
          <t>Hotels, Limited Service</t>
        </is>
      </c>
      <c r="C283" s="1158" t="inlineStr">
        <is>
          <t>595</t>
        </is>
      </c>
      <c r="D283" s="1158" t="inlineStr">
        <is>
          <t>11</t>
        </is>
      </c>
      <c r="E283" s="1158" t="inlineStr">
        <is>
          <t>22</t>
        </is>
      </c>
      <c r="F283" s="1158" t="inlineStr">
        <is>
          <t>C</t>
        </is>
      </c>
      <c r="G283" t="inlineStr">
        <is>
          <t>Good</t>
        </is>
      </c>
      <c r="H283" s="606" t="n">
        <v>183</v>
      </c>
      <c r="I283">
        <f>B283&amp;"|"&amp;F283&amp;"|"&amp;G283</f>
        <v/>
      </c>
      <c r="J283" t="inlineStr">
        <is>
          <t>11</t>
        </is>
      </c>
      <c r="K283" t="inlineStr">
        <is>
          <t>11</t>
        </is>
      </c>
      <c r="L283" t="inlineStr">
        <is>
          <t>11</t>
        </is>
      </c>
      <c r="M283" t="inlineStr">
        <is>
          <t>MVS Sec.11 p.22</t>
        </is>
      </c>
    </row>
    <row r="284">
      <c r="B284" s="1158" t="inlineStr">
        <is>
          <t>Hotels, Limited Service</t>
        </is>
      </c>
      <c r="C284" s="1158" t="inlineStr">
        <is>
          <t>595</t>
        </is>
      </c>
      <c r="D284" s="1158" t="inlineStr">
        <is>
          <t>11</t>
        </is>
      </c>
      <c r="E284" s="1158" t="inlineStr">
        <is>
          <t>22</t>
        </is>
      </c>
      <c r="F284" s="1158" t="inlineStr">
        <is>
          <t>C</t>
        </is>
      </c>
      <c r="G284" t="inlineStr">
        <is>
          <t>Average</t>
        </is>
      </c>
      <c r="H284" s="606" t="n">
        <v>145</v>
      </c>
      <c r="I284">
        <f>B284&amp;"|"&amp;F284&amp;"|"&amp;G284</f>
        <v/>
      </c>
      <c r="J284" t="inlineStr">
        <is>
          <t>11</t>
        </is>
      </c>
      <c r="K284" t="inlineStr">
        <is>
          <t>11</t>
        </is>
      </c>
      <c r="L284" t="inlineStr">
        <is>
          <t>11</t>
        </is>
      </c>
      <c r="M284" t="inlineStr">
        <is>
          <t>MVS Sec.11 p.22</t>
        </is>
      </c>
    </row>
    <row r="285">
      <c r="B285" s="1158" t="inlineStr">
        <is>
          <t>Hotels, Limited Service</t>
        </is>
      </c>
      <c r="C285" s="1158" t="inlineStr">
        <is>
          <t>595</t>
        </is>
      </c>
      <c r="D285" s="1158" t="inlineStr">
        <is>
          <t>11</t>
        </is>
      </c>
      <c r="E285" s="1158" t="inlineStr">
        <is>
          <t>22</t>
        </is>
      </c>
      <c r="F285" s="1158" t="inlineStr">
        <is>
          <t>C</t>
        </is>
      </c>
      <c r="G285" t="inlineStr">
        <is>
          <t>Low Cost</t>
        </is>
      </c>
      <c r="H285" s="606" t="n">
        <v>121</v>
      </c>
      <c r="I285">
        <f>B285&amp;"|"&amp;F285&amp;"|"&amp;G285</f>
        <v/>
      </c>
      <c r="J285" t="inlineStr">
        <is>
          <t>11</t>
        </is>
      </c>
      <c r="K285" t="inlineStr">
        <is>
          <t>11</t>
        </is>
      </c>
      <c r="L285" t="inlineStr">
        <is>
          <t>11</t>
        </is>
      </c>
      <c r="M285" t="inlineStr">
        <is>
          <t>MVS Sec.11 p.22</t>
        </is>
      </c>
    </row>
    <row r="286">
      <c r="B286" s="1158" t="inlineStr">
        <is>
          <t>Hotels, Limited Service</t>
        </is>
      </c>
      <c r="C286" s="1158" t="inlineStr">
        <is>
          <t>595</t>
        </is>
      </c>
      <c r="D286" s="1158" t="inlineStr">
        <is>
          <t>11</t>
        </is>
      </c>
      <c r="E286" s="1158" t="inlineStr">
        <is>
          <t>22</t>
        </is>
      </c>
      <c r="F286" s="1158" t="inlineStr">
        <is>
          <t>D</t>
        </is>
      </c>
      <c r="G286" t="inlineStr">
        <is>
          <t>Good</t>
        </is>
      </c>
      <c r="H286" s="606" t="n">
        <v>174</v>
      </c>
      <c r="I286">
        <f>B286&amp;"|"&amp;F286&amp;"|"&amp;G286</f>
        <v/>
      </c>
      <c r="J286" t="inlineStr">
        <is>
          <t>11</t>
        </is>
      </c>
      <c r="K286" t="inlineStr">
        <is>
          <t>11</t>
        </is>
      </c>
      <c r="L286" t="inlineStr">
        <is>
          <t>11</t>
        </is>
      </c>
      <c r="M286" t="inlineStr">
        <is>
          <t>MVS Sec.11 p.22</t>
        </is>
      </c>
    </row>
    <row r="287">
      <c r="B287" s="1158" t="inlineStr">
        <is>
          <t>Hotels, Limited Service</t>
        </is>
      </c>
      <c r="C287" s="1158" t="inlineStr">
        <is>
          <t>595</t>
        </is>
      </c>
      <c r="D287" s="1158" t="inlineStr">
        <is>
          <t>11</t>
        </is>
      </c>
      <c r="E287" s="1158" t="inlineStr">
        <is>
          <t>22</t>
        </is>
      </c>
      <c r="F287" s="1158" t="inlineStr">
        <is>
          <t>D</t>
        </is>
      </c>
      <c r="G287" t="inlineStr">
        <is>
          <t>Average</t>
        </is>
      </c>
      <c r="H287" s="606" t="n">
        <v>137</v>
      </c>
      <c r="I287">
        <f>B287&amp;"|"&amp;F287&amp;"|"&amp;G287</f>
        <v/>
      </c>
      <c r="J287" t="inlineStr">
        <is>
          <t>11</t>
        </is>
      </c>
      <c r="K287" t="inlineStr">
        <is>
          <t>11</t>
        </is>
      </c>
      <c r="L287" t="inlineStr">
        <is>
          <t>11</t>
        </is>
      </c>
      <c r="M287" t="inlineStr">
        <is>
          <t>MVS Sec.11 p.22</t>
        </is>
      </c>
    </row>
    <row r="288">
      <c r="B288" s="1158" t="inlineStr">
        <is>
          <t>Hotels, Limited Service</t>
        </is>
      </c>
      <c r="C288" s="1158" t="inlineStr">
        <is>
          <t>595</t>
        </is>
      </c>
      <c r="D288" s="1158" t="inlineStr">
        <is>
          <t>11</t>
        </is>
      </c>
      <c r="E288" s="1158" t="inlineStr">
        <is>
          <t>22</t>
        </is>
      </c>
      <c r="F288" s="1158" t="inlineStr">
        <is>
          <t>D</t>
        </is>
      </c>
      <c r="G288" t="inlineStr">
        <is>
          <t>Low Cost</t>
        </is>
      </c>
      <c r="H288" s="606" t="n">
        <v>114</v>
      </c>
      <c r="I288">
        <f>B288&amp;"|"&amp;F288&amp;"|"&amp;G288</f>
        <v/>
      </c>
      <c r="J288" t="inlineStr">
        <is>
          <t>11</t>
        </is>
      </c>
      <c r="K288" t="inlineStr">
        <is>
          <t>11</t>
        </is>
      </c>
      <c r="L288" t="inlineStr">
        <is>
          <t>11</t>
        </is>
      </c>
      <c r="M288" t="inlineStr">
        <is>
          <t>MVS Sec.11 p.22</t>
        </is>
      </c>
    </row>
    <row r="289">
      <c r="B289" s="1158" t="inlineStr">
        <is>
          <t>Hotels, Limited Service</t>
        </is>
      </c>
      <c r="C289" s="1158" t="inlineStr">
        <is>
          <t>595</t>
        </is>
      </c>
      <c r="D289" s="1158" t="inlineStr">
        <is>
          <t>11</t>
        </is>
      </c>
      <c r="E289" s="1158" t="inlineStr">
        <is>
          <t>22</t>
        </is>
      </c>
      <c r="F289" s="1158" t="inlineStr">
        <is>
          <t>S</t>
        </is>
      </c>
      <c r="G289" t="inlineStr">
        <is>
          <t>Average</t>
        </is>
      </c>
      <c r="H289" s="606" t="n">
        <v>135</v>
      </c>
      <c r="I289">
        <f>B289&amp;"|"&amp;F289&amp;"|"&amp;G289</f>
        <v/>
      </c>
      <c r="J289" t="inlineStr">
        <is>
          <t>11</t>
        </is>
      </c>
      <c r="K289" t="inlineStr">
        <is>
          <t>11</t>
        </is>
      </c>
      <c r="L289" t="inlineStr">
        <is>
          <t>11</t>
        </is>
      </c>
      <c r="M289" t="inlineStr">
        <is>
          <t>MVS Sec.11 p.22</t>
        </is>
      </c>
    </row>
    <row r="290"/>
    <row r="291">
      <c r="B291" s="1207" t="inlineStr">
        <is>
          <t>REFERENCE 4 -- Occupancy Master List (dropdown source)</t>
        </is>
      </c>
      <c r="C291" s="1208" t="n"/>
      <c r="D291" s="1208" t="n"/>
      <c r="E291" s="1208" t="n"/>
      <c r="F291" s="1208" t="n"/>
      <c r="G291" s="1208" t="n"/>
      <c r="H291" s="1208" t="n"/>
    </row>
    <row r="292">
      <c r="B292" s="1209" t="inlineStr">
        <is>
          <t>Occupancy Name</t>
        </is>
      </c>
      <c r="C292" s="1209" t="inlineStr">
        <is>
          <t>Occ. Code</t>
        </is>
      </c>
      <c r="D292" s="1209" t="inlineStr">
        <is>
          <t>Section</t>
        </is>
      </c>
      <c r="E292" s="1209" t="inlineStr">
        <is>
          <t>Page</t>
        </is>
      </c>
      <c r="F292" s="1209" t="inlineStr">
        <is>
          <t>Story Table Section</t>
        </is>
      </c>
    </row>
    <row r="293">
      <c r="B293" s="1158" t="inlineStr">
        <is>
          <t>Storage Warehouses</t>
        </is>
      </c>
      <c r="C293" s="1158" t="n">
        <v>406</v>
      </c>
      <c r="D293" s="1158" t="inlineStr">
        <is>
          <t>14</t>
        </is>
      </c>
      <c r="E293" s="1158" t="inlineStr">
        <is>
          <t>26</t>
        </is>
      </c>
      <c r="F293" s="1158" t="inlineStr">
        <is>
          <t>14</t>
        </is>
      </c>
    </row>
    <row r="294">
      <c r="B294" s="1158" t="inlineStr">
        <is>
          <t>Distribution Warehouses</t>
        </is>
      </c>
      <c r="C294" s="1158" t="n">
        <v>407</v>
      </c>
      <c r="D294" s="1158" t="inlineStr">
        <is>
          <t>14</t>
        </is>
      </c>
      <c r="E294" s="1158" t="inlineStr">
        <is>
          <t>23</t>
        </is>
      </c>
      <c r="F294" s="1158" t="inlineStr">
        <is>
          <t>14</t>
        </is>
      </c>
    </row>
    <row r="295">
      <c r="B295" s="1158" t="inlineStr">
        <is>
          <t>Mini-Warehouses / Self-Storage</t>
        </is>
      </c>
      <c r="C295" s="1158" t="n">
        <v>386</v>
      </c>
      <c r="D295" s="1158" t="inlineStr">
        <is>
          <t>14</t>
        </is>
      </c>
      <c r="E295" s="1158" t="inlineStr">
        <is>
          <t>28</t>
        </is>
      </c>
      <c r="F295" s="1158" t="inlineStr">
        <is>
          <t>14</t>
        </is>
      </c>
    </row>
    <row r="296">
      <c r="B296" s="1158" t="inlineStr">
        <is>
          <t>Mini-Warehouses, High-Rise</t>
        </is>
      </c>
      <c r="C296" s="1158" t="n">
        <v>525</v>
      </c>
      <c r="D296" s="1158" t="inlineStr">
        <is>
          <t>14</t>
        </is>
      </c>
      <c r="E296" s="1158" t="inlineStr">
        <is>
          <t>28</t>
        </is>
      </c>
      <c r="F296" s="1158" t="inlineStr">
        <is>
          <t>14</t>
        </is>
      </c>
    </row>
    <row r="297">
      <c r="B297" s="1158" t="inlineStr">
        <is>
          <t>Industrials, Light Manufacturing</t>
        </is>
      </c>
      <c r="C297" s="1158" t="n">
        <v>334</v>
      </c>
      <c r="D297" s="1158" t="inlineStr">
        <is>
          <t>14</t>
        </is>
      </c>
      <c r="E297" s="1158" t="inlineStr">
        <is>
          <t>14</t>
        </is>
      </c>
      <c r="F297" s="1158" t="inlineStr">
        <is>
          <t>14</t>
        </is>
      </c>
    </row>
    <row r="298">
      <c r="B298" s="1158" t="inlineStr">
        <is>
          <t>Industrials, Heavy (Process) Manufacturing</t>
        </is>
      </c>
      <c r="C298" s="1158" t="n">
        <v>333</v>
      </c>
      <c r="D298" s="1158" t="inlineStr">
        <is>
          <t>14</t>
        </is>
      </c>
      <c r="E298" s="1158" t="inlineStr">
        <is>
          <t>15</t>
        </is>
      </c>
      <c r="F298" s="1158" t="inlineStr">
        <is>
          <t>14</t>
        </is>
      </c>
    </row>
    <row r="299">
      <c r="B299" s="1158" t="inlineStr">
        <is>
          <t>Service Garages (Commercial/Repair)</t>
        </is>
      </c>
      <c r="C299" s="1158" t="n">
        <v>325</v>
      </c>
      <c r="D299" s="1158" t="inlineStr">
        <is>
          <t>14</t>
        </is>
      </c>
      <c r="E299" s="1158" t="inlineStr">
        <is>
          <t>32</t>
        </is>
      </c>
      <c r="F299" s="1158" t="inlineStr">
        <is>
          <t>14</t>
        </is>
      </c>
    </row>
    <row r="300">
      <c r="B300" s="1158" t="inlineStr">
        <is>
          <t>Retail Stores</t>
        </is>
      </c>
      <c r="C300" s="1158" t="n">
        <v>353</v>
      </c>
      <c r="D300" s="1158" t="inlineStr">
        <is>
          <t>13</t>
        </is>
      </c>
      <c r="E300" s="1158" t="inlineStr">
        <is>
          <t>26</t>
        </is>
      </c>
      <c r="F300" s="1158" t="inlineStr">
        <is>
          <t>13</t>
        </is>
      </c>
    </row>
    <row r="301">
      <c r="B301" s="1158" t="inlineStr">
        <is>
          <t>Neighborhood Shopping Centers</t>
        </is>
      </c>
      <c r="C301" s="1158" t="n">
        <v>412</v>
      </c>
      <c r="D301" s="1158" t="inlineStr">
        <is>
          <t>13</t>
        </is>
      </c>
      <c r="E301" s="1158" t="inlineStr">
        <is>
          <t>33</t>
        </is>
      </c>
      <c r="F301" s="1158" t="inlineStr">
        <is>
          <t>13</t>
        </is>
      </c>
    </row>
    <row r="302">
      <c r="B302" s="1158" t="inlineStr">
        <is>
          <t>Community Shopping Centers</t>
        </is>
      </c>
      <c r="C302" s="1158" t="n">
        <v>413</v>
      </c>
      <c r="D302" s="1158" t="inlineStr">
        <is>
          <t>13</t>
        </is>
      </c>
      <c r="E302" s="1158" t="inlineStr">
        <is>
          <t>34</t>
        </is>
      </c>
      <c r="F302" s="1158" t="inlineStr">
        <is>
          <t>13</t>
        </is>
      </c>
    </row>
    <row r="303">
      <c r="B303" s="1158" t="inlineStr">
        <is>
          <t>Regional Shopping Centers</t>
        </is>
      </c>
      <c r="C303" s="1158" t="n">
        <v>414</v>
      </c>
      <c r="D303" s="1158" t="inlineStr">
        <is>
          <t>13</t>
        </is>
      </c>
      <c r="E303" s="1158" t="inlineStr">
        <is>
          <t>35</t>
        </is>
      </c>
      <c r="F303" s="1158" t="inlineStr">
        <is>
          <t>13</t>
        </is>
      </c>
    </row>
    <row r="304">
      <c r="B304" s="1158" t="inlineStr">
        <is>
          <t>Department Stores</t>
        </is>
      </c>
      <c r="C304" s="1158" t="n">
        <v>318</v>
      </c>
      <c r="D304" s="1158" t="inlineStr">
        <is>
          <t>13</t>
        </is>
      </c>
      <c r="E304" s="1158" t="inlineStr">
        <is>
          <t>27</t>
        </is>
      </c>
      <c r="F304" s="1158" t="inlineStr">
        <is>
          <t>13</t>
        </is>
      </c>
    </row>
    <row r="305">
      <c r="B305" s="1158" t="inlineStr">
        <is>
          <t>Discount Stores</t>
        </is>
      </c>
      <c r="C305" s="1158" t="n">
        <v>319</v>
      </c>
      <c r="D305" s="1158" t="inlineStr">
        <is>
          <t>13</t>
        </is>
      </c>
      <c r="E305" s="1158" t="inlineStr">
        <is>
          <t>28</t>
        </is>
      </c>
      <c r="F305" s="1158" t="inlineStr">
        <is>
          <t>13</t>
        </is>
      </c>
    </row>
    <row r="306">
      <c r="B306" s="1158" t="inlineStr">
        <is>
          <t>Office Buildings</t>
        </is>
      </c>
      <c r="C306" s="1158" t="n">
        <v>344</v>
      </c>
      <c r="D306" s="1158" t="inlineStr">
        <is>
          <t>15</t>
        </is>
      </c>
      <c r="E306" s="1158" t="inlineStr">
        <is>
          <t>17</t>
        </is>
      </c>
      <c r="F306" s="1158" t="inlineStr">
        <is>
          <t>15</t>
        </is>
      </c>
    </row>
    <row r="307">
      <c r="B307" s="1158" t="inlineStr">
        <is>
          <t>Medical Office Buildings</t>
        </is>
      </c>
      <c r="C307" s="1158" t="n">
        <v>341</v>
      </c>
      <c r="D307" s="1158" t="inlineStr">
        <is>
          <t>15</t>
        </is>
      </c>
      <c r="E307" s="1158" t="inlineStr">
        <is>
          <t>22</t>
        </is>
      </c>
      <c r="F307" s="1158" t="inlineStr">
        <is>
          <t>15</t>
        </is>
      </c>
    </row>
    <row r="308">
      <c r="B308" s="1158" t="inlineStr">
        <is>
          <t>Banks, Branch</t>
        </is>
      </c>
      <c r="C308" s="1158" t="n">
        <v>304</v>
      </c>
      <c r="D308" s="1158" t="inlineStr">
        <is>
          <t>15</t>
        </is>
      </c>
      <c r="E308" s="1158" t="inlineStr">
        <is>
          <t>21</t>
        </is>
      </c>
      <c r="F308" s="1158" t="inlineStr">
        <is>
          <t>15</t>
        </is>
      </c>
    </row>
    <row r="309">
      <c r="B309" s="1158" t="inlineStr">
        <is>
          <t>Hotels, Full Service</t>
        </is>
      </c>
      <c r="C309" s="1158" t="n">
        <v>332</v>
      </c>
      <c r="D309" s="1158" t="inlineStr">
        <is>
          <t>11</t>
        </is>
      </c>
      <c r="E309" s="1158" t="inlineStr">
        <is>
          <t>25</t>
        </is>
      </c>
      <c r="F309" s="1158" t="inlineStr">
        <is>
          <t>11</t>
        </is>
      </c>
    </row>
    <row r="310">
      <c r="B310" s="1158" t="inlineStr">
        <is>
          <t>Hotels, Limited Service</t>
        </is>
      </c>
      <c r="C310" s="1158" t="n">
        <v>1332</v>
      </c>
      <c r="D310" s="1158" t="inlineStr">
        <is>
          <t>11</t>
        </is>
      </c>
      <c r="E310" s="1158" t="inlineStr">
        <is>
          <t>22</t>
        </is>
      </c>
      <c r="F310" s="1158" t="inlineStr">
        <is>
          <t>11</t>
        </is>
      </c>
    </row>
    <row r="311"/>
    <row r="312">
      <c r="B312" s="1207" t="inlineStr">
        <is>
          <t>REFERENCE 5 -- Story Height Multiplier Tables (per MVS section, single-column for lookup)</t>
        </is>
      </c>
      <c r="C312" s="1208" t="n"/>
      <c r="D312" s="1208" t="n"/>
      <c r="E312" s="1208" t="n"/>
      <c r="F312" s="1208" t="n"/>
      <c r="G312" s="1208" t="n"/>
      <c r="H312" s="1208" t="n"/>
    </row>
    <row r="313">
      <c r="B313" s="1209" t="inlineStr">
        <is>
          <t>Section 14 (base = 14 ft)</t>
        </is>
      </c>
      <c r="C313" s="1209" t="inlineStr">
        <is>
          <t>Height (ft)</t>
        </is>
      </c>
      <c r="D313" s="1209" t="inlineStr">
        <is>
          <t>Multiplier</t>
        </is>
      </c>
    </row>
    <row r="314">
      <c r="C314" s="1158" t="n">
        <v>8</v>
      </c>
      <c r="D314" s="1159" t="n">
        <v>0.885</v>
      </c>
    </row>
    <row r="315">
      <c r="C315" s="1158" t="n">
        <v>10</v>
      </c>
      <c r="D315" s="1159" t="n">
        <v>0.921</v>
      </c>
    </row>
    <row r="316">
      <c r="C316" s="1158" t="n">
        <v>12</v>
      </c>
      <c r="D316" s="1159" t="n">
        <v>0.96</v>
      </c>
    </row>
    <row r="317">
      <c r="C317" s="1158" t="n">
        <v>14</v>
      </c>
      <c r="D317" s="1159" t="n">
        <v>1</v>
      </c>
    </row>
    <row r="318">
      <c r="C318" s="1158" t="n">
        <v>16</v>
      </c>
      <c r="D318" s="1159" t="n">
        <v>1.041</v>
      </c>
    </row>
    <row r="319">
      <c r="C319" s="1158" t="n">
        <v>18</v>
      </c>
      <c r="D319" s="1159" t="n">
        <v>1.086</v>
      </c>
    </row>
    <row r="320">
      <c r="C320" s="1158" t="n">
        <v>20</v>
      </c>
      <c r="D320" s="1159" t="n">
        <v>1.133</v>
      </c>
    </row>
    <row r="321">
      <c r="C321" s="1158" t="n">
        <v>22</v>
      </c>
      <c r="D321" s="1159" t="n">
        <v>1.181</v>
      </c>
    </row>
    <row r="322">
      <c r="C322" s="1158" t="n">
        <v>24</v>
      </c>
      <c r="D322" s="1159" t="n">
        <v>1.231</v>
      </c>
    </row>
    <row r="323">
      <c r="C323" s="1158" t="n">
        <v>26</v>
      </c>
      <c r="D323" s="1159" t="n">
        <v>1.281</v>
      </c>
    </row>
    <row r="324">
      <c r="C324" s="1158" t="n">
        <v>28</v>
      </c>
      <c r="D324" s="1159" t="n">
        <v>1.331</v>
      </c>
    </row>
    <row r="325">
      <c r="C325" s="1158" t="n">
        <v>30</v>
      </c>
      <c r="D325" s="1159" t="n">
        <v>1.382</v>
      </c>
    </row>
    <row r="326">
      <c r="C326" s="1158" t="n">
        <v>35</v>
      </c>
      <c r="D326" s="1159" t="n">
        <v>1.515</v>
      </c>
    </row>
    <row r="327">
      <c r="C327" s="1158" t="n">
        <v>40</v>
      </c>
      <c r="D327" s="1159" t="n">
        <v>1.65</v>
      </c>
    </row>
    <row r="328">
      <c r="C328" s="1158" t="n">
        <v>45</v>
      </c>
      <c r="D328" s="1159" t="n">
        <v>1.788</v>
      </c>
    </row>
    <row r="329">
      <c r="C329" s="1158" t="n">
        <v>50</v>
      </c>
      <c r="D329" s="1159" t="n">
        <v>1.93</v>
      </c>
    </row>
    <row r="330">
      <c r="C330" s="1158" t="n">
        <v>55</v>
      </c>
      <c r="D330" s="1159" t="n">
        <v>2.075</v>
      </c>
    </row>
    <row r="331">
      <c r="C331" s="1158" t="n">
        <v>60</v>
      </c>
      <c r="D331" s="1159" t="n">
        <v>2.225</v>
      </c>
    </row>
    <row r="332">
      <c r="C332" s="1158" t="n">
        <v>70</v>
      </c>
      <c r="D332" s="1159" t="n">
        <v>2.53</v>
      </c>
    </row>
    <row r="333">
      <c r="C333" s="1158" t="n">
        <v>80</v>
      </c>
      <c r="D333" s="1159" t="n">
        <v>2.845</v>
      </c>
    </row>
    <row r="334">
      <c r="C334" s="1158" t="n">
        <v>90</v>
      </c>
      <c r="D334" s="1159" t="n">
        <v>3.161</v>
      </c>
    </row>
    <row r="335">
      <c r="C335" s="1158" t="n">
        <v>100</v>
      </c>
      <c r="D335" s="1159" t="n">
        <v>3.461</v>
      </c>
    </row>
    <row r="336">
      <c r="C336" s="1158" t="n">
        <v>110</v>
      </c>
      <c r="D336" s="1159" t="n">
        <v>3.738</v>
      </c>
    </row>
    <row r="337">
      <c r="C337" s="1158" t="n">
        <v>120</v>
      </c>
      <c r="D337" s="1159" t="n">
        <v>3.977</v>
      </c>
    </row>
    <row r="338"/>
    <row r="339">
      <c r="B339" s="1209" t="inlineStr">
        <is>
          <t>Section 13 (base = 12 ft)</t>
        </is>
      </c>
      <c r="C339" s="1209" t="inlineStr">
        <is>
          <t>Height (ft)</t>
        </is>
      </c>
      <c r="D339" s="1209" t="inlineStr">
        <is>
          <t>Multiplier</t>
        </is>
      </c>
    </row>
    <row r="340">
      <c r="C340" s="1158" t="n">
        <v>8</v>
      </c>
      <c r="D340" s="1159" t="n">
        <v>0.915</v>
      </c>
    </row>
    <row r="341">
      <c r="C341" s="1158" t="n">
        <v>9</v>
      </c>
      <c r="D341" s="1159" t="n">
        <v>0.9360000000000001</v>
      </c>
    </row>
    <row r="342">
      <c r="C342" s="1158" t="n">
        <v>10</v>
      </c>
      <c r="D342" s="1159" t="n">
        <v>0.957</v>
      </c>
    </row>
    <row r="343">
      <c r="C343" s="1158" t="n">
        <v>11</v>
      </c>
      <c r="D343" s="1159" t="n">
        <v>0.979</v>
      </c>
    </row>
    <row r="344">
      <c r="C344" s="1158" t="n">
        <v>12</v>
      </c>
      <c r="D344" s="1159" t="n">
        <v>1</v>
      </c>
    </row>
    <row r="345">
      <c r="C345" s="1158" t="n">
        <v>13</v>
      </c>
      <c r="D345" s="1159" t="n">
        <v>1.021</v>
      </c>
    </row>
    <row r="346">
      <c r="C346" s="1158" t="n">
        <v>14</v>
      </c>
      <c r="D346" s="1159" t="n">
        <v>1.042</v>
      </c>
    </row>
    <row r="347">
      <c r="C347" s="1158" t="n">
        <v>15</v>
      </c>
      <c r="D347" s="1159" t="n">
        <v>1.064</v>
      </c>
    </row>
    <row r="348">
      <c r="C348" s="1158" t="n">
        <v>16</v>
      </c>
      <c r="D348" s="1159" t="n">
        <v>1.085</v>
      </c>
    </row>
    <row r="349">
      <c r="C349" s="1158" t="n">
        <v>18</v>
      </c>
      <c r="D349" s="1159" t="n">
        <v>1.127</v>
      </c>
    </row>
    <row r="350">
      <c r="C350" s="1158" t="n">
        <v>20</v>
      </c>
      <c r="D350" s="1159" t="n">
        <v>1.17</v>
      </c>
    </row>
    <row r="351">
      <c r="C351" s="1158" t="n">
        <v>22</v>
      </c>
      <c r="D351" s="1159" t="n">
        <v>1.213</v>
      </c>
    </row>
    <row r="352">
      <c r="C352" s="1158" t="n">
        <v>24</v>
      </c>
      <c r="D352" s="1159" t="n">
        <v>1.255</v>
      </c>
    </row>
    <row r="353">
      <c r="C353" s="1158" t="n">
        <v>26</v>
      </c>
      <c r="D353" s="1159" t="n">
        <v>1.298</v>
      </c>
    </row>
    <row r="354">
      <c r="C354" s="1158" t="n">
        <v>28</v>
      </c>
      <c r="D354" s="1159" t="n">
        <v>1.34</v>
      </c>
    </row>
    <row r="355">
      <c r="C355" s="1158" t="n">
        <v>30</v>
      </c>
      <c r="D355" s="1159" t="n">
        <v>1.383</v>
      </c>
    </row>
    <row r="356">
      <c r="C356" s="1158" t="n">
        <v>32</v>
      </c>
      <c r="D356" s="1159" t="n">
        <v>1.425</v>
      </c>
    </row>
    <row r="357">
      <c r="C357" s="1158" t="n">
        <v>34</v>
      </c>
      <c r="D357" s="1159" t="n">
        <v>1.468</v>
      </c>
    </row>
    <row r="358"/>
    <row r="359">
      <c r="B359" s="1209" t="inlineStr">
        <is>
          <t>Section 15 (base = 12 ft)</t>
        </is>
      </c>
      <c r="C359" s="1209" t="inlineStr">
        <is>
          <t>Height (ft)</t>
        </is>
      </c>
      <c r="D359" s="1209" t="inlineStr">
        <is>
          <t>Multiplier</t>
        </is>
      </c>
    </row>
    <row r="360">
      <c r="C360" s="1158" t="n">
        <v>8</v>
      </c>
      <c r="D360" s="1159" t="n">
        <v>0.9</v>
      </c>
    </row>
    <row r="361">
      <c r="C361" s="1158" t="n">
        <v>9</v>
      </c>
      <c r="D361" s="1159" t="n">
        <v>0.928</v>
      </c>
    </row>
    <row r="362">
      <c r="C362" s="1158" t="n">
        <v>10</v>
      </c>
      <c r="D362" s="1159" t="n">
        <v>0.953</v>
      </c>
    </row>
    <row r="363">
      <c r="C363" s="1158" t="n">
        <v>11</v>
      </c>
      <c r="D363" s="1159" t="n">
        <v>0.977</v>
      </c>
    </row>
    <row r="364">
      <c r="C364" s="1158" t="n">
        <v>12</v>
      </c>
      <c r="D364" s="1159" t="n">
        <v>1</v>
      </c>
    </row>
    <row r="365">
      <c r="C365" s="1158" t="n">
        <v>13</v>
      </c>
      <c r="D365" s="1159" t="n">
        <v>1.023</v>
      </c>
    </row>
    <row r="366">
      <c r="C366" s="1158" t="n">
        <v>14</v>
      </c>
      <c r="D366" s="1159" t="n">
        <v>1.046</v>
      </c>
    </row>
    <row r="367">
      <c r="C367" s="1158" t="n">
        <v>15</v>
      </c>
      <c r="D367" s="1159" t="n">
        <v>1.069</v>
      </c>
    </row>
    <row r="368">
      <c r="C368" s="1158" t="n">
        <v>16</v>
      </c>
      <c r="D368" s="1159" t="n">
        <v>1.092</v>
      </c>
    </row>
    <row r="369">
      <c r="C369" s="1158" t="n">
        <v>18</v>
      </c>
      <c r="D369" s="1159" t="n">
        <v>1.138</v>
      </c>
    </row>
    <row r="370">
      <c r="C370" s="1158" t="n">
        <v>20</v>
      </c>
      <c r="D370" s="1159" t="n">
        <v>1.184</v>
      </c>
    </row>
    <row r="371">
      <c r="C371" s="1158" t="n">
        <v>24</v>
      </c>
      <c r="D371" s="1159" t="n">
        <v>1.276</v>
      </c>
    </row>
    <row r="372">
      <c r="C372" s="1158" t="n">
        <v>28</v>
      </c>
      <c r="D372" s="1159" t="n">
        <v>1.367</v>
      </c>
    </row>
    <row r="373">
      <c r="C373" s="1158" t="n">
        <v>32</v>
      </c>
      <c r="D373" s="1159" t="n">
        <v>1.459</v>
      </c>
    </row>
    <row r="374">
      <c r="C374" s="1158" t="n">
        <v>36</v>
      </c>
      <c r="D374" s="1159" t="n">
        <v>1.552</v>
      </c>
    </row>
    <row r="375"/>
    <row r="376">
      <c r="B376" s="1209" t="inlineStr">
        <is>
          <t>Section 11 (base = 10 ft)</t>
        </is>
      </c>
      <c r="C376" s="1209" t="inlineStr">
        <is>
          <t>Height (ft)</t>
        </is>
      </c>
      <c r="D376" s="1209" t="inlineStr">
        <is>
          <t>Multiplier</t>
        </is>
      </c>
    </row>
    <row r="377">
      <c r="C377" s="1158" t="n">
        <v>7</v>
      </c>
      <c r="D377" s="1159" t="n">
        <v>0.922</v>
      </c>
    </row>
    <row r="378">
      <c r="C378" s="1158" t="n">
        <v>8</v>
      </c>
      <c r="D378" s="1159" t="n">
        <v>0.947</v>
      </c>
    </row>
    <row r="379">
      <c r="C379" s="1158" t="n">
        <v>9</v>
      </c>
      <c r="D379" s="1159" t="n">
        <v>0.973</v>
      </c>
    </row>
    <row r="380">
      <c r="C380" s="1158" t="n">
        <v>10</v>
      </c>
      <c r="D380" s="1159" t="n">
        <v>1</v>
      </c>
    </row>
    <row r="381">
      <c r="C381" s="1158" t="n">
        <v>11</v>
      </c>
      <c r="D381" s="1159" t="n">
        <v>1.027</v>
      </c>
    </row>
    <row r="382">
      <c r="C382" s="1158" t="n">
        <v>12</v>
      </c>
      <c r="D382" s="1159" t="n">
        <v>1.055</v>
      </c>
    </row>
    <row r="383">
      <c r="C383" s="1158" t="n">
        <v>13</v>
      </c>
      <c r="D383" s="1159" t="n">
        <v>1.084</v>
      </c>
    </row>
    <row r="384">
      <c r="C384" s="1158" t="n">
        <v>14</v>
      </c>
      <c r="D384" s="1159" t="n">
        <v>1.114</v>
      </c>
    </row>
    <row r="385">
      <c r="C385" s="1158" t="n">
        <v>15</v>
      </c>
      <c r="D385" s="1159" t="n">
        <v>1.144</v>
      </c>
    </row>
    <row r="386">
      <c r="C386" s="1158" t="n">
        <v>16</v>
      </c>
      <c r="D386" s="1159" t="n">
        <v>1.175</v>
      </c>
    </row>
    <row r="387">
      <c r="C387" s="1158" t="n">
        <v>17</v>
      </c>
      <c r="D387" s="1159" t="n">
        <v>1.207</v>
      </c>
    </row>
    <row r="388">
      <c r="C388" s="1158" t="n">
        <v>18</v>
      </c>
      <c r="D388" s="1159" t="n">
        <v>1.24</v>
      </c>
    </row>
    <row r="389">
      <c r="C389" s="1158" t="n">
        <v>19</v>
      </c>
      <c r="D389" s="1159" t="n">
        <v>1.274</v>
      </c>
    </row>
    <row r="390">
      <c r="C390" s="1158" t="n">
        <v>20</v>
      </c>
      <c r="D390" s="1159" t="n">
        <v>1.309</v>
      </c>
    </row>
    <row r="391">
      <c r="C391" s="1158" t="n">
        <v>22</v>
      </c>
      <c r="D391" s="1159" t="n">
        <v>1.381</v>
      </c>
    </row>
    <row r="392">
      <c r="C392" s="1158" t="n">
        <v>24</v>
      </c>
      <c r="D392" s="1159" t="n">
        <v>1.458</v>
      </c>
    </row>
    <row r="393"/>
    <row r="394"/>
    <row r="395">
      <c r="B395" s="1207" t="inlineStr">
        <is>
          <t>REFERENCE 6 -- Sprinkler Add-On Cost Tables ($/SF, per MVS section)</t>
        </is>
      </c>
      <c r="C395" s="1208" t="n"/>
      <c r="D395" s="1208" t="n"/>
      <c r="E395" s="1208" t="n"/>
      <c r="F395" s="1208" t="n"/>
      <c r="G395" s="1208" t="n"/>
      <c r="H395" s="1208" t="n"/>
    </row>
    <row r="396">
      <c r="B396" s="1158" t="inlineStr">
        <is>
          <t>(quality header row, used by lookup formulas)</t>
        </is>
      </c>
      <c r="C396" s="1158" t="inlineStr">
        <is>
          <t>Low Cost</t>
        </is>
      </c>
      <c r="D396" s="1158" t="inlineStr">
        <is>
          <t>Average</t>
        </is>
      </c>
      <c r="E396" s="1158" t="inlineStr">
        <is>
          <t>Good</t>
        </is>
      </c>
      <c r="F396" s="1158" t="inlineStr">
        <is>
          <t>Excellent</t>
        </is>
      </c>
    </row>
    <row r="397">
      <c r="B397" s="1209" t="inlineStr">
        <is>
          <t>Section 14</t>
        </is>
      </c>
      <c r="C397" s="1209" t="inlineStr">
        <is>
          <t>Coverage (SF)</t>
        </is>
      </c>
      <c r="D397" s="1209" t="inlineStr">
        <is>
          <t>Wet-Low</t>
        </is>
      </c>
      <c r="E397" s="1209" t="inlineStr">
        <is>
          <t>Wet-Avg</t>
        </is>
      </c>
      <c r="F397" s="1209" t="inlineStr">
        <is>
          <t>Wet-Good</t>
        </is>
      </c>
      <c r="G397" s="1210" t="inlineStr">
        <is>
          <t>Wet-Excl</t>
        </is>
      </c>
      <c r="H397" s="1210" t="inlineStr">
        <is>
          <t>Dry-Low</t>
        </is>
      </c>
      <c r="I397" s="1210" t="inlineStr">
        <is>
          <t>Dry-Avg</t>
        </is>
      </c>
      <c r="J397" s="1210" t="inlineStr">
        <is>
          <t>Dry-Good</t>
        </is>
      </c>
      <c r="K397" s="1210" t="inlineStr">
        <is>
          <t>Dry-Excl</t>
        </is>
      </c>
    </row>
    <row r="398">
      <c r="C398" s="1158" t="n">
        <v>2500</v>
      </c>
      <c r="D398" s="1160" t="n">
        <v>4.64</v>
      </c>
      <c r="E398" s="1160" t="n">
        <v>5.62</v>
      </c>
      <c r="F398" s="1160" t="n">
        <v>6.8</v>
      </c>
      <c r="G398" s="606" t="n">
        <v>8.24</v>
      </c>
      <c r="H398" s="606" t="n">
        <v>6.17</v>
      </c>
      <c r="I398" s="606" t="n">
        <v>7.47</v>
      </c>
      <c r="J398" s="606" t="n">
        <v>9.039999999999999</v>
      </c>
      <c r="K398" s="606" t="n">
        <v>10.95</v>
      </c>
    </row>
    <row r="399">
      <c r="C399" s="1158" t="n">
        <v>5000</v>
      </c>
      <c r="D399" s="1160" t="n">
        <v>4.17</v>
      </c>
      <c r="E399" s="1160" t="n">
        <v>5.02</v>
      </c>
      <c r="F399" s="1160" t="n">
        <v>6.05</v>
      </c>
      <c r="G399" s="606" t="n">
        <v>7.28</v>
      </c>
      <c r="H399" s="606" t="n">
        <v>5.51</v>
      </c>
      <c r="I399" s="606" t="n">
        <v>6.64</v>
      </c>
      <c r="J399" s="606" t="n">
        <v>7.99</v>
      </c>
      <c r="K399" s="606" t="n">
        <v>9.630000000000001</v>
      </c>
    </row>
    <row r="400">
      <c r="C400" s="1158" t="n">
        <v>10000</v>
      </c>
      <c r="D400" s="1160" t="n">
        <v>3.77</v>
      </c>
      <c r="E400" s="1160" t="n">
        <v>4.52</v>
      </c>
      <c r="F400" s="1160" t="n">
        <v>5.41</v>
      </c>
      <c r="G400" s="606" t="n">
        <v>6.48</v>
      </c>
      <c r="H400" s="606" t="n">
        <v>4.95</v>
      </c>
      <c r="I400" s="606" t="n">
        <v>5.93</v>
      </c>
      <c r="J400" s="606" t="n">
        <v>7.09</v>
      </c>
      <c r="K400" s="606" t="n">
        <v>8.49</v>
      </c>
    </row>
    <row r="401">
      <c r="C401" s="1158" t="n">
        <v>15000</v>
      </c>
      <c r="D401" s="1160" t="n">
        <v>3.54</v>
      </c>
      <c r="E401" s="1160" t="n">
        <v>4.23</v>
      </c>
      <c r="F401" s="1160" t="n">
        <v>5.05</v>
      </c>
      <c r="G401" s="606" t="n">
        <v>6.03</v>
      </c>
      <c r="H401" s="606" t="n">
        <v>4.62</v>
      </c>
      <c r="I401" s="606" t="n">
        <v>5.52</v>
      </c>
      <c r="J401" s="606" t="n">
        <v>6.6</v>
      </c>
      <c r="K401" s="606" t="n">
        <v>7.88</v>
      </c>
    </row>
    <row r="402">
      <c r="C402" s="1158" t="n">
        <v>20000</v>
      </c>
      <c r="D402" s="1160" t="n">
        <v>3.37</v>
      </c>
      <c r="E402" s="1160" t="n">
        <v>4.02</v>
      </c>
      <c r="F402" s="1160" t="n">
        <v>4.78</v>
      </c>
      <c r="G402" s="606" t="n">
        <v>5.7</v>
      </c>
      <c r="H402" s="606" t="n">
        <v>4.37</v>
      </c>
      <c r="I402" s="606" t="n">
        <v>5.21</v>
      </c>
      <c r="J402" s="606" t="n">
        <v>6.22</v>
      </c>
      <c r="K402" s="606" t="n">
        <v>7.42</v>
      </c>
    </row>
    <row r="403">
      <c r="C403" s="1158" t="n">
        <v>30000</v>
      </c>
      <c r="D403" s="1160" t="n">
        <v>3.18</v>
      </c>
      <c r="E403" s="1160" t="n">
        <v>3.78</v>
      </c>
      <c r="F403" s="1160" t="n">
        <v>4.49</v>
      </c>
      <c r="G403" s="606" t="n">
        <v>5.34</v>
      </c>
      <c r="H403" s="606" t="n">
        <v>4.12</v>
      </c>
      <c r="I403" s="606" t="n">
        <v>4.89</v>
      </c>
      <c r="J403" s="606" t="n">
        <v>5.8</v>
      </c>
      <c r="K403" s="606" t="n">
        <v>6.89</v>
      </c>
    </row>
    <row r="404">
      <c r="C404" s="1158" t="n">
        <v>40000</v>
      </c>
      <c r="D404" s="1160" t="n">
        <v>3.04</v>
      </c>
      <c r="E404" s="1160" t="n">
        <v>3.6</v>
      </c>
      <c r="F404" s="1160" t="n">
        <v>4.27</v>
      </c>
      <c r="G404" s="606" t="n">
        <v>5.06</v>
      </c>
      <c r="H404" s="606" t="n">
        <v>3.93</v>
      </c>
      <c r="I404" s="606" t="n">
        <v>4.65</v>
      </c>
      <c r="J404" s="606" t="n">
        <v>5.51</v>
      </c>
      <c r="K404" s="606" t="n">
        <v>6.53</v>
      </c>
    </row>
    <row r="405">
      <c r="C405" s="1158" t="n">
        <v>50000</v>
      </c>
      <c r="D405" s="1160" t="n">
        <v>2.96</v>
      </c>
      <c r="E405" s="1160" t="n">
        <v>3.5</v>
      </c>
      <c r="F405" s="1160" t="n">
        <v>4.14</v>
      </c>
      <c r="G405" s="606" t="n">
        <v>4.89</v>
      </c>
      <c r="H405" s="606" t="n">
        <v>3.79</v>
      </c>
      <c r="I405" s="606" t="n">
        <v>4.48</v>
      </c>
      <c r="J405" s="606" t="n">
        <v>5.3</v>
      </c>
      <c r="K405" s="606" t="n">
        <v>6.27</v>
      </c>
    </row>
    <row r="406">
      <c r="C406" s="1158" t="n">
        <v>60000</v>
      </c>
      <c r="D406" s="1160" t="n">
        <v>2.87</v>
      </c>
      <c r="E406" s="1160" t="n">
        <v>3.39</v>
      </c>
      <c r="F406" s="1160" t="n">
        <v>3.99</v>
      </c>
      <c r="G406" s="606" t="n">
        <v>4.71</v>
      </c>
      <c r="H406" s="606" t="n">
        <v>3.67</v>
      </c>
      <c r="I406" s="606" t="n">
        <v>4.33</v>
      </c>
      <c r="J406" s="606" t="n">
        <v>5.11</v>
      </c>
      <c r="K406" s="606" t="n">
        <v>6.03</v>
      </c>
    </row>
    <row r="407">
      <c r="C407" s="1158" t="n">
        <v>80000</v>
      </c>
      <c r="D407" s="1160" t="n">
        <v>2.74</v>
      </c>
      <c r="E407" s="1160" t="n">
        <v>3.22</v>
      </c>
      <c r="F407" s="1160" t="n">
        <v>3.79</v>
      </c>
      <c r="G407" s="606" t="n">
        <v>4.46</v>
      </c>
      <c r="H407" s="606" t="n">
        <v>3.49</v>
      </c>
      <c r="I407" s="606" t="n">
        <v>4.11</v>
      </c>
      <c r="J407" s="606" t="n">
        <v>4.85</v>
      </c>
      <c r="K407" s="606" t="n">
        <v>5.72</v>
      </c>
    </row>
    <row r="408">
      <c r="C408" s="1158" t="n">
        <v>100000</v>
      </c>
      <c r="D408" s="1160" t="n">
        <v>2.66</v>
      </c>
      <c r="E408" s="1160" t="n">
        <v>3.13</v>
      </c>
      <c r="F408" s="1160" t="n">
        <v>3.68</v>
      </c>
      <c r="G408" s="606" t="n">
        <v>4.32</v>
      </c>
      <c r="H408" s="606" t="n">
        <v>3.4</v>
      </c>
      <c r="I408" s="606" t="n">
        <v>3.99</v>
      </c>
      <c r="J408" s="606" t="n">
        <v>4.69</v>
      </c>
      <c r="K408" s="606" t="n">
        <v>5.51</v>
      </c>
    </row>
    <row r="409">
      <c r="C409" s="1158" t="n">
        <v>125000</v>
      </c>
      <c r="D409" s="1160" t="n">
        <v>2.57</v>
      </c>
      <c r="E409" s="1160" t="n">
        <v>3.02</v>
      </c>
      <c r="F409" s="1160" t="n">
        <v>3.54</v>
      </c>
      <c r="G409" s="606" t="n">
        <v>4.15</v>
      </c>
      <c r="H409" s="606" t="n">
        <v>3.26</v>
      </c>
      <c r="I409" s="606" t="n">
        <v>3.83</v>
      </c>
      <c r="J409" s="606" t="n">
        <v>4.5</v>
      </c>
      <c r="K409" s="606" t="n">
        <v>5.28</v>
      </c>
    </row>
    <row r="410">
      <c r="C410" s="1158" t="n">
        <v>150000</v>
      </c>
      <c r="D410" s="1160" t="n">
        <v>2.49</v>
      </c>
      <c r="E410" s="1160" t="n">
        <v>2.92</v>
      </c>
      <c r="F410" s="1160" t="n">
        <v>3.43</v>
      </c>
      <c r="G410" s="606" t="n">
        <v>4.03</v>
      </c>
      <c r="H410" s="606" t="n">
        <v>3.16</v>
      </c>
      <c r="I410" s="606" t="n">
        <v>3.71</v>
      </c>
      <c r="J410" s="606" t="n">
        <v>4.35</v>
      </c>
      <c r="K410" s="606" t="n">
        <v>5.11</v>
      </c>
    </row>
    <row r="411">
      <c r="C411" s="1158" t="n">
        <v>200000</v>
      </c>
      <c r="D411" s="1160" t="n">
        <v>2.4</v>
      </c>
      <c r="E411" s="1160" t="n">
        <v>2.81</v>
      </c>
      <c r="F411" s="1160" t="n">
        <v>3.28</v>
      </c>
      <c r="G411" s="606" t="n">
        <v>3.84</v>
      </c>
      <c r="H411" s="606" t="n">
        <v>3.04</v>
      </c>
      <c r="I411" s="606" t="n">
        <v>3.55</v>
      </c>
      <c r="J411" s="606" t="n">
        <v>4.16</v>
      </c>
      <c r="K411" s="606" t="n">
        <v>4.86</v>
      </c>
    </row>
    <row r="412">
      <c r="C412" s="1158" t="n">
        <v>250000</v>
      </c>
      <c r="D412" s="1160" t="n">
        <v>2.32</v>
      </c>
      <c r="E412" s="1160" t="n">
        <v>2.71</v>
      </c>
      <c r="F412" s="1160" t="n">
        <v>3.16</v>
      </c>
      <c r="G412" s="606" t="n">
        <v>3.68</v>
      </c>
      <c r="H412" s="606" t="n">
        <v>2.91</v>
      </c>
      <c r="I412" s="606" t="n">
        <v>3.4</v>
      </c>
      <c r="J412" s="606" t="n">
        <v>3.97</v>
      </c>
      <c r="K412" s="606" t="n">
        <v>4.64</v>
      </c>
    </row>
    <row r="413">
      <c r="C413" s="1158" t="n">
        <v>300000</v>
      </c>
      <c r="D413" s="1160" t="n">
        <v>2.26</v>
      </c>
      <c r="E413" s="1160" t="n">
        <v>2.63</v>
      </c>
      <c r="F413" s="1160" t="n">
        <v>3.06</v>
      </c>
      <c r="G413" s="606" t="n">
        <v>3.56</v>
      </c>
      <c r="H413" s="606" t="n">
        <v>2.83</v>
      </c>
      <c r="I413" s="606" t="n">
        <v>3.29</v>
      </c>
      <c r="J413" s="606" t="n">
        <v>3.83</v>
      </c>
      <c r="K413" s="606" t="n">
        <v>4.45</v>
      </c>
    </row>
    <row r="414">
      <c r="C414" s="1158" t="n">
        <v>400000</v>
      </c>
      <c r="D414" s="1160" t="n">
        <v>2.18</v>
      </c>
      <c r="E414" s="1160" t="n">
        <v>2.53</v>
      </c>
      <c r="F414" s="1160" t="n">
        <v>2.93</v>
      </c>
      <c r="G414" s="606" t="n">
        <v>3.4</v>
      </c>
      <c r="H414" s="606" t="n">
        <v>2.73</v>
      </c>
      <c r="I414" s="606" t="n">
        <v>3.16</v>
      </c>
      <c r="J414" s="606" t="n">
        <v>3.66</v>
      </c>
      <c r="K414" s="606" t="n">
        <v>4.23</v>
      </c>
    </row>
    <row r="415">
      <c r="C415" s="1158" t="n">
        <v>600000</v>
      </c>
      <c r="D415" s="1160" t="n">
        <v>2.02</v>
      </c>
      <c r="E415" s="1160" t="n">
        <v>2.34</v>
      </c>
      <c r="F415" s="1160" t="n">
        <v>2.72</v>
      </c>
      <c r="G415" s="606" t="n">
        <v>3.15</v>
      </c>
      <c r="H415" s="606" t="n">
        <v>2.52</v>
      </c>
      <c r="I415" s="606" t="n">
        <v>2.93</v>
      </c>
      <c r="J415" s="606" t="n">
        <v>3.4</v>
      </c>
      <c r="K415" s="606" t="n">
        <v>3.95</v>
      </c>
    </row>
    <row r="416">
      <c r="C416" s="1158" t="n">
        <v>800000</v>
      </c>
      <c r="D416" s="1160" t="n">
        <v>1.94</v>
      </c>
      <c r="E416" s="1160" t="n">
        <v>2.25</v>
      </c>
      <c r="F416" s="1160" t="n">
        <v>2.61</v>
      </c>
      <c r="G416" s="606" t="n">
        <v>3.02</v>
      </c>
      <c r="H416" s="606" t="n">
        <v>2.43</v>
      </c>
      <c r="I416" s="606" t="n">
        <v>2.81</v>
      </c>
      <c r="J416" s="606" t="n">
        <v>3.25</v>
      </c>
      <c r="K416" s="606" t="n">
        <v>3.76</v>
      </c>
    </row>
    <row r="417">
      <c r="C417" s="1158" t="n">
        <v>1000000</v>
      </c>
      <c r="D417" s="1160" t="n">
        <v>1.86</v>
      </c>
      <c r="E417" s="1160" t="n">
        <v>2.15</v>
      </c>
      <c r="F417" s="1160" t="n">
        <v>2.49</v>
      </c>
      <c r="G417" s="606" t="n">
        <v>2.88</v>
      </c>
      <c r="H417" s="606" t="n">
        <v>2.32</v>
      </c>
      <c r="I417" s="606" t="n">
        <v>2.68</v>
      </c>
      <c r="J417" s="606" t="n">
        <v>3.1</v>
      </c>
      <c r="K417" s="606" t="n">
        <v>3.59</v>
      </c>
    </row>
    <row r="418"/>
    <row r="419">
      <c r="B419" s="1209" t="inlineStr">
        <is>
          <t>Section 13</t>
        </is>
      </c>
      <c r="C419" s="1209" t="inlineStr">
        <is>
          <t>Coverage (SF)</t>
        </is>
      </c>
      <c r="D419" s="1209" t="inlineStr">
        <is>
          <t>Wet-Low</t>
        </is>
      </c>
      <c r="E419" s="1209" t="inlineStr">
        <is>
          <t>Wet-Avg</t>
        </is>
      </c>
      <c r="F419" s="1209" t="inlineStr">
        <is>
          <t>Wet-Good</t>
        </is>
      </c>
      <c r="G419" s="1210" t="inlineStr">
        <is>
          <t>Wet-Excl</t>
        </is>
      </c>
      <c r="H419" s="1210" t="inlineStr">
        <is>
          <t>Dry-Low</t>
        </is>
      </c>
      <c r="I419" s="1210" t="inlineStr">
        <is>
          <t>Dry-Avg</t>
        </is>
      </c>
      <c r="J419" s="1210" t="inlineStr">
        <is>
          <t>Dry-Good</t>
        </is>
      </c>
      <c r="K419" s="1210" t="inlineStr">
        <is>
          <t>Dry-Excl</t>
        </is>
      </c>
    </row>
    <row r="420">
      <c r="C420" s="1158" t="n">
        <v>1000</v>
      </c>
      <c r="D420" s="1160" t="n">
        <v>6.05</v>
      </c>
      <c r="E420" s="1160" t="n">
        <v>7.18</v>
      </c>
      <c r="F420" s="1160" t="n">
        <v>8.51</v>
      </c>
      <c r="G420" s="606" t="n">
        <v>10.1</v>
      </c>
      <c r="H420" s="606" t="n">
        <v>7.83</v>
      </c>
      <c r="I420" s="606" t="n">
        <v>9.300000000000001</v>
      </c>
      <c r="J420" s="606" t="n">
        <v>11.05</v>
      </c>
      <c r="K420" s="606" t="n">
        <v>13.1</v>
      </c>
    </row>
    <row r="421">
      <c r="C421" s="1158" t="n">
        <v>2000</v>
      </c>
      <c r="D421" s="1160" t="n">
        <v>5.46</v>
      </c>
      <c r="E421" s="1160" t="n">
        <v>6.43</v>
      </c>
      <c r="F421" s="1160" t="n">
        <v>7.57</v>
      </c>
      <c r="G421" s="606" t="n">
        <v>8.92</v>
      </c>
      <c r="H421" s="606" t="n">
        <v>6.99</v>
      </c>
      <c r="I421" s="606" t="n">
        <v>8.24</v>
      </c>
      <c r="J421" s="606" t="n">
        <v>9.710000000000001</v>
      </c>
      <c r="K421" s="606" t="n">
        <v>11.45</v>
      </c>
    </row>
    <row r="422">
      <c r="C422" s="1158" t="n">
        <v>3000</v>
      </c>
      <c r="D422" s="1160" t="n">
        <v>5.13</v>
      </c>
      <c r="E422" s="1160" t="n">
        <v>6.03</v>
      </c>
      <c r="F422" s="1160" t="n">
        <v>7.08</v>
      </c>
      <c r="G422" s="606" t="n">
        <v>8.32</v>
      </c>
      <c r="H422" s="606" t="n">
        <v>6.53</v>
      </c>
      <c r="I422" s="606" t="n">
        <v>7.67</v>
      </c>
      <c r="J422" s="606" t="n">
        <v>9.02</v>
      </c>
      <c r="K422" s="606" t="n">
        <v>10.6</v>
      </c>
    </row>
    <row r="423">
      <c r="C423" s="1158" t="n">
        <v>5000</v>
      </c>
      <c r="D423" s="1160" t="n">
        <v>4.73</v>
      </c>
      <c r="E423" s="1160" t="n">
        <v>5.54</v>
      </c>
      <c r="F423" s="1160" t="n">
        <v>6.5</v>
      </c>
      <c r="G423" s="606" t="n">
        <v>7.62</v>
      </c>
      <c r="H423" s="606" t="n">
        <v>6.02</v>
      </c>
      <c r="I423" s="606" t="n">
        <v>7.05</v>
      </c>
      <c r="J423" s="606" t="n">
        <v>8.26</v>
      </c>
      <c r="K423" s="606" t="n">
        <v>9.67</v>
      </c>
    </row>
    <row r="424">
      <c r="C424" s="1158" t="n">
        <v>10000</v>
      </c>
      <c r="D424" s="1160" t="n">
        <v>4.26</v>
      </c>
      <c r="E424" s="1160" t="n">
        <v>4.96</v>
      </c>
      <c r="F424" s="1160" t="n">
        <v>5.77</v>
      </c>
      <c r="G424" s="606" t="n">
        <v>6.72</v>
      </c>
      <c r="H424" s="606" t="n">
        <v>5.35</v>
      </c>
      <c r="I424" s="606" t="n">
        <v>6.23</v>
      </c>
      <c r="J424" s="606" t="n">
        <v>7.26</v>
      </c>
      <c r="K424" s="606" t="n">
        <v>8.449999999999999</v>
      </c>
    </row>
    <row r="425">
      <c r="C425" s="1158" t="n">
        <v>15000</v>
      </c>
      <c r="D425" s="1160" t="n">
        <v>3.99</v>
      </c>
      <c r="E425" s="1160" t="n">
        <v>4.64</v>
      </c>
      <c r="F425" s="1160" t="n">
        <v>5.39</v>
      </c>
      <c r="G425" s="606" t="n">
        <v>6.26</v>
      </c>
      <c r="H425" s="606" t="n">
        <v>5</v>
      </c>
      <c r="I425" s="606" t="n">
        <v>5.81</v>
      </c>
      <c r="J425" s="606" t="n">
        <v>6.74</v>
      </c>
      <c r="K425" s="606" t="n">
        <v>7.83</v>
      </c>
    </row>
    <row r="426">
      <c r="C426" s="1158" t="n">
        <v>20000</v>
      </c>
      <c r="D426" s="1160" t="n">
        <v>3.83</v>
      </c>
      <c r="E426" s="1160" t="n">
        <v>4.44</v>
      </c>
      <c r="F426" s="1160" t="n">
        <v>5.15</v>
      </c>
      <c r="G426" s="606" t="n">
        <v>5.97</v>
      </c>
      <c r="H426" s="606" t="n">
        <v>4.78</v>
      </c>
      <c r="I426" s="606" t="n">
        <v>5.54</v>
      </c>
      <c r="J426" s="606" t="n">
        <v>6.41</v>
      </c>
      <c r="K426" s="606" t="n">
        <v>7.43</v>
      </c>
    </row>
    <row r="427">
      <c r="C427" s="1158" t="n">
        <v>30000</v>
      </c>
      <c r="D427" s="1160" t="n">
        <v>3.6</v>
      </c>
      <c r="E427" s="1160" t="n">
        <v>4.16</v>
      </c>
      <c r="F427" s="1160" t="n">
        <v>4.8</v>
      </c>
      <c r="G427" s="606" t="n">
        <v>5.54</v>
      </c>
      <c r="H427" s="606" t="n">
        <v>4.48</v>
      </c>
      <c r="I427" s="606" t="n">
        <v>5.17</v>
      </c>
      <c r="J427" s="606" t="n">
        <v>5.97</v>
      </c>
      <c r="K427" s="606" t="n">
        <v>6.89</v>
      </c>
    </row>
    <row r="428">
      <c r="C428" s="1158" t="n">
        <v>50000</v>
      </c>
      <c r="D428" s="1160" t="n">
        <v>3.35</v>
      </c>
      <c r="E428" s="1160" t="n">
        <v>3.85</v>
      </c>
      <c r="F428" s="1160" t="n">
        <v>4.42</v>
      </c>
      <c r="G428" s="606" t="n">
        <v>5.07</v>
      </c>
      <c r="H428" s="606" t="n">
        <v>4.13</v>
      </c>
      <c r="I428" s="606" t="n">
        <v>4.73</v>
      </c>
      <c r="J428" s="606" t="n">
        <v>5.43</v>
      </c>
      <c r="K428" s="606" t="n">
        <v>6.22</v>
      </c>
    </row>
    <row r="429">
      <c r="C429" s="1158" t="n">
        <v>75000</v>
      </c>
      <c r="D429" s="1160" t="n">
        <v>3.11</v>
      </c>
      <c r="E429" s="1160" t="n">
        <v>3.57</v>
      </c>
      <c r="F429" s="1160" t="n">
        <v>4.1</v>
      </c>
      <c r="G429" s="606" t="n">
        <v>4.7</v>
      </c>
      <c r="H429" s="606" t="n">
        <v>3.83</v>
      </c>
      <c r="I429" s="606" t="n">
        <v>4.39</v>
      </c>
      <c r="J429" s="606" t="n">
        <v>5.03</v>
      </c>
      <c r="K429" s="606" t="n">
        <v>5.76</v>
      </c>
    </row>
    <row r="430">
      <c r="C430" s="1158" t="n">
        <v>100000</v>
      </c>
      <c r="D430" s="1160" t="n">
        <v>2.97</v>
      </c>
      <c r="E430" s="1160" t="n">
        <v>3.41</v>
      </c>
      <c r="F430" s="1160" t="n">
        <v>3.91</v>
      </c>
      <c r="G430" s="606" t="n">
        <v>4.48</v>
      </c>
      <c r="H430" s="606" t="n">
        <v>3.65</v>
      </c>
      <c r="I430" s="606" t="n">
        <v>4.18</v>
      </c>
      <c r="J430" s="606" t="n">
        <v>4.79</v>
      </c>
      <c r="K430" s="606" t="n">
        <v>5.49</v>
      </c>
    </row>
    <row r="431">
      <c r="C431" s="1158" t="n">
        <v>150000</v>
      </c>
      <c r="D431" s="1160" t="n">
        <v>2.79</v>
      </c>
      <c r="E431" s="1160" t="n">
        <v>3.2</v>
      </c>
      <c r="F431" s="1160" t="n">
        <v>3.66</v>
      </c>
      <c r="G431" s="606" t="n">
        <v>4.19</v>
      </c>
      <c r="H431" s="606" t="n">
        <v>3.43</v>
      </c>
      <c r="I431" s="606" t="n">
        <v>3.92</v>
      </c>
      <c r="J431" s="606" t="n">
        <v>4.49</v>
      </c>
      <c r="K431" s="606" t="n">
        <v>5.13</v>
      </c>
    </row>
    <row r="432">
      <c r="C432" s="1158" t="n">
        <v>200000</v>
      </c>
      <c r="D432" s="1160" t="n">
        <v>2.7</v>
      </c>
      <c r="E432" s="1160" t="n">
        <v>3.07</v>
      </c>
      <c r="F432" s="1160" t="n">
        <v>3.49</v>
      </c>
      <c r="G432" s="606" t="n">
        <v>3.97</v>
      </c>
      <c r="H432" s="606" t="n">
        <v>3.29</v>
      </c>
      <c r="I432" s="606" t="n">
        <v>3.73</v>
      </c>
      <c r="J432" s="606" t="n">
        <v>4.24</v>
      </c>
      <c r="K432" s="606" t="n">
        <v>4.81</v>
      </c>
    </row>
    <row r="433">
      <c r="C433" s="1158" t="n">
        <v>300000</v>
      </c>
      <c r="D433" s="1160" t="n">
        <v>2.52</v>
      </c>
      <c r="E433" s="1160" t="n">
        <v>2.86</v>
      </c>
      <c r="F433" s="1160" t="n">
        <v>3.24</v>
      </c>
      <c r="G433" s="606" t="n">
        <v>3.68</v>
      </c>
      <c r="H433" s="606" t="n">
        <v>3.05</v>
      </c>
      <c r="I433" s="606" t="n">
        <v>3.46</v>
      </c>
      <c r="J433" s="606" t="n">
        <v>3.93</v>
      </c>
      <c r="K433" s="606" t="n">
        <v>4.46</v>
      </c>
    </row>
    <row r="434">
      <c r="C434" s="1158" t="n">
        <v>400000</v>
      </c>
      <c r="D434" s="1160" t="n">
        <v>2.43</v>
      </c>
      <c r="E434" s="1160" t="n">
        <v>2.74</v>
      </c>
      <c r="F434" s="1160" t="n">
        <v>3.09</v>
      </c>
      <c r="G434" s="606" t="n">
        <v>3.49</v>
      </c>
      <c r="H434" s="606" t="n">
        <v>2.91</v>
      </c>
      <c r="I434" s="606" t="n">
        <v>3.29</v>
      </c>
      <c r="J434" s="606" t="n">
        <v>3.71</v>
      </c>
      <c r="K434" s="606" t="n">
        <v>4.19</v>
      </c>
    </row>
    <row r="435">
      <c r="C435" s="1158" t="n">
        <v>600000</v>
      </c>
      <c r="D435" s="1160" t="n">
        <v>2.27</v>
      </c>
      <c r="E435" s="1160" t="n">
        <v>2.56</v>
      </c>
      <c r="F435" s="1160" t="n">
        <v>2.9</v>
      </c>
      <c r="G435" s="606" t="n">
        <v>3.27</v>
      </c>
      <c r="H435" s="606" t="n">
        <v>2.72</v>
      </c>
      <c r="I435" s="606" t="n">
        <v>3.07</v>
      </c>
      <c r="J435" s="606" t="n">
        <v>3.46</v>
      </c>
      <c r="K435" s="606" t="n">
        <v>3.91</v>
      </c>
    </row>
    <row r="436">
      <c r="C436" s="1158" t="n">
        <v>800000</v>
      </c>
      <c r="D436" s="1160" t="n">
        <v>2.19</v>
      </c>
      <c r="E436" s="1160" t="n">
        <v>2.46</v>
      </c>
      <c r="F436" s="1160" t="n">
        <v>2.77</v>
      </c>
      <c r="G436" s="606" t="n">
        <v>3.11</v>
      </c>
      <c r="H436" s="606" t="n">
        <v>2.62</v>
      </c>
      <c r="I436" s="606" t="n">
        <v>2.94</v>
      </c>
      <c r="J436" s="606" t="n">
        <v>3.31</v>
      </c>
      <c r="K436" s="606" t="n">
        <v>3.72</v>
      </c>
    </row>
    <row r="437">
      <c r="C437" s="1158" t="n">
        <v>1000000</v>
      </c>
      <c r="D437" s="1160" t="n">
        <v>2.11</v>
      </c>
      <c r="E437" s="1160" t="n">
        <v>2.37</v>
      </c>
      <c r="F437" s="1160" t="n">
        <v>2.66</v>
      </c>
      <c r="G437" s="606" t="n">
        <v>2.99</v>
      </c>
      <c r="H437" s="606" t="n">
        <v>2.52</v>
      </c>
      <c r="I437" s="606" t="n">
        <v>2.83</v>
      </c>
      <c r="J437" s="606" t="n">
        <v>3.17</v>
      </c>
      <c r="K437" s="606" t="n">
        <v>3.56</v>
      </c>
    </row>
    <row r="438"/>
    <row r="439">
      <c r="B439" s="1209" t="inlineStr">
        <is>
          <t>Section 15</t>
        </is>
      </c>
      <c r="C439" s="1209" t="inlineStr">
        <is>
          <t>Coverage (SF)</t>
        </is>
      </c>
      <c r="D439" s="1209" t="inlineStr">
        <is>
          <t>Wet-Low</t>
        </is>
      </c>
      <c r="E439" s="1209" t="inlineStr">
        <is>
          <t>Wet-Avg</t>
        </is>
      </c>
      <c r="F439" s="1209" t="inlineStr">
        <is>
          <t>Wet-Good</t>
        </is>
      </c>
      <c r="G439" s="1210" t="inlineStr">
        <is>
          <t>Wet-Excl</t>
        </is>
      </c>
      <c r="H439" s="1210" t="inlineStr">
        <is>
          <t>Dry-Low</t>
        </is>
      </c>
      <c r="I439" s="1210" t="inlineStr">
        <is>
          <t>Dry-Avg</t>
        </is>
      </c>
      <c r="J439" s="1210" t="inlineStr">
        <is>
          <t>Dry-Good</t>
        </is>
      </c>
      <c r="K439" s="1210" t="inlineStr">
        <is>
          <t>Dry-Excl</t>
        </is>
      </c>
    </row>
    <row r="440">
      <c r="C440" s="1158" t="n">
        <v>1500</v>
      </c>
      <c r="D440" s="1160" t="n">
        <v>6.24</v>
      </c>
      <c r="E440" s="1160" t="n">
        <v>7.41</v>
      </c>
      <c r="F440" s="1160" t="n">
        <v>8.800000000000001</v>
      </c>
      <c r="G440" s="606" t="n">
        <v>10.45</v>
      </c>
      <c r="H440" s="606" t="n">
        <v>8.08</v>
      </c>
      <c r="I440" s="606" t="n">
        <v>9.6</v>
      </c>
      <c r="J440" s="606" t="n">
        <v>11.4</v>
      </c>
      <c r="K440" s="606" t="n">
        <v>13.55</v>
      </c>
    </row>
    <row r="441">
      <c r="C441" s="1158" t="n">
        <v>5000</v>
      </c>
      <c r="D441" s="1160" t="n">
        <v>5.17</v>
      </c>
      <c r="E441" s="1160" t="n">
        <v>6.09</v>
      </c>
      <c r="F441" s="1160" t="n">
        <v>7.16</v>
      </c>
      <c r="G441" s="606" t="n">
        <v>8.43</v>
      </c>
      <c r="H441" s="606" t="n">
        <v>6.58</v>
      </c>
      <c r="I441" s="606" t="n">
        <v>7.75</v>
      </c>
      <c r="J441" s="606" t="n">
        <v>9.130000000000001</v>
      </c>
      <c r="K441" s="606" t="n">
        <v>10.75</v>
      </c>
    </row>
    <row r="442">
      <c r="C442" s="1158" t="n">
        <v>10000</v>
      </c>
      <c r="D442" s="1160" t="n">
        <v>4.65</v>
      </c>
      <c r="E442" s="1160" t="n">
        <v>5.45</v>
      </c>
      <c r="F442" s="1160" t="n">
        <v>6.38</v>
      </c>
      <c r="G442" s="606" t="n">
        <v>7.47</v>
      </c>
      <c r="H442" s="606" t="n">
        <v>5.89</v>
      </c>
      <c r="I442" s="606" t="n">
        <v>6.9</v>
      </c>
      <c r="J442" s="606" t="n">
        <v>8.07</v>
      </c>
      <c r="K442" s="606" t="n">
        <v>9.449999999999999</v>
      </c>
    </row>
    <row r="443">
      <c r="C443" s="1158" t="n">
        <v>20000</v>
      </c>
      <c r="D443" s="1160" t="n">
        <v>4.14</v>
      </c>
      <c r="E443" s="1160" t="n">
        <v>4.83</v>
      </c>
      <c r="F443" s="1160" t="n">
        <v>5.64</v>
      </c>
      <c r="G443" s="606" t="n">
        <v>6.58</v>
      </c>
      <c r="H443" s="606" t="n">
        <v>5.23</v>
      </c>
      <c r="I443" s="606" t="n">
        <v>6.1</v>
      </c>
      <c r="J443" s="606" t="n">
        <v>7.12</v>
      </c>
      <c r="K443" s="606" t="n">
        <v>8.300000000000001</v>
      </c>
    </row>
    <row r="444">
      <c r="C444" s="1158" t="n">
        <v>50000</v>
      </c>
      <c r="D444" s="1160" t="n">
        <v>3.61</v>
      </c>
      <c r="E444" s="1160" t="n">
        <v>4.17</v>
      </c>
      <c r="F444" s="1160" t="n">
        <v>4.83</v>
      </c>
      <c r="G444" s="606" t="n">
        <v>5.58</v>
      </c>
      <c r="H444" s="606" t="n">
        <v>4.47</v>
      </c>
      <c r="I444" s="606" t="n">
        <v>5.18</v>
      </c>
      <c r="J444" s="606" t="n">
        <v>6</v>
      </c>
      <c r="K444" s="606" t="n">
        <v>6.96</v>
      </c>
    </row>
    <row r="445">
      <c r="C445" s="1158" t="n">
        <v>100000</v>
      </c>
      <c r="D445" s="1160" t="n">
        <v>3.26</v>
      </c>
      <c r="E445" s="1160" t="n">
        <v>3.75</v>
      </c>
      <c r="F445" s="1160" t="n">
        <v>4.31</v>
      </c>
      <c r="G445" s="606" t="n">
        <v>4.95</v>
      </c>
      <c r="H445" s="606" t="n">
        <v>4</v>
      </c>
      <c r="I445" s="606" t="n">
        <v>4.61</v>
      </c>
      <c r="J445" s="606" t="n">
        <v>5.31</v>
      </c>
      <c r="K445" s="606" t="n">
        <v>6.11</v>
      </c>
    </row>
    <row r="446">
      <c r="C446" s="1158" t="n">
        <v>250000</v>
      </c>
      <c r="D446" s="1160" t="n">
        <v>2.8</v>
      </c>
      <c r="E446" s="1160" t="n">
        <v>3.21</v>
      </c>
      <c r="F446" s="1160" t="n">
        <v>3.67</v>
      </c>
      <c r="G446" s="606" t="n">
        <v>4.21</v>
      </c>
      <c r="H446" s="606" t="n">
        <v>3.43</v>
      </c>
      <c r="I446" s="606" t="n">
        <v>3.93</v>
      </c>
      <c r="J446" s="606" t="n">
        <v>4.5</v>
      </c>
      <c r="K446" s="606" t="n">
        <v>5.15</v>
      </c>
    </row>
    <row r="447">
      <c r="C447" s="1158" t="n">
        <v>500000</v>
      </c>
      <c r="D447" s="1160" t="n">
        <v>2.52</v>
      </c>
      <c r="E447" s="1160" t="n">
        <v>2.87</v>
      </c>
      <c r="F447" s="1160" t="n">
        <v>3.27</v>
      </c>
      <c r="G447" s="606" t="n">
        <v>3.72</v>
      </c>
      <c r="H447" s="606" t="n">
        <v>3.06</v>
      </c>
      <c r="I447" s="606" t="n">
        <v>3.48</v>
      </c>
      <c r="J447" s="606" t="n">
        <v>3.95</v>
      </c>
      <c r="K447" s="606" t="n">
        <v>4.49</v>
      </c>
    </row>
    <row r="448"/>
    <row r="449"/>
    <row r="450">
      <c r="B450" s="1207" t="inlineStr">
        <is>
          <t>REFERENCE 7 -- Elevator Lump-Sum + Per-Stop Cost Tables (per MVS section) -- for manual add/deduct</t>
        </is>
      </c>
      <c r="C450" s="1208" t="n"/>
      <c r="D450" s="1208" t="n"/>
      <c r="E450" s="1208" t="n"/>
      <c r="F450" s="1208" t="n"/>
      <c r="G450" s="1208" t="n"/>
      <c r="H450" s="1208" t="n"/>
    </row>
    <row r="451">
      <c r="B451" s="1209" t="inlineStr">
        <is>
          <t>Section 14</t>
        </is>
      </c>
      <c r="C451" s="1209" t="inlineStr">
        <is>
          <t>Type</t>
        </is>
      </c>
      <c r="D451" s="1209" t="inlineStr">
        <is>
          <t>Low</t>
        </is>
      </c>
      <c r="E451" s="1209" t="inlineStr">
        <is>
          <t>Average</t>
        </is>
      </c>
      <c r="F451" s="1209" t="inlineStr">
        <is>
          <t>Good</t>
        </is>
      </c>
      <c r="G451" s="1210" t="inlineStr">
        <is>
          <t>Excellent</t>
        </is>
      </c>
    </row>
    <row r="452">
      <c r="C452" s="1158" t="inlineStr">
        <is>
          <t>Passenger, 2-3 story (base)</t>
        </is>
      </c>
      <c r="D452" s="1158" t="n">
        <v>66250</v>
      </c>
      <c r="E452" s="1158" t="n">
        <v>78000</v>
      </c>
      <c r="F452" s="1158" t="n">
        <v>92000</v>
      </c>
      <c r="G452" t="n">
        <v>108000</v>
      </c>
    </row>
    <row r="453">
      <c r="C453" s="1158" t="inlineStr">
        <is>
          <t>Passenger, 4-story+ (base)</t>
        </is>
      </c>
      <c r="D453" s="1158" t="n">
        <v>116000</v>
      </c>
      <c r="E453" s="1158" t="n">
        <v>133000</v>
      </c>
      <c r="F453" s="1158" t="n">
        <v>152000</v>
      </c>
      <c r="G453" t="n">
        <v>175000</v>
      </c>
    </row>
    <row r="454">
      <c r="C454" s="1158" t="inlineStr">
        <is>
          <t>Passenger, per stop</t>
        </is>
      </c>
      <c r="D454" s="1158" t="n">
        <v>9650</v>
      </c>
      <c r="E454" s="1158" t="n">
        <v>11100</v>
      </c>
      <c r="F454" s="1158" t="n">
        <v>12700</v>
      </c>
      <c r="G454" t="n">
        <v>14600</v>
      </c>
    </row>
    <row r="455">
      <c r="C455" s="1158" t="inlineStr">
        <is>
          <t>Freight, 2-3 story (base)</t>
        </is>
      </c>
      <c r="D455" s="1158" t="n">
        <v>51250</v>
      </c>
      <c r="E455" s="1158" t="n">
        <v>67750</v>
      </c>
      <c r="F455" s="1158" t="n">
        <v>89500</v>
      </c>
      <c r="G455" t="n">
        <v>118000</v>
      </c>
    </row>
    <row r="456">
      <c r="C456" s="1158" t="inlineStr">
        <is>
          <t>Freight, 4-story+ (base)</t>
        </is>
      </c>
      <c r="D456" s="1158" t="n">
        <v>101000</v>
      </c>
      <c r="E456" s="1158" t="n">
        <v>127000</v>
      </c>
      <c r="F456" s="1158" t="n">
        <v>160000</v>
      </c>
      <c r="G456" t="n">
        <v>203000</v>
      </c>
    </row>
    <row r="457">
      <c r="C457" s="1158" t="inlineStr">
        <is>
          <t>Freight, per stop (manual doors)</t>
        </is>
      </c>
      <c r="D457" s="1158" t="n">
        <v>13000</v>
      </c>
      <c r="E457" s="1158" t="n">
        <v>14100</v>
      </c>
      <c r="F457" s="1158" t="n">
        <v>15400</v>
      </c>
      <c r="G457" t="n">
        <v>16700</v>
      </c>
    </row>
    <row r="458">
      <c r="C458" s="1158" t="inlineStr">
        <is>
          <t>Freight, per stop (power doors)</t>
        </is>
      </c>
      <c r="D458" s="1158" t="n">
        <v>22600</v>
      </c>
      <c r="E458" s="1158" t="n">
        <v>24600</v>
      </c>
      <c r="F458" s="1158" t="n">
        <v>26900</v>
      </c>
      <c r="G458" t="n">
        <v>29300</v>
      </c>
    </row>
    <row r="459">
      <c r="C459" s="1158" t="inlineStr">
        <is>
          <t>Escalator, per stairway</t>
        </is>
      </c>
      <c r="D459" s="1158" t="n">
        <v>270000</v>
      </c>
      <c r="E459" s="1158" t="n">
        <v>289000</v>
      </c>
      <c r="F459" s="1158" t="n">
        <v>309000</v>
      </c>
      <c r="G459" t="n">
        <v>330000</v>
      </c>
    </row>
    <row r="460">
      <c r="C460" s="1158" t="inlineStr">
        <is>
          <t>Vertical wheelchair lift, each</t>
        </is>
      </c>
      <c r="D460" s="1158" t="n">
        <v>17500</v>
      </c>
      <c r="E460" s="1158" t="n">
        <v>22200</v>
      </c>
      <c r="F460" s="1158" t="n">
        <v>28300</v>
      </c>
      <c r="G460" t="n">
        <v>36000</v>
      </c>
    </row>
    <row r="461"/>
    <row r="462">
      <c r="B462" s="1209" t="inlineStr">
        <is>
          <t>Section 15</t>
        </is>
      </c>
      <c r="C462" s="1209" t="inlineStr">
        <is>
          <t>Type</t>
        </is>
      </c>
      <c r="D462" s="1209" t="inlineStr">
        <is>
          <t>Low</t>
        </is>
      </c>
      <c r="E462" s="1209" t="inlineStr">
        <is>
          <t>Average</t>
        </is>
      </c>
      <c r="F462" s="1209" t="inlineStr">
        <is>
          <t>Good</t>
        </is>
      </c>
      <c r="G462" s="1210" t="inlineStr">
        <is>
          <t>Excellent</t>
        </is>
      </c>
    </row>
    <row r="463">
      <c r="C463" s="1158" t="inlineStr">
        <is>
          <t>Passenger, 2-3 story (base)</t>
        </is>
      </c>
      <c r="D463" s="1158" t="n">
        <v>67500</v>
      </c>
      <c r="E463" s="1158" t="n">
        <v>80000</v>
      </c>
      <c r="F463" s="1158" t="n">
        <v>94250</v>
      </c>
      <c r="G463" t="n">
        <v>111000</v>
      </c>
    </row>
    <row r="464">
      <c r="C464" s="1158" t="inlineStr">
        <is>
          <t>Passenger, 4-7 story (base)</t>
        </is>
      </c>
      <c r="D464" s="1158" t="n">
        <v>117000</v>
      </c>
      <c r="E464" s="1158" t="n">
        <v>134000</v>
      </c>
      <c r="F464" s="1158" t="n">
        <v>154000</v>
      </c>
      <c r="G464" t="n">
        <v>176000</v>
      </c>
    </row>
    <row r="465">
      <c r="C465" s="1158" t="inlineStr">
        <is>
          <t>Passenger, 8-story+ (base)</t>
        </is>
      </c>
      <c r="D465" s="1158" t="n">
        <v>179000</v>
      </c>
      <c r="E465" s="1158" t="n">
        <v>227000</v>
      </c>
      <c r="F465" s="1158" t="n">
        <v>285000</v>
      </c>
      <c r="G465" t="n">
        <v>362000</v>
      </c>
    </row>
    <row r="466">
      <c r="C466" s="1158" t="inlineStr">
        <is>
          <t>Passenger, per stop</t>
        </is>
      </c>
      <c r="D466" s="1158" t="n">
        <v>9350</v>
      </c>
      <c r="E466" s="1158" t="n">
        <v>10800</v>
      </c>
      <c r="F466" s="1158" t="n">
        <v>12500</v>
      </c>
      <c r="G466" t="n">
        <v>14300</v>
      </c>
    </row>
    <row r="467">
      <c r="C467" s="1158" t="inlineStr">
        <is>
          <t>Freight, 2-3 story (base)</t>
        </is>
      </c>
      <c r="D467" s="1158" t="n">
        <v>49800</v>
      </c>
      <c r="E467" s="1158" t="n">
        <v>66000</v>
      </c>
      <c r="F467" s="1158" t="n">
        <v>87500</v>
      </c>
      <c r="G467" t="n">
        <v>115000</v>
      </c>
    </row>
    <row r="468">
      <c r="C468" s="1158" t="inlineStr">
        <is>
          <t>Freight, 4-story+ (base)</t>
        </is>
      </c>
      <c r="D468" s="1158" t="n">
        <v>97500</v>
      </c>
      <c r="E468" s="1158" t="n">
        <v>123000</v>
      </c>
      <c r="F468" s="1158" t="n">
        <v>157000</v>
      </c>
      <c r="G468" t="n">
        <v>199000</v>
      </c>
    </row>
    <row r="469">
      <c r="C469" s="1158" t="inlineStr">
        <is>
          <t>Freight, per stop (manual doors)</t>
        </is>
      </c>
      <c r="D469" s="1158" t="n">
        <v>12600</v>
      </c>
      <c r="E469" s="1158" t="n">
        <v>13700</v>
      </c>
      <c r="F469" s="1158" t="n">
        <v>15100</v>
      </c>
      <c r="G469" t="n">
        <v>16400</v>
      </c>
    </row>
    <row r="470">
      <c r="C470" s="1158" t="inlineStr">
        <is>
          <t>Freight, per stop (power doors)</t>
        </is>
      </c>
      <c r="D470" s="1158" t="n">
        <v>22000</v>
      </c>
      <c r="E470" s="1158" t="n">
        <v>23900</v>
      </c>
      <c r="F470" s="1158" t="n">
        <v>26200</v>
      </c>
      <c r="G470" t="n">
        <v>28400</v>
      </c>
    </row>
    <row r="471">
      <c r="C471" s="1158" t="inlineStr">
        <is>
          <t>Escalator, per stairway</t>
        </is>
      </c>
      <c r="D471" s="1158" t="n">
        <v>262000</v>
      </c>
      <c r="E471" s="1158" t="n">
        <v>278000</v>
      </c>
      <c r="F471" s="1158" t="n">
        <v>296000</v>
      </c>
      <c r="G471" t="n">
        <v>315000</v>
      </c>
    </row>
    <row r="472">
      <c r="C472" s="1158" t="inlineStr">
        <is>
          <t>Vertical wheelchair lift, each</t>
        </is>
      </c>
      <c r="D472" s="1158" t="n">
        <v>18100</v>
      </c>
      <c r="E472" s="1158" t="n">
        <v>23300</v>
      </c>
      <c r="F472" s="1158" t="n">
        <v>30300</v>
      </c>
      <c r="G472" t="n">
        <v>39000</v>
      </c>
    </row>
    <row r="473"/>
    <row r="474">
      <c r="B474" s="1209" t="inlineStr">
        <is>
          <t>Section 11</t>
        </is>
      </c>
      <c r="C474" s="1209" t="inlineStr">
        <is>
          <t>Type</t>
        </is>
      </c>
      <c r="D474" s="1209" t="inlineStr">
        <is>
          <t>Low</t>
        </is>
      </c>
      <c r="E474" s="1209" t="inlineStr">
        <is>
          <t>Average</t>
        </is>
      </c>
      <c r="F474" s="1209" t="inlineStr">
        <is>
          <t>Good</t>
        </is>
      </c>
      <c r="G474" s="1210" t="inlineStr">
        <is>
          <t>Excellent</t>
        </is>
      </c>
    </row>
    <row r="475">
      <c r="C475" s="1158" t="inlineStr">
        <is>
          <t>Passenger, 2-3 story (base)</t>
        </is>
      </c>
      <c r="D475" s="1158" t="n">
        <v>67500</v>
      </c>
      <c r="E475" s="1158" t="n">
        <v>79500</v>
      </c>
      <c r="F475" s="1158" t="n">
        <v>93750</v>
      </c>
      <c r="G475" t="n">
        <v>110000</v>
      </c>
    </row>
    <row r="476">
      <c r="C476" s="1158" t="inlineStr">
        <is>
          <t>Passenger, 4-7 story (base)</t>
        </is>
      </c>
      <c r="D476" s="1158" t="n">
        <v>117000</v>
      </c>
      <c r="E476" s="1158" t="n">
        <v>135000</v>
      </c>
      <c r="F476" s="1158" t="n">
        <v>154000</v>
      </c>
      <c r="G476" t="n">
        <v>177000</v>
      </c>
    </row>
    <row r="477">
      <c r="C477" s="1158" t="inlineStr">
        <is>
          <t>Passenger, 8-story+ (base)</t>
        </is>
      </c>
      <c r="D477" s="1158" t="n">
        <v>180000</v>
      </c>
      <c r="E477" s="1158" t="n">
        <v>228000</v>
      </c>
      <c r="F477" s="1158" t="n">
        <v>287000</v>
      </c>
      <c r="G477" t="n">
        <v>363000</v>
      </c>
    </row>
    <row r="478">
      <c r="C478" s="1158" t="inlineStr">
        <is>
          <t>Passenger, per stop</t>
        </is>
      </c>
      <c r="D478" s="1158" t="n">
        <v>9700</v>
      </c>
      <c r="E478" s="1158" t="n">
        <v>11100</v>
      </c>
      <c r="F478" s="1158" t="n">
        <v>12800</v>
      </c>
      <c r="G478" t="n">
        <v>14700</v>
      </c>
    </row>
    <row r="479">
      <c r="C479" s="1158" t="inlineStr">
        <is>
          <t>Freight, 2-3 story (base)</t>
        </is>
      </c>
      <c r="D479" s="1158" t="n">
        <v>51000</v>
      </c>
      <c r="E479" s="1158" t="n">
        <v>67500</v>
      </c>
      <c r="F479" s="1158" t="n">
        <v>89000</v>
      </c>
      <c r="G479" t="n">
        <v>118000</v>
      </c>
    </row>
    <row r="480">
      <c r="C480" s="1158" t="inlineStr">
        <is>
          <t>Freight, 4-story+ (base)</t>
        </is>
      </c>
      <c r="D480" s="1158" t="n">
        <v>100000</v>
      </c>
      <c r="E480" s="1158" t="n">
        <v>126000</v>
      </c>
      <c r="F480" s="1158" t="n">
        <v>160000</v>
      </c>
      <c r="G480" t="n">
        <v>202000</v>
      </c>
    </row>
    <row r="481">
      <c r="C481" s="1158" t="inlineStr">
        <is>
          <t>Freight, per stop (manual doors)</t>
        </is>
      </c>
      <c r="D481" s="1158" t="n">
        <v>12900</v>
      </c>
      <c r="E481" s="1158" t="n">
        <v>14100</v>
      </c>
      <c r="F481" s="1158" t="n">
        <v>15300</v>
      </c>
      <c r="G481" t="n">
        <v>16700</v>
      </c>
    </row>
    <row r="482">
      <c r="C482" s="1158" t="inlineStr">
        <is>
          <t>Freight, per stop (power doors)</t>
        </is>
      </c>
      <c r="D482" s="1158" t="n">
        <v>22400</v>
      </c>
      <c r="E482" s="1158" t="n">
        <v>24400</v>
      </c>
      <c r="F482" s="1158" t="n">
        <v>26600</v>
      </c>
      <c r="G482" t="n">
        <v>29000</v>
      </c>
    </row>
    <row r="483">
      <c r="C483" s="1158" t="inlineStr">
        <is>
          <t>Escalator, per stairway</t>
        </is>
      </c>
      <c r="D483" s="1158" t="n">
        <v>260000</v>
      </c>
      <c r="E483" s="1158" t="n">
        <v>276000</v>
      </c>
      <c r="F483" s="1158" t="n">
        <v>294000</v>
      </c>
      <c r="G483" t="n">
        <v>312000</v>
      </c>
    </row>
    <row r="484">
      <c r="C484" s="1158" t="inlineStr">
        <is>
          <t>Vertical wheelchair lift, each</t>
        </is>
      </c>
      <c r="D484" s="1158" t="n">
        <v>17200</v>
      </c>
      <c r="E484" s="1158" t="n">
        <v>22300</v>
      </c>
      <c r="F484" s="1158" t="n">
        <v>29000</v>
      </c>
      <c r="G484" t="n">
        <v>37600</v>
      </c>
    </row>
    <row r="485"/>
    <row r="486">
      <c r="B486" s="1209" t="inlineStr">
        <is>
          <t>Section 13</t>
        </is>
      </c>
      <c r="C486" s="1209" t="inlineStr">
        <is>
          <t>Type</t>
        </is>
      </c>
      <c r="D486" s="1209" t="inlineStr">
        <is>
          <t>Low</t>
        </is>
      </c>
      <c r="E486" s="1209" t="inlineStr">
        <is>
          <t>Average</t>
        </is>
      </c>
      <c r="F486" s="1209" t="inlineStr">
        <is>
          <t>Good</t>
        </is>
      </c>
      <c r="G486" s="1210" t="inlineStr">
        <is>
          <t>Excellent</t>
        </is>
      </c>
    </row>
    <row r="487">
      <c r="C487" s="1158" t="inlineStr">
        <is>
          <t>Passenger, 2-3 story (base) [see Sec.14 sched.]</t>
        </is>
      </c>
      <c r="D487" s="1158" t="n">
        <v>66250</v>
      </c>
      <c r="E487" s="1158" t="n">
        <v>78000</v>
      </c>
      <c r="F487" s="1158" t="n">
        <v>92000</v>
      </c>
      <c r="G487" t="n">
        <v>108000</v>
      </c>
    </row>
    <row r="488">
      <c r="C488" s="1158" t="inlineStr">
        <is>
          <t>Passenger, per stop [see Sec.14 sched.]</t>
        </is>
      </c>
      <c r="D488" s="1158" t="n">
        <v>9650</v>
      </c>
      <c r="E488" s="1158" t="n">
        <v>11100</v>
      </c>
      <c r="F488" s="1158" t="n">
        <v>12700</v>
      </c>
      <c r="G488" t="n">
        <v>14600</v>
      </c>
    </row>
    <row r="489"/>
    <row r="490"/>
    <row r="491">
      <c r="B491" s="1207" t="inlineStr">
        <is>
          <t>REFERENCE 8 -- Current Cost Multipliers, by Region x Class x Calculator Section (MVS Sec.99 p.3, Jan 2025 insert). Colorado assumed WESTERN region.</t>
        </is>
      </c>
      <c r="C491" s="1208" t="n"/>
      <c r="D491" s="1208" t="n"/>
      <c r="E491" s="1208" t="n"/>
      <c r="F491" s="1208" t="n"/>
      <c r="G491" s="1208" t="n"/>
      <c r="H491" s="1208" t="n"/>
    </row>
    <row r="492">
      <c r="B492" s="1209" t="inlineStr">
        <is>
          <t>Region</t>
        </is>
      </c>
      <c r="C492" s="1209" t="inlineStr">
        <is>
          <t>Class</t>
        </is>
      </c>
      <c r="D492" s="1209" t="inlineStr">
        <is>
          <t>Sec.11</t>
        </is>
      </c>
      <c r="E492" s="1209" t="inlineStr">
        <is>
          <t>Sec.12</t>
        </is>
      </c>
      <c r="F492" s="1209" t="inlineStr">
        <is>
          <t>Sec.13</t>
        </is>
      </c>
      <c r="G492" s="1210" t="inlineStr">
        <is>
          <t>Sec.14</t>
        </is>
      </c>
      <c r="H492" s="1210" t="inlineStr">
        <is>
          <t>Sec.15</t>
        </is>
      </c>
      <c r="I492" s="1210" t="inlineStr">
        <is>
          <t>Sec.16</t>
        </is>
      </c>
      <c r="J492" s="1210" t="inlineStr">
        <is>
          <t>Sec.17</t>
        </is>
      </c>
      <c r="K492" s="1210" t="inlineStr">
        <is>
          <t>Sec.18</t>
        </is>
      </c>
    </row>
    <row r="493">
      <c r="B493" s="1158" t="inlineStr">
        <is>
          <t>EASTERN</t>
        </is>
      </c>
      <c r="C493" s="1158" t="inlineStr">
        <is>
          <t>A</t>
        </is>
      </c>
      <c r="D493" s="1160" t="n">
        <v>1.04</v>
      </c>
      <c r="E493" s="1160" t="n">
        <v>1.04</v>
      </c>
      <c r="F493" s="1160" t="n">
        <v>1.04</v>
      </c>
      <c r="G493" s="606" t="n">
        <v>1.02</v>
      </c>
      <c r="H493" s="606" t="n">
        <v>1.04</v>
      </c>
      <c r="I493" s="606" t="n">
        <v>1.06</v>
      </c>
      <c r="J493" s="606" t="n">
        <v>1.08</v>
      </c>
      <c r="K493" s="606" t="n">
        <v>1.1</v>
      </c>
    </row>
    <row r="494">
      <c r="B494" s="1158" t="inlineStr">
        <is>
          <t>EASTERN</t>
        </is>
      </c>
      <c r="C494" s="1158" t="inlineStr">
        <is>
          <t>B</t>
        </is>
      </c>
      <c r="D494" s="1160" t="n">
        <v>1.04</v>
      </c>
      <c r="E494" s="1160" t="n">
        <v>1.05</v>
      </c>
      <c r="F494" s="1160" t="n">
        <v>1.02</v>
      </c>
      <c r="G494" s="606" t="n">
        <v>1.04</v>
      </c>
      <c r="H494" s="606" t="n">
        <v>1.01</v>
      </c>
      <c r="I494" s="606" t="n">
        <v>1.02</v>
      </c>
      <c r="J494" s="606" t="n">
        <v>1.05</v>
      </c>
      <c r="K494" s="606" t="n">
        <v>1.07</v>
      </c>
    </row>
    <row r="495">
      <c r="B495" s="1158" t="inlineStr">
        <is>
          <t>EASTERN</t>
        </is>
      </c>
      <c r="C495" s="1158" t="inlineStr">
        <is>
          <t>C</t>
        </is>
      </c>
      <c r="D495" s="1160" t="n">
        <v>1.02</v>
      </c>
      <c r="E495" s="1160" t="n">
        <v>1.01</v>
      </c>
      <c r="F495" s="1160" t="n">
        <v>1.03</v>
      </c>
      <c r="G495" s="606" t="n">
        <v>1.03</v>
      </c>
      <c r="H495" s="606" t="n">
        <v>1.04</v>
      </c>
      <c r="I495" s="606" t="n">
        <v>1.05</v>
      </c>
      <c r="J495" s="606" t="n">
        <v>1.06</v>
      </c>
      <c r="K495" s="606" t="n">
        <v>1.01</v>
      </c>
    </row>
    <row r="496">
      <c r="B496" s="1158" t="inlineStr">
        <is>
          <t>EASTERN</t>
        </is>
      </c>
      <c r="C496" s="1158" t="inlineStr">
        <is>
          <t>D</t>
        </is>
      </c>
      <c r="D496" s="1160" t="n">
        <v>1.01</v>
      </c>
      <c r="E496" s="1160" t="n">
        <v>1.02</v>
      </c>
      <c r="F496" s="1160" t="n">
        <v>1.02</v>
      </c>
      <c r="G496" s="606" t="n">
        <v>1.01</v>
      </c>
      <c r="H496" s="606" t="n">
        <v>1.01</v>
      </c>
      <c r="I496" s="606" t="n">
        <v>1.02</v>
      </c>
      <c r="J496" s="606" t="n">
        <v>1</v>
      </c>
      <c r="K496" s="606" t="n">
        <v>0.99</v>
      </c>
    </row>
    <row r="497">
      <c r="B497" s="1158" t="inlineStr">
        <is>
          <t>EASTERN</t>
        </is>
      </c>
      <c r="C497" s="1158" t="inlineStr">
        <is>
          <t>S</t>
        </is>
      </c>
      <c r="D497" s="1160" t="n">
        <v>1.07</v>
      </c>
      <c r="E497" s="1160" t="n">
        <v>1.06</v>
      </c>
      <c r="F497" s="1160" t="n">
        <v>1.04</v>
      </c>
      <c r="G497" s="606" t="n">
        <v>1.03</v>
      </c>
      <c r="H497" s="606" t="n">
        <v>1.05</v>
      </c>
      <c r="I497" s="606" t="n">
        <v>1.02</v>
      </c>
      <c r="J497" s="606" t="n">
        <v>1.01</v>
      </c>
      <c r="K497" s="606" t="n">
        <v>1.05</v>
      </c>
    </row>
    <row r="498">
      <c r="B498" s="1158" t="inlineStr">
        <is>
          <t>CENTRAL</t>
        </is>
      </c>
      <c r="C498" s="1158" t="inlineStr">
        <is>
          <t>A</t>
        </is>
      </c>
      <c r="D498" s="1160" t="n">
        <v>0.99</v>
      </c>
      <c r="E498" s="1160" t="n">
        <v>0.98</v>
      </c>
      <c r="F498" s="1160" t="n">
        <v>0.98</v>
      </c>
      <c r="G498" s="606" t="n">
        <v>1</v>
      </c>
      <c r="H498" s="606" t="n">
        <v>1</v>
      </c>
      <c r="I498" s="606" t="n">
        <v>1.02</v>
      </c>
      <c r="J498" s="606" t="n">
        <v>1.02</v>
      </c>
      <c r="K498" s="606" t="n">
        <v>1.02</v>
      </c>
    </row>
    <row r="499">
      <c r="B499" s="1158" t="inlineStr">
        <is>
          <t>CENTRAL</t>
        </is>
      </c>
      <c r="C499" s="1158" t="inlineStr">
        <is>
          <t>B</t>
        </is>
      </c>
      <c r="D499" s="1160" t="n">
        <v>0.98</v>
      </c>
      <c r="E499" s="1160" t="n">
        <v>0.99</v>
      </c>
      <c r="F499" s="1160" t="n">
        <v>0.98</v>
      </c>
      <c r="G499" s="606" t="n">
        <v>0.99</v>
      </c>
      <c r="H499" s="606" t="n">
        <v>1.01</v>
      </c>
      <c r="I499" s="606" t="n">
        <v>0.99</v>
      </c>
      <c r="J499" s="606" t="n">
        <v>0.98</v>
      </c>
      <c r="K499" s="606" t="n">
        <v>0.99</v>
      </c>
    </row>
    <row r="500">
      <c r="B500" s="1158" t="inlineStr">
        <is>
          <t>CENTRAL</t>
        </is>
      </c>
      <c r="C500" s="1158" t="inlineStr">
        <is>
          <t>C</t>
        </is>
      </c>
      <c r="D500" s="1160" t="n">
        <v>0.99</v>
      </c>
      <c r="E500" s="1160" t="n">
        <v>0.99</v>
      </c>
      <c r="F500" s="1160" t="n">
        <v>1</v>
      </c>
      <c r="G500" s="606" t="n">
        <v>0.99</v>
      </c>
      <c r="H500" s="606" t="n">
        <v>1</v>
      </c>
      <c r="I500" s="606" t="n">
        <v>0.98</v>
      </c>
      <c r="J500" s="606" t="n">
        <v>0.99</v>
      </c>
      <c r="K500" s="606" t="n">
        <v>0.98</v>
      </c>
    </row>
    <row r="501">
      <c r="B501" t="inlineStr">
        <is>
          <t>CENTRAL</t>
        </is>
      </c>
      <c r="C501" t="inlineStr">
        <is>
          <t>D</t>
        </is>
      </c>
      <c r="D501" s="606" t="n">
        <v>0.97</v>
      </c>
      <c r="E501" s="606" t="n">
        <v>0.99</v>
      </c>
      <c r="F501" s="606" t="n">
        <v>0.99</v>
      </c>
      <c r="G501" s="606" t="n">
        <v>0.99</v>
      </c>
      <c r="H501" s="606" t="n">
        <v>1.02</v>
      </c>
      <c r="I501" s="606" t="n">
        <v>1.02</v>
      </c>
      <c r="J501" s="606" t="n">
        <v>0.97</v>
      </c>
      <c r="K501" s="606" t="n">
        <v>0.97</v>
      </c>
    </row>
    <row r="502">
      <c r="B502" t="inlineStr">
        <is>
          <t>CENTRAL</t>
        </is>
      </c>
      <c r="C502" t="inlineStr">
        <is>
          <t>S</t>
        </is>
      </c>
      <c r="D502" s="606" t="n">
        <v>0.95</v>
      </c>
      <c r="E502" s="606" t="n">
        <v>0.98</v>
      </c>
      <c r="F502" s="606" t="n">
        <v>0.95</v>
      </c>
      <c r="G502" s="606" t="n">
        <v>0.99</v>
      </c>
      <c r="H502" s="606" t="n">
        <v>0.99</v>
      </c>
      <c r="I502" s="606" t="n">
        <v>0.97</v>
      </c>
      <c r="J502" s="606" t="n">
        <v>1</v>
      </c>
      <c r="K502" s="606" t="n">
        <v>0.97</v>
      </c>
    </row>
    <row r="503">
      <c r="B503" t="inlineStr">
        <is>
          <t>WESTERN</t>
        </is>
      </c>
      <c r="C503" t="inlineStr">
        <is>
          <t>A</t>
        </is>
      </c>
      <c r="D503" s="606" t="n">
        <v>0.99</v>
      </c>
      <c r="E503" s="606" t="n">
        <v>1.03</v>
      </c>
      <c r="F503" s="606" t="n">
        <v>1.05</v>
      </c>
      <c r="G503" s="606" t="n">
        <v>1.07</v>
      </c>
      <c r="H503" s="606" t="n">
        <v>1.06</v>
      </c>
      <c r="I503" s="606" t="n">
        <v>1.05</v>
      </c>
      <c r="J503" s="606" t="n">
        <v>1.05</v>
      </c>
      <c r="K503" s="606" t="n">
        <v>1.01</v>
      </c>
    </row>
    <row r="504">
      <c r="B504" t="inlineStr">
        <is>
          <t>WESTERN</t>
        </is>
      </c>
      <c r="C504" t="inlineStr">
        <is>
          <t>B</t>
        </is>
      </c>
      <c r="D504" s="606" t="n">
        <v>0.99</v>
      </c>
      <c r="E504" s="606" t="n">
        <v>1</v>
      </c>
      <c r="F504" s="606" t="n">
        <v>1.06</v>
      </c>
      <c r="G504" s="606" t="n">
        <v>1.04</v>
      </c>
      <c r="H504" s="606" t="n">
        <v>1.05</v>
      </c>
      <c r="I504" s="606" t="n">
        <v>1.06</v>
      </c>
      <c r="J504" s="606" t="n">
        <v>1.05</v>
      </c>
      <c r="K504" s="606" t="n">
        <v>1.02</v>
      </c>
    </row>
    <row r="505">
      <c r="B505" t="inlineStr">
        <is>
          <t>WESTERN</t>
        </is>
      </c>
      <c r="C505" t="inlineStr">
        <is>
          <t>C</t>
        </is>
      </c>
      <c r="D505" s="606" t="n">
        <v>1</v>
      </c>
      <c r="E505" s="606" t="n">
        <v>1.03</v>
      </c>
      <c r="F505" s="606" t="n">
        <v>1.02</v>
      </c>
      <c r="G505" s="606" t="n">
        <v>1.06</v>
      </c>
      <c r="H505" s="606" t="n">
        <v>1.04</v>
      </c>
      <c r="I505" s="606" t="n">
        <v>1.05</v>
      </c>
      <c r="J505" s="606" t="n">
        <v>1.03</v>
      </c>
      <c r="K505" s="606" t="n">
        <v>1.04</v>
      </c>
    </row>
    <row r="506">
      <c r="B506" t="inlineStr">
        <is>
          <t>WESTERN</t>
        </is>
      </c>
      <c r="C506" t="inlineStr">
        <is>
          <t>D</t>
        </is>
      </c>
      <c r="D506" s="606" t="n">
        <v>1.03</v>
      </c>
      <c r="E506" s="606" t="n">
        <v>1.02</v>
      </c>
      <c r="F506" s="606" t="n">
        <v>1.03</v>
      </c>
      <c r="G506" s="606" t="n">
        <v>1.05</v>
      </c>
      <c r="H506" s="606" t="n">
        <v>1.02</v>
      </c>
      <c r="I506" s="606" t="n">
        <v>1.01</v>
      </c>
      <c r="J506" s="606" t="n">
        <v>1.05</v>
      </c>
      <c r="K506" s="606" t="n">
        <v>1.01</v>
      </c>
    </row>
    <row r="507">
      <c r="B507" t="inlineStr">
        <is>
          <t>WESTERN</t>
        </is>
      </c>
      <c r="C507" t="inlineStr">
        <is>
          <t>S</t>
        </is>
      </c>
      <c r="D507" s="606" t="n">
        <v>1</v>
      </c>
      <c r="E507" s="606" t="n">
        <v>1</v>
      </c>
      <c r="F507" s="606" t="n">
        <v>1.05</v>
      </c>
      <c r="G507" s="606" t="n">
        <v>1.04</v>
      </c>
      <c r="H507" s="606" t="n">
        <v>1.02</v>
      </c>
      <c r="I507" s="606" t="n">
        <v>1.07</v>
      </c>
      <c r="J507" s="606" t="n">
        <v>1.04</v>
      </c>
      <c r="K507" s="606" t="n">
        <v>0.98</v>
      </c>
    </row>
    <row r="508"/>
    <row r="509">
      <c r="B509" s="1208" t="inlineStr">
        <is>
          <t>REFERENCE 9 -- Local Area Multipliers, Colorado (MVS Sec.99 p.7, Jan 2025 insert)</t>
        </is>
      </c>
      <c r="C509" s="1208" t="n"/>
      <c r="D509" s="1208" t="n"/>
      <c r="E509" s="1208" t="n"/>
      <c r="F509" s="1208" t="n"/>
      <c r="G509" s="1208" t="n"/>
      <c r="H509" s="1208" t="n"/>
    </row>
    <row r="510">
      <c r="B510" s="1210" t="inlineStr">
        <is>
          <t>City / Area</t>
        </is>
      </c>
      <c r="C510" s="1210" t="inlineStr">
        <is>
          <t>Class A</t>
        </is>
      </c>
      <c r="D510" s="1210" t="inlineStr">
        <is>
          <t>Class B</t>
        </is>
      </c>
      <c r="E510" s="1210" t="inlineStr">
        <is>
          <t>Class C</t>
        </is>
      </c>
      <c r="F510" s="1210" t="inlineStr">
        <is>
          <t>Class D</t>
        </is>
      </c>
      <c r="G510" s="1210" t="inlineStr">
        <is>
          <t>Class S</t>
        </is>
      </c>
    </row>
    <row r="511">
      <c r="B511" t="inlineStr">
        <is>
          <t>Colorado (statewide average)</t>
        </is>
      </c>
      <c r="C511" s="606" t="n">
        <v>1</v>
      </c>
      <c r="D511" s="606" t="n">
        <v>1.02</v>
      </c>
      <c r="E511" s="606" t="n">
        <v>1.02</v>
      </c>
      <c r="F511" s="606" t="n">
        <v>1.01</v>
      </c>
      <c r="G511" s="606" t="n">
        <v>1.02</v>
      </c>
    </row>
    <row r="512">
      <c r="B512" t="inlineStr">
        <is>
          <t>Aspen</t>
        </is>
      </c>
      <c r="C512" s="606" t="n">
        <v>1.08</v>
      </c>
      <c r="D512" s="606" t="n">
        <v>1.13</v>
      </c>
      <c r="E512" s="606" t="n">
        <v>1.11</v>
      </c>
      <c r="F512" s="606" t="n">
        <v>1.11</v>
      </c>
      <c r="G512" s="606" t="n">
        <v>1.1</v>
      </c>
    </row>
    <row r="513">
      <c r="B513" t="inlineStr">
        <is>
          <t>Boulder</t>
        </is>
      </c>
      <c r="C513" s="606" t="n">
        <v>0.98</v>
      </c>
      <c r="D513" s="606" t="n">
        <v>0.98</v>
      </c>
      <c r="E513" s="606" t="n">
        <v>0.98</v>
      </c>
      <c r="F513" s="606" t="n">
        <v>0.97</v>
      </c>
      <c r="G513" s="606" t="n">
        <v>0.99</v>
      </c>
    </row>
    <row r="514">
      <c r="B514" t="inlineStr">
        <is>
          <t>Colorado Springs</t>
        </is>
      </c>
      <c r="C514" s="606" t="n">
        <v>0.98</v>
      </c>
      <c r="D514" s="606" t="n">
        <v>0.99</v>
      </c>
      <c r="E514" s="606" t="n">
        <v>0.96</v>
      </c>
      <c r="F514" s="606" t="n">
        <v>0.98</v>
      </c>
      <c r="G514" s="606" t="n">
        <v>1</v>
      </c>
    </row>
    <row r="515">
      <c r="B515" t="inlineStr">
        <is>
          <t>Costilla County</t>
        </is>
      </c>
      <c r="C515" s="606" t="n">
        <v>0.86</v>
      </c>
      <c r="D515" s="606" t="n">
        <v>0.88</v>
      </c>
      <c r="E515" s="606" t="n">
        <v>0.88</v>
      </c>
      <c r="F515" s="606" t="n">
        <v>0.87</v>
      </c>
      <c r="G515" s="606" t="n">
        <v>0.89</v>
      </c>
    </row>
    <row r="516">
      <c r="B516" t="inlineStr">
        <is>
          <t>Denver</t>
        </is>
      </c>
      <c r="C516" s="606" t="n">
        <v>1.01</v>
      </c>
      <c r="D516" s="606" t="n">
        <v>1</v>
      </c>
      <c r="E516" s="606" t="n">
        <v>1</v>
      </c>
      <c r="F516" s="606" t="n">
        <v>1</v>
      </c>
      <c r="G516" s="606" t="n">
        <v>1.03</v>
      </c>
    </row>
    <row r="517">
      <c r="B517" t="inlineStr">
        <is>
          <t>Durango</t>
        </is>
      </c>
      <c r="C517" s="606" t="n">
        <v>0.9</v>
      </c>
      <c r="D517" s="606" t="n">
        <v>0.92</v>
      </c>
      <c r="E517" s="606" t="n">
        <v>0.93</v>
      </c>
      <c r="F517" s="606" t="n">
        <v>0.91</v>
      </c>
      <c r="G517" s="606" t="n">
        <v>0.9399999999999999</v>
      </c>
    </row>
    <row r="518">
      <c r="B518" t="inlineStr">
        <is>
          <t>Eagle County (excl. resort areas)</t>
        </is>
      </c>
      <c r="C518" s="606" t="n">
        <v>0.9399999999999999</v>
      </c>
      <c r="D518" s="606" t="n">
        <v>0.95</v>
      </c>
      <c r="E518" s="606" t="n">
        <v>0.9399999999999999</v>
      </c>
      <c r="F518" s="606" t="n">
        <v>0.9399999999999999</v>
      </c>
      <c r="G518" s="606" t="n">
        <v>0.95</v>
      </c>
    </row>
    <row r="519">
      <c r="B519" t="inlineStr">
        <is>
          <t>Fort Collins</t>
        </is>
      </c>
      <c r="C519" s="606" t="n">
        <v>0.98</v>
      </c>
      <c r="D519" s="606" t="n">
        <v>1</v>
      </c>
      <c r="E519" s="606" t="n">
        <v>1.01</v>
      </c>
      <c r="F519" s="606" t="n">
        <v>0.99</v>
      </c>
      <c r="G519" s="606" t="n">
        <v>1.01</v>
      </c>
    </row>
    <row r="520">
      <c r="B520" t="inlineStr">
        <is>
          <t>Grand Junction</t>
        </is>
      </c>
      <c r="C520" s="606" t="n">
        <v>0.98</v>
      </c>
      <c r="D520" s="606" t="n">
        <v>0.99</v>
      </c>
      <c r="E520" s="606" t="n">
        <v>1</v>
      </c>
      <c r="F520" s="606" t="n">
        <v>1</v>
      </c>
      <c r="G520" s="606" t="n">
        <v>1.02</v>
      </c>
    </row>
    <row r="521">
      <c r="B521" t="inlineStr">
        <is>
          <t>Greeley</t>
        </is>
      </c>
      <c r="C521" s="606" t="n">
        <v>0.98</v>
      </c>
      <c r="D521" s="606" t="n">
        <v>1</v>
      </c>
      <c r="E521" s="606" t="n">
        <v>1.01</v>
      </c>
      <c r="F521" s="606" t="n">
        <v>0.99</v>
      </c>
      <c r="G521" s="606" t="n">
        <v>0.99</v>
      </c>
    </row>
    <row r="522">
      <c r="B522" t="inlineStr">
        <is>
          <t>Gunnison County</t>
        </is>
      </c>
      <c r="C522" s="606" t="n">
        <v>0.93</v>
      </c>
      <c r="D522" s="606" t="n">
        <v>0.99</v>
      </c>
      <c r="E522" s="606" t="n">
        <v>0.97</v>
      </c>
      <c r="F522" s="606" t="n">
        <v>0.96</v>
      </c>
      <c r="G522" s="606" t="n">
        <v>0.97</v>
      </c>
    </row>
    <row r="523">
      <c r="B523" t="inlineStr">
        <is>
          <t>Kit Carson County</t>
        </is>
      </c>
      <c r="C523" s="606" t="n">
        <v>0.89</v>
      </c>
      <c r="D523" s="606" t="n">
        <v>0.89</v>
      </c>
      <c r="E523" s="606" t="n">
        <v>0.9</v>
      </c>
      <c r="F523" s="606" t="n">
        <v>0.89</v>
      </c>
      <c r="G523" s="606" t="n">
        <v>0.91</v>
      </c>
    </row>
    <row r="524">
      <c r="B524" t="inlineStr">
        <is>
          <t>Logan County</t>
        </is>
      </c>
      <c r="C524" s="606" t="n">
        <v>0.91</v>
      </c>
      <c r="D524" s="606" t="n">
        <v>0.91</v>
      </c>
      <c r="E524" s="606" t="n">
        <v>0.92</v>
      </c>
      <c r="F524" s="606" t="n">
        <v>0.9</v>
      </c>
      <c r="G524" s="606" t="n">
        <v>0.92</v>
      </c>
    </row>
    <row r="525">
      <c r="B525" t="inlineStr">
        <is>
          <t>Longmont</t>
        </is>
      </c>
      <c r="C525" s="606" t="n">
        <v>0.97</v>
      </c>
      <c r="D525" s="606" t="n">
        <v>0.97</v>
      </c>
      <c r="E525" s="606" t="n">
        <v>1</v>
      </c>
      <c r="F525" s="606" t="n">
        <v>0.98</v>
      </c>
      <c r="G525" s="606" t="n">
        <v>1</v>
      </c>
    </row>
    <row r="526">
      <c r="B526" t="inlineStr">
        <is>
          <t>Loveland</t>
        </is>
      </c>
      <c r="C526" s="606" t="n">
        <v>0.96</v>
      </c>
      <c r="D526" s="606" t="n">
        <v>0.98</v>
      </c>
      <c r="E526" s="606" t="n">
        <v>1.01</v>
      </c>
      <c r="F526" s="606" t="n">
        <v>0.99</v>
      </c>
      <c r="G526" s="606" t="n">
        <v>0.99</v>
      </c>
    </row>
    <row r="527">
      <c r="B527" t="inlineStr">
        <is>
          <t>Moffat County</t>
        </is>
      </c>
      <c r="C527" s="606" t="n">
        <v>0.9</v>
      </c>
      <c r="D527" s="606" t="n">
        <v>0.93</v>
      </c>
      <c r="E527" s="606" t="n">
        <v>0.91</v>
      </c>
      <c r="F527" s="606" t="n">
        <v>0.92</v>
      </c>
      <c r="G527" s="606" t="n">
        <v>0.93</v>
      </c>
    </row>
    <row r="528">
      <c r="B528" t="inlineStr">
        <is>
          <t>Montrose County</t>
        </is>
      </c>
      <c r="C528" s="606" t="n">
        <v>0.9</v>
      </c>
      <c r="D528" s="606" t="n">
        <v>0.92</v>
      </c>
      <c r="E528" s="606" t="n">
        <v>0.93</v>
      </c>
      <c r="F528" s="606" t="n">
        <v>0.9</v>
      </c>
      <c r="G528" s="606" t="n">
        <v>0.92</v>
      </c>
    </row>
    <row r="529">
      <c r="B529" t="inlineStr">
        <is>
          <t>Prowers County</t>
        </is>
      </c>
      <c r="C529" s="606" t="n">
        <v>0.9</v>
      </c>
      <c r="D529" s="606" t="n">
        <v>0.92</v>
      </c>
      <c r="E529" s="606" t="n">
        <v>0.91</v>
      </c>
      <c r="F529" s="606" t="n">
        <v>0.91</v>
      </c>
      <c r="G529" s="606" t="n">
        <v>0.91</v>
      </c>
    </row>
    <row r="530">
      <c r="B530" t="inlineStr">
        <is>
          <t>Pueblo</t>
        </is>
      </c>
      <c r="C530" s="606" t="n">
        <v>0.95</v>
      </c>
      <c r="D530" s="606" t="n">
        <v>0.95</v>
      </c>
      <c r="E530" s="606" t="n">
        <v>0.95</v>
      </c>
      <c r="F530" s="606" t="n">
        <v>0.95</v>
      </c>
      <c r="G530" s="606" t="n">
        <v>0.95</v>
      </c>
    </row>
    <row r="531">
      <c r="B531" t="inlineStr">
        <is>
          <t>Steamboat Springs</t>
        </is>
      </c>
      <c r="C531" s="606" t="n">
        <v>1.15</v>
      </c>
      <c r="D531" s="606" t="n">
        <v>1.17</v>
      </c>
      <c r="E531" s="606" t="n">
        <v>1.16</v>
      </c>
      <c r="F531" s="606" t="n">
        <v>1.14</v>
      </c>
      <c r="G531" s="606" t="n">
        <v>1.14</v>
      </c>
    </row>
    <row r="532">
      <c r="B532" t="inlineStr">
        <is>
          <t>Vail</t>
        </is>
      </c>
      <c r="C532" s="606" t="n">
        <v>1.13</v>
      </c>
      <c r="D532" s="606" t="n">
        <v>1.16</v>
      </c>
      <c r="E532" s="606" t="n">
        <v>1.14</v>
      </c>
      <c r="F532" s="606" t="n">
        <v>1.13</v>
      </c>
      <c r="G532" s="606" t="n">
        <v>1.13</v>
      </c>
    </row>
    <row r="533"/>
    <row r="534">
      <c r="B534" s="1208" t="inlineStr">
        <is>
          <t>REFERENCE 10 -- Section 98 Denver-Specific Quarterly Cost Index (for De-Trend to Appraisal Date; Jan 2025 = 1.000)</t>
        </is>
      </c>
      <c r="C534" s="1208" t="n"/>
      <c r="D534" s="1208" t="n"/>
      <c r="E534" s="1208" t="n"/>
      <c r="F534" s="1208" t="n"/>
      <c r="G534" s="1208" t="n"/>
      <c r="H534" s="1208" t="n"/>
    </row>
    <row r="535">
      <c r="B535" s="1211" t="inlineStr">
        <is>
          <t>Do NOT combine with the Local Area Multiplier above -- Sec.98's district/city index is already geographically resolved to Denver (MVS explicit warning, Sec.98 p.1/p.5).</t>
        </is>
      </c>
    </row>
    <row r="536">
      <c r="B536" s="1210" t="inlineStr">
        <is>
          <t>Quarter</t>
        </is>
      </c>
      <c r="C536" s="1210" t="inlineStr">
        <is>
          <t>Class A</t>
        </is>
      </c>
      <c r="D536" s="1210" t="inlineStr">
        <is>
          <t>Class B</t>
        </is>
      </c>
      <c r="E536" s="1210" t="inlineStr">
        <is>
          <t>Class C</t>
        </is>
      </c>
      <c r="F536" s="1210" t="inlineStr">
        <is>
          <t>Class D</t>
        </is>
      </c>
      <c r="G536" s="1210" t="inlineStr">
        <is>
          <t>Class S</t>
        </is>
      </c>
    </row>
    <row r="537">
      <c r="B537" t="inlineStr">
        <is>
          <t>Jan 2025</t>
        </is>
      </c>
      <c r="C537" s="607" t="n">
        <v>1</v>
      </c>
      <c r="D537" s="607" t="n">
        <v>1</v>
      </c>
      <c r="E537" s="607" t="n">
        <v>1</v>
      </c>
      <c r="F537" s="607" t="n">
        <v>1</v>
      </c>
      <c r="G537" s="607" t="n">
        <v>1</v>
      </c>
    </row>
    <row r="538">
      <c r="B538" t="inlineStr">
        <is>
          <t>Oct 2024</t>
        </is>
      </c>
      <c r="C538" s="607" t="n">
        <v>1.016</v>
      </c>
      <c r="D538" s="607" t="n">
        <v>1.008</v>
      </c>
      <c r="E538" s="607" t="n">
        <v>0.999</v>
      </c>
      <c r="F538" s="607" t="n">
        <v>1.006</v>
      </c>
      <c r="G538" s="607" t="n">
        <v>1.01</v>
      </c>
    </row>
    <row r="539">
      <c r="B539" t="inlineStr">
        <is>
          <t>Jul 2024</t>
        </is>
      </c>
      <c r="C539" s="607" t="n">
        <v>1.017</v>
      </c>
      <c r="D539" s="607" t="n">
        <v>1.014</v>
      </c>
      <c r="E539" s="607" t="n">
        <v>1.004</v>
      </c>
      <c r="F539" s="607" t="n">
        <v>1.008</v>
      </c>
      <c r="G539" s="607" t="n">
        <v>1.014</v>
      </c>
    </row>
    <row r="540">
      <c r="B540" t="inlineStr">
        <is>
          <t>Apr 2024</t>
        </is>
      </c>
      <c r="C540" s="607" t="n">
        <v>1.034</v>
      </c>
      <c r="D540" s="607" t="n">
        <v>1.027</v>
      </c>
      <c r="E540" s="607" t="n">
        <v>1.012</v>
      </c>
      <c r="F540" s="607" t="n">
        <v>1.016</v>
      </c>
      <c r="G540" s="607" t="n">
        <v>1.024</v>
      </c>
    </row>
    <row r="541">
      <c r="B541" t="inlineStr">
        <is>
          <t>Jan 2024</t>
        </is>
      </c>
      <c r="C541" s="607" t="n">
        <v>1.037</v>
      </c>
      <c r="D541" s="607" t="n">
        <v>1.027</v>
      </c>
      <c r="E541" s="607" t="n">
        <v>1.02</v>
      </c>
      <c r="F541" s="607" t="n">
        <v>1.015</v>
      </c>
      <c r="G541" s="607" t="n">
        <v>1.026</v>
      </c>
    </row>
    <row r="542">
      <c r="B542" t="inlineStr">
        <is>
          <t>Oct 2023</t>
        </is>
      </c>
      <c r="C542" s="607" t="n">
        <v>1.046</v>
      </c>
      <c r="D542" s="607" t="n">
        <v>1.025</v>
      </c>
      <c r="E542" s="607" t="n">
        <v>1.021</v>
      </c>
      <c r="F542" s="607" t="n">
        <v>1.015</v>
      </c>
      <c r="G542" s="607" t="n">
        <v>1.029</v>
      </c>
    </row>
    <row r="543">
      <c r="B543" t="inlineStr">
        <is>
          <t>Jul 2023</t>
        </is>
      </c>
      <c r="C543" s="607" t="n">
        <v>1.064</v>
      </c>
      <c r="D543" s="607" t="n">
        <v>1.029</v>
      </c>
      <c r="E543" s="607" t="n">
        <v>1.022</v>
      </c>
      <c r="F543" s="607" t="n">
        <v>1.014</v>
      </c>
      <c r="G543" s="607" t="n">
        <v>1.034</v>
      </c>
    </row>
    <row r="544">
      <c r="B544" t="inlineStr">
        <is>
          <t>Apr 2023</t>
        </is>
      </c>
      <c r="C544" s="607" t="n">
        <v>1.078</v>
      </c>
      <c r="D544" s="607" t="n">
        <v>1.034</v>
      </c>
      <c r="E544" s="607" t="n">
        <v>1.017</v>
      </c>
      <c r="F544" s="607" t="n">
        <v>1.007</v>
      </c>
      <c r="G544" s="607" t="n">
        <v>1.03</v>
      </c>
    </row>
    <row r="545">
      <c r="B545" t="inlineStr">
        <is>
          <t>Jan 2023</t>
        </is>
      </c>
      <c r="C545" s="607" t="n">
        <v>1.076</v>
      </c>
      <c r="D545" s="607" t="n">
        <v>1.033</v>
      </c>
      <c r="E545" s="607" t="n">
        <v>1.011</v>
      </c>
      <c r="F545" s="607" t="n">
        <v>0.998</v>
      </c>
      <c r="G545" s="607" t="n">
        <v>1.023</v>
      </c>
    </row>
    <row r="546">
      <c r="B546" t="inlineStr">
        <is>
          <t>Oct 2022</t>
        </is>
      </c>
      <c r="C546" s="607" t="n">
        <v>1.077</v>
      </c>
      <c r="D546" s="607" t="n">
        <v>1.032</v>
      </c>
      <c r="E546" s="607" t="n">
        <v>1.005</v>
      </c>
      <c r="F546" s="607" t="n">
        <v>0.987</v>
      </c>
      <c r="G546" s="607" t="n">
        <v>1.005</v>
      </c>
    </row>
    <row r="547">
      <c r="B547" t="inlineStr">
        <is>
          <t>Jul 2022</t>
        </is>
      </c>
      <c r="C547" s="607" t="n">
        <v>1.091</v>
      </c>
      <c r="D547" s="607" t="n">
        <v>1.046</v>
      </c>
      <c r="E547" s="607" t="n">
        <v>1.011</v>
      </c>
      <c r="F547" s="607" t="n">
        <v>0.985</v>
      </c>
      <c r="G547" s="607" t="n">
        <v>1.006</v>
      </c>
    </row>
    <row r="548">
      <c r="B548" t="inlineStr">
        <is>
          <t>Apr 2022</t>
        </is>
      </c>
      <c r="C548" s="607" t="n">
        <v>1.156</v>
      </c>
      <c r="D548" s="607" t="n">
        <v>1.134</v>
      </c>
      <c r="E548" s="607" t="n">
        <v>1.103</v>
      </c>
      <c r="F548" s="607" t="n">
        <v>1.089</v>
      </c>
      <c r="G548" s="607" t="n">
        <v>1.108</v>
      </c>
    </row>
    <row r="549">
      <c r="B549" t="inlineStr">
        <is>
          <t>Jan 2022</t>
        </is>
      </c>
      <c r="C549" s="607" t="n">
        <v>1.229</v>
      </c>
      <c r="D549" s="607" t="n">
        <v>1.179</v>
      </c>
      <c r="E549" s="607" t="n">
        <v>1.148</v>
      </c>
      <c r="F549" s="607" t="n">
        <v>1.123</v>
      </c>
      <c r="G549" s="607" t="n">
        <v>1.158</v>
      </c>
    </row>
    <row r="550"/>
    <row r="551">
      <c r="B551" s="1208" t="inlineStr">
        <is>
          <t>REFERENCE 11 -- Typical Building Life Expectancy, Years (MVS Sec.97 pp.10-13, verified exact transcription)</t>
        </is>
      </c>
      <c r="C551" s="1208" t="n"/>
      <c r="D551" s="1208" t="n"/>
      <c r="E551" s="1208" t="n"/>
      <c r="F551" s="1208" t="n"/>
      <c r="G551" s="1208" t="n"/>
      <c r="H551" s="1208" t="n"/>
    </row>
    <row r="552">
      <c r="B552" s="609" t="inlineStr">
        <is>
          <t>Some tiers are printed jointly in the manual (e.g. 'Good and Excellent') -- expanded below into one row per selectable Quality for lookup purposes; values are identical across the tiers the manual grouped together.</t>
        </is>
      </c>
    </row>
    <row r="553">
      <c r="B553" s="1210" t="inlineStr">
        <is>
          <t>Occupancy Name</t>
        </is>
      </c>
      <c r="C553" s="1210" t="inlineStr">
        <is>
          <t>Quality</t>
        </is>
      </c>
      <c r="D553" s="1210" t="inlineStr">
        <is>
          <t>Class A</t>
        </is>
      </c>
      <c r="E553" s="1210" t="inlineStr">
        <is>
          <t>Class B</t>
        </is>
      </c>
      <c r="F553" s="1210" t="inlineStr">
        <is>
          <t>Class C</t>
        </is>
      </c>
      <c r="G553" s="1210" t="inlineStr">
        <is>
          <t>Class D</t>
        </is>
      </c>
      <c r="H553" s="1210" t="inlineStr">
        <is>
          <t>Class S</t>
        </is>
      </c>
      <c r="I553" s="1210" t="inlineStr">
        <is>
          <t>Key</t>
        </is>
      </c>
    </row>
    <row r="554">
      <c r="B554" t="inlineStr">
        <is>
          <t>Storage Warehouses</t>
        </is>
      </c>
      <c r="C554" t="inlineStr">
        <is>
          <t>Excellent</t>
        </is>
      </c>
      <c r="F554" t="n">
        <v>50</v>
      </c>
      <c r="H554" t="n">
        <v>45</v>
      </c>
      <c r="I554">
        <f>B554&amp;"|"&amp;C554</f>
        <v/>
      </c>
    </row>
    <row r="555">
      <c r="B555" t="inlineStr">
        <is>
          <t>Storage Warehouses</t>
        </is>
      </c>
      <c r="C555" t="inlineStr">
        <is>
          <t>Average</t>
        </is>
      </c>
      <c r="D555" t="n">
        <v>50</v>
      </c>
      <c r="E555" t="n">
        <v>50</v>
      </c>
      <c r="F555" t="n">
        <v>45</v>
      </c>
      <c r="G555" t="n">
        <v>40</v>
      </c>
      <c r="H555" t="n">
        <v>40</v>
      </c>
      <c r="I555">
        <f>B555&amp;"|"&amp;C555</f>
        <v/>
      </c>
    </row>
    <row r="556">
      <c r="B556" t="inlineStr">
        <is>
          <t>Storage Warehouses</t>
        </is>
      </c>
      <c r="C556" t="inlineStr">
        <is>
          <t>Good</t>
        </is>
      </c>
      <c r="D556" t="n">
        <v>50</v>
      </c>
      <c r="E556" t="n">
        <v>50</v>
      </c>
      <c r="F556" t="n">
        <v>45</v>
      </c>
      <c r="G556" t="n">
        <v>40</v>
      </c>
      <c r="H556" t="n">
        <v>40</v>
      </c>
      <c r="I556">
        <f>B556&amp;"|"&amp;C556</f>
        <v/>
      </c>
    </row>
    <row r="557">
      <c r="B557" t="inlineStr">
        <is>
          <t>Storage Warehouses</t>
        </is>
      </c>
      <c r="C557" t="inlineStr">
        <is>
          <t>Cheap</t>
        </is>
      </c>
      <c r="D557" t="n">
        <v>45</v>
      </c>
      <c r="E557" t="n">
        <v>45</v>
      </c>
      <c r="F557" t="n">
        <v>40</v>
      </c>
      <c r="G557" t="n">
        <v>35</v>
      </c>
      <c r="H557" t="n">
        <v>35</v>
      </c>
      <c r="I557">
        <f>B557&amp;"|"&amp;C557</f>
        <v/>
      </c>
    </row>
    <row r="558">
      <c r="B558" t="inlineStr">
        <is>
          <t>Storage Warehouses</t>
        </is>
      </c>
      <c r="C558" t="inlineStr">
        <is>
          <t>Low Cost</t>
        </is>
      </c>
      <c r="D558" t="n">
        <v>45</v>
      </c>
      <c r="E558" t="n">
        <v>45</v>
      </c>
      <c r="F558" t="n">
        <v>40</v>
      </c>
      <c r="G558" t="n">
        <v>35</v>
      </c>
      <c r="H558" t="n">
        <v>35</v>
      </c>
      <c r="I558">
        <f>B558&amp;"|"&amp;C558</f>
        <v/>
      </c>
    </row>
    <row r="559">
      <c r="B559" t="inlineStr">
        <is>
          <t>Distribution Warehouses</t>
        </is>
      </c>
      <c r="C559" t="inlineStr">
        <is>
          <t>Good</t>
        </is>
      </c>
      <c r="D559" t="n">
        <v>55</v>
      </c>
      <c r="E559" t="n">
        <v>55</v>
      </c>
      <c r="F559" t="n">
        <v>50</v>
      </c>
      <c r="G559" t="n">
        <v>45</v>
      </c>
      <c r="H559" t="n">
        <v>45</v>
      </c>
      <c r="I559">
        <f>B559&amp;"|"&amp;C559</f>
        <v/>
      </c>
    </row>
    <row r="560">
      <c r="B560" t="inlineStr">
        <is>
          <t>Distribution Warehouses</t>
        </is>
      </c>
      <c r="C560" t="inlineStr">
        <is>
          <t>Excellent</t>
        </is>
      </c>
      <c r="D560" t="n">
        <v>55</v>
      </c>
      <c r="E560" t="n">
        <v>55</v>
      </c>
      <c r="F560" t="n">
        <v>50</v>
      </c>
      <c r="G560" t="n">
        <v>45</v>
      </c>
      <c r="H560" t="n">
        <v>45</v>
      </c>
      <c r="I560">
        <f>B560&amp;"|"&amp;C560</f>
        <v/>
      </c>
    </row>
    <row r="561">
      <c r="B561" t="inlineStr">
        <is>
          <t>Distribution Warehouses</t>
        </is>
      </c>
      <c r="C561" t="inlineStr">
        <is>
          <t>Average</t>
        </is>
      </c>
      <c r="D561" t="n">
        <v>50</v>
      </c>
      <c r="E561" t="n">
        <v>50</v>
      </c>
      <c r="F561" t="n">
        <v>45</v>
      </c>
      <c r="G561" t="n">
        <v>40</v>
      </c>
      <c r="H561" t="n">
        <v>40</v>
      </c>
      <c r="I561">
        <f>B561&amp;"|"&amp;C561</f>
        <v/>
      </c>
    </row>
    <row r="562">
      <c r="B562" t="inlineStr">
        <is>
          <t>Distribution Warehouses</t>
        </is>
      </c>
      <c r="C562" t="inlineStr">
        <is>
          <t>Low Cost</t>
        </is>
      </c>
      <c r="F562" t="n">
        <v>40</v>
      </c>
      <c r="G562" t="n">
        <v>35</v>
      </c>
      <c r="H562" t="n">
        <v>35</v>
      </c>
      <c r="I562">
        <f>B562&amp;"|"&amp;C562</f>
        <v/>
      </c>
    </row>
    <row r="563">
      <c r="B563" t="inlineStr">
        <is>
          <t>Mini-Warehouses / Self-Storage</t>
        </is>
      </c>
      <c r="C563" t="inlineStr">
        <is>
          <t>Good</t>
        </is>
      </c>
      <c r="F563" t="n">
        <v>45</v>
      </c>
      <c r="G563" t="n">
        <v>40</v>
      </c>
      <c r="H563" t="n">
        <v>40</v>
      </c>
      <c r="I563">
        <f>B563&amp;"|"&amp;C563</f>
        <v/>
      </c>
    </row>
    <row r="564">
      <c r="B564" t="inlineStr">
        <is>
          <t>Mini-Warehouses / Self-Storage</t>
        </is>
      </c>
      <c r="C564" t="inlineStr">
        <is>
          <t>Average</t>
        </is>
      </c>
      <c r="D564" t="n">
        <v>45</v>
      </c>
      <c r="E564" t="n">
        <v>45</v>
      </c>
      <c r="F564" t="n">
        <v>40</v>
      </c>
      <c r="G564" t="n">
        <v>35</v>
      </c>
      <c r="H564" t="n">
        <v>35</v>
      </c>
      <c r="I564">
        <f>B564&amp;"|"&amp;C564</f>
        <v/>
      </c>
    </row>
    <row r="565">
      <c r="B565" t="inlineStr">
        <is>
          <t>Mini-Warehouses / Self-Storage</t>
        </is>
      </c>
      <c r="C565" t="inlineStr">
        <is>
          <t>Low Cost</t>
        </is>
      </c>
      <c r="F565" t="n">
        <v>35</v>
      </c>
      <c r="G565" t="n">
        <v>30</v>
      </c>
      <c r="H565" t="n">
        <v>30</v>
      </c>
      <c r="I565">
        <f>B565&amp;"|"&amp;C565</f>
        <v/>
      </c>
    </row>
    <row r="566">
      <c r="B566" t="inlineStr">
        <is>
          <t>Mini-Warehouses / Self-Storage</t>
        </is>
      </c>
      <c r="C566" t="inlineStr">
        <is>
          <t>Cheap</t>
        </is>
      </c>
      <c r="F566" t="n">
        <v>35</v>
      </c>
      <c r="G566" t="n">
        <v>30</v>
      </c>
      <c r="H566" t="n">
        <v>30</v>
      </c>
      <c r="I566">
        <f>B566&amp;"|"&amp;C566</f>
        <v/>
      </c>
    </row>
    <row r="567">
      <c r="B567" t="inlineStr">
        <is>
          <t>Mini-Warehouses, High-Rise</t>
        </is>
      </c>
      <c r="C567" t="inlineStr">
        <is>
          <t>Good</t>
        </is>
      </c>
      <c r="F567" t="n">
        <v>45</v>
      </c>
      <c r="G567" t="n">
        <v>40</v>
      </c>
      <c r="H567" t="n">
        <v>40</v>
      </c>
      <c r="I567">
        <f>B567&amp;"|"&amp;C567</f>
        <v/>
      </c>
    </row>
    <row r="568">
      <c r="B568" t="inlineStr">
        <is>
          <t>Mini-Warehouses, High-Rise</t>
        </is>
      </c>
      <c r="C568" t="inlineStr">
        <is>
          <t>Average</t>
        </is>
      </c>
      <c r="D568" t="n">
        <v>45</v>
      </c>
      <c r="E568" t="n">
        <v>45</v>
      </c>
      <c r="F568" t="n">
        <v>40</v>
      </c>
      <c r="G568" t="n">
        <v>35</v>
      </c>
      <c r="H568" t="n">
        <v>35</v>
      </c>
      <c r="I568">
        <f>B568&amp;"|"&amp;C568</f>
        <v/>
      </c>
    </row>
    <row r="569">
      <c r="B569" t="inlineStr">
        <is>
          <t>Mini-Warehouses, High-Rise</t>
        </is>
      </c>
      <c r="C569" t="inlineStr">
        <is>
          <t>Low Cost</t>
        </is>
      </c>
      <c r="F569" t="n">
        <v>35</v>
      </c>
      <c r="G569" t="n">
        <v>30</v>
      </c>
      <c r="H569" t="n">
        <v>30</v>
      </c>
      <c r="I569">
        <f>B569&amp;"|"&amp;C569</f>
        <v/>
      </c>
    </row>
    <row r="570">
      <c r="B570" t="inlineStr">
        <is>
          <t>Industrials, Light Manufacturing</t>
        </is>
      </c>
      <c r="C570" t="inlineStr">
        <is>
          <t>Good</t>
        </is>
      </c>
      <c r="D570" t="n">
        <v>50</v>
      </c>
      <c r="E570" t="n">
        <v>50</v>
      </c>
      <c r="F570" t="n">
        <v>45</v>
      </c>
      <c r="G570" t="n">
        <v>40</v>
      </c>
      <c r="H570" t="n">
        <v>40</v>
      </c>
      <c r="I570">
        <f>B570&amp;"|"&amp;C570</f>
        <v/>
      </c>
    </row>
    <row r="571">
      <c r="B571" t="inlineStr">
        <is>
          <t>Industrials, Light Manufacturing</t>
        </is>
      </c>
      <c r="C571" t="inlineStr">
        <is>
          <t>Average</t>
        </is>
      </c>
      <c r="D571" t="n">
        <v>50</v>
      </c>
      <c r="E571" t="n">
        <v>50</v>
      </c>
      <c r="F571" t="n">
        <v>40</v>
      </c>
      <c r="G571" t="n">
        <v>35</v>
      </c>
      <c r="H571" t="n">
        <v>35</v>
      </c>
      <c r="I571">
        <f>B571&amp;"|"&amp;C571</f>
        <v/>
      </c>
    </row>
    <row r="572">
      <c r="B572" t="inlineStr">
        <is>
          <t>Industrials, Light Manufacturing</t>
        </is>
      </c>
      <c r="C572" t="inlineStr">
        <is>
          <t>Low Cost</t>
        </is>
      </c>
      <c r="D572" t="n">
        <v>45</v>
      </c>
      <c r="E572" t="n">
        <v>45</v>
      </c>
      <c r="F572" t="n">
        <v>40</v>
      </c>
      <c r="G572" t="n">
        <v>35</v>
      </c>
      <c r="H572" t="n">
        <v>35</v>
      </c>
      <c r="I572">
        <f>B572&amp;"|"&amp;C572</f>
        <v/>
      </c>
    </row>
    <row r="573">
      <c r="B573" t="inlineStr">
        <is>
          <t>Industrials, Heavy (Process) Manufacturing</t>
        </is>
      </c>
      <c r="C573" t="inlineStr">
        <is>
          <t>Good</t>
        </is>
      </c>
      <c r="D573" t="n">
        <v>60</v>
      </c>
      <c r="E573" t="n">
        <v>60</v>
      </c>
      <c r="F573" t="n">
        <v>55</v>
      </c>
      <c r="H573" t="n">
        <v>50</v>
      </c>
      <c r="I573">
        <f>B573&amp;"|"&amp;C573</f>
        <v/>
      </c>
    </row>
    <row r="574">
      <c r="B574" t="inlineStr">
        <is>
          <t>Industrials, Heavy (Process) Manufacturing</t>
        </is>
      </c>
      <c r="C574" t="inlineStr">
        <is>
          <t>Excellent</t>
        </is>
      </c>
      <c r="D574" t="n">
        <v>60</v>
      </c>
      <c r="E574" t="n">
        <v>60</v>
      </c>
      <c r="F574" t="n">
        <v>55</v>
      </c>
      <c r="H574" t="n">
        <v>50</v>
      </c>
      <c r="I574">
        <f>B574&amp;"|"&amp;C574</f>
        <v/>
      </c>
    </row>
    <row r="575">
      <c r="B575" t="inlineStr">
        <is>
          <t>Industrials, Heavy (Process) Manufacturing</t>
        </is>
      </c>
      <c r="C575" t="inlineStr">
        <is>
          <t>Low Cost</t>
        </is>
      </c>
      <c r="D575" t="n">
        <v>55</v>
      </c>
      <c r="E575" t="n">
        <v>55</v>
      </c>
      <c r="F575" t="n">
        <v>50</v>
      </c>
      <c r="G575" t="n">
        <v>45</v>
      </c>
      <c r="H575" t="n">
        <v>45</v>
      </c>
      <c r="I575">
        <f>B575&amp;"|"&amp;C575</f>
        <v/>
      </c>
    </row>
    <row r="576">
      <c r="B576" t="inlineStr">
        <is>
          <t>Industrials, Heavy (Process) Manufacturing</t>
        </is>
      </c>
      <c r="C576" t="inlineStr">
        <is>
          <t>Average</t>
        </is>
      </c>
      <c r="D576" t="n">
        <v>55</v>
      </c>
      <c r="E576" t="n">
        <v>55</v>
      </c>
      <c r="F576" t="n">
        <v>50</v>
      </c>
      <c r="G576" t="n">
        <v>45</v>
      </c>
      <c r="H576" t="n">
        <v>45</v>
      </c>
      <c r="I576">
        <f>B576&amp;"|"&amp;C576</f>
        <v/>
      </c>
    </row>
    <row r="577">
      <c r="B577" t="inlineStr">
        <is>
          <t>Service Garages (Commercial/Repair)</t>
        </is>
      </c>
      <c r="C577" t="inlineStr">
        <is>
          <t>Good</t>
        </is>
      </c>
      <c r="F577" t="n">
        <v>40</v>
      </c>
      <c r="G577" t="n">
        <v>35</v>
      </c>
      <c r="H577" t="n">
        <v>35</v>
      </c>
      <c r="I577">
        <f>B577&amp;"|"&amp;C577</f>
        <v/>
      </c>
    </row>
    <row r="578">
      <c r="B578" t="inlineStr">
        <is>
          <t>Service Garages (Commercial/Repair)</t>
        </is>
      </c>
      <c r="C578" t="inlineStr">
        <is>
          <t>Excellent</t>
        </is>
      </c>
      <c r="F578" t="n">
        <v>40</v>
      </c>
      <c r="G578" t="n">
        <v>35</v>
      </c>
      <c r="H578" t="n">
        <v>35</v>
      </c>
      <c r="I578">
        <f>B578&amp;"|"&amp;C578</f>
        <v/>
      </c>
    </row>
    <row r="579">
      <c r="B579" t="inlineStr">
        <is>
          <t>Service Garages (Commercial/Repair)</t>
        </is>
      </c>
      <c r="C579" t="inlineStr">
        <is>
          <t>Low Cost</t>
        </is>
      </c>
      <c r="D579" t="n">
        <v>40</v>
      </c>
      <c r="E579" t="n">
        <v>40</v>
      </c>
      <c r="F579" t="n">
        <v>35</v>
      </c>
      <c r="G579" t="n">
        <v>30</v>
      </c>
      <c r="H579" t="n">
        <v>30</v>
      </c>
      <c r="I579">
        <f>B579&amp;"|"&amp;C579</f>
        <v/>
      </c>
    </row>
    <row r="580">
      <c r="B580" t="inlineStr">
        <is>
          <t>Service Garages (Commercial/Repair)</t>
        </is>
      </c>
      <c r="C580" t="inlineStr">
        <is>
          <t>Average</t>
        </is>
      </c>
      <c r="D580" t="n">
        <v>40</v>
      </c>
      <c r="E580" t="n">
        <v>40</v>
      </c>
      <c r="F580" t="n">
        <v>35</v>
      </c>
      <c r="G580" t="n">
        <v>30</v>
      </c>
      <c r="H580" t="n">
        <v>30</v>
      </c>
      <c r="I580">
        <f>B580&amp;"|"&amp;C580</f>
        <v/>
      </c>
    </row>
    <row r="581">
      <c r="B581" t="inlineStr">
        <is>
          <t>Retail Stores</t>
        </is>
      </c>
      <c r="C581" t="inlineStr">
        <is>
          <t>Good</t>
        </is>
      </c>
      <c r="D581" t="n">
        <v>55</v>
      </c>
      <c r="E581" t="n">
        <v>55</v>
      </c>
      <c r="F581" t="n">
        <v>50</v>
      </c>
      <c r="G581" t="n">
        <v>45</v>
      </c>
      <c r="H581" t="n">
        <v>45</v>
      </c>
      <c r="I581">
        <f>B581&amp;"|"&amp;C581</f>
        <v/>
      </c>
    </row>
    <row r="582">
      <c r="B582" t="inlineStr">
        <is>
          <t>Retail Stores</t>
        </is>
      </c>
      <c r="C582" t="inlineStr">
        <is>
          <t>Excellent</t>
        </is>
      </c>
      <c r="D582" t="n">
        <v>55</v>
      </c>
      <c r="E582" t="n">
        <v>55</v>
      </c>
      <c r="F582" t="n">
        <v>50</v>
      </c>
      <c r="G582" t="n">
        <v>45</v>
      </c>
      <c r="H582" t="n">
        <v>45</v>
      </c>
      <c r="I582">
        <f>B582&amp;"|"&amp;C582</f>
        <v/>
      </c>
    </row>
    <row r="583">
      <c r="B583" t="inlineStr">
        <is>
          <t>Retail Stores</t>
        </is>
      </c>
      <c r="C583" t="inlineStr">
        <is>
          <t>Average</t>
        </is>
      </c>
      <c r="D583" t="n">
        <v>50</v>
      </c>
      <c r="E583" t="n">
        <v>50</v>
      </c>
      <c r="F583" t="n">
        <v>45</v>
      </c>
      <c r="G583" t="n">
        <v>40</v>
      </c>
      <c r="H583" t="n">
        <v>40</v>
      </c>
      <c r="I583">
        <f>B583&amp;"|"&amp;C583</f>
        <v/>
      </c>
    </row>
    <row r="584">
      <c r="B584" t="inlineStr">
        <is>
          <t>Retail Stores</t>
        </is>
      </c>
      <c r="C584" t="inlineStr">
        <is>
          <t>Low Cost</t>
        </is>
      </c>
      <c r="D584" t="n">
        <v>45</v>
      </c>
      <c r="E584" t="n">
        <v>45</v>
      </c>
      <c r="F584" t="n">
        <v>40</v>
      </c>
      <c r="G584" t="n">
        <v>40</v>
      </c>
      <c r="H584" t="n">
        <v>40</v>
      </c>
      <c r="I584">
        <f>B584&amp;"|"&amp;C584</f>
        <v/>
      </c>
    </row>
    <row r="585">
      <c r="B585" t="inlineStr">
        <is>
          <t>Neighborhood Shopping Centers</t>
        </is>
      </c>
      <c r="C585" t="inlineStr">
        <is>
          <t>Good</t>
        </is>
      </c>
      <c r="F585" t="n">
        <v>45</v>
      </c>
      <c r="G585" t="n">
        <v>40</v>
      </c>
      <c r="I585">
        <f>B585&amp;"|"&amp;C585</f>
        <v/>
      </c>
    </row>
    <row r="586">
      <c r="B586" t="inlineStr">
        <is>
          <t>Neighborhood Shopping Centers</t>
        </is>
      </c>
      <c r="C586" t="inlineStr">
        <is>
          <t>Average</t>
        </is>
      </c>
      <c r="F586" t="n">
        <v>40</v>
      </c>
      <c r="G586" t="n">
        <v>35</v>
      </c>
      <c r="H586" t="n">
        <v>35</v>
      </c>
      <c r="I586">
        <f>B586&amp;"|"&amp;C586</f>
        <v/>
      </c>
    </row>
    <row r="587">
      <c r="B587" t="inlineStr">
        <is>
          <t>Neighborhood Shopping Centers</t>
        </is>
      </c>
      <c r="C587" t="inlineStr">
        <is>
          <t>Low Cost</t>
        </is>
      </c>
      <c r="F587" t="n">
        <v>35</v>
      </c>
      <c r="G587" t="n">
        <v>30</v>
      </c>
      <c r="H587" t="n">
        <v>30</v>
      </c>
      <c r="I587">
        <f>B587&amp;"|"&amp;C587</f>
        <v/>
      </c>
    </row>
    <row r="588">
      <c r="B588" t="inlineStr">
        <is>
          <t>Community Shopping Centers</t>
        </is>
      </c>
      <c r="C588" t="inlineStr">
        <is>
          <t>Good</t>
        </is>
      </c>
      <c r="F588" t="n">
        <v>50</v>
      </c>
      <c r="G588" t="n">
        <v>45</v>
      </c>
      <c r="H588" t="n">
        <v>45</v>
      </c>
      <c r="I588">
        <f>B588&amp;"|"&amp;C588</f>
        <v/>
      </c>
    </row>
    <row r="589">
      <c r="B589" t="inlineStr">
        <is>
          <t>Community Shopping Centers</t>
        </is>
      </c>
      <c r="C589" t="inlineStr">
        <is>
          <t>Excellent</t>
        </is>
      </c>
      <c r="F589" t="n">
        <v>50</v>
      </c>
      <c r="G589" t="n">
        <v>45</v>
      </c>
      <c r="H589" t="n">
        <v>45</v>
      </c>
      <c r="I589">
        <f>B589&amp;"|"&amp;C589</f>
        <v/>
      </c>
    </row>
    <row r="590">
      <c r="B590" t="inlineStr">
        <is>
          <t>Community Shopping Centers</t>
        </is>
      </c>
      <c r="C590" t="inlineStr">
        <is>
          <t>Average</t>
        </is>
      </c>
      <c r="F590" t="n">
        <v>45</v>
      </c>
      <c r="G590" t="n">
        <v>40</v>
      </c>
      <c r="H590" t="n">
        <v>40</v>
      </c>
      <c r="I590">
        <f>B590&amp;"|"&amp;C590</f>
        <v/>
      </c>
    </row>
    <row r="591">
      <c r="B591" t="inlineStr">
        <is>
          <t>Community Shopping Centers</t>
        </is>
      </c>
      <c r="C591" t="inlineStr">
        <is>
          <t>Low Cost</t>
        </is>
      </c>
      <c r="F591" t="n">
        <v>45</v>
      </c>
      <c r="G591" t="n">
        <v>40</v>
      </c>
      <c r="H591" t="n">
        <v>40</v>
      </c>
      <c r="I591">
        <f>B591&amp;"|"&amp;C591</f>
        <v/>
      </c>
    </row>
    <row r="592">
      <c r="B592" t="inlineStr">
        <is>
          <t>Regional Shopping Centers</t>
        </is>
      </c>
      <c r="C592" t="inlineStr">
        <is>
          <t>Good</t>
        </is>
      </c>
      <c r="D592" t="n">
        <v>55</v>
      </c>
      <c r="E592" t="n">
        <v>55</v>
      </c>
      <c r="F592" t="n">
        <v>55</v>
      </c>
      <c r="G592" t="n">
        <v>50</v>
      </c>
      <c r="I592">
        <f>B592&amp;"|"&amp;C592</f>
        <v/>
      </c>
    </row>
    <row r="593">
      <c r="B593" t="inlineStr">
        <is>
          <t>Regional Shopping Centers</t>
        </is>
      </c>
      <c r="C593" t="inlineStr">
        <is>
          <t>Excellent</t>
        </is>
      </c>
      <c r="D593" t="n">
        <v>55</v>
      </c>
      <c r="E593" t="n">
        <v>55</v>
      </c>
      <c r="F593" t="n">
        <v>55</v>
      </c>
      <c r="G593" t="n">
        <v>50</v>
      </c>
      <c r="I593">
        <f>B593&amp;"|"&amp;C593</f>
        <v/>
      </c>
    </row>
    <row r="594">
      <c r="B594" t="inlineStr">
        <is>
          <t>Regional Shopping Centers</t>
        </is>
      </c>
      <c r="C594" t="inlineStr">
        <is>
          <t>Average</t>
        </is>
      </c>
      <c r="F594" t="n">
        <v>50</v>
      </c>
      <c r="G594" t="n">
        <v>45</v>
      </c>
      <c r="H594" t="n">
        <v>45</v>
      </c>
      <c r="I594">
        <f>B594&amp;"|"&amp;C594</f>
        <v/>
      </c>
    </row>
    <row r="595">
      <c r="B595" t="inlineStr">
        <is>
          <t>Regional Shopping Centers</t>
        </is>
      </c>
      <c r="C595" t="inlineStr">
        <is>
          <t>Good*</t>
        </is>
      </c>
      <c r="D595" t="n">
        <v>55</v>
      </c>
      <c r="E595" t="n">
        <v>55</v>
      </c>
      <c r="F595" t="n">
        <v>55</v>
      </c>
      <c r="G595" t="n">
        <v>50</v>
      </c>
      <c r="I595">
        <f>B595&amp;"|"&amp;C595</f>
        <v/>
      </c>
    </row>
    <row r="596">
      <c r="B596" t="inlineStr">
        <is>
          <t>Regional Shopping Centers</t>
        </is>
      </c>
      <c r="C596" t="inlineStr">
        <is>
          <t>Excellent*</t>
        </is>
      </c>
      <c r="D596" t="n">
        <v>55</v>
      </c>
      <c r="E596" t="n">
        <v>55</v>
      </c>
      <c r="F596" t="n">
        <v>55</v>
      </c>
      <c r="G596" t="n">
        <v>50</v>
      </c>
      <c r="I596">
        <f>B596&amp;"|"&amp;C596</f>
        <v/>
      </c>
    </row>
    <row r="597">
      <c r="B597" t="inlineStr">
        <is>
          <t>Department Stores</t>
        </is>
      </c>
      <c r="C597" t="inlineStr">
        <is>
          <t>Good</t>
        </is>
      </c>
      <c r="D597" t="n">
        <v>55</v>
      </c>
      <c r="E597" t="n">
        <v>55</v>
      </c>
      <c r="F597" t="n">
        <v>50</v>
      </c>
      <c r="I597">
        <f>B597&amp;"|"&amp;C597</f>
        <v/>
      </c>
    </row>
    <row r="598">
      <c r="B598" t="inlineStr">
        <is>
          <t>Department Stores</t>
        </is>
      </c>
      <c r="C598" t="inlineStr">
        <is>
          <t>Excellent</t>
        </is>
      </c>
      <c r="D598" t="n">
        <v>55</v>
      </c>
      <c r="E598" t="n">
        <v>55</v>
      </c>
      <c r="F598" t="n">
        <v>50</v>
      </c>
      <c r="I598">
        <f>B598&amp;"|"&amp;C598</f>
        <v/>
      </c>
    </row>
    <row r="599">
      <c r="B599" t="inlineStr">
        <is>
          <t>Department Stores</t>
        </is>
      </c>
      <c r="C599" t="inlineStr">
        <is>
          <t>Low Cost</t>
        </is>
      </c>
      <c r="D599" t="n">
        <v>50</v>
      </c>
      <c r="E599" t="n">
        <v>50</v>
      </c>
      <c r="F599" t="n">
        <v>45</v>
      </c>
      <c r="I599">
        <f>B599&amp;"|"&amp;C599</f>
        <v/>
      </c>
    </row>
    <row r="600">
      <c r="B600" t="inlineStr">
        <is>
          <t>Department Stores</t>
        </is>
      </c>
      <c r="C600" t="inlineStr">
        <is>
          <t>Average</t>
        </is>
      </c>
      <c r="D600" t="n">
        <v>50</v>
      </c>
      <c r="E600" t="n">
        <v>50</v>
      </c>
      <c r="F600" t="n">
        <v>45</v>
      </c>
      <c r="I600">
        <f>B600&amp;"|"&amp;C600</f>
        <v/>
      </c>
    </row>
    <row r="601">
      <c r="B601" t="inlineStr">
        <is>
          <t>Discount Stores</t>
        </is>
      </c>
      <c r="C601" t="inlineStr">
        <is>
          <t>Good</t>
        </is>
      </c>
      <c r="F601" t="n">
        <v>40</v>
      </c>
      <c r="G601" t="n">
        <v>35</v>
      </c>
      <c r="H601" t="n">
        <v>35</v>
      </c>
      <c r="I601">
        <f>B601&amp;"|"&amp;C601</f>
        <v/>
      </c>
    </row>
    <row r="602">
      <c r="B602" t="inlineStr">
        <is>
          <t>Discount Stores</t>
        </is>
      </c>
      <c r="C602" t="inlineStr">
        <is>
          <t>Low Cost</t>
        </is>
      </c>
      <c r="D602" t="n">
        <v>40</v>
      </c>
      <c r="E602" t="n">
        <v>40</v>
      </c>
      <c r="F602" t="n">
        <v>35</v>
      </c>
      <c r="G602" t="n">
        <v>30</v>
      </c>
      <c r="H602" t="n">
        <v>30</v>
      </c>
      <c r="I602">
        <f>B602&amp;"|"&amp;C602</f>
        <v/>
      </c>
    </row>
    <row r="603">
      <c r="B603" t="inlineStr">
        <is>
          <t>Discount Stores</t>
        </is>
      </c>
      <c r="C603" t="inlineStr">
        <is>
          <t>Average</t>
        </is>
      </c>
      <c r="D603" t="n">
        <v>40</v>
      </c>
      <c r="E603" t="n">
        <v>40</v>
      </c>
      <c r="F603" t="n">
        <v>35</v>
      </c>
      <c r="G603" t="n">
        <v>30</v>
      </c>
      <c r="H603" t="n">
        <v>30</v>
      </c>
      <c r="I603">
        <f>B603&amp;"|"&amp;C603</f>
        <v/>
      </c>
    </row>
    <row r="604">
      <c r="B604" t="inlineStr">
        <is>
          <t>Office Buildings</t>
        </is>
      </c>
      <c r="C604" t="inlineStr">
        <is>
          <t>Good</t>
        </is>
      </c>
      <c r="D604" t="n">
        <v>60</v>
      </c>
      <c r="E604" t="n">
        <v>60</v>
      </c>
      <c r="F604" t="n">
        <v>55</v>
      </c>
      <c r="G604" t="n">
        <v>50</v>
      </c>
      <c r="H604" t="n">
        <v>50</v>
      </c>
      <c r="I604">
        <f>B604&amp;"|"&amp;C604</f>
        <v/>
      </c>
    </row>
    <row r="605">
      <c r="B605" t="inlineStr">
        <is>
          <t>Office Buildings</t>
        </is>
      </c>
      <c r="C605" t="inlineStr">
        <is>
          <t>Excellent</t>
        </is>
      </c>
      <c r="D605" t="n">
        <v>60</v>
      </c>
      <c r="E605" t="n">
        <v>60</v>
      </c>
      <c r="F605" t="n">
        <v>55</v>
      </c>
      <c r="G605" t="n">
        <v>50</v>
      </c>
      <c r="H605" t="n">
        <v>50</v>
      </c>
      <c r="I605">
        <f>B605&amp;"|"&amp;C605</f>
        <v/>
      </c>
    </row>
    <row r="606">
      <c r="B606" t="inlineStr">
        <is>
          <t>Office Buildings</t>
        </is>
      </c>
      <c r="C606" t="inlineStr">
        <is>
          <t>Average</t>
        </is>
      </c>
      <c r="D606" t="n">
        <v>55</v>
      </c>
      <c r="E606" t="n">
        <v>55</v>
      </c>
      <c r="F606" t="n">
        <v>50</v>
      </c>
      <c r="G606" t="n">
        <v>45</v>
      </c>
      <c r="H606" t="n">
        <v>45</v>
      </c>
      <c r="I606">
        <f>B606&amp;"|"&amp;C606</f>
        <v/>
      </c>
    </row>
    <row r="607">
      <c r="B607" t="inlineStr">
        <is>
          <t>Office Buildings</t>
        </is>
      </c>
      <c r="C607" t="inlineStr">
        <is>
          <t>Low Cost</t>
        </is>
      </c>
      <c r="D607" t="n">
        <v>50</v>
      </c>
      <c r="E607" t="n">
        <v>50</v>
      </c>
      <c r="F607" t="n">
        <v>45</v>
      </c>
      <c r="G607" t="n">
        <v>40</v>
      </c>
      <c r="H607" t="n">
        <v>40</v>
      </c>
      <c r="I607">
        <f>B607&amp;"|"&amp;C607</f>
        <v/>
      </c>
    </row>
    <row r="608">
      <c r="B608" t="inlineStr">
        <is>
          <t>Medical Office Buildings</t>
        </is>
      </c>
      <c r="C608" t="inlineStr">
        <is>
          <t>Good</t>
        </is>
      </c>
      <c r="D608" t="n">
        <v>50</v>
      </c>
      <c r="E608" t="n">
        <v>50</v>
      </c>
      <c r="F608" t="n">
        <v>45</v>
      </c>
      <c r="G608" t="n">
        <v>40</v>
      </c>
      <c r="H608" t="n">
        <v>40</v>
      </c>
      <c r="I608">
        <f>B608&amp;"|"&amp;C608</f>
        <v/>
      </c>
    </row>
    <row r="609">
      <c r="B609" t="inlineStr">
        <is>
          <t>Medical Office Buildings</t>
        </is>
      </c>
      <c r="C609" t="inlineStr">
        <is>
          <t>Excellent</t>
        </is>
      </c>
      <c r="D609" t="n">
        <v>50</v>
      </c>
      <c r="E609" t="n">
        <v>50</v>
      </c>
      <c r="F609" t="n">
        <v>45</v>
      </c>
      <c r="G609" t="n">
        <v>40</v>
      </c>
      <c r="H609" t="n">
        <v>40</v>
      </c>
      <c r="I609">
        <f>B609&amp;"|"&amp;C609</f>
        <v/>
      </c>
    </row>
    <row r="610">
      <c r="B610" t="inlineStr">
        <is>
          <t>Medical Office Buildings</t>
        </is>
      </c>
      <c r="C610" t="inlineStr">
        <is>
          <t>Low Cost</t>
        </is>
      </c>
      <c r="D610" t="n">
        <v>45</v>
      </c>
      <c r="E610" t="n">
        <v>45</v>
      </c>
      <c r="F610" t="n">
        <v>40</v>
      </c>
      <c r="G610" t="n">
        <v>35</v>
      </c>
      <c r="H610" t="n">
        <v>35</v>
      </c>
      <c r="I610">
        <f>B610&amp;"|"&amp;C610</f>
        <v/>
      </c>
    </row>
    <row r="611">
      <c r="B611" t="inlineStr">
        <is>
          <t>Medical Office Buildings</t>
        </is>
      </c>
      <c r="C611" t="inlineStr">
        <is>
          <t>Average</t>
        </is>
      </c>
      <c r="D611" t="n">
        <v>45</v>
      </c>
      <c r="E611" t="n">
        <v>45</v>
      </c>
      <c r="F611" t="n">
        <v>40</v>
      </c>
      <c r="G611" t="n">
        <v>35</v>
      </c>
      <c r="H611" t="n">
        <v>35</v>
      </c>
      <c r="I611">
        <f>B611&amp;"|"&amp;C611</f>
        <v/>
      </c>
    </row>
    <row r="612">
      <c r="B612" t="inlineStr">
        <is>
          <t>Banks, Branch</t>
        </is>
      </c>
      <c r="C612" t="inlineStr">
        <is>
          <t>Good</t>
        </is>
      </c>
      <c r="D612" t="n">
        <v>60</v>
      </c>
      <c r="E612" t="n">
        <v>60</v>
      </c>
      <c r="F612" t="n">
        <v>55</v>
      </c>
      <c r="G612" t="n">
        <v>50</v>
      </c>
      <c r="H612" t="n">
        <v>50</v>
      </c>
      <c r="I612">
        <f>B612&amp;"|"&amp;C612</f>
        <v/>
      </c>
    </row>
    <row r="613">
      <c r="B613" t="inlineStr">
        <is>
          <t>Banks, Branch</t>
        </is>
      </c>
      <c r="C613" t="inlineStr">
        <is>
          <t>Excellent</t>
        </is>
      </c>
      <c r="D613" t="n">
        <v>60</v>
      </c>
      <c r="E613" t="n">
        <v>60</v>
      </c>
      <c r="F613" t="n">
        <v>55</v>
      </c>
      <c r="G613" t="n">
        <v>50</v>
      </c>
      <c r="H613" t="n">
        <v>50</v>
      </c>
      <c r="I613">
        <f>B613&amp;"|"&amp;C613</f>
        <v/>
      </c>
    </row>
    <row r="614">
      <c r="B614" t="inlineStr">
        <is>
          <t>Banks, Branch</t>
        </is>
      </c>
      <c r="C614" t="inlineStr">
        <is>
          <t>Average</t>
        </is>
      </c>
      <c r="D614" t="n">
        <v>55</v>
      </c>
      <c r="E614" t="n">
        <v>55</v>
      </c>
      <c r="F614" t="n">
        <v>50</v>
      </c>
      <c r="G614" t="n">
        <v>45</v>
      </c>
      <c r="H614" t="n">
        <v>45</v>
      </c>
      <c r="I614">
        <f>B614&amp;"|"&amp;C614</f>
        <v/>
      </c>
    </row>
    <row r="615">
      <c r="B615" t="inlineStr">
        <is>
          <t>Banks, Branch</t>
        </is>
      </c>
      <c r="C615" t="inlineStr">
        <is>
          <t>Low Cost</t>
        </is>
      </c>
      <c r="D615" t="n">
        <v>50</v>
      </c>
      <c r="E615" t="n">
        <v>50</v>
      </c>
      <c r="F615" t="n">
        <v>45</v>
      </c>
      <c r="G615" t="n">
        <v>40</v>
      </c>
      <c r="H615" t="n">
        <v>40</v>
      </c>
      <c r="I615">
        <f>B615&amp;"|"&amp;C615</f>
        <v/>
      </c>
    </row>
    <row r="616">
      <c r="B616" t="inlineStr">
        <is>
          <t>Hotels, Full Service</t>
        </is>
      </c>
      <c r="C616" t="inlineStr">
        <is>
          <t>Good</t>
        </is>
      </c>
      <c r="D616" t="n">
        <v>60</v>
      </c>
      <c r="E616" t="n">
        <v>60</v>
      </c>
      <c r="F616" t="n">
        <v>50</v>
      </c>
      <c r="G616" t="n">
        <v>45</v>
      </c>
      <c r="I616">
        <f>B616&amp;"|"&amp;C616</f>
        <v/>
      </c>
    </row>
    <row r="617">
      <c r="B617" t="inlineStr">
        <is>
          <t>Hotels, Full Service</t>
        </is>
      </c>
      <c r="C617" t="inlineStr">
        <is>
          <t>Excellent</t>
        </is>
      </c>
      <c r="D617" t="n">
        <v>60</v>
      </c>
      <c r="E617" t="n">
        <v>60</v>
      </c>
      <c r="F617" t="n">
        <v>50</v>
      </c>
      <c r="G617" t="n">
        <v>45</v>
      </c>
      <c r="I617">
        <f>B617&amp;"|"&amp;C617</f>
        <v/>
      </c>
    </row>
    <row r="618">
      <c r="B618" t="inlineStr">
        <is>
          <t>Hotels, Full Service</t>
        </is>
      </c>
      <c r="C618" t="inlineStr">
        <is>
          <t>Average</t>
        </is>
      </c>
      <c r="D618" t="n">
        <v>55</v>
      </c>
      <c r="E618" t="n">
        <v>55</v>
      </c>
      <c r="F618" t="n">
        <v>50</v>
      </c>
      <c r="G618" t="n">
        <v>45</v>
      </c>
      <c r="I618">
        <f>B618&amp;"|"&amp;C618</f>
        <v/>
      </c>
    </row>
    <row r="619">
      <c r="B619" t="inlineStr">
        <is>
          <t>Hotels, Full Service</t>
        </is>
      </c>
      <c r="C619" t="inlineStr">
        <is>
          <t>Low Cost</t>
        </is>
      </c>
      <c r="D619" t="n">
        <v>50</v>
      </c>
      <c r="E619" t="n">
        <v>50</v>
      </c>
      <c r="F619" t="n">
        <v>45</v>
      </c>
      <c r="G619" t="n">
        <v>40</v>
      </c>
      <c r="I619">
        <f>B619&amp;"|"&amp;C619</f>
        <v/>
      </c>
    </row>
    <row r="620">
      <c r="B620" t="inlineStr">
        <is>
          <t>Hotels, Limited Service</t>
        </is>
      </c>
      <c r="C620" t="inlineStr">
        <is>
          <t>Excellent</t>
        </is>
      </c>
      <c r="D620" t="n">
        <v>60</v>
      </c>
      <c r="E620" t="n">
        <v>60</v>
      </c>
      <c r="F620" t="n">
        <v>50</v>
      </c>
      <c r="I620">
        <f>B620&amp;"|"&amp;C620</f>
        <v/>
      </c>
    </row>
    <row r="621">
      <c r="B621" t="inlineStr">
        <is>
          <t>Hotels, Limited Service</t>
        </is>
      </c>
      <c r="C621" t="inlineStr">
        <is>
          <t>Good</t>
        </is>
      </c>
      <c r="D621" t="n">
        <v>55</v>
      </c>
      <c r="E621" t="n">
        <v>55</v>
      </c>
      <c r="F621" t="n">
        <v>50</v>
      </c>
      <c r="G621" t="n">
        <v>45</v>
      </c>
      <c r="I621">
        <f>B621&amp;"|"&amp;C621</f>
        <v/>
      </c>
    </row>
    <row r="622">
      <c r="B622" t="inlineStr">
        <is>
          <t>Hotels, Limited Service</t>
        </is>
      </c>
      <c r="C622" t="inlineStr">
        <is>
          <t>Low Cost</t>
        </is>
      </c>
      <c r="D622" t="n">
        <v>50</v>
      </c>
      <c r="E622" t="n">
        <v>50</v>
      </c>
      <c r="F622" t="n">
        <v>45</v>
      </c>
      <c r="G622" t="n">
        <v>40</v>
      </c>
      <c r="H622" t="n">
        <v>40</v>
      </c>
      <c r="I622">
        <f>B622&amp;"|"&amp;C622</f>
        <v/>
      </c>
    </row>
    <row r="623">
      <c r="B623" t="inlineStr">
        <is>
          <t>Hotels, Limited Service</t>
        </is>
      </c>
      <c r="C623" t="inlineStr">
        <is>
          <t>Average</t>
        </is>
      </c>
      <c r="D623" t="n">
        <v>50</v>
      </c>
      <c r="E623" t="n">
        <v>50</v>
      </c>
      <c r="F623" t="n">
        <v>45</v>
      </c>
      <c r="G623" t="n">
        <v>40</v>
      </c>
      <c r="H623" t="n">
        <v>40</v>
      </c>
      <c r="I623">
        <f>B623&amp;"|"&amp;C623</f>
        <v/>
      </c>
    </row>
    <row r="624"/>
    <row r="625">
      <c r="B625" s="1208" t="inlineStr">
        <is>
          <t>REFERENCE 12 -- Depreciation Percent-Good Table, Commercial Properties (MVS Sec.97 p.24). Applies to Sections 11/13/14/15 per MVS's own 'Properties Included' key.</t>
        </is>
      </c>
      <c r="C625" s="1208" t="n"/>
      <c r="D625" s="1208" t="n"/>
      <c r="E625" s="1208" t="n"/>
      <c r="F625" s="1208" t="n"/>
      <c r="G625" s="1208" t="n"/>
      <c r="H625" s="1208" t="n"/>
    </row>
    <row r="626">
      <c r="B626" s="609" t="inlineStr">
        <is>
          <t>Blank cells = combination not tabulated in the manual (effective age exceeds what's charted for that life expectancy) -- treat as fully/near-fully depreciated; see Sec.97 salvage-value guidance.</t>
        </is>
      </c>
    </row>
    <row r="627">
      <c r="B627" s="1210" t="inlineStr">
        <is>
          <t>Effective Age (yrs) \ Typical Life (yrs) -&gt;</t>
        </is>
      </c>
      <c r="C627" s="1210" t="n">
        <v>70</v>
      </c>
      <c r="D627" s="1210" t="n">
        <v>60</v>
      </c>
      <c r="E627" s="1210" t="n">
        <v>55</v>
      </c>
      <c r="F627" s="1210" t="n">
        <v>50</v>
      </c>
      <c r="G627" s="1210" t="n">
        <v>45</v>
      </c>
      <c r="H627" s="1210" t="n">
        <v>40</v>
      </c>
      <c r="I627" s="1210" t="n">
        <v>35</v>
      </c>
      <c r="J627" s="1210" t="n">
        <v>30</v>
      </c>
      <c r="K627" s="1210" t="n">
        <v>25</v>
      </c>
      <c r="L627" s="1210" t="n">
        <v>20</v>
      </c>
    </row>
    <row r="628">
      <c r="B628" t="n">
        <v>1</v>
      </c>
      <c r="C628" t="n">
        <v>0</v>
      </c>
      <c r="D628" t="n">
        <v>0</v>
      </c>
      <c r="E628" t="n">
        <v>0</v>
      </c>
      <c r="F628" t="n">
        <v>0</v>
      </c>
      <c r="G628" t="n">
        <v>1</v>
      </c>
      <c r="H628" t="n">
        <v>1</v>
      </c>
      <c r="I628" t="n">
        <v>1</v>
      </c>
      <c r="J628" t="n">
        <v>2</v>
      </c>
      <c r="K628" t="n">
        <v>2</v>
      </c>
      <c r="L628" t="n">
        <v>3</v>
      </c>
    </row>
    <row r="629">
      <c r="B629" t="n">
        <v>2</v>
      </c>
      <c r="C629" t="n">
        <v>0</v>
      </c>
      <c r="D629" t="n">
        <v>1</v>
      </c>
      <c r="E629" t="n">
        <v>1</v>
      </c>
      <c r="F629" t="n">
        <v>1</v>
      </c>
      <c r="G629" t="n">
        <v>1</v>
      </c>
      <c r="H629" t="n">
        <v>2</v>
      </c>
      <c r="I629" t="n">
        <v>2</v>
      </c>
      <c r="J629" t="n">
        <v>3</v>
      </c>
      <c r="K629" t="n">
        <v>5</v>
      </c>
      <c r="L629" t="n">
        <v>7</v>
      </c>
    </row>
    <row r="630">
      <c r="B630" t="n">
        <v>3</v>
      </c>
      <c r="C630" t="n">
        <v>0</v>
      </c>
      <c r="D630" t="n">
        <v>1</v>
      </c>
      <c r="E630" t="n">
        <v>1</v>
      </c>
      <c r="F630" t="n">
        <v>1</v>
      </c>
      <c r="G630" t="n">
        <v>2</v>
      </c>
      <c r="H630" t="n">
        <v>3</v>
      </c>
      <c r="I630" t="n">
        <v>4</v>
      </c>
      <c r="J630" t="n">
        <v>5</v>
      </c>
      <c r="K630" t="n">
        <v>7</v>
      </c>
      <c r="L630" t="n">
        <v>10</v>
      </c>
    </row>
    <row r="631">
      <c r="B631" t="n">
        <v>4</v>
      </c>
      <c r="C631" t="n">
        <v>1</v>
      </c>
      <c r="D631" t="n">
        <v>1</v>
      </c>
      <c r="E631" t="n">
        <v>1</v>
      </c>
      <c r="F631" t="n">
        <v>2</v>
      </c>
      <c r="G631" t="n">
        <v>3</v>
      </c>
      <c r="H631" t="n">
        <v>4</v>
      </c>
      <c r="I631" t="n">
        <v>5</v>
      </c>
      <c r="J631" t="n">
        <v>7</v>
      </c>
      <c r="K631" t="n">
        <v>10</v>
      </c>
      <c r="L631" t="n">
        <v>14</v>
      </c>
    </row>
    <row r="632">
      <c r="B632" t="n">
        <v>5</v>
      </c>
      <c r="C632" t="n">
        <v>1</v>
      </c>
      <c r="D632" t="n">
        <v>1</v>
      </c>
      <c r="E632" t="n">
        <v>2</v>
      </c>
      <c r="F632" t="n">
        <v>3</v>
      </c>
      <c r="G632" t="n">
        <v>4</v>
      </c>
      <c r="H632" t="n">
        <v>5</v>
      </c>
      <c r="I632" t="n">
        <v>6</v>
      </c>
      <c r="J632" t="n">
        <v>9</v>
      </c>
      <c r="K632" t="n">
        <v>13</v>
      </c>
      <c r="L632" t="n">
        <v>18</v>
      </c>
    </row>
    <row r="633">
      <c r="B633" t="n">
        <v>6</v>
      </c>
      <c r="C633" t="n">
        <v>1</v>
      </c>
      <c r="D633" t="n">
        <v>2</v>
      </c>
      <c r="E633" t="n">
        <v>2</v>
      </c>
      <c r="F633" t="n">
        <v>3</v>
      </c>
      <c r="G633" t="n">
        <v>4</v>
      </c>
      <c r="H633" t="n">
        <v>6</v>
      </c>
      <c r="I633" t="n">
        <v>8</v>
      </c>
      <c r="J633" t="n">
        <v>11</v>
      </c>
      <c r="K633" t="n">
        <v>16</v>
      </c>
      <c r="L633" t="n">
        <v>22</v>
      </c>
    </row>
    <row r="634">
      <c r="B634" t="n">
        <v>7</v>
      </c>
      <c r="C634" t="n">
        <v>1</v>
      </c>
      <c r="D634" t="n">
        <v>2</v>
      </c>
      <c r="E634" t="n">
        <v>3</v>
      </c>
      <c r="F634" t="n">
        <v>4</v>
      </c>
      <c r="G634" t="n">
        <v>5</v>
      </c>
      <c r="H634" t="n">
        <v>7</v>
      </c>
      <c r="I634" t="n">
        <v>10</v>
      </c>
      <c r="J634" t="n">
        <v>14</v>
      </c>
      <c r="K634" t="n">
        <v>19</v>
      </c>
      <c r="L634" t="n">
        <v>26</v>
      </c>
    </row>
    <row r="635">
      <c r="B635" t="n">
        <v>8</v>
      </c>
      <c r="C635" t="n">
        <v>1</v>
      </c>
      <c r="D635" t="n">
        <v>2</v>
      </c>
      <c r="E635" t="n">
        <v>3</v>
      </c>
      <c r="F635" t="n">
        <v>5</v>
      </c>
      <c r="G635" t="n">
        <v>6</v>
      </c>
      <c r="H635" t="n">
        <v>8</v>
      </c>
      <c r="I635" t="n">
        <v>11</v>
      </c>
      <c r="J635" t="n">
        <v>16</v>
      </c>
      <c r="K635" t="n">
        <v>22</v>
      </c>
      <c r="L635" t="n">
        <v>30</v>
      </c>
    </row>
    <row r="636">
      <c r="B636" t="n">
        <v>9</v>
      </c>
      <c r="C636" t="n">
        <v>2</v>
      </c>
      <c r="D636" t="n">
        <v>3</v>
      </c>
      <c r="E636" t="n">
        <v>4</v>
      </c>
      <c r="F636" t="n">
        <v>5</v>
      </c>
      <c r="G636" t="n">
        <v>7</v>
      </c>
      <c r="H636" t="n">
        <v>10</v>
      </c>
      <c r="I636" t="n">
        <v>13</v>
      </c>
      <c r="J636" t="n">
        <v>18</v>
      </c>
      <c r="K636" t="n">
        <v>25</v>
      </c>
      <c r="L636" t="n">
        <v>35</v>
      </c>
    </row>
    <row r="637">
      <c r="B637" t="n">
        <v>10</v>
      </c>
      <c r="C637" t="n">
        <v>2</v>
      </c>
      <c r="D637" t="n">
        <v>3</v>
      </c>
      <c r="E637" t="n">
        <v>4</v>
      </c>
      <c r="F637" t="n">
        <v>6</v>
      </c>
      <c r="G637" t="n">
        <v>8</v>
      </c>
      <c r="H637" t="n">
        <v>11</v>
      </c>
      <c r="I637" t="n">
        <v>15</v>
      </c>
      <c r="J637" t="n">
        <v>21</v>
      </c>
      <c r="K637" t="n">
        <v>29</v>
      </c>
      <c r="L637" t="n">
        <v>40</v>
      </c>
    </row>
    <row r="638">
      <c r="B638" t="n">
        <v>11</v>
      </c>
      <c r="C638" t="n">
        <v>2</v>
      </c>
      <c r="D638" t="n">
        <v>4</v>
      </c>
      <c r="E638" t="n">
        <v>5</v>
      </c>
      <c r="F638" t="n">
        <v>7</v>
      </c>
      <c r="G638" t="n">
        <v>9</v>
      </c>
      <c r="H638" t="n">
        <v>13</v>
      </c>
      <c r="I638" t="n">
        <v>17</v>
      </c>
      <c r="J638" t="n">
        <v>24</v>
      </c>
      <c r="K638" t="n">
        <v>32</v>
      </c>
      <c r="L638" t="n">
        <v>45</v>
      </c>
    </row>
    <row r="639">
      <c r="B639" t="n">
        <v>12</v>
      </c>
      <c r="C639" t="n">
        <v>2</v>
      </c>
      <c r="D639" t="n">
        <v>4</v>
      </c>
      <c r="E639" t="n">
        <v>6</v>
      </c>
      <c r="F639" t="n">
        <v>8</v>
      </c>
      <c r="G639" t="n">
        <v>10</v>
      </c>
      <c r="H639" t="n">
        <v>14</v>
      </c>
      <c r="I639" t="n">
        <v>19</v>
      </c>
      <c r="J639" t="n">
        <v>26</v>
      </c>
      <c r="K639" t="n">
        <v>36</v>
      </c>
      <c r="L639" t="n">
        <v>50</v>
      </c>
    </row>
    <row r="640">
      <c r="B640" t="n">
        <v>13</v>
      </c>
      <c r="C640" t="n">
        <v>2</v>
      </c>
      <c r="D640" t="n">
        <v>5</v>
      </c>
      <c r="E640" t="n">
        <v>6</v>
      </c>
      <c r="F640" t="n">
        <v>9</v>
      </c>
      <c r="G640" t="n">
        <v>12</v>
      </c>
      <c r="H640" t="n">
        <v>16</v>
      </c>
      <c r="I640" t="n">
        <v>22</v>
      </c>
      <c r="J640" t="n">
        <v>29</v>
      </c>
      <c r="K640" t="n">
        <v>40</v>
      </c>
      <c r="L640" t="n">
        <v>55</v>
      </c>
    </row>
    <row r="641">
      <c r="B641" t="n">
        <v>14</v>
      </c>
      <c r="C641" t="n">
        <v>3</v>
      </c>
      <c r="D641" t="n">
        <v>5</v>
      </c>
      <c r="E641" t="n">
        <v>7</v>
      </c>
      <c r="F641" t="n">
        <v>10</v>
      </c>
      <c r="G641" t="n">
        <v>13</v>
      </c>
      <c r="H641" t="n">
        <v>18</v>
      </c>
      <c r="I641" t="n">
        <v>24</v>
      </c>
      <c r="J641" t="n">
        <v>32</v>
      </c>
      <c r="K641" t="n">
        <v>44</v>
      </c>
      <c r="L641" t="n">
        <v>60</v>
      </c>
    </row>
    <row r="642">
      <c r="B642" t="n">
        <v>15</v>
      </c>
      <c r="C642" t="n">
        <v>3</v>
      </c>
      <c r="D642" t="n">
        <v>6</v>
      </c>
      <c r="E642" t="n">
        <v>8</v>
      </c>
      <c r="F642" t="n">
        <v>11</v>
      </c>
      <c r="G642" t="n">
        <v>14</v>
      </c>
      <c r="H642" t="n">
        <v>20</v>
      </c>
      <c r="I642" t="n">
        <v>26</v>
      </c>
      <c r="J642" t="n">
        <v>35</v>
      </c>
      <c r="K642" t="n">
        <v>48</v>
      </c>
      <c r="L642" t="n">
        <v>65</v>
      </c>
    </row>
    <row r="643">
      <c r="B643" t="n">
        <v>16</v>
      </c>
      <c r="C643" t="n">
        <v>3</v>
      </c>
      <c r="D643" t="n">
        <v>7</v>
      </c>
      <c r="E643" t="n">
        <v>9</v>
      </c>
      <c r="F643" t="n">
        <v>12</v>
      </c>
      <c r="G643" t="n">
        <v>16</v>
      </c>
      <c r="H643" t="n">
        <v>22</v>
      </c>
      <c r="I643" t="n">
        <v>28</v>
      </c>
      <c r="J643" t="n">
        <v>39</v>
      </c>
      <c r="K643" t="n">
        <v>52</v>
      </c>
      <c r="L643" t="n">
        <v>69</v>
      </c>
    </row>
    <row r="644">
      <c r="B644" t="n">
        <v>17</v>
      </c>
      <c r="C644" t="n">
        <v>4</v>
      </c>
      <c r="D644" t="n">
        <v>7</v>
      </c>
      <c r="E644" t="n">
        <v>10</v>
      </c>
      <c r="F644" t="n">
        <v>13</v>
      </c>
      <c r="G644" t="n">
        <v>18</v>
      </c>
      <c r="H644" t="n">
        <v>24</v>
      </c>
      <c r="I644" t="n">
        <v>31</v>
      </c>
      <c r="J644" t="n">
        <v>42</v>
      </c>
      <c r="K644" t="n">
        <v>56</v>
      </c>
      <c r="L644" t="n">
        <v>73</v>
      </c>
    </row>
    <row r="645">
      <c r="B645" t="n">
        <v>18</v>
      </c>
      <c r="C645" t="n">
        <v>4</v>
      </c>
      <c r="D645" t="n">
        <v>8</v>
      </c>
      <c r="E645" t="n">
        <v>11</v>
      </c>
      <c r="F645" t="n">
        <v>14</v>
      </c>
      <c r="G645" t="n">
        <v>19</v>
      </c>
      <c r="H645" t="n">
        <v>26</v>
      </c>
      <c r="I645" t="n">
        <v>34</v>
      </c>
      <c r="J645" t="n">
        <v>46</v>
      </c>
      <c r="K645" t="n">
        <v>60</v>
      </c>
      <c r="L645" t="n">
        <v>76</v>
      </c>
    </row>
    <row r="646">
      <c r="B646" t="n">
        <v>19</v>
      </c>
      <c r="C646" t="n">
        <v>4</v>
      </c>
      <c r="D646" t="n">
        <v>9</v>
      </c>
      <c r="E646" t="n">
        <v>12</v>
      </c>
      <c r="F646" t="n">
        <v>16</v>
      </c>
      <c r="G646" t="n">
        <v>21</v>
      </c>
      <c r="H646" t="n">
        <v>28</v>
      </c>
      <c r="I646" t="n">
        <v>36</v>
      </c>
      <c r="J646" t="n">
        <v>49</v>
      </c>
      <c r="K646" t="n">
        <v>64</v>
      </c>
      <c r="L646" t="n">
        <v>78</v>
      </c>
    </row>
    <row r="647">
      <c r="B647" t="n">
        <v>20</v>
      </c>
      <c r="C647" t="n">
        <v>5</v>
      </c>
      <c r="D647" t="n">
        <v>9</v>
      </c>
      <c r="E647" t="n">
        <v>13</v>
      </c>
      <c r="F647" t="n">
        <v>17</v>
      </c>
      <c r="G647" t="n">
        <v>23</v>
      </c>
      <c r="H647" t="n">
        <v>30</v>
      </c>
      <c r="I647" t="n">
        <v>39</v>
      </c>
      <c r="J647" t="n">
        <v>53</v>
      </c>
      <c r="K647" t="n">
        <v>68</v>
      </c>
      <c r="L647" t="n">
        <v>79</v>
      </c>
    </row>
    <row r="648">
      <c r="B648" t="n">
        <v>21</v>
      </c>
      <c r="C648" t="n">
        <v>5</v>
      </c>
      <c r="D648" t="n">
        <v>10</v>
      </c>
      <c r="E648" t="n">
        <v>14</v>
      </c>
      <c r="F648" t="n">
        <v>18</v>
      </c>
      <c r="G648" t="n">
        <v>25</v>
      </c>
      <c r="H648" t="n">
        <v>32</v>
      </c>
      <c r="I648" t="n">
        <v>42</v>
      </c>
      <c r="J648" t="n">
        <v>57</v>
      </c>
      <c r="K648" t="n">
        <v>71</v>
      </c>
      <c r="L648" t="n">
        <v>80</v>
      </c>
    </row>
    <row r="649">
      <c r="B649" t="n">
        <v>22</v>
      </c>
      <c r="C649" t="n">
        <v>6</v>
      </c>
      <c r="D649" t="n">
        <v>11</v>
      </c>
      <c r="E649" t="n">
        <v>15</v>
      </c>
      <c r="F649" t="n">
        <v>20</v>
      </c>
      <c r="G649" t="n">
        <v>27</v>
      </c>
      <c r="H649" t="n">
        <v>35</v>
      </c>
      <c r="I649" t="n">
        <v>45</v>
      </c>
      <c r="J649" t="n">
        <v>60</v>
      </c>
      <c r="K649" t="n">
        <v>73</v>
      </c>
    </row>
    <row r="650">
      <c r="B650" t="n">
        <v>23</v>
      </c>
      <c r="C650" t="n">
        <v>6</v>
      </c>
      <c r="D650" t="n">
        <v>12</v>
      </c>
      <c r="E650" t="n">
        <v>16</v>
      </c>
      <c r="F650" t="n">
        <v>21</v>
      </c>
      <c r="G650" t="n">
        <v>29</v>
      </c>
      <c r="H650" t="n">
        <v>37</v>
      </c>
      <c r="I650" t="n">
        <v>48</v>
      </c>
      <c r="J650" t="n">
        <v>63</v>
      </c>
      <c r="K650" t="n">
        <v>75</v>
      </c>
    </row>
    <row r="651">
      <c r="B651" t="n">
        <v>24</v>
      </c>
      <c r="C651" t="n">
        <v>7</v>
      </c>
      <c r="D651" t="n">
        <v>13</v>
      </c>
      <c r="E651" t="n">
        <v>17</v>
      </c>
      <c r="F651" t="n">
        <v>23</v>
      </c>
      <c r="G651" t="n">
        <v>31</v>
      </c>
      <c r="H651" t="n">
        <v>40</v>
      </c>
      <c r="I651" t="n">
        <v>52</v>
      </c>
      <c r="J651" t="n">
        <v>66</v>
      </c>
      <c r="K651" t="n">
        <v>77</v>
      </c>
    </row>
    <row r="652">
      <c r="B652" t="n">
        <v>25</v>
      </c>
      <c r="C652" t="n">
        <v>7</v>
      </c>
      <c r="D652" t="n">
        <v>14</v>
      </c>
      <c r="E652" t="n">
        <v>19</v>
      </c>
      <c r="F652" t="n">
        <v>25</v>
      </c>
      <c r="G652" t="n">
        <v>33</v>
      </c>
      <c r="H652" t="n">
        <v>43</v>
      </c>
      <c r="I652" t="n">
        <v>55</v>
      </c>
      <c r="J652" t="n">
        <v>69</v>
      </c>
      <c r="K652" t="n">
        <v>79</v>
      </c>
    </row>
    <row r="653">
      <c r="B653" t="n">
        <v>26</v>
      </c>
      <c r="C653" t="n">
        <v>8</v>
      </c>
      <c r="D653" t="n">
        <v>15</v>
      </c>
      <c r="E653" t="n">
        <v>20</v>
      </c>
      <c r="F653" t="n">
        <v>27</v>
      </c>
      <c r="G653" t="n">
        <v>35</v>
      </c>
      <c r="H653" t="n">
        <v>46</v>
      </c>
      <c r="I653" t="n">
        <v>58</v>
      </c>
      <c r="J653" t="n">
        <v>72</v>
      </c>
      <c r="K653" t="n">
        <v>80</v>
      </c>
    </row>
    <row r="654">
      <c r="B654" t="n">
        <v>27</v>
      </c>
      <c r="C654" t="n">
        <v>9</v>
      </c>
      <c r="D654" t="n">
        <v>16</v>
      </c>
      <c r="E654" t="n">
        <v>21</v>
      </c>
      <c r="F654" t="n">
        <v>28</v>
      </c>
      <c r="G654" t="n">
        <v>37</v>
      </c>
      <c r="H654" t="n">
        <v>49</v>
      </c>
      <c r="I654" t="n">
        <v>61</v>
      </c>
      <c r="J654" t="n">
        <v>75</v>
      </c>
    </row>
    <row r="655">
      <c r="B655" t="n">
        <v>28</v>
      </c>
      <c r="C655" t="n">
        <v>9</v>
      </c>
      <c r="D655" t="n">
        <v>17</v>
      </c>
      <c r="E655" t="n">
        <v>23</v>
      </c>
      <c r="F655" t="n">
        <v>30</v>
      </c>
      <c r="G655" t="n">
        <v>40</v>
      </c>
      <c r="H655" t="n">
        <v>52</v>
      </c>
      <c r="I655" t="n">
        <v>64</v>
      </c>
      <c r="J655" t="n">
        <v>77</v>
      </c>
    </row>
    <row r="656">
      <c r="B656" t="n">
        <v>29</v>
      </c>
      <c r="C656" t="n">
        <v>10</v>
      </c>
      <c r="D656" t="n">
        <v>18</v>
      </c>
      <c r="E656" t="n">
        <v>24</v>
      </c>
      <c r="F656" t="n">
        <v>32</v>
      </c>
      <c r="G656" t="n">
        <v>42</v>
      </c>
      <c r="H656" t="n">
        <v>54</v>
      </c>
      <c r="I656" t="n">
        <v>68</v>
      </c>
      <c r="J656" t="n">
        <v>78</v>
      </c>
    </row>
    <row r="657">
      <c r="B657" t="n">
        <v>30</v>
      </c>
      <c r="C657" t="n">
        <v>11</v>
      </c>
      <c r="D657" t="n">
        <v>20</v>
      </c>
      <c r="E657" t="n">
        <v>26</v>
      </c>
      <c r="F657" t="n">
        <v>34</v>
      </c>
      <c r="G657" t="n">
        <v>45</v>
      </c>
      <c r="H657" t="n">
        <v>57</v>
      </c>
      <c r="I657" t="n">
        <v>72</v>
      </c>
      <c r="J657" t="n">
        <v>79</v>
      </c>
    </row>
    <row r="658">
      <c r="B658" t="n">
        <v>32</v>
      </c>
      <c r="C658" t="n">
        <v>13</v>
      </c>
      <c r="D658" t="n">
        <v>22</v>
      </c>
      <c r="E658" t="n">
        <v>30</v>
      </c>
      <c r="F658" t="n">
        <v>38</v>
      </c>
      <c r="G658" t="n">
        <v>50</v>
      </c>
      <c r="H658" t="n">
        <v>62</v>
      </c>
      <c r="I658" t="n">
        <v>75</v>
      </c>
      <c r="J658" t="n">
        <v>80</v>
      </c>
    </row>
    <row r="659">
      <c r="B659" t="n">
        <v>34</v>
      </c>
      <c r="C659" t="n">
        <v>15</v>
      </c>
      <c r="D659" t="n">
        <v>25</v>
      </c>
      <c r="E659" t="n">
        <v>34</v>
      </c>
      <c r="F659" t="n">
        <v>43</v>
      </c>
      <c r="G659" t="n">
        <v>55</v>
      </c>
      <c r="H659" t="n">
        <v>68</v>
      </c>
      <c r="I659" t="n">
        <v>77</v>
      </c>
    </row>
    <row r="660">
      <c r="B660" t="n">
        <v>36</v>
      </c>
      <c r="C660" t="n">
        <v>17</v>
      </c>
      <c r="D660" t="n">
        <v>28</v>
      </c>
      <c r="E660" t="n">
        <v>38</v>
      </c>
      <c r="F660" t="n">
        <v>48</v>
      </c>
      <c r="G660" t="n">
        <v>61</v>
      </c>
      <c r="H660" t="n">
        <v>73</v>
      </c>
      <c r="I660" t="n">
        <v>79</v>
      </c>
    </row>
    <row r="661">
      <c r="B661" t="n">
        <v>38</v>
      </c>
      <c r="C661" t="n">
        <v>19</v>
      </c>
      <c r="D661" t="n">
        <v>32</v>
      </c>
      <c r="E661" t="n">
        <v>42</v>
      </c>
      <c r="F661" t="n">
        <v>53</v>
      </c>
      <c r="G661" t="n">
        <v>67</v>
      </c>
      <c r="H661" t="n">
        <v>77</v>
      </c>
      <c r="I661" t="n">
        <v>80</v>
      </c>
    </row>
    <row r="662">
      <c r="B662" t="n">
        <v>40</v>
      </c>
      <c r="C662" t="n">
        <v>21</v>
      </c>
      <c r="D662" t="n">
        <v>35</v>
      </c>
      <c r="E662" t="n">
        <v>46</v>
      </c>
      <c r="F662" t="n">
        <v>59</v>
      </c>
      <c r="G662" t="n">
        <v>72</v>
      </c>
      <c r="H662" t="n">
        <v>79</v>
      </c>
    </row>
    <row r="663">
      <c r="B663" t="n">
        <v>42</v>
      </c>
      <c r="C663" t="n">
        <v>25</v>
      </c>
      <c r="D663" t="n">
        <v>39</v>
      </c>
      <c r="E663" t="n">
        <v>51</v>
      </c>
      <c r="F663" t="n">
        <v>65</v>
      </c>
      <c r="G663" t="n">
        <v>75</v>
      </c>
      <c r="H663" t="n">
        <v>80</v>
      </c>
    </row>
    <row r="664">
      <c r="B664" t="n">
        <v>44</v>
      </c>
      <c r="C664" t="n">
        <v>28</v>
      </c>
      <c r="D664" t="n">
        <v>43</v>
      </c>
      <c r="E664" t="n">
        <v>56</v>
      </c>
      <c r="F664" t="n">
        <v>70</v>
      </c>
      <c r="G664" t="n">
        <v>77</v>
      </c>
    </row>
    <row r="665">
      <c r="B665" t="n">
        <v>46</v>
      </c>
      <c r="C665" t="n">
        <v>31</v>
      </c>
      <c r="D665" t="n">
        <v>48</v>
      </c>
      <c r="E665" t="n">
        <v>60</v>
      </c>
      <c r="F665" t="n">
        <v>74</v>
      </c>
      <c r="G665" t="n">
        <v>78</v>
      </c>
    </row>
    <row r="666">
      <c r="B666" t="n">
        <v>48</v>
      </c>
      <c r="C666" t="n">
        <v>34</v>
      </c>
      <c r="D666" t="n">
        <v>53</v>
      </c>
      <c r="E666" t="n">
        <v>64</v>
      </c>
      <c r="F666" t="n">
        <v>77</v>
      </c>
      <c r="G666" t="n">
        <v>79</v>
      </c>
    </row>
    <row r="667">
      <c r="B667" t="n">
        <v>50</v>
      </c>
      <c r="C667" t="n">
        <v>38</v>
      </c>
      <c r="D667" t="n">
        <v>58</v>
      </c>
      <c r="E667" t="n">
        <v>68</v>
      </c>
      <c r="F667" t="n">
        <v>79</v>
      </c>
      <c r="G667" t="n">
        <v>80</v>
      </c>
    </row>
    <row r="668">
      <c r="B668" t="n">
        <v>55</v>
      </c>
      <c r="C668" t="n">
        <v>48</v>
      </c>
      <c r="D668" t="n">
        <v>67</v>
      </c>
      <c r="E668" t="n">
        <v>75</v>
      </c>
      <c r="F668" t="n">
        <v>80</v>
      </c>
    </row>
    <row r="669">
      <c r="B669" t="n">
        <v>60</v>
      </c>
      <c r="C669" t="n">
        <v>57</v>
      </c>
      <c r="D669" t="n">
        <v>74</v>
      </c>
      <c r="E669" t="n">
        <v>78</v>
      </c>
    </row>
    <row r="670">
      <c r="B670" t="n">
        <v>65</v>
      </c>
      <c r="C670" t="n">
        <v>65</v>
      </c>
      <c r="D670" t="n">
        <v>78</v>
      </c>
      <c r="E670" t="n">
        <v>80</v>
      </c>
    </row>
    <row r="671">
      <c r="B671" t="n">
        <v>70</v>
      </c>
      <c r="C671" t="n">
        <v>71</v>
      </c>
      <c r="D671" t="n">
        <v>80</v>
      </c>
    </row>
    <row r="672">
      <c r="B672" t="n">
        <v>75</v>
      </c>
      <c r="C672" t="n">
        <v>75</v>
      </c>
    </row>
    <row r="673">
      <c r="B673" t="n">
        <v>80</v>
      </c>
      <c r="C673" t="n">
        <v>78</v>
      </c>
    </row>
    <row r="674"/>
    <row r="675">
      <c r="B675" s="1208" t="inlineStr">
        <is>
          <t>Notes</t>
        </is>
      </c>
      <c r="C675" s="1208" t="n"/>
      <c r="D675" s="1208" t="n"/>
      <c r="E675" s="1208" t="n"/>
      <c r="F675" s="1208" t="n"/>
      <c r="G675" s="1208" t="n"/>
      <c r="H675" s="1208" t="n"/>
    </row>
    <row r="676" ht="28" customHeight="1">
      <c r="B676" s="605" t="inlineStr">
        <is>
          <t>- Current Cost Multiplier / Local Area Multiplier / Sec.98 Denver Index are all from inserts dated January 2025 as bound into this copy of the MVS June 2024 edition -- Sec.99/98 are refreshed quarterly/monthly independent of the annual book edition.</t>
        </is>
      </c>
    </row>
    <row r="677" ht="28" customHeight="1">
      <c r="B677" s="605" t="inlineStr">
        <is>
          <t>- Colorado's biennial reassessment fixes the appraisal/level-of-value date; the De-Trend block above rolls the Jan-2025-vintage cost level back to that date using MVS's own Sec.98 methodology.</t>
        </is>
      </c>
    </row>
    <row r="678" ht="28" customHeight="1">
      <c r="B678" s="605" t="inlineStr">
        <is>
          <t>- No Adams County or Denver-metro-specific Local Multiplier line exists in MVS -- 'Denver' is used as the county's proxy per MVS's own suburb-uses-nearest-larger-city guidance (Sec.99 p.1).</t>
        </is>
      </c>
    </row>
    <row r="679" ht="28" customHeight="1">
      <c r="B679" s="605" t="inlineStr">
        <is>
          <t>- Region for the Current Cost Multiplier (Eastern/Central/Western) is presumed WESTERN for Colorado; MVS does not print a state-to-region key on Sec.99 p.3 itself -- verify against the manual's region map if precision is material to a contested appeal.</t>
        </is>
      </c>
    </row>
    <row r="680" ht="28" customHeight="1">
      <c r="B680" s="605" t="inlineStr">
        <is>
          <t>- Typical Life Expectancy figures (Reference 11) were extracted from a condensed table read and should be spot-checked against MVS Sec.97 pp.10-13 directly for any high-value/contested appeal before relying on the resulting depreciation % in a hearing.</t>
        </is>
      </c>
    </row>
    <row r="681" ht="28" customHeight="1">
      <c r="B681" s="605" t="inlineStr">
        <is>
          <t>- Next reassessment cycle (level of value 6/30/2025): update the Appraisal Date input, and either paste in a freshly-pulled MVS Sec.98 Denver quarterly table for the new bracket quarters, or a new MVS book edition's Section 14/13/15/11 base cost tables if a newer edition is purchased.</t>
        </is>
      </c>
    </row>
  </sheetData>
  <mergeCells count="7">
    <mergeCell ref="B677:H677"/>
    <mergeCell ref="B2:F2"/>
    <mergeCell ref="B679:H679"/>
    <mergeCell ref="B680:H680"/>
    <mergeCell ref="B676:H676"/>
    <mergeCell ref="B678:H678"/>
    <mergeCell ref="B681:H681"/>
  </mergeCells>
  <pageMargins left="0.75" right="0.75" top="1" bottom="1" header="0.5" footer="0.5"/>
</worksheet>
</file>

<file path=xl/worksheets/sheet10.xml><?xml version="1.0" encoding="utf-8"?>
<worksheet xmlns="http://schemas.openxmlformats.org/spreadsheetml/2006/main">
  <sheetPr>
    <tabColor rgb="000E7490"/>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1" customWidth="1" min="3" max="3"/>
    <col width="8" customWidth="1" min="4" max="4"/>
    <col width="4" customWidth="1" min="5" max="5"/>
    <col width="10" customWidth="1" min="6" max="6"/>
    <col width="12" customWidth="1" min="7" max="7"/>
    <col width="3" customWidth="1" min="8" max="8"/>
    <col width="52"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116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1212"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1213" t="inlineStr">
        <is>
          <t>STEP 1 -- BUILDING IDENTIFICATION</t>
        </is>
      </c>
      <c r="C3" s="1214" t="n"/>
      <c r="D3" s="1214" t="n"/>
      <c r="E3" s="1214" t="n"/>
      <c r="F3" s="1214" t="n"/>
      <c r="G3" s="1214" t="n"/>
      <c r="H3" s="612" t="n"/>
      <c r="I3" s="612" t="n"/>
      <c r="J3" s="612" t="n"/>
      <c r="K3" s="612" t="n"/>
      <c r="L3" s="612" t="n"/>
      <c r="M3" s="612" t="n"/>
      <c r="N3" s="612" t="n"/>
      <c r="O3" s="612" t="n"/>
      <c r="P3" s="612" t="n"/>
      <c r="Q3" s="615" t="n"/>
      <c r="R3" s="612" t="n"/>
      <c r="S3" s="612" t="n"/>
      <c r="T3" s="612" t="n"/>
      <c r="U3" s="612" t="n"/>
    </row>
    <row r="4">
      <c r="A4" s="612" t="n"/>
      <c r="B4" s="1164" t="inlineStr">
        <is>
          <t>Occupancy Type</t>
        </is>
      </c>
      <c r="C4" s="1097">
        <f>IF(Subj_OccCode="","Storage Warehouses",IFERROR(INDEX(OCC_NAME,MATCH(Subj_OccCode,'M&amp;S Inputs'!$C$293:$C$310,0)),"No MVS cost data for OCC "&amp;Subj_OccCode&amp;" -- select manually"))</f>
        <v/>
      </c>
      <c r="D4" s="619" t="n"/>
      <c r="E4" s="619" t="n"/>
      <c r="F4" s="619" t="n"/>
      <c r="G4" s="619" t="n"/>
      <c r="H4" s="612" t="n"/>
      <c r="I4" s="1165"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1166" t="inlineStr">
        <is>
          <t>Occupancy Code / Section / Page (auto)</t>
        </is>
      </c>
      <c r="C5" s="1098">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1167" t="inlineStr">
        <is>
          <t>Building Class</t>
        </is>
      </c>
      <c r="C6" s="1099" t="inlineStr">
        <is>
          <t>C</t>
        </is>
      </c>
      <c r="D6" s="615" t="n"/>
      <c r="E6" s="615" t="n"/>
      <c r="F6" s="615" t="n"/>
      <c r="G6" s="615" t="n"/>
      <c r="H6" s="612" t="n"/>
      <c r="I6" s="1165" t="inlineStr">
        <is>
          <t>A=Fireproofed steel. B=Reinf. concrete. C=Masonry/steel-or-wood frame. D=Wood/combustible (DPOLE=pole-frame). S=Pre-engineered metal. See Class Reference on M&amp;S Inputs.</t>
        </is>
      </c>
      <c r="J6" s="615" t="n"/>
      <c r="K6" s="615" t="n"/>
      <c r="L6" s="615" t="n"/>
      <c r="M6" s="615" t="n"/>
      <c r="N6" s="612" t="n"/>
      <c r="O6" s="612" t="n"/>
      <c r="P6" s="612" t="n"/>
      <c r="Q6" s="612" t="n"/>
      <c r="R6" s="612" t="n"/>
      <c r="S6" s="612" t="n"/>
      <c r="T6" s="612" t="n"/>
      <c r="U6" s="612" t="n"/>
    </row>
    <row r="7">
      <c r="A7" s="612" t="n"/>
      <c r="B7" s="1167" t="inlineStr">
        <is>
          <t>Quality</t>
        </is>
      </c>
      <c r="C7" s="1100">
        <f>Subj_Quality</f>
        <v/>
      </c>
      <c r="D7" s="615" t="n"/>
      <c r="E7" s="615" t="n"/>
      <c r="F7" s="615" t="n"/>
      <c r="G7" s="615" t="n"/>
      <c r="H7" s="612" t="n"/>
      <c r="I7" s="1165" t="inlineStr">
        <is>
          <t>Low Cost | Average | Good | Excellent (some occupancies also use Cheap). See Quality Reference on M&amp;S Inputs.</t>
        </is>
      </c>
      <c r="J7" s="615" t="n"/>
      <c r="K7" s="612" t="n"/>
      <c r="L7" s="612" t="n"/>
      <c r="M7" s="612" t="n"/>
      <c r="N7" s="612" t="n"/>
      <c r="O7" s="612" t="n"/>
      <c r="P7" s="612" t="n"/>
      <c r="Q7" s="612" t="n"/>
      <c r="R7" s="612" t="n"/>
      <c r="S7" s="612" t="n"/>
      <c r="T7" s="612" t="n"/>
      <c r="U7" s="612" t="n"/>
    </row>
    <row r="8">
      <c r="A8" s="612" t="n"/>
      <c r="B8" s="1167" t="inlineStr">
        <is>
          <t>City / Local Area (for Local Multiplier)</t>
        </is>
      </c>
      <c r="C8" s="1100" t="inlineStr">
        <is>
          <t>Denver</t>
        </is>
      </c>
      <c r="D8" s="615" t="n"/>
      <c r="E8" s="615" t="n"/>
      <c r="F8" s="615" t="n"/>
      <c r="G8" s="615" t="n"/>
      <c r="H8" s="612" t="n"/>
      <c r="I8" s="1165"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623" t="n"/>
      <c r="C9" s="612" t="n"/>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1215" t="inlineStr">
        <is>
          <t>STEP 2 -- SIZE, SHAPE &amp; SPRINKLER</t>
        </is>
      </c>
      <c r="C10" s="1214" t="n"/>
      <c r="D10" s="1216" t="n"/>
      <c r="E10" s="1216" t="n"/>
      <c r="F10" s="1216" t="n"/>
      <c r="G10" s="1216" t="n"/>
      <c r="H10" s="612" t="n"/>
      <c r="I10" s="612" t="n"/>
      <c r="J10" s="612" t="n"/>
      <c r="K10" s="612" t="n"/>
      <c r="L10" s="612" t="n"/>
      <c r="M10" s="612" t="n"/>
      <c r="N10" s="612" t="n"/>
      <c r="O10" s="612" t="n"/>
      <c r="P10" s="612" t="n"/>
      <c r="Q10" s="612" t="n"/>
      <c r="R10" s="612" t="n"/>
      <c r="S10" s="612" t="n"/>
      <c r="T10" s="612" t="n"/>
      <c r="U10" s="612" t="n"/>
    </row>
    <row r="11">
      <c r="A11" s="612" t="n"/>
      <c r="B11" s="1167" t="inlineStr">
        <is>
          <t>Avg Eave / Wall Height (ft)</t>
        </is>
      </c>
      <c r="C11" s="1101"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1167" t="inlineStr">
        <is>
          <t>Area/Perimeter Multiplier Factor 1</t>
        </is>
      </c>
      <c r="C12" s="1102" t="n">
        <v>1</v>
      </c>
      <c r="D12" s="615" t="n"/>
      <c r="E12" s="615" t="n"/>
      <c r="F12" s="615" t="n"/>
      <c r="G12" s="615" t="n"/>
      <c r="H12" s="612" t="n"/>
      <c r="I12" s="1165"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1167" t="inlineStr">
        <is>
          <t>Area/Perimeter Multiplier Factor 2</t>
        </is>
      </c>
      <c r="C13" s="1103"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1166" t="inlineStr">
        <is>
          <t>Sprinkler Quality Tier</t>
        </is>
      </c>
      <c r="C14" s="1104" t="inlineStr">
        <is>
          <t>Average</t>
        </is>
      </c>
      <c r="D14" s="615" t="n"/>
      <c r="E14" s="615" t="n"/>
      <c r="F14" s="615" t="n"/>
      <c r="G14" s="615" t="n"/>
      <c r="H14" s="612" t="n"/>
      <c r="I14" s="1165" t="inlineStr">
        <is>
          <t>Independent of building quality -- set to match the actual sprinkler system grade. Section 11 (hotels) has no verified sprinkler table; price manually if needed.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1215" t="inlineStr">
        <is>
          <t>STEP 3 -- APPRAISAL DATE &amp; DE-TREND</t>
        </is>
      </c>
      <c r="C16" s="1216" t="n"/>
      <c r="D16" s="1216" t="n"/>
      <c r="E16" s="1216" t="n"/>
      <c r="F16" s="1216" t="n"/>
      <c r="G16" s="1216" t="n"/>
      <c r="H16" s="612" t="n"/>
      <c r="I16" s="612" t="n"/>
      <c r="J16" s="612" t="n"/>
      <c r="K16" s="612" t="n"/>
      <c r="L16" s="612" t="n"/>
      <c r="M16" s="612" t="n"/>
      <c r="N16" s="612" t="n"/>
      <c r="O16" s="612" t="n"/>
      <c r="P16" s="612" t="n"/>
      <c r="Q16" s="612" t="n"/>
      <c r="R16" s="612" t="n"/>
      <c r="S16" s="612" t="n"/>
      <c r="T16" s="612" t="n"/>
      <c r="U16" s="612" t="n"/>
    </row>
    <row r="17">
      <c r="A17" s="612" t="n"/>
      <c r="B17" s="1167" t="inlineStr">
        <is>
          <t>Appraisal / Level-of-Value Date</t>
        </is>
      </c>
      <c r="C17" s="1105">
        <f>DATE(2024,6,30)</f>
        <v/>
      </c>
      <c r="D17" s="615" t="n"/>
      <c r="E17" s="615" t="n"/>
      <c r="F17" s="615" t="n"/>
      <c r="G17" s="615" t="n"/>
      <c r="H17" s="612" t="n"/>
      <c r="I17" s="1165"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1167" t="inlineStr">
        <is>
          <t>Bracket Quarter - Earlier</t>
        </is>
      </c>
      <c r="C18" s="1104" t="inlineStr">
        <is>
          <t>Apr 2024</t>
        </is>
      </c>
      <c r="D18" s="615" t="n"/>
      <c r="E18" s="615" t="n"/>
      <c r="F18" s="615" t="n"/>
      <c r="G18" s="615" t="n"/>
      <c r="H18" s="612" t="n"/>
      <c r="I18" s="1165"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1167" t="inlineStr">
        <is>
          <t>Bracket Quarter - Later</t>
        </is>
      </c>
      <c r="C19" s="1104"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1169" t="inlineStr">
        <is>
          <t>COST APPROACH SUMMARY</t>
        </is>
      </c>
      <c r="C21" s="1107" t="n"/>
      <c r="D21" s="1107" t="n"/>
      <c r="E21" s="1107" t="n"/>
      <c r="F21" s="1107" t="n"/>
      <c r="G21" s="1107" t="n"/>
      <c r="H21" s="612" t="n"/>
      <c r="I21" s="612" t="n"/>
      <c r="J21" s="612" t="n"/>
      <c r="K21" s="612" t="n"/>
      <c r="L21" s="612" t="n"/>
      <c r="M21" s="612" t="n"/>
      <c r="N21" s="612" t="n"/>
      <c r="O21" s="612" t="n"/>
      <c r="P21" s="612" t="n"/>
      <c r="Q21" s="612" t="n"/>
      <c r="R21" s="612" t="n"/>
      <c r="S21" s="612" t="n"/>
      <c r="T21" s="612" t="n"/>
      <c r="U21" s="612" t="n"/>
    </row>
    <row r="22">
      <c r="A22" s="612" t="n"/>
      <c r="B22" s="1170" t="inlineStr">
        <is>
          <t>Replacement Cost New (RCN)</t>
        </is>
      </c>
      <c r="C22" s="1109" t="inlineStr">
        <is>
          <t>Area (SF)</t>
        </is>
      </c>
      <c r="D22" s="1110" t="inlineStr">
        <is>
          <t>$/SF</t>
        </is>
      </c>
      <c r="E22" s="615" t="n"/>
      <c r="F22" s="1110" t="inlineStr">
        <is>
          <t>Subtotal</t>
        </is>
      </c>
      <c r="G22" s="1110" t="inlineStr">
        <is>
          <t>Total Cost</t>
        </is>
      </c>
      <c r="H22" s="612" t="n"/>
      <c r="I22" s="612" t="n"/>
      <c r="J22" s="612" t="n"/>
      <c r="K22" s="612" t="n"/>
      <c r="L22" s="612" t="n"/>
      <c r="M22" s="612" t="n"/>
      <c r="N22" s="612" t="n"/>
      <c r="O22" s="612" t="n"/>
      <c r="P22" s="612" t="n"/>
      <c r="Q22" s="612" t="n"/>
      <c r="R22" s="612" t="n"/>
      <c r="S22" s="612" t="n"/>
      <c r="T22" s="612" t="n"/>
      <c r="U22" s="612" t="n"/>
    </row>
    <row r="23">
      <c r="A23" s="612" t="n"/>
      <c r="B23" s="1171"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1167" t="inlineStr">
        <is>
          <t>Base Cost</t>
        </is>
      </c>
      <c r="C24" s="1111">
        <f>WO!D13</f>
        <v/>
      </c>
      <c r="D24" s="906">
        <f>IFERROR(INDEX(BC_VALUE,MATCH($C$4&amp;"|"&amp;$C$6&amp;"|"&amp;$C$7,BC_KEY,0)),"NOT FOUND")</f>
        <v/>
      </c>
      <c r="E24" s="615" t="n"/>
      <c r="F24" s="907">
        <f>C24*D24</f>
        <v/>
      </c>
      <c r="G24" s="615" t="n"/>
      <c r="H24" s="612" t="n"/>
      <c r="I24" s="1165">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1167" t="inlineStr">
        <is>
          <t>Sprinklers</t>
        </is>
      </c>
      <c r="C25" s="1111">
        <f>C24</f>
        <v/>
      </c>
      <c r="D25" s="906">
        <f>IFERROR(IF(INDEX(OCC_STORY,MATCH($C$4,OCC_NAME,0))="14",INDEX(SPR14_VALS,MATCH($C$24,SPR14_SF,1),MATCH($C$14,SPR_HDR,0)),IF(INDEX(OCC_STORY,MATCH($C$4,OCC_NAME,0))="13",INDEX(SPR13_VALS,MATCH($C$24,SPR13_SF,1),MATCH($C$14,SPR_HDR,0)),IF(INDEX(OCC_STORY,MATCH($C$4,OCC_NAME,0))="15",INDEX(SPR15_VALS,MATCH($C$24,SPR15_SF,1),MATCH($C$14,SPR_HDR,0)),0))),0)</f>
        <v/>
      </c>
      <c r="E25" s="615" t="n"/>
      <c r="F25" s="907">
        <f>C25*D25</f>
        <v/>
      </c>
      <c r="G25" s="615" t="n"/>
      <c r="H25" s="612" t="n"/>
      <c r="I25" s="1165"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907"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907"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907"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907"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907" t="n"/>
      <c r="G30" s="615" t="n"/>
      <c r="H30" s="612" t="n"/>
      <c r="I30" s="612" t="n"/>
      <c r="J30" s="612" t="n"/>
      <c r="K30" s="612" t="n"/>
      <c r="L30" s="612" t="n"/>
      <c r="M30" s="612" t="n"/>
      <c r="N30" s="612" t="n"/>
      <c r="O30" s="612" t="n"/>
      <c r="P30" s="612" t="n"/>
      <c r="Q30" s="612" t="n"/>
      <c r="R30" s="612" t="n"/>
      <c r="S30" s="612" t="n"/>
      <c r="T30" s="612" t="n"/>
      <c r="U30" s="612" t="n"/>
    </row>
    <row r="31">
      <c r="A31" s="612" t="n"/>
      <c r="B31" s="1172" t="inlineStr">
        <is>
          <t>Subtotal</t>
        </is>
      </c>
      <c r="C31" s="615" t="n"/>
      <c r="D31" s="615" t="n"/>
      <c r="E31" s="615" t="n"/>
      <c r="F31" s="908">
        <f>SUM(F24:F30)</f>
        <v/>
      </c>
      <c r="G31" s="615" t="n"/>
      <c r="H31" s="612" t="n"/>
      <c r="I31" s="612" t="n"/>
      <c r="J31" s="612" t="n"/>
      <c r="K31" s="612" t="n"/>
      <c r="L31" s="612" t="n"/>
      <c r="M31" s="612" t="n"/>
      <c r="N31" s="612" t="n"/>
      <c r="O31" s="612" t="n"/>
      <c r="P31" s="612" t="n"/>
      <c r="Q31" s="612" t="n"/>
      <c r="R31" s="612" t="n"/>
      <c r="S31" s="612" t="n"/>
      <c r="T31" s="612" t="n"/>
      <c r="U31" s="612" t="n"/>
    </row>
    <row r="32">
      <c r="A32" s="612" t="n"/>
      <c r="B32" s="1217" t="inlineStr">
        <is>
          <t>Multipliers</t>
        </is>
      </c>
      <c r="C32" s="1218" t="n"/>
      <c r="D32" s="1219" t="n"/>
      <c r="E32" s="1219" t="n"/>
      <c r="F32" s="1220" t="n"/>
      <c r="G32" s="1218" t="n"/>
      <c r="H32" s="612" t="n"/>
      <c r="I32" s="612" t="n"/>
      <c r="J32" s="612" t="n"/>
      <c r="K32" s="612" t="n"/>
      <c r="L32" s="612" t="n"/>
      <c r="M32" s="612" t="n"/>
      <c r="N32" s="612" t="n"/>
      <c r="O32" s="612" t="n"/>
      <c r="P32" s="612" t="n"/>
      <c r="Q32" s="612" t="n"/>
      <c r="R32" s="612" t="n"/>
      <c r="S32" s="612" t="n"/>
      <c r="T32" s="612" t="n"/>
      <c r="U32" s="612" t="n"/>
    </row>
    <row r="33">
      <c r="A33" s="612" t="n"/>
      <c r="B33" s="1166" t="inlineStr">
        <is>
          <t>Current Cost (de-trended to Appraisal Date)</t>
        </is>
      </c>
      <c r="C33" s="615" t="n"/>
      <c r="D33" s="909">
        <f>IFERROR(INDEX(CCM_VALUES,MATCH(IF($C$6="CMILL","C",IF($C$6="DPOLE","D",IF($C$6="A-B","B",$C$6))),CCM_CLASS,0),MATCH("Sec."&amp;INDEX(OCC_SECTION,MATCH($C$4,OCC_NAME,0)),CCM_SECTIONHDR,0)),"")/IFERROR(INDEX(DEN_VALUES,MATCH($C$18,DEN_LABEL,0),MATCH("Class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1165"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1167" t="inlineStr">
        <is>
          <t>Local Area</t>
        </is>
      </c>
      <c r="C34" s="615" t="n"/>
      <c r="D34" s="909">
        <f>IFERROR(INDEX(LAM_VALUES,MATCH($C$8,LAM_CITY,0),MATCH("Class "&amp;IF($C$6="CMILL","C",IF($C$6="DPOLE","D",IF($C$6="A-B","B",$C$6))),LAM_CLASSHDR,0)),"")</f>
        <v/>
      </c>
      <c r="E34" s="615" t="n"/>
      <c r="F34" s="615" t="n"/>
      <c r="G34" s="615" t="n"/>
      <c r="H34" s="612" t="n"/>
      <c r="I34" s="1165" t="inlineStr">
        <is>
          <t>MVS Sec.99 p.7 Local Area Multiplier.</t>
        </is>
      </c>
      <c r="J34" s="612" t="n"/>
      <c r="K34" s="612" t="n"/>
      <c r="L34" s="612" t="n"/>
      <c r="M34" s="612" t="n"/>
      <c r="N34" s="612" t="n"/>
      <c r="O34" s="612" t="n"/>
      <c r="P34" s="612" t="n"/>
      <c r="Q34" s="612" t="n"/>
      <c r="R34" s="612" t="n"/>
      <c r="S34" s="612" t="n"/>
      <c r="T34" s="612" t="n"/>
      <c r="U34" s="612" t="n"/>
    </row>
    <row r="35">
      <c r="A35" s="612" t="n"/>
      <c r="B35" s="1164" t="inlineStr">
        <is>
          <t>Area/Perimeter Multiplier</t>
        </is>
      </c>
      <c r="C35" s="615" t="n"/>
      <c r="D35" s="909">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1164" t="inlineStr">
        <is>
          <t>Story Height (Height entered in Step 2)</t>
        </is>
      </c>
      <c r="C36" s="615" t="n"/>
      <c r="D36" s="909">
        <f>IFERROR(IF(INDEX(OCC_STORY,MATCH($C$4,OCC_NAME,0))="14",INDEX(SH14_M,MATCH($C$11,SH14_H,1)),IF(INDEX(OCC_STORY,MATCH($C$4,OCC_NAME,0))="13",INDEX(SH13_M,MATCH($C$11,SH13_H,1)),IF(INDEX(OCC_STORY,MATCH($C$4,OCC_NAME,0))="15",INDEX(SH15_M,MATCH($C$11,SH15_H,1)),IF(INDEX(OCC_STORY,MATCH($C$4,OCC_NAME,0))="11",INDEX(SH11_M,MATCH($C$11,SH11_H,1)),1)))),1)</f>
        <v/>
      </c>
      <c r="E36" s="615" t="n"/>
      <c r="F36" s="615" t="n"/>
      <c r="G36" s="615" t="n"/>
      <c r="H36" s="612" t="n"/>
      <c r="I36" s="612" t="n"/>
      <c r="J36" s="612" t="n"/>
      <c r="K36" s="612" t="n"/>
      <c r="L36" s="612" t="n"/>
      <c r="M36" s="612" t="n"/>
      <c r="N36" s="612" t="n"/>
      <c r="O36" s="612" t="n"/>
      <c r="P36" s="612" t="n"/>
      <c r="Q36" s="612" t="n"/>
      <c r="R36" s="612" t="n"/>
      <c r="S36" s="612" t="n"/>
      <c r="T36" s="612" t="n"/>
      <c r="U36" s="612" t="n"/>
    </row>
    <row r="37">
      <c r="A37" s="612" t="n"/>
      <c r="B37" s="1172" t="inlineStr">
        <is>
          <t>Product of Multipliers</t>
        </is>
      </c>
      <c r="C37" s="615" t="n"/>
      <c r="D37" s="615" t="n"/>
      <c r="E37" s="615" t="n"/>
      <c r="F37" s="910">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1171" t="inlineStr">
        <is>
          <t>Adjusted Base Building Cost</t>
        </is>
      </c>
      <c r="C38" s="615" t="n"/>
      <c r="D38" s="615" t="n"/>
      <c r="E38" s="615" t="n"/>
      <c r="F38" s="615" t="n"/>
      <c r="G38" s="908">
        <f>F37*F31</f>
        <v/>
      </c>
      <c r="H38" s="612" t="n"/>
      <c r="I38" s="612" t="n"/>
      <c r="J38" s="612" t="n"/>
      <c r="K38" s="612" t="n"/>
      <c r="L38" s="612" t="n"/>
      <c r="M38" s="612" t="n"/>
      <c r="N38" s="612" t="n"/>
      <c r="O38" s="612" t="n"/>
      <c r="P38" s="612" t="n"/>
      <c r="Q38" s="615" t="n"/>
      <c r="R38" s="615" t="n"/>
      <c r="S38" s="612" t="n"/>
      <c r="T38" s="612" t="n"/>
      <c r="U38" s="612" t="n"/>
    </row>
    <row r="39">
      <c r="A39" s="612" t="n"/>
      <c r="B39" s="1217" t="inlineStr">
        <is>
          <t>Site Improvements (enter your own measured quantities in the Area column)</t>
        </is>
      </c>
      <c r="C39" s="1218" t="n"/>
      <c r="D39" s="1218" t="n"/>
      <c r="E39" s="1218" t="n"/>
      <c r="F39" s="1218" t="n"/>
      <c r="G39" s="1218" t="n"/>
      <c r="H39" s="612" t="n"/>
      <c r="I39" s="612" t="n"/>
      <c r="J39" s="612" t="n"/>
      <c r="K39" s="612" t="n"/>
      <c r="L39" s="612" t="n"/>
      <c r="M39" s="612" t="n"/>
      <c r="N39" s="612" t="n"/>
      <c r="O39" s="612" t="n"/>
      <c r="P39" s="612" t="n"/>
      <c r="Q39" s="612" t="n"/>
      <c r="R39" s="612" t="n"/>
      <c r="S39" s="612" t="n"/>
      <c r="T39" s="612" t="n"/>
      <c r="U39" s="615" t="n"/>
    </row>
    <row r="40">
      <c r="A40" s="612" t="n"/>
      <c r="B40" s="1174" t="inlineStr">
        <is>
          <t>Parking/Loading Areas (asphalt)</t>
        </is>
      </c>
      <c r="C40" s="1112" t="n"/>
      <c r="D40" s="1113" t="n">
        <v>3.1</v>
      </c>
      <c r="E40" s="615" t="n"/>
      <c r="F40" s="907">
        <f>D40*C40</f>
        <v/>
      </c>
      <c r="G40" s="615" t="n"/>
      <c r="H40" s="612" t="n"/>
      <c r="I40" s="1165"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1174" t="inlineStr">
        <is>
          <t>Striping (Per Space)</t>
        </is>
      </c>
      <c r="C41" s="1112" t="n"/>
      <c r="D41" s="1113" t="n">
        <v>20</v>
      </c>
      <c r="E41" s="615" t="n"/>
      <c r="F41" s="907">
        <f>D41*C41</f>
        <v/>
      </c>
      <c r="G41" s="615" t="n"/>
      <c r="H41" s="612" t="n"/>
      <c r="I41" s="1165"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1174" t="inlineStr">
        <is>
          <t>Paving (concrete)</t>
        </is>
      </c>
      <c r="C42" s="1112" t="n"/>
      <c r="D42" s="1113" t="n">
        <v>5.51</v>
      </c>
      <c r="E42" s="615" t="n"/>
      <c r="F42" s="907">
        <f>D42*C42</f>
        <v/>
      </c>
      <c r="G42" s="615" t="n"/>
      <c r="H42" s="612" t="n"/>
      <c r="I42" s="1165"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1166" t="inlineStr">
        <is>
          <t>Other1</t>
        </is>
      </c>
      <c r="C43" s="1112" t="n"/>
      <c r="D43" s="1113" t="n"/>
      <c r="E43" s="615" t="n"/>
      <c r="F43" s="907">
        <f>D43*C43</f>
        <v/>
      </c>
      <c r="G43" s="615" t="n"/>
      <c r="H43" s="612" t="n"/>
      <c r="I43" s="612" t="n"/>
      <c r="J43" s="612" t="n"/>
      <c r="K43" s="612" t="n"/>
      <c r="L43" s="612" t="n"/>
      <c r="M43" s="612" t="n"/>
      <c r="N43" s="612" t="n"/>
      <c r="O43" s="612" t="n"/>
      <c r="P43" s="612" t="n"/>
      <c r="Q43" s="612" t="n"/>
      <c r="R43" s="612" t="n"/>
      <c r="S43" s="612" t="n"/>
      <c r="T43" s="612" t="n"/>
      <c r="U43" s="615" t="n"/>
    </row>
    <row r="44">
      <c r="A44" s="612" t="n"/>
      <c r="B44" s="1166" t="inlineStr">
        <is>
          <t>Other2</t>
        </is>
      </c>
      <c r="C44" s="1112" t="n"/>
      <c r="D44" s="1113" t="n"/>
      <c r="E44" s="615" t="n"/>
      <c r="F44" s="907">
        <f>D44*C44</f>
        <v/>
      </c>
      <c r="G44" s="615" t="n"/>
      <c r="H44" s="612" t="n"/>
      <c r="I44" s="612" t="n"/>
      <c r="J44" s="612" t="n"/>
      <c r="K44" s="612" t="n"/>
      <c r="L44" s="612" t="n"/>
      <c r="M44" s="612" t="n"/>
      <c r="N44" s="612" t="n"/>
      <c r="O44" s="612" t="n"/>
      <c r="P44" s="612" t="n"/>
      <c r="Q44" s="612" t="n"/>
      <c r="R44" s="612" t="n"/>
      <c r="S44" s="612" t="n"/>
      <c r="T44" s="612" t="n"/>
      <c r="U44" s="612" t="n"/>
    </row>
    <row r="45">
      <c r="A45" s="612" t="n"/>
      <c r="B45" s="1166" t="inlineStr">
        <is>
          <t>Landscaping, Lighting, Other Site Improvements</t>
        </is>
      </c>
      <c r="C45" s="1112" t="n"/>
      <c r="D45" s="1113" t="n">
        <v>5.5</v>
      </c>
      <c r="E45" s="615" t="n"/>
      <c r="F45" s="907">
        <f>D45*C45</f>
        <v/>
      </c>
      <c r="G45" s="615" t="n"/>
      <c r="H45" s="612" t="n"/>
      <c r="I45" s="1165"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1175" t="inlineStr">
        <is>
          <t>Total Site Improvements</t>
        </is>
      </c>
      <c r="C46" s="615" t="n"/>
      <c r="D46" s="615" t="n"/>
      <c r="E46" s="615" t="n"/>
      <c r="F46" s="615" t="n"/>
      <c r="G46" s="908">
        <f>SUM(F40:F45)</f>
        <v/>
      </c>
      <c r="H46" s="612" t="n"/>
      <c r="I46" s="612" t="n"/>
      <c r="J46" s="612" t="n"/>
      <c r="K46" s="612" t="n"/>
      <c r="L46" s="612" t="n"/>
      <c r="M46" s="612" t="n"/>
      <c r="N46" s="612" t="n"/>
      <c r="O46" s="612" t="n"/>
      <c r="P46" s="612" t="n"/>
      <c r="Q46" s="612" t="n"/>
      <c r="R46" s="612" t="n"/>
      <c r="S46" s="612" t="n"/>
      <c r="T46" s="612" t="n"/>
      <c r="U46" s="612" t="n"/>
    </row>
    <row r="47">
      <c r="A47" s="612" t="n"/>
      <c r="B47" s="1171" t="inlineStr">
        <is>
          <t>Total Construction Costs</t>
        </is>
      </c>
      <c r="C47" s="615" t="n"/>
      <c r="D47" s="615" t="n"/>
      <c r="E47" s="615" t="n"/>
      <c r="F47" s="615" t="n"/>
      <c r="G47" s="908">
        <f>SUM(G38:G46)</f>
        <v/>
      </c>
      <c r="H47" s="612" t="n"/>
      <c r="I47" s="612" t="n"/>
      <c r="J47" s="612" t="n"/>
      <c r="K47" s="612" t="n"/>
      <c r="L47" s="612" t="n"/>
      <c r="M47" s="612" t="n"/>
      <c r="N47" s="612" t="n"/>
      <c r="O47" s="612" t="n"/>
      <c r="P47" s="612" t="n"/>
      <c r="Q47" s="612" t="n"/>
      <c r="R47" s="612" t="n"/>
      <c r="S47" s="612" t="n"/>
      <c r="T47" s="612" t="n"/>
      <c r="U47" s="612" t="n"/>
    </row>
    <row r="48">
      <c r="A48" s="612" t="n"/>
      <c r="B48" s="1166" t="inlineStr">
        <is>
          <t>Plus Other Indirect Costs (% of Direct Costs)</t>
        </is>
      </c>
      <c r="C48" s="1114" t="n">
        <v>0.1</v>
      </c>
      <c r="D48" s="615" t="n"/>
      <c r="E48" s="615" t="n"/>
      <c r="F48" s="615" t="n"/>
      <c r="G48" s="907">
        <f>G47*(C48)</f>
        <v/>
      </c>
      <c r="H48" s="612" t="n"/>
      <c r="I48" s="1165"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1175" t="inlineStr">
        <is>
          <t>Subtotal Replacement Cost New (RCN)</t>
        </is>
      </c>
      <c r="C49" s="615" t="n"/>
      <c r="D49" s="615" t="n"/>
      <c r="E49" s="615" t="n"/>
      <c r="F49" s="615" t="n"/>
      <c r="G49" s="908">
        <f>SUM(G47:G48)</f>
        <v/>
      </c>
      <c r="H49" s="612" t="n"/>
      <c r="I49" s="612" t="n"/>
      <c r="J49" s="612" t="n"/>
      <c r="K49" s="612" t="n"/>
      <c r="L49" s="612" t="n"/>
      <c r="M49" s="612" t="n"/>
      <c r="N49" s="612" t="n"/>
      <c r="O49" s="612" t="n"/>
      <c r="P49" s="612" t="n"/>
      <c r="Q49" s="612" t="n"/>
      <c r="R49" s="612" t="n"/>
      <c r="S49" s="612" t="n"/>
      <c r="T49" s="612" t="n"/>
      <c r="U49" s="612" t="n"/>
    </row>
    <row r="50">
      <c r="A50" s="612" t="n"/>
      <c r="B50" s="1164" t="inlineStr">
        <is>
          <t>Plus Entrepreneurial Profit (% of RCN)</t>
        </is>
      </c>
      <c r="C50" s="1114" t="n">
        <v>0.15</v>
      </c>
      <c r="D50" s="615" t="n"/>
      <c r="E50" s="615" t="n"/>
      <c r="F50" s="615" t="n"/>
      <c r="G50" s="907">
        <f>G49*C50</f>
        <v/>
      </c>
      <c r="H50" s="612" t="n"/>
      <c r="I50" s="1165"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1176" t="inlineStr">
        <is>
          <t>Total Replacement Cost New (RCN)</t>
        </is>
      </c>
      <c r="C51" s="615" t="n"/>
      <c r="D51" s="615" t="n"/>
      <c r="E51" s="615" t="n"/>
      <c r="F51" s="615" t="n"/>
      <c r="G51" s="914">
        <f>SUM(G49:G50)</f>
        <v/>
      </c>
      <c r="H51" s="612" t="n"/>
      <c r="I51" s="612" t="n"/>
      <c r="J51" s="612" t="n"/>
      <c r="K51" s="612" t="n"/>
      <c r="L51" s="612" t="n"/>
      <c r="M51" s="612" t="n"/>
      <c r="N51" s="612" t="n"/>
      <c r="O51" s="612" t="n"/>
      <c r="P51" s="612" t="n"/>
      <c r="Q51" s="612" t="n"/>
      <c r="R51" s="612" t="n"/>
      <c r="S51" s="612" t="n"/>
      <c r="T51" s="612" t="n"/>
      <c r="U51" s="612" t="n"/>
    </row>
    <row r="52">
      <c r="A52" s="612" t="n"/>
      <c r="B52" s="1177" t="inlineStr">
        <is>
          <t>per square foot of gross building area</t>
        </is>
      </c>
      <c r="C52" s="648" t="n"/>
      <c r="D52" s="615" t="n"/>
      <c r="E52" s="615" t="n"/>
      <c r="F52" s="615" t="n"/>
      <c r="G52" s="915">
        <f>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1221" t="inlineStr">
        <is>
          <t>Less Accrued Depreciation</t>
        </is>
      </c>
      <c r="C54" s="1218" t="n"/>
      <c r="D54" s="1218" t="n"/>
      <c r="E54" s="1218" t="n"/>
      <c r="F54" s="1218" t="n"/>
      <c r="G54" s="1218" t="n"/>
      <c r="H54" s="612" t="n"/>
      <c r="I54" s="612" t="n"/>
      <c r="J54" s="612" t="n"/>
      <c r="K54" s="612" t="n"/>
      <c r="L54" s="612" t="n"/>
      <c r="M54" s="612" t="n"/>
      <c r="N54" s="612" t="n"/>
      <c r="O54" s="612" t="n"/>
      <c r="P54" s="612" t="n"/>
      <c r="Q54" s="612" t="n"/>
      <c r="R54" s="612" t="n"/>
      <c r="S54" s="612" t="n"/>
      <c r="T54" s="612" t="n"/>
      <c r="U54" s="612" t="n"/>
    </row>
    <row r="55">
      <c r="A55" s="612" t="n"/>
      <c r="B55" s="1175"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1164" t="inlineStr">
        <is>
          <t>Curable (Deferred Maintenance)</t>
        </is>
      </c>
      <c r="C56" s="650" t="n"/>
      <c r="D56" s="613" t="n"/>
      <c r="E56" s="619" t="n"/>
      <c r="F56" s="1115" t="n">
        <v>0</v>
      </c>
      <c r="G56" s="615" t="n"/>
      <c r="H56" s="612" t="n"/>
      <c r="I56" s="1165"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1175"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1164" t="inlineStr">
        <is>
          <t>Effective Age (Years)</t>
        </is>
      </c>
      <c r="C58" s="1101">
        <f>IFERROR('Subject Property'!$E$11,0)</f>
        <v/>
      </c>
      <c r="D58" s="612" t="n"/>
      <c r="E58" s="612" t="n"/>
      <c r="F58" s="612" t="n"/>
      <c r="G58" s="612" t="n"/>
      <c r="H58" s="612" t="n"/>
      <c r="I58" s="1165"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1164" t="inlineStr">
        <is>
          <t>Typical Life Expectancy (MVS Sec.97, auto)</t>
        </is>
      </c>
      <c r="C59" s="1111">
        <f>IFERROR(INDEX(LIFE_VALUES,MATCH($C$4&amp;"|"&amp;$C$7,LIFE_KEY,0),MATCH("Class "&amp;IF($C$6="CMILL","C",IF($C$6="DPOLE","D",IF($C$6="A-B","B",$C$6))),LIFE_CLASSHDR,0)),"n/a for this Class/Quality -- see Life Expectancy table on M&amp;S Inputs")</f>
        <v/>
      </c>
      <c r="D59" s="612" t="n"/>
      <c r="E59" s="612" t="n"/>
      <c r="F59" s="612" t="n"/>
      <c r="G59" s="612" t="n"/>
      <c r="H59" s="612" t="n"/>
      <c r="I59" s="1165" t="inlineStr">
        <is>
          <t>MVS Sec.97 pp.10-13, by occupancy/quality/class.</t>
        </is>
      </c>
      <c r="J59" s="612" t="n"/>
      <c r="K59" s="637" t="n"/>
      <c r="L59" s="612" t="n"/>
      <c r="M59" s="612" t="n"/>
      <c r="N59" s="612" t="n"/>
      <c r="O59" s="612" t="n"/>
      <c r="P59" s="637" t="n"/>
      <c r="Q59" s="612" t="n"/>
      <c r="R59" s="612" t="n"/>
      <c r="S59" s="612" t="n"/>
      <c r="T59" s="612" t="n"/>
      <c r="U59" s="612" t="n"/>
    </row>
    <row r="60">
      <c r="A60" s="612" t="n"/>
      <c r="B60" s="1164" t="inlineStr">
        <is>
          <t>Total Incurable Physical Depreciation (MVS Sec.97 percent-good curve)</t>
        </is>
      </c>
      <c r="C60" s="1116">
        <f>IFERROR(INDEX(DEPR_VALUES,MATCH($C$58,DEPR_AGE,1),MATCH($C$59,DEPR_LIFEHDR,0))/100,"n/a -- age exceeds tabulated range; treat as fully depreciated per Sec.97 salvage guidance")</f>
        <v/>
      </c>
      <c r="D60" s="612" t="n"/>
      <c r="E60" s="612" t="n"/>
      <c r="F60" s="918">
        <f>G51*C60</f>
        <v/>
      </c>
      <c r="G60" s="612" t="n"/>
      <c r="H60" s="612" t="n"/>
      <c r="I60" s="1165" t="inlineStr">
        <is>
          <t>MVS Sec.97 p.24, Commercial Properties percent-good table -- replaces a naive straight-line age/life ratio.</t>
        </is>
      </c>
      <c r="J60" s="612" t="n"/>
      <c r="K60" s="612" t="n"/>
      <c r="L60" s="619" t="n"/>
      <c r="M60" s="619" t="n"/>
      <c r="N60" s="619" t="n"/>
      <c r="O60" s="619" t="n"/>
      <c r="P60" s="619" t="n"/>
      <c r="Q60" s="612" t="n"/>
      <c r="R60" s="612" t="n"/>
      <c r="S60" s="612" t="n"/>
      <c r="T60" s="612" t="n"/>
      <c r="U60" s="612" t="n"/>
    </row>
    <row r="61">
      <c r="A61" s="612" t="n"/>
      <c r="B61" s="1164" t="inlineStr">
        <is>
          <t>Functional Obsolescence</t>
        </is>
      </c>
      <c r="C61" s="1117" t="n">
        <v>0</v>
      </c>
      <c r="D61" s="612" t="n"/>
      <c r="E61" s="612" t="n"/>
      <c r="F61" s="918">
        <f>C61*caRCN</f>
        <v/>
      </c>
      <c r="G61" s="612" t="n"/>
      <c r="H61" s="612" t="n"/>
      <c r="I61" s="1165"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1164" t="inlineStr">
        <is>
          <t>External Obsolescence</t>
        </is>
      </c>
      <c r="C62" s="1117" t="n">
        <v>0</v>
      </c>
      <c r="D62" s="612" t="n"/>
      <c r="E62" s="612" t="n"/>
      <c r="F62" s="918">
        <f>C62*caRCN</f>
        <v/>
      </c>
      <c r="G62" s="612" t="n"/>
      <c r="H62" s="612" t="n"/>
      <c r="I62" s="1165"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1175" t="inlineStr">
        <is>
          <t>Total</t>
        </is>
      </c>
      <c r="C63" s="920">
        <f>G63/caRCN</f>
        <v/>
      </c>
      <c r="D63" s="612" t="n"/>
      <c r="E63" s="612" t="n"/>
      <c r="F63" s="612" t="n"/>
      <c r="G63" s="921">
        <f>SUM(F56:F62)</f>
        <v/>
      </c>
      <c r="H63" s="612" t="n"/>
      <c r="I63" s="612" t="n"/>
      <c r="J63" s="612" t="n"/>
      <c r="K63" s="615" t="n"/>
      <c r="L63" s="619" t="n"/>
      <c r="M63" s="619" t="n"/>
      <c r="N63" s="619" t="n"/>
      <c r="O63" s="619" t="n"/>
      <c r="P63" s="619" t="n"/>
      <c r="Q63" s="612" t="n"/>
      <c r="R63" s="612" t="n"/>
      <c r="S63" s="612" t="n"/>
      <c r="T63" s="612" t="n"/>
      <c r="U63" s="612" t="n"/>
    </row>
    <row r="64">
      <c r="A64" s="612" t="n"/>
      <c r="B64" s="1179" t="inlineStr">
        <is>
          <t>Depreciated Value of the Improvements</t>
        </is>
      </c>
      <c r="C64" s="612" t="n"/>
      <c r="D64" s="612" t="n"/>
      <c r="E64" s="612" t="n"/>
      <c r="F64" s="612" t="n"/>
      <c r="G64" s="922">
        <f>caRCN-G63</f>
        <v/>
      </c>
      <c r="H64" s="612" t="n"/>
      <c r="I64" s="612" t="n"/>
      <c r="J64" s="612" t="n"/>
      <c r="K64" s="615" t="n"/>
      <c r="L64" s="619" t="n"/>
      <c r="M64" s="619" t="n"/>
      <c r="N64" s="619" t="n"/>
      <c r="O64" s="619" t="n"/>
      <c r="P64" s="619" t="n"/>
      <c r="Q64" s="612" t="n"/>
      <c r="R64" s="612" t="n"/>
      <c r="S64" s="612" t="n"/>
      <c r="T64" s="612" t="n"/>
      <c r="U64" s="612" t="n"/>
    </row>
    <row r="65">
      <c r="A65" s="612" t="n"/>
      <c r="B65" s="1164" t="inlineStr">
        <is>
          <t>per square foot of gross building area</t>
        </is>
      </c>
      <c r="C65" s="612" t="n"/>
      <c r="D65" s="612" t="n"/>
      <c r="E65" s="612" t="n"/>
      <c r="F65" s="612" t="n"/>
      <c r="G65" s="915">
        <f>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1164" t="inlineStr">
        <is>
          <t>Plus Land Value</t>
        </is>
      </c>
      <c r="C67" s="619" t="n"/>
      <c r="D67" s="619" t="n"/>
      <c r="E67" s="619" t="n"/>
      <c r="F67" s="619" t="n"/>
      <c r="G67" s="1118" t="n">
        <v>0</v>
      </c>
      <c r="H67" s="612" t="n"/>
      <c r="I67" s="1165"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1180" t="inlineStr">
        <is>
          <t>Indicated Value by Cost Approach</t>
        </is>
      </c>
      <c r="C69" s="655" t="n"/>
      <c r="D69" s="615" t="n"/>
      <c r="E69" s="615" t="n"/>
      <c r="F69" s="615" t="n"/>
      <c r="G69" s="924">
        <f>G64+G67</f>
        <v/>
      </c>
      <c r="H69" s="612" t="n"/>
      <c r="I69" s="612" t="n"/>
      <c r="J69" s="612" t="n"/>
      <c r="K69" s="612" t="n"/>
      <c r="L69" s="612" t="n"/>
      <c r="M69" s="612" t="n"/>
      <c r="N69" s="612" t="n"/>
      <c r="O69" s="612" t="n"/>
      <c r="P69" s="612" t="n"/>
      <c r="Q69" s="612" t="n"/>
      <c r="R69" s="612" t="n"/>
      <c r="S69" s="612" t="n"/>
      <c r="T69" s="612" t="n"/>
      <c r="U69" s="612" t="n"/>
    </row>
    <row r="70">
      <c r="A70" s="612" t="n"/>
      <c r="B70" s="1181" t="n">
        <v>5000</v>
      </c>
      <c r="C70" s="612" t="n"/>
      <c r="D70" s="615" t="n"/>
      <c r="E70" s="615" t="n"/>
      <c r="F70" s="615" t="n"/>
      <c r="G70" s="924">
        <f>ROUND((G69/B70),0)*B70</f>
        <v/>
      </c>
      <c r="H70" s="612" t="n"/>
      <c r="I70" s="1165"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1167" t="inlineStr">
        <is>
          <t>per square foot of gross building area</t>
        </is>
      </c>
      <c r="C71" s="612" t="n"/>
      <c r="D71" s="615" t="n"/>
      <c r="E71" s="615" t="n"/>
      <c r="F71" s="615" t="n"/>
      <c r="G71" s="906">
        <f>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1167"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1167"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621" t="n"/>
      <c r="C77" s="615" t="n"/>
      <c r="D77" s="615" t="n"/>
      <c r="E77" s="615" t="n"/>
      <c r="F77" s="615" t="n"/>
      <c r="G77" s="615" t="n"/>
      <c r="H77" s="612" t="n"/>
      <c r="I77" s="612" t="n"/>
      <c r="J77" s="612" t="n"/>
      <c r="K77" s="612" t="n"/>
      <c r="L77" s="612" t="n"/>
      <c r="M77" s="612" t="n"/>
      <c r="N77" s="612" t="n"/>
      <c r="O77" s="612" t="n"/>
      <c r="P77" s="612" t="n"/>
      <c r="Q77" s="612" t="n"/>
      <c r="R77" s="612" t="n"/>
      <c r="S77" s="612" t="n"/>
      <c r="T77" s="612" t="n"/>
      <c r="U77" s="612" t="n"/>
    </row>
    <row r="78" hidden="1">
      <c r="A78" s="612" t="n"/>
      <c r="B78" s="623" t="n"/>
      <c r="C78" s="615" t="n"/>
      <c r="D78" s="615" t="n"/>
      <c r="E78" s="615" t="n"/>
      <c r="F78" s="615" t="n"/>
      <c r="G78" s="615" t="n"/>
      <c r="H78" s="612" t="n"/>
      <c r="I78" s="612" t="n"/>
      <c r="J78" s="612" t="n"/>
      <c r="K78" s="612" t="n"/>
      <c r="L78" s="612" t="n"/>
      <c r="M78" s="612" t="n"/>
      <c r="N78" s="612" t="n"/>
      <c r="O78" s="612" t="n"/>
      <c r="P78" s="612" t="n"/>
      <c r="Q78" s="612" t="n"/>
      <c r="R78" s="612" t="n"/>
      <c r="S78" s="612" t="n"/>
      <c r="T78" s="612" t="n"/>
      <c r="U78" s="612" t="n"/>
    </row>
    <row r="79" hidden="1">
      <c r="A79" s="612" t="n"/>
      <c r="B79" s="623" t="n"/>
      <c r="C79" s="615" t="n"/>
      <c r="D79" s="615" t="n"/>
      <c r="E79" s="615" t="n"/>
      <c r="F79" s="615" t="n"/>
      <c r="G79" s="615" t="n"/>
      <c r="H79" s="612" t="n"/>
      <c r="I79" s="612" t="n"/>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n"/>
      <c r="C81" s="615" t="n"/>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n"/>
      <c r="C82" s="615" t="n"/>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n"/>
      <c r="C83" s="615" t="n"/>
      <c r="D83" s="615" t="n"/>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c r="Q223" s="666" t="n"/>
      <c r="R223" s="666" t="n"/>
    </row>
    <row r="224">
      <c r="Q224" s="666" t="n"/>
      <c r="R224" s="666" t="n"/>
    </row>
    <row r="225">
      <c r="Q225" s="666" t="n"/>
      <c r="R225" s="666" t="n"/>
    </row>
    <row r="226">
      <c r="Q226" s="666" t="n"/>
      <c r="R226" s="666" t="n"/>
    </row>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c r="Q341" s="666" t="n"/>
      <c r="R341" s="666" t="n"/>
    </row>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c r="Q540" s="666" t="n"/>
      <c r="R540" s="666" t="n"/>
    </row>
    <row r="541">
      <c r="Q541" s="666" t="n"/>
      <c r="R541" s="666" t="n"/>
    </row>
    <row r="542">
      <c r="Q542" s="666" t="n"/>
      <c r="R542" s="666" t="n"/>
    </row>
  </sheetData>
  <mergeCells count="1">
    <mergeCell ref="B2:G2"/>
  </mergeCells>
  <dataValidations count="8">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"A,B,C,CMILL,D,DPOLE,S,A-B"</formula1>
    </dataValidation>
    <dataValidation sqref="C7" showDropDown="0" showInputMessage="0" showErrorMessage="0" allowBlank="1" type="list">
      <formula1>"Low Cost,Average,Good,Excellent,Cheap"</formula1>
    </dataValidation>
    <dataValidation sqref="C14" showDropDown="0" showInputMessage="0" showErrorMessage="0" allowBlank="1" type="list">
      <formula1>"Low Cost,Average,Good,Excellent,Cheap"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s>
  <pageMargins left="0.75" right="0.75" top="1" bottom="1" header="0.5" footer="0.5"/>
</worksheet>
</file>

<file path=xl/worksheets/sheet11.xml><?xml version="1.0" encoding="utf-8"?>
<worksheet xmlns="http://schemas.openxmlformats.org/spreadsheetml/2006/main">
  <sheetPr codeName="Sheet2">
    <tabColor rgb="000E7490"/>
    <outlinePr summaryBelow="1" summaryRight="1"/>
    <pageSetUpPr fitToPage="1"/>
  </sheetPr>
  <dimension ref="A1:AN941"/>
  <sheetViews>
    <sheetView zoomScale="125" zoomScaleNormal="125" workbookViewId="0">
      <pane ySplit="1" topLeftCell="A2" activePane="bottomLeft" state="frozen"/>
      <selection pane="bottomLeft" activeCell="A2" sqref="A2"/>
    </sheetView>
  </sheetViews>
  <sheetFormatPr baseColWidth="8" defaultColWidth="9.33203125" defaultRowHeight="15" customHeight="1"/>
  <cols>
    <col width="6" bestFit="1" customWidth="1" style="245" min="1" max="1"/>
    <col width="6" bestFit="1" customWidth="1" style="245" min="2" max="2"/>
    <col width="10" customWidth="1" style="245" min="3" max="3"/>
    <col width="30" bestFit="1" customWidth="1" style="245" min="4" max="4"/>
    <col width="7" customWidth="1" style="245" min="5" max="5"/>
    <col width="17" bestFit="1" customWidth="1" style="245" min="6" max="6"/>
    <col width="6" customWidth="1" style="245" min="7" max="7"/>
    <col width="15.6640625" bestFit="1" customWidth="1" style="667" min="8" max="8"/>
    <col width="21" bestFit="1" customWidth="1" style="245" min="9" max="9"/>
    <col width="11" bestFit="1" customWidth="1" style="245" min="10" max="10"/>
    <col width="9.83203125" bestFit="1" customWidth="1" style="245" min="11" max="11"/>
    <col width="11.33203125" bestFit="1" customWidth="1" style="245" min="12" max="12"/>
    <col width="7" bestFit="1" customWidth="1" style="245" min="13" max="13"/>
    <col width="8.5" bestFit="1" customWidth="1" style="245" min="14" max="14"/>
    <col width="9" bestFit="1" customWidth="1" style="253" min="15" max="15"/>
    <col width="26" bestFit="1" customWidth="1" style="245" min="16" max="16"/>
    <col width="5.6640625" bestFit="1" customWidth="1" style="253" min="17" max="17"/>
    <col width="11" bestFit="1" customWidth="1" style="390" min="18" max="18"/>
    <col width="11.33203125" bestFit="1" customWidth="1" style="245" min="19" max="19"/>
    <col width="11.6640625" bestFit="1" customWidth="1" style="245" min="20" max="20"/>
    <col width="11"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5" bestFit="1" customWidth="1" style="245" min="29" max="29"/>
    <col width="15" bestFit="1" customWidth="1" style="245" min="30" max="30"/>
    <col width="52" bestFit="1" customWidth="1" style="245" min="31" max="31"/>
    <col width="52" bestFit="1" customWidth="1" style="245" min="32" max="32"/>
    <col width="10.1640625" bestFit="1" customWidth="1" style="245" min="33" max="34"/>
    <col hidden="1" width="9.33203125" customWidth="1" style="245" min="35" max="16384"/>
    <col hidden="1" width="13" customWidth="1" min="36" max="36"/>
  </cols>
  <sheetData>
    <row r="1" ht="36" customHeight="1">
      <c r="A1" s="1119" t="inlineStr">
        <is>
          <t>Pos</t>
        </is>
      </c>
      <c r="B1" s="1119" t="inlineStr">
        <is>
          <t>Num</t>
        </is>
      </c>
      <c r="C1" s="1119" t="inlineStr">
        <is>
          <t>Parcel</t>
        </is>
      </c>
      <c r="D1" s="1120" t="inlineStr">
        <is>
          <t>Filtered
Address</t>
        </is>
      </c>
      <c r="E1" s="1119" t="inlineStr">
        <is>
          <t>OCC</t>
        </is>
      </c>
      <c r="F1" s="1119" t="inlineStr">
        <is>
          <t>CITY</t>
        </is>
      </c>
      <c r="G1" s="1120" t="inlineStr">
        <is>
          <t>Loc</t>
        </is>
      </c>
      <c r="H1" s="1121" t="inlineStr">
        <is>
          <t>FTS</t>
        </is>
      </c>
      <c r="I1" s="1119" t="inlineStr">
        <is>
          <t>Date</t>
        </is>
      </c>
      <c r="J1" s="1119" t="inlineStr">
        <is>
          <t>Above
Grade NRA</t>
        </is>
      </c>
      <c r="K1" s="1119" t="inlineStr">
        <is>
          <t>Bsmt
NRA</t>
        </is>
      </c>
      <c r="L1" s="1119" t="inlineStr">
        <is>
          <t>NRA</t>
        </is>
      </c>
      <c r="M1" s="1119" t="inlineStr">
        <is>
          <t>YOC</t>
        </is>
      </c>
      <c r="N1" s="1119" t="inlineStr">
        <is>
          <t># Units</t>
        </is>
      </c>
      <c r="O1" s="1119" t="inlineStr">
        <is>
          <t># Bldgs</t>
        </is>
      </c>
      <c r="P1" s="1119" t="inlineStr">
        <is>
          <t>Zone</t>
        </is>
      </c>
      <c r="Q1" s="1119" t="inlineStr">
        <is>
          <t>Str</t>
        </is>
      </c>
      <c r="R1" s="1119" t="inlineStr">
        <is>
          <t>Grd</t>
        </is>
      </c>
      <c r="S1" s="1119" t="inlineStr">
        <is>
          <t>Land</t>
        </is>
      </c>
      <c r="T1" s="1120" t="inlineStr">
        <is>
          <t>L:B RATIO</t>
        </is>
      </c>
      <c r="U1" s="1119" t="inlineStr">
        <is>
          <t>PHY</t>
        </is>
      </c>
      <c r="V1" s="1119" t="inlineStr">
        <is>
          <t>FUN</t>
        </is>
      </c>
      <c r="W1" s="1119" t="inlineStr">
        <is>
          <t>PF</t>
        </is>
      </c>
      <c r="X1" s="1119" t="inlineStr">
        <is>
          <t>Tie-Back</t>
        </is>
      </c>
      <c r="Y1" s="1119" t="inlineStr">
        <is>
          <t>Amount</t>
        </is>
      </c>
      <c r="Z1" s="1119" t="inlineStr">
        <is>
          <t>Deduct.</t>
        </is>
      </c>
      <c r="AA1" s="1119" t="inlineStr">
        <is>
          <t>Amount</t>
        </is>
      </c>
      <c r="AB1" s="1119" t="inlineStr">
        <is>
          <t>Remarks</t>
        </is>
      </c>
      <c r="AC1" s="1119" t="inlineStr">
        <is>
          <t>Parcel Number</t>
        </is>
      </c>
      <c r="AD1" s="1119" t="inlineStr">
        <is>
          <t>Reception #</t>
        </is>
      </c>
      <c r="AE1" s="1182" t="inlineStr">
        <is>
          <t>Grantor</t>
        </is>
      </c>
      <c r="AF1" s="1182" t="inlineStr">
        <is>
          <t>Grantee</t>
        </is>
      </c>
      <c r="AG1" s="1119" t="inlineStr">
        <is>
          <t>Street</t>
        </is>
      </c>
      <c r="AH1" s="1119" t="inlineStr">
        <is>
          <t>Street</t>
        </is>
      </c>
      <c r="AI1" s="1122" t="inlineStr">
        <is>
          <t>Score (internal)</t>
        </is>
      </c>
      <c r="AJ1" t="inlineStr">
        <is>
          <t>TieBreak (internal)</t>
        </is>
      </c>
    </row>
    <row r="2" ht="15" customHeight="1">
      <c r="A2" s="246" t="n">
        <v>5</v>
      </c>
      <c r="N2" s="487" t="n"/>
      <c r="O2" s="487" t="n"/>
      <c r="AB2" s="247" t="n"/>
      <c r="AI2">
        <f>IF(AND($E2=Subj_OccCode,Subj_BldgSF&gt;0,ABS($L2-Subj_BldgSF)&lt;=Subj_BldgSF*Subj_SizeTol),ABS($L2-Subj_BldgSF),NA())</f>
        <v/>
      </c>
      <c r="AJ2">
        <f>IF(ISNA(AI2),NA(),AI2+ROW()/10000000)</f>
        <v/>
      </c>
    </row>
    <row r="3" ht="15" customHeight="1">
      <c r="A3" s="246" t="n">
        <v>5</v>
      </c>
      <c r="AB3" s="247" t="n"/>
      <c r="AI3">
        <f>IF(AND($E3=Subj_OccCode,Subj_BldgSF&gt;0,ABS($L3-Subj_BldgSF)&lt;=Subj_BldgSF*Subj_SizeTol),ABS($L3-Subj_BldgSF),NA())</f>
        <v/>
      </c>
      <c r="AJ3">
        <f>IF(ISNA(AI3),NA(),AI3+ROW()/10000000)</f>
        <v/>
      </c>
    </row>
    <row r="4" ht="15" customHeight="1">
      <c r="A4" s="246" t="n">
        <v>5</v>
      </c>
      <c r="AB4" s="247" t="n"/>
      <c r="AI4">
        <f>IF(AND($E4=Subj_OccCode,Subj_BldgSF&gt;0,ABS($L4-Subj_BldgSF)&lt;=Subj_BldgSF*Subj_SizeTol),ABS($L4-Subj_BldgSF),NA())</f>
        <v/>
      </c>
      <c r="AJ4">
        <f>IF(ISNA(AI4),NA(),AI4+ROW()/10000000)</f>
        <v/>
      </c>
    </row>
    <row r="5" ht="15" customHeight="1">
      <c r="A5" s="246" t="n">
        <v>5</v>
      </c>
      <c r="AB5" s="247" t="n"/>
      <c r="AI5">
        <f>IF(AND($E5=Subj_OccCode,Subj_BldgSF&gt;0,ABS($L5-Subj_BldgSF)&lt;=Subj_BldgSF*Subj_SizeTol),ABS($L5-Subj_BldgSF),NA())</f>
        <v/>
      </c>
      <c r="AJ5">
        <f>IF(ISNA(AI5),NA(),AI5+ROW()/10000000)</f>
        <v/>
      </c>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s="1158" t="inlineStr">
        <is>
          <t xml:space="preserve">MCCAIN PROPERTIES II LLC, C/O WHEELHOUSE COMMERCIAL MGMT </t>
        </is>
      </c>
      <c r="AF6" s="1158" t="inlineStr">
        <is>
          <t>TRIUMPH HILLCREST PLAZA ACQUISTION LP</t>
        </is>
      </c>
      <c r="AI6" s="245">
        <f>IF(AND($E6=Subj_OccCode,Subj_BldgSF&gt;0,ABS($L6-Subj_BldgSF)&lt;=Subj_BldgSF*Subj_SizeTol),ABS($L6-Subj_BldgSF),NA())</f>
        <v/>
      </c>
      <c r="AJ6">
        <f>IF(ISNA(AI6),NA(),AI6+ROW()/10000000)</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s="1158" t="inlineStr">
        <is>
          <t>NORTH GATE SHOPPING CENTER LL</t>
        </is>
      </c>
      <c r="AF7" s="1158" t="inlineStr">
        <is>
          <t>TRECO NORTHGLENN INVESTMENT LLC</t>
        </is>
      </c>
      <c r="AI7" s="245">
        <f>IF(AND($E7=Subj_OccCode,Subj_BldgSF&gt;0,ABS($L7-Subj_BldgSF)&lt;=Subj_BldgSF*Subj_SizeTol),ABS($L7-Subj_BldgSF),NA())</f>
        <v/>
      </c>
      <c r="AJ7">
        <f>IF(ISNA(AI7),NA(),AI7+ROW()/10000000)</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s="1158" t="inlineStr">
        <is>
          <t>LA CONTE J AND R REAL ESTATE, ADMINISTRATIVE TRUST</t>
        </is>
      </c>
      <c r="AF8" s="1158" t="inlineStr">
        <is>
          <t>72ND AND FEDERAL LLC</t>
        </is>
      </c>
      <c r="AI8" s="245">
        <f>IF(AND($E8=Subj_OccCode,Subj_BldgSF&gt;0,ABS($L8-Subj_BldgSF)&lt;=Subj_BldgSF*Subj_SizeTol),ABS($L8-Subj_BldgSF),NA())</f>
        <v/>
      </c>
      <c r="AJ8">
        <f>IF(ISNA(AI8),NA(),AI8+ROW()/10000000)</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s="1158" t="inlineStr">
        <is>
          <t>DENVER NORTHGLENN HOTELS LLC</t>
        </is>
      </c>
      <c r="AF9" s="1158" t="inlineStr">
        <is>
          <t>ASHOORIGROUP PROPERTIES LLC</t>
        </is>
      </c>
      <c r="AI9" s="245">
        <f>IF(AND($E9=Subj_OccCode,Subj_BldgSF&gt;0,ABS($L9-Subj_BldgSF)&lt;=Subj_BldgSF*Subj_SizeTol),ABS($L9-Subj_BldgSF),NA())</f>
        <v/>
      </c>
      <c r="AJ9">
        <f>IF(ISNA(AI9),NA(),AI9+ROW()/10000000)</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s="1158" t="inlineStr">
        <is>
          <t>JACOBSON RICHARD LESLIE</t>
        </is>
      </c>
      <c r="AF10" s="1158" t="inlineStr">
        <is>
          <t>WHEELING HOLDINGS LLC</t>
        </is>
      </c>
      <c r="AI10" s="245">
        <f>IF(AND($E10=Subj_OccCode,Subj_BldgSF&gt;0,ABS($L10-Subj_BldgSF)&lt;=Subj_BldgSF*Subj_SizeTol),ABS($L10-Subj_BldgSF),NA())</f>
        <v/>
      </c>
      <c r="AJ10">
        <f>IF(ISNA(AI10),NA(),AI10+ROW()/10000000)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s="1158" t="inlineStr">
        <is>
          <t xml:space="preserve">MEEKS GARY I AND , MEEKS PAULA K </t>
        </is>
      </c>
      <c r="AF11" s="1158" t="inlineStr">
        <is>
          <t>REP HOLDINGS LLC</t>
        </is>
      </c>
      <c r="AI11" s="245">
        <f>IF(AND($E11=Subj_OccCode,Subj_BldgSF&gt;0,ABS($L11-Subj_BldgSF)&lt;=Subj_BldgSF*Subj_SizeTol),ABS($L11-Subj_BldgSF),NA())</f>
        <v/>
      </c>
      <c r="AJ11">
        <f>IF(ISNA(AI11),NA(),AI11+ROW()/10000000)</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s="1158" t="inlineStr">
        <is>
          <t>SHIH PROPERTIES INCORPORATED</t>
        </is>
      </c>
      <c r="AF12" s="1158" t="inlineStr">
        <is>
          <t>BHATTARAI DOL PRASAD</t>
        </is>
      </c>
      <c r="AI12" s="245">
        <f>IF(AND($E12=Subj_OccCode,Subj_BldgSF&gt;0,ABS($L12-Subj_BldgSF)&lt;=Subj_BldgSF*Subj_SizeTol),ABS($L12-Subj_BldgSF),NA())</f>
        <v/>
      </c>
      <c r="AJ12">
        <f>IF(ISNA(AI12),NA(),AI12+ROW()/10000000)</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s="1158" t="inlineStr">
        <is>
          <t>R &amp; R PROPERTIES LLC</t>
        </is>
      </c>
      <c r="AF13" s="1158" t="inlineStr">
        <is>
          <t>WELBY CENTER LLC</t>
        </is>
      </c>
      <c r="AI13" s="245">
        <f>IF(AND($E13=Subj_OccCode,Subj_BldgSF&gt;0,ABS($L13-Subj_BldgSF)&lt;=Subj_BldgSF*Subj_SizeTol),ABS($L13-Subj_BldgSF),NA())</f>
        <v/>
      </c>
      <c r="AJ13">
        <f>IF(ISNA(AI13),NA(),AI13+ROW()/10000000)</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s="1158" t="inlineStr">
        <is>
          <t>CHIROPRACTIC OF NORTH DENVER PC</t>
        </is>
      </c>
      <c r="AF14" s="1158" t="inlineStr">
        <is>
          <t>HARTIGAN PROPERTIES LLC</t>
        </is>
      </c>
      <c r="AI14" s="245">
        <f>IF(AND($E14=Subj_OccCode,Subj_BldgSF&gt;0,ABS($L14-Subj_BldgSF)&lt;=Subj_BldgSF*Subj_SizeTol),ABS($L14-Subj_BldgSF),NA())</f>
        <v/>
      </c>
      <c r="AJ14">
        <f>IF(ISNA(AI14),NA(),AI14+ROW()/10000000)</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s="1158" t="inlineStr">
        <is>
          <t>COUNTRY CLUB VILLAGE TWO LLC</t>
        </is>
      </c>
      <c r="AF15" s="1158" t="inlineStr">
        <is>
          <t>CTJ LEASING LLC</t>
        </is>
      </c>
      <c r="AI15" s="245">
        <f>IF(AND($E15=Subj_OccCode,Subj_BldgSF&gt;0,ABS($L15-Subj_BldgSF)&lt;=Subj_BldgSF*Subj_SizeTol),ABS($L15-Subj_BldgSF),NA())</f>
        <v/>
      </c>
      <c r="AJ15">
        <f>IF(ISNA(AI15),NA(),AI15+ROW()/10000000)</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s="1158" t="inlineStr">
        <is>
          <t>CHANG AND IM INCORPORATED</t>
        </is>
      </c>
      <c r="AF16" s="1158" t="inlineStr">
        <is>
          <t>MELODY DRIVE INVESTMENT LLC</t>
        </is>
      </c>
      <c r="AI16" s="245">
        <f>IF(AND($E16=Subj_OccCode,Subj_BldgSF&gt;0,ABS($L16-Subj_BldgSF)&lt;=Subj_BldgSF*Subj_SizeTol),ABS($L16-Subj_BldgSF),NA())</f>
        <v/>
      </c>
      <c r="AJ16">
        <f>IF(ISNA(AI16),NA(),AI16+ROW()/10000000)</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s="1158" t="inlineStr">
        <is>
          <t>3030 81ST LLC</t>
        </is>
      </c>
      <c r="AF17" s="1158" t="inlineStr">
        <is>
          <t>BAB REALTY LLC</t>
        </is>
      </c>
      <c r="AI17" s="245">
        <f>IF(AND($E17=Subj_OccCode,Subj_BldgSF&gt;0,ABS($L17-Subj_BldgSF)&lt;=Subj_BldgSF*Subj_SizeTol),ABS($L17-Subj_BldgSF),NA())</f>
        <v/>
      </c>
      <c r="AJ17">
        <f>IF(ISNA(AI17),NA(),AI17+ROW()/10000000)</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s="1158" t="inlineStr">
        <is>
          <t>W S A FRATERNAL LIFE</t>
        </is>
      </c>
      <c r="AF18" s="1158" t="inlineStr">
        <is>
          <t>FARMHOUSE CENTER LLC</t>
        </is>
      </c>
      <c r="AI18" s="245">
        <f>IF(AND($E18=Subj_OccCode,Subj_BldgSF&gt;0,ABS($L18-Subj_BldgSF)&lt;=Subj_BldgSF*Subj_SizeTol),ABS($L18-Subj_BldgSF),NA())</f>
        <v/>
      </c>
      <c r="AJ18">
        <f>IF(ISNA(AI18),NA(),AI18+ROW()/10000000)</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s="1158" t="inlineStr">
        <is>
          <t>VANDER HORST FAMILY TRUST THE</t>
        </is>
      </c>
      <c r="AF19" s="1158" t="inlineStr">
        <is>
          <t>BARR AVENUE PARTNERSHIP LLC</t>
        </is>
      </c>
      <c r="AI19" s="245">
        <f>IF(AND($E19=Subj_OccCode,Subj_BldgSF&gt;0,ABS($L19-Subj_BldgSF)&lt;=Subj_BldgSF*Subj_SizeTol),ABS($L19-Subj_BldgSF),NA())</f>
        <v/>
      </c>
      <c r="AJ19">
        <f>IF(ISNA(AI19),NA(),AI19+ROW()/10000000)</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s="1158" t="inlineStr">
        <is>
          <t>CJ AND K PARTNERS LLC</t>
        </is>
      </c>
      <c r="AF20" s="1158" t="inlineStr">
        <is>
          <t>PREMIER HOME HEALTH CARE INC</t>
        </is>
      </c>
      <c r="AI20" s="245">
        <f>IF(AND($E20=Subj_OccCode,Subj_BldgSF&gt;0,ABS($L20-Subj_BldgSF)&lt;=Subj_BldgSF*Subj_SizeTol),ABS($L20-Subj_BldgSF),NA())</f>
        <v/>
      </c>
      <c r="AJ20">
        <f>IF(ISNA(AI20),NA(),AI20+ROW()/10000000)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s="1158" t="inlineStr">
        <is>
          <t>121ST PROPERTY PARTNERS LLC</t>
        </is>
      </c>
      <c r="AF21" s="1158" t="inlineStr">
        <is>
          <t>HSP PROPERTIES INC</t>
        </is>
      </c>
      <c r="AI21" s="245">
        <f>IF(AND($E21=Subj_OccCode,Subj_BldgSF&gt;0,ABS($L21-Subj_BldgSF)&lt;=Subj_BldgSF*Subj_SizeTol),ABS($L21-Subj_BldgSF),NA())</f>
        <v/>
      </c>
      <c r="AJ21">
        <f>IF(ISNA(AI21),NA(),AI21+ROW()/10000000)</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s="1158" t="inlineStr">
        <is>
          <t>GOLD CROWN LLC</t>
        </is>
      </c>
      <c r="AF22" s="1158" t="inlineStr">
        <is>
          <t>ENE MANAGEMENT LLC</t>
        </is>
      </c>
      <c r="AI22" s="245">
        <f>IF(AND($E22=Subj_OccCode,Subj_BldgSF&gt;0,ABS($L22-Subj_BldgSF)&lt;=Subj_BldgSF*Subj_SizeTol),ABS($L22-Subj_BldgSF),NA())</f>
        <v/>
      </c>
      <c r="AJ22">
        <f>IF(ISNA(AI22),NA(),AI22+ROW()/10000000)</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s="1158" t="inlineStr">
        <is>
          <t>LCN BLM CHANDLER LLC , ATTN BLOOMIN BRANDS INC</t>
        </is>
      </c>
      <c r="AF23" s="1158" t="inlineStr">
        <is>
          <t>CANNISTRA REALTY LLC</t>
        </is>
      </c>
      <c r="AI23" s="245">
        <f>IF(AND($E23=Subj_OccCode,Subj_BldgSF&gt;0,ABS($L23-Subj_BldgSF)&lt;=Subj_BldgSF*Subj_SizeTol),ABS($L23-Subj_BldgSF),NA())</f>
        <v/>
      </c>
      <c r="AJ23">
        <f>IF(ISNA(AI23),NA(),AI23+ROW()/10000000)</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s="1158" t="inlineStr">
        <is>
          <t>8778 WOLFF LLC, C/O HOLDER R BRUCE/R WAYNE</t>
        </is>
      </c>
      <c r="AF24" s="1158" t="inlineStr">
        <is>
          <t>DIVINE HOMES DENVER LLC</t>
        </is>
      </c>
      <c r="AI24" s="245">
        <f>IF(AND($E24=Subj_OccCode,Subj_BldgSF&gt;0,ABS($L24-Subj_BldgSF)&lt;=Subj_BldgSF*Subj_SizeTol),ABS($L24-Subj_BldgSF),NA())</f>
        <v/>
      </c>
      <c r="AJ24">
        <f>IF(ISNA(AI24),NA(),AI24+ROW()/10000000)</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s="1158" t="inlineStr">
        <is>
          <t>SAHLI-SUNDBY ANN C</t>
        </is>
      </c>
      <c r="AF25" s="1158" t="inlineStr">
        <is>
          <t>BRIGHTON RD LLC</t>
        </is>
      </c>
      <c r="AI25" s="245">
        <f>IF(AND($E25=Subj_OccCode,Subj_BldgSF&gt;0,ABS($L25-Subj_BldgSF)&lt;=Subj_BldgSF*Subj_SizeTol),ABS($L25-Subj_BldgSF),NA())</f>
        <v/>
      </c>
      <c r="AJ25">
        <f>IF(ISNA(AI25),NA(),AI25+ROW()/10000000)</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s="1158" t="inlineStr">
        <is>
          <t>MARTINEZ ORLANDO</t>
        </is>
      </c>
      <c r="AF26" s="1158" t="inlineStr">
        <is>
          <t>JOE SINGH INC</t>
        </is>
      </c>
      <c r="AI26" s="245">
        <f>IF(AND($E26=Subj_OccCode,Subj_BldgSF&gt;0,ABS($L26-Subj_BldgSF)&lt;=Subj_BldgSF*Subj_SizeTol),ABS($L26-Subj_BldgSF),NA())</f>
        <v/>
      </c>
      <c r="AJ26">
        <f>IF(ISNA(AI26),NA(),AI26+ROW()/10000000)</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s="1158" t="inlineStr">
        <is>
          <t>L S STRASBURG LLC</t>
        </is>
      </c>
      <c r="AF27" s="1158" t="inlineStr">
        <is>
          <t>SODDIK INVESTMENTS LLC</t>
        </is>
      </c>
      <c r="AI27" s="245">
        <f>IF(AND($E27=Subj_OccCode,Subj_BldgSF&gt;0,ABS($L27-Subj_BldgSF)&lt;=Subj_BldgSF*Subj_SizeTol),ABS($L27-Subj_BldgSF),NA())</f>
        <v/>
      </c>
      <c r="AJ27">
        <f>IF(ISNA(AI27),NA(),AI27+ROW()/10000000)</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s="1158" t="inlineStr">
        <is>
          <t>PIII CHAMBERS ROAD LLC</t>
        </is>
      </c>
      <c r="AF28" s="1158" t="inlineStr">
        <is>
          <t>MCA IGF COMMERCE CENTER LLC</t>
        </is>
      </c>
      <c r="AI28" s="245">
        <f>IF(AND($E28=Subj_OccCode,Subj_BldgSF&gt;0,ABS($L28-Subj_BldgSF)&lt;=Subj_BldgSF*Subj_SizeTol),ABS($L28-Subj_BldgSF),NA())</f>
        <v/>
      </c>
      <c r="AJ28">
        <f>IF(ISNA(AI28),NA(),AI28+ROW()/10000000)</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s="1158" t="inlineStr">
        <is>
          <t>SCHWARTZ JOSH JON</t>
        </is>
      </c>
      <c r="AF29" s="1158" t="inlineStr">
        <is>
          <t>CHOCOLATE WORKS LLC</t>
        </is>
      </c>
      <c r="AI29" s="245">
        <f>IF(AND($E29=Subj_OccCode,Subj_BldgSF&gt;0,ABS($L29-Subj_BldgSF)&lt;=Subj_BldgSF*Subj_SizeTol),ABS($L29-Subj_BldgSF),NA())</f>
        <v/>
      </c>
      <c r="AJ29">
        <f>IF(ISNA(AI29),NA(),AI29+ROW()/10000000)</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s="1158" t="inlineStr">
        <is>
          <t>HZ SORRENTO HIGHPOINTE SQUARE LLC ET AL, C/O PARAMOUNT PROPERTY COMPANY, LTD</t>
        </is>
      </c>
      <c r="AF30" s="1158" t="inlineStr">
        <is>
          <t>MNG COMMERCE MIDTOWN LLC UND 42% INT AND, MNG COMMERCE OLIVEHAIN LLC UND  et al.</t>
        </is>
      </c>
      <c r="AI30" s="245">
        <f>IF(AND($E30=Subj_OccCode,Subj_BldgSF&gt;0,ABS($L30-Subj_BldgSF)&lt;=Subj_BldgSF*Subj_SizeTol),ABS($L30-Subj_BldgSF),NA())</f>
        <v/>
      </c>
      <c r="AJ30">
        <f>IF(ISNA(AI30),NA(),AI30+ROW()/10000000)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s="1158" t="inlineStr">
        <is>
          <t>JECO HOLDINGS INC</t>
        </is>
      </c>
      <c r="AF31" s="1158" t="inlineStr">
        <is>
          <t>1247 DENVER PARTNERS LLC, C/O ALTERRA PROPERTY GROUP</t>
        </is>
      </c>
      <c r="AI31" s="245">
        <f>IF(AND($E31=Subj_OccCode,Subj_BldgSF&gt;0,ABS($L31-Subj_BldgSF)&lt;=Subj_BldgSF*Subj_SizeTol),ABS($L31-Subj_BldgSF),NA())</f>
        <v/>
      </c>
      <c r="AJ31">
        <f>IF(ISNA(AI31),NA(),AI31+ROW()/10000000)</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s="1158" t="inlineStr">
        <is>
          <t>VITELAS LLC</t>
        </is>
      </c>
      <c r="AF32" s="1158" t="inlineStr">
        <is>
          <t>ALVAREZ DANIEL CASTRO</t>
        </is>
      </c>
      <c r="AI32" s="245">
        <f>IF(AND($E32=Subj_OccCode,Subj_BldgSF&gt;0,ABS($L32-Subj_BldgSF)&lt;=Subj_BldgSF*Subj_SizeTol),ABS($L32-Subj_BldgSF),NA())</f>
        <v/>
      </c>
      <c r="AJ32">
        <f>IF(ISNA(AI32),NA(),AI32+ROW()/10000000)</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s="1158" t="inlineStr">
        <is>
          <t>J STREET I LLC</t>
        </is>
      </c>
      <c r="AF33" s="1158" t="inlineStr">
        <is>
          <t>FRANKLIN INDUSTRIAL LLC</t>
        </is>
      </c>
      <c r="AI33" s="245">
        <f>IF(AND($E33=Subj_OccCode,Subj_BldgSF&gt;0,ABS($L33-Subj_BldgSF)&lt;=Subj_BldgSF*Subj_SizeTol),ABS($L33-Subj_BldgSF),NA())</f>
        <v/>
      </c>
      <c r="AJ33">
        <f>IF(ISNA(AI33),NA(),AI33+ROW()/10000000)</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s="1158" t="inlineStr">
        <is>
          <t>QUALLS JOSEPH M AND, QUALLS CYNTHIA A</t>
        </is>
      </c>
      <c r="AF34" s="1158" t="inlineStr">
        <is>
          <t>KOEGEL REAL ESTATE LLC</t>
        </is>
      </c>
      <c r="AI34" s="245">
        <f>IF(AND($E34=Subj_OccCode,Subj_BldgSF&gt;0,ABS($L34-Subj_BldgSF)&lt;=Subj_BldgSF*Subj_SizeTol),ABS($L34-Subj_BldgSF),NA())</f>
        <v/>
      </c>
      <c r="AJ34">
        <f>IF(ISNA(AI34),NA(),AI34+ROW()/10000000)</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s="1158" t="inlineStr">
        <is>
          <t>DUCTS HOLDINGS LLC</t>
        </is>
      </c>
      <c r="AF35" s="1158" t="inlineStr">
        <is>
          <t>DU REAL ESTATE HOLDINGS LLC</t>
        </is>
      </c>
      <c r="AI35" s="245">
        <f>IF(AND($E35=Subj_OccCode,Subj_BldgSF&gt;0,ABS($L35-Subj_BldgSF)&lt;=Subj_BldgSF*Subj_SizeTol),ABS($L35-Subj_BldgSF),NA())</f>
        <v/>
      </c>
      <c r="AJ35">
        <f>IF(ISNA(AI35),NA(),AI35+ROW()/10000000)</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s="1158" t="inlineStr">
        <is>
          <t>PACHECO JESUS L</t>
        </is>
      </c>
      <c r="AF36" s="1158" t="inlineStr">
        <is>
          <t>RELIANCE POWER COMPANY LLC AND, 4 SEASONS TRANSPORT LLC</t>
        </is>
      </c>
      <c r="AI36" s="245">
        <f>IF(AND($E36=Subj_OccCode,Subj_BldgSF&gt;0,ABS($L36-Subj_BldgSF)&lt;=Subj_BldgSF*Subj_SizeTol),ABS($L36-Subj_BldgSF),NA())</f>
        <v/>
      </c>
      <c r="AJ36">
        <f>IF(ISNA(AI36),NA(),AI36+ROW()/10000000)</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s="1158" t="inlineStr">
        <is>
          <t>K &amp; S FAMILY INDUSTRIES LLC</t>
        </is>
      </c>
      <c r="AF37" s="1158" t="inlineStr">
        <is>
          <t>THE STRASBURG YARD LLC</t>
        </is>
      </c>
      <c r="AI37" s="245">
        <f>IF(AND($E37=Subj_OccCode,Subj_BldgSF&gt;0,ABS($L37-Subj_BldgSF)&lt;=Subj_BldgSF*Subj_SizeTol),ABS($L37-Subj_BldgSF),NA())</f>
        <v/>
      </c>
      <c r="AJ37">
        <f>IF(ISNA(AI37),NA(),AI37+ROW()/10000000)</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s="1158" t="inlineStr">
        <is>
          <t>FRASER SERVICE CENTER LLC</t>
        </is>
      </c>
      <c r="AF38" s="1158" t="inlineStr">
        <is>
          <t>NICOLA 3751 FRASER LP</t>
        </is>
      </c>
      <c r="AI38" s="245">
        <f>IF(AND($E38=Subj_OccCode,Subj_BldgSF&gt;0,ABS($L38-Subj_BldgSF)&lt;=Subj_BldgSF*Subj_SizeTol),ABS($L38-Subj_BldgSF),NA())</f>
        <v/>
      </c>
      <c r="AJ38">
        <f>IF(ISNA(AI38),NA(),AI38+ROW()/10000000)</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s="1158" t="inlineStr">
        <is>
          <t>PACER HOLDINGS LLC</t>
        </is>
      </c>
      <c r="AF39" s="1158" t="inlineStr">
        <is>
          <t>HELIE CHIROPRACTIC CLINIC LLC</t>
        </is>
      </c>
      <c r="AI39" s="245">
        <f>IF(AND($E39=Subj_OccCode,Subj_BldgSF&gt;0,ABS($L39-Subj_BldgSF)&lt;=Subj_BldgSF*Subj_SizeTol),ABS($L39-Subj_BldgSF),NA())</f>
        <v/>
      </c>
      <c r="AJ39">
        <f>IF(ISNA(AI39),NA(),AI39+ROW()/10000000)</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s="1158" t="inlineStr">
        <is>
          <t>PACER HOLDINGS LLC</t>
        </is>
      </c>
      <c r="AF40" s="1158" t="inlineStr">
        <is>
          <t>CCIRE I LLC</t>
        </is>
      </c>
      <c r="AI40" s="245">
        <f>IF(AND($E40=Subj_OccCode,Subj_BldgSF&gt;0,ABS($L40-Subj_BldgSF)&lt;=Subj_BldgSF*Subj_SizeTol),ABS($L40-Subj_BldgSF),NA())</f>
        <v/>
      </c>
      <c r="AJ40">
        <f>IF(ISNA(AI40),NA(),AI40+ROW()/10000000)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s="1158" t="inlineStr">
        <is>
          <t>HURON 210 LLC</t>
        </is>
      </c>
      <c r="AF41" s="1158" t="inlineStr">
        <is>
          <t>A C HOLDINGS LLC</t>
        </is>
      </c>
      <c r="AI41" s="245">
        <f>IF(AND($E41=Subj_OccCode,Subj_BldgSF&gt;0,ABS($L41-Subj_BldgSF)&lt;=Subj_BldgSF*Subj_SizeTol),ABS($L41-Subj_BldgSF),NA())</f>
        <v/>
      </c>
      <c r="AJ41">
        <f>IF(ISNA(AI41),NA(),AI41+ROW()/10000000)</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s="1158" t="inlineStr">
        <is>
          <t>GRAND PROPERTIES CO LLC</t>
        </is>
      </c>
      <c r="AF42" s="1158" t="inlineStr">
        <is>
          <t>VARGUEZ VERONIC</t>
        </is>
      </c>
      <c r="AI42" s="245">
        <f>IF(AND($E42=Subj_OccCode,Subj_BldgSF&gt;0,ABS($L42-Subj_BldgSF)&lt;=Subj_BldgSF*Subj_SizeTol),ABS($L42-Subj_BldgSF),NA())</f>
        <v/>
      </c>
      <c r="AJ42">
        <f>IF(ISNA(AI42),NA(),AI42+ROW()/10000000)</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s="1158" t="inlineStr">
        <is>
          <t>SOUTH STREET CAPITAL PARTNERS LLC</t>
        </is>
      </c>
      <c r="AF43" s="1158" t="inlineStr">
        <is>
          <t>DIASPORA DANCE COMPANY LLC</t>
        </is>
      </c>
      <c r="AI43" s="245">
        <f>IF(AND($E43=Subj_OccCode,Subj_BldgSF&gt;0,ABS($L43-Subj_BldgSF)&lt;=Subj_BldgSF*Subj_SizeTol),ABS($L43-Subj_BldgSF),NA())</f>
        <v/>
      </c>
      <c r="AJ43">
        <f>IF(ISNA(AI43),NA(),AI43+ROW()/10000000)</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s="1158" t="inlineStr">
        <is>
          <t>SUPREME BRIGHT COLORADO IX LLC</t>
        </is>
      </c>
      <c r="AF44" s="1158" t="inlineStr">
        <is>
          <t>D 5030 WESTMINSTER LLC</t>
        </is>
      </c>
      <c r="AI44" s="245">
        <f>IF(AND($E44=Subj_OccCode,Subj_BldgSF&gt;0,ABS($L44-Subj_BldgSF)&lt;=Subj_BldgSF*Subj_SizeTol),ABS($L44-Subj_BldgSF),NA())</f>
        <v/>
      </c>
      <c r="AJ44">
        <f>IF(ISNA(AI44),NA(),AI44+ROW()/10000000)</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s="1158" t="inlineStr">
        <is>
          <t>LAMM DEVELOPMENTS LTD</t>
        </is>
      </c>
      <c r="AF45" s="1158" t="inlineStr">
        <is>
          <t>WANDERSPRING LLC</t>
        </is>
      </c>
      <c r="AI45" s="245">
        <f>IF(AND($E45=Subj_OccCode,Subj_BldgSF&gt;0,ABS($L45-Subj_BldgSF)&lt;=Subj_BldgSF*Subj_SizeTol),ABS($L45-Subj_BldgSF),NA())</f>
        <v/>
      </c>
      <c r="AJ45">
        <f>IF(ISNA(AI45),NA(),AI45+ROW()/10000000)</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s="1158" t="inlineStr">
        <is>
          <t>FCA REALTY LLC, TAX AFFAIRS 485-12-30</t>
        </is>
      </c>
      <c r="AF46" s="1158" t="inlineStr">
        <is>
          <t>LHM TCD LLC, C/O ASBURY AUTOMOTIVE GROUP INC</t>
        </is>
      </c>
      <c r="AI46" s="245">
        <f>IF(AND($E46=Subj_OccCode,Subj_BldgSF&gt;0,ABS($L46-Subj_BldgSF)&lt;=Subj_BldgSF*Subj_SizeTol),ABS($L46-Subj_BldgSF),NA())</f>
        <v/>
      </c>
      <c r="AJ46">
        <f>IF(ISNA(AI46),NA(),AI46+ROW()/10000000)</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s="1158" t="inlineStr">
        <is>
          <t>FIOCCA THOMAS ROBERT AND , FIOCCA ERIN LOIS</t>
        </is>
      </c>
      <c r="AF47" s="1158" t="inlineStr">
        <is>
          <t>8630 PEARL LLC</t>
        </is>
      </c>
      <c r="AI47" s="245">
        <f>IF(AND($E47=Subj_OccCode,Subj_BldgSF&gt;0,ABS($L47-Subj_BldgSF)&lt;=Subj_BldgSF*Subj_SizeTol),ABS($L47-Subj_BldgSF),NA())</f>
        <v/>
      </c>
      <c r="AJ47">
        <f>IF(ISNA(AI47),NA(),AI47+ROW()/10000000)</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s="1158" t="inlineStr">
        <is>
          <t>84TH SHERIDAN LLC</t>
        </is>
      </c>
      <c r="AF48" s="1158" t="inlineStr">
        <is>
          <t>DELSOUZ &amp; LALEH LLC</t>
        </is>
      </c>
      <c r="AI48" s="245">
        <f>IF(AND($E48=Subj_OccCode,Subj_BldgSF&gt;0,ABS($L48-Subj_BldgSF)&lt;=Subj_BldgSF*Subj_SizeTol),ABS($L48-Subj_BldgSF),NA())</f>
        <v/>
      </c>
      <c r="AJ48">
        <f>IF(ISNA(AI48),NA(),AI48+ROW()/10000000)</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s="1158" t="inlineStr">
        <is>
          <t>DEEM RICHARD O</t>
        </is>
      </c>
      <c r="AF49" s="1158" t="inlineStr">
        <is>
          <t>4800 W 80TH LLC</t>
        </is>
      </c>
      <c r="AI49" s="245">
        <f>IF(AND($E49=Subj_OccCode,Subj_BldgSF&gt;0,ABS($L49-Subj_BldgSF)&lt;=Subj_BldgSF*Subj_SizeTol),ABS($L49-Subj_BldgSF),NA())</f>
        <v/>
      </c>
      <c r="AJ49">
        <f>IF(ISNA(AI49),NA(),AI49+ROW()/10000000)</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s="1158" t="inlineStr">
        <is>
          <t>US BANK NATIONAL ASSOCIATION, C/O RYAN PTS DEPT.908</t>
        </is>
      </c>
      <c r="AF50" s="1158" t="inlineStr">
        <is>
          <t>EAT-2202 LLC</t>
        </is>
      </c>
      <c r="AI50" s="245">
        <f>IF(AND($E50=Subj_OccCode,Subj_BldgSF&gt;0,ABS($L50-Subj_BldgSF)&lt;=Subj_BldgSF*Subj_SizeTol),ABS($L50-Subj_BldgSF),NA())</f>
        <v/>
      </c>
      <c r="AJ50">
        <f>IF(ISNA(AI50),NA(),AI50+ROW()/10000000)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s="1158" t="inlineStr">
        <is>
          <t>COUNTRY CLUB VILLAGE TWO LLC</t>
        </is>
      </c>
      <c r="AF51" s="1158" t="inlineStr">
        <is>
          <t>OAKVIEW SHOPS LLC</t>
        </is>
      </c>
      <c r="AI51" s="245">
        <f>IF(AND($E51=Subj_OccCode,Subj_BldgSF&gt;0,ABS($L51-Subj_BldgSF)&lt;=Subj_BldgSF*Subj_SizeTol),ABS($L51-Subj_BldgSF),NA())</f>
        <v/>
      </c>
      <c r="AJ51">
        <f>IF(ISNA(AI51),NA(),AI51+ROW()/10000000)</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s="1158" t="inlineStr">
        <is>
          <t>SOCIAL INDUSTRIES 3 LLC</t>
        </is>
      </c>
      <c r="AF52" s="1158" t="inlineStr">
        <is>
          <t>LITEBOX LLC</t>
        </is>
      </c>
      <c r="AI52" s="245">
        <f>IF(AND($E52=Subj_OccCode,Subj_BldgSF&gt;0,ABS($L52-Subj_BldgSF)&lt;=Subj_BldgSF*Subj_SizeTol),ABS($L52-Subj_BldgSF),NA())</f>
        <v/>
      </c>
      <c r="AJ52">
        <f>IF(ISNA(AI52),NA(),AI52+ROW()/10000000)</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s="1158" t="inlineStr">
        <is>
          <t>SOCIAL INDUSTRIES 2 LLC</t>
        </is>
      </c>
      <c r="AF53" s="1158" t="inlineStr">
        <is>
          <t>CLUELESS COUPLE LLC</t>
        </is>
      </c>
      <c r="AI53" s="245">
        <f>IF(AND($E53=Subj_OccCode,Subj_BldgSF&gt;0,ABS($L53-Subj_BldgSF)&lt;=Subj_BldgSF*Subj_SizeTol),ABS($L53-Subj_BldgSF),NA())</f>
        <v/>
      </c>
      <c r="AJ53">
        <f>IF(ISNA(AI53),NA(),AI53+ROW()/10000000)</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s="1158" t="inlineStr">
        <is>
          <t>DEN INDUSTRIAL 1 LLC, C/O ALTERNATIVE ASSET MANAGEMENT LLC</t>
        </is>
      </c>
      <c r="AF54" s="1158" t="inlineStr">
        <is>
          <t>CROSSE-MONCRIEFF LLC</t>
        </is>
      </c>
      <c r="AI54" s="245">
        <f>IF(AND($E54=Subj_OccCode,Subj_BldgSF&gt;0,ABS($L54-Subj_BldgSF)&lt;=Subj_BldgSF*Subj_SizeTol),ABS($L54-Subj_BldgSF),NA())</f>
        <v/>
      </c>
      <c r="AJ54">
        <f>IF(ISNA(AI54),NA(),AI54+ROW()/10000000)</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s="1158" t="inlineStr">
        <is>
          <t>WHITE DIANE E</t>
        </is>
      </c>
      <c r="AF55" s="1158" t="inlineStr">
        <is>
          <t>PECOS REAL ESTATE LLC, C/O AUTO CHLOR SYSTEM</t>
        </is>
      </c>
      <c r="AI55" s="245">
        <f>IF(AND($E55=Subj_OccCode,Subj_BldgSF&gt;0,ABS($L55-Subj_BldgSF)&lt;=Subj_BldgSF*Subj_SizeTol),ABS($L55-Subj_BldgSF),NA())</f>
        <v/>
      </c>
      <c r="AJ55">
        <f>IF(ISNA(AI55),NA(),AI55+ROW()/10000000)</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s="1158" t="inlineStr">
        <is>
          <t>1630 ENTERPRISES LLC</t>
        </is>
      </c>
      <c r="AF56" s="1158" t="inlineStr">
        <is>
          <t>TRIPLE L 66 AVENUE LLC</t>
        </is>
      </c>
      <c r="AI56" s="245">
        <f>IF(AND($E56=Subj_OccCode,Subj_BldgSF&gt;0,ABS($L56-Subj_BldgSF)&lt;=Subj_BldgSF*Subj_SizeTol),ABS($L56-Subj_BldgSF),NA())</f>
        <v/>
      </c>
      <c r="AJ56">
        <f>IF(ISNA(AI56),NA(),AI56+ROW()/10000000)</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s="1158" t="inlineStr">
        <is>
          <t>MAZZO ENTERPRISES LLLP</t>
        </is>
      </c>
      <c r="AF57" s="1158" t="inlineStr">
        <is>
          <t>PACIFICO REAL ESTATE HOLDINDS II</t>
        </is>
      </c>
      <c r="AI57" s="245">
        <f>IF(AND($E57=Subj_OccCode,Subj_BldgSF&gt;0,ABS($L57-Subj_BldgSF)&lt;=Subj_BldgSF*Subj_SizeTol),ABS($L57-Subj_BldgSF),NA())</f>
        <v/>
      </c>
      <c r="AJ57">
        <f>IF(ISNA(AI57),NA(),AI57+ROW()/10000000)</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s="1158" t="inlineStr">
        <is>
          <t>1401 BRIGHTON LLC</t>
        </is>
      </c>
      <c r="AF58" s="1158" t="inlineStr">
        <is>
          <t>VIGIL JENIFER D</t>
        </is>
      </c>
      <c r="AI58" s="245">
        <f>IF(AND($E58=Subj_OccCode,Subj_BldgSF&gt;0,ABS($L58-Subj_BldgSF)&lt;=Subj_BldgSF*Subj_SizeTol),ABS($L58-Subj_BldgSF),NA())</f>
        <v/>
      </c>
      <c r="AJ58">
        <f>IF(ISNA(AI58),NA(),AI58+ROW()/10000000)</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s="1158" t="inlineStr">
        <is>
          <t>FRONT RANGE PORTFOLIO LLC</t>
        </is>
      </c>
      <c r="AF59" s="1158" t="inlineStr">
        <is>
          <t>8700 DEVONSHIRE STORAGE LLC</t>
        </is>
      </c>
      <c r="AI59" s="245">
        <f>IF(AND($E59=Subj_OccCode,Subj_BldgSF&gt;0,ABS($L59-Subj_BldgSF)&lt;=Subj_BldgSF*Subj_SizeTol),ABS($L59-Subj_BldgSF),NA())</f>
        <v/>
      </c>
      <c r="AJ59">
        <f>IF(ISNA(AI59),NA(),AI59+ROW()/10000000)</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s="1158" t="inlineStr">
        <is>
          <t>SEVEN SEAS HOLDING COMPANY LLC</t>
        </is>
      </c>
      <c r="AF60" s="1158" t="inlineStr">
        <is>
          <t>AMERICAN BUILDERS &amp; CONTRACTORS SUPPLY CO INC</t>
        </is>
      </c>
      <c r="AI60" s="245">
        <f>IF(AND($E60=Subj_OccCode,Subj_BldgSF&gt;0,ABS($L60-Subj_BldgSF)&lt;=Subj_BldgSF*Subj_SizeTol),ABS($L60-Subj_BldgSF),NA())</f>
        <v/>
      </c>
      <c r="AJ60">
        <f>IF(ISNA(AI60),NA(),AI60+ROW()/10000000)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s="1158" t="inlineStr">
        <is>
          <t>1790 JASPER STREET LLC</t>
        </is>
      </c>
      <c r="AF61" s="1158" t="inlineStr">
        <is>
          <t>COREDO LLC</t>
        </is>
      </c>
      <c r="AI61" s="245">
        <f>IF(AND($E61=Subj_OccCode,Subj_BldgSF&gt;0,ABS($L61-Subj_BldgSF)&lt;=Subj_BldgSF*Subj_SizeTol),ABS($L61-Subj_BldgSF),NA())</f>
        <v/>
      </c>
      <c r="AJ61">
        <f>IF(ISNA(AI61),NA(),AI61+ROW()/10000000)</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s="1158" t="inlineStr">
        <is>
          <t>C C E REAL ESTATE LLC, C/O FLYNN SOUTHWEST LP</t>
        </is>
      </c>
      <c r="AF62" s="1158" t="inlineStr">
        <is>
          <t>ALBROOK PARTNERS LLC</t>
        </is>
      </c>
      <c r="AI62" s="245">
        <f>IF(AND($E62=Subj_OccCode,Subj_BldgSF&gt;0,ABS($L62-Subj_BldgSF)&lt;=Subj_BldgSF*Subj_SizeTol),ABS($L62-Subj_BldgSF),NA())</f>
        <v/>
      </c>
      <c r="AJ62">
        <f>IF(ISNA(AI62),NA(),AI62+ROW()/10000000)</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s="1158" t="inlineStr">
        <is>
          <t>DENNIS M MITCHELL REVOCABLE TRUST</t>
        </is>
      </c>
      <c r="AF63" s="1158" t="inlineStr">
        <is>
          <t>4980 NIAGARA ST LLC</t>
        </is>
      </c>
      <c r="AI63" s="245">
        <f>IF(AND($E63=Subj_OccCode,Subj_BldgSF&gt;0,ABS($L63-Subj_BldgSF)&lt;=Subj_BldgSF*Subj_SizeTol),ABS($L63-Subj_BldgSF),NA())</f>
        <v/>
      </c>
      <c r="AJ63">
        <f>IF(ISNA(AI63),NA(),AI63+ROW()/10000000)</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s="1158" t="inlineStr">
        <is>
          <t>END-IRA INC ET AL</t>
        </is>
      </c>
      <c r="AF64" s="1158" t="inlineStr">
        <is>
          <t>MASTER TECH RV AND APPLIANCE REPAIR LLC</t>
        </is>
      </c>
      <c r="AI64" s="245">
        <f>IF(AND($E64=Subj_OccCode,Subj_BldgSF&gt;0,ABS($L64-Subj_BldgSF)&lt;=Subj_BldgSF*Subj_SizeTol),ABS($L64-Subj_BldgSF),NA())</f>
        <v/>
      </c>
      <c r="AJ64">
        <f>IF(ISNA(AI64),NA(),AI64+ROW()/10000000)</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s="1158" t="inlineStr">
        <is>
          <t>YTTC LLC</t>
        </is>
      </c>
      <c r="AF65" s="1158" t="inlineStr">
        <is>
          <t>ARCANE INDUSTRIES LLC</t>
        </is>
      </c>
      <c r="AI65" s="245">
        <f>IF(AND($E65=Subj_OccCode,Subj_BldgSF&gt;0,ABS($L65-Subj_BldgSF)&lt;=Subj_BldgSF*Subj_SizeTol),ABS($L65-Subj_BldgSF),NA())</f>
        <v/>
      </c>
      <c r="AJ65">
        <f>IF(ISNA(AI65),NA(),AI65+ROW()/10000000)</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s="1158" t="inlineStr">
        <is>
          <t>SHERWOOD FAMILY LIMITED PARTNERSHIP</t>
        </is>
      </c>
      <c r="AF66" s="1158" t="inlineStr">
        <is>
          <t>VILLALOBOS ROSALIO</t>
        </is>
      </c>
      <c r="AI66" s="245">
        <f>IF(AND($E66=Subj_OccCode,Subj_BldgSF&gt;0,ABS($L66-Subj_BldgSF)&lt;=Subj_BldgSF*Subj_SizeTol),ABS($L66-Subj_BldgSF),NA())</f>
        <v/>
      </c>
      <c r="AJ66">
        <f>IF(ISNA(AI66),NA(),AI66+ROW()/10000000)</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s="1158" t="inlineStr">
        <is>
          <t>AEGIS COLORADO LLC</t>
        </is>
      </c>
      <c r="AF67" s="1158" t="inlineStr">
        <is>
          <t>ASPEN LLC</t>
        </is>
      </c>
      <c r="AI67" s="245">
        <f>IF(AND($E67=Subj_OccCode,Subj_BldgSF&gt;0,ABS($L67-Subj_BldgSF)&lt;=Subj_BldgSF*Subj_SizeTol),ABS($L67-Subj_BldgSF),NA())</f>
        <v/>
      </c>
      <c r="AJ67">
        <f>IF(ISNA(AI67),NA(),AI67+ROW()/10000000)</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s="1158" t="inlineStr">
        <is>
          <t>VXSN LLC</t>
        </is>
      </c>
      <c r="AF68" s="1158" t="inlineStr">
        <is>
          <t>BEE LINE LLC</t>
        </is>
      </c>
      <c r="AI68" s="245">
        <f>IF(AND($E68=Subj_OccCode,Subj_BldgSF&gt;0,ABS($L68-Subj_BldgSF)&lt;=Subj_BldgSF*Subj_SizeTol),ABS($L68-Subj_BldgSF),NA())</f>
        <v/>
      </c>
      <c r="AJ68">
        <f>IF(ISNA(AI68),NA(),AI68+ROW()/10000000)</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s="1158" t="inlineStr">
        <is>
          <t>MYKLEBUST HOLDINGS LLC</t>
        </is>
      </c>
      <c r="AF69" s="1158" t="inlineStr">
        <is>
          <t>HAYCAT HOLDINGS LLC</t>
        </is>
      </c>
      <c r="AI69" s="245">
        <f>IF(AND($E69=Subj_OccCode,Subj_BldgSF&gt;0,ABS($L69-Subj_BldgSF)&lt;=Subj_BldgSF*Subj_SizeTol),ABS($L69-Subj_BldgSF),NA())</f>
        <v/>
      </c>
      <c r="AJ69">
        <f>IF(ISNA(AI69),NA(),AI69+ROW()/10000000)</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s="1158" t="inlineStr">
        <is>
          <t>GG PROPERTY LLC</t>
        </is>
      </c>
      <c r="AF70" s="1158" t="inlineStr">
        <is>
          <t>GMOTORS LLC</t>
        </is>
      </c>
      <c r="AI70" s="245">
        <f>IF(AND($E70=Subj_OccCode,Subj_BldgSF&gt;0,ABS($L70-Subj_BldgSF)&lt;=Subj_BldgSF*Subj_SizeTol),ABS($L70-Subj_BldgSF),NA())</f>
        <v/>
      </c>
      <c r="AJ70">
        <f>IF(ISNA(AI70),NA(),AI70+ROW()/10000000)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s="1158" t="inlineStr">
        <is>
          <t>BPAZ HOLDINGS 13 LLC</t>
        </is>
      </c>
      <c r="AF71" s="1158" t="inlineStr">
        <is>
          <t>12421 WASH EAT LLC</t>
        </is>
      </c>
      <c r="AI71" s="245">
        <f>IF(AND($E71=Subj_OccCode,Subj_BldgSF&gt;0,ABS($L71-Subj_BldgSF)&lt;=Subj_BldgSF*Subj_SizeTol),ABS($L71-Subj_BldgSF),NA())</f>
        <v/>
      </c>
      <c r="AJ71">
        <f>IF(ISNA(AI71),NA(),AI71+ROW()/10000000)</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s="1158" t="inlineStr">
        <is>
          <t>MACK VENTURES LLC</t>
        </is>
      </c>
      <c r="AF72" s="1158" t="inlineStr">
        <is>
          <t>BROOKCON INVESTMENTS LLC</t>
        </is>
      </c>
      <c r="AI72" s="245">
        <f>IF(AND($E72=Subj_OccCode,Subj_BldgSF&gt;0,ABS($L72-Subj_BldgSF)&lt;=Subj_BldgSF*Subj_SizeTol),ABS($L72-Subj_BldgSF),NA())</f>
        <v/>
      </c>
      <c r="AJ72">
        <f>IF(ISNA(AI72),NA(),AI72+ROW()/10000000)</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s="1158" t="inlineStr">
        <is>
          <t>RESEIGH KAREN L</t>
        </is>
      </c>
      <c r="AF73" s="1158" t="inlineStr">
        <is>
          <t>YAABTAL INVESTMENTS CO LLC</t>
        </is>
      </c>
      <c r="AI73" s="245">
        <f>IF(AND($E73=Subj_OccCode,Subj_BldgSF&gt;0,ABS($L73-Subj_BldgSF)&lt;=Subj_BldgSF*Subj_SizeTol),ABS($L73-Subj_BldgSF),NA())</f>
        <v/>
      </c>
      <c r="AJ73">
        <f>IF(ISNA(AI73),NA(),AI73+ROW()/10000000)</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s="1158" t="inlineStr">
        <is>
          <t>AAE LLC</t>
        </is>
      </c>
      <c r="AF74" s="1158" t="inlineStr">
        <is>
          <t>GTZ LLC</t>
        </is>
      </c>
      <c r="AI74" s="245">
        <f>IF(AND($E74=Subj_OccCode,Subj_BldgSF&gt;0,ABS($L74-Subj_BldgSF)&lt;=Subj_BldgSF*Subj_SizeTol),ABS($L74-Subj_BldgSF),NA())</f>
        <v/>
      </c>
      <c r="AJ74">
        <f>IF(ISNA(AI74),NA(),AI74+ROW()/10000000)</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s="1158" t="inlineStr">
        <is>
          <t>SEEP INVESTMENTS LLC</t>
        </is>
      </c>
      <c r="AF75" s="1158" t="inlineStr">
        <is>
          <t>3699 W 73RD AVE LLC</t>
        </is>
      </c>
      <c r="AI75" s="245">
        <f>IF(AND($E75=Subj_OccCode,Subj_BldgSF&gt;0,ABS($L75-Subj_BldgSF)&lt;=Subj_BldgSF*Subj_SizeTol),ABS($L75-Subj_BldgSF),NA())</f>
        <v/>
      </c>
      <c r="AJ75">
        <f>IF(ISNA(AI75),NA(),AI75+ROW()/10000000)</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s="1158" t="inlineStr">
        <is>
          <t>ROSLYN STREET PROPERTIES LLC</t>
        </is>
      </c>
      <c r="AF76" s="1158" t="inlineStr">
        <is>
          <t>CHARLES BREWER LLC</t>
        </is>
      </c>
      <c r="AI76" s="245">
        <f>IF(AND($E76=Subj_OccCode,Subj_BldgSF&gt;0,ABS($L76-Subj_BldgSF)&lt;=Subj_BldgSF*Subj_SizeTol),ABS($L76-Subj_BldgSF),NA())</f>
        <v/>
      </c>
      <c r="AJ76">
        <f>IF(ISNA(AI76),NA(),AI76+ROW()/10000000)</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s="1158" t="inlineStr">
        <is>
          <t>REID ROBERT F SR AKA ROBERT, AKA ROBERT FREDERICK SR</t>
        </is>
      </c>
      <c r="AF77" s="1158" t="inlineStr">
        <is>
          <t>OFFEN 5195 LLC</t>
        </is>
      </c>
      <c r="AI77" s="245">
        <f>IF(AND($E77=Subj_OccCode,Subj_BldgSF&gt;0,ABS($L77-Subj_BldgSF)&lt;=Subj_BldgSF*Subj_SizeTol),ABS($L77-Subj_BldgSF),NA())</f>
        <v/>
      </c>
      <c r="AJ77">
        <f>IF(ISNA(AI77),NA(),AI77+ROW()/10000000)</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s="1158" t="inlineStr">
        <is>
          <t>7040 FAIRFAX DRIVE LLC</t>
        </is>
      </c>
      <c r="AF78" s="1158" t="inlineStr">
        <is>
          <t>THE 7040 FAIRFAX DRIVE LLC</t>
        </is>
      </c>
      <c r="AI78" s="245">
        <f>IF(AND($E78=Subj_OccCode,Subj_BldgSF&gt;0,ABS($L78-Subj_BldgSF)&lt;=Subj_BldgSF*Subj_SizeTol),ABS($L78-Subj_BldgSF),NA())</f>
        <v/>
      </c>
      <c r="AJ78">
        <f>IF(ISNA(AI78),NA(),AI78+ROW()/10000000)</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s="1158" t="inlineStr">
        <is>
          <t>PROJECT53 LLC</t>
        </is>
      </c>
      <c r="AF79" s="1158" t="inlineStr">
        <is>
          <t>FALCARRAGH INVESTMENTS LLC</t>
        </is>
      </c>
      <c r="AI79" s="245">
        <f>IF(AND($E79=Subj_OccCode,Subj_BldgSF&gt;0,ABS($L79-Subj_BldgSF)&lt;=Subj_BldgSF*Subj_SizeTol),ABS($L79-Subj_BldgSF),NA())</f>
        <v/>
      </c>
      <c r="AJ79">
        <f>IF(ISNA(AI79),NA(),AI79+ROW()/10000000)</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s="1158" t="inlineStr">
        <is>
          <t>CBA GIAMBROCCO LLLP</t>
        </is>
      </c>
      <c r="AF80" s="1158" t="inlineStr">
        <is>
          <t>DUO INDUSTRIAL LLC</t>
        </is>
      </c>
      <c r="AI80" s="245">
        <f>IF(AND($E80=Subj_OccCode,Subj_BldgSF&gt;0,ABS($L80-Subj_BldgSF)&lt;=Subj_BldgSF*Subj_SizeTol),ABS($L80-Subj_BldgSF),NA())</f>
        <v/>
      </c>
      <c r="AJ80">
        <f>IF(ISNA(AI80),NA(),AI80+ROW()/10000000)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s="1158" t="inlineStr">
        <is>
          <t>MAURER SCOTT AND, MAURER KIMBERLEY W</t>
        </is>
      </c>
      <c r="AF81" s="1158" t="inlineStr">
        <is>
          <t>COLORADO CHILLER SERVICES LLC</t>
        </is>
      </c>
      <c r="AI81" s="245">
        <f>IF(AND($E81=Subj_OccCode,Subj_BldgSF&gt;0,ABS($L81-Subj_BldgSF)&lt;=Subj_BldgSF*Subj_SizeTol),ABS($L81-Subj_BldgSF),NA())</f>
        <v/>
      </c>
      <c r="AJ81">
        <f>IF(ISNA(AI81),NA(),AI81+ROW()/10000000)</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s="1158" t="inlineStr">
        <is>
          <t>KRUPP GLASSMAN &amp; GLASSMAN LLC</t>
        </is>
      </c>
      <c r="AF82" s="1158" t="inlineStr">
        <is>
          <t>7095FEDERAL LLC</t>
        </is>
      </c>
      <c r="AI82" s="245">
        <f>IF(AND($E82=Subj_OccCode,Subj_BldgSF&gt;0,ABS($L82-Subj_BldgSF)&lt;=Subj_BldgSF*Subj_SizeTol),ABS($L82-Subj_BldgSF),NA())</f>
        <v/>
      </c>
      <c r="AJ82">
        <f>IF(ISNA(AI82),NA(),AI82+ROW()/10000000)</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s="1158" t="inlineStr">
        <is>
          <t>5801 LOGAN STREET LLC</t>
        </is>
      </c>
      <c r="AF83" s="1158" t="inlineStr">
        <is>
          <t>DENVER SURFACES LLC</t>
        </is>
      </c>
      <c r="AI83" s="245">
        <f>IF(AND($E83=Subj_OccCode,Subj_BldgSF&gt;0,ABS($L83-Subj_BldgSF)&lt;=Subj_BldgSF*Subj_SizeTol),ABS($L83-Subj_BldgSF),NA())</f>
        <v/>
      </c>
      <c r="AJ83">
        <f>IF(ISNA(AI83),NA(),AI83+ROW()/10000000)</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s="1158" t="inlineStr">
        <is>
          <t>MANHATTAN FUND XXI LLC</t>
        </is>
      </c>
      <c r="AF84" s="1158" t="inlineStr">
        <is>
          <t>RED 64TH LLC</t>
        </is>
      </c>
      <c r="AI84" s="245">
        <f>IF(AND($E84=Subj_OccCode,Subj_BldgSF&gt;0,ABS($L84-Subj_BldgSF)&lt;=Subj_BldgSF*Subj_SizeTol),ABS($L84-Subj_BldgSF),NA())</f>
        <v/>
      </c>
      <c r="AJ84">
        <f>IF(ISNA(AI84),NA(),AI84+ROW()/10000000)</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s="1158" t="inlineStr">
        <is>
          <t>BROCAT LLC</t>
        </is>
      </c>
      <c r="AF85" s="1158" t="inlineStr">
        <is>
          <t>TAMARIZ HOLDINGS LTD</t>
        </is>
      </c>
      <c r="AI85" s="245">
        <f>IF(AND($E85=Subj_OccCode,Subj_BldgSF&gt;0,ABS($L85-Subj_BldgSF)&lt;=Subj_BldgSF*Subj_SizeTol),ABS($L85-Subj_BldgSF),NA())</f>
        <v/>
      </c>
      <c r="AJ85">
        <f>IF(ISNA(AI85),NA(),AI85+ROW()/10000000)</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s="1158" t="inlineStr">
        <is>
          <t>NEUMANN DEBORAH J TRUST THE</t>
        </is>
      </c>
      <c r="AF86" s="1158" t="inlineStr">
        <is>
          <t>PAUL TANNER HOLDINGS LLC</t>
        </is>
      </c>
      <c r="AI86" s="245">
        <f>IF(AND($E86=Subj_OccCode,Subj_BldgSF&gt;0,ABS($L86-Subj_BldgSF)&lt;=Subj_BldgSF*Subj_SizeTol),ABS($L86-Subj_BldgSF),NA())</f>
        <v/>
      </c>
      <c r="AJ86">
        <f>IF(ISNA(AI86),NA(),AI86+ROW()/10000000)</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s="1158" t="inlineStr">
        <is>
          <t>INVESTORS PENCHANT ONE LLC</t>
        </is>
      </c>
      <c r="AF87" s="1158" t="inlineStr">
        <is>
          <t>ES HOLDCO - 1100 WEST MISSISSIPPI AVENUE LLC 36.20% INT AND, ES HOLDCO -  et al.</t>
        </is>
      </c>
      <c r="AI87" s="245">
        <f>IF(AND($E87=Subj_OccCode,Subj_BldgSF&gt;0,ABS($L87-Subj_BldgSF)&lt;=Subj_BldgSF*Subj_SizeTol),ABS($L87-Subj_BldgSF),NA())</f>
        <v/>
      </c>
      <c r="AJ87">
        <f>IF(ISNA(AI87),NA(),AI87+ROW()/10000000)</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s="1158" t="inlineStr">
        <is>
          <t>HARTIGAN PROPERTIES LLC</t>
        </is>
      </c>
      <c r="AF88" s="1158" t="inlineStr">
        <is>
          <t>40 NORTH LLC</t>
        </is>
      </c>
      <c r="AI88" s="245">
        <f>IF(AND($E88=Subj_OccCode,Subj_BldgSF&gt;0,ABS($L88-Subj_BldgSF)&lt;=Subj_BldgSF*Subj_SizeTol),ABS($L88-Subj_BldgSF),NA())</f>
        <v/>
      </c>
      <c r="AJ88">
        <f>IF(ISNA(AI88),NA(),AI88+ROW()/10000000)</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s="1158" t="inlineStr">
        <is>
          <t>JRM ESTATES LLC</t>
        </is>
      </c>
      <c r="AF89" s="1158" t="inlineStr">
        <is>
          <t>LFE STATION LLC</t>
        </is>
      </c>
      <c r="AI89" s="245">
        <f>IF(AND($E89=Subj_OccCode,Subj_BldgSF&gt;0,ABS($L89-Subj_BldgSF)&lt;=Subj_BldgSF*Subj_SizeTol),ABS($L89-Subj_BldgSF),NA())</f>
        <v/>
      </c>
      <c r="AJ89">
        <f>IF(ISNA(AI89),NA(),AI89+ROW()/10000000)</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s="1158" t="inlineStr">
        <is>
          <t>FAGGETT ROBERT L</t>
        </is>
      </c>
      <c r="AF90" s="1158" t="inlineStr">
        <is>
          <t>A-PLUS TARGET LLC</t>
        </is>
      </c>
      <c r="AI90" s="245">
        <f>IF(AND($E90=Subj_OccCode,Subj_BldgSF&gt;0,ABS($L90-Subj_BldgSF)&lt;=Subj_BldgSF*Subj_SizeTol),ABS($L90-Subj_BldgSF),NA())</f>
        <v/>
      </c>
      <c r="AJ90">
        <f>IF(ISNA(AI90),NA(),AI90+ROW()/10000000)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s="1158" t="inlineStr">
        <is>
          <t xml:space="preserve">HAFER DONALD J, BROWN PATRICIA A, </t>
        </is>
      </c>
      <c r="AF91" s="1158" t="inlineStr">
        <is>
          <t>COLORADO BUS PROPERTIES LLC</t>
        </is>
      </c>
      <c r="AI91" s="245">
        <f>IF(AND($E91=Subj_OccCode,Subj_BldgSF&gt;0,ABS($L91-Subj_BldgSF)&lt;=Subj_BldgSF*Subj_SizeTol),ABS($L91-Subj_BldgSF),NA())</f>
        <v/>
      </c>
      <c r="AJ91">
        <f>IF(ISNA(AI91),NA(),AI91+ROW()/10000000)</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s="1158" t="inlineStr">
        <is>
          <t>PARK WEST INVESTMENTS LLC</t>
        </is>
      </c>
      <c r="AF92" s="1158" t="inlineStr">
        <is>
          <t>CO BEST PROP 1 LLC</t>
        </is>
      </c>
      <c r="AI92" s="245">
        <f>IF(AND($E92=Subj_OccCode,Subj_BldgSF&gt;0,ABS($L92-Subj_BldgSF)&lt;=Subj_BldgSF*Subj_SizeTol),ABS($L92-Subj_BldgSF),NA())</f>
        <v/>
      </c>
      <c r="AJ92">
        <f>IF(ISNA(AI92),NA(),AI92+ROW()/10000000)</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s="1158" t="inlineStr">
        <is>
          <t>RAYFIELD PROPERTIES LLC</t>
        </is>
      </c>
      <c r="AF93" s="1158" t="inlineStr">
        <is>
          <t>FRANKLIN FLEX LLC</t>
        </is>
      </c>
      <c r="AI93" s="245">
        <f>IF(AND($E93=Subj_OccCode,Subj_BldgSF&gt;0,ABS($L93-Subj_BldgSF)&lt;=Subj_BldgSF*Subj_SizeTol),ABS($L93-Subj_BldgSF),NA())</f>
        <v/>
      </c>
      <c r="AJ93">
        <f>IF(ISNA(AI93),NA(),AI93+ROW()/10000000)</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s="1158" t="inlineStr">
        <is>
          <t>L AND H LLC</t>
        </is>
      </c>
      <c r="AF94" s="1158" t="inlineStr">
        <is>
          <t>PROMEETHEA LLC</t>
        </is>
      </c>
      <c r="AI94" s="245">
        <f>IF(AND($E94=Subj_OccCode,Subj_BldgSF&gt;0,ABS($L94-Subj_BldgSF)&lt;=Subj_BldgSF*Subj_SizeTol),ABS($L94-Subj_BldgSF),NA())</f>
        <v/>
      </c>
      <c r="AJ94">
        <f>IF(ISNA(AI94),NA(),AI94+ROW()/10000000)</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s="1158" t="inlineStr">
        <is>
          <t>MURPHY WILLIAM R JR</t>
        </is>
      </c>
      <c r="AF95" s="1158" t="inlineStr">
        <is>
          <t>SCOTT ACKERMAN FAMILY LLC</t>
        </is>
      </c>
      <c r="AI95" s="245">
        <f>IF(AND($E95=Subj_OccCode,Subj_BldgSF&gt;0,ABS($L95-Subj_BldgSF)&lt;=Subj_BldgSF*Subj_SizeTol),ABS($L95-Subj_BldgSF),NA())</f>
        <v/>
      </c>
      <c r="AJ95">
        <f>IF(ISNA(AI95),NA(),AI95+ROW()/10000000)</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s="1158" t="inlineStr">
        <is>
          <t>HAMON LLC</t>
        </is>
      </c>
      <c r="AF96" s="1158" t="inlineStr">
        <is>
          <t>VIA MOBILITY SERVICES</t>
        </is>
      </c>
      <c r="AI96" s="245">
        <f>IF(AND($E96=Subj_OccCode,Subj_BldgSF&gt;0,ABS($L96-Subj_BldgSF)&lt;=Subj_BldgSF*Subj_SizeTol),ABS($L96-Subj_BldgSF),NA())</f>
        <v/>
      </c>
      <c r="AJ96">
        <f>IF(ISNA(AI96),NA(),AI96+ROW()/10000000)</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s="1158" t="inlineStr">
        <is>
          <t>CHAI INVESTMENTS LLC</t>
        </is>
      </c>
      <c r="AF97" s="1158" t="inlineStr">
        <is>
          <t>DENVER WASHINGTON ST LLC</t>
        </is>
      </c>
      <c r="AI97" s="245">
        <f>IF(AND($E97=Subj_OccCode,Subj_BldgSF&gt;0,ABS($L97-Subj_BldgSF)&lt;=Subj_BldgSF*Subj_SizeTol),ABS($L97-Subj_BldgSF),NA())</f>
        <v/>
      </c>
      <c r="AJ97">
        <f>IF(ISNA(AI97),NA(),AI97+ROW()/10000000)</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s="1158" t="inlineStr">
        <is>
          <t>67TH STREET ACQUISITIONS LLC</t>
        </is>
      </c>
      <c r="AF98" s="1158" t="inlineStr">
        <is>
          <t>J AND R SERVICES LLC</t>
        </is>
      </c>
      <c r="AI98" s="245">
        <f>IF(AND($E98=Subj_OccCode,Subj_BldgSF&gt;0,ABS($L98-Subj_BldgSF)&lt;=Subj_BldgSF*Subj_SizeTol),ABS($L98-Subj_BldgSF),NA())</f>
        <v/>
      </c>
      <c r="AJ98">
        <f>IF(ISNA(AI98),NA(),AI98+ROW()/10000000)</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s="1158" t="inlineStr">
        <is>
          <t>GRAEME JOHNSTON LLC</t>
        </is>
      </c>
      <c r="AF99" s="1158" t="inlineStr">
        <is>
          <t>DMG MARBLE &amp; GRANITE DESIGNER INC</t>
        </is>
      </c>
      <c r="AI99" s="245">
        <f>IF(AND($E99=Subj_OccCode,Subj_BldgSF&gt;0,ABS($L99-Subj_BldgSF)&lt;=Subj_BldgSF*Subj_SizeTol),ABS($L99-Subj_BldgSF),NA())</f>
        <v/>
      </c>
      <c r="AJ99">
        <f>IF(ISNA(AI99),NA(),AI99+ROW()/10000000)</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s="1158" t="inlineStr">
        <is>
          <t>ALL SECURE SELF STORAGE LLC</t>
        </is>
      </c>
      <c r="AF100" s="1158" t="inlineStr">
        <is>
          <t>MHC 282 (HENDERSON CO) LLC</t>
        </is>
      </c>
      <c r="AI100" s="245">
        <f>IF(AND($E100=Subj_OccCode,Subj_BldgSF&gt;0,ABS($L100-Subj_BldgSF)&lt;=Subj_BldgSF*Subj_SizeTol),ABS($L100-Subj_BldgSF),NA())</f>
        <v/>
      </c>
      <c r="AJ100">
        <f>IF(ISNA(AI100),NA(),AI100+ROW()/10000000)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s="1158" t="inlineStr">
        <is>
          <t>PRIMA CARE CARE LLC</t>
        </is>
      </c>
      <c r="AF101" s="1158" t="inlineStr">
        <is>
          <t>TIMA TX LLC</t>
        </is>
      </c>
      <c r="AI101" s="245">
        <f>IF(AND($E101=Subj_OccCode,Subj_BldgSF&gt;0,ABS($L101-Subj_BldgSF)&lt;=Subj_BldgSF*Subj_SizeTol),ABS($L101-Subj_BldgSF),NA())</f>
        <v/>
      </c>
      <c r="AJ101">
        <f>IF(ISNA(AI101),NA(),AI101+ROW()/10000000)</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s="1158" t="inlineStr">
        <is>
          <t>THE GARAGE SOCIETY HOLDINGS LLC</t>
        </is>
      </c>
      <c r="AF102" s="1158" t="inlineStr">
        <is>
          <t>RASHER JEFFRY W AND, RASHER SUZI L</t>
        </is>
      </c>
      <c r="AI102" s="245">
        <f>IF(AND($E102=Subj_OccCode,Subj_BldgSF&gt;0,ABS($L102-Subj_BldgSF)&lt;=Subj_BldgSF*Subj_SizeTol),ABS($L102-Subj_BldgSF),NA())</f>
        <v/>
      </c>
      <c r="AJ102">
        <f>IF(ISNA(AI102),NA(),AI102+ROW()/10000000)</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s="1158" t="inlineStr">
        <is>
          <t>HONNEN PARTNERS L L C</t>
        </is>
      </c>
      <c r="AF103" s="1158" t="inlineStr">
        <is>
          <t>4 RIVERS PROPERTIES COMMERCE CITY II LLC</t>
        </is>
      </c>
      <c r="AI103" s="245">
        <f>IF(AND($E103=Subj_OccCode,Subj_BldgSF&gt;0,ABS($L103-Subj_BldgSF)&lt;=Subj_BldgSF*Subj_SizeTol),ABS($L103-Subj_BldgSF),NA())</f>
        <v/>
      </c>
      <c r="AJ103">
        <f>IF(ISNA(AI103),NA(),AI103+ROW()/10000000)</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s="1158" t="inlineStr">
        <is>
          <t>BUBB LLC</t>
        </is>
      </c>
      <c r="AF104" s="1158" t="inlineStr">
        <is>
          <t>SDF3 4701 E 60TH AVE LLC</t>
        </is>
      </c>
      <c r="AI104" s="245">
        <f>IF(AND($E104=Subj_OccCode,Subj_BldgSF&gt;0,ABS($L104-Subj_BldgSF)&lt;=Subj_BldgSF*Subj_SizeTol),ABS($L104-Subj_BldgSF),NA())</f>
        <v/>
      </c>
      <c r="AJ104">
        <f>IF(ISNA(AI104),NA(),AI104+ROW()/10000000)</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s="1158" t="inlineStr">
        <is>
          <t>PRIMA CAR CARE LLC</t>
        </is>
      </c>
      <c r="AF105" s="1158" t="inlineStr">
        <is>
          <t>SEARLES INVESTMENTS LLC</t>
        </is>
      </c>
      <c r="AI105" s="245">
        <f>IF(AND($E105=Subj_OccCode,Subj_BldgSF&gt;0,ABS($L105-Subj_BldgSF)&lt;=Subj_BldgSF*Subj_SizeTol),ABS($L105-Subj_BldgSF),NA())</f>
        <v/>
      </c>
      <c r="AJ105">
        <f>IF(ISNA(AI105),NA(),AI105+ROW()/10000000)</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s="1158" t="inlineStr">
        <is>
          <t>7160 IRVING STREET LLC</t>
        </is>
      </c>
      <c r="AF106" s="1158" t="inlineStr">
        <is>
          <t>BLUELINE 3250 W 72ND AVE LLC</t>
        </is>
      </c>
      <c r="AI106" s="245">
        <f>IF(AND($E106=Subj_OccCode,Subj_BldgSF&gt;0,ABS($L106-Subj_BldgSF)&lt;=Subj_BldgSF*Subj_SizeTol),ABS($L106-Subj_BldgSF),NA())</f>
        <v/>
      </c>
      <c r="AJ106">
        <f>IF(ISNA(AI106),NA(),AI106+ROW()/10000000)</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s="1158" t="inlineStr">
        <is>
          <t>H.N.K. INVESTMENT LLC</t>
        </is>
      </c>
      <c r="AF107" s="1158" t="inlineStr">
        <is>
          <t>BOSSELMAN TANK &amp; TRAILER INC</t>
        </is>
      </c>
      <c r="AI107" s="245">
        <f>IF(AND($E107=Subj_OccCode,Subj_BldgSF&gt;0,ABS($L107-Subj_BldgSF)&lt;=Subj_BldgSF*Subj_SizeTol),ABS($L107-Subj_BldgSF),NA())</f>
        <v/>
      </c>
      <c r="AJ107">
        <f>IF(ISNA(AI107),NA(),AI107+ROW()/10000000)</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s="1158" t="inlineStr">
        <is>
          <t>OGDEN MCHENRY FAMILY TRUST</t>
        </is>
      </c>
      <c r="AF108" s="1158" t="inlineStr">
        <is>
          <t>DWV PROPERTIES LLC</t>
        </is>
      </c>
      <c r="AI108" s="245">
        <f>IF(AND($E108=Subj_OccCode,Subj_BldgSF&gt;0,ABS($L108-Subj_BldgSF)&lt;=Subj_BldgSF*Subj_SizeTol),ABS($L108-Subj_BldgSF),NA())</f>
        <v/>
      </c>
      <c r="AJ108">
        <f>IF(ISNA(AI108),NA(),AI108+ROW()/10000000)</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s="1158" t="inlineStr">
        <is>
          <t>FREEDMAN ROBERT ANDREW AND , FREEDMAN LORI ELAINE</t>
        </is>
      </c>
      <c r="AF109" s="1158" t="inlineStr">
        <is>
          <t>NOVE COMMERCIAL LLC</t>
        </is>
      </c>
      <c r="AI109" s="245">
        <f>IF(AND($E109=Subj_OccCode,Subj_BldgSF&gt;0,ABS($L109-Subj_BldgSF)&lt;=Subj_BldgSF*Subj_SizeTol),ABS($L109-Subj_BldgSF),NA())</f>
        <v/>
      </c>
      <c r="AJ109">
        <f>IF(ISNA(AI109),NA(),AI109+ROW()/10000000)</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s="1158" t="inlineStr">
        <is>
          <t>2611 WEST 64TH AVENUE UNIT F LLC</t>
        </is>
      </c>
      <c r="AF110" s="1158" t="inlineStr">
        <is>
          <t>DE LA CRUZ PROPERTY LLC</t>
        </is>
      </c>
      <c r="AI110" s="245">
        <f>IF(AND($E110=Subj_OccCode,Subj_BldgSF&gt;0,ABS($L110-Subj_BldgSF)&lt;=Subj_BldgSF*Subj_SizeTol),ABS($L110-Subj_BldgSF),NA())</f>
        <v/>
      </c>
      <c r="AJ110">
        <f>IF(ISNA(AI110),NA(),AI110+ROW()/10000000)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s="1158" t="inlineStr">
        <is>
          <t>POOR BOY PROPERTIES LLC</t>
        </is>
      </c>
      <c r="AF111" s="1158" t="inlineStr">
        <is>
          <t>JAIMBE LLC</t>
        </is>
      </c>
      <c r="AI111" s="245">
        <f>IF(AND($E111=Subj_OccCode,Subj_BldgSF&gt;0,ABS($L111-Subj_BldgSF)&lt;=Subj_BldgSF*Subj_SizeTol),ABS($L111-Subj_BldgSF),NA())</f>
        <v/>
      </c>
      <c r="AJ111">
        <f>IF(ISNA(AI111),NA(),AI111+ROW()/10000000)</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s="1158" t="inlineStr">
        <is>
          <t>429 BRIDGE STREET LLC</t>
        </is>
      </c>
      <c r="AF112" s="1158" t="inlineStr">
        <is>
          <t>VIGIL JENIFER D.</t>
        </is>
      </c>
      <c r="AI112" s="245">
        <f>IF(AND($E112=Subj_OccCode,Subj_BldgSF&gt;0,ABS($L112-Subj_BldgSF)&lt;=Subj_BldgSF*Subj_SizeTol),ABS($L112-Subj_BldgSF),NA())</f>
        <v/>
      </c>
      <c r="AJ112">
        <f>IF(ISNA(AI112),NA(),AI112+ROW()/10000000)</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s="1158" t="inlineStr">
        <is>
          <t>75 PARTNERSHIP LLC</t>
        </is>
      </c>
      <c r="AF113" s="1158" t="inlineStr">
        <is>
          <t>VIGIL JENIFER D</t>
        </is>
      </c>
      <c r="AI113" s="245">
        <f>IF(AND($E113=Subj_OccCode,Subj_BldgSF&gt;0,ABS($L113-Subj_BldgSF)&lt;=Subj_BldgSF*Subj_SizeTol),ABS($L113-Subj_BldgSF),NA())</f>
        <v/>
      </c>
      <c r="AJ113">
        <f>IF(ISNA(AI113),NA(),AI113+ROW()/10000000)</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s="1158" t="inlineStr">
        <is>
          <t>133# RAIL LLC 90% INT AND, E AND K INVESTING LLC 10% INT</t>
        </is>
      </c>
      <c r="AF114" s="1158" t="inlineStr">
        <is>
          <t>CALHOUN STREET INDUSTRIAL LLC</t>
        </is>
      </c>
      <c r="AI114" s="245">
        <f>IF(AND($E114=Subj_OccCode,Subj_BldgSF&gt;0,ABS($L114-Subj_BldgSF)&lt;=Subj_BldgSF*Subj_SizeTol),ABS($L114-Subj_BldgSF),NA())</f>
        <v/>
      </c>
      <c r="AJ114">
        <f>IF(ISNA(AI114),NA(),AI114+ROW()/10000000)</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s="1158" t="inlineStr">
        <is>
          <t>JAMES RUSSELL PROPERTIES LLC</t>
        </is>
      </c>
      <c r="AF115" s="1158" t="inlineStr">
        <is>
          <t>VITAL RE LLC</t>
        </is>
      </c>
      <c r="AI115" s="245">
        <f>IF(AND($E115=Subj_OccCode,Subj_BldgSF&gt;0,ABS($L115-Subj_BldgSF)&lt;=Subj_BldgSF*Subj_SizeTol),ABS($L115-Subj_BldgSF),NA())</f>
        <v/>
      </c>
      <c r="AJ115">
        <f>IF(ISNA(AI115),NA(),AI115+ROW()/10000000)</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s="1158" t="inlineStr">
        <is>
          <t>10783 IRMA DRIVE LLC</t>
        </is>
      </c>
      <c r="AF116" s="1158" t="inlineStr">
        <is>
          <t>UNIQUE PROPERTY LLC</t>
        </is>
      </c>
      <c r="AI116" s="245">
        <f>IF(AND($E116=Subj_OccCode,Subj_BldgSF&gt;0,ABS($L116-Subj_BldgSF)&lt;=Subj_BldgSF*Subj_SizeTol),ABS($L116-Subj_BldgSF),NA())</f>
        <v/>
      </c>
      <c r="AJ116">
        <f>IF(ISNA(AI116),NA(),AI116+ROW()/10000000)</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s="1158" t="inlineStr">
        <is>
          <t>THE HILLS STORE INC</t>
        </is>
      </c>
      <c r="AF117" s="1158" t="inlineStr">
        <is>
          <t>8801 LOWELL BLVD LLC</t>
        </is>
      </c>
      <c r="AI117" s="245">
        <f>IF(AND($E117=Subj_OccCode,Subj_BldgSF&gt;0,ABS($L117-Subj_BldgSF)&lt;=Subj_BldgSF*Subj_SizeTol),ABS($L117-Subj_BldgSF),NA())</f>
        <v/>
      </c>
      <c r="AJ117">
        <f>IF(ISNA(AI117),NA(),AI117+ROW()/10000000)</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s="1158" t="inlineStr">
        <is>
          <t>PAVILIONS PL LLC</t>
        </is>
      </c>
      <c r="AF118" s="1158" t="inlineStr">
        <is>
          <t>ORNELAS MANUEL AND, ORNELAS DEBORAH A</t>
        </is>
      </c>
      <c r="AI118" s="245">
        <f>IF(AND($E118=Subj_OccCode,Subj_BldgSF&gt;0,ABS($L118-Subj_BldgSF)&lt;=Subj_BldgSF*Subj_SizeTol),ABS($L118-Subj_BldgSF),NA())</f>
        <v/>
      </c>
      <c r="AJ118">
        <f>IF(ISNA(AI118),NA(),AI118+ROW()/10000000)</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s="1158" t="inlineStr">
        <is>
          <t>VILLANUEVA-MACIAS IGNACIO</t>
        </is>
      </c>
      <c r="AF119" s="1158" t="inlineStr">
        <is>
          <t>2890 W 92ND AVENUE LLC</t>
        </is>
      </c>
      <c r="AI119" s="245">
        <f>IF(AND($E119=Subj_OccCode,Subj_BldgSF&gt;0,ABS($L119-Subj_BldgSF)&lt;=Subj_BldgSF*Subj_SizeTol),ABS($L119-Subj_BldgSF),NA())</f>
        <v/>
      </c>
      <c r="AJ119">
        <f>IF(ISNA(AI119),NA(),AI119+ROW()/10000000)</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s="1158" t="inlineStr">
        <is>
          <t>MEDINA ART L AND, MEDINA URSULA</t>
        </is>
      </c>
      <c r="AF120" s="1158" t="inlineStr">
        <is>
          <t>LUEVANO INVESTMENTS LLC</t>
        </is>
      </c>
      <c r="AI120" s="245">
        <f>IF(AND($E120=Subj_OccCode,Subj_BldgSF&gt;0,ABS($L120-Subj_BldgSF)&lt;=Subj_BldgSF*Subj_SizeTol),ABS($L120-Subj_BldgSF),NA())</f>
        <v/>
      </c>
      <c r="AJ120">
        <f>IF(ISNA(AI120),NA(),AI120+ROW()/10000000)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s="1158" t="inlineStr">
        <is>
          <t>ANYHOME INVESTMENT GROUP LLC</t>
        </is>
      </c>
      <c r="AF121" s="1158" t="inlineStr">
        <is>
          <t>PROFESSIONAL FINANCIAL SERVICES CORP</t>
        </is>
      </c>
      <c r="AI121" s="245">
        <f>IF(AND($E121=Subj_OccCode,Subj_BldgSF&gt;0,ABS($L121-Subj_BldgSF)&lt;=Subj_BldgSF*Subj_SizeTol),ABS($L121-Subj_BldgSF),NA())</f>
        <v/>
      </c>
      <c r="AJ121">
        <f>IF(ISNA(AI121),NA(),AI121+ROW()/10000000)</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s="1158" t="inlineStr">
        <is>
          <t>SPEC WHEELS OF AMERICA INC</t>
        </is>
      </c>
      <c r="AF122" s="1158" t="inlineStr">
        <is>
          <t>4990 PARIS STREET LLC</t>
        </is>
      </c>
      <c r="AI122" s="245">
        <f>IF(AND($E122=Subj_OccCode,Subj_BldgSF&gt;0,ABS($L122-Subj_BldgSF)&lt;=Subj_BldgSF*Subj_SizeTol),ABS($L122-Subj_BldgSF),NA())</f>
        <v/>
      </c>
      <c r="AJ122">
        <f>IF(ISNA(AI122),NA(),AI122+ROW()/10000000)</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s="1158" t="inlineStr">
        <is>
          <t>STOPA LEOPOLD ADAM FAMILY TRUST 48/68%, STOPA LEOPOLD ADAM MARITAN TRUST  et al.</t>
        </is>
      </c>
      <c r="AF123" s="1158" t="inlineStr">
        <is>
          <t>MHC 920 LLC</t>
        </is>
      </c>
      <c r="AI123" s="245">
        <f>IF(AND($E123=Subj_OccCode,Subj_BldgSF&gt;0,ABS($L123-Subj_BldgSF)&lt;=Subj_BldgSF*Subj_SizeTol),ABS($L123-Subj_BldgSF),NA())</f>
        <v/>
      </c>
      <c r="AJ123">
        <f>IF(ISNA(AI123),NA(),AI123+ROW()/10000000)</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s="1158" t="inlineStr">
        <is>
          <t>ROZA KAYKOVA LLC</t>
        </is>
      </c>
      <c r="AF124" s="1158" t="inlineStr">
        <is>
          <t>TAPIA INC</t>
        </is>
      </c>
      <c r="AI124" s="245">
        <f>IF(AND($E124=Subj_OccCode,Subj_BldgSF&gt;0,ABS($L124-Subj_BldgSF)&lt;=Subj_BldgSF*Subj_SizeTol),ABS($L124-Subj_BldgSF),NA())</f>
        <v/>
      </c>
      <c r="AJ124">
        <f>IF(ISNA(AI124),NA(),AI124+ROW()/10000000)</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s="1158" t="inlineStr">
        <is>
          <t>KLV INVESTMENTS LLC</t>
        </is>
      </c>
      <c r="AF125" s="1158" t="inlineStr">
        <is>
          <t>ENZO FLYING MACHINE LLC</t>
        </is>
      </c>
      <c r="AI125" s="245">
        <f>IF(AND($E125=Subj_OccCode,Subj_BldgSF&gt;0,ABS($L125-Subj_BldgSF)&lt;=Subj_BldgSF*Subj_SizeTol),ABS($L125-Subj_BldgSF),NA())</f>
        <v/>
      </c>
      <c r="AJ125">
        <f>IF(ISNA(AI125),NA(),AI125+ROW()/10000000)</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s="1158" t="inlineStr">
        <is>
          <t>MMCG TNET COLORADO LLC</t>
        </is>
      </c>
      <c r="AF126" s="1158" t="inlineStr">
        <is>
          <t>THE CRONIN FAMILY TRUST</t>
        </is>
      </c>
      <c r="AI126" s="245">
        <f>IF(AND($E126=Subj_OccCode,Subj_BldgSF&gt;0,ABS($L126-Subj_BldgSF)&lt;=Subj_BldgSF*Subj_SizeTol),ABS($L126-Subj_BldgSF),NA())</f>
        <v/>
      </c>
      <c r="AJ126">
        <f>IF(ISNA(AI126),NA(),AI126+ROW()/10000000)</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s="1158" t="inlineStr">
        <is>
          <t>XM HOLDINGS LLC AND, K&amp;V HOLDINGS LLC</t>
        </is>
      </c>
      <c r="AF127" s="1158" t="inlineStr">
        <is>
          <t>II LAWS REAL ESTATE LLC</t>
        </is>
      </c>
      <c r="AI127" s="245">
        <f>IF(AND($E127=Subj_OccCode,Subj_BldgSF&gt;0,ABS($L127-Subj_BldgSF)&lt;=Subj_BldgSF*Subj_SizeTol),ABS($L127-Subj_BldgSF),NA())</f>
        <v/>
      </c>
      <c r="AJ127">
        <f>IF(ISNA(AI127),NA(),AI127+ROW()/10000000)</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s="1158" t="inlineStr">
        <is>
          <t>LONE STAR HOLDINGS LLC</t>
        </is>
      </c>
      <c r="AF128" s="1158" t="inlineStr">
        <is>
          <t>STEEL CITY HOLDINGS LLC</t>
        </is>
      </c>
      <c r="AI128" s="245">
        <f>IF(AND($E128=Subj_OccCode,Subj_BldgSF&gt;0,ABS($L128-Subj_BldgSF)&lt;=Subj_BldgSF*Subj_SizeTol),ABS($L128-Subj_BldgSF),NA())</f>
        <v/>
      </c>
      <c r="AJ128">
        <f>IF(ISNA(AI128),NA(),AI128+ROW()/10000000)</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s="1158" t="inlineStr">
        <is>
          <t>NNN 128 QUEBEC LLC</t>
        </is>
      </c>
      <c r="AF129" s="1158" t="inlineStr">
        <is>
          <t>KMR REAL ESTATE LLC</t>
        </is>
      </c>
      <c r="AI129" s="245">
        <f>IF(AND($E129=Subj_OccCode,Subj_BldgSF&gt;0,ABS($L129-Subj_BldgSF)&lt;=Subj_BldgSF*Subj_SizeTol),ABS($L129-Subj_BldgSF),NA())</f>
        <v/>
      </c>
      <c r="AJ129">
        <f>IF(ISNA(AI129),NA(),AI129+ROW()/10000000)</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s="1158" t="inlineStr">
        <is>
          <t>RK EVBK COMMERCE CITY LLC, C/O READ KING, INC</t>
        </is>
      </c>
      <c r="AF130" s="1158" t="inlineStr">
        <is>
          <t>REALTY INCOME PROPERTIES 26 LLC</t>
        </is>
      </c>
      <c r="AI130" s="245">
        <f>IF(AND($E130=Subj_OccCode,Subj_BldgSF&gt;0,ABS($L130-Subj_BldgSF)&lt;=Subj_BldgSF*Subj_SizeTol),ABS($L130-Subj_BldgSF),NA())</f>
        <v/>
      </c>
      <c r="AJ130">
        <f>IF(ISNA(AI130),NA(),AI130+ROW()/10000000)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s="1158" t="inlineStr">
        <is>
          <t>37851 51ST AVE HANGAR OWNERS ASSOCIATION INC</t>
        </is>
      </c>
      <c r="AF131" s="1158" t="inlineStr">
        <is>
          <t>CD SYDNEY AVIATION LLC</t>
        </is>
      </c>
      <c r="AI131" s="245">
        <f>IF(AND($E131=Subj_OccCode,Subj_BldgSF&gt;0,ABS($L131-Subj_BldgSF)&lt;=Subj_BldgSF*Subj_SizeTol),ABS($L131-Subj_BldgSF),NA())</f>
        <v/>
      </c>
      <c r="AJ131">
        <f>IF(ISNA(AI131),NA(),AI131+ROW()/10000000)</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s="1158" t="inlineStr">
        <is>
          <t>66 S MAIN LLC</t>
        </is>
      </c>
      <c r="AF132" s="1158" t="inlineStr">
        <is>
          <t>BRENNER ERIC</t>
        </is>
      </c>
      <c r="AI132" s="245">
        <f>IF(AND($E132=Subj_OccCode,Subj_BldgSF&gt;0,ABS($L132-Subj_BldgSF)&lt;=Subj_BldgSF*Subj_SizeTol),ABS($L132-Subj_BldgSF),NA())</f>
        <v/>
      </c>
      <c r="AJ132">
        <f>IF(ISNA(AI132),NA(),AI132+ROW()/10000000)</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s="1158" t="inlineStr">
        <is>
          <t>2090 E 104TH LLC</t>
        </is>
      </c>
      <c r="AF133" s="1158" t="inlineStr">
        <is>
          <t>PAUL M COHEN AND JANET A COHEN 1993 TRUST AND, WAALE LLC</t>
        </is>
      </c>
      <c r="AI133" s="245">
        <f>IF(AND($E133=Subj_OccCode,Subj_BldgSF&gt;0,ABS($L133-Subj_BldgSF)&lt;=Subj_BldgSF*Subj_SizeTol),ABS($L133-Subj_BldgSF),NA())</f>
        <v/>
      </c>
      <c r="AJ133">
        <f>IF(ISNA(AI133),NA(),AI133+ROW()/10000000)</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s="1158" t="inlineStr">
        <is>
          <t>HOLTS LLC</t>
        </is>
      </c>
      <c r="AF134" s="1158" t="inlineStr">
        <is>
          <t>S&amp;P CORP</t>
        </is>
      </c>
      <c r="AI134" s="245">
        <f>IF(AND($E134=Subj_OccCode,Subj_BldgSF&gt;0,ABS($L134-Subj_BldgSF)&lt;=Subj_BldgSF*Subj_SizeTol),ABS($L134-Subj_BldgSF),NA())</f>
        <v/>
      </c>
      <c r="AJ134">
        <f>IF(ISNA(AI134),NA(),AI134+ROW()/10000000)</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s="1158" t="inlineStr">
        <is>
          <t>BRAZZELL DAVID R AND, BRAZZELL BRIAN J</t>
        </is>
      </c>
      <c r="AF135" s="1158" t="inlineStr">
        <is>
          <t>IMPRESSION CARPET CLEANING LLC</t>
        </is>
      </c>
      <c r="AI135" s="245">
        <f>IF(AND($E135=Subj_OccCode,Subj_BldgSF&gt;0,ABS($L135-Subj_BldgSF)&lt;=Subj_BldgSF*Subj_SizeTol),ABS($L135-Subj_BldgSF),NA())</f>
        <v/>
      </c>
      <c r="AJ135">
        <f>IF(ISNA(AI135),NA(),AI135+ROW()/10000000)</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s="1158" t="inlineStr">
        <is>
          <t>CTTW HOLDINGS LLC AND MARSCH NICHOLAS AND, MARSCH &amp; BAKOUCHE RENTALS LLC ET AL</t>
        </is>
      </c>
      <c r="AF136" s="1158" t="inlineStr">
        <is>
          <t>LOCK AWAY COLORADO LLC</t>
        </is>
      </c>
      <c r="AI136" s="245">
        <f>IF(AND($E136=Subj_OccCode,Subj_BldgSF&gt;0,ABS($L136-Subj_BldgSF)&lt;=Subj_BldgSF*Subj_SizeTol),ABS($L136-Subj_BldgSF),NA())</f>
        <v/>
      </c>
      <c r="AJ136">
        <f>IF(ISNA(AI136),NA(),AI136+ROW()/10000000)</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s="1158" t="inlineStr">
        <is>
          <t>DCW FAMILY HOLDINGS LLC</t>
        </is>
      </c>
      <c r="AF137" s="1158" t="inlineStr">
        <is>
          <t>SKYLINE PRINCIPAL INVESTORS II LLC</t>
        </is>
      </c>
      <c r="AI137" s="245">
        <f>IF(AND($E137=Subj_OccCode,Subj_BldgSF&gt;0,ABS($L137-Subj_BldgSF)&lt;=Subj_BldgSF*Subj_SizeTol),ABS($L137-Subj_BldgSF),NA())</f>
        <v/>
      </c>
      <c r="AJ137">
        <f>IF(ISNA(AI137),NA(),AI137+ROW()/10000000)</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s="1158" t="inlineStr">
        <is>
          <t>FIVEKC LLC</t>
        </is>
      </c>
      <c r="AF138" s="1158" t="inlineStr">
        <is>
          <t>CAH CO COMMERCE CITY LLC</t>
        </is>
      </c>
      <c r="AI138" s="245">
        <f>IF(AND($E138=Subj_OccCode,Subj_BldgSF&gt;0,ABS($L138-Subj_BldgSF)&lt;=Subj_BldgSF*Subj_SizeTol),ABS($L138-Subj_BldgSF),NA())</f>
        <v/>
      </c>
      <c r="AJ138">
        <f>IF(ISNA(AI138),NA(),AI138+ROW()/10000000)</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s="1158" t="inlineStr">
        <is>
          <t>NORMAN GAUGER INC</t>
        </is>
      </c>
      <c r="AF139" s="1158" t="inlineStr">
        <is>
          <t>72 AVE LLC, C/O SHI BING KE</t>
        </is>
      </c>
      <c r="AI139" s="245">
        <f>IF(AND($E139=Subj_OccCode,Subj_BldgSF&gt;0,ABS($L139-Subj_BldgSF)&lt;=Subj_BldgSF*Subj_SizeTol),ABS($L139-Subj_BldgSF),NA())</f>
        <v/>
      </c>
      <c r="AJ139">
        <f>IF(ISNA(AI139),NA(),AI139+ROW()/10000000)</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s="1158" t="inlineStr">
        <is>
          <t>2896 W 64TH AVE LLC</t>
        </is>
      </c>
      <c r="AF140" s="1158" t="inlineStr">
        <is>
          <t>THE MCC AMIGOS LLC</t>
        </is>
      </c>
      <c r="AI140" s="245">
        <f>IF(AND($E140=Subj_OccCode,Subj_BldgSF&gt;0,ABS($L140-Subj_BldgSF)&lt;=Subj_BldgSF*Subj_SizeTol),ABS($L140-Subj_BldgSF),NA())</f>
        <v/>
      </c>
      <c r="AJ140">
        <f>IF(ISNA(AI140),NA(),AI140+ROW()/10000000)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s="1158" t="inlineStr">
        <is>
          <t>NG21 LP</t>
        </is>
      </c>
      <c r="AF141" s="1158" t="inlineStr">
        <is>
          <t>BRAKES PLUS LLC</t>
        </is>
      </c>
      <c r="AI141" s="245">
        <f>IF(AND($E141=Subj_OccCode,Subj_BldgSF&gt;0,ABS($L141-Subj_BldgSF)&lt;=Subj_BldgSF*Subj_SizeTol),ABS($L141-Subj_BldgSF),NA())</f>
        <v/>
      </c>
      <c r="AJ141">
        <f>IF(ISNA(AI141),NA(),AI141+ROW()/10000000)</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s="1158" t="inlineStr">
        <is>
          <t>KICKBUSH DOM AND, KICKBUSH ANA</t>
        </is>
      </c>
      <c r="AF142" s="1158" t="inlineStr">
        <is>
          <t>SLLI PROPERTIES LLC</t>
        </is>
      </c>
      <c r="AI142" s="245">
        <f>IF(AND($E142=Subj_OccCode,Subj_BldgSF&gt;0,ABS($L142-Subj_BldgSF)&lt;=Subj_BldgSF*Subj_SizeTol),ABS($L142-Subj_BldgSF),NA())</f>
        <v/>
      </c>
      <c r="AJ142">
        <f>IF(ISNA(AI142),NA(),AI142+ROW()/10000000)</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s="1158" t="inlineStr">
        <is>
          <t>JACKSON LARRY DEAN</t>
        </is>
      </c>
      <c r="AF143" s="1158" t="inlineStr">
        <is>
          <t>RBF ENTERPRISES LLC</t>
        </is>
      </c>
      <c r="AI143" s="245">
        <f>IF(AND($E143=Subj_OccCode,Subj_BldgSF&gt;0,ABS($L143-Subj_BldgSF)&lt;=Subj_BldgSF*Subj_SizeTol),ABS($L143-Subj_BldgSF),NA())</f>
        <v/>
      </c>
      <c r="AJ143">
        <f>IF(ISNA(AI143),NA(),AI143+ROW()/10000000)</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s="1158" t="inlineStr">
        <is>
          <t>CMS HOLDINGS LLC</t>
        </is>
      </c>
      <c r="AF144" s="1158" t="inlineStr">
        <is>
          <t>REINVENTION J HOLDINGS LLC</t>
        </is>
      </c>
      <c r="AI144" s="245">
        <f>IF(AND($E144=Subj_OccCode,Subj_BldgSF&gt;0,ABS($L144-Subj_BldgSF)&lt;=Subj_BldgSF*Subj_SizeTol),ABS($L144-Subj_BldgSF),NA())</f>
        <v/>
      </c>
      <c r="AJ144">
        <f>IF(ISNA(AI144),NA(),AI144+ROW()/10000000)</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s="1158" t="inlineStr">
        <is>
          <t>7205 MEADE LLC</t>
        </is>
      </c>
      <c r="AF145" s="1158" t="inlineStr">
        <is>
          <t>COLLECTIVE CULTURE LLC</t>
        </is>
      </c>
      <c r="AI145" s="245">
        <f>IF(AND($E145=Subj_OccCode,Subj_BldgSF&gt;0,ABS($L145-Subj_BldgSF)&lt;=Subj_BldgSF*Subj_SizeTol),ABS($L145-Subj_BldgSF),NA())</f>
        <v/>
      </c>
      <c r="AJ145">
        <f>IF(ISNA(AI145),NA(),AI145+ROW()/10000000)</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s="1158" t="inlineStr">
        <is>
          <t>WARD REALTY CORPORATION</t>
        </is>
      </c>
      <c r="AF146" s="1158" t="inlineStr">
        <is>
          <t>GVII-ZS YOSEMITE OWNER LLC</t>
        </is>
      </c>
      <c r="AI146" s="245">
        <f>IF(AND($E146=Subj_OccCode,Subj_BldgSF&gt;0,ABS($L146-Subj_BldgSF)&lt;=Subj_BldgSF*Subj_SizeTol),ABS($L146-Subj_BldgSF),NA())</f>
        <v/>
      </c>
      <c r="AJ146">
        <f>IF(ISNA(AI146),NA(),AI146+ROW()/10000000)</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s="1158" t="inlineStr">
        <is>
          <t xml:space="preserve">BEGLEY OTHEL BAXTER AND , KOZA JEFFREY P </t>
        </is>
      </c>
      <c r="AF147" s="1158" t="inlineStr">
        <is>
          <t>NCW GROUP LLC</t>
        </is>
      </c>
      <c r="AI147" s="245">
        <f>IF(AND($E147=Subj_OccCode,Subj_BldgSF&gt;0,ABS($L147-Subj_BldgSF)&lt;=Subj_BldgSF*Subj_SizeTol),ABS($L147-Subj_BldgSF),NA())</f>
        <v/>
      </c>
      <c r="AJ147">
        <f>IF(ISNA(AI147),NA(),AI147+ROW()/10000000)</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s="1158" t="inlineStr">
        <is>
          <t>BDM HOLDINGS LLC</t>
        </is>
      </c>
      <c r="AF148" s="1158" t="inlineStr">
        <is>
          <t>8451 BRIGHTON ROAD INC</t>
        </is>
      </c>
      <c r="AI148" s="245">
        <f>IF(AND($E148=Subj_OccCode,Subj_BldgSF&gt;0,ABS($L148-Subj_BldgSF)&lt;=Subj_BldgSF*Subj_SizeTol),ABS($L148-Subj_BldgSF),NA())</f>
        <v/>
      </c>
      <c r="AJ148">
        <f>IF(ISNA(AI148),NA(),AI148+ROW()/10000000)</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s="1158" t="inlineStr">
        <is>
          <t>BLUE ROOF RENTALS LLC</t>
        </is>
      </c>
      <c r="AF149" s="1158" t="inlineStr">
        <is>
          <t>RALEIGH LUCAS</t>
        </is>
      </c>
      <c r="AI149" s="245">
        <f>IF(AND($E149=Subj_OccCode,Subj_BldgSF&gt;0,ABS($L149-Subj_BldgSF)&lt;=Subj_BldgSF*Subj_SizeTol),ABS($L149-Subj_BldgSF),NA())</f>
        <v/>
      </c>
      <c r="AJ149">
        <f>IF(ISNA(AI149),NA(),AI149+ROW()/10000000)</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s="1158" t="inlineStr">
        <is>
          <t>MLS PROPERTIES LLC</t>
        </is>
      </c>
      <c r="AF150" s="1158" t="inlineStr">
        <is>
          <t>GRANT PROPERTY LLC</t>
        </is>
      </c>
      <c r="AI150" s="245">
        <f>IF(AND($E150=Subj_OccCode,Subj_BldgSF&gt;0,ABS($L150-Subj_BldgSF)&lt;=Subj_BldgSF*Subj_SizeTol),ABS($L150-Subj_BldgSF),NA())</f>
        <v/>
      </c>
      <c r="AJ150">
        <f>IF(ISNA(AI150),NA(),AI150+ROW()/10000000)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s="1158" t="inlineStr">
        <is>
          <t>DIESEL FORWARD INC</t>
        </is>
      </c>
      <c r="AF151" s="1158" t="inlineStr">
        <is>
          <t>6301 BROADWAY INVESTMENT LLC</t>
        </is>
      </c>
      <c r="AI151" s="245">
        <f>IF(AND($E151=Subj_OccCode,Subj_BldgSF&gt;0,ABS($L151-Subj_BldgSF)&lt;=Subj_BldgSF*Subj_SizeTol),ABS($L151-Subj_BldgSF),NA())</f>
        <v/>
      </c>
      <c r="AJ151">
        <f>IF(ISNA(AI151),NA(),AI151+ROW()/10000000)</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s="1158" t="inlineStr">
        <is>
          <t>RUBY AMOR INVESTMENTS LLC</t>
        </is>
      </c>
      <c r="AF152" s="1158" t="inlineStr">
        <is>
          <t>GOMEZ PRICSILIANO</t>
        </is>
      </c>
      <c r="AI152" s="245">
        <f>IF(AND($E152=Subj_OccCode,Subj_BldgSF&gt;0,ABS($L152-Subj_BldgSF)&lt;=Subj_BldgSF*Subj_SizeTol),ABS($L152-Subj_BldgSF),NA())</f>
        <v/>
      </c>
      <c r="AJ152">
        <f>IF(ISNA(AI152),NA(),AI152+ROW()/10000000)</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s="1158" t="inlineStr">
        <is>
          <t>BERMAN ANDREW P</t>
        </is>
      </c>
      <c r="AF153" s="1158" t="inlineStr">
        <is>
          <t>WF-CA SHERIDAN &amp; 80TH LLC</t>
        </is>
      </c>
      <c r="AI153" s="245">
        <f>IF(AND($E153=Subj_OccCode,Subj_BldgSF&gt;0,ABS($L153-Subj_BldgSF)&lt;=Subj_BldgSF*Subj_SizeTol),ABS($L153-Subj_BldgSF),NA())</f>
        <v/>
      </c>
      <c r="AJ153">
        <f>IF(ISNA(AI153),NA(),AI153+ROW()/10000000)</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s="1158" t="inlineStr">
        <is>
          <t>IGLESIA DE DIOS PENTECOSTAL M. I.</t>
        </is>
      </c>
      <c r="AF154" s="1158" t="inlineStr">
        <is>
          <t>ELLA AURORA LLC</t>
        </is>
      </c>
      <c r="AI154" s="245">
        <f>IF(AND($E154=Subj_OccCode,Subj_BldgSF&gt;0,ABS($L154-Subj_BldgSF)&lt;=Subj_BldgSF*Subj_SizeTol),ABS($L154-Subj_BldgSF),NA())</f>
        <v/>
      </c>
      <c r="AJ154">
        <f>IF(ISNA(AI154),NA(),AI154+ROW()/10000000)</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s="1158" t="inlineStr">
        <is>
          <t>17 N 12 LLC</t>
        </is>
      </c>
      <c r="AF155" s="1158" t="inlineStr">
        <is>
          <t>CBCB HOLDINDS LLC</t>
        </is>
      </c>
      <c r="AI155" s="245">
        <f>IF(AND($E155=Subj_OccCode,Subj_BldgSF&gt;0,ABS($L155-Subj_BldgSF)&lt;=Subj_BldgSF*Subj_SizeTol),ABS($L155-Subj_BldgSF),NA())</f>
        <v/>
      </c>
      <c r="AJ155">
        <f>IF(ISNA(AI155),NA(),AI155+ROW()/10000000)</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s="1158" t="inlineStr">
        <is>
          <t>SHALOM REALTY  (AURORA CENTER I AT GATEWAY COLORADO), C/O DALFEN INDUSTRIAL LLC</t>
        </is>
      </c>
      <c r="AF156" s="1158" t="inlineStr">
        <is>
          <t>JAMM PROPERTIES LIMITED LLC</t>
        </is>
      </c>
      <c r="AI156" s="245">
        <f>IF(AND($E156=Subj_OccCode,Subj_BldgSF&gt;0,ABS($L156-Subj_BldgSF)&lt;=Subj_BldgSF*Subj_SizeTol),ABS($L156-Subj_BldgSF),NA())</f>
        <v/>
      </c>
      <c r="AJ156">
        <f>IF(ISNA(AI156),NA(),AI156+ROW()/10000000)</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s="1158" t="inlineStr">
        <is>
          <t>ACA 88 LLC</t>
        </is>
      </c>
      <c r="AF157" s="1158" t="inlineStr">
        <is>
          <t>JEREMY FEIN INC</t>
        </is>
      </c>
      <c r="AI157" s="245">
        <f>IF(AND($E157=Subj_OccCode,Subj_BldgSF&gt;0,ABS($L157-Subj_BldgSF)&lt;=Subj_BldgSF*Subj_SizeTol),ABS($L157-Subj_BldgSF),NA())</f>
        <v/>
      </c>
      <c r="AJ157">
        <f>IF(ISNA(AI157),NA(),AI157+ROW()/10000000)</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s="1158" t="inlineStr">
        <is>
          <t>GEE KYLE</t>
        </is>
      </c>
      <c r="AF158" s="1158" t="inlineStr">
        <is>
          <t>AMUNDSON JEFFREY AND, AMUNDSON RICHELLE</t>
        </is>
      </c>
      <c r="AI158" s="245">
        <f>IF(AND($E158=Subj_OccCode,Subj_BldgSF&gt;0,ABS($L158-Subj_BldgSF)&lt;=Subj_BldgSF*Subj_SizeTol),ABS($L158-Subj_BldgSF),NA())</f>
        <v/>
      </c>
      <c r="AJ158">
        <f>IF(ISNA(AI158),NA(),AI158+ROW()/10000000)</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s="1158" t="inlineStr">
        <is>
          <t>EVC BRIGHTON LLC</t>
        </is>
      </c>
      <c r="AF159" s="1158" t="inlineStr">
        <is>
          <t>NG BRIGHTON HOLDINGS LLC</t>
        </is>
      </c>
      <c r="AI159" s="245">
        <f>IF(AND($E159=Subj_OccCode,Subj_BldgSF&gt;0,ABS($L159-Subj_BldgSF)&lt;=Subj_BldgSF*Subj_SizeTol),ABS($L159-Subj_BldgSF),NA())</f>
        <v/>
      </c>
      <c r="AJ159">
        <f>IF(ISNA(AI159),NA(),AI159+ROW()/10000000)</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s="1158" t="inlineStr">
        <is>
          <t>WDG AMBER CREEK LLC</t>
        </is>
      </c>
      <c r="AF160" s="1158" t="inlineStr">
        <is>
          <t>BOERE JOHN AND, BOERE DENISE</t>
        </is>
      </c>
      <c r="AI160" s="245">
        <f>IF(AND($E160=Subj_OccCode,Subj_BldgSF&gt;0,ABS($L160-Subj_BldgSF)&lt;=Subj_BldgSF*Subj_SizeTol),ABS($L160-Subj_BldgSF),NA())</f>
        <v/>
      </c>
      <c r="AJ160">
        <f>IF(ISNA(AI160),NA(),AI160+ROW()/10000000)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s="1158" t="inlineStr">
        <is>
          <t>37851 51ST AVE HANGAR OWNERS ASSOCIATION INC</t>
        </is>
      </c>
      <c r="AF161" s="1158" t="inlineStr">
        <is>
          <t>ROMEO HANGAR ASSOCIATION LLC</t>
        </is>
      </c>
      <c r="AI161" s="245">
        <f>IF(AND($E161=Subj_OccCode,Subj_BldgSF&gt;0,ABS($L161-Subj_BldgSF)&lt;=Subj_BldgSF*Subj_SizeTol),ABS($L161-Subj_BldgSF),NA())</f>
        <v/>
      </c>
      <c r="AJ161">
        <f>IF(ISNA(AI161),NA(),AI161+ROW()/10000000)</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s="1158" t="inlineStr">
        <is>
          <t>37851 51ST AVE HANGAR OWNERS ASSOCIATION INC</t>
        </is>
      </c>
      <c r="AF162" s="1158" t="inlineStr">
        <is>
          <t>HASH WILLARD G</t>
        </is>
      </c>
      <c r="AI162" s="245">
        <f>IF(AND($E162=Subj_OccCode,Subj_BldgSF&gt;0,ABS($L162-Subj_BldgSF)&lt;=Subj_BldgSF*Subj_SizeTol),ABS($L162-Subj_BldgSF),NA())</f>
        <v/>
      </c>
      <c r="AJ162">
        <f>IF(ISNA(AI162),NA(),AI162+ROW()/10000000)</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s="1158" t="inlineStr">
        <is>
          <t>37851 51ST AVE HANGAR OWNERS ASSOCIATION INC</t>
        </is>
      </c>
      <c r="AF163" s="1158" t="inlineStr">
        <is>
          <t>THE FISH AND MARYC LIVING TRUST</t>
        </is>
      </c>
      <c r="AI163" s="245">
        <f>IF(AND($E163=Subj_OccCode,Subj_BldgSF&gt;0,ABS($L163-Subj_BldgSF)&lt;=Subj_BldgSF*Subj_SizeTol),ABS($L163-Subj_BldgSF),NA())</f>
        <v/>
      </c>
      <c r="AJ163">
        <f>IF(ISNA(AI163),NA(),AI163+ROW()/10000000)</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s="1158" t="inlineStr">
        <is>
          <t>37851 51ST AVE HANGAR OWNERS ASSOCIATION INC</t>
        </is>
      </c>
      <c r="AF164" s="1158" t="inlineStr">
        <is>
          <t>HORIZON AVIATION LLC</t>
        </is>
      </c>
      <c r="AI164" s="245">
        <f>IF(AND($E164=Subj_OccCode,Subj_BldgSF&gt;0,ABS($L164-Subj_BldgSF)&lt;=Subj_BldgSF*Subj_SizeTol),ABS($L164-Subj_BldgSF),NA())</f>
        <v/>
      </c>
      <c r="AJ164">
        <f>IF(ISNA(AI164),NA(),AI164+ROW()/10000000)</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s="1158" t="inlineStr">
        <is>
          <t>THE GARAGE SOCIETY HOLDINGS LLC</t>
        </is>
      </c>
      <c r="AF165" s="1158" t="inlineStr">
        <is>
          <t xml:space="preserve">ZHANG ZI SHAO AND, CHEUNG JENNY WEI </t>
        </is>
      </c>
      <c r="AI165" s="245">
        <f>IF(AND($E165=Subj_OccCode,Subj_BldgSF&gt;0,ABS($L165-Subj_BldgSF)&lt;=Subj_BldgSF*Subj_SizeTol),ABS($L165-Subj_BldgSF),NA())</f>
        <v/>
      </c>
      <c r="AJ165">
        <f>IF(ISNA(AI165),NA(),AI165+ROW()/10000000)</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s="1158" t="inlineStr">
        <is>
          <t>GREYSON HOLDINGS LLC</t>
        </is>
      </c>
      <c r="AF166" s="1158" t="inlineStr">
        <is>
          <t>PEAK RE HOLDINGS LLC</t>
        </is>
      </c>
      <c r="AI166" s="245">
        <f>IF(AND($E166=Subj_OccCode,Subj_BldgSF&gt;0,ABS($L166-Subj_BldgSF)&lt;=Subj_BldgSF*Subj_SizeTol),ABS($L166-Subj_BldgSF),NA())</f>
        <v/>
      </c>
      <c r="AJ166">
        <f>IF(ISNA(AI166),NA(),AI166+ROW()/10000000)</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s="1158" t="inlineStr">
        <is>
          <t>CONNER PAUL S</t>
        </is>
      </c>
      <c r="AF167" s="1158" t="inlineStr">
        <is>
          <t>BELK DENISE L</t>
        </is>
      </c>
      <c r="AI167" s="245">
        <f>IF(AND($E167=Subj_OccCode,Subj_BldgSF&gt;0,ABS($L167-Subj_BldgSF)&lt;=Subj_BldgSF*Subj_SizeTol),ABS($L167-Subj_BldgSF),NA())</f>
        <v/>
      </c>
      <c r="AJ167">
        <f>IF(ISNA(AI167),NA(),AI167+ROW()/10000000)</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s="1158" t="inlineStr">
        <is>
          <t>8451 DELAWARE STREET LLC</t>
        </is>
      </c>
      <c r="AF168" s="1158" t="inlineStr">
        <is>
          <t>SAELEE THORNTON LLC</t>
        </is>
      </c>
      <c r="AI168" s="245">
        <f>IF(AND($E168=Subj_OccCode,Subj_BldgSF&gt;0,ABS($L168-Subj_BldgSF)&lt;=Subj_BldgSF*Subj_SizeTol),ABS($L168-Subj_BldgSF),NA())</f>
        <v/>
      </c>
      <c r="AJ168">
        <f>IF(ISNA(AI168),NA(),AI168+ROW()/10000000)</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s="1158" t="inlineStr">
        <is>
          <t>MUTZIG STEVEN M</t>
        </is>
      </c>
      <c r="AF169" s="1158" t="inlineStr">
        <is>
          <t>KODIAK BRANDS INC</t>
        </is>
      </c>
      <c r="AI169" s="245">
        <f>IF(AND($E169=Subj_OccCode,Subj_BldgSF&gt;0,ABS($L169-Subj_BldgSF)&lt;=Subj_BldgSF*Subj_SizeTol),ABS($L169-Subj_BldgSF),NA())</f>
        <v/>
      </c>
      <c r="AJ169">
        <f>IF(ISNA(AI169),NA(),AI169+ROW()/10000000)</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s="1158" t="inlineStr">
        <is>
          <t>E AND E INVESTMENTS INC, C/O DAVID ENGBRECHT</t>
        </is>
      </c>
      <c r="AF170" s="1158" t="inlineStr">
        <is>
          <t>SPACEPORT 3 EAST LLC</t>
        </is>
      </c>
      <c r="AI170" s="245">
        <f>IF(AND($E170=Subj_OccCode,Subj_BldgSF&gt;0,ABS($L170-Subj_BldgSF)&lt;=Subj_BldgSF*Subj_SizeTol),ABS($L170-Subj_BldgSF),NA())</f>
        <v/>
      </c>
      <c r="AJ170">
        <f>IF(ISNA(AI170),NA(),AI170+ROW()/10000000)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s="1158" t="inlineStr">
        <is>
          <t>PAC PROPERTIES LLC</t>
        </is>
      </c>
      <c r="AF171" s="1158" t="inlineStr">
        <is>
          <t>DADDY DANKZ INC</t>
        </is>
      </c>
      <c r="AI171" s="245">
        <f>IF(AND($E171=Subj_OccCode,Subj_BldgSF&gt;0,ABS($L171-Subj_BldgSF)&lt;=Subj_BldgSF*Subj_SizeTol),ABS($L171-Subj_BldgSF),NA())</f>
        <v/>
      </c>
      <c r="AJ171">
        <f>IF(ISNA(AI171),NA(),AI171+ROW()/10000000)</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s="1158" t="inlineStr">
        <is>
          <t>J AND N DENVER IV LLC</t>
        </is>
      </c>
      <c r="AF172" s="1158" t="inlineStr">
        <is>
          <t>LOS DOS POTRILLOS COCINA Y CANTINA-NORTHGLENN LLC</t>
        </is>
      </c>
      <c r="AI172" s="245">
        <f>IF(AND($E172=Subj_OccCode,Subj_BldgSF&gt;0,ABS($L172-Subj_BldgSF)&lt;=Subj_BldgSF*Subj_SizeTol),ABS($L172-Subj_BldgSF),NA())</f>
        <v/>
      </c>
      <c r="AJ172">
        <f>IF(ISNA(AI172),NA(),AI172+ROW()/10000000)</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s="1158" t="inlineStr">
        <is>
          <t>SDW FAMILY PROEPRTIES LLC</t>
        </is>
      </c>
      <c r="AF173" s="1158" t="inlineStr">
        <is>
          <t>DIVERSIFIED RE HOLDINGS LLC</t>
        </is>
      </c>
      <c r="AI173" s="245">
        <f>IF(AND($E173=Subj_OccCode,Subj_BldgSF&gt;0,ABS($L173-Subj_BldgSF)&lt;=Subj_BldgSF*Subj_SizeTol),ABS($L173-Subj_BldgSF),NA())</f>
        <v/>
      </c>
      <c r="AJ173">
        <f>IF(ISNA(AI173),NA(),AI173+ROW()/10000000)</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s="1158" t="inlineStr">
        <is>
          <t>MCAVIN ENTERPRISES LLC</t>
        </is>
      </c>
      <c r="AF174" s="1158" t="inlineStr">
        <is>
          <t>FISHER DESIGNWORKS LLC DBA, SAWHORSE DEVELOPMENT LLC</t>
        </is>
      </c>
      <c r="AI174" s="245">
        <f>IF(AND($E174=Subj_OccCode,Subj_BldgSF&gt;0,ABS($L174-Subj_BldgSF)&lt;=Subj_BldgSF*Subj_SizeTol),ABS($L174-Subj_BldgSF),NA())</f>
        <v/>
      </c>
      <c r="AJ174">
        <f>IF(ISNA(AI174),NA(),AI174+ROW()/10000000)</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s="1158" t="inlineStr">
        <is>
          <t>THE GARAGE SOCIETY HOLDINGS LLC</t>
        </is>
      </c>
      <c r="AF175" s="1158" t="inlineStr">
        <is>
          <t>SLAVIC CHRISTIAN CHURCH</t>
        </is>
      </c>
      <c r="AI175" s="245">
        <f>IF(AND($E175=Subj_OccCode,Subj_BldgSF&gt;0,ABS($L175-Subj_BldgSF)&lt;=Subj_BldgSF*Subj_SizeTol),ABS($L175-Subj_BldgSF),NA())</f>
        <v/>
      </c>
      <c r="AJ175">
        <f>IF(ISNA(AI175),NA(),AI175+ROW()/10000000)</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s="1158" t="inlineStr">
        <is>
          <t>THE GARAGE SOCIETY HOLDINGS LLC</t>
        </is>
      </c>
      <c r="AF176" s="1158" t="inlineStr">
        <is>
          <t xml:space="preserve">E&amp;P QUALITY PLUMBING INC AND , E&amp;P QUALITY PLUMBING </t>
        </is>
      </c>
      <c r="AI176" s="245">
        <f>IF(AND($E176=Subj_OccCode,Subj_BldgSF&gt;0,ABS($L176-Subj_BldgSF)&lt;=Subj_BldgSF*Subj_SizeTol),ABS($L176-Subj_BldgSF),NA())</f>
        <v/>
      </c>
      <c r="AJ176">
        <f>IF(ISNA(AI176),NA(),AI176+ROW()/10000000)</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s="1158" t="inlineStr">
        <is>
          <t>37851 51ST AVE HANGAR OWNERS ASSOCIATION INC</t>
        </is>
      </c>
      <c r="AF177" s="1158" t="inlineStr">
        <is>
          <t>ACCRETION MANAGEMENT LLC</t>
        </is>
      </c>
      <c r="AI177" s="245">
        <f>IF(AND($E177=Subj_OccCode,Subj_BldgSF&gt;0,ABS($L177-Subj_BldgSF)&lt;=Subj_BldgSF*Subj_SizeTol),ABS($L177-Subj_BldgSF),NA())</f>
        <v/>
      </c>
      <c r="AJ177">
        <f>IF(ISNA(AI177),NA(),AI177+ROW()/10000000)</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s="1158" t="inlineStr">
        <is>
          <t>37851 51ST AVE HANGAR OWNERS ASSOCIATION INC</t>
        </is>
      </c>
      <c r="AF178" s="1158" t="inlineStr">
        <is>
          <t>COLBYCO JET MANAGEMENT LLC</t>
        </is>
      </c>
      <c r="AI178" s="245">
        <f>IF(AND($E178=Subj_OccCode,Subj_BldgSF&gt;0,ABS($L178-Subj_BldgSF)&lt;=Subj_BldgSF*Subj_SizeTol),ABS($L178-Subj_BldgSF),NA())</f>
        <v/>
      </c>
      <c r="AJ178">
        <f>IF(ISNA(AI178),NA(),AI178+ROW()/10000000)</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s="1158" t="inlineStr">
        <is>
          <t>37851 51ST AVE HANGAR OWNERS ASSOCIATION INC</t>
        </is>
      </c>
      <c r="AF179" s="1158" t="inlineStr">
        <is>
          <t>MUELLER HANGARS LLC</t>
        </is>
      </c>
      <c r="AI179" s="245">
        <f>IF(AND($E179=Subj_OccCode,Subj_BldgSF&gt;0,ABS($L179-Subj_BldgSF)&lt;=Subj_BldgSF*Subj_SizeTol),ABS($L179-Subj_BldgSF),NA())</f>
        <v/>
      </c>
      <c r="AJ179">
        <f>IF(ISNA(AI179),NA(),AI179+ROW()/10000000)</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s="1158" t="inlineStr">
        <is>
          <t>37851 51ST AVE HANGAR OWNERS ASSOCIATION INC</t>
        </is>
      </c>
      <c r="AF180" s="1158" t="inlineStr">
        <is>
          <t>MUELLER HANGARS LLC</t>
        </is>
      </c>
      <c r="AI180" s="245">
        <f>IF(AND($E180=Subj_OccCode,Subj_BldgSF&gt;0,ABS($L180-Subj_BldgSF)&lt;=Subj_BldgSF*Subj_SizeTol),ABS($L180-Subj_BldgSF),NA())</f>
        <v/>
      </c>
      <c r="AJ180">
        <f>IF(ISNA(AI180),NA(),AI180+ROW()/10000000)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s="1158" t="inlineStr">
        <is>
          <t>THE GARAGE SOCIETY HOLDINGS LLC</t>
        </is>
      </c>
      <c r="AF181" s="1158" t="inlineStr">
        <is>
          <t>MAVES AEDRENA</t>
        </is>
      </c>
      <c r="AI181" s="245">
        <f>IF(AND($E181=Subj_OccCode,Subj_BldgSF&gt;0,ABS($L181-Subj_BldgSF)&lt;=Subj_BldgSF*Subj_SizeTol),ABS($L181-Subj_BldgSF),NA())</f>
        <v/>
      </c>
      <c r="AJ181">
        <f>IF(ISNA(AI181),NA(),AI181+ROW()/10000000)</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s="1158" t="inlineStr">
        <is>
          <t>2861 FINANCIAL LLC</t>
        </is>
      </c>
      <c r="AF182" s="1158" t="inlineStr">
        <is>
          <t>FINAN PROPERTIES LLC</t>
        </is>
      </c>
      <c r="AI182" s="245">
        <f>IF(AND($E182=Subj_OccCode,Subj_BldgSF&gt;0,ABS($L182-Subj_BldgSF)&lt;=Subj_BldgSF*Subj_SizeTol),ABS($L182-Subj_BldgSF),NA())</f>
        <v/>
      </c>
      <c r="AJ182">
        <f>IF(ISNA(AI182),NA(),AI182+ROW()/10000000)</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s="1158" t="inlineStr">
        <is>
          <t>1382 BOSTON LLC</t>
        </is>
      </c>
      <c r="AF183" s="1158" t="inlineStr">
        <is>
          <t>ROTH ERIC</t>
        </is>
      </c>
      <c r="AI183" s="245">
        <f>IF(AND($E183=Subj_OccCode,Subj_BldgSF&gt;0,ABS($L183-Subj_BldgSF)&lt;=Subj_BldgSF*Subj_SizeTol),ABS($L183-Subj_BldgSF),NA())</f>
        <v/>
      </c>
      <c r="AJ183">
        <f>IF(ISNA(AI183),NA(),AI183+ROW()/10000000)</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s="1158" t="inlineStr">
        <is>
          <t>BRUNSON REAL ESTATE HOLDINGS LLC</t>
        </is>
      </c>
      <c r="AF184" s="1158" t="inlineStr">
        <is>
          <t>REAL ESTATE MATTERS CORP</t>
        </is>
      </c>
      <c r="AI184" s="245">
        <f>IF(AND($E184=Subj_OccCode,Subj_BldgSF&gt;0,ABS($L184-Subj_BldgSF)&lt;=Subj_BldgSF*Subj_SizeTol),ABS($L184-Subj_BldgSF),NA())</f>
        <v/>
      </c>
      <c r="AJ184">
        <f>IF(ISNA(AI184),NA(),AI184+ROW()/10000000)</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s="1158" t="inlineStr">
        <is>
          <t>BTC VISIONS LLC</t>
        </is>
      </c>
      <c r="AF185" s="1158" t="inlineStr">
        <is>
          <t>GLOBAL PROPERTIES AND MANAGEMENT LLC</t>
        </is>
      </c>
      <c r="AI185" s="245">
        <f>IF(AND($E185=Subj_OccCode,Subj_BldgSF&gt;0,ABS($L185-Subj_BldgSF)&lt;=Subj_BldgSF*Subj_SizeTol),ABS($L185-Subj_BldgSF),NA())</f>
        <v/>
      </c>
      <c r="AJ185">
        <f>IF(ISNA(AI185),NA(),AI185+ROW()/10000000)</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s="1158" t="inlineStr">
        <is>
          <t>BOOMHAUSER EDDIE LLC</t>
        </is>
      </c>
      <c r="AF186" s="1158" t="inlineStr">
        <is>
          <t>BAHRAINI MOHAMMAD YOUSOF</t>
        </is>
      </c>
      <c r="AI186" s="245">
        <f>IF(AND($E186=Subj_OccCode,Subj_BldgSF&gt;0,ABS($L186-Subj_BldgSF)&lt;=Subj_BldgSF*Subj_SizeTol),ABS($L186-Subj_BldgSF),NA())</f>
        <v/>
      </c>
      <c r="AJ186">
        <f>IF(ISNA(AI186),NA(),AI186+ROW()/10000000)</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s="1158" t="inlineStr">
        <is>
          <t>ECE I LLC, ATTN ASSET MANAGER</t>
        </is>
      </c>
      <c r="AF187" s="1158" t="inlineStr">
        <is>
          <t>KARTER REALTY THORNTON LLC</t>
        </is>
      </c>
      <c r="AI187" s="245">
        <f>IF(AND($E187=Subj_OccCode,Subj_BldgSF&gt;0,ABS($L187-Subj_BldgSF)&lt;=Subj_BldgSF*Subj_SizeTol),ABS($L187-Subj_BldgSF),NA())</f>
        <v/>
      </c>
      <c r="AJ187">
        <f>IF(ISNA(AI187),NA(),AI187+ROW()/10000000)</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s="1158" t="inlineStr">
        <is>
          <t>BANG ENTERPRIZE INC</t>
        </is>
      </c>
      <c r="AF188" s="1158" t="inlineStr">
        <is>
          <t>PECOS REAL ESTATE LLC, C/O AUTO CHLOR SYSTEM</t>
        </is>
      </c>
      <c r="AI188" s="245">
        <f>IF(AND($E188=Subj_OccCode,Subj_BldgSF&gt;0,ABS($L188-Subj_BldgSF)&lt;=Subj_BldgSF*Subj_SizeTol),ABS($L188-Subj_BldgSF),NA())</f>
        <v/>
      </c>
      <c r="AJ188">
        <f>IF(ISNA(AI188),NA(),AI188+ROW()/10000000)</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s="1158" t="inlineStr">
        <is>
          <t>THEODORA CHECKERS LLC</t>
        </is>
      </c>
      <c r="AF189" s="1158" t="inlineStr">
        <is>
          <t>MTK MANAGEMENT LLC, LMK MANAGEMENT LLC</t>
        </is>
      </c>
      <c r="AI189" s="245">
        <f>IF(AND($E189=Subj_OccCode,Subj_BldgSF&gt;0,ABS($L189-Subj_BldgSF)&lt;=Subj_BldgSF*Subj_SizeTol),ABS($L189-Subj_BldgSF),NA())</f>
        <v/>
      </c>
      <c r="AJ189">
        <f>IF(ISNA(AI189),NA(),AI189+ROW()/10000000)</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s="1158" t="inlineStr">
        <is>
          <t>TRIPLE L PROPERTIES LLC</t>
        </is>
      </c>
      <c r="AF190" s="1158" t="inlineStr">
        <is>
          <t>THE HOLDING COMPANY LTD</t>
        </is>
      </c>
      <c r="AI190" s="245">
        <f>IF(AND($E190=Subj_OccCode,Subj_BldgSF&gt;0,ABS($L190-Subj_BldgSF)&lt;=Subj_BldgSF*Subj_SizeTol),ABS($L190-Subj_BldgSF),NA())</f>
        <v/>
      </c>
      <c r="AJ190">
        <f>IF(ISNA(AI190),NA(),AI190+ROW()/10000000)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s="1158" t="inlineStr">
        <is>
          <t>6195 CLERMONT LLC</t>
        </is>
      </c>
      <c r="AF191" s="1158" t="inlineStr">
        <is>
          <t>INTERMOUNTAIN ELECTRONICS INC OF PRICE UTAH</t>
        </is>
      </c>
      <c r="AI191" s="245">
        <f>IF(AND($E191=Subj_OccCode,Subj_BldgSF&gt;0,ABS($L191-Subj_BldgSF)&lt;=Subj_BldgSF*Subj_SizeTol),ABS($L191-Subj_BldgSF),NA())</f>
        <v/>
      </c>
      <c r="AJ191">
        <f>IF(ISNA(AI191),NA(),AI191+ROW()/10000000)</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s="1158" t="inlineStr">
        <is>
          <t>THE 2023 COUSSAN CRUT 6</t>
        </is>
      </c>
      <c r="AF192" s="1158" t="inlineStr">
        <is>
          <t>ELZE LLC</t>
        </is>
      </c>
      <c r="AI192" s="245">
        <f>IF(AND($E192=Subj_OccCode,Subj_BldgSF&gt;0,ABS($L192-Subj_BldgSF)&lt;=Subj_BldgSF*Subj_SizeTol),ABS($L192-Subj_BldgSF),NA())</f>
        <v/>
      </c>
      <c r="AJ192">
        <f>IF(ISNA(AI192),NA(),AI192+ROW()/10000000)</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s="1158" t="inlineStr">
        <is>
          <t>KONN RICHARD AND , ADINOLFE MICHAEL</t>
        </is>
      </c>
      <c r="AF193" s="1158" t="inlineStr">
        <is>
          <t>5590 EAST PARTNERS LLC</t>
        </is>
      </c>
      <c r="AI193" s="245">
        <f>IF(AND($E193=Subj_OccCode,Subj_BldgSF&gt;0,ABS($L193-Subj_BldgSF)&lt;=Subj_BldgSF*Subj_SizeTol),ABS($L193-Subj_BldgSF),NA())</f>
        <v/>
      </c>
      <c r="AJ193">
        <f>IF(ISNA(AI193),NA(),AI193+ROW()/10000000)</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s="1158" t="inlineStr">
        <is>
          <t>VILLAGE CENTER PARTNERS LLC</t>
        </is>
      </c>
      <c r="AF194" s="1158" t="inlineStr">
        <is>
          <t>JYS VILLAGE INC</t>
        </is>
      </c>
      <c r="AI194" s="245">
        <f>IF(AND($E194=Subj_OccCode,Subj_BldgSF&gt;0,ABS($L194-Subj_BldgSF)&lt;=Subj_BldgSF*Subj_SizeTol),ABS($L194-Subj_BldgSF),NA())</f>
        <v/>
      </c>
      <c r="AJ194">
        <f>IF(ISNA(AI194),NA(),AI194+ROW()/10000000)</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s="1158" t="inlineStr">
        <is>
          <t>AMERICAN LAND CRUISERS INC</t>
        </is>
      </c>
      <c r="AF195" s="1158" t="inlineStr">
        <is>
          <t>WIDHALM PROPERTIES LLC</t>
        </is>
      </c>
      <c r="AI195" s="245">
        <f>IF(AND($E195=Subj_OccCode,Subj_BldgSF&gt;0,ABS($L195-Subj_BldgSF)&lt;=Subj_BldgSF*Subj_SizeTol),ABS($L195-Subj_BldgSF),NA())</f>
        <v/>
      </c>
      <c r="AJ195">
        <f>IF(ISNA(AI195),NA(),AI195+ROW()/10000000)</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s="1158" t="inlineStr">
        <is>
          <t>MARTINEZ ORLANDO UND 80% INT AND, MUNOZ LUIS UND 20% INT</t>
        </is>
      </c>
      <c r="AF196" s="1158" t="inlineStr">
        <is>
          <t>DURAN GUILLEN FABIOLA</t>
        </is>
      </c>
      <c r="AI196" s="245">
        <f>IF(AND($E196=Subj_OccCode,Subj_BldgSF&gt;0,ABS($L196-Subj_BldgSF)&lt;=Subj_BldgSF*Subj_SizeTol),ABS($L196-Subj_BldgSF),NA())</f>
        <v/>
      </c>
      <c r="AJ196">
        <f>IF(ISNA(AI196),NA(),AI196+ROW()/10000000)</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s="1158" t="inlineStr">
        <is>
          <t>BEFORT PLUMBING AND HEATING COMPANY INC</t>
        </is>
      </c>
      <c r="AF197" s="1158" t="inlineStr">
        <is>
          <t>DE HARO MARIA M.</t>
        </is>
      </c>
      <c r="AI197" s="245">
        <f>IF(AND($E197=Subj_OccCode,Subj_BldgSF&gt;0,ABS($L197-Subj_BldgSF)&lt;=Subj_BldgSF*Subj_SizeTol),ABS($L197-Subj_BldgSF),NA())</f>
        <v/>
      </c>
      <c r="AJ197">
        <f>IF(ISNA(AI197),NA(),AI197+ROW()/10000000)</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s="1158" t="inlineStr">
        <is>
          <t>WEPRIN PROPERTIES LLC</t>
        </is>
      </c>
      <c r="AF198" s="1158" t="inlineStr">
        <is>
          <t>8879 FOX DRIVE LLC</t>
        </is>
      </c>
      <c r="AI198" s="245">
        <f>IF(AND($E198=Subj_OccCode,Subj_BldgSF&gt;0,ABS($L198-Subj_BldgSF)&lt;=Subj_BldgSF*Subj_SizeTol),ABS($L198-Subj_BldgSF),NA())</f>
        <v/>
      </c>
      <c r="AJ198">
        <f>IF(ISNA(AI198),NA(),AI198+ROW()/10000000)</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s="1158" t="inlineStr">
        <is>
          <t>GUSTTE PHILIP O AND, GUSTTE TIFFANY A</t>
        </is>
      </c>
      <c r="AF199" s="1158" t="inlineStr">
        <is>
          <t>BECK KEN AND, BECK ADRIENNE</t>
        </is>
      </c>
      <c r="AI199" s="245">
        <f>IF(AND($E199=Subj_OccCode,Subj_BldgSF&gt;0,ABS($L199-Subj_BldgSF)&lt;=Subj_BldgSF*Subj_SizeTol),ABS($L199-Subj_BldgSF),NA())</f>
        <v/>
      </c>
      <c r="AJ199">
        <f>IF(ISNA(AI199),NA(),AI199+ROW()/10000000)</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s="1158" t="inlineStr">
        <is>
          <t>END-IRA INC FBO RODNEY W LUECK IRA</t>
        </is>
      </c>
      <c r="AF200" s="1158" t="inlineStr">
        <is>
          <t>RANDEL VERNON E AND, RANDEL CHERYL V</t>
        </is>
      </c>
      <c r="AI200" s="245">
        <f>IF(AND($E200=Subj_OccCode,Subj_BldgSF&gt;0,ABS($L200-Subj_BldgSF)&lt;=Subj_BldgSF*Subj_SizeTol),ABS($L200-Subj_BldgSF),NA())</f>
        <v/>
      </c>
      <c r="AJ200">
        <f>IF(ISNA(AI200),NA(),AI200+ROW()/10000000)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s="1158" t="inlineStr">
        <is>
          <t>RRS HOLDINGS LLC</t>
        </is>
      </c>
      <c r="AF201" s="1158" t="inlineStr">
        <is>
          <t>FOXFIELD GEARS HOLDINGS LLC</t>
        </is>
      </c>
      <c r="AI201" s="245">
        <f>IF(AND($E201=Subj_OccCode,Subj_BldgSF&gt;0,ABS($L201-Subj_BldgSF)&lt;=Subj_BldgSF*Subj_SizeTol),ABS($L201-Subj_BldgSF),NA())</f>
        <v/>
      </c>
      <c r="AJ201">
        <f>IF(ISNA(AI201),NA(),AI201+ROW()/10000000)</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s="1158" t="inlineStr">
        <is>
          <t>41581 NORTHGLENN CO LLC</t>
        </is>
      </c>
      <c r="AF202" s="1158" t="inlineStr">
        <is>
          <t>WPMO INVESTMENTS LLC</t>
        </is>
      </c>
      <c r="AI202" s="245">
        <f>IF(AND($E202=Subj_OccCode,Subj_BldgSF&gt;0,ABS($L202-Subj_BldgSF)&lt;=Subj_BldgSF*Subj_SizeTol),ABS($L202-Subj_BldgSF),NA())</f>
        <v/>
      </c>
      <c r="AJ202">
        <f>IF(ISNA(AI202),NA(),AI202+ROW()/10000000)</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s="1158" t="inlineStr">
        <is>
          <t>NORTH DENVER MOB LLC</t>
        </is>
      </c>
      <c r="AF203" s="1158" t="inlineStr">
        <is>
          <t>WESTMINSTER 14190 MP RK6 LLC, C/O REMEDY MEDICAL PROPERTIES</t>
        </is>
      </c>
      <c r="AI203" s="245">
        <f>IF(AND($E203=Subj_OccCode,Subj_BldgSF&gt;0,ABS($L203-Subj_BldgSF)&lt;=Subj_BldgSF*Subj_SizeTol),ABS($L203-Subj_BldgSF),NA())</f>
        <v/>
      </c>
      <c r="AJ203">
        <f>IF(ISNA(AI203),NA(),AI203+ROW()/10000000)</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s="1158" t="inlineStr">
        <is>
          <t>TBM 03X LLC</t>
        </is>
      </c>
      <c r="AF204" s="1158" t="inlineStr">
        <is>
          <t>WINDERMERE PROPERTIES LLC</t>
        </is>
      </c>
      <c r="AI204" s="245">
        <f>IF(AND($E204=Subj_OccCode,Subj_BldgSF&gt;0,ABS($L204-Subj_BldgSF)&lt;=Subj_BldgSF*Subj_SizeTol),ABS($L204-Subj_BldgSF),NA())</f>
        <v/>
      </c>
      <c r="AJ204">
        <f>IF(ISNA(AI204),NA(),AI204+ROW()/10000000)</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s="1158" t="inlineStr">
        <is>
          <t>THE GARAGE SOCIETY HOLDINGS LLC</t>
        </is>
      </c>
      <c r="AF205" s="1158" t="inlineStr">
        <is>
          <t>O'HARA SEAN M AND, O'HARA STEPHANIE H</t>
        </is>
      </c>
      <c r="AI205" s="245">
        <f>IF(AND($E205=Subj_OccCode,Subj_BldgSF&gt;0,ABS($L205-Subj_BldgSF)&lt;=Subj_BldgSF*Subj_SizeTol),ABS($L205-Subj_BldgSF),NA())</f>
        <v/>
      </c>
      <c r="AJ205">
        <f>IF(ISNA(AI205),NA(),AI205+ROW()/10000000)</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s="1158" t="inlineStr">
        <is>
          <t>37851 51ST AVE HANGAR OWNERS ASSOCIATION INC</t>
        </is>
      </c>
      <c r="AF206" s="1158" t="inlineStr">
        <is>
          <t>SPIRIT LIFE INC</t>
        </is>
      </c>
      <c r="AI206" s="245">
        <f>IF(AND($E206=Subj_OccCode,Subj_BldgSF&gt;0,ABS($L206-Subj_BldgSF)&lt;=Subj_BldgSF*Subj_SizeTol),ABS($L206-Subj_BldgSF),NA())</f>
        <v/>
      </c>
      <c r="AJ206">
        <f>IF(ISNA(AI206),NA(),AI206+ROW()/10000000)</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s="1158" t="inlineStr">
        <is>
          <t>37851 51ST AVE HANGAR OWNERS ASSOCIATION INC</t>
        </is>
      </c>
      <c r="AF207" s="1158" t="inlineStr">
        <is>
          <t>KODIAK BRANDS INC</t>
        </is>
      </c>
      <c r="AI207" s="245">
        <f>IF(AND($E207=Subj_OccCode,Subj_BldgSF&gt;0,ABS($L207-Subj_BldgSF)&lt;=Subj_BldgSF*Subj_SizeTol),ABS($L207-Subj_BldgSF),NA())</f>
        <v/>
      </c>
      <c r="AJ207">
        <f>IF(ISNA(AI207),NA(),AI207+ROW()/10000000)</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s="1158" t="inlineStr">
        <is>
          <t>JOSHNIK CO LLLP</t>
        </is>
      </c>
      <c r="AF208" s="1158" t="inlineStr">
        <is>
          <t>OCHOA RUBIO LUIS AND, OCHOA JOSE LUIS AND RUBIO MARIO D</t>
        </is>
      </c>
      <c r="AI208" s="245">
        <f>IF(AND($E208=Subj_OccCode,Subj_BldgSF&gt;0,ABS($L208-Subj_BldgSF)&lt;=Subj_BldgSF*Subj_SizeTol),ABS($L208-Subj_BldgSF),NA())</f>
        <v/>
      </c>
      <c r="AJ208">
        <f>IF(ISNA(AI208),NA(),AI208+ROW()/10000000)</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s="1158" t="inlineStr">
        <is>
          <t>GAYESKI CAPITAL EQUITIES LLC</t>
        </is>
      </c>
      <c r="AF209" s="1158" t="inlineStr">
        <is>
          <t>MMCG TNET COLORADO LLC</t>
        </is>
      </c>
      <c r="AI209" s="245">
        <f>IF(AND($E209=Subj_OccCode,Subj_BldgSF&gt;0,ABS($L209-Subj_BldgSF)&lt;=Subj_BldgSF*Subj_SizeTol),ABS($L209-Subj_BldgSF),NA())</f>
        <v/>
      </c>
      <c r="AJ209">
        <f>IF(ISNA(AI209),NA(),AI209+ROW()/10000000)</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s="1158" t="inlineStr">
        <is>
          <t>MCCALLIN REAL ESTATE LLC</t>
        </is>
      </c>
      <c r="AF210" s="1158" t="inlineStr">
        <is>
          <t>6195 CLERMONT LLC</t>
        </is>
      </c>
      <c r="AI210" s="245">
        <f>IF(AND($E210=Subj_OccCode,Subj_BldgSF&gt;0,ABS($L210-Subj_BldgSF)&lt;=Subj_BldgSF*Subj_SizeTol),ABS($L210-Subj_BldgSF),NA())</f>
        <v/>
      </c>
      <c r="AJ210">
        <f>IF(ISNA(AI210),NA(),AI210+ROW()/10000000)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s="1158" t="inlineStr">
        <is>
          <t>GORDON GROUP INVESTMENTS LLC</t>
        </is>
      </c>
      <c r="AF211" s="1158" t="inlineStr">
        <is>
          <t>49 SOUTH THIRD AVE LLC</t>
        </is>
      </c>
      <c r="AI211" s="245">
        <f>IF(AND($E211=Subj_OccCode,Subj_BldgSF&gt;0,ABS($L211-Subj_BldgSF)&lt;=Subj_BldgSF*Subj_SizeTol),ABS($L211-Subj_BldgSF),NA())</f>
        <v/>
      </c>
      <c r="AJ211">
        <f>IF(ISNA(AI211),NA(),AI211+ROW()/10000000)</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s="1158" t="inlineStr">
        <is>
          <t>WALGREEN CO</t>
        </is>
      </c>
      <c r="AF212" s="1158" t="inlineStr">
        <is>
          <t>CP THUNDER FS LLC</t>
        </is>
      </c>
      <c r="AI212" s="245">
        <f>IF(AND($E212=Subj_OccCode,Subj_BldgSF&gt;0,ABS($L212-Subj_BldgSF)&lt;=Subj_BldgSF*Subj_SizeTol),ABS($L212-Subj_BldgSF),NA())</f>
        <v/>
      </c>
      <c r="AJ212">
        <f>IF(ISNA(AI212),NA(),AI212+ROW()/10000000)</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s="1158" t="inlineStr">
        <is>
          <t>RC COLORADO ENTERPRISES LLC</t>
        </is>
      </c>
      <c r="AF213" s="1158" t="inlineStr">
        <is>
          <t>NG21 LP</t>
        </is>
      </c>
      <c r="AI213" s="245">
        <f>IF(AND($E213=Subj_OccCode,Subj_BldgSF&gt;0,ABS($L213-Subj_BldgSF)&lt;=Subj_BldgSF*Subj_SizeTol),ABS($L213-Subj_BldgSF),NA())</f>
        <v/>
      </c>
      <c r="AJ213">
        <f>IF(ISNA(AI213),NA(),AI213+ROW()/10000000)</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s="1158" t="inlineStr">
        <is>
          <t>HD ALAMEDA LLC</t>
        </is>
      </c>
      <c r="AF214" s="1158" t="inlineStr">
        <is>
          <t>1257 120TH RE LLC</t>
        </is>
      </c>
      <c r="AI214" s="245">
        <f>IF(AND($E214=Subj_OccCode,Subj_BldgSF&gt;0,ABS($L214-Subj_BldgSF)&lt;=Subj_BldgSF*Subj_SizeTol),ABS($L214-Subj_BldgSF),NA())</f>
        <v/>
      </c>
      <c r="AJ214">
        <f>IF(ISNA(AI214),NA(),AI214+ROW()/10000000)</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s="1158" t="inlineStr">
        <is>
          <t>HD ALAMEDA LLC</t>
        </is>
      </c>
      <c r="AF215" s="1158" t="inlineStr">
        <is>
          <t>1257 120TH RE LLC</t>
        </is>
      </c>
      <c r="AI215" s="245">
        <f>IF(AND($E215=Subj_OccCode,Subj_BldgSF&gt;0,ABS($L215-Subj_BldgSF)&lt;=Subj_BldgSF*Subj_SizeTol),ABS($L215-Subj_BldgSF),NA())</f>
        <v/>
      </c>
      <c r="AJ215">
        <f>IF(ISNA(AI215),NA(),AI215+ROW()/10000000)</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s="1158" t="inlineStr">
        <is>
          <t>GROWEST PROPERTIES LLC</t>
        </is>
      </c>
      <c r="AF216" s="1158" t="inlineStr">
        <is>
          <t>DHK ENTERPRISES LLC</t>
        </is>
      </c>
      <c r="AI216" s="245">
        <f>IF(AND($E216=Subj_OccCode,Subj_BldgSF&gt;0,ABS($L216-Subj_BldgSF)&lt;=Subj_BldgSF*Subj_SizeTol),ABS($L216-Subj_BldgSF),NA())</f>
        <v/>
      </c>
      <c r="AJ216">
        <f>IF(ISNA(AI216),NA(),AI216+ROW()/10000000)</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s="1158" t="inlineStr">
        <is>
          <t>NAN ZHI ZHONG</t>
        </is>
      </c>
      <c r="AF217" s="1158" t="inlineStr">
        <is>
          <t>NANS RESTAURANT LLC</t>
        </is>
      </c>
      <c r="AI217" s="245">
        <f>IF(AND($E217=Subj_OccCode,Subj_BldgSF&gt;0,ABS($L217-Subj_BldgSF)&lt;=Subj_BldgSF*Subj_SizeTol),ABS($L217-Subj_BldgSF),NA())</f>
        <v/>
      </c>
      <c r="AJ217">
        <f>IF(ISNA(AI217),NA(),AI217+ROW()/10000000)</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s="1158" t="inlineStr">
        <is>
          <t>ASTRO REALTY LLC</t>
        </is>
      </c>
      <c r="AF218" s="1158" t="inlineStr">
        <is>
          <t>DEEMS LEGACY LLC</t>
        </is>
      </c>
      <c r="AI218" s="245">
        <f>IF(AND($E218=Subj_OccCode,Subj_BldgSF&gt;0,ABS($L218-Subj_BldgSF)&lt;=Subj_BldgSF*Subj_SizeTol),ABS($L218-Subj_BldgSF),NA())</f>
        <v/>
      </c>
      <c r="AJ218">
        <f>IF(ISNA(AI218),NA(),AI218+ROW()/10000000)</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s="1158" t="inlineStr">
        <is>
          <t>WILLOW RUN INVESTORS LLC</t>
        </is>
      </c>
      <c r="AF219" s="1158" t="inlineStr">
        <is>
          <t xml:space="preserve">PNW INVESTMENTS LLC, CPP 12FIVE INVESTMENTS LLC, </t>
        </is>
      </c>
      <c r="AI219" s="245">
        <f>IF(AND($E219=Subj_OccCode,Subj_BldgSF&gt;0,ABS($L219-Subj_BldgSF)&lt;=Subj_BldgSF*Subj_SizeTol),ABS($L219-Subj_BldgSF),NA())</f>
        <v/>
      </c>
      <c r="AJ219">
        <f>IF(ISNA(AI219),NA(),AI219+ROW()/10000000)</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s="1158" t="inlineStr">
        <is>
          <t>HIGHLAND PROPERTIES 1222 LLC</t>
        </is>
      </c>
      <c r="AF220" s="1158" t="inlineStr">
        <is>
          <t>PAVCO GROUP LLC</t>
        </is>
      </c>
      <c r="AI220" s="245">
        <f>IF(AND($E220=Subj_OccCode,Subj_BldgSF&gt;0,ABS($L220-Subj_BldgSF)&lt;=Subj_BldgSF*Subj_SizeTol),ABS($L220-Subj_BldgSF),NA())</f>
        <v/>
      </c>
      <c r="AJ220">
        <f>IF(ISNA(AI220),NA(),AI220+ROW()/10000000)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s="1158" t="inlineStr">
        <is>
          <t>MIDWEST BUILDING PROFESSIONALS LLC</t>
        </is>
      </c>
      <c r="AF221" s="1158" t="inlineStr">
        <is>
          <t>WORD ALIVE CHURCH</t>
        </is>
      </c>
      <c r="AI221" s="245">
        <f>IF(AND($E221=Subj_OccCode,Subj_BldgSF&gt;0,ABS($L221-Subj_BldgSF)&lt;=Subj_BldgSF*Subj_SizeTol),ABS($L221-Subj_BldgSF),NA())</f>
        <v/>
      </c>
      <c r="AJ221">
        <f>IF(ISNA(AI221),NA(),AI221+ROW()/10000000)</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s="1158" t="inlineStr">
        <is>
          <t>WEST 62ND AVE LLC, GRAND JUNCTION VENTURE LLC</t>
        </is>
      </c>
      <c r="AF222" s="1158" t="inlineStr">
        <is>
          <t>IOS-PVB-605 WEST 62ND AVENUE LLC</t>
        </is>
      </c>
      <c r="AI222" s="245">
        <f>IF(AND($E222=Subj_OccCode,Subj_BldgSF&gt;0,ABS($L222-Subj_BldgSF)&lt;=Subj_BldgSF*Subj_SizeTol),ABS($L222-Subj_BldgSF),NA())</f>
        <v/>
      </c>
      <c r="AJ222">
        <f>IF(ISNA(AI222),NA(),AI222+ROW()/10000000)</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s="1158" t="inlineStr">
        <is>
          <t>STRATUS AMBER CREEK LLC</t>
        </is>
      </c>
      <c r="AF223" s="1158" t="inlineStr">
        <is>
          <t>BANK OF AMERICA NATIONAL ASSOCIATION</t>
        </is>
      </c>
      <c r="AI223" s="245">
        <f>IF(AND($E223=Subj_OccCode,Subj_BldgSF&gt;0,ABS($L223-Subj_BldgSF)&lt;=Subj_BldgSF*Subj_SizeTol),ABS($L223-Subj_BldgSF),NA())</f>
        <v/>
      </c>
      <c r="AJ223">
        <f>IF(ISNA(AI223),NA(),AI223+ROW()/10000000)</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s="1158" t="inlineStr">
        <is>
          <t>QUIKTRIP CORPORATION</t>
        </is>
      </c>
      <c r="AF224" s="1158" t="inlineStr">
        <is>
          <t>ROERS AURORA APARTMENTS OWNER LLC</t>
        </is>
      </c>
      <c r="AI224" s="245">
        <f>IF(AND($E224=Subj_OccCode,Subj_BldgSF&gt;0,ABS($L224-Subj_BldgSF)&lt;=Subj_BldgSF*Subj_SizeTol),ABS($L224-Subj_BldgSF),NA())</f>
        <v/>
      </c>
      <c r="AJ224">
        <f>IF(ISNA(AI224),NA(),AI224+ROW()/10000000)</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s="1158" t="inlineStr">
        <is>
          <t xml:space="preserve">GOLDEN HILLS LLC AND , REAL PROPERTY ACQUISITIONS INITIATIVES LLC </t>
        </is>
      </c>
      <c r="AF225" s="1158" t="inlineStr">
        <is>
          <t>HUMPTY DUMP ROLL OFF SERVICES LLC</t>
        </is>
      </c>
      <c r="AI225" s="245">
        <f>IF(AND($E225=Subj_OccCode,Subj_BldgSF&gt;0,ABS($L225-Subj_BldgSF)&lt;=Subj_BldgSF*Subj_SizeTol),ABS($L225-Subj_BldgSF),NA())</f>
        <v/>
      </c>
      <c r="AJ225">
        <f>IF(ISNA(AI225),NA(),AI225+ROW()/10000000)</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s="1158" t="inlineStr">
        <is>
          <t>STEWART DON W LIVING TRUST 1/2 INT, STEWART DON W MARITAL TRUST 1/2 INT</t>
        </is>
      </c>
      <c r="AF226" s="1158" t="inlineStr">
        <is>
          <t>JOHNS ERIC</t>
        </is>
      </c>
      <c r="AI226" s="245">
        <f>IF(AND($E226=Subj_OccCode,Subj_BldgSF&gt;0,ABS($L226-Subj_BldgSF)&lt;=Subj_BldgSF*Subj_SizeTol),ABS($L226-Subj_BldgSF),NA())</f>
        <v/>
      </c>
      <c r="AJ226">
        <f>IF(ISNA(AI226),NA(),AI226+ROW()/10000000)</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s="1158" t="inlineStr">
        <is>
          <t>STEWART DON W LIVING TRUST 1/2 INT, STEWART DON W MARITAL TRUST 1/2 INT</t>
        </is>
      </c>
      <c r="AF227" s="1158" t="inlineStr">
        <is>
          <t>JOHNS ERIC</t>
        </is>
      </c>
      <c r="AI227" s="245">
        <f>IF(AND($E227=Subj_OccCode,Subj_BldgSF&gt;0,ABS($L227-Subj_BldgSF)&lt;=Subj_BldgSF*Subj_SizeTol),ABS($L227-Subj_BldgSF),NA())</f>
        <v/>
      </c>
      <c r="AJ227">
        <f>IF(ISNA(AI227),NA(),AI227+ROW()/10000000)</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s="1158" t="inlineStr">
        <is>
          <t>MATHEWS FAMILY LLC</t>
        </is>
      </c>
      <c r="AF228" s="1158" t="inlineStr">
        <is>
          <t>MARK VII EQUIPMENT INC</t>
        </is>
      </c>
      <c r="AI228" s="245">
        <f>IF(AND($E228=Subj_OccCode,Subj_BldgSF&gt;0,ABS($L228-Subj_BldgSF)&lt;=Subj_BldgSF*Subj_SizeTol),ABS($L228-Subj_BldgSF),NA())</f>
        <v/>
      </c>
      <c r="AJ228">
        <f>IF(ISNA(AI228),NA(),AI228+ROW()/10000000)</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s="1158" t="inlineStr">
        <is>
          <t>MATHEWS FAMILY LLC</t>
        </is>
      </c>
      <c r="AF229" s="1158" t="inlineStr">
        <is>
          <t>MARK VII EQUIPMENT INC</t>
        </is>
      </c>
      <c r="AI229" s="245">
        <f>IF(AND($E229=Subj_OccCode,Subj_BldgSF&gt;0,ABS($L229-Subj_BldgSF)&lt;=Subj_BldgSF*Subj_SizeTol),ABS($L229-Subj_BldgSF),NA())</f>
        <v/>
      </c>
      <c r="AJ229">
        <f>IF(ISNA(AI229),NA(),AI229+ROW()/10000000)</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s="1158" t="inlineStr">
        <is>
          <t>COOK LISA AND DANSKY VICKI AND , PERLMUTTER JAY AND PERLMUTTER JONATHAN ET AL</t>
        </is>
      </c>
      <c r="AF230" s="1158" t="inlineStr">
        <is>
          <t>NORTHGLENN URBAN RENEWAL AUTHORITY</t>
        </is>
      </c>
      <c r="AI230" s="245">
        <f>IF(AND($E230=Subj_OccCode,Subj_BldgSF&gt;0,ABS($L230-Subj_BldgSF)&lt;=Subj_BldgSF*Subj_SizeTol),ABS($L230-Subj_BldgSF),NA())</f>
        <v/>
      </c>
      <c r="AJ230">
        <f>IF(ISNA(AI230),NA(),AI230+ROW()/10000000)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s="1158" t="inlineStr">
        <is>
          <t>COOK LISA AND DANSKY VICKI AND , PERLMUTTER JAY AND PERLMUTTER JONATHAN ET AL</t>
        </is>
      </c>
      <c r="AF231" s="1158" t="inlineStr">
        <is>
          <t>NORTHGLENN URBAN RENEWAL AUTHORITY</t>
        </is>
      </c>
      <c r="AI231" s="245">
        <f>IF(AND($E231=Subj_OccCode,Subj_BldgSF&gt;0,ABS($L231-Subj_BldgSF)&lt;=Subj_BldgSF*Subj_SizeTol),ABS($L231-Subj_BldgSF),NA())</f>
        <v/>
      </c>
      <c r="AJ231">
        <f>IF(ISNA(AI231),NA(),AI231+ROW()/10000000)</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s="1158" t="inlineStr">
        <is>
          <t>UTAH WOOD PRESERVING CO</t>
        </is>
      </c>
      <c r="AF232" s="1158" t="inlineStr">
        <is>
          <t>WOOD CROSS LLC</t>
        </is>
      </c>
      <c r="AI232" s="245">
        <f>IF(AND($E232=Subj_OccCode,Subj_BldgSF&gt;0,ABS($L232-Subj_BldgSF)&lt;=Subj_BldgSF*Subj_SizeTol),ABS($L232-Subj_BldgSF),NA())</f>
        <v/>
      </c>
      <c r="AJ232">
        <f>IF(ISNA(AI232),NA(),AI232+ROW()/10000000)</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s="1158" t="inlineStr">
        <is>
          <t>SCANNELL PROPERTIES #505 LLC</t>
        </is>
      </c>
      <c r="AF233" s="1158" t="inlineStr">
        <is>
          <t>SFG AURORA CO LLC</t>
        </is>
      </c>
      <c r="AI233" s="245">
        <f>IF(AND($E233=Subj_OccCode,Subj_BldgSF&gt;0,ABS($L233-Subj_BldgSF)&lt;=Subj_BldgSF*Subj_SizeTol),ABS($L233-Subj_BldgSF),NA())</f>
        <v/>
      </c>
      <c r="AJ233">
        <f>IF(ISNA(AI233),NA(),AI233+ROW()/10000000)</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s="1158" t="inlineStr">
        <is>
          <t>IOV 8780 93RD PLACE LLC</t>
        </is>
      </c>
      <c r="AF234" s="1158" t="inlineStr">
        <is>
          <t>UMDASCH REAL ESTATE USA LTD</t>
        </is>
      </c>
      <c r="AI234" s="245">
        <f>IF(AND($E234=Subj_OccCode,Subj_BldgSF&gt;0,ABS($L234-Subj_BldgSF)&lt;=Subj_BldgSF*Subj_SizeTol),ABS($L234-Subj_BldgSF),NA())</f>
        <v/>
      </c>
      <c r="AJ234">
        <f>IF(ISNA(AI234),NA(),AI234+ROW()/10000000)</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s="1158" t="inlineStr">
        <is>
          <t>STRATUS AMBER CREEK LLC</t>
        </is>
      </c>
      <c r="AF235" s="1158" t="inlineStr">
        <is>
          <t>WDG AMBER CREEK LLC</t>
        </is>
      </c>
      <c r="AI235" s="245">
        <f>IF(AND($E235=Subj_OccCode,Subj_BldgSF&gt;0,ABS($L235-Subj_BldgSF)&lt;=Subj_BldgSF*Subj_SizeTol),ABS($L235-Subj_BldgSF),NA())</f>
        <v/>
      </c>
      <c r="AJ235">
        <f>IF(ISNA(AI235),NA(),AI235+ROW()/10000000)</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s="1158" t="inlineStr">
        <is>
          <t>PONY EXPRESS MINI STORAGE II LLC</t>
        </is>
      </c>
      <c r="AF236" s="1158" t="inlineStr">
        <is>
          <t>GC MP BRIGHTON LLC</t>
        </is>
      </c>
      <c r="AI236" s="245">
        <f>IF(AND($E236=Subj_OccCode,Subj_BldgSF&gt;0,ABS($L236-Subj_BldgSF)&lt;=Subj_BldgSF*Subj_SizeTol),ABS($L236-Subj_BldgSF),NA())</f>
        <v/>
      </c>
      <c r="AJ236">
        <f>IF(ISNA(AI236),NA(),AI236+ROW()/10000000)</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s="1158" t="inlineStr">
        <is>
          <t>SHELL LLC</t>
        </is>
      </c>
      <c r="AF237" s="1158" t="inlineStr">
        <is>
          <t>ROTH ERIC</t>
        </is>
      </c>
      <c r="AI237" s="245">
        <f>IF(AND($E237=Subj_OccCode,Subj_BldgSF&gt;0,ABS($L237-Subj_BldgSF)&lt;=Subj_BldgSF*Subj_SizeTol),ABS($L237-Subj_BldgSF),NA())</f>
        <v/>
      </c>
      <c r="AJ237">
        <f>IF(ISNA(AI237),NA(),AI237+ROW()/10000000)</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s="1158" t="inlineStr">
        <is>
          <t>ARCP WY WESTMINSTER CO LLC, C/O RYAN LLC-PTS</t>
        </is>
      </c>
      <c r="AF238" s="1158" t="inlineStr">
        <is>
          <t>MDC COAST 29 LLC</t>
        </is>
      </c>
      <c r="AI238" s="245">
        <f>IF(AND($E238=Subj_OccCode,Subj_BldgSF&gt;0,ABS($L238-Subj_BldgSF)&lt;=Subj_BldgSF*Subj_SizeTol),ABS($L238-Subj_BldgSF),NA())</f>
        <v/>
      </c>
      <c r="AJ238">
        <f>IF(ISNA(AI238),NA(),AI238+ROW()/10000000)</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s="1158" t="inlineStr">
        <is>
          <t>HAN CHUN INC</t>
        </is>
      </c>
      <c r="AF239" s="1158" t="inlineStr">
        <is>
          <t>BRIGHTON ROAD HOTEL LLC</t>
        </is>
      </c>
      <c r="AI239" s="245">
        <f>IF(AND($E239=Subj_OccCode,Subj_BldgSF&gt;0,ABS($L239-Subj_BldgSF)&lt;=Subj_BldgSF*Subj_SizeTol),ABS($L239-Subj_BldgSF),NA())</f>
        <v/>
      </c>
      <c r="AJ239">
        <f>IF(ISNA(AI239),NA(),AI239+ROW()/10000000)</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s="1158" t="inlineStr">
        <is>
          <t>BENNETT CO DG LLC</t>
        </is>
      </c>
      <c r="AF240" s="1158" t="inlineStr">
        <is>
          <t>58TH LANE LLC AND, LOMA ALTA COMMONS LLC</t>
        </is>
      </c>
      <c r="AI240" s="245">
        <f>IF(AND($E240=Subj_OccCode,Subj_BldgSF&gt;0,ABS($L240-Subj_BldgSF)&lt;=Subj_BldgSF*Subj_SizeTol),ABS($L240-Subj_BldgSF),NA())</f>
        <v/>
      </c>
      <c r="AJ240">
        <f>IF(ISNA(AI240),NA(),AI240+ROW()/10000000)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s="1158" t="inlineStr">
        <is>
          <t>DANKO-HOLLOWAY LLC</t>
        </is>
      </c>
      <c r="AF241" s="1158" t="inlineStr">
        <is>
          <t>SALGADO RETANA MOISES AND, SALGADO RETANA MIRIAM</t>
        </is>
      </c>
      <c r="AI241" s="245">
        <f>IF(AND($E241=Subj_OccCode,Subj_BldgSF&gt;0,ABS($L241-Subj_BldgSF)&lt;=Subj_BldgSF*Subj_SizeTol),ABS($L241-Subj_BldgSF),NA())</f>
        <v/>
      </c>
      <c r="AJ241">
        <f>IF(ISNA(AI241),NA(),AI241+ROW()/10000000)</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s="1158" t="inlineStr">
        <is>
          <t>WA WOOD SHOP LLC</t>
        </is>
      </c>
      <c r="AF242" s="1158" t="inlineStr">
        <is>
          <t>MDSK HOLDINGS LLC</t>
        </is>
      </c>
      <c r="AI242" s="245">
        <f>IF(AND($E242=Subj_OccCode,Subj_BldgSF&gt;0,ABS($L242-Subj_BldgSF)&lt;=Subj_BldgSF*Subj_SizeTol),ABS($L242-Subj_BldgSF),NA())</f>
        <v/>
      </c>
      <c r="AJ242">
        <f>IF(ISNA(AI242),NA(),AI242+ROW()/10000000)</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s="1158" t="inlineStr">
        <is>
          <t>WA WOOD SHOP LLC</t>
        </is>
      </c>
      <c r="AF243" s="1158" t="inlineStr">
        <is>
          <t>MDSK HOLDINGS LLC</t>
        </is>
      </c>
      <c r="AI243" s="245">
        <f>IF(AND($E243=Subj_OccCode,Subj_BldgSF&gt;0,ABS($L243-Subj_BldgSF)&lt;=Subj_BldgSF*Subj_SizeTol),ABS($L243-Subj_BldgSF),NA())</f>
        <v/>
      </c>
      <c r="AJ243">
        <f>IF(ISNA(AI243),NA(),AI243+ROW()/10000000)</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s="1158" t="inlineStr">
        <is>
          <t>CENTRAL CONNECTION LLC</t>
        </is>
      </c>
      <c r="AF244" s="1158" t="inlineStr">
        <is>
          <t>GFP CL DENVER 1210 + 1550 LLC AND, C/O EVERWEST ADVISORS LLC</t>
        </is>
      </c>
      <c r="AI244" s="245">
        <f>IF(AND($E244=Subj_OccCode,Subj_BldgSF&gt;0,ABS($L244-Subj_BldgSF)&lt;=Subj_BldgSF*Subj_SizeTol),ABS($L244-Subj_BldgSF),NA())</f>
        <v/>
      </c>
      <c r="AJ244">
        <f>IF(ISNA(AI244),NA(),AI244+ROW()/10000000)</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s="1158" t="inlineStr">
        <is>
          <t>CENTRAL CONNECTION LLC</t>
        </is>
      </c>
      <c r="AF245" s="1158" t="inlineStr">
        <is>
          <t>GFP CL DENVER 1210 + 1550 LLC AND, C/O EVERWEST ADVISORS LLC</t>
        </is>
      </c>
      <c r="AI245" s="245">
        <f>IF(AND($E245=Subj_OccCode,Subj_BldgSF&gt;0,ABS($L245-Subj_BldgSF)&lt;=Subj_BldgSF*Subj_SizeTol),ABS($L245-Subj_BldgSF),NA())</f>
        <v/>
      </c>
      <c r="AJ245">
        <f>IF(ISNA(AI245),NA(),AI245+ROW()/10000000)</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s="1158" t="inlineStr">
        <is>
          <t>6990 FEDERAL BLVD LLC</t>
        </is>
      </c>
      <c r="AF246" s="1158" t="inlineStr">
        <is>
          <t>DENVER FOOD &amp; GAS LLC</t>
        </is>
      </c>
      <c r="AI246" s="245">
        <f>IF(AND($E246=Subj_OccCode,Subj_BldgSF&gt;0,ABS($L246-Subj_BldgSF)&lt;=Subj_BldgSF*Subj_SizeTol),ABS($L246-Subj_BldgSF),NA())</f>
        <v/>
      </c>
      <c r="AJ246">
        <f>IF(ISNA(AI246),NA(),AI246+ROW()/10000000)</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s="1158" t="inlineStr">
        <is>
          <t>BLANCO PROPERTIES IRMA LLC</t>
        </is>
      </c>
      <c r="AF247" s="1158" t="inlineStr">
        <is>
          <t>METROPOLITAN DENVER NORTH ISLAMIC CENTER</t>
        </is>
      </c>
      <c r="AI247" s="245">
        <f>IF(AND($E247=Subj_OccCode,Subj_BldgSF&gt;0,ABS($L247-Subj_BldgSF)&lt;=Subj_BldgSF*Subj_SizeTol),ABS($L247-Subj_BldgSF),NA())</f>
        <v/>
      </c>
      <c r="AJ247">
        <f>IF(ISNA(AI247),NA(),AI247+ROW()/10000000)</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s="1158" t="inlineStr">
        <is>
          <t>SERITAGE KMT FINANCE LLC</t>
        </is>
      </c>
      <c r="AF248" s="1158" t="inlineStr">
        <is>
          <t>COLORADO RETAIL STORES LLC</t>
        </is>
      </c>
      <c r="AI248" s="245">
        <f>IF(AND($E248=Subj_OccCode,Subj_BldgSF&gt;0,ABS($L248-Subj_BldgSF)&lt;=Subj_BldgSF*Subj_SizeTol),ABS($L248-Subj_BldgSF),NA())</f>
        <v/>
      </c>
      <c r="AJ248">
        <f>IF(ISNA(AI248),NA(),AI248+ROW()/10000000)</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s="1158" t="inlineStr">
        <is>
          <t>QCSIF SIX LLC, C/O IEQ MANAGEMENT INC</t>
        </is>
      </c>
      <c r="AF249" s="1158" t="inlineStr">
        <is>
          <t>9201 FEDERAL LLC</t>
        </is>
      </c>
      <c r="AI249" s="245">
        <f>IF(AND($E249=Subj_OccCode,Subj_BldgSF&gt;0,ABS($L249-Subj_BldgSF)&lt;=Subj_BldgSF*Subj_SizeTol),ABS($L249-Subj_BldgSF),NA())</f>
        <v/>
      </c>
      <c r="AJ249">
        <f>IF(ISNA(AI249),NA(),AI249+ROW()/10000000)</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s="1158" t="inlineStr">
        <is>
          <t>OVERLAND LEASING LLC</t>
        </is>
      </c>
      <c r="AF250" s="1158" t="inlineStr">
        <is>
          <t>OLD DOMINION FREIGHT LINE INC</t>
        </is>
      </c>
      <c r="AI250" s="245">
        <f>IF(AND($E250=Subj_OccCode,Subj_BldgSF&gt;0,ABS($L250-Subj_BldgSF)&lt;=Subj_BldgSF*Subj_SizeTol),ABS($L250-Subj_BldgSF),NA())</f>
        <v/>
      </c>
      <c r="AJ250">
        <f>IF(ISNA(AI250),NA(),AI250+ROW()/10000000)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s="1158" t="inlineStr">
        <is>
          <t>JOYCE JOHN</t>
        </is>
      </c>
      <c r="AF251" s="1158" t="inlineStr">
        <is>
          <t>KURTEX INC</t>
        </is>
      </c>
      <c r="AI251" s="245">
        <f>IF(AND($E251=Subj_OccCode,Subj_BldgSF&gt;0,ABS($L251-Subj_BldgSF)&lt;=Subj_BldgSF*Subj_SizeTol),ABS($L251-Subj_BldgSF),NA())</f>
        <v/>
      </c>
      <c r="AJ251">
        <f>IF(ISNA(AI251),NA(),AI251+ROW()/10000000)</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s="1158" t="inlineStr">
        <is>
          <t>JOYCE JOHN</t>
        </is>
      </c>
      <c r="AF252" s="1158" t="inlineStr">
        <is>
          <t>KURTEX INC</t>
        </is>
      </c>
      <c r="AI252" s="245">
        <f>IF(AND($E252=Subj_OccCode,Subj_BldgSF&gt;0,ABS($L252-Subj_BldgSF)&lt;=Subj_BldgSF*Subj_SizeTol),ABS($L252-Subj_BldgSF),NA())</f>
        <v/>
      </c>
      <c r="AJ252">
        <f>IF(ISNA(AI252),NA(),AI252+ROW()/10000000)</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s="1158" t="inlineStr">
        <is>
          <t>TRI-STATE GENERATION AND, TRANSMISSION ASSOCIATION INC</t>
        </is>
      </c>
      <c r="AF253" s="1158" t="inlineStr">
        <is>
          <t>ACADIA - SCL HEALTH JV LLC, C/O ACADIA HEALTHCARAE COMPANY INC</t>
        </is>
      </c>
      <c r="AI253" s="245">
        <f>IF(AND($E253=Subj_OccCode,Subj_BldgSF&gt;0,ABS($L253-Subj_BldgSF)&lt;=Subj_BldgSF*Subj_SizeTol),ABS($L253-Subj_BldgSF),NA())</f>
        <v/>
      </c>
      <c r="AJ253">
        <f>IF(ISNA(AI253),NA(),AI253+ROW()/10000000)</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s="1158" t="inlineStr">
        <is>
          <t>VANDEWEGHE BEVERLY LIVING TRUST THE</t>
        </is>
      </c>
      <c r="AF254" s="1158" t="inlineStr">
        <is>
          <t>MUNOZ ROGELIO AND, MUNOZ ALICIA</t>
        </is>
      </c>
      <c r="AI254" s="245">
        <f>IF(AND($E254=Subj_OccCode,Subj_BldgSF&gt;0,ABS($L254-Subj_BldgSF)&lt;=Subj_BldgSF*Subj_SizeTol),ABS($L254-Subj_BldgSF),NA())</f>
        <v/>
      </c>
      <c r="AJ254">
        <f>IF(ISNA(AI254),NA(),AI254+ROW()/10000000)</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s="1158" t="inlineStr">
        <is>
          <t>EXPLORER BRADBURN PROPERTY LLC</t>
        </is>
      </c>
      <c r="AF255" s="1158" t="inlineStr">
        <is>
          <t>MANIHANI MOHINDER AND, SINGH RAVINDER</t>
        </is>
      </c>
      <c r="AI255" s="245">
        <f>IF(AND($E255=Subj_OccCode,Subj_BldgSF&gt;0,ABS($L255-Subj_BldgSF)&lt;=Subj_BldgSF*Subj_SizeTol),ABS($L255-Subj_BldgSF),NA())</f>
        <v/>
      </c>
      <c r="AJ255">
        <f>IF(ISNA(AI255),NA(),AI255+ROW()/10000000)</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s="1158" t="inlineStr">
        <is>
          <t>GDG LLC</t>
        </is>
      </c>
      <c r="AF256" s="1158" t="inlineStr">
        <is>
          <t>ATA BRIDGE HOLDINGS LLC</t>
        </is>
      </c>
      <c r="AI256" s="245">
        <f>IF(AND($E256=Subj_OccCode,Subj_BldgSF&gt;0,ABS($L256-Subj_BldgSF)&lt;=Subj_BldgSF*Subj_SizeTol),ABS($L256-Subj_BldgSF),NA())</f>
        <v/>
      </c>
      <c r="AJ256">
        <f>IF(ISNA(AI256),NA(),AI256+ROW()/10000000)</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s="1158" t="inlineStr">
        <is>
          <t>KH CARWASH LLC</t>
        </is>
      </c>
      <c r="AF257" s="1158" t="inlineStr">
        <is>
          <t>YATES ENTERPRISES LLC</t>
        </is>
      </c>
      <c r="AI257" s="245">
        <f>IF(AND($E257=Subj_OccCode,Subj_BldgSF&gt;0,ABS($L257-Subj_BldgSF)&lt;=Subj_BldgSF*Subj_SizeTol),ABS($L257-Subj_BldgSF),NA())</f>
        <v/>
      </c>
      <c r="AJ257">
        <f>IF(ISNA(AI257),NA(),AI257+ROW()/10000000)</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s="1158" t="inlineStr">
        <is>
          <t>HG FIRST VENTURE LLC</t>
        </is>
      </c>
      <c r="AF258" s="1158" t="inlineStr">
        <is>
          <t>HANLON BUSH INVESTMENTS LLC, C/O TONY HANLON</t>
        </is>
      </c>
      <c r="AI258" s="245">
        <f>IF(AND($E258=Subj_OccCode,Subj_BldgSF&gt;0,ABS($L258-Subj_BldgSF)&lt;=Subj_BldgSF*Subj_SizeTol),ABS($L258-Subj_BldgSF),NA())</f>
        <v/>
      </c>
      <c r="AJ258">
        <f>IF(ISNA(AI258),NA(),AI258+ROW()/10000000)</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s="1158" t="inlineStr">
        <is>
          <t>DETRO NADINE L</t>
        </is>
      </c>
      <c r="AF259" s="1158" t="inlineStr">
        <is>
          <t>MHA INVESTMENTS LLC</t>
        </is>
      </c>
      <c r="AI259" s="245">
        <f>IF(AND($E259=Subj_OccCode,Subj_BldgSF&gt;0,ABS($L259-Subj_BldgSF)&lt;=Subj_BldgSF*Subj_SizeTol),ABS($L259-Subj_BldgSF),NA())</f>
        <v/>
      </c>
      <c r="AJ259">
        <f>IF(ISNA(AI259),NA(),AI259+ROW()/10000000)</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s="1158" t="inlineStr">
        <is>
          <t>DETRO NADINE L</t>
        </is>
      </c>
      <c r="AF260" s="1158" t="inlineStr">
        <is>
          <t>MHA INVESTMENTS LLC</t>
        </is>
      </c>
      <c r="AI260" s="245">
        <f>IF(AND($E260=Subj_OccCode,Subj_BldgSF&gt;0,ABS($L260-Subj_BldgSF)&lt;=Subj_BldgSF*Subj_SizeTol),ABS($L260-Subj_BldgSF),NA())</f>
        <v/>
      </c>
      <c r="AJ260">
        <f>IF(ISNA(AI260),NA(),AI260+ROW()/10000000)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s="1158" t="inlineStr">
        <is>
          <t>ETS FAMILY HOLDINGS LLC</t>
        </is>
      </c>
      <c r="AF261" s="1158" t="inlineStr">
        <is>
          <t>3640 LLC</t>
        </is>
      </c>
      <c r="AI261" s="245">
        <f>IF(AND($E261=Subj_OccCode,Subj_BldgSF&gt;0,ABS($L261-Subj_BldgSF)&lt;=Subj_BldgSF*Subj_SizeTol),ABS($L261-Subj_BldgSF),NA())</f>
        <v/>
      </c>
      <c r="AJ261">
        <f>IF(ISNA(AI261),NA(),AI261+ROW()/10000000)</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s="1158" t="inlineStr">
        <is>
          <t>2 US 4VR LLC</t>
        </is>
      </c>
      <c r="AF262" s="1158" t="inlineStr">
        <is>
          <t>AAA PROPERTY</t>
        </is>
      </c>
      <c r="AI262" s="245">
        <f>IF(AND($E262=Subj_OccCode,Subj_BldgSF&gt;0,ABS($L262-Subj_BldgSF)&lt;=Subj_BldgSF*Subj_SizeTol),ABS($L262-Subj_BldgSF),NA())</f>
        <v/>
      </c>
      <c r="AJ262">
        <f>IF(ISNA(AI262),NA(),AI262+ROW()/10000000)</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s="1158" t="inlineStr">
        <is>
          <t>2 US 4VR LLC</t>
        </is>
      </c>
      <c r="AF263" s="1158" t="inlineStr">
        <is>
          <t>AAA PROPERTY</t>
        </is>
      </c>
      <c r="AI263" s="245">
        <f>IF(AND($E263=Subj_OccCode,Subj_BldgSF&gt;0,ABS($L263-Subj_BldgSF)&lt;=Subj_BldgSF*Subj_SizeTol),ABS($L263-Subj_BldgSF),NA())</f>
        <v/>
      </c>
      <c r="AJ263">
        <f>IF(ISNA(AI263),NA(),AI263+ROW()/10000000)</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s="1158" t="inlineStr">
        <is>
          <t>909W62AVE LLC</t>
        </is>
      </c>
      <c r="AF264" s="1158" t="inlineStr">
        <is>
          <t>REGON2 LLC</t>
        </is>
      </c>
      <c r="AI264" s="245">
        <f>IF(AND($E264=Subj_OccCode,Subj_BldgSF&gt;0,ABS($L264-Subj_BldgSF)&lt;=Subj_BldgSF*Subj_SizeTol),ABS($L264-Subj_BldgSF),NA())</f>
        <v/>
      </c>
      <c r="AJ264">
        <f>IF(ISNA(AI264),NA(),AI264+ROW()/10000000)</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s="1158" t="inlineStr">
        <is>
          <t>FORTENBERRY INVESTMENT CO LLP</t>
        </is>
      </c>
      <c r="AF265" s="1158" t="inlineStr">
        <is>
          <t>HILLEN HOLDINGS LLC</t>
        </is>
      </c>
      <c r="AI265" s="245">
        <f>IF(AND($E265=Subj_OccCode,Subj_BldgSF&gt;0,ABS($L265-Subj_BldgSF)&lt;=Subj_BldgSF*Subj_SizeTol),ABS($L265-Subj_BldgSF),NA())</f>
        <v/>
      </c>
      <c r="AJ265">
        <f>IF(ISNA(AI265),NA(),AI265+ROW()/10000000)</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s="1158" t="inlineStr">
        <is>
          <t>TRANSIT MANAGEMENT LLC</t>
        </is>
      </c>
      <c r="AF266" s="1158" t="inlineStr">
        <is>
          <t>BRODIGAN PROPERTIES LLC</t>
        </is>
      </c>
      <c r="AI266" s="245">
        <f>IF(AND($E266=Subj_OccCode,Subj_BldgSF&gt;0,ABS($L266-Subj_BldgSF)&lt;=Subj_BldgSF*Subj_SizeTol),ABS($L266-Subj_BldgSF),NA())</f>
        <v/>
      </c>
      <c r="AJ266">
        <f>IF(ISNA(AI266),NA(),AI266+ROW()/10000000)</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s="1158" t="inlineStr">
        <is>
          <t>TRANSIT MANAGEMENT LLC</t>
        </is>
      </c>
      <c r="AF267" s="1158" t="inlineStr">
        <is>
          <t>BRODIGAN PROPERTIES LLC</t>
        </is>
      </c>
      <c r="AI267" s="245">
        <f>IF(AND($E267=Subj_OccCode,Subj_BldgSF&gt;0,ABS($L267-Subj_BldgSF)&lt;=Subj_BldgSF*Subj_SizeTol),ABS($L267-Subj_BldgSF),NA())</f>
        <v/>
      </c>
      <c r="AJ267">
        <f>IF(ISNA(AI267),NA(),AI267+ROW()/10000000)</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s="1158" t="inlineStr">
        <is>
          <t>TRANSIT MANAGEMENT LLC</t>
        </is>
      </c>
      <c r="AF268" s="1158" t="inlineStr">
        <is>
          <t>BRODIGAN PROPERTIES LLC</t>
        </is>
      </c>
      <c r="AI268" s="245">
        <f>IF(AND($E268=Subj_OccCode,Subj_BldgSF&gt;0,ABS($L268-Subj_BldgSF)&lt;=Subj_BldgSF*Subj_SizeTol),ABS($L268-Subj_BldgSF),NA())</f>
        <v/>
      </c>
      <c r="AJ268">
        <f>IF(ISNA(AI268),NA(),AI268+ROW()/10000000)</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s="1158" t="inlineStr">
        <is>
          <t>SDM REALTY GROUP LLC</t>
        </is>
      </c>
      <c r="AF269" s="1158" t="inlineStr">
        <is>
          <t>A&amp;G HOLDINGS LTD</t>
        </is>
      </c>
      <c r="AI269" s="245">
        <f>IF(AND($E269=Subj_OccCode,Subj_BldgSF&gt;0,ABS($L269-Subj_BldgSF)&lt;=Subj_BldgSF*Subj_SizeTol),ABS($L269-Subj_BldgSF),NA())</f>
        <v/>
      </c>
      <c r="AJ269">
        <f>IF(ISNA(AI269),NA(),AI269+ROW()/10000000)</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s="1158" t="inlineStr">
        <is>
          <t>SDM REALTY GROUP LLC</t>
        </is>
      </c>
      <c r="AF270" s="1158" t="inlineStr">
        <is>
          <t>A&amp;G HOLDINGS LTD</t>
        </is>
      </c>
      <c r="AI270" s="245">
        <f>IF(AND($E270=Subj_OccCode,Subj_BldgSF&gt;0,ABS($L270-Subj_BldgSF)&lt;=Subj_BldgSF*Subj_SizeTol),ABS($L270-Subj_BldgSF),NA())</f>
        <v/>
      </c>
      <c r="AJ270">
        <f>IF(ISNA(AI270),NA(),AI270+ROW()/10000000)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s="1158" t="inlineStr">
        <is>
          <t>CROCKET RICHARD E</t>
        </is>
      </c>
      <c r="AF271" s="1158" t="inlineStr">
        <is>
          <t>PATRIOT HOLDINGS SMITH DRIVE LLC</t>
        </is>
      </c>
      <c r="AI271" s="245">
        <f>IF(AND($E271=Subj_OccCode,Subj_BldgSF&gt;0,ABS($L271-Subj_BldgSF)&lt;=Subj_BldgSF*Subj_SizeTol),ABS($L271-Subj_BldgSF),NA())</f>
        <v/>
      </c>
      <c r="AJ271">
        <f>IF(ISNA(AI271),NA(),AI271+ROW()/10000000)</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s="1158" t="inlineStr">
        <is>
          <t>WSM INDUSTRIES INC</t>
        </is>
      </c>
      <c r="AF272" s="1158" t="inlineStr">
        <is>
          <t>WSM REAL ESTATE INVESTMENTS LLC</t>
        </is>
      </c>
      <c r="AI272" s="245">
        <f>IF(AND($E272=Subj_OccCode,Subj_BldgSF&gt;0,ABS($L272-Subj_BldgSF)&lt;=Subj_BldgSF*Subj_SizeTol),ABS($L272-Subj_BldgSF),NA())</f>
        <v/>
      </c>
      <c r="AJ272">
        <f>IF(ISNA(AI272),NA(),AI272+ROW()/10000000)</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s="1158" t="inlineStr">
        <is>
          <t>SOUTH STREET CAPITAL PARTNERS LLC</t>
        </is>
      </c>
      <c r="AF273" s="1158" t="inlineStr">
        <is>
          <t>33RD AVENUE LLC</t>
        </is>
      </c>
      <c r="AI273" s="245">
        <f>IF(AND($E273=Subj_OccCode,Subj_BldgSF&gt;0,ABS($L273-Subj_BldgSF)&lt;=Subj_BldgSF*Subj_SizeTol),ABS($L273-Subj_BldgSF),NA())</f>
        <v/>
      </c>
      <c r="AJ273">
        <f>IF(ISNA(AI273),NA(),AI273+ROW()/10000000)</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s="1158" t="inlineStr">
        <is>
          <t>SOUTH STREET CAPITAL PARTNERS LLC</t>
        </is>
      </c>
      <c r="AF274" s="1158" t="inlineStr">
        <is>
          <t>33RD AVENUE LLC</t>
        </is>
      </c>
      <c r="AI274" s="245">
        <f>IF(AND($E274=Subj_OccCode,Subj_BldgSF&gt;0,ABS($L274-Subj_BldgSF)&lt;=Subj_BldgSF*Subj_SizeTol),ABS($L274-Subj_BldgSF),NA())</f>
        <v/>
      </c>
      <c r="AJ274">
        <f>IF(ISNA(AI274),NA(),AI274+ROW()/10000000)</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s="1158" t="inlineStr">
        <is>
          <t>M-J PERRI CO</t>
        </is>
      </c>
      <c r="AF275" s="1158" t="inlineStr">
        <is>
          <t>1201 E BRIDGE STREET LLC</t>
        </is>
      </c>
      <c r="AI275" s="245">
        <f>IF(AND($E275=Subj_OccCode,Subj_BldgSF&gt;0,ABS($L275-Subj_BldgSF)&lt;=Subj_BldgSF*Subj_SizeTol),ABS($L275-Subj_BldgSF),NA())</f>
        <v/>
      </c>
      <c r="AJ275">
        <f>IF(ISNA(AI275),NA(),AI275+ROW()/10000000)</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s="1158" t="inlineStr">
        <is>
          <t>HONNEN PARTNERS L L C</t>
        </is>
      </c>
      <c r="AF276" s="1158" t="inlineStr">
        <is>
          <t>4 RIVERS PROPERTIES COMMERCE CITY I LLC</t>
        </is>
      </c>
      <c r="AI276" s="245">
        <f>IF(AND($E276=Subj_OccCode,Subj_BldgSF&gt;0,ABS($L276-Subj_BldgSF)&lt;=Subj_BldgSF*Subj_SizeTol),ABS($L276-Subj_BldgSF),NA())</f>
        <v/>
      </c>
      <c r="AJ276">
        <f>IF(ISNA(AI276),NA(),AI276+ROW()/10000000)</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s="1158" t="inlineStr">
        <is>
          <t>BROADWAYS LLC</t>
        </is>
      </c>
      <c r="AF277" s="1158" t="inlineStr">
        <is>
          <t>DENVER FIRE PROTECTION LLC</t>
        </is>
      </c>
      <c r="AI277" s="245">
        <f>IF(AND($E277=Subj_OccCode,Subj_BldgSF&gt;0,ABS($L277-Subj_BldgSF)&lt;=Subj_BldgSF*Subj_SizeTol),ABS($L277-Subj_BldgSF),NA())</f>
        <v/>
      </c>
      <c r="AJ277">
        <f>IF(ISNA(AI277),NA(),AI277+ROW()/10000000)</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s="1158" t="inlineStr">
        <is>
          <t>BROADWAYS LLC</t>
        </is>
      </c>
      <c r="AF278" s="1158" t="inlineStr">
        <is>
          <t>DENVER FIRE PROTECTION LLC</t>
        </is>
      </c>
      <c r="AI278" s="245">
        <f>IF(AND($E278=Subj_OccCode,Subj_BldgSF&gt;0,ABS($L278-Subj_BldgSF)&lt;=Subj_BldgSF*Subj_SizeTol),ABS($L278-Subj_BldgSF),NA())</f>
        <v/>
      </c>
      <c r="AJ278">
        <f>IF(ISNA(AI278),NA(),AI278+ROW()/10000000)</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s="1158" t="inlineStr">
        <is>
          <t>MBD ENTERPRISES LLC</t>
        </is>
      </c>
      <c r="AF279" s="1158" t="inlineStr">
        <is>
          <t>GLOBAL PROPERTIES AND MANAGEMENT LLC</t>
        </is>
      </c>
      <c r="AI279" s="245">
        <f>IF(AND($E279=Subj_OccCode,Subj_BldgSF&gt;0,ABS($L279-Subj_BldgSF)&lt;=Subj_BldgSF*Subj_SizeTol),ABS($L279-Subj_BldgSF),NA())</f>
        <v/>
      </c>
      <c r="AJ279">
        <f>IF(ISNA(AI279),NA(),AI279+ROW()/10000000)</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s="1158" t="inlineStr">
        <is>
          <t>MBD ENTERPRISES LLC</t>
        </is>
      </c>
      <c r="AF280" s="1158" t="inlineStr">
        <is>
          <t>GLOBAL PROPERTIES AND MANAGEMENT LLC</t>
        </is>
      </c>
      <c r="AI280" s="245">
        <f>IF(AND($E280=Subj_OccCode,Subj_BldgSF&gt;0,ABS($L280-Subj_BldgSF)&lt;=Subj_BldgSF*Subj_SizeTol),ABS($L280-Subj_BldgSF),NA())</f>
        <v/>
      </c>
      <c r="AJ280">
        <f>IF(ISNA(AI280),NA(),AI280+ROW()/10000000)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s="1158" t="inlineStr">
        <is>
          <t>DSE LLC</t>
        </is>
      </c>
      <c r="AF281" s="1158" t="inlineStr">
        <is>
          <t>431 LLC</t>
        </is>
      </c>
      <c r="AI281" s="245">
        <f>IF(AND($E281=Subj_OccCode,Subj_BldgSF&gt;0,ABS($L281-Subj_BldgSF)&lt;=Subj_BldgSF*Subj_SizeTol),ABS($L281-Subj_BldgSF),NA())</f>
        <v/>
      </c>
      <c r="AJ281">
        <f>IF(ISNA(AI281),NA(),AI281+ROW()/10000000)</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s="1158" t="inlineStr">
        <is>
          <t>BURNCO COLORADO LLC, C/O PROPERTY TAX DEPT</t>
        </is>
      </c>
      <c r="AF282" s="1158" t="inlineStr">
        <is>
          <t>TRICYCLE LANE TEXAS LLC</t>
        </is>
      </c>
      <c r="AI282" s="245">
        <f>IF(AND($E282=Subj_OccCode,Subj_BldgSF&gt;0,ABS($L282-Subj_BldgSF)&lt;=Subj_BldgSF*Subj_SizeTol),ABS($L282-Subj_BldgSF),NA())</f>
        <v/>
      </c>
      <c r="AJ282">
        <f>IF(ISNA(AI282),NA(),AI282+ROW()/10000000)</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s="1158" t="inlineStr">
        <is>
          <t>BONNIE K LISLE ROTH IRA</t>
        </is>
      </c>
      <c r="AF283" s="1158" t="inlineStr">
        <is>
          <t>VJRE HOLDINGS LLC</t>
        </is>
      </c>
      <c r="AI283" s="245">
        <f>IF(AND($E283=Subj_OccCode,Subj_BldgSF&gt;0,ABS($L283-Subj_BldgSF)&lt;=Subj_BldgSF*Subj_SizeTol),ABS($L283-Subj_BldgSF),NA())</f>
        <v/>
      </c>
      <c r="AJ283">
        <f>IF(ISNA(AI283),NA(),AI283+ROW()/10000000)</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s="1158" t="inlineStr">
        <is>
          <t>40TH STREET PARTNERS LLC FKA MUHLENBERG INVESTMENT LLC</t>
        </is>
      </c>
      <c r="AF284" s="1158" t="inlineStr">
        <is>
          <t>18245 40TH OWNER LLC</t>
        </is>
      </c>
      <c r="AI284" s="245">
        <f>IF(AND($E284=Subj_OccCode,Subj_BldgSF&gt;0,ABS($L284-Subj_BldgSF)&lt;=Subj_BldgSF*Subj_SizeTol),ABS($L284-Subj_BldgSF),NA())</f>
        <v/>
      </c>
      <c r="AJ284">
        <f>IF(ISNA(AI284),NA(),AI284+ROW()/10000000)</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s="1158" t="inlineStr">
        <is>
          <t>PHANTOM IV PARTNERS LLC</t>
        </is>
      </c>
      <c r="AF285" s="1158" t="inlineStr">
        <is>
          <t>CRESTLINE INVESTMENT GROUP LLC</t>
        </is>
      </c>
      <c r="AI285" s="245">
        <f>IF(AND($E285=Subj_OccCode,Subj_BldgSF&gt;0,ABS($L285-Subj_BldgSF)&lt;=Subj_BldgSF*Subj_SizeTol),ABS($L285-Subj_BldgSF),NA())</f>
        <v/>
      </c>
      <c r="AJ285">
        <f>IF(ISNA(AI285),NA(),AI285+ROW()/10000000)</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s="1158" t="inlineStr">
        <is>
          <t>SCANNELL PROPERTIES #534 LLC</t>
        </is>
      </c>
      <c r="AF286" s="1158" t="inlineStr">
        <is>
          <t>BEL COMMERCE LLC, C/O MORGAN STANLEY</t>
        </is>
      </c>
      <c r="AI286" s="245">
        <f>IF(AND($E286=Subj_OccCode,Subj_BldgSF&gt;0,ABS($L286-Subj_BldgSF)&lt;=Subj_BldgSF*Subj_SizeTol),ABS($L286-Subj_BldgSF),NA())</f>
        <v/>
      </c>
      <c r="AJ286">
        <f>IF(ISNA(AI286),NA(),AI286+ROW()/10000000)</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s="1158" t="inlineStr">
        <is>
          <t>METRO DENVER RENTAL MANAGEMENT LLC</t>
        </is>
      </c>
      <c r="AF287" s="1158" t="inlineStr">
        <is>
          <t>JM COLORADO PROPERTIES LLC</t>
        </is>
      </c>
      <c r="AI287" s="245">
        <f>IF(AND($E287=Subj_OccCode,Subj_BldgSF&gt;0,ABS($L287-Subj_BldgSF)&lt;=Subj_BldgSF*Subj_SizeTol),ABS($L287-Subj_BldgSF),NA())</f>
        <v/>
      </c>
      <c r="AJ287">
        <f>IF(ISNA(AI287),NA(),AI287+ROW()/10000000)</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s="1158" t="inlineStr">
        <is>
          <t>LHM DNI LLC</t>
        </is>
      </c>
      <c r="AF288" s="1158" t="inlineStr">
        <is>
          <t>DRAWE HOLDINGS LLC</t>
        </is>
      </c>
      <c r="AI288" s="245">
        <f>IF(AND($E288=Subj_OccCode,Subj_BldgSF&gt;0,ABS($L288-Subj_BldgSF)&lt;=Subj_BldgSF*Subj_SizeTol),ABS($L288-Subj_BldgSF),NA())</f>
        <v/>
      </c>
      <c r="AJ288">
        <f>IF(ISNA(AI288),NA(),AI288+ROW()/10000000)</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s="1158" t="inlineStr">
        <is>
          <t>KONG &amp; QUY PROPERTY LLC</t>
        </is>
      </c>
      <c r="AF289" s="1158" t="inlineStr">
        <is>
          <t>SUNMAN TWO LLC</t>
        </is>
      </c>
      <c r="AI289" s="245">
        <f>IF(AND($E289=Subj_OccCode,Subj_BldgSF&gt;0,ABS($L289-Subj_BldgSF)&lt;=Subj_BldgSF*Subj_SizeTol),ABS($L289-Subj_BldgSF),NA())</f>
        <v/>
      </c>
      <c r="AJ289">
        <f>IF(ISNA(AI289),NA(),AI289+ROW()/10000000)</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s="1158" t="inlineStr">
        <is>
          <t>INDUSTRIAL CHEMICALS, CORPORATION</t>
        </is>
      </c>
      <c r="AF290" s="1158" t="inlineStr">
        <is>
          <t>BRENNTAG PACIFIC INC, C/O BRENNTAG NORTH AMERICA INC</t>
        </is>
      </c>
      <c r="AI290" s="245">
        <f>IF(AND($E290=Subj_OccCode,Subj_BldgSF&gt;0,ABS($L290-Subj_BldgSF)&lt;=Subj_BldgSF*Subj_SizeTol),ABS($L290-Subj_BldgSF),NA())</f>
        <v/>
      </c>
      <c r="AJ290" s="370">
        <f>IF(ISNA(AI290),NA(),AI290+ROW()/10000000)</f>
        <v/>
      </c>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s="1158" t="inlineStr">
        <is>
          <t>BIESEMEIER INDUSTRIAL PARK, INC</t>
        </is>
      </c>
      <c r="AF291" s="1158" t="inlineStr">
        <is>
          <t>BRENNTAG PACIFIC INC, C/O BRENNTAG NORTH AMERICA INC</t>
        </is>
      </c>
      <c r="AI291" s="245">
        <f>IF(AND($E291=Subj_OccCode,Subj_BldgSF&gt;0,ABS($L291-Subj_BldgSF)&lt;=Subj_BldgSF*Subj_SizeTol),ABS($L291-Subj_BldgSF),NA())</f>
        <v/>
      </c>
      <c r="AJ291" s="370">
        <f>IF(ISNA(AI291),NA(),AI291+ROW()/10000000)</f>
        <v/>
      </c>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s="1158" t="inlineStr">
        <is>
          <t>37851 51ST AVE HANGAR OWNERS ASSOCIATION INC</t>
        </is>
      </c>
      <c r="AF292" s="1158" t="inlineStr">
        <is>
          <t>CRAIG RD LLC</t>
        </is>
      </c>
      <c r="AI292" s="245">
        <f>IF(AND($E292=Subj_OccCode,Subj_BldgSF&gt;0,ABS($L292-Subj_BldgSF)&lt;=Subj_BldgSF*Subj_SizeTol),ABS($L292-Subj_BldgSF),NA())</f>
        <v/>
      </c>
      <c r="AJ292" s="370">
        <f>IF(ISNA(AI292),NA(),AI292+ROW()/10000000)</f>
        <v/>
      </c>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s="1158" t="inlineStr">
        <is>
          <t>HOME ADDENDA LLC</t>
        </is>
      </c>
      <c r="AF293" s="1158" t="inlineStr">
        <is>
          <t>ML-2 LLC</t>
        </is>
      </c>
      <c r="AI293" s="245">
        <f>IF(AND($E293=Subj_OccCode,Subj_BldgSF&gt;0,ABS($L293-Subj_BldgSF)&lt;=Subj_BldgSF*Subj_SizeTol),ABS($L293-Subj_BldgSF),NA())</f>
        <v/>
      </c>
      <c r="AJ293" s="370">
        <f>IF(ISNA(AI293),NA(),AI293+ROW()/10000000)</f>
        <v/>
      </c>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s="1158" t="inlineStr">
        <is>
          <t>MC CREA CORA BELLE TRUST</t>
        </is>
      </c>
      <c r="AF294" s="1158" t="inlineStr">
        <is>
          <t>SEG LLC</t>
        </is>
      </c>
      <c r="AI294" s="245">
        <f>IF(AND($E294=Subj_OccCode,Subj_BldgSF&gt;0,ABS($L294-Subj_BldgSF)&lt;=Subj_BldgSF*Subj_SizeTol),ABS($L294-Subj_BldgSF),NA())</f>
        <v/>
      </c>
      <c r="AJ294" s="370">
        <f>IF(ISNA(AI294),NA(),AI294+ROW()/10000000)</f>
        <v/>
      </c>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s="1158" t="inlineStr">
        <is>
          <t xml:space="preserve">SPRING CREEK PARTNERSHIP LTD UND 85%  , AND SMITH GARY D/LINDA B UND 15% INT </t>
        </is>
      </c>
      <c r="AF295" s="1158" t="inlineStr">
        <is>
          <t>INDUSTRIAL CONSTRUCTORS PROPERRTIES LLC</t>
        </is>
      </c>
      <c r="AI295" s="245">
        <f>IF(AND($E295=Subj_OccCode,Subj_BldgSF&gt;0,ABS($L295-Subj_BldgSF)&lt;=Subj_BldgSF*Subj_SizeTol),ABS($L295-Subj_BldgSF),NA())</f>
        <v/>
      </c>
      <c r="AJ295" s="370">
        <f>IF(ISNA(AI295),NA(),AI295+ROW()/10000000)</f>
        <v/>
      </c>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s="1158" t="inlineStr">
        <is>
          <t>TRAUPE RUTH</t>
        </is>
      </c>
      <c r="AF296" s="1158" t="inlineStr">
        <is>
          <t>EISENSTEIN MICHAEL</t>
        </is>
      </c>
      <c r="AI296" s="245">
        <f>IF(AND($E296=Subj_OccCode,Subj_BldgSF&gt;0,ABS($L296-Subj_BldgSF)&lt;=Subj_BldgSF*Subj_SizeTol),ABS($L296-Subj_BldgSF),NA())</f>
        <v/>
      </c>
      <c r="AJ296" s="370">
        <f>IF(ISNA(AI296),NA(),AI296+ROW()/10000000)</f>
        <v/>
      </c>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s="1158" t="inlineStr">
        <is>
          <t>MARTIN PHYLLIS M</t>
        </is>
      </c>
      <c r="AF297" s="1158" t="inlineStr">
        <is>
          <t>481 S 8TH AVE BRIGHTON LLC</t>
        </is>
      </c>
      <c r="AI297" s="245">
        <f>IF(AND($E297=Subj_OccCode,Subj_BldgSF&gt;0,ABS($L297-Subj_BldgSF)&lt;=Subj_BldgSF*Subj_SizeTol),ABS($L297-Subj_BldgSF),NA())</f>
        <v/>
      </c>
      <c r="AJ297" s="370">
        <f>IF(ISNA(AI297),NA(),AI297+ROW()/10000000)</f>
        <v/>
      </c>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s="1158" t="inlineStr">
        <is>
          <t>CHANNEN COMPANIES LLC</t>
        </is>
      </c>
      <c r="AF298" s="1158" t="inlineStr">
        <is>
          <t>WASH SQUARE 121 LLC</t>
        </is>
      </c>
      <c r="AI298" s="245">
        <f>IF(AND($E298=Subj_OccCode,Subj_BldgSF&gt;0,ABS($L298-Subj_BldgSF)&lt;=Subj_BldgSF*Subj_SizeTol),ABS($L298-Subj_BldgSF),NA())</f>
        <v/>
      </c>
      <c r="AJ298" s="370">
        <f>IF(ISNA(AI298),NA(),AI298+ROW()/10000000)</f>
        <v/>
      </c>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s="1158" t="inlineStr">
        <is>
          <t>WANG TONGCHEN</t>
        </is>
      </c>
      <c r="AF299" s="1158" t="inlineStr">
        <is>
          <t>7205 MEADE LLC</t>
        </is>
      </c>
      <c r="AI299" s="245">
        <f>IF(AND($E299=Subj_OccCode,Subj_BldgSF&gt;0,ABS($L299-Subj_BldgSF)&lt;=Subj_BldgSF*Subj_SizeTol),ABS($L299-Subj_BldgSF),NA())</f>
        <v/>
      </c>
      <c r="AJ299" s="370">
        <f>IF(ISNA(AI299),NA(),AI299+ROW()/10000000)</f>
        <v/>
      </c>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s="1158" t="inlineStr">
        <is>
          <t>LUNNON STEPHEN</t>
        </is>
      </c>
      <c r="AF300" s="1158" t="inlineStr">
        <is>
          <t>BRIGHTON INVESTMENTS LLC</t>
        </is>
      </c>
      <c r="AI300" s="245">
        <f>IF(AND($E300=Subj_OccCode,Subj_BldgSF&gt;0,ABS($L300-Subj_BldgSF)&lt;=Subj_BldgSF*Subj_SizeTol),ABS($L300-Subj_BldgSF),NA())</f>
        <v/>
      </c>
      <c r="AJ300" s="370">
        <f>IF(ISNA(AI300),NA(),AI300+ROW()/10000000)</f>
        <v/>
      </c>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s="1158" t="inlineStr">
        <is>
          <t>MAGNOLIA ENTERPRISES LLC</t>
        </is>
      </c>
      <c r="AF301" s="1158" t="inlineStr">
        <is>
          <t>BONNIE K LISLE ROTH IRA</t>
        </is>
      </c>
      <c r="AI301" s="245">
        <f>IF(AND($E301=Subj_OccCode,Subj_BldgSF&gt;0,ABS($L301-Subj_BldgSF)&lt;=Subj_BldgSF*Subj_SizeTol),ABS($L301-Subj_BldgSF),NA())</f>
        <v/>
      </c>
      <c r="AJ301" s="370">
        <f>IF(ISNA(AI301),NA(),AI301+ROW()/10000000)</f>
        <v/>
      </c>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s="1158" t="inlineStr">
        <is>
          <t>MAGNOLIA ENTERPRISES LLC</t>
        </is>
      </c>
      <c r="AF302" s="1158" t="inlineStr">
        <is>
          <t>SOTO IRENE PANDO AND , ISAIS SALVADOR</t>
        </is>
      </c>
      <c r="AI302" s="245">
        <f>IF(AND($E302=Subj_OccCode,Subj_BldgSF&gt;0,ABS($L302-Subj_BldgSF)&lt;=Subj_BldgSF*Subj_SizeTol),ABS($L302-Subj_BldgSF),NA())</f>
        <v/>
      </c>
      <c r="AJ302" s="370">
        <f>IF(ISNA(AI302),NA(),AI302+ROW()/10000000)</f>
        <v/>
      </c>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s="1158" t="inlineStr">
        <is>
          <t>WRIGHT FAMILY 2009 IRREVOCABLE TRUST THE</t>
        </is>
      </c>
      <c r="AF303" s="1158" t="inlineStr">
        <is>
          <t>1551 MILKY WAY LLC</t>
        </is>
      </c>
      <c r="AI303" s="245">
        <f>IF(AND($E303=Subj_OccCode,Subj_BldgSF&gt;0,ABS($L303-Subj_BldgSF)&lt;=Subj_BldgSF*Subj_SizeTol),ABS($L303-Subj_BldgSF),NA())</f>
        <v/>
      </c>
      <c r="AJ303" s="370">
        <f>IF(ISNA(AI303),NA(),AI303+ROW()/10000000)</f>
        <v/>
      </c>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s="1158" t="inlineStr">
        <is>
          <t>909 E 75TH LLC</t>
        </is>
      </c>
      <c r="AF304" s="1158" t="inlineStr">
        <is>
          <t>LEE DONALD C AND, LONG STEPHANIE M</t>
        </is>
      </c>
      <c r="AI304" s="245">
        <f>IF(AND($E304=Subj_OccCode,Subj_BldgSF&gt;0,ABS($L304-Subj_BldgSF)&lt;=Subj_BldgSF*Subj_SizeTol),ABS($L304-Subj_BldgSF),NA())</f>
        <v/>
      </c>
      <c r="AJ304" s="370">
        <f>IF(ISNA(AI304),NA(),AI304+ROW()/10000000)</f>
        <v/>
      </c>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s="1158" t="inlineStr">
        <is>
          <t>BATS INVESTMENTS LLC</t>
        </is>
      </c>
      <c r="AF305" s="1158" t="inlineStr">
        <is>
          <t>W &amp; J INVESTMENTS LLC</t>
        </is>
      </c>
      <c r="AI305" s="245">
        <f>IF(AND($E305=Subj_OccCode,Subj_BldgSF&gt;0,ABS($L305-Subj_BldgSF)&lt;=Subj_BldgSF*Subj_SizeTol),ABS($L305-Subj_BldgSF),NA())</f>
        <v/>
      </c>
      <c r="AJ305" s="370">
        <f>IF(ISNA(AI305),NA(),AI305+ROW()/10000000)</f>
        <v/>
      </c>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s="1158" t="inlineStr">
        <is>
          <t>ZAYAC PROPERTIES IRMA LLLP, C/O PROCLEAN AUTO WASH</t>
        </is>
      </c>
      <c r="AF306" s="1158" t="inlineStr">
        <is>
          <t>BLANCO PROPERTIES IRMA LLC</t>
        </is>
      </c>
      <c r="AI306" s="245">
        <f>IF(AND($E306=Subj_OccCode,Subj_BldgSF&gt;0,ABS($L306-Subj_BldgSF)&lt;=Subj_BldgSF*Subj_SizeTol),ABS($L306-Subj_BldgSF),NA())</f>
        <v/>
      </c>
      <c r="AJ306" s="370">
        <f>IF(ISNA(AI306),NA(),AI306+ROW()/10000000)</f>
        <v/>
      </c>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s="1158" t="inlineStr">
        <is>
          <t>12141 PENNSYLVANIA LLC</t>
        </is>
      </c>
      <c r="AF307" s="1158" t="inlineStr">
        <is>
          <t>SDNS INC</t>
        </is>
      </c>
      <c r="AI307" s="245">
        <f>IF(AND($E307=Subj_OccCode,Subj_BldgSF&gt;0,ABS($L307-Subj_BldgSF)&lt;=Subj_BldgSF*Subj_SizeTol),ABS($L307-Subj_BldgSF),NA())</f>
        <v/>
      </c>
      <c r="AJ307" s="370">
        <f>IF(ISNA(AI307),NA(),AI307+ROW()/10000000)</f>
        <v/>
      </c>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s="1158" t="inlineStr">
        <is>
          <t>BALES BOHR 851 A4 LLC</t>
        </is>
      </c>
      <c r="AF308" s="1158" t="inlineStr">
        <is>
          <t>851 E HWY 224 LLC</t>
        </is>
      </c>
      <c r="AI308" s="245">
        <f>IF(AND($E308=Subj_OccCode,Subj_BldgSF&gt;0,ABS($L308-Subj_BldgSF)&lt;=Subj_BldgSF*Subj_SizeTol),ABS($L308-Subj_BldgSF),NA())</f>
        <v/>
      </c>
      <c r="AJ308" s="370">
        <f>IF(ISNA(AI308),NA(),AI308+ROW()/10000000)</f>
        <v/>
      </c>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s="1158" t="inlineStr">
        <is>
          <t>KIM DANIEL</t>
        </is>
      </c>
      <c r="AF309" s="1158" t="inlineStr">
        <is>
          <t>BLUE ROOF RENTALS LLC</t>
        </is>
      </c>
      <c r="AI309" s="245">
        <f>IF(AND($E309=Subj_OccCode,Subj_BldgSF&gt;0,ABS($L309-Subj_BldgSF)&lt;=Subj_BldgSF*Subj_SizeTol),ABS($L309-Subj_BldgSF),NA())</f>
        <v/>
      </c>
      <c r="AJ309" s="370">
        <f>IF(ISNA(AI309),NA(),AI309+ROW()/10000000)</f>
        <v/>
      </c>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s="1158" t="inlineStr">
        <is>
          <t>PNJ INVESTMENTS LLC</t>
        </is>
      </c>
      <c r="AF310" s="1158" t="inlineStr">
        <is>
          <t>CHAVEZ DAVID AND , CHAVEZ PAMELA</t>
        </is>
      </c>
      <c r="AI310" s="245">
        <f>IF(AND($E310=Subj_OccCode,Subj_BldgSF&gt;0,ABS($L310-Subj_BldgSF)&lt;=Subj_BldgSF*Subj_SizeTol),ABS($L310-Subj_BldgSF),NA())</f>
        <v/>
      </c>
      <c r="AJ310" s="370">
        <f>IF(ISNA(AI310),NA(),AI310+ROW()/10000000)</f>
        <v/>
      </c>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s="1158" t="inlineStr">
        <is>
          <t>WAFCO LTD</t>
        </is>
      </c>
      <c r="AF311" s="1158" t="inlineStr">
        <is>
          <t>KUKU LLC</t>
        </is>
      </c>
      <c r="AI311" s="245">
        <f>IF(AND($E311=Subj_OccCode,Subj_BldgSF&gt;0,ABS($L311-Subj_BldgSF)&lt;=Subj_BldgSF*Subj_SizeTol),ABS($L311-Subj_BldgSF),NA())</f>
        <v/>
      </c>
      <c r="AJ311" s="370">
        <f>IF(ISNA(AI311),NA(),AI311+ROW()/10000000)</f>
        <v/>
      </c>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s="1158" t="inlineStr">
        <is>
          <t>BURR JOANN L AND, GULLION CAROLYN KAY LIVING TRUST</t>
        </is>
      </c>
      <c r="AF312" s="1158" t="inlineStr">
        <is>
          <t>9685 BRIGHTON LLC</t>
        </is>
      </c>
      <c r="AI312" s="245">
        <f>IF(AND($E312=Subj_OccCode,Subj_BldgSF&gt;0,ABS($L312-Subj_BldgSF)&lt;=Subj_BldgSF*Subj_SizeTol),ABS($L312-Subj_BldgSF),NA())</f>
        <v/>
      </c>
      <c r="AJ312" s="370">
        <f>IF(ISNA(AI312),NA(),AI312+ROW()/10000000)</f>
        <v/>
      </c>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s="1158" t="inlineStr">
        <is>
          <t>HERR FAMILY LLC</t>
        </is>
      </c>
      <c r="AF313" s="1158" t="inlineStr">
        <is>
          <t>123 N MAIN LLC</t>
        </is>
      </c>
      <c r="AI313" s="245">
        <f>IF(AND($E313=Subj_OccCode,Subj_BldgSF&gt;0,ABS($L313-Subj_BldgSF)&lt;=Subj_BldgSF*Subj_SizeTol),ABS($L313-Subj_BldgSF),NA())</f>
        <v/>
      </c>
      <c r="AJ313" s="370">
        <f>IF(ISNA(AI313),NA(),AI313+ROW()/10000000)</f>
        <v/>
      </c>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s="1158" t="inlineStr">
        <is>
          <t>HORIZON TERRACE PACIFIC LTD</t>
        </is>
      </c>
      <c r="AF314" s="1158" t="inlineStr">
        <is>
          <t>1641 CALIFORNIA LLC</t>
        </is>
      </c>
      <c r="AI314" s="245">
        <f>IF(AND($E314=Subj_OccCode,Subj_BldgSF&gt;0,ABS($L314-Subj_BldgSF)&lt;=Subj_BldgSF*Subj_SizeTol),ABS($L314-Subj_BldgSF),NA())</f>
        <v/>
      </c>
      <c r="AJ314" s="370">
        <f>IF(ISNA(AI314),NA(),AI314+ROW()/10000000)</f>
        <v/>
      </c>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s="1158" t="inlineStr">
        <is>
          <t>DYCO HOLDINGS LLC</t>
        </is>
      </c>
      <c r="AF315" s="1158" t="inlineStr">
        <is>
          <t>JOINT VENTURES LLC</t>
        </is>
      </c>
      <c r="AI315" s="245">
        <f>IF(AND($E315=Subj_OccCode,Subj_BldgSF&gt;0,ABS($L315-Subj_BldgSF)&lt;=Subj_BldgSF*Subj_SizeTol),ABS($L315-Subj_BldgSF),NA())</f>
        <v/>
      </c>
      <c r="AJ315" s="370">
        <f>IF(ISNA(AI315),NA(),AI315+ROW()/10000000)</f>
        <v/>
      </c>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s="1158" t="inlineStr">
        <is>
          <t>RAICHLE INTERESTS LLC</t>
        </is>
      </c>
      <c r="AF316" s="1158" t="inlineStr">
        <is>
          <t>GREYSON HOLDINGS LLC</t>
        </is>
      </c>
      <c r="AI316" s="245">
        <f>IF(AND($E316=Subj_OccCode,Subj_BldgSF&gt;0,ABS($L316-Subj_BldgSF)&lt;=Subj_BldgSF*Subj_SizeTol),ABS($L316-Subj_BldgSF),NA())</f>
        <v/>
      </c>
      <c r="AJ316" s="370">
        <f>IF(ISNA(AI316),NA(),AI316+ROW()/10000000)</f>
        <v/>
      </c>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s="1158" t="inlineStr">
        <is>
          <t>MARTIN MICHAEL T AND, MARTIN BETH E</t>
        </is>
      </c>
      <c r="AF317" s="1158" t="inlineStr">
        <is>
          <t>CHUONG KELLY</t>
        </is>
      </c>
      <c r="AI317" s="245">
        <f>IF(AND($E317=Subj_OccCode,Subj_BldgSF&gt;0,ABS($L317-Subj_BldgSF)&lt;=Subj_BldgSF*Subj_SizeTol),ABS($L317-Subj_BldgSF),NA())</f>
        <v/>
      </c>
      <c r="AJ317" s="370">
        <f>IF(ISNA(AI317),NA(),AI317+ROW()/10000000)</f>
        <v/>
      </c>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s="1158" t="inlineStr">
        <is>
          <t>LAMM DEVELOPMENTS LTD</t>
        </is>
      </c>
      <c r="AF318" s="1158" t="inlineStr">
        <is>
          <t>BELLA IN YOU DAY SPA</t>
        </is>
      </c>
      <c r="AI318" s="245">
        <f>IF(AND($E318=Subj_OccCode,Subj_BldgSF&gt;0,ABS($L318-Subj_BldgSF)&lt;=Subj_BldgSF*Subj_SizeTol),ABS($L318-Subj_BldgSF),NA())</f>
        <v/>
      </c>
      <c r="AJ318" s="370">
        <f>IF(ISNA(AI318),NA(),AI318+ROW()/10000000)</f>
        <v/>
      </c>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s="1158" t="inlineStr">
        <is>
          <t>ONUOHA FRANCISCA I</t>
        </is>
      </c>
      <c r="AF319" s="1158" t="inlineStr">
        <is>
          <t>MILE HIGH COUNCIL ON ALCOHOLISM AND DRUG ABUSE</t>
        </is>
      </c>
      <c r="AI319" s="245">
        <f>IF(AND($E319=Subj_OccCode,Subj_BldgSF&gt;0,ABS($L319-Subj_BldgSF)&lt;=Subj_BldgSF*Subj_SizeTol),ABS($L319-Subj_BldgSF),NA())</f>
        <v/>
      </c>
      <c r="AJ319" s="370">
        <f>IF(ISNA(AI319),NA(),AI319+ROW()/10000000)</f>
        <v/>
      </c>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s="1158" t="inlineStr">
        <is>
          <t>ANDERSON SHYRLEE F</t>
        </is>
      </c>
      <c r="AF320" s="1158" t="inlineStr">
        <is>
          <t>RELAY HILL C LLC</t>
        </is>
      </c>
      <c r="AI320" s="245">
        <f>IF(AND($E320=Subj_OccCode,Subj_BldgSF&gt;0,ABS($L320-Subj_BldgSF)&lt;=Subj_BldgSF*Subj_SizeTol),ABS($L320-Subj_BldgSF),NA())</f>
        <v/>
      </c>
      <c r="AJ320" s="370">
        <f>IF(ISNA(AI320),NA(),AI320+ROW()/10000000)</f>
        <v/>
      </c>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s="1158" t="inlineStr">
        <is>
          <t>MEYER ROBERT CARL JR LIVING TRUST 50% , MEYER ROBIN LEE LIVING TRUST 50% INT</t>
        </is>
      </c>
      <c r="AF321" s="1158" t="inlineStr">
        <is>
          <t>RMER PROPERTIES LLC</t>
        </is>
      </c>
      <c r="AI321" s="245">
        <f>IF(AND($E321=Subj_OccCode,Subj_BldgSF&gt;0,ABS($L321-Subj_BldgSF)&lt;=Subj_BldgSF*Subj_SizeTol),ABS($L321-Subj_BldgSF),NA())</f>
        <v/>
      </c>
      <c r="AJ321" s="370">
        <f>IF(ISNA(AI321),NA(),AI321+ROW()/10000000)</f>
        <v/>
      </c>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s="1158" t="inlineStr">
        <is>
          <t>JOHNSON WARREN T.</t>
        </is>
      </c>
      <c r="AF322" s="1158" t="inlineStr">
        <is>
          <t>BUNGALOW VENTURES LLC</t>
        </is>
      </c>
      <c r="AI322" s="245">
        <f>IF(AND($E322=Subj_OccCode,Subj_BldgSF&gt;0,ABS($L322-Subj_BldgSF)&lt;=Subj_BldgSF*Subj_SizeTol),ABS($L322-Subj_BldgSF),NA())</f>
        <v/>
      </c>
      <c r="AJ322" s="370">
        <f>IF(ISNA(AI322),NA(),AI322+ROW()/10000000)</f>
        <v/>
      </c>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s="1158" t="inlineStr">
        <is>
          <t>TITCO LLC</t>
        </is>
      </c>
      <c r="AF323" s="1158" t="inlineStr">
        <is>
          <t>4950 E 56TH AVE LLC</t>
        </is>
      </c>
      <c r="AI323" s="245">
        <f>IF(AND($E323=Subj_OccCode,Subj_BldgSF&gt;0,ABS($L323-Subj_BldgSF)&lt;=Subj_BldgSF*Subj_SizeTol),ABS($L323-Subj_BldgSF),NA())</f>
        <v/>
      </c>
      <c r="AJ323" s="370">
        <f>IF(ISNA(AI323),NA(),AI323+ROW()/10000000)</f>
        <v/>
      </c>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s="1158" t="inlineStr">
        <is>
          <t>CHAMBERLAIN MARK A AND TAMMY D</t>
        </is>
      </c>
      <c r="AF324" s="1158" t="inlineStr">
        <is>
          <t>A&amp;C AUTOWORKS INC</t>
        </is>
      </c>
      <c r="AI324" s="245">
        <f>IF(AND($E324=Subj_OccCode,Subj_BldgSF&gt;0,ABS($L324-Subj_BldgSF)&lt;=Subj_BldgSF*Subj_SizeTol),ABS($L324-Subj_BldgSF),NA())</f>
        <v/>
      </c>
      <c r="AJ324" s="370">
        <f>IF(ISNA(AI324),NA(),AI324+ROW()/10000000)</f>
        <v/>
      </c>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s="1158" t="inlineStr">
        <is>
          <t>TEKLEZGHI MEHARENA AND, ATSEBAHA SABA YEMESGEN</t>
        </is>
      </c>
      <c r="AF325" s="1158" t="inlineStr">
        <is>
          <t>Z &amp; T LLC</t>
        </is>
      </c>
      <c r="AI325" s="245">
        <f>IF(AND($E325=Subj_OccCode,Subj_BldgSF&gt;0,ABS($L325-Subj_BldgSF)&lt;=Subj_BldgSF*Subj_SizeTol),ABS($L325-Subj_BldgSF),NA())</f>
        <v/>
      </c>
      <c r="AJ325" s="370">
        <f>IF(ISNA(AI325),NA(),AI325+ROW()/10000000)</f>
        <v/>
      </c>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s="1158" t="inlineStr">
        <is>
          <t>COLOROSO FAMILY PARTNERSHIP I LTD</t>
        </is>
      </c>
      <c r="AF326" s="1158" t="inlineStr">
        <is>
          <t>ZHENG BIAO AND, YUAN JIN RONG</t>
        </is>
      </c>
      <c r="AI326" s="245">
        <f>IF(AND($E326=Subj_OccCode,Subj_BldgSF&gt;0,ABS($L326-Subj_BldgSF)&lt;=Subj_BldgSF*Subj_SizeTol),ABS($L326-Subj_BldgSF),NA())</f>
        <v/>
      </c>
      <c r="AJ326" s="370">
        <f>IF(ISNA(AI326),NA(),AI326+ROW()/10000000)</f>
        <v/>
      </c>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s="1158" t="inlineStr">
        <is>
          <t>ZIMIK KHACHUNGLA</t>
        </is>
      </c>
      <c r="AF327" s="1158" t="inlineStr">
        <is>
          <t>ONE FACIAL AESTHETICS &amp; SPA LLC</t>
        </is>
      </c>
      <c r="AI327" s="245">
        <f>IF(AND($E327=Subj_OccCode,Subj_BldgSF&gt;0,ABS($L327-Subj_BldgSF)&lt;=Subj_BldgSF*Subj_SizeTol),ABS($L327-Subj_BldgSF),NA())</f>
        <v/>
      </c>
      <c r="AJ327" s="370">
        <f>IF(ISNA(AI327),NA(),AI327+ROW()/10000000)</f>
        <v/>
      </c>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s="1158" t="inlineStr">
        <is>
          <t>GROTHENDICK DANIEL M</t>
        </is>
      </c>
      <c r="AF328" s="1158" t="inlineStr">
        <is>
          <t>LOPEZ RODNEY KENT</t>
        </is>
      </c>
      <c r="AI328" s="245">
        <f>IF(AND($E328=Subj_OccCode,Subj_BldgSF&gt;0,ABS($L328-Subj_BldgSF)&lt;=Subj_BldgSF*Subj_SizeTol),ABS($L328-Subj_BldgSF),NA())</f>
        <v/>
      </c>
      <c r="AJ328" s="370">
        <f>IF(ISNA(AI328),NA(),AI328+ROW()/10000000)</f>
        <v/>
      </c>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s="1158" t="inlineStr">
        <is>
          <t>RPM PROPERTIES RLLLP</t>
        </is>
      </c>
      <c r="AF329" s="1158" t="inlineStr">
        <is>
          <t>SCF RC FUNDING IV LLC</t>
        </is>
      </c>
      <c r="AI329" s="245">
        <f>IF(AND($E329=Subj_OccCode,Subj_BldgSF&gt;0,ABS($L329-Subj_BldgSF)&lt;=Subj_BldgSF*Subj_SizeTol),ABS($L329-Subj_BldgSF),NA())</f>
        <v/>
      </c>
      <c r="AJ329" s="370">
        <f>IF(ISNA(AI329),NA(),AI329+ROW()/10000000)</f>
        <v/>
      </c>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s="1158" t="inlineStr">
        <is>
          <t>SUNRISE COTTAGES LLC</t>
        </is>
      </c>
      <c r="AF330" s="1158" t="inlineStr">
        <is>
          <t>DENVER CASITAS LLC</t>
        </is>
      </c>
      <c r="AI330" s="245">
        <f>IF(AND($E330=Subj_OccCode,Subj_BldgSF&gt;0,ABS($L330-Subj_BldgSF)&lt;=Subj_BldgSF*Subj_SizeTol),ABS($L330-Subj_BldgSF),NA())</f>
        <v/>
      </c>
      <c r="AJ330" s="370">
        <f>IF(ISNA(AI330),NA(),AI330+ROW()/10000000)</f>
        <v/>
      </c>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s="1158" t="inlineStr">
        <is>
          <t>ONEMANIVONG LINTHONG AND, PHOMMACHAN TINGKHAM</t>
        </is>
      </c>
      <c r="AF331" s="1158" t="inlineStr">
        <is>
          <t>APEX AUTOS</t>
        </is>
      </c>
      <c r="AI331" s="245">
        <f>IF(AND($E331=Subj_OccCode,Subj_BldgSF&gt;0,ABS($L331-Subj_BldgSF)&lt;=Subj_BldgSF*Subj_SizeTol),ABS($L331-Subj_BldgSF),NA())</f>
        <v/>
      </c>
      <c r="AJ331" s="370">
        <f>IF(ISNA(AI331),NA(),AI331+ROW()/10000000)</f>
        <v/>
      </c>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s="1158" t="inlineStr">
        <is>
          <t>KOSMISKI FAMILY PARTNERSHIP LLLP</t>
        </is>
      </c>
      <c r="AF332" s="1158" t="inlineStr">
        <is>
          <t>JT EMERY HOLDINGS LLC</t>
        </is>
      </c>
      <c r="AI332" s="245">
        <f>IF(AND($E332=Subj_OccCode,Subj_BldgSF&gt;0,ABS($L332-Subj_BldgSF)&lt;=Subj_BldgSF*Subj_SizeTol),ABS($L332-Subj_BldgSF),NA())</f>
        <v/>
      </c>
      <c r="AJ332" s="370">
        <f>IF(ISNA(AI332),NA(),AI332+ROW()/10000000)</f>
        <v/>
      </c>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s="1158" t="inlineStr">
        <is>
          <t>SANG SOO ENTERPRISES LLC</t>
        </is>
      </c>
      <c r="AF333" s="1158" t="inlineStr">
        <is>
          <t>CHANG EUN JA</t>
        </is>
      </c>
      <c r="AI333" s="245">
        <f>IF(AND($E333=Subj_OccCode,Subj_BldgSF&gt;0,ABS($L333-Subj_BldgSF)&lt;=Subj_BldgSF*Subj_SizeTol),ABS($L333-Subj_BldgSF),NA())</f>
        <v/>
      </c>
      <c r="AJ333" s="370">
        <f>IF(ISNA(AI333),NA(),AI333+ROW()/10000000)</f>
        <v/>
      </c>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s="1158" t="inlineStr">
        <is>
          <t>TSAO RICK</t>
        </is>
      </c>
      <c r="AF334" s="1158" t="inlineStr">
        <is>
          <t>WETTSTEIN HENRY</t>
        </is>
      </c>
      <c r="AI334" s="245">
        <f>IF(AND($E334=Subj_OccCode,Subj_BldgSF&gt;0,ABS($L334-Subj_BldgSF)&lt;=Subj_BldgSF*Subj_SizeTol),ABS($L334-Subj_BldgSF),NA())</f>
        <v/>
      </c>
      <c r="AJ334" s="370">
        <f>IF(ISNA(AI334),NA(),AI334+ROW()/10000000)</f>
        <v/>
      </c>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s="1158" t="inlineStr">
        <is>
          <t>ROCKING K PROPERTIES LLC</t>
        </is>
      </c>
      <c r="AF335" s="1158" t="inlineStr">
        <is>
          <t>REDDY MALIREDDY S AND, REDDY SYAMA M</t>
        </is>
      </c>
      <c r="AI335" s="245">
        <f>IF(AND($E335=Subj_OccCode,Subj_BldgSF&gt;0,ABS($L335-Subj_BldgSF)&lt;=Subj_BldgSF*Subj_SizeTol),ABS($L335-Subj_BldgSF),NA())</f>
        <v/>
      </c>
      <c r="AJ335" s="370">
        <f>IF(ISNA(AI335),NA(),AI335+ROW()/10000000)</f>
        <v/>
      </c>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s="1158" t="inlineStr">
        <is>
          <t>FERGUSON LANCE A/VINCENT DEBRA A, FERGUSON JENNIFER L/VINCENT JAMES W</t>
        </is>
      </c>
      <c r="AF336" s="1158" t="inlineStr">
        <is>
          <t>HERR FAMILY LLC</t>
        </is>
      </c>
      <c r="AI336" s="245">
        <f>IF(AND($E336=Subj_OccCode,Subj_BldgSF&gt;0,ABS($L336-Subj_BldgSF)&lt;=Subj_BldgSF*Subj_SizeTol),ABS($L336-Subj_BldgSF),NA())</f>
        <v/>
      </c>
      <c r="AJ336" s="370">
        <f>IF(ISNA(AI336),NA(),AI336+ROW()/10000000)</f>
        <v/>
      </c>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s="1158" t="inlineStr">
        <is>
          <t>D AND R EZZELL INC</t>
        </is>
      </c>
      <c r="AF337" s="1158" t="inlineStr">
        <is>
          <t>323 WALNUT ST LLC</t>
        </is>
      </c>
      <c r="AI337" s="245">
        <f>IF(AND($E337=Subj_OccCode,Subj_BldgSF&gt;0,ABS($L337-Subj_BldgSF)&lt;=Subj_BldgSF*Subj_SizeTol),ABS($L337-Subj_BldgSF),NA())</f>
        <v/>
      </c>
      <c r="AJ337" s="370">
        <f>IF(ISNA(AI337),NA(),AI337+ROW()/10000000)</f>
        <v/>
      </c>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s="1158" t="inlineStr">
        <is>
          <t>HERNANDEZ GUADALUPE MERAZ AND, MERAZ HEIDY L</t>
        </is>
      </c>
      <c r="AF338" s="1158" t="inlineStr">
        <is>
          <t>ROJO ORDONES ERICK MANUEL AND, ROJO ISABEL</t>
        </is>
      </c>
      <c r="AI338" s="245">
        <f>IF(AND($E338=Subj_OccCode,Subj_BldgSF&gt;0,ABS($L338-Subj_BldgSF)&lt;=Subj_BldgSF*Subj_SizeTol),ABS($L338-Subj_BldgSF),NA())</f>
        <v/>
      </c>
      <c r="AJ338" s="370">
        <f>IF(ISNA(AI338),NA(),AI338+ROW()/10000000)</f>
        <v/>
      </c>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s="1158" t="inlineStr">
        <is>
          <t>TAM REALTY LLC</t>
        </is>
      </c>
      <c r="AF339" s="1158" t="inlineStr">
        <is>
          <t>NASA BURROUGHS LLC</t>
        </is>
      </c>
      <c r="AI339" s="245">
        <f>IF(AND($E339=Subj_OccCode,Subj_BldgSF&gt;0,ABS($L339-Subj_BldgSF)&lt;=Subj_BldgSF*Subj_SizeTol),ABS($L339-Subj_BldgSF),NA())</f>
        <v/>
      </c>
      <c r="AJ339" s="370">
        <f>IF(ISNA(AI339),NA(),AI339+ROW()/10000000)</f>
        <v/>
      </c>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s="1158" t="inlineStr">
        <is>
          <t>HUTTON CONTRACTING COMPANY, INC</t>
        </is>
      </c>
      <c r="AF340" s="1158" t="inlineStr">
        <is>
          <t>JONES JEFFREY A</t>
        </is>
      </c>
      <c r="AI340" s="245">
        <f>IF(AND($E340=Subj_OccCode,Subj_BldgSF&gt;0,ABS($L340-Subj_BldgSF)&lt;=Subj_BldgSF*Subj_SizeTol),ABS($L340-Subj_BldgSF),NA())</f>
        <v/>
      </c>
      <c r="AJ340" s="370">
        <f>IF(ISNA(AI340),NA(),AI340+ROW()/10000000)</f>
        <v/>
      </c>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s="1158" t="inlineStr">
        <is>
          <t>JHDS LLC</t>
        </is>
      </c>
      <c r="AF341" s="1158" t="inlineStr">
        <is>
          <t>JECO HOLDINGS INC</t>
        </is>
      </c>
      <c r="AI341" s="245">
        <f>IF(AND($E341=Subj_OccCode,Subj_BldgSF&gt;0,ABS($L341-Subj_BldgSF)&lt;=Subj_BldgSF*Subj_SizeTol),ABS($L341-Subj_BldgSF),NA())</f>
        <v/>
      </c>
      <c r="AJ341" s="370">
        <f>IF(ISNA(AI341),NA(),AI341+ROW()/10000000)</f>
        <v/>
      </c>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s="1158" t="inlineStr">
        <is>
          <t>FIRST INDUSTRIAL LP</t>
        </is>
      </c>
      <c r="AF342" s="1158" t="inlineStr">
        <is>
          <t>HZ SORRENTO HIGHPOINTE SQUARE LLC ET AL</t>
        </is>
      </c>
      <c r="AI342" s="245">
        <f>IF(AND($E342=Subj_OccCode,Subj_BldgSF&gt;0,ABS($L342-Subj_BldgSF)&lt;=Subj_BldgSF*Subj_SizeTol),ABS($L342-Subj_BldgSF),NA())</f>
        <v/>
      </c>
      <c r="AJ342" s="370">
        <f>IF(ISNA(AI342),NA(),AI342+ROW()/10000000)</f>
        <v/>
      </c>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s="1158" t="inlineStr">
        <is>
          <t>NORTH SHORE PROPERTIES LLC</t>
        </is>
      </c>
      <c r="AF343" s="1158" t="inlineStr">
        <is>
          <t>MPI LAND BROKERS LLC</t>
        </is>
      </c>
      <c r="AI343" s="245">
        <f>IF(AND($E343=Subj_OccCode,Subj_BldgSF&gt;0,ABS($L343-Subj_BldgSF)&lt;=Subj_BldgSF*Subj_SizeTol),ABS($L343-Subj_BldgSF),NA())</f>
        <v/>
      </c>
      <c r="AJ343" s="370">
        <f>IF(ISNA(AI343),NA(),AI343+ROW()/10000000)</f>
        <v/>
      </c>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s="1158" t="inlineStr">
        <is>
          <t>C B QUICK AND CO</t>
        </is>
      </c>
      <c r="AF344" s="1158" t="inlineStr">
        <is>
          <t>SPEEDWAY GARAGES LLC</t>
        </is>
      </c>
      <c r="AI344" s="245">
        <f>IF(AND($E344=Subj_OccCode,Subj_BldgSF&gt;0,ABS($L344-Subj_BldgSF)&lt;=Subj_BldgSF*Subj_SizeTol),ABS($L344-Subj_BldgSF),NA())</f>
        <v/>
      </c>
      <c r="AJ344" s="370">
        <f>IF(ISNA(AI344),NA(),AI344+ROW()/10000000)</f>
        <v/>
      </c>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s="1158" t="inlineStr">
        <is>
          <t>H &amp; S PROPERTIES LLC</t>
        </is>
      </c>
      <c r="AF345" s="1158" t="inlineStr">
        <is>
          <t>BWR HOLDINGS LLLP</t>
        </is>
      </c>
      <c r="AI345" s="245">
        <f>IF(AND($E345=Subj_OccCode,Subj_BldgSF&gt;0,ABS($L345-Subj_BldgSF)&lt;=Subj_BldgSF*Subj_SizeTol),ABS($L345-Subj_BldgSF),NA())</f>
        <v/>
      </c>
      <c r="AJ345" s="370">
        <f>IF(ISNA(AI345),NA(),AI345+ROW()/10000000)</f>
        <v/>
      </c>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s="1158" t="inlineStr">
        <is>
          <t>FPT PROPERTIES LLC</t>
        </is>
      </c>
      <c r="AF346" s="1158" t="inlineStr">
        <is>
          <t>6510 PROPERTIES LLC</t>
        </is>
      </c>
      <c r="AI346" s="245">
        <f>IF(AND($E346=Subj_OccCode,Subj_BldgSF&gt;0,ABS($L346-Subj_BldgSF)&lt;=Subj_BldgSF*Subj_SizeTol),ABS($L346-Subj_BldgSF),NA())</f>
        <v/>
      </c>
      <c r="AJ346" s="370">
        <f>IF(ISNA(AI346),NA(),AI346+ROW()/10000000)</f>
        <v/>
      </c>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s="1158" t="inlineStr">
        <is>
          <t>TRUSTILE DOORS LLC</t>
        </is>
      </c>
      <c r="AF347" s="1158" t="inlineStr">
        <is>
          <t>GWP LLC</t>
        </is>
      </c>
      <c r="AI347" s="245">
        <f>IF(AND($E347=Subj_OccCode,Subj_BldgSF&gt;0,ABS($L347-Subj_BldgSF)&lt;=Subj_BldgSF*Subj_SizeTol),ABS($L347-Subj_BldgSF),NA())</f>
        <v/>
      </c>
      <c r="AJ347" s="370">
        <f>IF(ISNA(AI347),NA(),AI347+ROW()/10000000)</f>
        <v/>
      </c>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s="1158" t="inlineStr">
        <is>
          <t>5180-5270 FOX PROPERTY OWNER LLC</t>
        </is>
      </c>
      <c r="AF348" s="1158" t="inlineStr">
        <is>
          <t>ABARCA TEN LLC</t>
        </is>
      </c>
      <c r="AI348" s="245">
        <f>IF(AND($E348=Subj_OccCode,Subj_BldgSF&gt;0,ABS($L348-Subj_BldgSF)&lt;=Subj_BldgSF*Subj_SizeTol),ABS($L348-Subj_BldgSF),NA())</f>
        <v/>
      </c>
      <c r="AJ348" s="370">
        <f>IF(ISNA(AI348),NA(),AI348+ROW()/10000000)</f>
        <v/>
      </c>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s="1158" t="inlineStr">
        <is>
          <t>JPJ ENTERPRISES LLC</t>
        </is>
      </c>
      <c r="AF349" s="1158" t="inlineStr">
        <is>
          <t>SCHWARTZ JOSH JON</t>
        </is>
      </c>
      <c r="AI349" s="245">
        <f>IF(AND($E349=Subj_OccCode,Subj_BldgSF&gt;0,ABS($L349-Subj_BldgSF)&lt;=Subj_BldgSF*Subj_SizeTol),ABS($L349-Subj_BldgSF),NA())</f>
        <v/>
      </c>
      <c r="AJ349" s="370">
        <f>IF(ISNA(AI349),NA(),AI349+ROW()/10000000)</f>
        <v/>
      </c>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s="1158" t="inlineStr">
        <is>
          <t>9655 E 25TH LLC</t>
        </is>
      </c>
      <c r="AF350" s="1158" t="inlineStr">
        <is>
          <t>14195 MOUNTVIEW BLVD PARTNERS LLC</t>
        </is>
      </c>
      <c r="AI350" s="245">
        <f>IF(AND($E350=Subj_OccCode,Subj_BldgSF&gt;0,ABS($L350-Subj_BldgSF)&lt;=Subj_BldgSF*Subj_SizeTol),ABS($L350-Subj_BldgSF),NA())</f>
        <v/>
      </c>
      <c r="AJ350" s="370">
        <f>IF(ISNA(AI350),NA(),AI350+ROW()/10000000)</f>
        <v/>
      </c>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s="1158" t="inlineStr">
        <is>
          <t>WEJ LLC</t>
        </is>
      </c>
      <c r="AF351" s="1158" t="inlineStr">
        <is>
          <t>WAGERS PROPERTIES LLC</t>
        </is>
      </c>
      <c r="AI351" s="245">
        <f>IF(AND($E351=Subj_OccCode,Subj_BldgSF&gt;0,ABS($L351-Subj_BldgSF)&lt;=Subj_BldgSF*Subj_SizeTol),ABS($L351-Subj_BldgSF),NA())</f>
        <v/>
      </c>
      <c r="AJ351" s="370">
        <f>IF(ISNA(AI351),NA(),AI351+ROW()/10000000)</f>
        <v/>
      </c>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s="1158" t="inlineStr">
        <is>
          <t>STOWERS GEORGETTE I</t>
        </is>
      </c>
      <c r="AF352" s="1158" t="inlineStr">
        <is>
          <t>7125 NEWTON ST LLC</t>
        </is>
      </c>
      <c r="AI352" s="245">
        <f>IF(AND($E352=Subj_OccCode,Subj_BldgSF&gt;0,ABS($L352-Subj_BldgSF)&lt;=Subj_BldgSF*Subj_SizeTol),ABS($L352-Subj_BldgSF),NA())</f>
        <v/>
      </c>
      <c r="AJ352" s="370">
        <f>IF(ISNA(AI352),NA(),AI352+ROW()/10000000)</f>
        <v/>
      </c>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s="1158" t="inlineStr">
        <is>
          <t>COLORADO DISTRICT OF THE, CHURCH OF THE NAZARENE</t>
        </is>
      </c>
      <c r="AF353" s="1158" t="inlineStr">
        <is>
          <t>GRAND PROPERTIES CO LLC</t>
        </is>
      </c>
      <c r="AI353" s="245">
        <f>IF(AND($E353=Subj_OccCode,Subj_BldgSF&gt;0,ABS($L353-Subj_BldgSF)&lt;=Subj_BldgSF*Subj_SizeTol),ABS($L353-Subj_BldgSF),NA())</f>
        <v/>
      </c>
      <c r="AJ353" s="370">
        <f>IF(ISNA(AI353),NA(),AI353+ROW()/10000000)</f>
        <v/>
      </c>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s="1158" t="inlineStr">
        <is>
          <t xml:space="preserve">STERLING-THORNTON CO LLC,  </t>
        </is>
      </c>
      <c r="AF354" s="1158" t="inlineStr">
        <is>
          <t>SHIN YONG SIN TRUSTEE OF , THE YONG S SHIN LIVING TRUST</t>
        </is>
      </c>
      <c r="AI354" s="245">
        <f>IF(AND($E354=Subj_OccCode,Subj_BldgSF&gt;0,ABS($L354-Subj_BldgSF)&lt;=Subj_BldgSF*Subj_SizeTol),ABS($L354-Subj_BldgSF),NA())</f>
        <v/>
      </c>
      <c r="AJ354" s="370">
        <f>IF(ISNA(AI354),NA(),AI354+ROW()/10000000)</f>
        <v/>
      </c>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s="1158" t="inlineStr">
        <is>
          <t>MC CLANE MELVIN G AND, MC CLANE DOROTHY N</t>
        </is>
      </c>
      <c r="AF355" s="1158" t="inlineStr">
        <is>
          <t>SEIBERT SCOTT A</t>
        </is>
      </c>
      <c r="AI355" s="245">
        <f>IF(AND($E355=Subj_OccCode,Subj_BldgSF&gt;0,ABS($L355-Subj_BldgSF)&lt;=Subj_BldgSF*Subj_SizeTol),ABS($L355-Subj_BldgSF),NA())</f>
        <v/>
      </c>
      <c r="AJ355" s="370">
        <f>IF(ISNA(AI355),NA(),AI355+ROW()/10000000)</f>
        <v/>
      </c>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s="1158" t="inlineStr">
        <is>
          <t>RICHARDS AND DEXTER LLC</t>
        </is>
      </c>
      <c r="AF356" s="1158" t="inlineStr">
        <is>
          <t>CAH CO COMMERCE CITY LLC</t>
        </is>
      </c>
      <c r="AI356" s="245">
        <f>IF(AND($E356=Subj_OccCode,Subj_BldgSF&gt;0,ABS($L356-Subj_BldgSF)&lt;=Subj_BldgSF*Subj_SizeTol),ABS($L356-Subj_BldgSF),NA())</f>
        <v/>
      </c>
      <c r="AJ356" s="370">
        <f>IF(ISNA(AI356),NA(),AI356+ROW()/10000000)</f>
        <v/>
      </c>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s="1158" t="inlineStr">
        <is>
          <t>FEHR MATTHEW W</t>
        </is>
      </c>
      <c r="AF357" s="1158" t="inlineStr">
        <is>
          <t>6872 HWY 2 LLC</t>
        </is>
      </c>
      <c r="AI357" s="245">
        <f>IF(AND($E357=Subj_OccCode,Subj_BldgSF&gt;0,ABS($L357-Subj_BldgSF)&lt;=Subj_BldgSF*Subj_SizeTol),ABS($L357-Subj_BldgSF),NA())</f>
        <v/>
      </c>
      <c r="AJ357" s="370">
        <f>IF(ISNA(AI357),NA(),AI357+ROW()/10000000)</f>
        <v/>
      </c>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s="1158" t="inlineStr">
        <is>
          <t>MC CALLIN REAL ESTATE LLC</t>
        </is>
      </c>
      <c r="AF358" s="1158" t="inlineStr">
        <is>
          <t>DCPS REAL ESTATE CLERMONT LLC</t>
        </is>
      </c>
      <c r="AI358" s="245">
        <f>IF(AND($E358=Subj_OccCode,Subj_BldgSF&gt;0,ABS($L358-Subj_BldgSF)&lt;=Subj_BldgSF*Subj_SizeTol),ABS($L358-Subj_BldgSF),NA())</f>
        <v/>
      </c>
      <c r="AJ358" s="370">
        <f>IF(ISNA(AI358),NA(),AI358+ROW()/10000000)</f>
        <v/>
      </c>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s="1158" t="inlineStr">
        <is>
          <t>FRANKLIN L SACCOMANNO FAMILY TRUST ET AL 1/2 INT AND, VENEY CYNTHIA 1/4 I et al.</t>
        </is>
      </c>
      <c r="AF359" s="1158" t="inlineStr">
        <is>
          <t>IN SELF STORAGE 24 LLC</t>
        </is>
      </c>
      <c r="AI359" s="245">
        <f>IF(AND($E359=Subj_OccCode,Subj_BldgSF&gt;0,ABS($L359-Subj_BldgSF)&lt;=Subj_BldgSF*Subj_SizeTol),ABS($L359-Subj_BldgSF),NA())</f>
        <v/>
      </c>
      <c r="AJ359" s="370">
        <f>IF(ISNA(AI359),NA(),AI359+ROW()/10000000)</f>
        <v/>
      </c>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s="1158" t="inlineStr">
        <is>
          <t>DEL MAR ACCENTS LLC</t>
        </is>
      </c>
      <c r="AF360" s="1158" t="inlineStr">
        <is>
          <t>DOMENICO REAL ESTATE PARTNERSHIP II LLLP</t>
        </is>
      </c>
      <c r="AI360" s="245">
        <f>IF(AND($E360=Subj_OccCode,Subj_BldgSF&gt;0,ABS($L360-Subj_BldgSF)&lt;=Subj_BldgSF*Subj_SizeTol),ABS($L360-Subj_BldgSF),NA())</f>
        <v/>
      </c>
      <c r="AJ360" s="370">
        <f>IF(ISNA(AI360),NA(),AI360+ROW()/10000000)</f>
        <v/>
      </c>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s="1158" t="inlineStr">
        <is>
          <t>9156 BRIGHTON ROAD LLC</t>
        </is>
      </c>
      <c r="AF361" s="1158" t="inlineStr">
        <is>
          <t>BRINELL PROPERTIES LLC</t>
        </is>
      </c>
      <c r="AI361" s="245">
        <f>IF(AND($E361=Subj_OccCode,Subj_BldgSF&gt;0,ABS($L361-Subj_BldgSF)&lt;=Subj_BldgSF*Subj_SizeTol),ABS($L361-Subj_BldgSF),NA())</f>
        <v/>
      </c>
      <c r="AJ361" s="370">
        <f>IF(ISNA(AI361),NA(),AI361+ROW()/10000000)</f>
        <v/>
      </c>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s="1158" t="inlineStr">
        <is>
          <t>AIR PURIFICATION COMPANY</t>
        </is>
      </c>
      <c r="AF362" s="1158" t="inlineStr">
        <is>
          <t>ACME CRE LLC</t>
        </is>
      </c>
      <c r="AI362" s="245">
        <f>IF(AND($E362=Subj_OccCode,Subj_BldgSF&gt;0,ABS($L362-Subj_BldgSF)&lt;=Subj_BldgSF*Subj_SizeTol),ABS($L362-Subj_BldgSF),NA())</f>
        <v/>
      </c>
      <c r="AJ362" s="370">
        <f>IF(ISNA(AI362),NA(),AI362+ROW()/10000000)</f>
        <v/>
      </c>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s="1158" t="inlineStr">
        <is>
          <t>NORTHLAWN PROPERTY LLC, C/O SPERRY PROPERTIES</t>
        </is>
      </c>
      <c r="AF363" s="1158" t="inlineStr">
        <is>
          <t>LOCOFORTIS LLC</t>
        </is>
      </c>
      <c r="AI363" s="245">
        <f>IF(AND($E363=Subj_OccCode,Subj_BldgSF&gt;0,ABS($L363-Subj_BldgSF)&lt;=Subj_BldgSF*Subj_SizeTol),ABS($L363-Subj_BldgSF),NA())</f>
        <v/>
      </c>
      <c r="AJ363" s="370">
        <f>IF(ISNA(AI363),NA(),AI363+ROW()/10000000)</f>
        <v/>
      </c>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s="1158" t="inlineStr">
        <is>
          <t>LOCOFORTIS LLC</t>
        </is>
      </c>
      <c r="AF364" s="1158" t="inlineStr">
        <is>
          <t>2626 SARIKOV LLC</t>
        </is>
      </c>
      <c r="AI364" s="245">
        <f>IF(AND($E364=Subj_OccCode,Subj_BldgSF&gt;0,ABS($L364-Subj_BldgSF)&lt;=Subj_BldgSF*Subj_SizeTol),ABS($L364-Subj_BldgSF),NA())</f>
        <v/>
      </c>
      <c r="AJ364" s="370">
        <f>IF(ISNA(AI364),NA(),AI364+ROW()/10000000)</f>
        <v/>
      </c>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s="1158" t="inlineStr">
        <is>
          <t>JWBSK INVESTMENT GROUP LLC</t>
        </is>
      </c>
      <c r="AF365" s="1158" t="inlineStr">
        <is>
          <t>SUBLETTE JACOBS PROPERTIES LLC</t>
        </is>
      </c>
      <c r="AI365" s="245">
        <f>IF(AND($E365=Subj_OccCode,Subj_BldgSF&gt;0,ABS($L365-Subj_BldgSF)&lt;=Subj_BldgSF*Subj_SizeTol),ABS($L365-Subj_BldgSF),NA())</f>
        <v/>
      </c>
      <c r="AJ365" s="370">
        <f>IF(ISNA(AI365),NA(),AI365+ROW()/10000000)</f>
        <v/>
      </c>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s="1158" t="inlineStr">
        <is>
          <t>ELWESS DAVID L</t>
        </is>
      </c>
      <c r="AF366" s="1158" t="inlineStr">
        <is>
          <t>JANUARY22 PONTIAC LLC</t>
        </is>
      </c>
      <c r="AI366" s="245">
        <f>IF(AND($E366=Subj_OccCode,Subj_BldgSF&gt;0,ABS($L366-Subj_BldgSF)&lt;=Subj_BldgSF*Subj_SizeTol),ABS($L366-Subj_BldgSF),NA())</f>
        <v/>
      </c>
      <c r="AJ366" s="370">
        <f>IF(ISNA(AI366),NA(),AI366+ROW()/10000000)</f>
        <v/>
      </c>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s="1158" t="inlineStr">
        <is>
          <t>111489 CORPORATION INC</t>
        </is>
      </c>
      <c r="AF367" s="1158" t="inlineStr">
        <is>
          <t>BK ENTERPRISES LLC</t>
        </is>
      </c>
      <c r="AI367" s="245">
        <f>IF(AND($E367=Subj_OccCode,Subj_BldgSF&gt;0,ABS($L367-Subj_BldgSF)&lt;=Subj_BldgSF*Subj_SizeTol),ABS($L367-Subj_BldgSF),NA())</f>
        <v/>
      </c>
      <c r="AJ367" s="370">
        <f>IF(ISNA(AI367),NA(),AI367+ROW()/10000000)</f>
        <v/>
      </c>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s="1158" t="inlineStr">
        <is>
          <t>BK ENTERPRISES LLC</t>
        </is>
      </c>
      <c r="AF368" s="1158" t="inlineStr">
        <is>
          <t>13505 E 112TH V1 LLC, C/O CZD ZENITH</t>
        </is>
      </c>
      <c r="AI368" s="245">
        <f>IF(AND($E368=Subj_OccCode,Subj_BldgSF&gt;0,ABS($L368-Subj_BldgSF)&lt;=Subj_BldgSF*Subj_SizeTol),ABS($L368-Subj_BldgSF),NA())</f>
        <v/>
      </c>
      <c r="AJ368" s="370">
        <f>IF(ISNA(AI368),NA(),AI368+ROW()/10000000)</f>
        <v/>
      </c>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s="1158" t="inlineStr">
        <is>
          <t>ROBINSON JAMES E AND, ROBINSON SHARON A</t>
        </is>
      </c>
      <c r="AF369" s="1158" t="inlineStr">
        <is>
          <t>SAYKALLY INVESTMENT GROUP LLC</t>
        </is>
      </c>
      <c r="AI369" s="245">
        <f>IF(AND($E369=Subj_OccCode,Subj_BldgSF&gt;0,ABS($L369-Subj_BldgSF)&lt;=Subj_BldgSF*Subj_SizeTol),ABS($L369-Subj_BldgSF),NA())</f>
        <v/>
      </c>
      <c r="AJ369" s="370">
        <f>IF(ISNA(AI369),NA(),AI369+ROW()/10000000)</f>
        <v/>
      </c>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s="1158" t="inlineStr">
        <is>
          <t>WASH ME III LLC</t>
        </is>
      </c>
      <c r="AF370" s="1158" t="inlineStr">
        <is>
          <t>NGUYEN TAI AND, NGUYEN LOI</t>
        </is>
      </c>
      <c r="AI370" s="245">
        <f>IF(AND($E370=Subj_OccCode,Subj_BldgSF&gt;0,ABS($L370-Subj_BldgSF)&lt;=Subj_BldgSF*Subj_SizeTol),ABS($L370-Subj_BldgSF),NA())</f>
        <v/>
      </c>
      <c r="AJ370" s="370">
        <f>IF(ISNA(AI370),NA(),AI370+ROW()/10000000)</f>
        <v/>
      </c>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s="1158" t="inlineStr">
        <is>
          <t>G6 HOSPITALITY PROPERTY LLC</t>
        </is>
      </c>
      <c r="AF371" s="1158" t="inlineStr">
        <is>
          <t>D THOR HOTEL LLC</t>
        </is>
      </c>
      <c r="AI371" s="245">
        <f>IF(AND($E371=Subj_OccCode,Subj_BldgSF&gt;0,ABS($L371-Subj_BldgSF)&lt;=Subj_BldgSF*Subj_SizeTol),ABS($L371-Subj_BldgSF),NA())</f>
        <v/>
      </c>
      <c r="AJ371" s="370">
        <f>IF(ISNA(AI371),NA(),AI371+ROW()/10000000)</f>
        <v/>
      </c>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s="1158" t="inlineStr">
        <is>
          <t>CUBE SMART LP #229</t>
        </is>
      </c>
      <c r="AF372" s="1158" t="inlineStr">
        <is>
          <t>SELF-STORAGE PORTFOLIO  XIV DST</t>
        </is>
      </c>
      <c r="AI372" s="245">
        <f>IF(AND($E372=Subj_OccCode,Subj_BldgSF&gt;0,ABS($L372-Subj_BldgSF)&lt;=Subj_BldgSF*Subj_SizeTol),ABS($L372-Subj_BldgSF),NA())</f>
        <v/>
      </c>
      <c r="AJ372" s="370">
        <f>IF(ISNA(AI372),NA(),AI372+ROW()/10000000)</f>
        <v/>
      </c>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s="1158" t="inlineStr">
        <is>
          <t>BERGH CALE AND, BERGH KAREN</t>
        </is>
      </c>
      <c r="AF373" s="1158" t="inlineStr">
        <is>
          <t>CLANDERSON LLC ET AL</t>
        </is>
      </c>
      <c r="AI373" s="245">
        <f>IF(AND($E373=Subj_OccCode,Subj_BldgSF&gt;0,ABS($L373-Subj_BldgSF)&lt;=Subj_BldgSF*Subj_SizeTol),ABS($L373-Subj_BldgSF),NA())</f>
        <v/>
      </c>
      <c r="AJ373" s="370">
        <f>IF(ISNA(AI373),NA(),AI373+ROW()/10000000)</f>
        <v/>
      </c>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s="1158" t="inlineStr">
        <is>
          <t>PAPOI HAROLD M</t>
        </is>
      </c>
      <c r="AF374" s="1158" t="inlineStr">
        <is>
          <t>SHURTLEFF JOSEPH AND, SHURTLEFF MINDY</t>
        </is>
      </c>
      <c r="AI374" s="245">
        <f>IF(AND($E374=Subj_OccCode,Subj_BldgSF&gt;0,ABS($L374-Subj_BldgSF)&lt;=Subj_BldgSF*Subj_SizeTol),ABS($L374-Subj_BldgSF),NA())</f>
        <v/>
      </c>
      <c r="AJ374" s="370">
        <f>IF(ISNA(AI374),NA(),AI374+ROW()/10000000)</f>
        <v/>
      </c>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s="1158" t="inlineStr">
        <is>
          <t>KIM SO YEON</t>
        </is>
      </c>
      <c r="AF375" s="1158" t="inlineStr">
        <is>
          <t>YI YOUNG JIN AND, HARN GWI SUK</t>
        </is>
      </c>
      <c r="AI375" s="245">
        <f>IF(AND($E375=Subj_OccCode,Subj_BldgSF&gt;0,ABS($L375-Subj_BldgSF)&lt;=Subj_BldgSF*Subj_SizeTol),ABS($L375-Subj_BldgSF),NA())</f>
        <v/>
      </c>
      <c r="AJ375" s="370">
        <f>IF(ISNA(AI375),NA(),AI375+ROW()/10000000)</f>
        <v/>
      </c>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s="1158" t="inlineStr">
        <is>
          <t>GENS ROBERT M</t>
        </is>
      </c>
      <c r="AF376" s="1158" t="inlineStr">
        <is>
          <t>SPLASH CAR WASH LLC</t>
        </is>
      </c>
      <c r="AI376" s="245">
        <f>IF(AND($E376=Subj_OccCode,Subj_BldgSF&gt;0,ABS($L376-Subj_BldgSF)&lt;=Subj_BldgSF*Subj_SizeTol),ABS($L376-Subj_BldgSF),NA())</f>
        <v/>
      </c>
      <c r="AJ376" s="370">
        <f>IF(ISNA(AI376),NA(),AI376+ROW()/10000000)</f>
        <v/>
      </c>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s="1158" t="inlineStr">
        <is>
          <t>MITECH LLC</t>
        </is>
      </c>
      <c r="AF377" s="1158" t="inlineStr">
        <is>
          <t>FRC HOLDINGS LLC</t>
        </is>
      </c>
      <c r="AI377" s="245">
        <f>IF(AND($E377=Subj_OccCode,Subj_BldgSF&gt;0,ABS($L377-Subj_BldgSF)&lt;=Subj_BldgSF*Subj_SizeTol),ABS($L377-Subj_BldgSF),NA())</f>
        <v/>
      </c>
      <c r="AJ377" s="370">
        <f>IF(ISNA(AI377),NA(),AI377+ROW()/10000000)</f>
        <v/>
      </c>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s="1158" t="inlineStr">
        <is>
          <t>ADDUCCI LISA M ET AL</t>
        </is>
      </c>
      <c r="AF378" s="1158" t="inlineStr">
        <is>
          <t>7667 WASHINGTON ST LLC</t>
        </is>
      </c>
      <c r="AI378" s="245">
        <f>IF(AND($E378=Subj_OccCode,Subj_BldgSF&gt;0,ABS($L378-Subj_BldgSF)&lt;=Subj_BldgSF*Subj_SizeTol),ABS($L378-Subj_BldgSF),NA())</f>
        <v/>
      </c>
      <c r="AJ378" s="370">
        <f>IF(ISNA(AI378),NA(),AI378+ROW()/10000000)</f>
        <v/>
      </c>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s="1158" t="inlineStr">
        <is>
          <t>VENTURE HOSPITALITY INC</t>
        </is>
      </c>
      <c r="AF379" s="1158" t="inlineStr">
        <is>
          <t>CO VENTURE LLC</t>
        </is>
      </c>
      <c r="AI379" s="245">
        <f>IF(AND($E379=Subj_OccCode,Subj_BldgSF&gt;0,ABS($L379-Subj_BldgSF)&lt;=Subj_BldgSF*Subj_SizeTol),ABS($L379-Subj_BldgSF),NA())</f>
        <v/>
      </c>
      <c r="AJ379" s="370">
        <f>IF(ISNA(AI379),NA(),AI379+ROW()/10000000)</f>
        <v/>
      </c>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s="1158" t="inlineStr">
        <is>
          <t>SONNENFELD QUENTON D AND, SONNENFELD SHARON A</t>
        </is>
      </c>
      <c r="AF380" s="1158" t="inlineStr">
        <is>
          <t>ASR LLC</t>
        </is>
      </c>
      <c r="AI380" s="245">
        <f>IF(AND($E380=Subj_OccCode,Subj_BldgSF&gt;0,ABS($L380-Subj_BldgSF)&lt;=Subj_BldgSF*Subj_SizeTol),ABS($L380-Subj_BldgSF),NA())</f>
        <v/>
      </c>
      <c r="AJ380" s="370">
        <f>IF(ISNA(AI380),NA(),AI380+ROW()/10000000)</f>
        <v/>
      </c>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s="1158" t="inlineStr">
        <is>
          <t>BATES FAMILY  TRUST</t>
        </is>
      </c>
      <c r="AF381" s="1158" t="inlineStr">
        <is>
          <t>AMERICAN ENTERPRISES  LTD</t>
        </is>
      </c>
      <c r="AI381" s="245">
        <f>IF(AND($E381=Subj_OccCode,Subj_BldgSF&gt;0,ABS($L381-Subj_BldgSF)&lt;=Subj_BldgSF*Subj_SizeTol),ABS($L381-Subj_BldgSF),NA())</f>
        <v/>
      </c>
      <c r="AJ381" s="370">
        <f>IF(ISNA(AI381),NA(),AI381+ROW()/10000000)</f>
        <v/>
      </c>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s="1158" t="inlineStr">
        <is>
          <t>REGASSA TEFERA AND, HAILE ABAYNESH</t>
        </is>
      </c>
      <c r="AF382" s="1158" t="inlineStr">
        <is>
          <t>HAGOS BARAKI G AND, GAZE RAHWA MEHRETEAB</t>
        </is>
      </c>
      <c r="AI382" s="245">
        <f>IF(AND($E382=Subj_OccCode,Subj_BldgSF&gt;0,ABS($L382-Subj_BldgSF)&lt;=Subj_BldgSF*Subj_SizeTol),ABS($L382-Subj_BldgSF),NA())</f>
        <v/>
      </c>
      <c r="AJ382" s="370">
        <f>IF(ISNA(AI382),NA(),AI382+ROW()/10000000)</f>
        <v/>
      </c>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s="1158" t="inlineStr">
        <is>
          <t>NORTHRIDGE EQUITIES LLC</t>
        </is>
      </c>
      <c r="AF383" s="1158" t="inlineStr">
        <is>
          <t>NORTHRIDGE PROPERTY OWNER LLC UND 64.29% INT AND , WESTMINSTER 121 LLC UN et al.</t>
        </is>
      </c>
      <c r="AI383" s="245">
        <f>IF(AND($E383=Subj_OccCode,Subj_BldgSF&gt;0,ABS($L383-Subj_BldgSF)&lt;=Subj_BldgSF*Subj_SizeTol),ABS($L383-Subj_BldgSF),NA())</f>
        <v/>
      </c>
      <c r="AJ383" s="370">
        <f>IF(ISNA(AI383),NA(),AI383+ROW()/10000000)</f>
        <v/>
      </c>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s="1158" t="inlineStr">
        <is>
          <t>HIGHVIEW REALESTATE HOLDINGS LLC</t>
        </is>
      </c>
      <c r="AF384" s="1158" t="inlineStr">
        <is>
          <t>11178 HURON ST LLC</t>
        </is>
      </c>
      <c r="AI384" s="245">
        <f>IF(AND($E384=Subj_OccCode,Subj_BldgSF&gt;0,ABS($L384-Subj_BldgSF)&lt;=Subj_BldgSF*Subj_SizeTol),ABS($L384-Subj_BldgSF),NA())</f>
        <v/>
      </c>
      <c r="AJ384" s="370">
        <f>IF(ISNA(AI384),NA(),AI384+ROW()/10000000)</f>
        <v/>
      </c>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s="1158" t="inlineStr">
        <is>
          <t xml:space="preserve">120 HOLMAN LLC, C/O TRUSTED ACCOUNTING </t>
        </is>
      </c>
      <c r="AF385" s="1158" t="inlineStr">
        <is>
          <t>MLS PROPERTIES LLC</t>
        </is>
      </c>
      <c r="AI385" s="245">
        <f>IF(AND($E385=Subj_OccCode,Subj_BldgSF&gt;0,ABS($L385-Subj_BldgSF)&lt;=Subj_BldgSF*Subj_SizeTol),ABS($L385-Subj_BldgSF),NA())</f>
        <v/>
      </c>
      <c r="AJ385" s="370">
        <f>IF(ISNA(AI385),NA(),AI385+ROW()/10000000)</f>
        <v/>
      </c>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s="1158" t="inlineStr">
        <is>
          <t>GLOBAL IMAGES ENTERPRISES LLC, C/O ERIC SURRATT</t>
        </is>
      </c>
      <c r="AF386" s="1158" t="inlineStr">
        <is>
          <t>MCE PROPERTY I GROUP LLC</t>
        </is>
      </c>
      <c r="AI386" s="245">
        <f>IF(AND($E386=Subj_OccCode,Subj_BldgSF&gt;0,ABS($L386-Subj_BldgSF)&lt;=Subj_BldgSF*Subj_SizeTol),ABS($L386-Subj_BldgSF),NA())</f>
        <v/>
      </c>
      <c r="AJ386" s="370">
        <f>IF(ISNA(AI386),NA(),AI386+ROW()/10000000)</f>
        <v/>
      </c>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s="1158" t="inlineStr">
        <is>
          <t>DELUXE CUSTOM WOOD FINISH CORP</t>
        </is>
      </c>
      <c r="AF387" s="1158" t="inlineStr">
        <is>
          <t>EUCLID ELEMENTS LLC</t>
        </is>
      </c>
      <c r="AI387" s="245">
        <f>IF(AND($E387=Subj_OccCode,Subj_BldgSF&gt;0,ABS($L387-Subj_BldgSF)&lt;=Subj_BldgSF*Subj_SizeTol),ABS($L387-Subj_BldgSF),NA())</f>
        <v/>
      </c>
      <c r="AJ387" s="370">
        <f>IF(ISNA(AI387),NA(),AI387+ROW()/10000000)</f>
        <v/>
      </c>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s="1158" t="inlineStr">
        <is>
          <t>5790 DAHLIA INVESTMENT LLC</t>
        </is>
      </c>
      <c r="AF388" s="1158" t="inlineStr">
        <is>
          <t>DISCO CAPITAL LLC</t>
        </is>
      </c>
      <c r="AI388" s="245">
        <f>IF(AND($E388=Subj_OccCode,Subj_BldgSF&gt;0,ABS($L388-Subj_BldgSF)&lt;=Subj_BldgSF*Subj_SizeTol),ABS($L388-Subj_BldgSF),NA())</f>
        <v/>
      </c>
      <c r="AJ388" s="370">
        <f>IF(ISNA(AI388),NA(),AI388+ROW()/10000000)</f>
        <v/>
      </c>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s="1158" t="inlineStr">
        <is>
          <t>SPEEDMAN PROPERTIES LLC</t>
        </is>
      </c>
      <c r="AF389" s="1158" t="inlineStr">
        <is>
          <t>COLORADO KARETE CLUB</t>
        </is>
      </c>
      <c r="AI389" s="245">
        <f>IF(AND($E389=Subj_OccCode,Subj_BldgSF&gt;0,ABS($L389-Subj_BldgSF)&lt;=Subj_BldgSF*Subj_SizeTol),ABS($L389-Subj_BldgSF),NA())</f>
        <v/>
      </c>
      <c r="AJ389" s="370">
        <f>IF(ISNA(AI389),NA(),AI389+ROW()/10000000)</f>
        <v/>
      </c>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s="1158" t="inlineStr">
        <is>
          <t>BNC SERVICES LLC</t>
        </is>
      </c>
      <c r="AF390" s="1158" t="inlineStr">
        <is>
          <t>5641 N WASHINGTON LLC</t>
        </is>
      </c>
      <c r="AI390" s="245">
        <f>IF(AND($E390=Subj_OccCode,Subj_BldgSF&gt;0,ABS($L390-Subj_BldgSF)&lt;=Subj_BldgSF*Subj_SizeTol),ABS($L390-Subj_BldgSF),NA())</f>
        <v/>
      </c>
      <c r="AJ390" s="370">
        <f>IF(ISNA(AI390),NA(),AI390+ROW()/10000000)</f>
        <v/>
      </c>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s="1158" t="inlineStr">
        <is>
          <t>J L FAIRFAX LLC</t>
        </is>
      </c>
      <c r="AF391" s="1158" t="inlineStr">
        <is>
          <t>GTCLS 5701 COLFAX RD LLC</t>
        </is>
      </c>
      <c r="AI391" s="245">
        <f>IF(AND($E391=Subj_OccCode,Subj_BldgSF&gt;0,ABS($L391-Subj_BldgSF)&lt;=Subj_BldgSF*Subj_SizeTol),ABS($L391-Subj_BldgSF),NA())</f>
        <v/>
      </c>
      <c r="AJ391" s="370">
        <f>IF(ISNA(AI391),NA(),AI391+ROW()/10000000)</f>
        <v/>
      </c>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s="1158" t="inlineStr">
        <is>
          <t>SEMANTIC REALTY LLC, C/O 7 ELEVEN INC ATTN TAX DEPT 37033</t>
        </is>
      </c>
      <c r="AF392" s="1158" t="inlineStr">
        <is>
          <t>US-STABLE-P1 18351 EAST , COLFAX AVENUE AURORA LLC</t>
        </is>
      </c>
      <c r="AI392" s="245">
        <f>IF(AND($E392=Subj_OccCode,Subj_BldgSF&gt;0,ABS($L392-Subj_BldgSF)&lt;=Subj_BldgSF*Subj_SizeTol),ABS($L392-Subj_BldgSF),NA())</f>
        <v/>
      </c>
      <c r="AJ392" s="370">
        <f>IF(ISNA(AI392),NA(),AI392+ROW()/10000000)</f>
        <v/>
      </c>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s="1158" t="inlineStr">
        <is>
          <t>MARK ALLEN BUTMAN LIVING TRUST</t>
        </is>
      </c>
      <c r="AF393" s="1158" t="inlineStr">
        <is>
          <t>L &amp; M UNDERGROUND INC</t>
        </is>
      </c>
      <c r="AI393" s="245">
        <f>IF(AND($E393=Subj_OccCode,Subj_BldgSF&gt;0,ABS($L393-Subj_BldgSF)&lt;=Subj_BldgSF*Subj_SizeTol),ABS($L393-Subj_BldgSF),NA())</f>
        <v/>
      </c>
      <c r="AJ393">
        <f>IF(ISNA(AI393),NA(),AI393+ROW()/10000000)</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s="1158" t="inlineStr">
        <is>
          <t>BPAZ HOLDINGS 12 LLC</t>
        </is>
      </c>
      <c r="AF394" s="1158" t="inlineStr">
        <is>
          <t>DEN INDUSTRIAL 1 LLC</t>
        </is>
      </c>
      <c r="AI394" s="245">
        <f>IF(AND($E394=Subj_OccCode,Subj_BldgSF&gt;0,ABS($L394-Subj_BldgSF)&lt;=Subj_BldgSF*Subj_SizeTol),ABS($L394-Subj_BldgSF),NA())</f>
        <v/>
      </c>
      <c r="AJ394">
        <f>IF(ISNA(AI394),NA(),AI394+ROW()/10000000)</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s="1158" t="inlineStr">
        <is>
          <t>A AND A LLC</t>
        </is>
      </c>
      <c r="AF395" s="1158" t="inlineStr">
        <is>
          <t>HIGHLAND PROPERTIES 4018 LLC</t>
        </is>
      </c>
      <c r="AI395" s="245">
        <f>IF(AND($E395=Subj_OccCode,Subj_BldgSF&gt;0,ABS($L395-Subj_BldgSF)&lt;=Subj_BldgSF*Subj_SizeTol),ABS($L395-Subj_BldgSF),NA())</f>
        <v/>
      </c>
      <c r="AJ395">
        <f>IF(ISNA(AI395),NA(),AI395+ROW()/10000000)</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s="1158" t="inlineStr">
        <is>
          <t>GARCIA LUIS AND, GARCIA MARIBEL</t>
        </is>
      </c>
      <c r="AF396" s="1158" t="inlineStr">
        <is>
          <t>MARIMBAL LLC</t>
        </is>
      </c>
      <c r="AI396" s="245">
        <f>IF(AND($E396=Subj_OccCode,Subj_BldgSF&gt;0,ABS($L396-Subj_BldgSF)&lt;=Subj_BldgSF*Subj_SizeTol),ABS($L396-Subj_BldgSF),NA())</f>
        <v/>
      </c>
      <c r="AJ396">
        <f>IF(ISNA(AI396),NA(),AI396+ROW()/10000000)</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s="1158" t="inlineStr">
        <is>
          <t>FAULTLESS LAUNDRY COMPANY</t>
        </is>
      </c>
      <c r="AF397" s="1158" t="inlineStr">
        <is>
          <t>NM FHL LLC, C/O NEW MOUNTAIN NET LEASE ACQUISITION CORP</t>
        </is>
      </c>
      <c r="AI397" s="245">
        <f>IF(AND($E397=Subj_OccCode,Subj_BldgSF&gt;0,ABS($L397-Subj_BldgSF)&lt;=Subj_BldgSF*Subj_SizeTol),ABS($L397-Subj_BldgSF),NA())</f>
        <v/>
      </c>
      <c r="AJ397">
        <f>IF(ISNA(AI397),NA(),AI397+ROW()/10000000)</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s="1158" t="inlineStr">
        <is>
          <t>WERNSTEIN PROPERTIES INC</t>
        </is>
      </c>
      <c r="AF398" s="1158" t="inlineStr">
        <is>
          <t>5970 MARION DRIVE LLC</t>
        </is>
      </c>
      <c r="AI398" s="245">
        <f>IF(AND($E398=Subj_OccCode,Subj_BldgSF&gt;0,ABS($L398-Subj_BldgSF)&lt;=Subj_BldgSF*Subj_SizeTol),ABS($L398-Subj_BldgSF),NA())</f>
        <v/>
      </c>
      <c r="AJ398">
        <f>IF(ISNA(AI398),NA(),AI398+ROW()/10000000)</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s="1158" t="inlineStr">
        <is>
          <t>CMS HOLDINGS LLC</t>
        </is>
      </c>
      <c r="AF399" s="1158" t="inlineStr">
        <is>
          <t>SWEET ABUNDANCE LLC</t>
        </is>
      </c>
      <c r="AI399" s="245">
        <f>IF(AND($E399=Subj_OccCode,Subj_BldgSF&gt;0,ABS($L399-Subj_BldgSF)&lt;=Subj_BldgSF*Subj_SizeTol),ABS($L399-Subj_BldgSF),NA())</f>
        <v/>
      </c>
      <c r="AJ399">
        <f>IF(ISNA(AI399),NA(),AI399+ROW()/10000000)</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s="1158" t="inlineStr">
        <is>
          <t>DENVER ELECTRICAL JOINT APPRENTICESHIP, AND TRAINING TRUST FUND A TRUST</t>
        </is>
      </c>
      <c r="AF400" s="1158" t="inlineStr">
        <is>
          <t>PROSOSKI INVESTMENTS LLC</t>
        </is>
      </c>
      <c r="AI400" s="245">
        <f>IF(AND($E400=Subj_OccCode,Subj_BldgSF&gt;0,ABS($L400-Subj_BldgSF)&lt;=Subj_BldgSF*Subj_SizeTol),ABS($L400-Subj_BldgSF),NA())</f>
        <v/>
      </c>
      <c r="AJ400">
        <f>IF(ISNA(AI400),NA(),AI400+ROW()/10000000)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s="1158" t="inlineStr">
        <is>
          <t>WELBY ASSOCIATES LLC, C/O TIMOTHY J MCMANUS</t>
        </is>
      </c>
      <c r="AF401" s="1158" t="inlineStr">
        <is>
          <t>ZARA ES LLC</t>
        </is>
      </c>
      <c r="AI401" s="245">
        <f>IF(AND($E401=Subj_OccCode,Subj_BldgSF&gt;0,ABS($L401-Subj_BldgSF)&lt;=Subj_BldgSF*Subj_SizeTol),ABS($L401-Subj_BldgSF),NA())</f>
        <v/>
      </c>
      <c r="AJ401">
        <f>IF(ISNA(AI401),NA(),AI401+ROW()/10000000)</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s="1158" t="inlineStr">
        <is>
          <t>WALBLAKE LLC</t>
        </is>
      </c>
      <c r="AF402" s="1158" t="inlineStr">
        <is>
          <t>1616 CHAMPA LLC</t>
        </is>
      </c>
      <c r="AI402" s="245">
        <f>IF(AND($E402=Subj_OccCode,Subj_BldgSF&gt;0,ABS($L402-Subj_BldgSF)&lt;=Subj_BldgSF*Subj_SizeTol),ABS($L402-Subj_BldgSF),NA())</f>
        <v/>
      </c>
      <c r="AJ402">
        <f>IF(ISNA(AI402),NA(),AI402+ROW()/10000000)</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s="1158" t="inlineStr">
        <is>
          <t>PROVASI KENNETH D TRUST THE</t>
        </is>
      </c>
      <c r="AF403" s="1158" t="inlineStr">
        <is>
          <t>CRM REAL ESTATE HOLDINGS LLC</t>
        </is>
      </c>
      <c r="AI403" s="245">
        <f>IF(AND($E403=Subj_OccCode,Subj_BldgSF&gt;0,ABS($L403-Subj_BldgSF)&lt;=Subj_BldgSF*Subj_SizeTol),ABS($L403-Subj_BldgSF),NA())</f>
        <v/>
      </c>
      <c r="AJ403">
        <f>IF(ISNA(AI403),NA(),AI403+ROW()/10000000)</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s="1158" t="inlineStr">
        <is>
          <t>CASTILLO THEODORE G</t>
        </is>
      </c>
      <c r="AF404" s="1158" t="inlineStr">
        <is>
          <t>BOOM BOX RE LLC</t>
        </is>
      </c>
      <c r="AI404" s="245">
        <f>IF(AND($E404=Subj_OccCode,Subj_BldgSF&gt;0,ABS($L404-Subj_BldgSF)&lt;=Subj_BldgSF*Subj_SizeTol),ABS($L404-Subj_BldgSF),NA())</f>
        <v/>
      </c>
      <c r="AJ404">
        <f>IF(ISNA(AI404),NA(),AI404+ROW()/10000000)</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s="1158" t="inlineStr">
        <is>
          <t>HERDING BUTTERFLIES</t>
        </is>
      </c>
      <c r="AF405" s="1158" t="inlineStr">
        <is>
          <t>BAB 1790 E BRIDGE STREET LLC</t>
        </is>
      </c>
      <c r="AI405" s="245">
        <f>IF(AND($E405=Subj_OccCode,Subj_BldgSF&gt;0,ABS($L405-Subj_BldgSF)&lt;=Subj_BldgSF*Subj_SizeTol),ABS($L405-Subj_BldgSF),NA())</f>
        <v/>
      </c>
      <c r="AJ405">
        <f>IF(ISNA(AI405),NA(),AI405+ROW()/10000000)</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s="1158" t="inlineStr">
        <is>
          <t>SCG ONE LIMITED PARTNERSHIP</t>
        </is>
      </c>
      <c r="AF406" s="1158" t="inlineStr">
        <is>
          <t>LI YUE</t>
        </is>
      </c>
      <c r="AI406" s="245">
        <f>IF(AND($E406=Subj_OccCode,Subj_BldgSF&gt;0,ABS($L406-Subj_BldgSF)&lt;=Subj_BldgSF*Subj_SizeTol),ABS($L406-Subj_BldgSF),NA())</f>
        <v/>
      </c>
      <c r="AJ406">
        <f>IF(ISNA(AI406),NA(),AI406+ROW()/10000000)</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s="1158" t="inlineStr">
        <is>
          <t>ZAYAC PROPERTIES PEARL LLLP, C/O PROCLEAN AUTO WASH</t>
        </is>
      </c>
      <c r="AF407" s="1158" t="inlineStr">
        <is>
          <t>BLANCO PROPERTIES PEARL LLC</t>
        </is>
      </c>
      <c r="AI407" s="245">
        <f>IF(AND($E407=Subj_OccCode,Subj_BldgSF&gt;0,ABS($L407-Subj_BldgSF)&lt;=Subj_BldgSF*Subj_SizeTol),ABS($L407-Subj_BldgSF),NA())</f>
        <v/>
      </c>
      <c r="AJ407">
        <f>IF(ISNA(AI407),NA(),AI407+ROW()/10000000)</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s="1158" t="inlineStr">
        <is>
          <t>WISE HIROMI T</t>
        </is>
      </c>
      <c r="AF408" s="1158" t="inlineStr">
        <is>
          <t>2 US 4VR LLC</t>
        </is>
      </c>
      <c r="AI408" s="245">
        <f>IF(AND($E408=Subj_OccCode,Subj_BldgSF&gt;0,ABS($L408-Subj_BldgSF)&lt;=Subj_BldgSF*Subj_SizeTol),ABS($L408-Subj_BldgSF),NA())</f>
        <v/>
      </c>
      <c r="AJ408">
        <f>IF(ISNA(AI408),NA(),AI408+ROW()/10000000)</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s="1158" t="inlineStr">
        <is>
          <t>520 E 56TH LLC</t>
        </is>
      </c>
      <c r="AF409" s="1158" t="inlineStr">
        <is>
          <t>GZSC HOLDING LLC</t>
        </is>
      </c>
      <c r="AI409" s="245">
        <f>IF(AND($E409=Subj_OccCode,Subj_BldgSF&gt;0,ABS($L409-Subj_BldgSF)&lt;=Subj_BldgSF*Subj_SizeTol),ABS($L409-Subj_BldgSF),NA())</f>
        <v/>
      </c>
      <c r="AJ409">
        <f>IF(ISNA(AI409),NA(),AI409+ROW()/10000000)</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s="1158" t="inlineStr">
        <is>
          <t>520 EAST 56TH LLC</t>
        </is>
      </c>
      <c r="AF410" s="1158" t="inlineStr">
        <is>
          <t>520 E 56TH LLC</t>
        </is>
      </c>
      <c r="AI410" s="245">
        <f>IF(AND($E410=Subj_OccCode,Subj_BldgSF&gt;0,ABS($L410-Subj_BldgSF)&lt;=Subj_BldgSF*Subj_SizeTol),ABS($L410-Subj_BldgSF),NA())</f>
        <v/>
      </c>
      <c r="AJ410">
        <f>IF(ISNA(AI410),NA(),AI410+ROW()/10000000)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s="1158" t="inlineStr">
        <is>
          <t>WATER WOLF LLC</t>
        </is>
      </c>
      <c r="AF411" s="1158" t="inlineStr">
        <is>
          <t>TOM COOK &amp; ASSOCIATES LLC</t>
        </is>
      </c>
      <c r="AI411" s="245">
        <f>IF(AND($E411=Subj_OccCode,Subj_BldgSF&gt;0,ABS($L411-Subj_BldgSF)&lt;=Subj_BldgSF*Subj_SizeTol),ABS($L411-Subj_BldgSF),NA())</f>
        <v/>
      </c>
      <c r="AJ411">
        <f>IF(ISNA(AI411),NA(),AI411+ROW()/10000000)</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s="1158" t="inlineStr">
        <is>
          <t>CORLESS-KENNEDY LORI K</t>
        </is>
      </c>
      <c r="AF412" s="1158" t="inlineStr">
        <is>
          <t>5203 LLC</t>
        </is>
      </c>
      <c r="AI412" s="245">
        <f>IF(AND($E412=Subj_OccCode,Subj_BldgSF&gt;0,ABS($L412-Subj_BldgSF)&lt;=Subj_BldgSF*Subj_SizeTol),ABS($L412-Subj_BldgSF),NA())</f>
        <v/>
      </c>
      <c r="AJ412">
        <f>IF(ISNA(AI412),NA(),AI412+ROW()/10000000)</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s="1158" t="inlineStr">
        <is>
          <t>C AND N REAL ESTATE LLC</t>
        </is>
      </c>
      <c r="AF413" s="1158" t="inlineStr">
        <is>
          <t>REVIVAL REAL ESTATE</t>
        </is>
      </c>
      <c r="AI413" s="245">
        <f>IF(AND($E413=Subj_OccCode,Subj_BldgSF&gt;0,ABS($L413-Subj_BldgSF)&lt;=Subj_BldgSF*Subj_SizeTol),ABS($L413-Subj_BldgSF),NA())</f>
        <v/>
      </c>
      <c r="AJ413">
        <f>IF(ISNA(AI413),NA(),AI413+ROW()/10000000)</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s="1158" t="inlineStr">
        <is>
          <t>BROWN TERRY L</t>
        </is>
      </c>
      <c r="AF414" s="1158" t="inlineStr">
        <is>
          <t>JAB HOLDINGS LLC</t>
        </is>
      </c>
      <c r="AI414" s="245">
        <f>IF(AND($E414=Subj_OccCode,Subj_BldgSF&gt;0,ABS($L414-Subj_BldgSF)&lt;=Subj_BldgSF*Subj_SizeTol),ABS($L414-Subj_BldgSF),NA())</f>
        <v/>
      </c>
      <c r="AJ414">
        <f>IF(ISNA(AI414),NA(),AI414+ROW()/10000000)</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s="1158" t="inlineStr">
        <is>
          <t>FAMILY BUSINESS INC</t>
        </is>
      </c>
      <c r="AF415" s="1158" t="inlineStr">
        <is>
          <t>AURORA INVESTMENT GROUP LLC</t>
        </is>
      </c>
      <c r="AI415" s="245">
        <f>IF(AND($E415=Subj_OccCode,Subj_BldgSF&gt;0,ABS($L415-Subj_BldgSF)&lt;=Subj_BldgSF*Subj_SizeTol),ABS($L415-Subj_BldgSF),NA())</f>
        <v/>
      </c>
      <c r="AJ415">
        <f>IF(ISNA(AI415),NA(),AI415+ROW()/10000000)</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s="1158" t="inlineStr">
        <is>
          <t>HILLTOP SUBDIVISION, PARTNERSHIP</t>
        </is>
      </c>
      <c r="AF416" s="1158" t="inlineStr">
        <is>
          <t>MITO REALTY LLC</t>
        </is>
      </c>
      <c r="AI416" s="245">
        <f>IF(AND($E416=Subj_OccCode,Subj_BldgSF&gt;0,ABS($L416-Subj_BldgSF)&lt;=Subj_BldgSF*Subj_SizeTol),ABS($L416-Subj_BldgSF),NA())</f>
        <v/>
      </c>
      <c r="AJ416">
        <f>IF(ISNA(AI416),NA(),AI416+ROW()/10000000)</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s="1158" t="inlineStr">
        <is>
          <t>ALPHA AND GREEN ENTERPRISES LLC</t>
        </is>
      </c>
      <c r="AF417" s="1158" t="inlineStr">
        <is>
          <t>ASK LLC</t>
        </is>
      </c>
      <c r="AI417" s="245">
        <f>IF(AND($E417=Subj_OccCode,Subj_BldgSF&gt;0,ABS($L417-Subj_BldgSF)&lt;=Subj_BldgSF*Subj_SizeTol),ABS($L417-Subj_BldgSF),NA())</f>
        <v/>
      </c>
      <c r="AJ417">
        <f>IF(ISNA(AI417),NA(),AI417+ROW()/10000000)</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s="1158" t="inlineStr">
        <is>
          <t>VAHN LIVING TRUST THE , C/O MATRIX GROUP INC</t>
        </is>
      </c>
      <c r="AF418" s="1158" t="inlineStr">
        <is>
          <t>BV 64 WA LLC</t>
        </is>
      </c>
      <c r="AI418" s="245">
        <f>IF(AND($E418=Subj_OccCode,Subj_BldgSF&gt;0,ABS($L418-Subj_BldgSF)&lt;=Subj_BldgSF*Subj_SizeTol),ABS($L418-Subj_BldgSF),NA())</f>
        <v/>
      </c>
      <c r="AJ418">
        <f>IF(ISNA(AI418),NA(),AI418+ROW()/10000000)</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s="1158" t="inlineStr">
        <is>
          <t>5919 N BROADWAY LLC</t>
        </is>
      </c>
      <c r="AF419" s="1158" t="inlineStr">
        <is>
          <t>KUNZMAN MICHAEL AND, CORBITO CARINA</t>
        </is>
      </c>
      <c r="AI419" s="245">
        <f>IF(AND($E419=Subj_OccCode,Subj_BldgSF&gt;0,ABS($L419-Subj_BldgSF)&lt;=Subj_BldgSF*Subj_SizeTol),ABS($L419-Subj_BldgSF),NA())</f>
        <v/>
      </c>
      <c r="AJ419">
        <f>IF(ISNA(AI419),NA(),AI419+ROW()/10000000)</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s="1158" t="inlineStr">
        <is>
          <t>MORGAN BRIAN M, MORGAN LINDA LIVING TRUST</t>
        </is>
      </c>
      <c r="AF420" s="1158" t="inlineStr">
        <is>
          <t>SHOCKLEY MICHELLE</t>
        </is>
      </c>
      <c r="AI420" s="245">
        <f>IF(AND($E420=Subj_OccCode,Subj_BldgSF&gt;0,ABS($L420-Subj_BldgSF)&lt;=Subj_BldgSF*Subj_SizeTol),ABS($L420-Subj_BldgSF),NA())</f>
        <v/>
      </c>
      <c r="AJ420">
        <f>IF(ISNA(AI420),NA(),AI420+ROW()/10000000)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s="1158" t="inlineStr">
        <is>
          <t>STORAGE ONE ELIZABETH LLC</t>
        </is>
      </c>
      <c r="AF421" s="1158" t="inlineStr">
        <is>
          <t>CASABLANCA LLC</t>
        </is>
      </c>
      <c r="AI421" s="245">
        <f>IF(AND($E421=Subj_OccCode,Subj_BldgSF&gt;0,ABS($L421-Subj_BldgSF)&lt;=Subj_BldgSF*Subj_SizeTol),ABS($L421-Subj_BldgSF),NA())</f>
        <v/>
      </c>
      <c r="AJ421">
        <f>IF(ISNA(AI421),NA(),AI421+ROW()/10000000)</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s="1158" t="inlineStr">
        <is>
          <t>ROBB INC</t>
        </is>
      </c>
      <c r="AF422" s="1158" t="inlineStr">
        <is>
          <t>301 SOUTH MAIN LLC</t>
        </is>
      </c>
      <c r="AI422" s="245">
        <f>IF(AND($E422=Subj_OccCode,Subj_BldgSF&gt;0,ABS($L422-Subj_BldgSF)&lt;=Subj_BldgSF*Subj_SizeTol),ABS($L422-Subj_BldgSF),NA())</f>
        <v/>
      </c>
      <c r="AJ422">
        <f>IF(ISNA(AI422),NA(),AI422+ROW()/10000000)</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s="1158" t="inlineStr">
        <is>
          <t>J D STEEL COMPANY INC</t>
        </is>
      </c>
      <c r="AF423" s="1158" t="inlineStr">
        <is>
          <t>ABP INVESTMENTS LLC</t>
        </is>
      </c>
      <c r="AI423" s="245">
        <f>IF(AND($E423=Subj_OccCode,Subj_BldgSF&gt;0,ABS($L423-Subj_BldgSF)&lt;=Subj_BldgSF*Subj_SizeTol),ABS($L423-Subj_BldgSF),NA())</f>
        <v/>
      </c>
      <c r="AJ423">
        <f>IF(ISNA(AI423),NA(),AI423+ROW()/10000000)</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s="1158" t="inlineStr">
        <is>
          <t>BEHESHTI ABBAS S</t>
        </is>
      </c>
      <c r="AF424" s="1158" t="inlineStr">
        <is>
          <t>MUNOZ ROGELIO AND, MUNOZ ALICIA</t>
        </is>
      </c>
      <c r="AI424" s="245">
        <f>IF(AND($E424=Subj_OccCode,Subj_BldgSF&gt;0,ABS($L424-Subj_BldgSF)&lt;=Subj_BldgSF*Subj_SizeTol),ABS($L424-Subj_BldgSF),NA())</f>
        <v/>
      </c>
      <c r="AJ424">
        <f>IF(ISNA(AI424),NA(),AI424+ROW()/10000000)</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s="1158" t="inlineStr">
        <is>
          <t>WASHINGTON SQUARE PARTNERS LLC</t>
        </is>
      </c>
      <c r="AF425" s="1158" t="inlineStr">
        <is>
          <t>SCROLL PROPERTIES LLC</t>
        </is>
      </c>
      <c r="AI425" s="245">
        <f>IF(AND($E425=Subj_OccCode,Subj_BldgSF&gt;0,ABS($L425-Subj_BldgSF)&lt;=Subj_BldgSF*Subj_SizeTol),ABS($L425-Subj_BldgSF),NA())</f>
        <v/>
      </c>
      <c r="AJ425">
        <f>IF(ISNA(AI425),NA(),AI425+ROW()/10000000)</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s="1158" t="inlineStr">
        <is>
          <t>JACOBS BRENDA SUE</t>
        </is>
      </c>
      <c r="AF426" s="1158" t="inlineStr">
        <is>
          <t>BRE INVESTMENTS LTD AND, BAMA LLC</t>
        </is>
      </c>
      <c r="AI426" s="245">
        <f>IF(AND($E426=Subj_OccCode,Subj_BldgSF&gt;0,ABS($L426-Subj_BldgSF)&lt;=Subj_BldgSF*Subj_SizeTol),ABS($L426-Subj_BldgSF),NA())</f>
        <v/>
      </c>
      <c r="AJ426">
        <f>IF(ISNA(AI426),NA(),AI426+ROW()/10000000)</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s="1158" t="inlineStr">
        <is>
          <t>GOWAN SUSAN</t>
        </is>
      </c>
      <c r="AF427" s="1158" t="inlineStr">
        <is>
          <t>SENN DAVID M, SENN DONNA M</t>
        </is>
      </c>
      <c r="AI427" s="245">
        <f>IF(AND($E427=Subj_OccCode,Subj_BldgSF&gt;0,ABS($L427-Subj_BldgSF)&lt;=Subj_BldgSF*Subj_SizeTol),ABS($L427-Subj_BldgSF),NA())</f>
        <v/>
      </c>
      <c r="AJ427">
        <f>IF(ISNA(AI427),NA(),AI427+ROW()/10000000)</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s="1158" t="inlineStr">
        <is>
          <t>MAGNOLIA ENTERPRISES LLC</t>
        </is>
      </c>
      <c r="AF428" s="1158" t="inlineStr">
        <is>
          <t>CCS LAND ACQUISITION LLC</t>
        </is>
      </c>
      <c r="AI428" s="245">
        <f>IF(AND($E428=Subj_OccCode,Subj_BldgSF&gt;0,ABS($L428-Subj_BldgSF)&lt;=Subj_BldgSF*Subj_SizeTol),ABS($L428-Subj_BldgSF),NA())</f>
        <v/>
      </c>
      <c r="AJ428">
        <f>IF(ISNA(AI428),NA(),AI428+ROW()/10000000)</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s="1158" t="inlineStr">
        <is>
          <t>BOWLING ROY E</t>
        </is>
      </c>
      <c r="AF429" s="1158" t="inlineStr">
        <is>
          <t>DEF 5678 LLC</t>
        </is>
      </c>
      <c r="AI429" s="245">
        <f>IF(AND($E429=Subj_OccCode,Subj_BldgSF&gt;0,ABS($L429-Subj_BldgSF)&lt;=Subj_BldgSF*Subj_SizeTol),ABS($L429-Subj_BldgSF),NA())</f>
        <v/>
      </c>
      <c r="AJ429">
        <f>IF(ISNA(AI429),NA(),AI429+ROW()/10000000)</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s="1158" t="inlineStr">
        <is>
          <t>CARJO LLC</t>
        </is>
      </c>
      <c r="AF430" s="1158" t="inlineStr">
        <is>
          <t>A &amp; B PROPERTY LLC</t>
        </is>
      </c>
      <c r="AI430" s="245">
        <f>IF(AND($E430=Subj_OccCode,Subj_BldgSF&gt;0,ABS($L430-Subj_BldgSF)&lt;=Subj_BldgSF*Subj_SizeTol),ABS($L430-Subj_BldgSF),NA())</f>
        <v/>
      </c>
      <c r="AJ430">
        <f>IF(ISNA(AI430),NA(),AI430+ROW()/10000000)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s="1158" t="inlineStr">
        <is>
          <t>COLORADO MUSTANG, SPECIALISTS INC</t>
        </is>
      </c>
      <c r="AF431" s="1158" t="inlineStr">
        <is>
          <t>BIGFOOT PARADISE LLC</t>
        </is>
      </c>
      <c r="AI431" s="245">
        <f>IF(AND($E431=Subj_OccCode,Subj_BldgSF&gt;0,ABS($L431-Subj_BldgSF)&lt;=Subj_BldgSF*Subj_SizeTol),ABS($L431-Subj_BldgSF),NA())</f>
        <v/>
      </c>
      <c r="AJ431">
        <f>IF(ISNA(AI431),NA(),AI431+ROW()/10000000)</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s="1158" t="inlineStr">
        <is>
          <t>MILLER STEVEN D</t>
        </is>
      </c>
      <c r="AF432" s="1158" t="inlineStr">
        <is>
          <t>101 JESSUP ST HOLDINGS LLC</t>
        </is>
      </c>
      <c r="AI432" s="245">
        <f>IF(AND($E432=Subj_OccCode,Subj_BldgSF&gt;0,ABS($L432-Subj_BldgSF)&lt;=Subj_BldgSF*Subj_SizeTol),ABS($L432-Subj_BldgSF),NA())</f>
        <v/>
      </c>
      <c r="AJ432">
        <f>IF(ISNA(AI432),NA(),AI432+ROW()/10000000)</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s="1158" t="inlineStr">
        <is>
          <t>48000 EAST 38TH AVENUE LLC</t>
        </is>
      </c>
      <c r="AF433" s="1158" t="inlineStr">
        <is>
          <t>RD MORRIS LLC</t>
        </is>
      </c>
      <c r="AI433" s="245">
        <f>IF(AND($E433=Subj_OccCode,Subj_BldgSF&gt;0,ABS($L433-Subj_BldgSF)&lt;=Subj_BldgSF*Subj_SizeTol),ABS($L433-Subj_BldgSF),NA())</f>
        <v/>
      </c>
      <c r="AJ433">
        <f>IF(ISNA(AI433),NA(),AI433+ROW()/10000000)</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s="1158" t="inlineStr">
        <is>
          <t>COSGROVE PROPERTIES LLC</t>
        </is>
      </c>
      <c r="AF434" s="1158" t="inlineStr">
        <is>
          <t>BRAP AND BEANS LLC</t>
        </is>
      </c>
      <c r="AI434" s="245">
        <f>IF(AND($E434=Subj_OccCode,Subj_BldgSF&gt;0,ABS($L434-Subj_BldgSF)&lt;=Subj_BldgSF*Subj_SizeTol),ABS($L434-Subj_BldgSF),NA())</f>
        <v/>
      </c>
      <c r="AJ434">
        <f>IF(ISNA(AI434),NA(),AI434+ROW()/10000000)</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s="1158" t="inlineStr">
        <is>
          <t>ROCKINH INVESTMENTS LLC</t>
        </is>
      </c>
      <c r="AF435" s="1158" t="inlineStr">
        <is>
          <t>JW HOLDINGS LLC</t>
        </is>
      </c>
      <c r="AI435" s="245">
        <f>IF(AND($E435=Subj_OccCode,Subj_BldgSF&gt;0,ABS($L435-Subj_BldgSF)&lt;=Subj_BldgSF*Subj_SizeTol),ABS($L435-Subj_BldgSF),NA())</f>
        <v/>
      </c>
      <c r="AJ435">
        <f>IF(ISNA(AI435),NA(),AI435+ROW()/10000000)</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s="1158" t="inlineStr">
        <is>
          <t>BRIGHTON LEASE MANAGEMENT LLC, PROPERTY TAX COMPLIANCE</t>
        </is>
      </c>
      <c r="AF436" s="1158" t="inlineStr">
        <is>
          <t>STARBOARD PLATFORM BRIGHTON JV LLC, C/O STARBOARD REALTY PARTNERS</t>
        </is>
      </c>
      <c r="AI436" s="245">
        <f>IF(AND($E436=Subj_OccCode,Subj_BldgSF&gt;0,ABS($L436-Subj_BldgSF)&lt;=Subj_BldgSF*Subj_SizeTol),ABS($L436-Subj_BldgSF),NA())</f>
        <v/>
      </c>
      <c r="AJ436">
        <f>IF(ISNA(AI436),NA(),AI436+ROW()/10000000)</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s="1158" t="inlineStr">
        <is>
          <t>LAYNE CHRISTENSEN COMPANY</t>
        </is>
      </c>
      <c r="AF437" s="1158" t="inlineStr">
        <is>
          <t>WAGNER EQUIPMENT CO</t>
        </is>
      </c>
      <c r="AI437" s="245">
        <f>IF(AND($E437=Subj_OccCode,Subj_BldgSF&gt;0,ABS($L437-Subj_BldgSF)&lt;=Subj_BldgSF*Subj_SizeTol),ABS($L437-Subj_BldgSF),NA())</f>
        <v/>
      </c>
      <c r="AJ437">
        <f>IF(ISNA(AI437),NA(),AI437+ROW()/10000000)</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s="1158" t="inlineStr">
        <is>
          <t>PACER HOLDINGS LLC</t>
        </is>
      </c>
      <c r="AF438" s="1158" t="inlineStr">
        <is>
          <t>TRUMBLE THOM</t>
        </is>
      </c>
      <c r="AI438" s="245">
        <f>IF(AND($E438=Subj_OccCode,Subj_BldgSF&gt;0,ABS($L438-Subj_BldgSF)&lt;=Subj_BldgSF*Subj_SizeTol),ABS($L438-Subj_BldgSF),NA())</f>
        <v/>
      </c>
      <c r="AJ438">
        <f>IF(ISNA(AI438),NA(),AI438+ROW()/10000000)</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s="1158" t="inlineStr">
        <is>
          <t>JOHNSTOWN FEED &amp; SEED INC.</t>
        </is>
      </c>
      <c r="AF439" s="1158" t="inlineStr">
        <is>
          <t>J&amp;E ENTERPRISE LLC</t>
        </is>
      </c>
      <c r="AI439" s="245">
        <f>IF(AND($E439=Subj_OccCode,Subj_BldgSF&gt;0,ABS($L439-Subj_BldgSF)&lt;=Subj_BldgSF*Subj_SizeTol),ABS($L439-Subj_BldgSF),NA())</f>
        <v/>
      </c>
      <c r="AJ439">
        <f>IF(ISNA(AI439),NA(),AI439+ROW()/10000000)</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s="1158" t="inlineStr">
        <is>
          <t>RONALD HAGERDON LLC</t>
        </is>
      </c>
      <c r="AF440" s="1158" t="inlineStr">
        <is>
          <t>M &amp; R BUILDING MANAGEMENT LLC</t>
        </is>
      </c>
      <c r="AI440" s="245">
        <f>IF(AND($E440=Subj_OccCode,Subj_BldgSF&gt;0,ABS($L440-Subj_BldgSF)&lt;=Subj_BldgSF*Subj_SizeTol),ABS($L440-Subj_BldgSF),NA())</f>
        <v/>
      </c>
      <c r="AJ440">
        <f>IF(ISNA(AI440),NA(),AI440+ROW()/10000000)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s="1158" t="inlineStr">
        <is>
          <t>PAVILION COURT LLC</t>
        </is>
      </c>
      <c r="AF441" s="1158" t="inlineStr">
        <is>
          <t>ARTEMIS HOLDINGS LIMITED</t>
        </is>
      </c>
      <c r="AI441" s="245">
        <f>IF(AND($E441=Subj_OccCode,Subj_BldgSF&gt;0,ABS($L441-Subj_BldgSF)&lt;=Subj_BldgSF*Subj_SizeTol),ABS($L441-Subj_BldgSF),NA())</f>
        <v/>
      </c>
      <c r="AJ441">
        <f>IF(ISNA(AI441),NA(),AI441+ROW()/10000000)</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s="1158" t="inlineStr">
        <is>
          <t>3313 MOLINE STREET LLC</t>
        </is>
      </c>
      <c r="AF442" s="1158" t="inlineStr">
        <is>
          <t>3313 MOLINE LLC, C/O GCRE MANAGMENT LLC</t>
        </is>
      </c>
      <c r="AI442" s="245">
        <f>IF(AND($E442=Subj_OccCode,Subj_BldgSF&gt;0,ABS($L442-Subj_BldgSF)&lt;=Subj_BldgSF*Subj_SizeTol),ABS($L442-Subj_BldgSF),NA())</f>
        <v/>
      </c>
      <c r="AJ442">
        <f>IF(ISNA(AI442),NA(),AI442+ROW()/10000000)</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s="1158" t="inlineStr">
        <is>
          <t>VAQUERO STRASBURG PARTNERS LP</t>
        </is>
      </c>
      <c r="AF443" s="1158" t="inlineStr">
        <is>
          <t>JH DG 1 LLC</t>
        </is>
      </c>
      <c r="AI443" s="245">
        <f>IF(AND($E443=Subj_OccCode,Subj_BldgSF&gt;0,ABS($L443-Subj_BldgSF)&lt;=Subj_BldgSF*Subj_SizeTol),ABS($L443-Subj_BldgSF),NA())</f>
        <v/>
      </c>
      <c r="AJ443">
        <f>IF(ISNA(AI443),NA(),AI443+ROW()/10000000)</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s="1158" t="inlineStr">
        <is>
          <t>TF THORNTON CO LLC</t>
        </is>
      </c>
      <c r="AF444" s="1158" t="inlineStr">
        <is>
          <t>16395 WASHINGTON ST LLC</t>
        </is>
      </c>
      <c r="AI444" s="245">
        <f>IF(AND($E444=Subj_OccCode,Subj_BldgSF&gt;0,ABS($L444-Subj_BldgSF)&lt;=Subj_BldgSF*Subj_SizeTol),ABS($L444-Subj_BldgSF),NA())</f>
        <v/>
      </c>
      <c r="AJ444">
        <f>IF(ISNA(AI444),NA(),AI444+ROW()/10000000)</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s="1158" t="inlineStr">
        <is>
          <t>WENZEL DANIEL D AND, WENZEL JUDITH G</t>
        </is>
      </c>
      <c r="AF445" s="1158" t="inlineStr">
        <is>
          <t>COLORADO BD AUTO CARE LLC</t>
        </is>
      </c>
      <c r="AI445" s="245">
        <f>IF(AND($E445=Subj_OccCode,Subj_BldgSF&gt;0,ABS($L445-Subj_BldgSF)&lt;=Subj_BldgSF*Subj_SizeTol),ABS($L445-Subj_BldgSF),NA())</f>
        <v/>
      </c>
      <c r="AJ445">
        <f>IF(ISNA(AI445),NA(),AI445+ROW()/10000000)</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s="1158" t="inlineStr">
        <is>
          <t>GREEN ELEPHANT LLC THE</t>
        </is>
      </c>
      <c r="AF446" s="1158" t="inlineStr">
        <is>
          <t>AVERY INVESTMENTS LLC</t>
        </is>
      </c>
      <c r="AI446" s="245">
        <f>IF(AND($E446=Subj_OccCode,Subj_BldgSF&gt;0,ABS($L446-Subj_BldgSF)&lt;=Subj_BldgSF*Subj_SizeTol),ABS($L446-Subj_BldgSF),NA())</f>
        <v/>
      </c>
      <c r="AJ446">
        <f>IF(ISNA(AI446),NA(),AI446+ROW()/10000000)</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s="1158" t="inlineStr">
        <is>
          <t>EXETER 21250 EAST 36TH LLC</t>
        </is>
      </c>
      <c r="AF447" s="1158" t="inlineStr">
        <is>
          <t>THOMSON LOGISTICS ASSETS LLC, C/O CORPORATION SERVICE</t>
        </is>
      </c>
      <c r="AI447" s="245">
        <f>IF(AND($E447=Subj_OccCode,Subj_BldgSF&gt;0,ABS($L447-Subj_BldgSF)&lt;=Subj_BldgSF*Subj_SizeTol),ABS($L447-Subj_BldgSF),NA())</f>
        <v/>
      </c>
      <c r="AJ447">
        <f>IF(ISNA(AI447),NA(),AI447+ROW()/10000000)</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s="1158" t="inlineStr">
        <is>
          <t>BEAN BEVERLY A</t>
        </is>
      </c>
      <c r="AF448" s="1158" t="inlineStr">
        <is>
          <t>JOSEPH SUMIT</t>
        </is>
      </c>
      <c r="AI448" s="245">
        <f>IF(AND($E448=Subj_OccCode,Subj_BldgSF&gt;0,ABS($L448-Subj_BldgSF)&lt;=Subj_BldgSF*Subj_SizeTol),ABS($L448-Subj_BldgSF),NA())</f>
        <v/>
      </c>
      <c r="AJ448">
        <f>IF(ISNA(AI448),NA(),AI448+ROW()/10000000)</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s="1158" t="inlineStr">
        <is>
          <t>BONE WILLIAM J JR/WENONA C TRUSTEES, BONE FAMILY TRUST U D T THE</t>
        </is>
      </c>
      <c r="AF449" s="1158" t="inlineStr">
        <is>
          <t>120 HOLDINGS LLC UND INT 5.367%  ET AL</t>
        </is>
      </c>
      <c r="AI449" s="245">
        <f>IF(AND($E449=Subj_OccCode,Subj_BldgSF&gt;0,ABS($L449-Subj_BldgSF)&lt;=Subj_BldgSF*Subj_SizeTol),ABS($L449-Subj_BldgSF),NA())</f>
        <v/>
      </c>
      <c r="AJ449">
        <f>IF(ISNA(AI449),NA(),AI449+ROW()/10000000)</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s="1158" t="inlineStr">
        <is>
          <t>DELCAMP RONALD</t>
        </is>
      </c>
      <c r="AF450" s="1158" t="inlineStr">
        <is>
          <t>HOFER GALEN AND, PHIBBS STEPHANIE</t>
        </is>
      </c>
      <c r="AI450" s="245">
        <f>IF(AND($E450=Subj_OccCode,Subj_BldgSF&gt;0,ABS($L450-Subj_BldgSF)&lt;=Subj_BldgSF*Subj_SizeTol),ABS($L450-Subj_BldgSF),NA())</f>
        <v/>
      </c>
      <c r="AJ450">
        <f>IF(ISNA(AI450),NA(),AI450+ROW()/10000000)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s="1158" t="inlineStr">
        <is>
          <t>TRIPLE L LLC</t>
        </is>
      </c>
      <c r="AF451" s="1158" t="inlineStr">
        <is>
          <t>CROWLEY DAVID P AND , CROWLEY LORRAINE K</t>
        </is>
      </c>
      <c r="AI451" s="245">
        <f>IF(AND($E451=Subj_OccCode,Subj_BldgSF&gt;0,ABS($L451-Subj_BldgSF)&lt;=Subj_BldgSF*Subj_SizeTol),ABS($L451-Subj_BldgSF),NA())</f>
        <v/>
      </c>
      <c r="AJ451">
        <f>IF(ISNA(AI451),NA(),AI451+ROW()/10000000)</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s="1158" t="inlineStr">
        <is>
          <t>2551 PROPERTY PARTNERS LLC</t>
        </is>
      </c>
      <c r="AF452" s="1158" t="inlineStr">
        <is>
          <t>COMPTON POINT LLC</t>
        </is>
      </c>
      <c r="AI452" s="245">
        <f>IF(AND($E452=Subj_OccCode,Subj_BldgSF&gt;0,ABS($L452-Subj_BldgSF)&lt;=Subj_BldgSF*Subj_SizeTol),ABS($L452-Subj_BldgSF),NA())</f>
        <v/>
      </c>
      <c r="AJ452">
        <f>IF(ISNA(AI452),NA(),AI452+ROW()/10000000)</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s="1158" t="inlineStr">
        <is>
          <t>E J CORP</t>
        </is>
      </c>
      <c r="AF453" s="1158" t="inlineStr">
        <is>
          <t>TORRES INVESTMENTS LLC</t>
        </is>
      </c>
      <c r="AI453" s="245">
        <f>IF(AND($E453=Subj_OccCode,Subj_BldgSF&gt;0,ABS($L453-Subj_BldgSF)&lt;=Subj_BldgSF*Subj_SizeTol),ABS($L453-Subj_BldgSF),NA())</f>
        <v/>
      </c>
      <c r="AJ453">
        <f>IF(ISNA(AI453),NA(),AI453+ROW()/10000000)</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s="1158" t="inlineStr">
        <is>
          <t>H AND B INDUSTRY LLC</t>
        </is>
      </c>
      <c r="AF454" s="1158" t="inlineStr">
        <is>
          <t>HIGH TO LOW PROPERTIES LLC</t>
        </is>
      </c>
      <c r="AI454" s="245">
        <f>IF(AND($E454=Subj_OccCode,Subj_BldgSF&gt;0,ABS($L454-Subj_BldgSF)&lt;=Subj_BldgSF*Subj_SizeTol),ABS($L454-Subj_BldgSF),NA())</f>
        <v/>
      </c>
      <c r="AJ454">
        <f>IF(ISNA(AI454),NA(),AI454+ROW()/10000000)</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s="1158" t="inlineStr">
        <is>
          <t>KLO PROPERTIES LLC</t>
        </is>
      </c>
      <c r="AF455" s="1158" t="inlineStr">
        <is>
          <t>5801 LOGAN STREET LLC</t>
        </is>
      </c>
      <c r="AI455" s="245">
        <f>IF(AND($E455=Subj_OccCode,Subj_BldgSF&gt;0,ABS($L455-Subj_BldgSF)&lt;=Subj_BldgSF*Subj_SizeTol),ABS($L455-Subj_BldgSF),NA())</f>
        <v/>
      </c>
      <c r="AJ455">
        <f>IF(ISNA(AI455),NA(),AI455+ROW()/10000000)</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s="1158" t="inlineStr">
        <is>
          <t>BOSCOE CHILDREN LLLP, C/O MICHAEL BLOOM REALTY COMPANY</t>
        </is>
      </c>
      <c r="AF456" s="1158" t="inlineStr">
        <is>
          <t>WFS LLC UND 0.857% INT ET AL</t>
        </is>
      </c>
      <c r="AI456" s="245">
        <f>IF(AND($E456=Subj_OccCode,Subj_BldgSF&gt;0,ABS($L456-Subj_BldgSF)&lt;=Subj_BldgSF*Subj_SizeTol),ABS($L456-Subj_BldgSF),NA())</f>
        <v/>
      </c>
      <c r="AJ456">
        <f>IF(ISNA(AI456),NA(),AI456+ROW()/10000000)</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s="1158" t="inlineStr">
        <is>
          <t>JAMES DONALD A</t>
        </is>
      </c>
      <c r="AF457" s="1158" t="inlineStr">
        <is>
          <t>FEDERAL REAL ESTATE HOLDINGS LLC</t>
        </is>
      </c>
      <c r="AI457" s="245">
        <f>IF(AND($E457=Subj_OccCode,Subj_BldgSF&gt;0,ABS($L457-Subj_BldgSF)&lt;=Subj_BldgSF*Subj_SizeTol),ABS($L457-Subj_BldgSF),NA())</f>
        <v/>
      </c>
      <c r="AJ457">
        <f>IF(ISNA(AI457),NA(),AI457+ROW()/10000000)</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s="1158" t="inlineStr">
        <is>
          <t>FOUR LEGACY INVESTMENTS LLC</t>
        </is>
      </c>
      <c r="AF458" s="1158" t="inlineStr">
        <is>
          <t>FLEETPARK QUEBEC CO LLC</t>
        </is>
      </c>
      <c r="AI458" s="245">
        <f>IF(AND($E458=Subj_OccCode,Subj_BldgSF&gt;0,ABS($L458-Subj_BldgSF)&lt;=Subj_BldgSF*Subj_SizeTol),ABS($L458-Subj_BldgSF),NA())</f>
        <v/>
      </c>
      <c r="AJ458">
        <f>IF(ISNA(AI458),NA(),AI458+ROW()/10000000)</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s="1158" t="inlineStr">
        <is>
          <t>R AND R JOE ENTERPRISES LLC</t>
        </is>
      </c>
      <c r="AF459" s="1158" t="inlineStr">
        <is>
          <t>ROCKY WELDING SERVICES LLC</t>
        </is>
      </c>
      <c r="AI459" s="245">
        <f>IF(AND($E459=Subj_OccCode,Subj_BldgSF&gt;0,ABS($L459-Subj_BldgSF)&lt;=Subj_BldgSF*Subj_SizeTol),ABS($L459-Subj_BldgSF),NA())</f>
        <v/>
      </c>
      <c r="AJ459">
        <f>IF(ISNA(AI459),NA(),AI459+ROW()/10000000)</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s="1158" t="inlineStr">
        <is>
          <t>AFS RESIDENTIAL LLC</t>
        </is>
      </c>
      <c r="AF460" s="1158" t="inlineStr">
        <is>
          <t>MACK VENTURES LLC</t>
        </is>
      </c>
      <c r="AI460" s="245">
        <f>IF(AND($E460=Subj_OccCode,Subj_BldgSF&gt;0,ABS($L460-Subj_BldgSF)&lt;=Subj_BldgSF*Subj_SizeTol),ABS($L460-Subj_BldgSF),NA())</f>
        <v/>
      </c>
      <c r="AJ460">
        <f>IF(ISNA(AI460),NA(),AI460+ROW()/10000000)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s="1158" t="inlineStr">
        <is>
          <t>DYLEE LLC</t>
        </is>
      </c>
      <c r="AF461" s="1158" t="inlineStr">
        <is>
          <t>GOVEA LLC</t>
        </is>
      </c>
      <c r="AI461" s="245">
        <f>IF(AND($E461=Subj_OccCode,Subj_BldgSF&gt;0,ABS($L461-Subj_BldgSF)&lt;=Subj_BldgSF*Subj_SizeTol),ABS($L461-Subj_BldgSF),NA())</f>
        <v/>
      </c>
      <c r="AJ461">
        <f>IF(ISNA(AI461),NA(),AI461+ROW()/10000000)</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s="1158" t="inlineStr">
        <is>
          <t>IVANHOE PROPERTY GROUP LLC</t>
        </is>
      </c>
      <c r="AF462" s="1158" t="inlineStr">
        <is>
          <t>GRISWOLD MICHAEL M AND, GRISWOLD ANNETTE M</t>
        </is>
      </c>
      <c r="AI462" s="245">
        <f>IF(AND($E462=Subj_OccCode,Subj_BldgSF&gt;0,ABS($L462-Subj_BldgSF)&lt;=Subj_BldgSF*Subj_SizeTol),ABS($L462-Subj_BldgSF),NA())</f>
        <v/>
      </c>
      <c r="AJ462">
        <f>IF(ISNA(AI462),NA(),AI462+ROW()/10000000)</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s="1158" t="inlineStr">
        <is>
          <t>CAMIKA HOLDINGS LLC</t>
        </is>
      </c>
      <c r="AF463" s="1158" t="inlineStr">
        <is>
          <t>HANLEY HOLDINGS LLC</t>
        </is>
      </c>
      <c r="AI463" s="245">
        <f>IF(AND($E463=Subj_OccCode,Subj_BldgSF&gt;0,ABS($L463-Subj_BldgSF)&lt;=Subj_BldgSF*Subj_SizeTol),ABS($L463-Subj_BldgSF),NA())</f>
        <v/>
      </c>
      <c r="AJ463">
        <f>IF(ISNA(AI463),NA(),AI463+ROW()/10000000)</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s="1158" t="inlineStr">
        <is>
          <t>DYNAMIS LLC</t>
        </is>
      </c>
      <c r="AF464" s="1158" t="inlineStr">
        <is>
          <t>BROADWAY SQUARE RLLP UND 85.773% INT AND, WESTMINSTER SQUARE LLC UND 14.227%INT</t>
        </is>
      </c>
      <c r="AI464" s="245">
        <f>IF(AND($E464=Subj_OccCode,Subj_BldgSF&gt;0,ABS($L464-Subj_BldgSF)&lt;=Subj_BldgSF*Subj_SizeTol),ABS($L464-Subj_BldgSF),NA())</f>
        <v/>
      </c>
      <c r="AJ464">
        <f>IF(ISNA(AI464),NA(),AI464+ROW()/10000000)</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s="1158" t="inlineStr">
        <is>
          <t>KOSOROK JOINT FAMILY TRUST THE AND, ELLISS JOINT FAMILY TRUST THE</t>
        </is>
      </c>
      <c r="AF465" s="1158" t="inlineStr">
        <is>
          <t>PENN REAL ESTATE 109 LLC</t>
        </is>
      </c>
      <c r="AI465" s="245">
        <f>IF(AND($E465=Subj_OccCode,Subj_BldgSF&gt;0,ABS($L465-Subj_BldgSF)&lt;=Subj_BldgSF*Subj_SizeTol),ABS($L465-Subj_BldgSF),NA())</f>
        <v/>
      </c>
      <c r="AJ465">
        <f>IF(ISNA(AI465),NA(),AI465+ROW()/10000000)</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s="1158" t="inlineStr">
        <is>
          <t>KORMISHKIN EUGENE</t>
        </is>
      </c>
      <c r="AF466" s="1158" t="inlineStr">
        <is>
          <t>HTV COLORADO PROPERTIES LLC</t>
        </is>
      </c>
      <c r="AI466" s="245">
        <f>IF(AND($E466=Subj_OccCode,Subj_BldgSF&gt;0,ABS($L466-Subj_BldgSF)&lt;=Subj_BldgSF*Subj_SizeTol),ABS($L466-Subj_BldgSF),NA())</f>
        <v/>
      </c>
      <c r="AJ466">
        <f>IF(ISNA(AI466),NA(),AI466+ROW()/10000000)</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s="1158" t="inlineStr">
        <is>
          <t>11951 E 33RD AVE LLC</t>
        </is>
      </c>
      <c r="AF467" s="1158" t="inlineStr">
        <is>
          <t>NLA GCH AURORA LLC</t>
        </is>
      </c>
      <c r="AI467" s="245">
        <f>IF(AND($E467=Subj_OccCode,Subj_BldgSF&gt;0,ABS($L467-Subj_BldgSF)&lt;=Subj_BldgSF*Subj_SizeTol),ABS($L467-Subj_BldgSF),NA())</f>
        <v/>
      </c>
      <c r="AJ467">
        <f>IF(ISNA(AI467),NA(),AI467+ROW()/10000000)</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s="1158" t="inlineStr">
        <is>
          <t>NORTH JAMES R AND, NORTH JOAN F</t>
        </is>
      </c>
      <c r="AF468" s="1158" t="inlineStr">
        <is>
          <t>TRACKING INVESTMENTS LLC</t>
        </is>
      </c>
      <c r="AI468" s="245">
        <f>IF(AND($E468=Subj_OccCode,Subj_BldgSF&gt;0,ABS($L468-Subj_BldgSF)&lt;=Subj_BldgSF*Subj_SizeTol),ABS($L468-Subj_BldgSF),NA())</f>
        <v/>
      </c>
      <c r="AJ468">
        <f>IF(ISNA(AI468),NA(),AI468+ROW()/10000000)</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s="1158" t="inlineStr">
        <is>
          <t>500 W 84 LLC</t>
        </is>
      </c>
      <c r="AF469" s="1158" t="inlineStr">
        <is>
          <t>HERMOZ LLC</t>
        </is>
      </c>
      <c r="AI469" s="245">
        <f>IF(AND($E469=Subj_OccCode,Subj_BldgSF&gt;0,ABS($L469-Subj_BldgSF)&lt;=Subj_BldgSF*Subj_SizeTol),ABS($L469-Subj_BldgSF),NA())</f>
        <v/>
      </c>
      <c r="AJ469">
        <f>IF(ISNA(AI469),NA(),AI469+ROW()/10000000)</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s="1158" t="inlineStr">
        <is>
          <t>TIS LEASING LLC</t>
        </is>
      </c>
      <c r="AF470" s="1158" t="inlineStr">
        <is>
          <t>ANYHOME INVESTMENT GROUP LLC</t>
        </is>
      </c>
      <c r="AI470" s="245">
        <f>IF(AND($E470=Subj_OccCode,Subj_BldgSF&gt;0,ABS($L470-Subj_BldgSF)&lt;=Subj_BldgSF*Subj_SizeTol),ABS($L470-Subj_BldgSF),NA())</f>
        <v/>
      </c>
      <c r="AJ470">
        <f>IF(ISNA(AI470),NA(),AI470+ROW()/10000000)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s="1158" t="inlineStr">
        <is>
          <t>ROSS JENNIFER C LIVING TRUST</t>
        </is>
      </c>
      <c r="AF471" s="1158" t="inlineStr">
        <is>
          <t>SCI-1550 ELMIRA LLC</t>
        </is>
      </c>
      <c r="AI471" s="245">
        <f>IF(AND($E471=Subj_OccCode,Subj_BldgSF&gt;0,ABS($L471-Subj_BldgSF)&lt;=Subj_BldgSF*Subj_SizeTol),ABS($L471-Subj_BldgSF),NA())</f>
        <v/>
      </c>
      <c r="AJ471">
        <f>IF(ISNA(AI471),NA(),AI471+ROW()/10000000)</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s="1158" t="inlineStr">
        <is>
          <t>TAR HILL INVESTMENTS LLC</t>
        </is>
      </c>
      <c r="AF472" s="1158" t="inlineStr">
        <is>
          <t>DANKO-HOLLOWAY LLC</t>
        </is>
      </c>
      <c r="AI472" s="245">
        <f>IF(AND($E472=Subj_OccCode,Subj_BldgSF&gt;0,ABS($L472-Subj_BldgSF)&lt;=Subj_BldgSF*Subj_SizeTol),ABS($L472-Subj_BldgSF),NA())</f>
        <v/>
      </c>
      <c r="AJ472">
        <f>IF(ISNA(AI472),NA(),AI472+ROW()/10000000)</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s="1158" t="inlineStr">
        <is>
          <t>PLOCK GARY A AND, PLOCK PAMELA L</t>
        </is>
      </c>
      <c r="AF473" s="1158" t="inlineStr">
        <is>
          <t>DOHERTY DANIEL R</t>
        </is>
      </c>
      <c r="AI473" s="245">
        <f>IF(AND($E473=Subj_OccCode,Subj_BldgSF&gt;0,ABS($L473-Subj_BldgSF)&lt;=Subj_BldgSF*Subj_SizeTol),ABS($L473-Subj_BldgSF),NA())</f>
        <v/>
      </c>
      <c r="AJ473">
        <f>IF(ISNA(AI473),NA(),AI473+ROW()/10000000)</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s="1158" t="inlineStr">
        <is>
          <t>PLOCK GARY A AND, PLOCK PAMELA L</t>
        </is>
      </c>
      <c r="AF474" s="1158" t="inlineStr">
        <is>
          <t>DOHERTY DANIEL R</t>
        </is>
      </c>
      <c r="AI474" s="245">
        <f>IF(AND($E474=Subj_OccCode,Subj_BldgSF&gt;0,ABS($L474-Subj_BldgSF)&lt;=Subj_BldgSF*Subj_SizeTol),ABS($L474-Subj_BldgSF),NA())</f>
        <v/>
      </c>
      <c r="AJ474">
        <f>IF(ISNA(AI474),NA(),AI474+ROW()/10000000)</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s="1158" t="inlineStr">
        <is>
          <t>CF ALTITUDE PROPCO II LLC</t>
        </is>
      </c>
      <c r="AF475" s="1158" t="inlineStr">
        <is>
          <t>HAZARD LAKE LLC</t>
        </is>
      </c>
      <c r="AI475" s="245">
        <f>IF(AND($E475=Subj_OccCode,Subj_BldgSF&gt;0,ABS($L475-Subj_BldgSF)&lt;=Subj_BldgSF*Subj_SizeTol),ABS($L475-Subj_BldgSF),NA())</f>
        <v/>
      </c>
      <c r="AJ475">
        <f>IF(ISNA(AI475),NA(),AI475+ROW()/10000000)</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s="1158" t="inlineStr">
        <is>
          <t>H.D.T. TEN LIMITED LIABILITY, COMPANY</t>
        </is>
      </c>
      <c r="AF476" s="1158" t="inlineStr">
        <is>
          <t>CH REALTY VIII/CT CO WESTERN LLC</t>
        </is>
      </c>
      <c r="AI476" s="245">
        <f>IF(AND($E476=Subj_OccCode,Subj_BldgSF&gt;0,ABS($L476-Subj_BldgSF)&lt;=Subj_BldgSF*Subj_SizeTol),ABS($L476-Subj_BldgSF),NA())</f>
        <v/>
      </c>
      <c r="AJ476">
        <f>IF(ISNA(AI476),NA(),AI476+ROW()/10000000)</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s="1158" t="inlineStr">
        <is>
          <t>TJ INVESTMENTS LLC</t>
        </is>
      </c>
      <c r="AF477" s="1158" t="inlineStr">
        <is>
          <t>FG LAND INVESTMENTS LLC</t>
        </is>
      </c>
      <c r="AI477" s="245">
        <f>IF(AND($E477=Subj_OccCode,Subj_BldgSF&gt;0,ABS($L477-Subj_BldgSF)&lt;=Subj_BldgSF*Subj_SizeTol),ABS($L477-Subj_BldgSF),NA())</f>
        <v/>
      </c>
      <c r="AJ477">
        <f>IF(ISNA(AI477),NA(),AI477+ROW()/10000000)</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s="1158" t="inlineStr">
        <is>
          <t>AMF BOWLING CENTERS INC</t>
        </is>
      </c>
      <c r="AF478" s="1158" t="inlineStr">
        <is>
          <t>ISTAR BOWLING CENTER I LP</t>
        </is>
      </c>
      <c r="AI478" s="245">
        <f>IF(AND($E478=Subj_OccCode,Subj_BldgSF&gt;0,ABS($L478-Subj_BldgSF)&lt;=Subj_BldgSF*Subj_SizeTol),ABS($L478-Subj_BldgSF),NA())</f>
        <v/>
      </c>
      <c r="AJ478">
        <f>IF(ISNA(AI478),NA(),AI478+ROW()/10000000)</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s="1158" t="inlineStr">
        <is>
          <t>BLUEPRINT INVESTMENT FUND LLC</t>
        </is>
      </c>
      <c r="AF479" s="1158" t="inlineStr">
        <is>
          <t>KD INVESTMENTS LTD</t>
        </is>
      </c>
      <c r="AI479" s="245">
        <f>IF(AND($E479=Subj_OccCode,Subj_BldgSF&gt;0,ABS($L479-Subj_BldgSF)&lt;=Subj_BldgSF*Subj_SizeTol),ABS($L479-Subj_BldgSF),NA())</f>
        <v/>
      </c>
      <c r="AJ479">
        <f>IF(ISNA(AI479),NA(),AI479+ROW()/10000000)</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s="1158" t="inlineStr">
        <is>
          <t>URA SINGH LLC</t>
        </is>
      </c>
      <c r="AF480" s="1158" t="inlineStr">
        <is>
          <t>LUNA MANUEL</t>
        </is>
      </c>
      <c r="AI480" s="245">
        <f>IF(AND($E480=Subj_OccCode,Subj_BldgSF&gt;0,ABS($L480-Subj_BldgSF)&lt;=Subj_BldgSF*Subj_SizeTol),ABS($L480-Subj_BldgSF),NA())</f>
        <v/>
      </c>
      <c r="AJ480">
        <f>IF(ISNA(AI480),NA(),AI480+ROW()/10000000)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s="1158" t="inlineStr">
        <is>
          <t>GATEWAY HOTEL LLC, C/O STANLEY A GALLERY</t>
        </is>
      </c>
      <c r="AF481" s="1158" t="inlineStr">
        <is>
          <t>D CASA INVESTMENT LLC</t>
        </is>
      </c>
      <c r="AI481" s="245">
        <f>IF(AND($E481=Subj_OccCode,Subj_BldgSF&gt;0,ABS($L481-Subj_BldgSF)&lt;=Subj_BldgSF*Subj_SizeTol),ABS($L481-Subj_BldgSF),NA())</f>
        <v/>
      </c>
      <c r="AJ481">
        <f>IF(ISNA(AI481),NA(),AI481+ROW()/10000000)</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s="1158" t="inlineStr">
        <is>
          <t>LEIGH MICHAEL R</t>
        </is>
      </c>
      <c r="AF482" s="1158" t="inlineStr">
        <is>
          <t>RJC HOLDINGS LLC</t>
        </is>
      </c>
      <c r="AI482" s="245">
        <f>IF(AND($E482=Subj_OccCode,Subj_BldgSF&gt;0,ABS($L482-Subj_BldgSF)&lt;=Subj_BldgSF*Subj_SizeTol),ABS($L482-Subj_BldgSF),NA())</f>
        <v/>
      </c>
      <c r="AJ482">
        <f>IF(ISNA(AI482),NA(),AI482+ROW()/10000000)</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s="1158" t="inlineStr">
        <is>
          <t>BRIGHTON PROFESSIONAL GROUP LLC</t>
        </is>
      </c>
      <c r="AF483" s="1158" t="inlineStr">
        <is>
          <t>MARQUEZ PROFESSIONAL COMPANY LLC</t>
        </is>
      </c>
      <c r="AI483" s="245">
        <f>IF(AND($E483=Subj_OccCode,Subj_BldgSF&gt;0,ABS($L483-Subj_BldgSF)&lt;=Subj_BldgSF*Subj_SizeTol),ABS($L483-Subj_BldgSF),NA())</f>
        <v/>
      </c>
      <c r="AJ483">
        <f>IF(ISNA(AI483),NA(),AI483+ROW()/10000000)</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s="1158" t="inlineStr">
        <is>
          <t>JS BUILDERS LLC</t>
        </is>
      </c>
      <c r="AF484" s="1158" t="inlineStr">
        <is>
          <t>BLACKWATER LLC</t>
        </is>
      </c>
      <c r="AI484" s="245">
        <f>IF(AND($E484=Subj_OccCode,Subj_BldgSF&gt;0,ABS($L484-Subj_BldgSF)&lt;=Subj_BldgSF*Subj_SizeTol),ABS($L484-Subj_BldgSF),NA())</f>
        <v/>
      </c>
      <c r="AJ484">
        <f>IF(ISNA(AI484),NA(),AI484+ROW()/10000000)</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s="1158" t="inlineStr">
        <is>
          <t>R IREY YORK PLAZA LLC UND 50% INT AND, D IREY YORK PLAZA LLC UND 50% INT</t>
        </is>
      </c>
      <c r="AF485" s="1158" t="inlineStr">
        <is>
          <t>WEBER INCORPORATED</t>
        </is>
      </c>
      <c r="AI485" s="245">
        <f>IF(AND($E485=Subj_OccCode,Subj_BldgSF&gt;0,ABS($L485-Subj_BldgSF)&lt;=Subj_BldgSF*Subj_SizeTol),ABS($L485-Subj_BldgSF),NA())</f>
        <v/>
      </c>
      <c r="AJ485">
        <f>IF(ISNA(AI485),NA(),AI485+ROW()/10000000)</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s="1158" t="inlineStr">
        <is>
          <t>SCHOOL DISTRICT 12 FEDERAL, CREDIT UNION</t>
        </is>
      </c>
      <c r="AF486" s="1158" t="inlineStr">
        <is>
          <t>11455 PEARL STREET LLC</t>
        </is>
      </c>
      <c r="AI486" s="245">
        <f>IF(AND($E486=Subj_OccCode,Subj_BldgSF&gt;0,ABS($L486-Subj_BldgSF)&lt;=Subj_BldgSF*Subj_SizeTol),ABS($L486-Subj_BldgSF),NA())</f>
        <v/>
      </c>
      <c r="AJ486">
        <f>IF(ISNA(AI486),NA(),AI486+ROW()/10000000)</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s="1158" t="inlineStr">
        <is>
          <t>301 SOUTH MAIN LLC</t>
        </is>
      </c>
      <c r="AF487" s="1158" t="inlineStr">
        <is>
          <t>BRIGHTON MAIN STREET PRINTING LLC</t>
        </is>
      </c>
      <c r="AI487" s="245">
        <f>IF(AND($E487=Subj_OccCode,Subj_BldgSF&gt;0,ABS($L487-Subj_BldgSF)&lt;=Subj_BldgSF*Subj_SizeTol),ABS($L487-Subj_BldgSF),NA())</f>
        <v/>
      </c>
      <c r="AJ487">
        <f>IF(ISNA(AI487),NA(),AI487+ROW()/10000000)</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s="1158" t="inlineStr">
        <is>
          <t>MC CALLIN REAL ESTATE LLC</t>
        </is>
      </c>
      <c r="AF488" s="1158" t="inlineStr">
        <is>
          <t>KUMMER INVESTMENTS LLC</t>
        </is>
      </c>
      <c r="AI488" s="245">
        <f>IF(AND($E488=Subj_OccCode,Subj_BldgSF&gt;0,ABS($L488-Subj_BldgSF)&lt;=Subj_BldgSF*Subj_SizeTol),ABS($L488-Subj_BldgSF),NA())</f>
        <v/>
      </c>
      <c r="AJ488">
        <f>IF(ISNA(AI488),NA(),AI488+ROW()/10000000)</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s="1158" t="inlineStr">
        <is>
          <t>BINGEL NATHANIEL</t>
        </is>
      </c>
      <c r="AF489" s="1158" t="inlineStr">
        <is>
          <t>SEAMLESS COLORADO INSURANCE</t>
        </is>
      </c>
      <c r="AI489" s="245">
        <f>IF(AND($E489=Subj_OccCode,Subj_BldgSF&gt;0,ABS($L489-Subj_BldgSF)&lt;=Subj_BldgSF*Subj_SizeTol),ABS($L489-Subj_BldgSF),NA())</f>
        <v/>
      </c>
      <c r="AJ489">
        <f>IF(ISNA(AI489),NA(),AI489+ROW()/10000000)</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s="1158" t="inlineStr">
        <is>
          <t xml:space="preserve">NGUYEN DUNG ANH AND , TRAN LOAN </t>
        </is>
      </c>
      <c r="AF490" s="1158" t="inlineStr">
        <is>
          <t>BIG HW LLC</t>
        </is>
      </c>
      <c r="AI490" s="245">
        <f>IF(AND($E490=Subj_OccCode,Subj_BldgSF&gt;0,ABS($L490-Subj_BldgSF)&lt;=Subj_BldgSF*Subj_SizeTol),ABS($L490-Subj_BldgSF),NA())</f>
        <v/>
      </c>
      <c r="AJ490">
        <f>IF(ISNA(AI490),NA(),AI490+ROW()/10000000)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s="1158" t="inlineStr">
        <is>
          <t>QUALITY CONTROL INT'L LIMITED PARTNERSHIP</t>
        </is>
      </c>
      <c r="AF491" s="1158" t="inlineStr">
        <is>
          <t>LEVEL 7 PROPERTY GROUP LLC</t>
        </is>
      </c>
      <c r="AI491" s="245">
        <f>IF(AND($E491=Subj_OccCode,Subj_BldgSF&gt;0,ABS($L491-Subj_BldgSF)&lt;=Subj_BldgSF*Subj_SizeTol),ABS($L491-Subj_BldgSF),NA())</f>
        <v/>
      </c>
      <c r="AJ491">
        <f>IF(ISNA(AI491),NA(),AI491+ROW()/10000000)</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s="1158" t="inlineStr">
        <is>
          <t>BROWN JUNCTION HOLDINGS LLC</t>
        </is>
      </c>
      <c r="AF492" s="1158" t="inlineStr">
        <is>
          <t>WESTMINSTER STATION TOD LLC</t>
        </is>
      </c>
      <c r="AI492" s="245">
        <f>IF(AND($E492=Subj_OccCode,Subj_BldgSF&gt;0,ABS($L492-Subj_BldgSF)&lt;=Subj_BldgSF*Subj_SizeTol),ABS($L492-Subj_BldgSF),NA())</f>
        <v/>
      </c>
      <c r="AJ492">
        <f>IF(ISNA(AI492),NA(),AI492+ROW()/10000000)</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s="1158" t="inlineStr">
        <is>
          <t>S AND K KIM INC</t>
        </is>
      </c>
      <c r="AF493" s="1158" t="inlineStr">
        <is>
          <t>HOPE FIRST FAMILY RESOURCE CENTER</t>
        </is>
      </c>
      <c r="AI493" s="245">
        <f>IF(AND($E493=Subj_OccCode,Subj_BldgSF&gt;0,ABS($L493-Subj_BldgSF)&lt;=Subj_BldgSF*Subj_SizeTol),ABS($L493-Subj_BldgSF),NA())</f>
        <v/>
      </c>
      <c r="AJ493">
        <f>IF(ISNA(AI493),NA(),AI493+ROW()/10000000)</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s="1158" t="inlineStr">
        <is>
          <t>PETERSON STEVEN W</t>
        </is>
      </c>
      <c r="AF494" s="1158" t="inlineStr">
        <is>
          <t>GREEN ELEPHANT LLC THE</t>
        </is>
      </c>
      <c r="AI494" s="245">
        <f>IF(AND($E494=Subj_OccCode,Subj_BldgSF&gt;0,ABS($L494-Subj_BldgSF)&lt;=Subj_BldgSF*Subj_SizeTol),ABS($L494-Subj_BldgSF),NA())</f>
        <v/>
      </c>
      <c r="AJ494">
        <f>IF(ISNA(AI494),NA(),AI494+ROW()/10000000)</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s="1158" t="inlineStr">
        <is>
          <t>PIERCE NOLA N</t>
        </is>
      </c>
      <c r="AF495" s="1158" t="inlineStr">
        <is>
          <t>NIKKO CUCINA LLC</t>
        </is>
      </c>
      <c r="AI495" s="245">
        <f>IF(AND($E495=Subj_OccCode,Subj_BldgSF&gt;0,ABS($L495-Subj_BldgSF)&lt;=Subj_BldgSF*Subj_SizeTol),ABS($L495-Subj_BldgSF),NA())</f>
        <v/>
      </c>
      <c r="AJ495">
        <f>IF(ISNA(AI495),NA(),AI495+ROW()/10000000)</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s="1158" t="inlineStr">
        <is>
          <t>JK PROPERTIES LLC</t>
        </is>
      </c>
      <c r="AF496" s="1158" t="inlineStr">
        <is>
          <t>A POD OF PEAS REAL ESTATE LLC</t>
        </is>
      </c>
      <c r="AI496" s="245">
        <f>IF(AND($E496=Subj_OccCode,Subj_BldgSF&gt;0,ABS($L496-Subj_BldgSF)&lt;=Subj_BldgSF*Subj_SizeTol),ABS($L496-Subj_BldgSF),NA())</f>
        <v/>
      </c>
      <c r="AJ496">
        <f>IF(ISNA(AI496),NA(),AI496+ROW()/10000000)</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s="1158" t="inlineStr">
        <is>
          <t>CAP INVESTMENT PROPERTIES III LLC</t>
        </is>
      </c>
      <c r="AF497" s="1158" t="inlineStr">
        <is>
          <t>DON EDWARDS WALTER AND JANET STEWART WALTER FAMILY TRUST</t>
        </is>
      </c>
      <c r="AI497" s="245">
        <f>IF(AND($E497=Subj_OccCode,Subj_BldgSF&gt;0,ABS($L497-Subj_BldgSF)&lt;=Subj_BldgSF*Subj_SizeTol),ABS($L497-Subj_BldgSF),NA())</f>
        <v/>
      </c>
      <c r="AJ497">
        <f>IF(ISNA(AI497),NA(),AI497+ROW()/10000000)</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s="1158" t="inlineStr">
        <is>
          <t>THORNTON PROPERTY 1 LLC</t>
        </is>
      </c>
      <c r="AF498" s="1158" t="inlineStr">
        <is>
          <t>SIMON &amp; MOSES REAL ESTATE LLC</t>
        </is>
      </c>
      <c r="AI498" s="245">
        <f>IF(AND($E498=Subj_OccCode,Subj_BldgSF&gt;0,ABS($L498-Subj_BldgSF)&lt;=Subj_BldgSF*Subj_SizeTol),ABS($L498-Subj_BldgSF),NA())</f>
        <v/>
      </c>
      <c r="AJ498">
        <f>IF(ISNA(AI498),NA(),AI498+ROW()/10000000)</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s="1158" t="inlineStr">
        <is>
          <t>BRONCUCIA JOSEPH ANTHONY AND, BRONCUCIA PATRICIA ANN</t>
        </is>
      </c>
      <c r="AF499" s="1158" t="inlineStr">
        <is>
          <t>GUSMAN-CISNEROS GEORGE A</t>
        </is>
      </c>
      <c r="AI499" s="245">
        <f>IF(AND($E499=Subj_OccCode,Subj_BldgSF&gt;0,ABS($L499-Subj_BldgSF)&lt;=Subj_BldgSF*Subj_SizeTol),ABS($L499-Subj_BldgSF),NA())</f>
        <v/>
      </c>
      <c r="AJ499">
        <f>IF(ISNA(AI499),NA(),AI499+ROW()/10000000)</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s="1158" t="inlineStr">
        <is>
          <t>BOMGARDNER DAVID</t>
        </is>
      </c>
      <c r="AF500" s="1158" t="inlineStr">
        <is>
          <t>FOREST COFFEE PROPERTIES LLC</t>
        </is>
      </c>
      <c r="AI500" s="245">
        <f>IF(AND($E500=Subj_OccCode,Subj_BldgSF&gt;0,ABS($L500-Subj_BldgSF)&lt;=Subj_BldgSF*Subj_SizeTol),ABS($L500-Subj_BldgSF),NA())</f>
        <v/>
      </c>
      <c r="AJ500">
        <f>IF(ISNA(AI500),NA(),AI500+ROW()/10000000)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IF(AND($E501=Subj_OccCode,Subj_BldgSF&gt;0,ABS($L501-Subj_BldgSF)&lt;=Subj_BldgSF*Subj_SizeTol),ABS($L501-Subj_BldgSF),NA())</f>
        <v/>
      </c>
      <c r="AJ501">
        <f>IF(ISNA(AI501),NA(),AI501+ROW()/10000000)</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IF(AND($E502=Subj_OccCode,Subj_BldgSF&gt;0,ABS($L502-Subj_BldgSF)&lt;=Subj_BldgSF*Subj_SizeTol),ABS($L502-Subj_BldgSF),NA())</f>
        <v/>
      </c>
      <c r="AJ502">
        <f>IF(ISNA(AI502),NA(),AI502+ROW()/10000000)</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IF(AND($E503=Subj_OccCode,Subj_BldgSF&gt;0,ABS($L503-Subj_BldgSF)&lt;=Subj_BldgSF*Subj_SizeTol),ABS($L503-Subj_BldgSF),NA())</f>
        <v/>
      </c>
      <c r="AJ503">
        <f>IF(ISNA(AI503),NA(),AI503+ROW()/10000000)</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IF(AND($E504=Subj_OccCode,Subj_BldgSF&gt;0,ABS($L504-Subj_BldgSF)&lt;=Subj_BldgSF*Subj_SizeTol),ABS($L504-Subj_BldgSF),NA())</f>
        <v/>
      </c>
      <c r="AJ504">
        <f>IF(ISNA(AI504),NA(),AI504+ROW()/10000000)</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IF(AND($E505=Subj_OccCode,Subj_BldgSF&gt;0,ABS($L505-Subj_BldgSF)&lt;=Subj_BldgSF*Subj_SizeTol),ABS($L505-Subj_BldgSF),NA())</f>
        <v/>
      </c>
      <c r="AJ505">
        <f>IF(ISNA(AI505),NA(),AI505+ROW()/10000000)</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IF(AND($E506=Subj_OccCode,Subj_BldgSF&gt;0,ABS($L506-Subj_BldgSF)&lt;=Subj_BldgSF*Subj_SizeTol),ABS($L506-Subj_BldgSF),NA())</f>
        <v/>
      </c>
      <c r="AJ506">
        <f>IF(ISNA(AI506),NA(),AI506+ROW()/10000000)</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IF(AND($E507=Subj_OccCode,Subj_BldgSF&gt;0,ABS($L507-Subj_BldgSF)&lt;=Subj_BldgSF*Subj_SizeTol),ABS($L507-Subj_BldgSF),NA())</f>
        <v/>
      </c>
      <c r="AJ507">
        <f>IF(ISNA(AI507),NA(),AI507+ROW()/10000000)</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IF(AND($E508=Subj_OccCode,Subj_BldgSF&gt;0,ABS($L508-Subj_BldgSF)&lt;=Subj_BldgSF*Subj_SizeTol),ABS($L508-Subj_BldgSF),NA())</f>
        <v/>
      </c>
      <c r="AJ508">
        <f>IF(ISNA(AI508),NA(),AI508+ROW()/10000000)</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IF(AND($E509=Subj_OccCode,Subj_BldgSF&gt;0,ABS($L509-Subj_BldgSF)&lt;=Subj_BldgSF*Subj_SizeTol),ABS($L509-Subj_BldgSF),NA())</f>
        <v/>
      </c>
      <c r="AJ509">
        <f>IF(ISNA(AI509),NA(),AI509+ROW()/10000000)</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IF(AND($E510=Subj_OccCode,Subj_BldgSF&gt;0,ABS($L510-Subj_BldgSF)&lt;=Subj_BldgSF*Subj_SizeTol),ABS($L510-Subj_BldgSF),NA())</f>
        <v/>
      </c>
      <c r="AJ510">
        <f>IF(ISNA(AI510),NA(),AI510+ROW()/10000000)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IF(AND($E511=Subj_OccCode,Subj_BldgSF&gt;0,ABS($L511-Subj_BldgSF)&lt;=Subj_BldgSF*Subj_SizeTol),ABS($L511-Subj_BldgSF),NA())</f>
        <v/>
      </c>
      <c r="AJ511">
        <f>IF(ISNA(AI511),NA(),AI511+ROW()/10000000)</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IF(AND($E512=Subj_OccCode,Subj_BldgSF&gt;0,ABS($L512-Subj_BldgSF)&lt;=Subj_BldgSF*Subj_SizeTol),ABS($L512-Subj_BldgSF),NA())</f>
        <v/>
      </c>
      <c r="AJ512">
        <f>IF(ISNA(AI512),NA(),AI512+ROW()/10000000)</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IF(AND($E513=Subj_OccCode,Subj_BldgSF&gt;0,ABS($L513-Subj_BldgSF)&lt;=Subj_BldgSF*Subj_SizeTol),ABS($L513-Subj_BldgSF),NA())</f>
        <v/>
      </c>
      <c r="AJ513">
        <f>IF(ISNA(AI513),NA(),AI513+ROW()/10000000)</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IF(AND($E514=Subj_OccCode,Subj_BldgSF&gt;0,ABS($L514-Subj_BldgSF)&lt;=Subj_BldgSF*Subj_SizeTol),ABS($L514-Subj_BldgSF),NA())</f>
        <v/>
      </c>
      <c r="AJ514">
        <f>IF(ISNA(AI514),NA(),AI514+ROW()/10000000)</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IF(AND($E515=Subj_OccCode,Subj_BldgSF&gt;0,ABS($L515-Subj_BldgSF)&lt;=Subj_BldgSF*Subj_SizeTol),ABS($L515-Subj_BldgSF),NA())</f>
        <v/>
      </c>
      <c r="AJ515">
        <f>IF(ISNA(AI515),NA(),AI515+ROW()/10000000)</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IF(AND($E516=Subj_OccCode,Subj_BldgSF&gt;0,ABS($L516-Subj_BldgSF)&lt;=Subj_BldgSF*Subj_SizeTol),ABS($L516-Subj_BldgSF),NA())</f>
        <v/>
      </c>
      <c r="AJ516">
        <f>IF(ISNA(AI516),NA(),AI516+ROW()/10000000)</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IF(AND($E517=Subj_OccCode,Subj_BldgSF&gt;0,ABS($L517-Subj_BldgSF)&lt;=Subj_BldgSF*Subj_SizeTol),ABS($L517-Subj_BldgSF),NA())</f>
        <v/>
      </c>
      <c r="AJ517">
        <f>IF(ISNA(AI517),NA(),AI517+ROW()/10000000)</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IF(AND($E518=Subj_OccCode,Subj_BldgSF&gt;0,ABS($L518-Subj_BldgSF)&lt;=Subj_BldgSF*Subj_SizeTol),ABS($L518-Subj_BldgSF),NA())</f>
        <v/>
      </c>
      <c r="AJ518">
        <f>IF(ISNA(AI518),NA(),AI518+ROW()/10000000)</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IF(AND($E519=Subj_OccCode,Subj_BldgSF&gt;0,ABS($L519-Subj_BldgSF)&lt;=Subj_BldgSF*Subj_SizeTol),ABS($L519-Subj_BldgSF),NA())</f>
        <v/>
      </c>
      <c r="AJ519">
        <f>IF(ISNA(AI519),NA(),AI519+ROW()/10000000)</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IF(AND($E520=Subj_OccCode,Subj_BldgSF&gt;0,ABS($L520-Subj_BldgSF)&lt;=Subj_BldgSF*Subj_SizeTol),ABS($L520-Subj_BldgSF),NA())</f>
        <v/>
      </c>
      <c r="AJ520">
        <f>IF(ISNA(AI520),NA(),AI520+ROW()/10000000)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IF(AND($E521=Subj_OccCode,Subj_BldgSF&gt;0,ABS($L521-Subj_BldgSF)&lt;=Subj_BldgSF*Subj_SizeTol),ABS($L521-Subj_BldgSF),NA())</f>
        <v/>
      </c>
      <c r="AJ521">
        <f>IF(ISNA(AI521),NA(),AI521+ROW()/10000000)</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IF(AND($E522=Subj_OccCode,Subj_BldgSF&gt;0,ABS($L522-Subj_BldgSF)&lt;=Subj_BldgSF*Subj_SizeTol),ABS($L522-Subj_BldgSF),NA())</f>
        <v/>
      </c>
      <c r="AJ522">
        <f>IF(ISNA(AI522),NA(),AI522+ROW()/10000000)</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IF(AND($E523=Subj_OccCode,Subj_BldgSF&gt;0,ABS($L523-Subj_BldgSF)&lt;=Subj_BldgSF*Subj_SizeTol),ABS($L523-Subj_BldgSF),NA())</f>
        <v/>
      </c>
      <c r="AJ523">
        <f>IF(ISNA(AI523),NA(),AI523+ROW()/10000000)</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IF(AND($E524=Subj_OccCode,Subj_BldgSF&gt;0,ABS($L524-Subj_BldgSF)&lt;=Subj_BldgSF*Subj_SizeTol),ABS($L524-Subj_BldgSF),NA())</f>
        <v/>
      </c>
      <c r="AJ524">
        <f>IF(ISNA(AI524),NA(),AI524+ROW()/10000000)</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IF(AND($E525=Subj_OccCode,Subj_BldgSF&gt;0,ABS($L525-Subj_BldgSF)&lt;=Subj_BldgSF*Subj_SizeTol),ABS($L525-Subj_BldgSF),NA())</f>
        <v/>
      </c>
      <c r="AJ525">
        <f>IF(ISNA(AI525),NA(),AI525+ROW()/10000000)</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IF(AND($E526=Subj_OccCode,Subj_BldgSF&gt;0,ABS($L526-Subj_BldgSF)&lt;=Subj_BldgSF*Subj_SizeTol),ABS($L526-Subj_BldgSF),NA())</f>
        <v/>
      </c>
      <c r="AJ526">
        <f>IF(ISNA(AI526),NA(),AI526+ROW()/10000000)</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IF(AND($E527=Subj_OccCode,Subj_BldgSF&gt;0,ABS($L527-Subj_BldgSF)&lt;=Subj_BldgSF*Subj_SizeTol),ABS($L527-Subj_BldgSF),NA())</f>
        <v/>
      </c>
      <c r="AJ527">
        <f>IF(ISNA(AI527),NA(),AI527+ROW()/10000000)</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IF(AND($E528=Subj_OccCode,Subj_BldgSF&gt;0,ABS($L528-Subj_BldgSF)&lt;=Subj_BldgSF*Subj_SizeTol),ABS($L528-Subj_BldgSF),NA())</f>
        <v/>
      </c>
      <c r="AJ528">
        <f>IF(ISNA(AI528),NA(),AI528+ROW()/10000000)</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IF(AND($E529=Subj_OccCode,Subj_BldgSF&gt;0,ABS($L529-Subj_BldgSF)&lt;=Subj_BldgSF*Subj_SizeTol),ABS($L529-Subj_BldgSF),NA())</f>
        <v/>
      </c>
      <c r="AJ529">
        <f>IF(ISNA(AI529),NA(),AI529+ROW()/10000000)</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IF(AND($E530=Subj_OccCode,Subj_BldgSF&gt;0,ABS($L530-Subj_BldgSF)&lt;=Subj_BldgSF*Subj_SizeTol),ABS($L530-Subj_BldgSF),NA())</f>
        <v/>
      </c>
      <c r="AJ530">
        <f>IF(ISNA(AI530),NA(),AI530+ROW()/10000000)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IF(AND($E531=Subj_OccCode,Subj_BldgSF&gt;0,ABS($L531-Subj_BldgSF)&lt;=Subj_BldgSF*Subj_SizeTol),ABS($L531-Subj_BldgSF),NA())</f>
        <v/>
      </c>
      <c r="AJ531">
        <f>IF(ISNA(AI531),NA(),AI531+ROW()/10000000)</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IF(AND($E532=Subj_OccCode,Subj_BldgSF&gt;0,ABS($L532-Subj_BldgSF)&lt;=Subj_BldgSF*Subj_SizeTol),ABS($L532-Subj_BldgSF),NA())</f>
        <v/>
      </c>
      <c r="AJ532">
        <f>IF(ISNA(AI532),NA(),AI532+ROW()/10000000)</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IF(AND($E533=Subj_OccCode,Subj_BldgSF&gt;0,ABS($L533-Subj_BldgSF)&lt;=Subj_BldgSF*Subj_SizeTol),ABS($L533-Subj_BldgSF),NA())</f>
        <v/>
      </c>
      <c r="AJ533">
        <f>IF(ISNA(AI533),NA(),AI533+ROW()/10000000)</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IF(AND($E534=Subj_OccCode,Subj_BldgSF&gt;0,ABS($L534-Subj_BldgSF)&lt;=Subj_BldgSF*Subj_SizeTol),ABS($L534-Subj_BldgSF),NA())</f>
        <v/>
      </c>
      <c r="AJ534">
        <f>IF(ISNA(AI534),NA(),AI534+ROW()/10000000)</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IF(AND($E535=Subj_OccCode,Subj_BldgSF&gt;0,ABS($L535-Subj_BldgSF)&lt;=Subj_BldgSF*Subj_SizeTol),ABS($L535-Subj_BldgSF),NA())</f>
        <v/>
      </c>
      <c r="AJ535">
        <f>IF(ISNA(AI535),NA(),AI535+ROW()/10000000)</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IF(AND($E536=Subj_OccCode,Subj_BldgSF&gt;0,ABS($L536-Subj_BldgSF)&lt;=Subj_BldgSF*Subj_SizeTol),ABS($L536-Subj_BldgSF),NA())</f>
        <v/>
      </c>
      <c r="AJ536">
        <f>IF(ISNA(AI536),NA(),AI536+ROW()/10000000)</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IF(AND($E537=Subj_OccCode,Subj_BldgSF&gt;0,ABS($L537-Subj_BldgSF)&lt;=Subj_BldgSF*Subj_SizeTol),ABS($L537-Subj_BldgSF),NA())</f>
        <v/>
      </c>
      <c r="AJ537">
        <f>IF(ISNA(AI537),NA(),AI537+ROW()/10000000)</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IF(AND($E538=Subj_OccCode,Subj_BldgSF&gt;0,ABS($L538-Subj_BldgSF)&lt;=Subj_BldgSF*Subj_SizeTol),ABS($L538-Subj_BldgSF),NA())</f>
        <v/>
      </c>
      <c r="AJ538">
        <f>IF(ISNA(AI538),NA(),AI538+ROW()/10000000)</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IF(AND($E539=Subj_OccCode,Subj_BldgSF&gt;0,ABS($L539-Subj_BldgSF)&lt;=Subj_BldgSF*Subj_SizeTol),ABS($L539-Subj_BldgSF),NA())</f>
        <v/>
      </c>
      <c r="AJ539">
        <f>IF(ISNA(AI539),NA(),AI539+ROW()/10000000)</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IF(AND($E540=Subj_OccCode,Subj_BldgSF&gt;0,ABS($L540-Subj_BldgSF)&lt;=Subj_BldgSF*Subj_SizeTol),ABS($L540-Subj_BldgSF),NA())</f>
        <v/>
      </c>
      <c r="AJ540">
        <f>IF(ISNA(AI540),NA(),AI540+ROW()/10000000)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IF(AND($E541=Subj_OccCode,Subj_BldgSF&gt;0,ABS($L541-Subj_BldgSF)&lt;=Subj_BldgSF*Subj_SizeTol),ABS($L541-Subj_BldgSF),NA())</f>
        <v/>
      </c>
      <c r="AJ541">
        <f>IF(ISNA(AI541),NA(),AI541+ROW()/10000000)</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IF(AND($E542=Subj_OccCode,Subj_BldgSF&gt;0,ABS($L542-Subj_BldgSF)&lt;=Subj_BldgSF*Subj_SizeTol),ABS($L542-Subj_BldgSF),NA())</f>
        <v/>
      </c>
      <c r="AJ542">
        <f>IF(ISNA(AI542),NA(),AI542+ROW()/10000000)</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IF(AND($E543=Subj_OccCode,Subj_BldgSF&gt;0,ABS($L543-Subj_BldgSF)&lt;=Subj_BldgSF*Subj_SizeTol),ABS($L543-Subj_BldgSF),NA())</f>
        <v/>
      </c>
      <c r="AJ543">
        <f>IF(ISNA(AI543),NA(),AI543+ROW()/10000000)</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IF(AND($E544=Subj_OccCode,Subj_BldgSF&gt;0,ABS($L544-Subj_BldgSF)&lt;=Subj_BldgSF*Subj_SizeTol),ABS($L544-Subj_BldgSF),NA())</f>
        <v/>
      </c>
      <c r="AJ544">
        <f>IF(ISNA(AI544),NA(),AI544+ROW()/10000000)</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IF(AND($E545=Subj_OccCode,Subj_BldgSF&gt;0,ABS($L545-Subj_BldgSF)&lt;=Subj_BldgSF*Subj_SizeTol),ABS($L545-Subj_BldgSF),NA())</f>
        <v/>
      </c>
      <c r="AJ545">
        <f>IF(ISNA(AI545),NA(),AI545+ROW()/10000000)</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IF(AND($E546=Subj_OccCode,Subj_BldgSF&gt;0,ABS($L546-Subj_BldgSF)&lt;=Subj_BldgSF*Subj_SizeTol),ABS($L546-Subj_BldgSF),NA())</f>
        <v/>
      </c>
      <c r="AJ546">
        <f>IF(ISNA(AI546),NA(),AI546+ROW()/10000000)</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IF(AND($E547=Subj_OccCode,Subj_BldgSF&gt;0,ABS($L547-Subj_BldgSF)&lt;=Subj_BldgSF*Subj_SizeTol),ABS($L547-Subj_BldgSF),NA())</f>
        <v/>
      </c>
      <c r="AJ547">
        <f>IF(ISNA(AI547),NA(),AI547+ROW()/10000000)</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IF(AND($E548=Subj_OccCode,Subj_BldgSF&gt;0,ABS($L548-Subj_BldgSF)&lt;=Subj_BldgSF*Subj_SizeTol),ABS($L548-Subj_BldgSF),NA())</f>
        <v/>
      </c>
      <c r="AJ548">
        <f>IF(ISNA(AI548),NA(),AI548+ROW()/10000000)</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IF(AND($E549=Subj_OccCode,Subj_BldgSF&gt;0,ABS($L549-Subj_BldgSF)&lt;=Subj_BldgSF*Subj_SizeTol),ABS($L549-Subj_BldgSF),NA())</f>
        <v/>
      </c>
      <c r="AJ549">
        <f>IF(ISNA(AI549),NA(),AI549+ROW()/10000000)</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IF(AND($E550=Subj_OccCode,Subj_BldgSF&gt;0,ABS($L550-Subj_BldgSF)&lt;=Subj_BldgSF*Subj_SizeTol),ABS($L550-Subj_BldgSF),NA())</f>
        <v/>
      </c>
      <c r="AJ550">
        <f>IF(ISNA(AI550),NA(),AI550+ROW()/10000000)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IF(AND($E551=Subj_OccCode,Subj_BldgSF&gt;0,ABS($L551-Subj_BldgSF)&lt;=Subj_BldgSF*Subj_SizeTol),ABS($L551-Subj_BldgSF),NA())</f>
        <v/>
      </c>
      <c r="AJ551">
        <f>IF(ISNA(AI551),NA(),AI551+ROW()/10000000)</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IF(AND($E552=Subj_OccCode,Subj_BldgSF&gt;0,ABS($L552-Subj_BldgSF)&lt;=Subj_BldgSF*Subj_SizeTol),ABS($L552-Subj_BldgSF),NA())</f>
        <v/>
      </c>
      <c r="AJ552">
        <f>IF(ISNA(AI552),NA(),AI552+ROW()/10000000)</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IF(AND($E553=Subj_OccCode,Subj_BldgSF&gt;0,ABS($L553-Subj_BldgSF)&lt;=Subj_BldgSF*Subj_SizeTol),ABS($L553-Subj_BldgSF),NA())</f>
        <v/>
      </c>
      <c r="AJ553">
        <f>IF(ISNA(AI553),NA(),AI553+ROW()/10000000)</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IF(AND($E554=Subj_OccCode,Subj_BldgSF&gt;0,ABS($L554-Subj_BldgSF)&lt;=Subj_BldgSF*Subj_SizeTol),ABS($L554-Subj_BldgSF),NA())</f>
        <v/>
      </c>
      <c r="AJ554">
        <f>IF(ISNA(AI554),NA(),AI554+ROW()/10000000)</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IF(AND($E555=Subj_OccCode,Subj_BldgSF&gt;0,ABS($L555-Subj_BldgSF)&lt;=Subj_BldgSF*Subj_SizeTol),ABS($L555-Subj_BldgSF),NA())</f>
        <v/>
      </c>
      <c r="AJ555">
        <f>IF(ISNA(AI555),NA(),AI555+ROW()/10000000)</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IF(AND($E556=Subj_OccCode,Subj_BldgSF&gt;0,ABS($L556-Subj_BldgSF)&lt;=Subj_BldgSF*Subj_SizeTol),ABS($L556-Subj_BldgSF),NA())</f>
        <v/>
      </c>
      <c r="AJ556">
        <f>IF(ISNA(AI556),NA(),AI556+ROW()/10000000)</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IF(AND($E557=Subj_OccCode,Subj_BldgSF&gt;0,ABS($L557-Subj_BldgSF)&lt;=Subj_BldgSF*Subj_SizeTol),ABS($L557-Subj_BldgSF),NA())</f>
        <v/>
      </c>
      <c r="AJ557">
        <f>IF(ISNA(AI557),NA(),AI557+ROW()/10000000)</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IF(AND($E558=Subj_OccCode,Subj_BldgSF&gt;0,ABS($L558-Subj_BldgSF)&lt;=Subj_BldgSF*Subj_SizeTol),ABS($L558-Subj_BldgSF),NA())</f>
        <v/>
      </c>
      <c r="AJ558">
        <f>IF(ISNA(AI558),NA(),AI558+ROW()/10000000)</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IF(AND($E559=Subj_OccCode,Subj_BldgSF&gt;0,ABS($L559-Subj_BldgSF)&lt;=Subj_BldgSF*Subj_SizeTol),ABS($L559-Subj_BldgSF),NA())</f>
        <v/>
      </c>
      <c r="AJ559">
        <f>IF(ISNA(AI559),NA(),AI559+ROW()/10000000)</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IF(AND($E560=Subj_OccCode,Subj_BldgSF&gt;0,ABS($L560-Subj_BldgSF)&lt;=Subj_BldgSF*Subj_SizeTol),ABS($L560-Subj_BldgSF),NA())</f>
        <v/>
      </c>
      <c r="AJ560">
        <f>IF(ISNA(AI560),NA(),AI560+ROW()/10000000)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IF(AND($E561=Subj_OccCode,Subj_BldgSF&gt;0,ABS($L561-Subj_BldgSF)&lt;=Subj_BldgSF*Subj_SizeTol),ABS($L561-Subj_BldgSF),NA())</f>
        <v/>
      </c>
      <c r="AJ561">
        <f>IF(ISNA(AI561),NA(),AI561+ROW()/10000000)</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IF(AND($E562=Subj_OccCode,Subj_BldgSF&gt;0,ABS($L562-Subj_BldgSF)&lt;=Subj_BldgSF*Subj_SizeTol),ABS($L562-Subj_BldgSF),NA())</f>
        <v/>
      </c>
      <c r="AJ562">
        <f>IF(ISNA(AI562),NA(),AI562+ROW()/10000000)</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IF(AND($E563=Subj_OccCode,Subj_BldgSF&gt;0,ABS($L563-Subj_BldgSF)&lt;=Subj_BldgSF*Subj_SizeTol),ABS($L563-Subj_BldgSF),NA())</f>
        <v/>
      </c>
      <c r="AJ563">
        <f>IF(ISNA(AI563),NA(),AI563+ROW()/10000000)</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IF(AND($E564=Subj_OccCode,Subj_BldgSF&gt;0,ABS($L564-Subj_BldgSF)&lt;=Subj_BldgSF*Subj_SizeTol),ABS($L564-Subj_BldgSF),NA())</f>
        <v/>
      </c>
      <c r="AJ564">
        <f>IF(ISNA(AI564),NA(),AI564+ROW()/10000000)</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IF(AND($E565=Subj_OccCode,Subj_BldgSF&gt;0,ABS($L565-Subj_BldgSF)&lt;=Subj_BldgSF*Subj_SizeTol),ABS($L565-Subj_BldgSF),NA())</f>
        <v/>
      </c>
      <c r="AJ565">
        <f>IF(ISNA(AI565),NA(),AI565+ROW()/10000000)</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IF(AND($E566=Subj_OccCode,Subj_BldgSF&gt;0,ABS($L566-Subj_BldgSF)&lt;=Subj_BldgSF*Subj_SizeTol),ABS($L566-Subj_BldgSF),NA())</f>
        <v/>
      </c>
      <c r="AJ566">
        <f>IF(ISNA(AI566),NA(),AI566+ROW()/10000000)</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IF(AND($E567=Subj_OccCode,Subj_BldgSF&gt;0,ABS($L567-Subj_BldgSF)&lt;=Subj_BldgSF*Subj_SizeTol),ABS($L567-Subj_BldgSF),NA())</f>
        <v/>
      </c>
      <c r="AJ567">
        <f>IF(ISNA(AI567),NA(),AI567+ROW()/10000000)</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IF(AND($E568=Subj_OccCode,Subj_BldgSF&gt;0,ABS($L568-Subj_BldgSF)&lt;=Subj_BldgSF*Subj_SizeTol),ABS($L568-Subj_BldgSF),NA())</f>
        <v/>
      </c>
      <c r="AJ568">
        <f>IF(ISNA(AI568),NA(),AI568+ROW()/10000000)</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IF(AND($E569=Subj_OccCode,Subj_BldgSF&gt;0,ABS($L569-Subj_BldgSF)&lt;=Subj_BldgSF*Subj_SizeTol),ABS($L569-Subj_BldgSF),NA())</f>
        <v/>
      </c>
      <c r="AJ569">
        <f>IF(ISNA(AI569),NA(),AI569+ROW()/10000000)</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IF(AND($E570=Subj_OccCode,Subj_BldgSF&gt;0,ABS($L570-Subj_BldgSF)&lt;=Subj_BldgSF*Subj_SizeTol),ABS($L570-Subj_BldgSF),NA())</f>
        <v/>
      </c>
      <c r="AJ570">
        <f>IF(ISNA(AI570),NA(),AI570+ROW()/10000000)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IF(AND($E571=Subj_OccCode,Subj_BldgSF&gt;0,ABS($L571-Subj_BldgSF)&lt;=Subj_BldgSF*Subj_SizeTol),ABS($L571-Subj_BldgSF),NA())</f>
        <v/>
      </c>
      <c r="AJ571">
        <f>IF(ISNA(AI571),NA(),AI571+ROW()/10000000)</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IF(AND($E572=Subj_OccCode,Subj_BldgSF&gt;0,ABS($L572-Subj_BldgSF)&lt;=Subj_BldgSF*Subj_SizeTol),ABS($L572-Subj_BldgSF),NA())</f>
        <v/>
      </c>
      <c r="AJ572">
        <f>IF(ISNA(AI572),NA(),AI572+ROW()/10000000)</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IF(AND($E573=Subj_OccCode,Subj_BldgSF&gt;0,ABS($L573-Subj_BldgSF)&lt;=Subj_BldgSF*Subj_SizeTol),ABS($L573-Subj_BldgSF),NA())</f>
        <v/>
      </c>
      <c r="AJ573">
        <f>IF(ISNA(AI573),NA(),AI573+ROW()/10000000)</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IF(AND($E574=Subj_OccCode,Subj_BldgSF&gt;0,ABS($L574-Subj_BldgSF)&lt;=Subj_BldgSF*Subj_SizeTol),ABS($L574-Subj_BldgSF),NA())</f>
        <v/>
      </c>
      <c r="AJ574">
        <f>IF(ISNA(AI574),NA(),AI574+ROW()/10000000)</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IF(AND($E575=Subj_OccCode,Subj_BldgSF&gt;0,ABS($L575-Subj_BldgSF)&lt;=Subj_BldgSF*Subj_SizeTol),ABS($L575-Subj_BldgSF),NA())</f>
        <v/>
      </c>
      <c r="AJ575">
        <f>IF(ISNA(AI575),NA(),AI575+ROW()/10000000)</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IF(AND($E576=Subj_OccCode,Subj_BldgSF&gt;0,ABS($L576-Subj_BldgSF)&lt;=Subj_BldgSF*Subj_SizeTol),ABS($L576-Subj_BldgSF),NA())</f>
        <v/>
      </c>
      <c r="AJ576">
        <f>IF(ISNA(AI576),NA(),AI576+ROW()/10000000)</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IF(AND($E577=Subj_OccCode,Subj_BldgSF&gt;0,ABS($L577-Subj_BldgSF)&lt;=Subj_BldgSF*Subj_SizeTol),ABS($L577-Subj_BldgSF),NA())</f>
        <v/>
      </c>
      <c r="AJ577">
        <f>IF(ISNA(AI577),NA(),AI577+ROW()/10000000)</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IF(AND($E578=Subj_OccCode,Subj_BldgSF&gt;0,ABS($L578-Subj_BldgSF)&lt;=Subj_BldgSF*Subj_SizeTol),ABS($L578-Subj_BldgSF),NA())</f>
        <v/>
      </c>
      <c r="AJ578">
        <f>IF(ISNA(AI578),NA(),AI578+ROW()/10000000)</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IF(AND($E579=Subj_OccCode,Subj_BldgSF&gt;0,ABS($L579-Subj_BldgSF)&lt;=Subj_BldgSF*Subj_SizeTol),ABS($L579-Subj_BldgSF),NA())</f>
        <v/>
      </c>
      <c r="AJ579">
        <f>IF(ISNA(AI579),NA(),AI579+ROW()/10000000)</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IF(AND($E580=Subj_OccCode,Subj_BldgSF&gt;0,ABS($L580-Subj_BldgSF)&lt;=Subj_BldgSF*Subj_SizeTol),ABS($L580-Subj_BldgSF),NA())</f>
        <v/>
      </c>
      <c r="AJ580">
        <f>IF(ISNA(AI580),NA(),AI580+ROW()/10000000)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IF(AND($E581=Subj_OccCode,Subj_BldgSF&gt;0,ABS($L581-Subj_BldgSF)&lt;=Subj_BldgSF*Subj_SizeTol),ABS($L581-Subj_BldgSF),NA())</f>
        <v/>
      </c>
      <c r="AJ581">
        <f>IF(ISNA(AI581),NA(),AI581+ROW()/10000000)</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IF(AND($E582=Subj_OccCode,Subj_BldgSF&gt;0,ABS($L582-Subj_BldgSF)&lt;=Subj_BldgSF*Subj_SizeTol),ABS($L582-Subj_BldgSF),NA())</f>
        <v/>
      </c>
      <c r="AJ582">
        <f>IF(ISNA(AI582),NA(),AI582+ROW()/10000000)</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IF(AND($E583=Subj_OccCode,Subj_BldgSF&gt;0,ABS($L583-Subj_BldgSF)&lt;=Subj_BldgSF*Subj_SizeTol),ABS($L583-Subj_BldgSF),NA())</f>
        <v/>
      </c>
      <c r="AJ583">
        <f>IF(ISNA(AI583),NA(),AI583+ROW()/10000000)</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IF(AND($E584=Subj_OccCode,Subj_BldgSF&gt;0,ABS($L584-Subj_BldgSF)&lt;=Subj_BldgSF*Subj_SizeTol),ABS($L584-Subj_BldgSF),NA())</f>
        <v/>
      </c>
      <c r="AJ584">
        <f>IF(ISNA(AI584),NA(),AI584+ROW()/10000000)</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IF(AND($E585=Subj_OccCode,Subj_BldgSF&gt;0,ABS($L585-Subj_BldgSF)&lt;=Subj_BldgSF*Subj_SizeTol),ABS($L585-Subj_BldgSF),NA())</f>
        <v/>
      </c>
      <c r="AJ585">
        <f>IF(ISNA(AI585),NA(),AI585+ROW()/10000000)</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IF(AND($E586=Subj_OccCode,Subj_BldgSF&gt;0,ABS($L586-Subj_BldgSF)&lt;=Subj_BldgSF*Subj_SizeTol),ABS($L586-Subj_BldgSF),NA())</f>
        <v/>
      </c>
      <c r="AJ586">
        <f>IF(ISNA(AI586),NA(),AI586+ROW()/10000000)</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IF(AND($E587=Subj_OccCode,Subj_BldgSF&gt;0,ABS($L587-Subj_BldgSF)&lt;=Subj_BldgSF*Subj_SizeTol),ABS($L587-Subj_BldgSF),NA())</f>
        <v/>
      </c>
      <c r="AJ587">
        <f>IF(ISNA(AI587),NA(),AI587+ROW()/10000000)</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IF(AND($E588=Subj_OccCode,Subj_BldgSF&gt;0,ABS($L588-Subj_BldgSF)&lt;=Subj_BldgSF*Subj_SizeTol),ABS($L588-Subj_BldgSF),NA())</f>
        <v/>
      </c>
      <c r="AJ588">
        <f>IF(ISNA(AI588),NA(),AI588+ROW()/10000000)</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IF(AND($E589=Subj_OccCode,Subj_BldgSF&gt;0,ABS($L589-Subj_BldgSF)&lt;=Subj_BldgSF*Subj_SizeTol),ABS($L589-Subj_BldgSF),NA())</f>
        <v/>
      </c>
      <c r="AJ589">
        <f>IF(ISNA(AI589),NA(),AI589+ROW()/10000000)</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IF(AND($E590=Subj_OccCode,Subj_BldgSF&gt;0,ABS($L590-Subj_BldgSF)&lt;=Subj_BldgSF*Subj_SizeTol),ABS($L590-Subj_BldgSF),NA())</f>
        <v/>
      </c>
      <c r="AJ590">
        <f>IF(ISNA(AI590),NA(),AI590+ROW()/10000000)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IF(AND($E591=Subj_OccCode,Subj_BldgSF&gt;0,ABS($L591-Subj_BldgSF)&lt;=Subj_BldgSF*Subj_SizeTol),ABS($L591-Subj_BldgSF),NA())</f>
        <v/>
      </c>
      <c r="AJ591">
        <f>IF(ISNA(AI591),NA(),AI591+ROW()/10000000)</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IF(AND($E592=Subj_OccCode,Subj_BldgSF&gt;0,ABS($L592-Subj_BldgSF)&lt;=Subj_BldgSF*Subj_SizeTol),ABS($L592-Subj_BldgSF),NA())</f>
        <v/>
      </c>
      <c r="AJ592">
        <f>IF(ISNA(AI592),NA(),AI592+ROW()/10000000)</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IF(AND($E593=Subj_OccCode,Subj_BldgSF&gt;0,ABS($L593-Subj_BldgSF)&lt;=Subj_BldgSF*Subj_SizeTol),ABS($L593-Subj_BldgSF),NA())</f>
        <v/>
      </c>
      <c r="AJ593">
        <f>IF(ISNA(AI593),NA(),AI593+ROW()/10000000)</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IF(AND($E594=Subj_OccCode,Subj_BldgSF&gt;0,ABS($L594-Subj_BldgSF)&lt;=Subj_BldgSF*Subj_SizeTol),ABS($L594-Subj_BldgSF),NA())</f>
        <v/>
      </c>
      <c r="AJ594">
        <f>IF(ISNA(AI594),NA(),AI594+ROW()/10000000)</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IF(AND($E595=Subj_OccCode,Subj_BldgSF&gt;0,ABS($L595-Subj_BldgSF)&lt;=Subj_BldgSF*Subj_SizeTol),ABS($L595-Subj_BldgSF),NA())</f>
        <v/>
      </c>
      <c r="AJ595">
        <f>IF(ISNA(AI595),NA(),AI595+ROW()/10000000)</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IF(AND($E596=Subj_OccCode,Subj_BldgSF&gt;0,ABS($L596-Subj_BldgSF)&lt;=Subj_BldgSF*Subj_SizeTol),ABS($L596-Subj_BldgSF),NA())</f>
        <v/>
      </c>
      <c r="AJ596">
        <f>IF(ISNA(AI596),NA(),AI596+ROW()/10000000)</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IF(AND($E597=Subj_OccCode,Subj_BldgSF&gt;0,ABS($L597-Subj_BldgSF)&lt;=Subj_BldgSF*Subj_SizeTol),ABS($L597-Subj_BldgSF),NA())</f>
        <v/>
      </c>
      <c r="AJ597">
        <f>IF(ISNA(AI597),NA(),AI597+ROW()/10000000)</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IF(AND($E598=Subj_OccCode,Subj_BldgSF&gt;0,ABS($L598-Subj_BldgSF)&lt;=Subj_BldgSF*Subj_SizeTol),ABS($L598-Subj_BldgSF),NA())</f>
        <v/>
      </c>
      <c r="AJ598">
        <f>IF(ISNA(AI598),NA(),AI598+ROW()/10000000)</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IF(AND($E599=Subj_OccCode,Subj_BldgSF&gt;0,ABS($L599-Subj_BldgSF)&lt;=Subj_BldgSF*Subj_SizeTol),ABS($L599-Subj_BldgSF),NA())</f>
        <v/>
      </c>
      <c r="AJ599">
        <f>IF(ISNA(AI599),NA(),AI599+ROW()/10000000)</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IF(AND($E600=Subj_OccCode,Subj_BldgSF&gt;0,ABS($L600-Subj_BldgSF)&lt;=Subj_BldgSF*Subj_SizeTol),ABS($L600-Subj_BldgSF),NA())</f>
        <v/>
      </c>
      <c r="AJ600">
        <f>IF(ISNA(AI600),NA(),AI600+ROW()/10000000)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IF(AND($E601=Subj_OccCode,Subj_BldgSF&gt;0,ABS($L601-Subj_BldgSF)&lt;=Subj_BldgSF*Subj_SizeTol),ABS($L601-Subj_BldgSF),NA())</f>
        <v/>
      </c>
      <c r="AJ601">
        <f>IF(ISNA(AI601),NA(),AI601+ROW()/10000000)</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IF(AND($E602=Subj_OccCode,Subj_BldgSF&gt;0,ABS($L602-Subj_BldgSF)&lt;=Subj_BldgSF*Subj_SizeTol),ABS($L602-Subj_BldgSF),NA())</f>
        <v/>
      </c>
      <c r="AJ602">
        <f>IF(ISNA(AI602),NA(),AI602+ROW()/10000000)</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IF(AND($E603=Subj_OccCode,Subj_BldgSF&gt;0,ABS($L603-Subj_BldgSF)&lt;=Subj_BldgSF*Subj_SizeTol),ABS($L603-Subj_BldgSF),NA())</f>
        <v/>
      </c>
      <c r="AJ603">
        <f>IF(ISNA(AI603),NA(),AI603+ROW()/10000000)</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IF(AND($E604=Subj_OccCode,Subj_BldgSF&gt;0,ABS($L604-Subj_BldgSF)&lt;=Subj_BldgSF*Subj_SizeTol),ABS($L604-Subj_BldgSF),NA())</f>
        <v/>
      </c>
      <c r="AJ604">
        <f>IF(ISNA(AI604),NA(),AI604+ROW()/10000000)</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IF(AND($E605=Subj_OccCode,Subj_BldgSF&gt;0,ABS($L605-Subj_BldgSF)&lt;=Subj_BldgSF*Subj_SizeTol),ABS($L605-Subj_BldgSF),NA())</f>
        <v/>
      </c>
      <c r="AJ605">
        <f>IF(ISNA(AI605),NA(),AI605+ROW()/10000000)</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IF(AND($E606=Subj_OccCode,Subj_BldgSF&gt;0,ABS($L606-Subj_BldgSF)&lt;=Subj_BldgSF*Subj_SizeTol),ABS($L606-Subj_BldgSF),NA())</f>
        <v/>
      </c>
      <c r="AJ606">
        <f>IF(ISNA(AI606),NA(),AI606+ROW()/10000000)</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IF(AND($E607=Subj_OccCode,Subj_BldgSF&gt;0,ABS($L607-Subj_BldgSF)&lt;=Subj_BldgSF*Subj_SizeTol),ABS($L607-Subj_BldgSF),NA())</f>
        <v/>
      </c>
      <c r="AJ607">
        <f>IF(ISNA(AI607),NA(),AI607+ROW()/10000000)</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IF(AND($E608=Subj_OccCode,Subj_BldgSF&gt;0,ABS($L608-Subj_BldgSF)&lt;=Subj_BldgSF*Subj_SizeTol),ABS($L608-Subj_BldgSF),NA())</f>
        <v/>
      </c>
      <c r="AJ608">
        <f>IF(ISNA(AI608),NA(),AI608+ROW()/10000000)</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IF(AND($E609=Subj_OccCode,Subj_BldgSF&gt;0,ABS($L609-Subj_BldgSF)&lt;=Subj_BldgSF*Subj_SizeTol),ABS($L609-Subj_BldgSF),NA())</f>
        <v/>
      </c>
      <c r="AJ609">
        <f>IF(ISNA(AI609),NA(),AI609+ROW()/10000000)</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IF(AND($E610=Subj_OccCode,Subj_BldgSF&gt;0,ABS($L610-Subj_BldgSF)&lt;=Subj_BldgSF*Subj_SizeTol),ABS($L610-Subj_BldgSF),NA())</f>
        <v/>
      </c>
      <c r="AJ610">
        <f>IF(ISNA(AI610),NA(),AI610+ROW()/10000000)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IF(AND($E611=Subj_OccCode,Subj_BldgSF&gt;0,ABS($L611-Subj_BldgSF)&lt;=Subj_BldgSF*Subj_SizeTol),ABS($L611-Subj_BldgSF),NA())</f>
        <v/>
      </c>
      <c r="AJ611">
        <f>IF(ISNA(AI611),NA(),AI611+ROW()/10000000)</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IF(AND($E612=Subj_OccCode,Subj_BldgSF&gt;0,ABS($L612-Subj_BldgSF)&lt;=Subj_BldgSF*Subj_SizeTol),ABS($L612-Subj_BldgSF),NA())</f>
        <v/>
      </c>
      <c r="AJ612">
        <f>IF(ISNA(AI612),NA(),AI612+ROW()/10000000)</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IF(AND($E613=Subj_OccCode,Subj_BldgSF&gt;0,ABS($L613-Subj_BldgSF)&lt;=Subj_BldgSF*Subj_SizeTol),ABS($L613-Subj_BldgSF),NA())</f>
        <v/>
      </c>
      <c r="AJ613">
        <f>IF(ISNA(AI613),NA(),AI613+ROW()/10000000)</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IF(AND($E614=Subj_OccCode,Subj_BldgSF&gt;0,ABS($L614-Subj_BldgSF)&lt;=Subj_BldgSF*Subj_SizeTol),ABS($L614-Subj_BldgSF),NA())</f>
        <v/>
      </c>
      <c r="AJ614">
        <f>IF(ISNA(AI614),NA(),AI614+ROW()/10000000)</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IF(AND($E615=Subj_OccCode,Subj_BldgSF&gt;0,ABS($L615-Subj_BldgSF)&lt;=Subj_BldgSF*Subj_SizeTol),ABS($L615-Subj_BldgSF),NA())</f>
        <v/>
      </c>
      <c r="AJ615">
        <f>IF(ISNA(AI615),NA(),AI615+ROW()/10000000)</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IF(AND($E616=Subj_OccCode,Subj_BldgSF&gt;0,ABS($L616-Subj_BldgSF)&lt;=Subj_BldgSF*Subj_SizeTol),ABS($L616-Subj_BldgSF),NA())</f>
        <v/>
      </c>
      <c r="AJ616">
        <f>IF(ISNA(AI616),NA(),AI616+ROW()/10000000)</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IF(AND($E617=Subj_OccCode,Subj_BldgSF&gt;0,ABS($L617-Subj_BldgSF)&lt;=Subj_BldgSF*Subj_SizeTol),ABS($L617-Subj_BldgSF),NA())</f>
        <v/>
      </c>
      <c r="AJ617">
        <f>IF(ISNA(AI617),NA(),AI617+ROW()/10000000)</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IF(AND($E618=Subj_OccCode,Subj_BldgSF&gt;0,ABS($L618-Subj_BldgSF)&lt;=Subj_BldgSF*Subj_SizeTol),ABS($L618-Subj_BldgSF),NA())</f>
        <v/>
      </c>
      <c r="AJ618">
        <f>IF(ISNA(AI618),NA(),AI618+ROW()/10000000)</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IF(AND($E619=Subj_OccCode,Subj_BldgSF&gt;0,ABS($L619-Subj_BldgSF)&lt;=Subj_BldgSF*Subj_SizeTol),ABS($L619-Subj_BldgSF),NA())</f>
        <v/>
      </c>
      <c r="AJ619">
        <f>IF(ISNA(AI619),NA(),AI619+ROW()/10000000)</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IF(AND($E620=Subj_OccCode,Subj_BldgSF&gt;0,ABS($L620-Subj_BldgSF)&lt;=Subj_BldgSF*Subj_SizeTol),ABS($L620-Subj_BldgSF),NA())</f>
        <v/>
      </c>
      <c r="AJ620">
        <f>IF(ISNA(AI620),NA(),AI620+ROW()/10000000)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IF(AND($E621=Subj_OccCode,Subj_BldgSF&gt;0,ABS($L621-Subj_BldgSF)&lt;=Subj_BldgSF*Subj_SizeTol),ABS($L621-Subj_BldgSF),NA())</f>
        <v/>
      </c>
      <c r="AJ621">
        <f>IF(ISNA(AI621),NA(),AI621+ROW()/10000000)</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IF(AND($E622=Subj_OccCode,Subj_BldgSF&gt;0,ABS($L622-Subj_BldgSF)&lt;=Subj_BldgSF*Subj_SizeTol),ABS($L622-Subj_BldgSF),NA())</f>
        <v/>
      </c>
      <c r="AJ622">
        <f>IF(ISNA(AI622),NA(),AI622+ROW()/10000000)</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IF(AND($E623=Subj_OccCode,Subj_BldgSF&gt;0,ABS($L623-Subj_BldgSF)&lt;=Subj_BldgSF*Subj_SizeTol),ABS($L623-Subj_BldgSF),NA())</f>
        <v/>
      </c>
      <c r="AJ623">
        <f>IF(ISNA(AI623),NA(),AI623+ROW()/10000000)</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IF(AND($E624=Subj_OccCode,Subj_BldgSF&gt;0,ABS($L624-Subj_BldgSF)&lt;=Subj_BldgSF*Subj_SizeTol),ABS($L624-Subj_BldgSF),NA())</f>
        <v/>
      </c>
      <c r="AJ624">
        <f>IF(ISNA(AI624),NA(),AI624+ROW()/10000000)</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IF(AND($E625=Subj_OccCode,Subj_BldgSF&gt;0,ABS($L625-Subj_BldgSF)&lt;=Subj_BldgSF*Subj_SizeTol),ABS($L625-Subj_BldgSF),NA())</f>
        <v/>
      </c>
      <c r="AJ625">
        <f>IF(ISNA(AI625),NA(),AI625+ROW()/10000000)</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IF(AND($E626=Subj_OccCode,Subj_BldgSF&gt;0,ABS($L626-Subj_BldgSF)&lt;=Subj_BldgSF*Subj_SizeTol),ABS($L626-Subj_BldgSF),NA())</f>
        <v/>
      </c>
      <c r="AJ626">
        <f>IF(ISNA(AI626),NA(),AI626+ROW()/10000000)</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IF(AND($E627=Subj_OccCode,Subj_BldgSF&gt;0,ABS($L627-Subj_BldgSF)&lt;=Subj_BldgSF*Subj_SizeTol),ABS($L627-Subj_BldgSF),NA())</f>
        <v/>
      </c>
      <c r="AJ627">
        <f>IF(ISNA(AI627),NA(),AI627+ROW()/10000000)</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IF(AND($E628=Subj_OccCode,Subj_BldgSF&gt;0,ABS($L628-Subj_BldgSF)&lt;=Subj_BldgSF*Subj_SizeTol),ABS($L628-Subj_BldgSF),NA())</f>
        <v/>
      </c>
      <c r="AJ628">
        <f>IF(ISNA(AI628),NA(),AI628+ROW()/10000000)</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IF(AND($E629=Subj_OccCode,Subj_BldgSF&gt;0,ABS($L629-Subj_BldgSF)&lt;=Subj_BldgSF*Subj_SizeTol),ABS($L629-Subj_BldgSF),NA())</f>
        <v/>
      </c>
      <c r="AJ629">
        <f>IF(ISNA(AI629),NA(),AI629+ROW()/10000000)</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IF(AND($E630=Subj_OccCode,Subj_BldgSF&gt;0,ABS($L630-Subj_BldgSF)&lt;=Subj_BldgSF*Subj_SizeTol),ABS($L630-Subj_BldgSF),NA())</f>
        <v/>
      </c>
      <c r="AJ630">
        <f>IF(ISNA(AI630),NA(),AI630+ROW()/10000000)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IF(AND($E631=Subj_OccCode,Subj_BldgSF&gt;0,ABS($L631-Subj_BldgSF)&lt;=Subj_BldgSF*Subj_SizeTol),ABS($L631-Subj_BldgSF),NA())</f>
        <v/>
      </c>
      <c r="AJ631">
        <f>IF(ISNA(AI631),NA(),AI631+ROW()/10000000)</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IF(AND($E632=Subj_OccCode,Subj_BldgSF&gt;0,ABS($L632-Subj_BldgSF)&lt;=Subj_BldgSF*Subj_SizeTol),ABS($L632-Subj_BldgSF),NA())</f>
        <v/>
      </c>
      <c r="AJ632">
        <f>IF(ISNA(AI632),NA(),AI632+ROW()/10000000)</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IF(AND($E633=Subj_OccCode,Subj_BldgSF&gt;0,ABS($L633-Subj_BldgSF)&lt;=Subj_BldgSF*Subj_SizeTol),ABS($L633-Subj_BldgSF),NA())</f>
        <v/>
      </c>
      <c r="AJ633">
        <f>IF(ISNA(AI633),NA(),AI633+ROW()/10000000)</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IF(AND($E634=Subj_OccCode,Subj_BldgSF&gt;0,ABS($L634-Subj_BldgSF)&lt;=Subj_BldgSF*Subj_SizeTol),ABS($L634-Subj_BldgSF),NA())</f>
        <v/>
      </c>
      <c r="AJ634">
        <f>IF(ISNA(AI634),NA(),AI634+ROW()/10000000)</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IF(AND($E635=Subj_OccCode,Subj_BldgSF&gt;0,ABS($L635-Subj_BldgSF)&lt;=Subj_BldgSF*Subj_SizeTol),ABS($L635-Subj_BldgSF),NA())</f>
        <v/>
      </c>
      <c r="AJ635">
        <f>IF(ISNA(AI635),NA(),AI635+ROW()/10000000)</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IF(AND($E636=Subj_OccCode,Subj_BldgSF&gt;0,ABS($L636-Subj_BldgSF)&lt;=Subj_BldgSF*Subj_SizeTol),ABS($L636-Subj_BldgSF),NA())</f>
        <v/>
      </c>
      <c r="AJ636">
        <f>IF(ISNA(AI636),NA(),AI636+ROW()/10000000)</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IF(AND($E637=Subj_OccCode,Subj_BldgSF&gt;0,ABS($L637-Subj_BldgSF)&lt;=Subj_BldgSF*Subj_SizeTol),ABS($L637-Subj_BldgSF),NA())</f>
        <v/>
      </c>
      <c r="AJ637">
        <f>IF(ISNA(AI637),NA(),AI637+ROW()/10000000)</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IF(AND($E638=Subj_OccCode,Subj_BldgSF&gt;0,ABS($L638-Subj_BldgSF)&lt;=Subj_BldgSF*Subj_SizeTol),ABS($L638-Subj_BldgSF),NA())</f>
        <v/>
      </c>
      <c r="AJ638">
        <f>IF(ISNA(AI638),NA(),AI638+ROW()/10000000)</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IF(AND($E639=Subj_OccCode,Subj_BldgSF&gt;0,ABS($L639-Subj_BldgSF)&lt;=Subj_BldgSF*Subj_SizeTol),ABS($L639-Subj_BldgSF),NA())</f>
        <v/>
      </c>
      <c r="AJ639">
        <f>IF(ISNA(AI639),NA(),AI639+ROW()/10000000)</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IF(AND($E640=Subj_OccCode,Subj_BldgSF&gt;0,ABS($L640-Subj_BldgSF)&lt;=Subj_BldgSF*Subj_SizeTol),ABS($L640-Subj_BldgSF),NA())</f>
        <v/>
      </c>
      <c r="AJ640">
        <f>IF(ISNA(AI640),NA(),AI640+ROW()/10000000)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IF(AND($E641=Subj_OccCode,Subj_BldgSF&gt;0,ABS($L641-Subj_BldgSF)&lt;=Subj_BldgSF*Subj_SizeTol),ABS($L641-Subj_BldgSF),NA())</f>
        <v/>
      </c>
      <c r="AJ641">
        <f>IF(ISNA(AI641),NA(),AI641+ROW()/10000000)</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IF(AND($E642=Subj_OccCode,Subj_BldgSF&gt;0,ABS($L642-Subj_BldgSF)&lt;=Subj_BldgSF*Subj_SizeTol),ABS($L642-Subj_BldgSF),NA())</f>
        <v/>
      </c>
      <c r="AJ642">
        <f>IF(ISNA(AI642),NA(),AI642+ROW()/10000000)</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IF(AND($E643=Subj_OccCode,Subj_BldgSF&gt;0,ABS($L643-Subj_BldgSF)&lt;=Subj_BldgSF*Subj_SizeTol),ABS($L643-Subj_BldgSF),NA())</f>
        <v/>
      </c>
      <c r="AJ643">
        <f>IF(ISNA(AI643),NA(),AI643+ROW()/10000000)</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IF(AND($E644=Subj_OccCode,Subj_BldgSF&gt;0,ABS($L644-Subj_BldgSF)&lt;=Subj_BldgSF*Subj_SizeTol),ABS($L644-Subj_BldgSF),NA())</f>
        <v/>
      </c>
      <c r="AJ644">
        <f>IF(ISNA(AI644),NA(),AI644+ROW()/10000000)</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IF(AND($E645=Subj_OccCode,Subj_BldgSF&gt;0,ABS($L645-Subj_BldgSF)&lt;=Subj_BldgSF*Subj_SizeTol),ABS($L645-Subj_BldgSF),NA())</f>
        <v/>
      </c>
      <c r="AJ645">
        <f>IF(ISNA(AI645),NA(),AI645+ROW()/10000000)</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IF(AND($E646=Subj_OccCode,Subj_BldgSF&gt;0,ABS($L646-Subj_BldgSF)&lt;=Subj_BldgSF*Subj_SizeTol),ABS($L646-Subj_BldgSF),NA())</f>
        <v/>
      </c>
      <c r="AJ646">
        <f>IF(ISNA(AI646),NA(),AI646+ROW()/10000000)</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IF(AND($E647=Subj_OccCode,Subj_BldgSF&gt;0,ABS($L647-Subj_BldgSF)&lt;=Subj_BldgSF*Subj_SizeTol),ABS($L647-Subj_BldgSF),NA())</f>
        <v/>
      </c>
      <c r="AJ647">
        <f>IF(ISNA(AI647),NA(),AI647+ROW()/10000000)</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IF(AND($E648=Subj_OccCode,Subj_BldgSF&gt;0,ABS($L648-Subj_BldgSF)&lt;=Subj_BldgSF*Subj_SizeTol),ABS($L648-Subj_BldgSF),NA())</f>
        <v/>
      </c>
      <c r="AJ648">
        <f>IF(ISNA(AI648),NA(),AI648+ROW()/10000000)</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IF(AND($E649=Subj_OccCode,Subj_BldgSF&gt;0,ABS($L649-Subj_BldgSF)&lt;=Subj_BldgSF*Subj_SizeTol),ABS($L649-Subj_BldgSF),NA())</f>
        <v/>
      </c>
      <c r="AJ649">
        <f>IF(ISNA(AI649),NA(),AI649+ROW()/10000000)</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IF(AND($E650=Subj_OccCode,Subj_BldgSF&gt;0,ABS($L650-Subj_BldgSF)&lt;=Subj_BldgSF*Subj_SizeTol),ABS($L650-Subj_BldgSF),NA())</f>
        <v/>
      </c>
      <c r="AJ650">
        <f>IF(ISNA(AI650),NA(),AI650+ROW()/10000000)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IF(AND($E651=Subj_OccCode,Subj_BldgSF&gt;0,ABS($L651-Subj_BldgSF)&lt;=Subj_BldgSF*Subj_SizeTol),ABS($L651-Subj_BldgSF),NA())</f>
        <v/>
      </c>
      <c r="AJ651">
        <f>IF(ISNA(AI651),NA(),AI651+ROW()/10000000)</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IF(AND($E652=Subj_OccCode,Subj_BldgSF&gt;0,ABS($L652-Subj_BldgSF)&lt;=Subj_BldgSF*Subj_SizeTol),ABS($L652-Subj_BldgSF),NA())</f>
        <v/>
      </c>
      <c r="AJ652">
        <f>IF(ISNA(AI652),NA(),AI652+ROW()/10000000)</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IF(AND($E653=Subj_OccCode,Subj_BldgSF&gt;0,ABS($L653-Subj_BldgSF)&lt;=Subj_BldgSF*Subj_SizeTol),ABS($L653-Subj_BldgSF),NA())</f>
        <v/>
      </c>
      <c r="AJ653">
        <f>IF(ISNA(AI653),NA(),AI653+ROW()/10000000)</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IF(AND($E654=Subj_OccCode,Subj_BldgSF&gt;0,ABS($L654-Subj_BldgSF)&lt;=Subj_BldgSF*Subj_SizeTol),ABS($L654-Subj_BldgSF),NA())</f>
        <v/>
      </c>
      <c r="AJ654">
        <f>IF(ISNA(AI654),NA(),AI654+ROW()/10000000)</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IF(AND($E655=Subj_OccCode,Subj_BldgSF&gt;0,ABS($L655-Subj_BldgSF)&lt;=Subj_BldgSF*Subj_SizeTol),ABS($L655-Subj_BldgSF),NA())</f>
        <v/>
      </c>
      <c r="AJ655">
        <f>IF(ISNA(AI655),NA(),AI655+ROW()/10000000)</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IF(AND($E656=Subj_OccCode,Subj_BldgSF&gt;0,ABS($L656-Subj_BldgSF)&lt;=Subj_BldgSF*Subj_SizeTol),ABS($L656-Subj_BldgSF),NA())</f>
        <v/>
      </c>
      <c r="AJ656">
        <f>IF(ISNA(AI656),NA(),AI656+ROW()/10000000)</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IF(AND($E657=Subj_OccCode,Subj_BldgSF&gt;0,ABS($L657-Subj_BldgSF)&lt;=Subj_BldgSF*Subj_SizeTol),ABS($L657-Subj_BldgSF),NA())</f>
        <v/>
      </c>
      <c r="AJ657">
        <f>IF(ISNA(AI657),NA(),AI657+ROW()/10000000)</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IF(AND($E658=Subj_OccCode,Subj_BldgSF&gt;0,ABS($L658-Subj_BldgSF)&lt;=Subj_BldgSF*Subj_SizeTol),ABS($L658-Subj_BldgSF),NA())</f>
        <v/>
      </c>
      <c r="AJ658">
        <f>IF(ISNA(AI658),NA(),AI658+ROW()/10000000)</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IF(AND($E659=Subj_OccCode,Subj_BldgSF&gt;0,ABS($L659-Subj_BldgSF)&lt;=Subj_BldgSF*Subj_SizeTol),ABS($L659-Subj_BldgSF),NA())</f>
        <v/>
      </c>
      <c r="AJ659">
        <f>IF(ISNA(AI659),NA(),AI659+ROW()/10000000)</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IF(AND($E660=Subj_OccCode,Subj_BldgSF&gt;0,ABS($L660-Subj_BldgSF)&lt;=Subj_BldgSF*Subj_SizeTol),ABS($L660-Subj_BldgSF),NA())</f>
        <v/>
      </c>
      <c r="AJ660">
        <f>IF(ISNA(AI660),NA(),AI660+ROW()/10000000)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IF(AND($E661=Subj_OccCode,Subj_BldgSF&gt;0,ABS($L661-Subj_BldgSF)&lt;=Subj_BldgSF*Subj_SizeTol),ABS($L661-Subj_BldgSF),NA())</f>
        <v/>
      </c>
      <c r="AJ661">
        <f>IF(ISNA(AI661),NA(),AI661+ROW()/10000000)</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IF(AND($E662=Subj_OccCode,Subj_BldgSF&gt;0,ABS($L662-Subj_BldgSF)&lt;=Subj_BldgSF*Subj_SizeTol),ABS($L662-Subj_BldgSF),NA())</f>
        <v/>
      </c>
      <c r="AJ662">
        <f>IF(ISNA(AI662),NA(),AI662+ROW()/10000000)</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IF(AND($E663=Subj_OccCode,Subj_BldgSF&gt;0,ABS($L663-Subj_BldgSF)&lt;=Subj_BldgSF*Subj_SizeTol),ABS($L663-Subj_BldgSF),NA())</f>
        <v/>
      </c>
      <c r="AJ663">
        <f>IF(ISNA(AI663),NA(),AI663+ROW()/10000000)</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IF(AND($E664=Subj_OccCode,Subj_BldgSF&gt;0,ABS($L664-Subj_BldgSF)&lt;=Subj_BldgSF*Subj_SizeTol),ABS($L664-Subj_BldgSF),NA())</f>
        <v/>
      </c>
      <c r="AJ664">
        <f>IF(ISNA(AI664),NA(),AI664+ROW()/10000000)</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IF(AND($E665=Subj_OccCode,Subj_BldgSF&gt;0,ABS($L665-Subj_BldgSF)&lt;=Subj_BldgSF*Subj_SizeTol),ABS($L665-Subj_BldgSF),NA())</f>
        <v/>
      </c>
      <c r="AJ665">
        <f>IF(ISNA(AI665),NA(),AI665+ROW()/10000000)</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IF(AND($E666=Subj_OccCode,Subj_BldgSF&gt;0,ABS($L666-Subj_BldgSF)&lt;=Subj_BldgSF*Subj_SizeTol),ABS($L666-Subj_BldgSF),NA())</f>
        <v/>
      </c>
      <c r="AJ666">
        <f>IF(ISNA(AI666),NA(),AI666+ROW()/10000000)</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IF(AND($E667=Subj_OccCode,Subj_BldgSF&gt;0,ABS($L667-Subj_BldgSF)&lt;=Subj_BldgSF*Subj_SizeTol),ABS($L667-Subj_BldgSF),NA())</f>
        <v/>
      </c>
      <c r="AJ667">
        <f>IF(ISNA(AI667),NA(),AI667+ROW()/10000000)</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IF(AND($E668=Subj_OccCode,Subj_BldgSF&gt;0,ABS($L668-Subj_BldgSF)&lt;=Subj_BldgSF*Subj_SizeTol),ABS($L668-Subj_BldgSF),NA())</f>
        <v/>
      </c>
      <c r="AJ668">
        <f>IF(ISNA(AI668),NA(),AI668+ROW()/10000000)</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IF(AND($E669=Subj_OccCode,Subj_BldgSF&gt;0,ABS($L669-Subj_BldgSF)&lt;=Subj_BldgSF*Subj_SizeTol),ABS($L669-Subj_BldgSF),NA())</f>
        <v/>
      </c>
      <c r="AJ669">
        <f>IF(ISNA(AI669),NA(),AI669+ROW()/10000000)</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IF(AND($E670=Subj_OccCode,Subj_BldgSF&gt;0,ABS($L670-Subj_BldgSF)&lt;=Subj_BldgSF*Subj_SizeTol),ABS($L670-Subj_BldgSF),NA())</f>
        <v/>
      </c>
      <c r="AJ670">
        <f>IF(ISNA(AI670),NA(),AI670+ROW()/10000000)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IF(AND($E671=Subj_OccCode,Subj_BldgSF&gt;0,ABS($L671-Subj_BldgSF)&lt;=Subj_BldgSF*Subj_SizeTol),ABS($L671-Subj_BldgSF),NA())</f>
        <v/>
      </c>
      <c r="AJ671">
        <f>IF(ISNA(AI671),NA(),AI671+ROW()/10000000)</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IF(AND($E672=Subj_OccCode,Subj_BldgSF&gt;0,ABS($L672-Subj_BldgSF)&lt;=Subj_BldgSF*Subj_SizeTol),ABS($L672-Subj_BldgSF),NA())</f>
        <v/>
      </c>
      <c r="AJ672">
        <f>IF(ISNA(AI672),NA(),AI672+ROW()/10000000)</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IF(AND($E673=Subj_OccCode,Subj_BldgSF&gt;0,ABS($L673-Subj_BldgSF)&lt;=Subj_BldgSF*Subj_SizeTol),ABS($L673-Subj_BldgSF),NA())</f>
        <v/>
      </c>
      <c r="AJ673">
        <f>IF(ISNA(AI673),NA(),AI673+ROW()/10000000)</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IF(AND($E674=Subj_OccCode,Subj_BldgSF&gt;0,ABS($L674-Subj_BldgSF)&lt;=Subj_BldgSF*Subj_SizeTol),ABS($L674-Subj_BldgSF),NA())</f>
        <v/>
      </c>
      <c r="AJ674">
        <f>IF(ISNA(AI674),NA(),AI674+ROW()/10000000)</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IF(AND($E675=Subj_OccCode,Subj_BldgSF&gt;0,ABS($L675-Subj_BldgSF)&lt;=Subj_BldgSF*Subj_SizeTol),ABS($L675-Subj_BldgSF),NA())</f>
        <v/>
      </c>
      <c r="AJ675">
        <f>IF(ISNA(AI675),NA(),AI675+ROW()/10000000)</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IF(AND($E676=Subj_OccCode,Subj_BldgSF&gt;0,ABS($L676-Subj_BldgSF)&lt;=Subj_BldgSF*Subj_SizeTol),ABS($L676-Subj_BldgSF),NA())</f>
        <v/>
      </c>
      <c r="AJ676">
        <f>IF(ISNA(AI676),NA(),AI676+ROW()/10000000)</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IF(AND($E677=Subj_OccCode,Subj_BldgSF&gt;0,ABS($L677-Subj_BldgSF)&lt;=Subj_BldgSF*Subj_SizeTol),ABS($L677-Subj_BldgSF),NA())</f>
        <v/>
      </c>
      <c r="AJ677">
        <f>IF(ISNA(AI677),NA(),AI677+ROW()/10000000)</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IF(AND($E678=Subj_OccCode,Subj_BldgSF&gt;0,ABS($L678-Subj_BldgSF)&lt;=Subj_BldgSF*Subj_SizeTol),ABS($L678-Subj_BldgSF),NA())</f>
        <v/>
      </c>
      <c r="AJ678">
        <f>IF(ISNA(AI678),NA(),AI678+ROW()/10000000)</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IF(AND($E679=Subj_OccCode,Subj_BldgSF&gt;0,ABS($L679-Subj_BldgSF)&lt;=Subj_BldgSF*Subj_SizeTol),ABS($L679-Subj_BldgSF),NA())</f>
        <v/>
      </c>
      <c r="AJ679">
        <f>IF(ISNA(AI679),NA(),AI679+ROW()/10000000)</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IF(AND($E680=Subj_OccCode,Subj_BldgSF&gt;0,ABS($L680-Subj_BldgSF)&lt;=Subj_BldgSF*Subj_SizeTol),ABS($L680-Subj_BldgSF),NA())</f>
        <v/>
      </c>
      <c r="AJ680">
        <f>IF(ISNA(AI680),NA(),AI680+ROW()/10000000)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IF(AND($E681=Subj_OccCode,Subj_BldgSF&gt;0,ABS($L681-Subj_BldgSF)&lt;=Subj_BldgSF*Subj_SizeTol),ABS($L681-Subj_BldgSF),NA())</f>
        <v/>
      </c>
      <c r="AJ681">
        <f>IF(ISNA(AI681),NA(),AI681+ROW()/10000000)</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IF(AND($E682=Subj_OccCode,Subj_BldgSF&gt;0,ABS($L682-Subj_BldgSF)&lt;=Subj_BldgSF*Subj_SizeTol),ABS($L682-Subj_BldgSF),NA())</f>
        <v/>
      </c>
      <c r="AJ682">
        <f>IF(ISNA(AI682),NA(),AI682+ROW()/10000000)</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IF(AND($E683=Subj_OccCode,Subj_BldgSF&gt;0,ABS($L683-Subj_BldgSF)&lt;=Subj_BldgSF*Subj_SizeTol),ABS($L683-Subj_BldgSF),NA())</f>
        <v/>
      </c>
      <c r="AJ683">
        <f>IF(ISNA(AI683),NA(),AI683+ROW()/10000000)</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IF(AND($E684=Subj_OccCode,Subj_BldgSF&gt;0,ABS($L684-Subj_BldgSF)&lt;=Subj_BldgSF*Subj_SizeTol),ABS($L684-Subj_BldgSF),NA())</f>
        <v/>
      </c>
      <c r="AJ684">
        <f>IF(ISNA(AI684),NA(),AI684+ROW()/10000000)</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IF(AND($E685=Subj_OccCode,Subj_BldgSF&gt;0,ABS($L685-Subj_BldgSF)&lt;=Subj_BldgSF*Subj_SizeTol),ABS($L685-Subj_BldgSF),NA())</f>
        <v/>
      </c>
      <c r="AJ685">
        <f>IF(ISNA(AI685),NA(),AI685+ROW()/10000000)</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IF(AND($E686=Subj_OccCode,Subj_BldgSF&gt;0,ABS($L686-Subj_BldgSF)&lt;=Subj_BldgSF*Subj_SizeTol),ABS($L686-Subj_BldgSF),NA())</f>
        <v/>
      </c>
      <c r="AJ686">
        <f>IF(ISNA(AI686),NA(),AI686+ROW()/10000000)</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IF(AND($E687=Subj_OccCode,Subj_BldgSF&gt;0,ABS($L687-Subj_BldgSF)&lt;=Subj_BldgSF*Subj_SizeTol),ABS($L687-Subj_BldgSF),NA())</f>
        <v/>
      </c>
      <c r="AJ687">
        <f>IF(ISNA(AI687),NA(),AI687+ROW()/10000000)</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IF(AND($E688=Subj_OccCode,Subj_BldgSF&gt;0,ABS($L688-Subj_BldgSF)&lt;=Subj_BldgSF*Subj_SizeTol),ABS($L688-Subj_BldgSF),NA())</f>
        <v/>
      </c>
      <c r="AJ688">
        <f>IF(ISNA(AI688),NA(),AI688+ROW()/10000000)</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IF(AND($E689=Subj_OccCode,Subj_BldgSF&gt;0,ABS($L689-Subj_BldgSF)&lt;=Subj_BldgSF*Subj_SizeTol),ABS($L689-Subj_BldgSF),NA())</f>
        <v/>
      </c>
      <c r="AJ689">
        <f>IF(ISNA(AI689),NA(),AI689+ROW()/10000000)</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IF(AND($E690=Subj_OccCode,Subj_BldgSF&gt;0,ABS($L690-Subj_BldgSF)&lt;=Subj_BldgSF*Subj_SizeTol),ABS($L690-Subj_BldgSF),NA())</f>
        <v/>
      </c>
      <c r="AJ690">
        <f>IF(ISNA(AI690),NA(),AI690+ROW()/10000000)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IF(AND($E691=Subj_OccCode,Subj_BldgSF&gt;0,ABS($L691-Subj_BldgSF)&lt;=Subj_BldgSF*Subj_SizeTol),ABS($L691-Subj_BldgSF),NA())</f>
        <v/>
      </c>
      <c r="AJ691">
        <f>IF(ISNA(AI691),NA(),AI691+ROW()/10000000)</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IF(AND($E692=Subj_OccCode,Subj_BldgSF&gt;0,ABS($L692-Subj_BldgSF)&lt;=Subj_BldgSF*Subj_SizeTol),ABS($L692-Subj_BldgSF),NA())</f>
        <v/>
      </c>
      <c r="AJ692">
        <f>IF(ISNA(AI692),NA(),AI692+ROW()/10000000)</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IF(AND($E693=Subj_OccCode,Subj_BldgSF&gt;0,ABS($L693-Subj_BldgSF)&lt;=Subj_BldgSF*Subj_SizeTol),ABS($L693-Subj_BldgSF),NA())</f>
        <v/>
      </c>
      <c r="AJ693">
        <f>IF(ISNA(AI693),NA(),AI693+ROW()/10000000)</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IF(AND($E694=Subj_OccCode,Subj_BldgSF&gt;0,ABS($L694-Subj_BldgSF)&lt;=Subj_BldgSF*Subj_SizeTol),ABS($L694-Subj_BldgSF),NA())</f>
        <v/>
      </c>
      <c r="AJ694">
        <f>IF(ISNA(AI694),NA(),AI694+ROW()/10000000)</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IF(AND($E695=Subj_OccCode,Subj_BldgSF&gt;0,ABS($L695-Subj_BldgSF)&lt;=Subj_BldgSF*Subj_SizeTol),ABS($L695-Subj_BldgSF),NA())</f>
        <v/>
      </c>
      <c r="AJ695">
        <f>IF(ISNA(AI695),NA(),AI695+ROW()/10000000)</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IF(AND($E696=Subj_OccCode,Subj_BldgSF&gt;0,ABS($L696-Subj_BldgSF)&lt;=Subj_BldgSF*Subj_SizeTol),ABS($L696-Subj_BldgSF),NA())</f>
        <v/>
      </c>
      <c r="AJ696">
        <f>IF(ISNA(AI696),NA(),AI696+ROW()/10000000)</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IF(AND($E697=Subj_OccCode,Subj_BldgSF&gt;0,ABS($L697-Subj_BldgSF)&lt;=Subj_BldgSF*Subj_SizeTol),ABS($L697-Subj_BldgSF),NA())</f>
        <v/>
      </c>
      <c r="AJ697">
        <f>IF(ISNA(AI697),NA(),AI697+ROW()/10000000)</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IF(AND($E698=Subj_OccCode,Subj_BldgSF&gt;0,ABS($L698-Subj_BldgSF)&lt;=Subj_BldgSF*Subj_SizeTol),ABS($L698-Subj_BldgSF),NA())</f>
        <v/>
      </c>
      <c r="AJ698">
        <f>IF(ISNA(AI698),NA(),AI698+ROW()/10000000)</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IF(AND($E699=Subj_OccCode,Subj_BldgSF&gt;0,ABS($L699-Subj_BldgSF)&lt;=Subj_BldgSF*Subj_SizeTol),ABS($L699-Subj_BldgSF),NA())</f>
        <v/>
      </c>
      <c r="AJ699">
        <f>IF(ISNA(AI699),NA(),AI699+ROW()/10000000)</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IF(AND($E700=Subj_OccCode,Subj_BldgSF&gt;0,ABS($L700-Subj_BldgSF)&lt;=Subj_BldgSF*Subj_SizeTol),ABS($L700-Subj_BldgSF),NA())</f>
        <v/>
      </c>
      <c r="AJ700">
        <f>IF(ISNA(AI700),NA(),AI700+ROW()/10000000)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IF(AND($E701=Subj_OccCode,Subj_BldgSF&gt;0,ABS($L701-Subj_BldgSF)&lt;=Subj_BldgSF*Subj_SizeTol),ABS($L701-Subj_BldgSF),NA())</f>
        <v/>
      </c>
      <c r="AJ701">
        <f>IF(ISNA(AI701),NA(),AI701+ROW()/10000000)</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IF(AND($E702=Subj_OccCode,Subj_BldgSF&gt;0,ABS($L702-Subj_BldgSF)&lt;=Subj_BldgSF*Subj_SizeTol),ABS($L702-Subj_BldgSF),NA())</f>
        <v/>
      </c>
      <c r="AJ702">
        <f>IF(ISNA(AI702),NA(),AI702+ROW()/10000000)</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IF(AND($E703=Subj_OccCode,Subj_BldgSF&gt;0,ABS($L703-Subj_BldgSF)&lt;=Subj_BldgSF*Subj_SizeTol),ABS($L703-Subj_BldgSF),NA())</f>
        <v/>
      </c>
      <c r="AJ703">
        <f>IF(ISNA(AI703),NA(),AI703+ROW()/10000000)</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IF(AND($E704=Subj_OccCode,Subj_BldgSF&gt;0,ABS($L704-Subj_BldgSF)&lt;=Subj_BldgSF*Subj_SizeTol),ABS($L704-Subj_BldgSF),NA())</f>
        <v/>
      </c>
      <c r="AJ704">
        <f>IF(ISNA(AI704),NA(),AI704+ROW()/10000000)</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IF(AND($E705=Subj_OccCode,Subj_BldgSF&gt;0,ABS($L705-Subj_BldgSF)&lt;=Subj_BldgSF*Subj_SizeTol),ABS($L705-Subj_BldgSF),NA())</f>
        <v/>
      </c>
      <c r="AJ705">
        <f>IF(ISNA(AI705),NA(),AI705+ROW()/10000000)</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IF(AND($E706=Subj_OccCode,Subj_BldgSF&gt;0,ABS($L706-Subj_BldgSF)&lt;=Subj_BldgSF*Subj_SizeTol),ABS($L706-Subj_BldgSF),NA())</f>
        <v/>
      </c>
      <c r="AJ706">
        <f>IF(ISNA(AI706),NA(),AI706+ROW()/10000000)</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IF(AND($E707=Subj_OccCode,Subj_BldgSF&gt;0,ABS($L707-Subj_BldgSF)&lt;=Subj_BldgSF*Subj_SizeTol),ABS($L707-Subj_BldgSF),NA())</f>
        <v/>
      </c>
      <c r="AJ707">
        <f>IF(ISNA(AI707),NA(),AI707+ROW()/10000000)</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IF(AND($E708=Subj_OccCode,Subj_BldgSF&gt;0,ABS($L708-Subj_BldgSF)&lt;=Subj_BldgSF*Subj_SizeTol),ABS($L708-Subj_BldgSF),NA())</f>
        <v/>
      </c>
      <c r="AJ708">
        <f>IF(ISNA(AI708),NA(),AI708+ROW()/10000000)</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IF(AND($E709=Subj_OccCode,Subj_BldgSF&gt;0,ABS($L709-Subj_BldgSF)&lt;=Subj_BldgSF*Subj_SizeTol),ABS($L709-Subj_BldgSF),NA())</f>
        <v/>
      </c>
      <c r="AJ709">
        <f>IF(ISNA(AI709),NA(),AI709+ROW()/10000000)</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IF(AND($E710=Subj_OccCode,Subj_BldgSF&gt;0,ABS($L710-Subj_BldgSF)&lt;=Subj_BldgSF*Subj_SizeTol),ABS($L710-Subj_BldgSF),NA())</f>
        <v/>
      </c>
      <c r="AJ710">
        <f>IF(ISNA(AI710),NA(),AI710+ROW()/10000000)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IF(AND($E711=Subj_OccCode,Subj_BldgSF&gt;0,ABS($L711-Subj_BldgSF)&lt;=Subj_BldgSF*Subj_SizeTol),ABS($L711-Subj_BldgSF),NA())</f>
        <v/>
      </c>
      <c r="AJ711">
        <f>IF(ISNA(AI711),NA(),AI711+ROW()/10000000)</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IF(AND($E712=Subj_OccCode,Subj_BldgSF&gt;0,ABS($L712-Subj_BldgSF)&lt;=Subj_BldgSF*Subj_SizeTol),ABS($L712-Subj_BldgSF),NA())</f>
        <v/>
      </c>
      <c r="AJ712">
        <f>IF(ISNA(AI712),NA(),AI712+ROW()/10000000)</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IF(AND($E713=Subj_OccCode,Subj_BldgSF&gt;0,ABS($L713-Subj_BldgSF)&lt;=Subj_BldgSF*Subj_SizeTol),ABS($L713-Subj_BldgSF),NA())</f>
        <v/>
      </c>
      <c r="AJ713">
        <f>IF(ISNA(AI713),NA(),AI713+ROW()/10000000)</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IF(AND($E714=Subj_OccCode,Subj_BldgSF&gt;0,ABS($L714-Subj_BldgSF)&lt;=Subj_BldgSF*Subj_SizeTol),ABS($L714-Subj_BldgSF),NA())</f>
        <v/>
      </c>
      <c r="AJ714">
        <f>IF(ISNA(AI714),NA(),AI714+ROW()/10000000)</f>
        <v/>
      </c>
    </row>
    <row r="715" ht="15" customHeight="1">
      <c r="A715" s="248" t="n">
        <v>8</v>
      </c>
      <c r="B715" s="245" t="n">
        <v>711</v>
      </c>
      <c r="AI715">
        <f>IF(AND($E715=Subj_OccCode,Subj_BldgSF&gt;0,ABS($L715-Subj_BldgSF)&lt;=Subj_BldgSF*Subj_SizeTol),ABS($L715-Subj_BldgSF),NA())</f>
        <v/>
      </c>
      <c r="AJ715">
        <f>IF(ISNA(AI715),NA(),AI715+ROW()/10000000)</f>
        <v/>
      </c>
    </row>
    <row r="716" ht="15" customHeight="1">
      <c r="A716" s="248" t="n">
        <v>8</v>
      </c>
      <c r="B716" s="245" t="n">
        <v>712</v>
      </c>
      <c r="AI716">
        <f>IF(AND($E716=Subj_OccCode,Subj_BldgSF&gt;0,ABS($L716-Subj_BldgSF)&lt;=Subj_BldgSF*Subj_SizeTol),ABS($L716-Subj_BldgSF),NA())</f>
        <v/>
      </c>
      <c r="AJ716">
        <f>IF(ISNA(AI716),NA(),AI716+ROW()/10000000)</f>
        <v/>
      </c>
    </row>
    <row r="717" ht="15" customHeight="1">
      <c r="A717" s="248" t="n">
        <v>8</v>
      </c>
      <c r="B717" s="245" t="n">
        <v>713</v>
      </c>
      <c r="AI717">
        <f>IF(AND($E717=Subj_OccCode,Subj_BldgSF&gt;0,ABS($L717-Subj_BldgSF)&lt;=Subj_BldgSF*Subj_SizeTol),ABS($L717-Subj_BldgSF),NA())</f>
        <v/>
      </c>
      <c r="AJ717">
        <f>IF(ISNA(AI717),NA(),AI717+ROW()/10000000)</f>
        <v/>
      </c>
    </row>
    <row r="718" ht="15" customHeight="1">
      <c r="A718" s="248" t="n">
        <v>8</v>
      </c>
      <c r="B718" s="245" t="n">
        <v>714</v>
      </c>
      <c r="AI718">
        <f>IF(AND($E718=Subj_OccCode,Subj_BldgSF&gt;0,ABS($L718-Subj_BldgSF)&lt;=Subj_BldgSF*Subj_SizeTol),ABS($L718-Subj_BldgSF),NA())</f>
        <v/>
      </c>
      <c r="AJ718">
        <f>IF(ISNA(AI718),NA(),AI718+ROW()/10000000)</f>
        <v/>
      </c>
    </row>
    <row r="719" ht="15" customHeight="1">
      <c r="A719" s="248" t="n">
        <v>8</v>
      </c>
      <c r="B719" s="245" t="n">
        <v>715</v>
      </c>
      <c r="AI719">
        <f>IF(AND($E719=Subj_OccCode,Subj_BldgSF&gt;0,ABS($L719-Subj_BldgSF)&lt;=Subj_BldgSF*Subj_SizeTol),ABS($L719-Subj_BldgSF),NA())</f>
        <v/>
      </c>
      <c r="AJ719">
        <f>IF(ISNA(AI719),NA(),AI719+ROW()/10000000)</f>
        <v/>
      </c>
    </row>
    <row r="720" ht="15" customHeight="1">
      <c r="A720" s="248" t="n">
        <v>8</v>
      </c>
      <c r="B720" s="245" t="n">
        <v>716</v>
      </c>
      <c r="AI720">
        <f>IF(AND($E720=Subj_OccCode,Subj_BldgSF&gt;0,ABS($L720-Subj_BldgSF)&lt;=Subj_BldgSF*Subj_SizeTol),ABS($L720-Subj_BldgSF),NA())</f>
        <v/>
      </c>
      <c r="AJ720">
        <f>IF(ISNA(AI720),NA(),AI720+ROW()/10000000)</f>
        <v/>
      </c>
    </row>
    <row r="721" ht="15" customHeight="1">
      <c r="A721" s="248" t="n">
        <v>8</v>
      </c>
      <c r="B721" s="245" t="n">
        <v>717</v>
      </c>
      <c r="AI721">
        <f>IF(AND($E721=Subj_OccCode,Subj_BldgSF&gt;0,ABS($L721-Subj_BldgSF)&lt;=Subj_BldgSF*Subj_SizeTol),ABS($L721-Subj_BldgSF),NA())</f>
        <v/>
      </c>
      <c r="AJ721">
        <f>IF(ISNA(AI721),NA(),AI721+ROW()/10000000)</f>
        <v/>
      </c>
    </row>
    <row r="722" ht="15" customHeight="1">
      <c r="A722" s="248" t="n">
        <v>8</v>
      </c>
      <c r="B722" s="245" t="n">
        <v>718</v>
      </c>
      <c r="AI722">
        <f>IF(AND($E722=Subj_OccCode,Subj_BldgSF&gt;0,ABS($L722-Subj_BldgSF)&lt;=Subj_BldgSF*Subj_SizeTol),ABS($L722-Subj_BldgSF),NA())</f>
        <v/>
      </c>
      <c r="AJ722">
        <f>IF(ISNA(AI722),NA(),AI722+ROW()/10000000)</f>
        <v/>
      </c>
    </row>
    <row r="723" ht="15" customHeight="1">
      <c r="A723" s="248" t="n">
        <v>8</v>
      </c>
      <c r="B723" s="245" t="n">
        <v>719</v>
      </c>
      <c r="AI723">
        <f>IF(AND($E723=Subj_OccCode,Subj_BldgSF&gt;0,ABS($L723-Subj_BldgSF)&lt;=Subj_BldgSF*Subj_SizeTol),ABS($L723-Subj_BldgSF),NA())</f>
        <v/>
      </c>
      <c r="AJ723">
        <f>IF(ISNA(AI723),NA(),AI723+ROW()/10000000)</f>
        <v/>
      </c>
    </row>
    <row r="724" ht="15" customHeight="1">
      <c r="A724" s="248" t="n">
        <v>8</v>
      </c>
      <c r="B724" s="245" t="n">
        <v>720</v>
      </c>
      <c r="AI724">
        <f>IF(AND($E724=Subj_OccCode,Subj_BldgSF&gt;0,ABS($L724-Subj_BldgSF)&lt;=Subj_BldgSF*Subj_SizeTol),ABS($L724-Subj_BldgSF),NA())</f>
        <v/>
      </c>
      <c r="AJ724">
        <f>IF(ISNA(AI724),NA(),AI724+ROW()/10000000)</f>
        <v/>
      </c>
    </row>
    <row r="725" ht="15" customHeight="1">
      <c r="A725" s="248" t="n">
        <v>8</v>
      </c>
      <c r="B725" s="245" t="n">
        <v>721</v>
      </c>
      <c r="AI725">
        <f>IF(AND($E725=Subj_OccCode,Subj_BldgSF&gt;0,ABS($L725-Subj_BldgSF)&lt;=Subj_BldgSF*Subj_SizeTol),ABS($L725-Subj_BldgSF),NA())</f>
        <v/>
      </c>
      <c r="AJ725">
        <f>IF(ISNA(AI725),NA(),AI725+ROW()/10000000)</f>
        <v/>
      </c>
    </row>
    <row r="726" ht="15" customHeight="1">
      <c r="A726" s="248" t="n">
        <v>8</v>
      </c>
      <c r="B726" s="245" t="n">
        <v>722</v>
      </c>
      <c r="AI726">
        <f>IF(AND($E726=Subj_OccCode,Subj_BldgSF&gt;0,ABS($L726-Subj_BldgSF)&lt;=Subj_BldgSF*Subj_SizeTol),ABS($L726-Subj_BldgSF),NA())</f>
        <v/>
      </c>
      <c r="AJ726">
        <f>IF(ISNA(AI726),NA(),AI726+ROW()/10000000)</f>
        <v/>
      </c>
    </row>
    <row r="727" ht="15" customHeight="1">
      <c r="A727" s="248" t="n">
        <v>8</v>
      </c>
      <c r="B727" s="245" t="n">
        <v>723</v>
      </c>
      <c r="AI727">
        <f>IF(AND($E727=Subj_OccCode,Subj_BldgSF&gt;0,ABS($L727-Subj_BldgSF)&lt;=Subj_BldgSF*Subj_SizeTol),ABS($L727-Subj_BldgSF),NA())</f>
        <v/>
      </c>
      <c r="AJ727">
        <f>IF(ISNA(AI727),NA(),AI727+ROW()/10000000)</f>
        <v/>
      </c>
    </row>
    <row r="728" ht="15" customHeight="1">
      <c r="A728" s="248" t="n">
        <v>8</v>
      </c>
      <c r="B728" s="245" t="n">
        <v>724</v>
      </c>
      <c r="AI728">
        <f>IF(AND($E728=Subj_OccCode,Subj_BldgSF&gt;0,ABS($L728-Subj_BldgSF)&lt;=Subj_BldgSF*Subj_SizeTol),ABS($L728-Subj_BldgSF),NA())</f>
        <v/>
      </c>
      <c r="AJ728">
        <f>IF(ISNA(AI728),NA(),AI728+ROW()/10000000)</f>
        <v/>
      </c>
    </row>
    <row r="729" ht="15" customHeight="1">
      <c r="A729" s="248" t="n">
        <v>8</v>
      </c>
      <c r="B729" s="245" t="n">
        <v>725</v>
      </c>
      <c r="AI729">
        <f>IF(AND($E729=Subj_OccCode,Subj_BldgSF&gt;0,ABS($L729-Subj_BldgSF)&lt;=Subj_BldgSF*Subj_SizeTol),ABS($L729-Subj_BldgSF),NA())</f>
        <v/>
      </c>
      <c r="AJ729">
        <f>IF(ISNA(AI729),NA(),AI729+ROW()/10000000)</f>
        <v/>
      </c>
    </row>
    <row r="730" ht="15" customHeight="1">
      <c r="A730" s="248" t="n">
        <v>8</v>
      </c>
      <c r="B730" s="245" t="n">
        <v>726</v>
      </c>
      <c r="AI730">
        <f>IF(AND($E730=Subj_OccCode,Subj_BldgSF&gt;0,ABS($L730-Subj_BldgSF)&lt;=Subj_BldgSF*Subj_SizeTol),ABS($L730-Subj_BldgSF),NA())</f>
        <v/>
      </c>
      <c r="AJ730">
        <f>IF(ISNA(AI730),NA(),AI730+ROW()/10000000)</f>
        <v/>
      </c>
    </row>
    <row r="731" ht="15" customHeight="1">
      <c r="A731" s="248" t="n">
        <v>8</v>
      </c>
      <c r="B731" s="245" t="n">
        <v>727</v>
      </c>
      <c r="AI731">
        <f>IF(AND($E731=Subj_OccCode,Subj_BldgSF&gt;0,ABS($L731-Subj_BldgSF)&lt;=Subj_BldgSF*Subj_SizeTol),ABS($L731-Subj_BldgSF),NA())</f>
        <v/>
      </c>
      <c r="AJ731">
        <f>IF(ISNA(AI731),NA(),AI731+ROW()/10000000)</f>
        <v/>
      </c>
    </row>
    <row r="732" ht="15" customHeight="1">
      <c r="A732" s="248" t="n">
        <v>8</v>
      </c>
      <c r="B732" s="245" t="n">
        <v>728</v>
      </c>
      <c r="AI732">
        <f>IF(AND($E732=Subj_OccCode,Subj_BldgSF&gt;0,ABS($L732-Subj_BldgSF)&lt;=Subj_BldgSF*Subj_SizeTol),ABS($L732-Subj_BldgSF),NA())</f>
        <v/>
      </c>
      <c r="AJ732">
        <f>IF(ISNA(AI732),NA(),AI732+ROW()/10000000)</f>
        <v/>
      </c>
    </row>
    <row r="733" ht="15" customHeight="1">
      <c r="A733" s="248" t="n">
        <v>8</v>
      </c>
      <c r="B733" s="245" t="n">
        <v>729</v>
      </c>
      <c r="AI733">
        <f>IF(AND($E733=Subj_OccCode,Subj_BldgSF&gt;0,ABS($L733-Subj_BldgSF)&lt;=Subj_BldgSF*Subj_SizeTol),ABS($L733-Subj_BldgSF),NA())</f>
        <v/>
      </c>
      <c r="AJ733">
        <f>IF(ISNA(AI733),NA(),AI733+ROW()/10000000)</f>
        <v/>
      </c>
    </row>
    <row r="734" ht="15" customHeight="1">
      <c r="A734" s="248" t="n">
        <v>8</v>
      </c>
      <c r="B734" s="245" t="n">
        <v>730</v>
      </c>
      <c r="AI734">
        <f>IF(AND($E734=Subj_OccCode,Subj_BldgSF&gt;0,ABS($L734-Subj_BldgSF)&lt;=Subj_BldgSF*Subj_SizeTol),ABS($L734-Subj_BldgSF),NA())</f>
        <v/>
      </c>
      <c r="AJ734">
        <f>IF(ISNA(AI734),NA(),AI734+ROW()/10000000)</f>
        <v/>
      </c>
    </row>
    <row r="735" ht="15" customHeight="1">
      <c r="A735" s="248" t="n">
        <v>8</v>
      </c>
      <c r="B735" s="245" t="n">
        <v>731</v>
      </c>
      <c r="AI735">
        <f>IF(AND($E735=Subj_OccCode,Subj_BldgSF&gt;0,ABS($L735-Subj_BldgSF)&lt;=Subj_BldgSF*Subj_SizeTol),ABS($L735-Subj_BldgSF),NA())</f>
        <v/>
      </c>
      <c r="AJ735">
        <f>IF(ISNA(AI735),NA(),AI735+ROW()/10000000)</f>
        <v/>
      </c>
    </row>
    <row r="736" ht="15" customHeight="1">
      <c r="A736" s="248" t="n">
        <v>8</v>
      </c>
      <c r="B736" s="245" t="n">
        <v>732</v>
      </c>
      <c r="AI736">
        <f>IF(AND($E736=Subj_OccCode,Subj_BldgSF&gt;0,ABS($L736-Subj_BldgSF)&lt;=Subj_BldgSF*Subj_SizeTol),ABS($L736-Subj_BldgSF),NA())</f>
        <v/>
      </c>
      <c r="AJ736">
        <f>IF(ISNA(AI736),NA(),AI736+ROW()/10000000)</f>
        <v/>
      </c>
    </row>
    <row r="737" ht="15" customHeight="1">
      <c r="A737" s="248" t="n">
        <v>8</v>
      </c>
      <c r="B737" s="245" t="n">
        <v>733</v>
      </c>
      <c r="AI737">
        <f>IF(AND($E737=Subj_OccCode,Subj_BldgSF&gt;0,ABS($L737-Subj_BldgSF)&lt;=Subj_BldgSF*Subj_SizeTol),ABS($L737-Subj_BldgSF),NA())</f>
        <v/>
      </c>
      <c r="AJ737">
        <f>IF(ISNA(AI737),NA(),AI737+ROW()/10000000)</f>
        <v/>
      </c>
    </row>
    <row r="738" ht="15" customHeight="1">
      <c r="A738" s="248" t="n">
        <v>8</v>
      </c>
      <c r="B738" s="245" t="n">
        <v>734</v>
      </c>
      <c r="AI738">
        <f>IF(AND($E738=Subj_OccCode,Subj_BldgSF&gt;0,ABS($L738-Subj_BldgSF)&lt;=Subj_BldgSF*Subj_SizeTol),ABS($L738-Subj_BldgSF),NA())</f>
        <v/>
      </c>
      <c r="AJ738">
        <f>IF(ISNA(AI738),NA(),AI738+ROW()/10000000)</f>
        <v/>
      </c>
    </row>
    <row r="739" ht="15" customHeight="1">
      <c r="A739" s="248" t="n">
        <v>8</v>
      </c>
      <c r="B739" s="245" t="n">
        <v>735</v>
      </c>
      <c r="AI739">
        <f>IF(AND($E739=Subj_OccCode,Subj_BldgSF&gt;0,ABS($L739-Subj_BldgSF)&lt;=Subj_BldgSF*Subj_SizeTol),ABS($L739-Subj_BldgSF),NA())</f>
        <v/>
      </c>
      <c r="AJ739">
        <f>IF(ISNA(AI739),NA(),AI739+ROW()/10000000)</f>
        <v/>
      </c>
    </row>
    <row r="740" ht="15" customHeight="1">
      <c r="A740" s="248" t="n">
        <v>8</v>
      </c>
      <c r="B740" s="245" t="n">
        <v>736</v>
      </c>
      <c r="AI740">
        <f>IF(AND($E740=Subj_OccCode,Subj_BldgSF&gt;0,ABS($L740-Subj_BldgSF)&lt;=Subj_BldgSF*Subj_SizeTol),ABS($L740-Subj_BldgSF),NA())</f>
        <v/>
      </c>
      <c r="AJ740">
        <f>IF(ISNA(AI740),NA(),AI740+ROW()/10000000)</f>
        <v/>
      </c>
    </row>
    <row r="741" ht="15" customHeight="1">
      <c r="A741" s="248" t="n">
        <v>8</v>
      </c>
      <c r="B741" s="245" t="n">
        <v>737</v>
      </c>
      <c r="AI741">
        <f>IF(AND($E741=Subj_OccCode,Subj_BldgSF&gt;0,ABS($L741-Subj_BldgSF)&lt;=Subj_BldgSF*Subj_SizeTol),ABS($L741-Subj_BldgSF),NA())</f>
        <v/>
      </c>
      <c r="AJ741">
        <f>IF(ISNA(AI741),NA(),AI741+ROW()/10000000)</f>
        <v/>
      </c>
    </row>
    <row r="742" ht="15" customHeight="1">
      <c r="A742" s="248" t="n">
        <v>8</v>
      </c>
      <c r="B742" s="245" t="n">
        <v>738</v>
      </c>
      <c r="AI742">
        <f>IF(AND($E742=Subj_OccCode,Subj_BldgSF&gt;0,ABS($L742-Subj_BldgSF)&lt;=Subj_BldgSF*Subj_SizeTol),ABS($L742-Subj_BldgSF),NA())</f>
        <v/>
      </c>
      <c r="AJ742">
        <f>IF(ISNA(AI742),NA(),AI742+ROW()/10000000)</f>
        <v/>
      </c>
    </row>
    <row r="743" ht="15" customHeight="1">
      <c r="A743" s="248" t="n">
        <v>8</v>
      </c>
      <c r="B743" s="245" t="n">
        <v>739</v>
      </c>
      <c r="AI743">
        <f>IF(AND($E743=Subj_OccCode,Subj_BldgSF&gt;0,ABS($L743-Subj_BldgSF)&lt;=Subj_BldgSF*Subj_SizeTol),ABS($L743-Subj_BldgSF),NA())</f>
        <v/>
      </c>
      <c r="AJ743">
        <f>IF(ISNA(AI743),NA(),AI743+ROW()/10000000)</f>
        <v/>
      </c>
    </row>
    <row r="744" ht="15" customHeight="1">
      <c r="A744" s="248" t="n">
        <v>8</v>
      </c>
      <c r="B744" s="245" t="n">
        <v>740</v>
      </c>
      <c r="AI744">
        <f>IF(AND($E744=Subj_OccCode,Subj_BldgSF&gt;0,ABS($L744-Subj_BldgSF)&lt;=Subj_BldgSF*Subj_SizeTol),ABS($L744-Subj_BldgSF),NA())</f>
        <v/>
      </c>
      <c r="AJ744">
        <f>IF(ISNA(AI744),NA(),AI744+ROW()/10000000)</f>
        <v/>
      </c>
    </row>
    <row r="745" ht="15" customHeight="1">
      <c r="A745" s="248" t="n">
        <v>8</v>
      </c>
      <c r="B745" s="245" t="n">
        <v>741</v>
      </c>
      <c r="AI745">
        <f>IF(AND($E745=Subj_OccCode,Subj_BldgSF&gt;0,ABS($L745-Subj_BldgSF)&lt;=Subj_BldgSF*Subj_SizeTol),ABS($L745-Subj_BldgSF),NA())</f>
        <v/>
      </c>
      <c r="AJ745">
        <f>IF(ISNA(AI745),NA(),AI745+ROW()/10000000)</f>
        <v/>
      </c>
    </row>
    <row r="746" ht="15" customHeight="1">
      <c r="A746" s="248" t="n">
        <v>8</v>
      </c>
      <c r="B746" s="245" t="n">
        <v>742</v>
      </c>
      <c r="AI746">
        <f>IF(AND($E746=Subj_OccCode,Subj_BldgSF&gt;0,ABS($L746-Subj_BldgSF)&lt;=Subj_BldgSF*Subj_SizeTol),ABS($L746-Subj_BldgSF),NA())</f>
        <v/>
      </c>
      <c r="AJ746">
        <f>IF(ISNA(AI746),NA(),AI746+ROW()/10000000)</f>
        <v/>
      </c>
    </row>
    <row r="747" ht="15" customHeight="1">
      <c r="A747" s="248" t="n">
        <v>8</v>
      </c>
      <c r="B747" s="245" t="n">
        <v>743</v>
      </c>
      <c r="AI747">
        <f>IF(AND($E747=Subj_OccCode,Subj_BldgSF&gt;0,ABS($L747-Subj_BldgSF)&lt;=Subj_BldgSF*Subj_SizeTol),ABS($L747-Subj_BldgSF),NA())</f>
        <v/>
      </c>
      <c r="AJ747">
        <f>IF(ISNA(AI747),NA(),AI747+ROW()/10000000)</f>
        <v/>
      </c>
    </row>
    <row r="748" ht="15" customHeight="1">
      <c r="A748" s="248" t="n">
        <v>8</v>
      </c>
      <c r="B748" s="245" t="n">
        <v>744</v>
      </c>
      <c r="AI748">
        <f>IF(AND($E748=Subj_OccCode,Subj_BldgSF&gt;0,ABS($L748-Subj_BldgSF)&lt;=Subj_BldgSF*Subj_SizeTol),ABS($L748-Subj_BldgSF),NA())</f>
        <v/>
      </c>
      <c r="AJ748">
        <f>IF(ISNA(AI748),NA(),AI748+ROW()/10000000)</f>
        <v/>
      </c>
    </row>
    <row r="749" ht="15" customHeight="1">
      <c r="A749" s="248" t="n">
        <v>8</v>
      </c>
      <c r="B749" s="245" t="n">
        <v>745</v>
      </c>
      <c r="AI749">
        <f>IF(AND($E749=Subj_OccCode,Subj_BldgSF&gt;0,ABS($L749-Subj_BldgSF)&lt;=Subj_BldgSF*Subj_SizeTol),ABS($L749-Subj_BldgSF),NA())</f>
        <v/>
      </c>
      <c r="AJ749">
        <f>IF(ISNA(AI749),NA(),AI749+ROW()/10000000)</f>
        <v/>
      </c>
    </row>
    <row r="750" ht="15" customHeight="1">
      <c r="A750" s="248" t="n">
        <v>8</v>
      </c>
      <c r="B750" s="245" t="n">
        <v>746</v>
      </c>
      <c r="AI750">
        <f>IF(AND($E750=Subj_OccCode,Subj_BldgSF&gt;0,ABS($L750-Subj_BldgSF)&lt;=Subj_BldgSF*Subj_SizeTol),ABS($L750-Subj_BldgSF),NA())</f>
        <v/>
      </c>
      <c r="AJ750">
        <f>IF(ISNA(AI750),NA(),AI750+ROW()/10000000)</f>
        <v/>
      </c>
    </row>
    <row r="751" ht="15" customHeight="1">
      <c r="A751" s="248" t="n">
        <v>8</v>
      </c>
      <c r="B751" s="245" t="n">
        <v>747</v>
      </c>
      <c r="AI751">
        <f>IF(AND($E751=Subj_OccCode,Subj_BldgSF&gt;0,ABS($L751-Subj_BldgSF)&lt;=Subj_BldgSF*Subj_SizeTol),ABS($L751-Subj_BldgSF),NA())</f>
        <v/>
      </c>
      <c r="AJ751">
        <f>IF(ISNA(AI751),NA(),AI751+ROW()/10000000)</f>
        <v/>
      </c>
    </row>
    <row r="752" ht="15" customHeight="1">
      <c r="A752" s="248" t="n">
        <v>8</v>
      </c>
      <c r="B752" s="245" t="n">
        <v>748</v>
      </c>
      <c r="AI752">
        <f>IF(AND($E752=Subj_OccCode,Subj_BldgSF&gt;0,ABS($L752-Subj_BldgSF)&lt;=Subj_BldgSF*Subj_SizeTol),ABS($L752-Subj_BldgSF),NA())</f>
        <v/>
      </c>
      <c r="AJ752">
        <f>IF(ISNA(AI752),NA(),AI752+ROW()/10000000)</f>
        <v/>
      </c>
    </row>
    <row r="753" ht="15" customHeight="1">
      <c r="A753" s="248" t="n">
        <v>8</v>
      </c>
      <c r="B753" s="245" t="n">
        <v>749</v>
      </c>
      <c r="AI753">
        <f>IF(AND($E753=Subj_OccCode,Subj_BldgSF&gt;0,ABS($L753-Subj_BldgSF)&lt;=Subj_BldgSF*Subj_SizeTol),ABS($L753-Subj_BldgSF),NA())</f>
        <v/>
      </c>
      <c r="AJ753">
        <f>IF(ISNA(AI753),NA(),AI753+ROW()/10000000)</f>
        <v/>
      </c>
    </row>
    <row r="754" ht="15" customHeight="1">
      <c r="A754" s="248" t="n">
        <v>8</v>
      </c>
      <c r="B754" s="245" t="n">
        <v>750</v>
      </c>
      <c r="AI754">
        <f>IF(AND($E754=Subj_OccCode,Subj_BldgSF&gt;0,ABS($L754-Subj_BldgSF)&lt;=Subj_BldgSF*Subj_SizeTol),ABS($L754-Subj_BldgSF),NA())</f>
        <v/>
      </c>
      <c r="AJ754">
        <f>IF(ISNA(AI754),NA(),AI754+ROW()/10000000)</f>
        <v/>
      </c>
    </row>
    <row r="755" ht="15" customHeight="1">
      <c r="A755" s="248" t="n">
        <v>8</v>
      </c>
      <c r="B755" s="245" t="n">
        <v>751</v>
      </c>
      <c r="AI755">
        <f>IF(AND($E755=Subj_OccCode,Subj_BldgSF&gt;0,ABS($L755-Subj_BldgSF)&lt;=Subj_BldgSF*Subj_SizeTol),ABS($L755-Subj_BldgSF),NA())</f>
        <v/>
      </c>
      <c r="AJ755">
        <f>IF(ISNA(AI755),NA(),AI755+ROW()/10000000)</f>
        <v/>
      </c>
    </row>
    <row r="756" ht="15" customHeight="1">
      <c r="A756" s="248" t="n">
        <v>8</v>
      </c>
      <c r="B756" s="245" t="n">
        <v>752</v>
      </c>
      <c r="AI756">
        <f>IF(AND($E756=Subj_OccCode,Subj_BldgSF&gt;0,ABS($L756-Subj_BldgSF)&lt;=Subj_BldgSF*Subj_SizeTol),ABS($L756-Subj_BldgSF),NA())</f>
        <v/>
      </c>
      <c r="AJ756">
        <f>IF(ISNA(AI756),NA(),AI756+ROW()/10000000)</f>
        <v/>
      </c>
    </row>
    <row r="757" ht="15" customHeight="1">
      <c r="A757" s="248" t="n">
        <v>8</v>
      </c>
      <c r="B757" s="245" t="n">
        <v>753</v>
      </c>
      <c r="AI757">
        <f>IF(AND($E757=Subj_OccCode,Subj_BldgSF&gt;0,ABS($L757-Subj_BldgSF)&lt;=Subj_BldgSF*Subj_SizeTol),ABS($L757-Subj_BldgSF),NA())</f>
        <v/>
      </c>
      <c r="AJ757">
        <f>IF(ISNA(AI757),NA(),AI757+ROW()/10000000)</f>
        <v/>
      </c>
    </row>
    <row r="758" ht="15" customHeight="1">
      <c r="A758" s="248" t="n">
        <v>8</v>
      </c>
      <c r="B758" s="245" t="n">
        <v>754</v>
      </c>
      <c r="AI758">
        <f>IF(AND($E758=Subj_OccCode,Subj_BldgSF&gt;0,ABS($L758-Subj_BldgSF)&lt;=Subj_BldgSF*Subj_SizeTol),ABS($L758-Subj_BldgSF),NA())</f>
        <v/>
      </c>
      <c r="AJ758">
        <f>IF(ISNA(AI758),NA(),AI758+ROW()/10000000)</f>
        <v/>
      </c>
    </row>
    <row r="759" ht="15" customHeight="1">
      <c r="A759" s="248" t="n">
        <v>8</v>
      </c>
      <c r="B759" s="245" t="n">
        <v>755</v>
      </c>
      <c r="AI759">
        <f>IF(AND($E759=Subj_OccCode,Subj_BldgSF&gt;0,ABS($L759-Subj_BldgSF)&lt;=Subj_BldgSF*Subj_SizeTol),ABS($L759-Subj_BldgSF),NA())</f>
        <v/>
      </c>
      <c r="AJ759">
        <f>IF(ISNA(AI759),NA(),AI759+ROW()/10000000)</f>
        <v/>
      </c>
    </row>
    <row r="760" ht="15" customHeight="1">
      <c r="A760" s="248" t="n">
        <v>8</v>
      </c>
      <c r="B760" s="245" t="n">
        <v>756</v>
      </c>
      <c r="AI760">
        <f>IF(AND($E760=Subj_OccCode,Subj_BldgSF&gt;0,ABS($L760-Subj_BldgSF)&lt;=Subj_BldgSF*Subj_SizeTol),ABS($L760-Subj_BldgSF),NA())</f>
        <v/>
      </c>
      <c r="AJ760">
        <f>IF(ISNA(AI760),NA(),AI760+ROW()/10000000)</f>
        <v/>
      </c>
    </row>
    <row r="761" ht="15" customHeight="1">
      <c r="A761" s="248" t="n">
        <v>8</v>
      </c>
      <c r="B761" s="245" t="n">
        <v>757</v>
      </c>
      <c r="AI761">
        <f>IF(AND($E761=Subj_OccCode,Subj_BldgSF&gt;0,ABS($L761-Subj_BldgSF)&lt;=Subj_BldgSF*Subj_SizeTol),ABS($L761-Subj_BldgSF),NA())</f>
        <v/>
      </c>
      <c r="AJ761">
        <f>IF(ISNA(AI761),NA(),AI761+ROW()/10000000)</f>
        <v/>
      </c>
    </row>
    <row r="762" ht="15" customHeight="1">
      <c r="A762" s="248" t="n">
        <v>8</v>
      </c>
      <c r="B762" s="245" t="n">
        <v>758</v>
      </c>
      <c r="AI762">
        <f>IF(AND($E762=Subj_OccCode,Subj_BldgSF&gt;0,ABS($L762-Subj_BldgSF)&lt;=Subj_BldgSF*Subj_SizeTol),ABS($L762-Subj_BldgSF),NA())</f>
        <v/>
      </c>
      <c r="AJ762">
        <f>IF(ISNA(AI762),NA(),AI762+ROW()/10000000)</f>
        <v/>
      </c>
    </row>
    <row r="763" ht="15" customHeight="1">
      <c r="A763" s="248" t="n">
        <v>8</v>
      </c>
      <c r="B763" s="245" t="n">
        <v>759</v>
      </c>
      <c r="AI763">
        <f>IF(AND($E763=Subj_OccCode,Subj_BldgSF&gt;0,ABS($L763-Subj_BldgSF)&lt;=Subj_BldgSF*Subj_SizeTol),ABS($L763-Subj_BldgSF),NA())</f>
        <v/>
      </c>
      <c r="AJ763">
        <f>IF(ISNA(AI763),NA(),AI763+ROW()/10000000)</f>
        <v/>
      </c>
    </row>
    <row r="764" ht="15" customHeight="1">
      <c r="A764" s="248" t="n">
        <v>8</v>
      </c>
      <c r="B764" s="245" t="n">
        <v>760</v>
      </c>
      <c r="AI764">
        <f>IF(AND($E764=Subj_OccCode,Subj_BldgSF&gt;0,ABS($L764-Subj_BldgSF)&lt;=Subj_BldgSF*Subj_SizeTol),ABS($L764-Subj_BldgSF),NA())</f>
        <v/>
      </c>
      <c r="AJ764">
        <f>IF(ISNA(AI764),NA(),AI764+ROW()/10000000)</f>
        <v/>
      </c>
    </row>
    <row r="765" ht="15" customHeight="1">
      <c r="A765" s="248" t="n">
        <v>8</v>
      </c>
      <c r="B765" s="245" t="n">
        <v>761</v>
      </c>
      <c r="AI765">
        <f>IF(AND($E765=Subj_OccCode,Subj_BldgSF&gt;0,ABS($L765-Subj_BldgSF)&lt;=Subj_BldgSF*Subj_SizeTol),ABS($L765-Subj_BldgSF),NA())</f>
        <v/>
      </c>
      <c r="AJ765">
        <f>IF(ISNA(AI765),NA(),AI765+ROW()/10000000)</f>
        <v/>
      </c>
    </row>
    <row r="766" ht="15" customHeight="1">
      <c r="A766" s="248" t="n">
        <v>8</v>
      </c>
      <c r="B766" s="245" t="n">
        <v>762</v>
      </c>
      <c r="AI766">
        <f>IF(AND($E766=Subj_OccCode,Subj_BldgSF&gt;0,ABS($L766-Subj_BldgSF)&lt;=Subj_BldgSF*Subj_SizeTol),ABS($L766-Subj_BldgSF),NA())</f>
        <v/>
      </c>
      <c r="AJ766">
        <f>IF(ISNA(AI766),NA(),AI766+ROW()/10000000)</f>
        <v/>
      </c>
    </row>
    <row r="767" ht="15" customHeight="1">
      <c r="A767" s="248" t="n">
        <v>8</v>
      </c>
      <c r="B767" s="245" t="n">
        <v>763</v>
      </c>
      <c r="AI767">
        <f>IF(AND($E767=Subj_OccCode,Subj_BldgSF&gt;0,ABS($L767-Subj_BldgSF)&lt;=Subj_BldgSF*Subj_SizeTol),ABS($L767-Subj_BldgSF),NA())</f>
        <v/>
      </c>
      <c r="AJ767">
        <f>IF(ISNA(AI767),NA(),AI767+ROW()/10000000)</f>
        <v/>
      </c>
    </row>
    <row r="768" ht="15" customHeight="1">
      <c r="A768" s="248" t="n">
        <v>8</v>
      </c>
      <c r="B768" s="245" t="n">
        <v>764</v>
      </c>
      <c r="AI768">
        <f>IF(AND($E768=Subj_OccCode,Subj_BldgSF&gt;0,ABS($L768-Subj_BldgSF)&lt;=Subj_BldgSF*Subj_SizeTol),ABS($L768-Subj_BldgSF),NA())</f>
        <v/>
      </c>
      <c r="AJ768">
        <f>IF(ISNA(AI768),NA(),AI768+ROW()/10000000)</f>
        <v/>
      </c>
    </row>
    <row r="769" ht="15" customHeight="1">
      <c r="A769" s="248" t="n">
        <v>8</v>
      </c>
      <c r="B769" s="245" t="n">
        <v>765</v>
      </c>
      <c r="AI769">
        <f>IF(AND($E769=Subj_OccCode,Subj_BldgSF&gt;0,ABS($L769-Subj_BldgSF)&lt;=Subj_BldgSF*Subj_SizeTol),ABS($L769-Subj_BldgSF),NA())</f>
        <v/>
      </c>
      <c r="AJ769">
        <f>IF(ISNA(AI769),NA(),AI769+ROW()/10000000)</f>
        <v/>
      </c>
    </row>
    <row r="770" ht="15" customHeight="1">
      <c r="A770" s="248" t="n">
        <v>8</v>
      </c>
      <c r="B770" s="245" t="n">
        <v>766</v>
      </c>
      <c r="AI770">
        <f>IF(AND($E770=Subj_OccCode,Subj_BldgSF&gt;0,ABS($L770-Subj_BldgSF)&lt;=Subj_BldgSF*Subj_SizeTol),ABS($L770-Subj_BldgSF),NA())</f>
        <v/>
      </c>
      <c r="AJ770">
        <f>IF(ISNA(AI770),NA(),AI770+ROW()/10000000)</f>
        <v/>
      </c>
    </row>
    <row r="771" ht="15" customHeight="1">
      <c r="A771" s="248" t="n">
        <v>8</v>
      </c>
      <c r="B771" s="245" t="n">
        <v>767</v>
      </c>
      <c r="AI771">
        <f>IF(AND($E771=Subj_OccCode,Subj_BldgSF&gt;0,ABS($L771-Subj_BldgSF)&lt;=Subj_BldgSF*Subj_SizeTol),ABS($L771-Subj_BldgSF),NA())</f>
        <v/>
      </c>
      <c r="AJ771">
        <f>IF(ISNA(AI771),NA(),AI771+ROW()/10000000)</f>
        <v/>
      </c>
    </row>
    <row r="772" ht="15" customHeight="1">
      <c r="A772" s="248" t="n">
        <v>8</v>
      </c>
      <c r="B772" s="245" t="n">
        <v>768</v>
      </c>
      <c r="AI772">
        <f>IF(AND($E772=Subj_OccCode,Subj_BldgSF&gt;0,ABS($L772-Subj_BldgSF)&lt;=Subj_BldgSF*Subj_SizeTol),ABS($L772-Subj_BldgSF),NA())</f>
        <v/>
      </c>
      <c r="AJ772">
        <f>IF(ISNA(AI772),NA(),AI772+ROW()/10000000)</f>
        <v/>
      </c>
    </row>
    <row r="773" ht="15" customHeight="1">
      <c r="A773" s="248" t="n">
        <v>8</v>
      </c>
      <c r="B773" s="245" t="n">
        <v>769</v>
      </c>
      <c r="AI773">
        <f>IF(AND($E773=Subj_OccCode,Subj_BldgSF&gt;0,ABS($L773-Subj_BldgSF)&lt;=Subj_BldgSF*Subj_SizeTol),ABS($L773-Subj_BldgSF),NA())</f>
        <v/>
      </c>
      <c r="AJ773">
        <f>IF(ISNA(AI773),NA(),AI773+ROW()/10000000)</f>
        <v/>
      </c>
    </row>
    <row r="774" ht="15" customHeight="1">
      <c r="A774" s="248" t="n">
        <v>8</v>
      </c>
      <c r="B774" s="245" t="n">
        <v>770</v>
      </c>
      <c r="AI774">
        <f>IF(AND($E774=Subj_OccCode,Subj_BldgSF&gt;0,ABS($L774-Subj_BldgSF)&lt;=Subj_BldgSF*Subj_SizeTol),ABS($L774-Subj_BldgSF),NA())</f>
        <v/>
      </c>
      <c r="AJ774">
        <f>IF(ISNA(AI774),NA(),AI774+ROW()/10000000)</f>
        <v/>
      </c>
    </row>
    <row r="775" ht="15" customHeight="1">
      <c r="A775" s="248" t="n">
        <v>8</v>
      </c>
      <c r="B775" s="245" t="n">
        <v>771</v>
      </c>
      <c r="AI775">
        <f>IF(AND($E775=Subj_OccCode,Subj_BldgSF&gt;0,ABS($L775-Subj_BldgSF)&lt;=Subj_BldgSF*Subj_SizeTol),ABS($L775-Subj_BldgSF),NA())</f>
        <v/>
      </c>
      <c r="AJ775">
        <f>IF(ISNA(AI775),NA(),AI775+ROW()/10000000)</f>
        <v/>
      </c>
    </row>
    <row r="776" ht="15" customHeight="1">
      <c r="A776" s="248" t="n">
        <v>8</v>
      </c>
      <c r="B776" s="245" t="n">
        <v>772</v>
      </c>
      <c r="AI776">
        <f>IF(AND($E776=Subj_OccCode,Subj_BldgSF&gt;0,ABS($L776-Subj_BldgSF)&lt;=Subj_BldgSF*Subj_SizeTol),ABS($L776-Subj_BldgSF),NA())</f>
        <v/>
      </c>
      <c r="AJ776">
        <f>IF(ISNA(AI776),NA(),AI776+ROW()/10000000)</f>
        <v/>
      </c>
    </row>
    <row r="777" ht="15" customHeight="1">
      <c r="A777" s="248" t="n">
        <v>8</v>
      </c>
      <c r="B777" s="245" t="n">
        <v>773</v>
      </c>
      <c r="AI777">
        <f>IF(AND($E777=Subj_OccCode,Subj_BldgSF&gt;0,ABS($L777-Subj_BldgSF)&lt;=Subj_BldgSF*Subj_SizeTol),ABS($L777-Subj_BldgSF),NA())</f>
        <v/>
      </c>
      <c r="AJ777">
        <f>IF(ISNA(AI777),NA(),AI777+ROW()/10000000)</f>
        <v/>
      </c>
    </row>
    <row r="778" ht="15" customHeight="1">
      <c r="A778" s="248" t="n">
        <v>8</v>
      </c>
      <c r="B778" s="245" t="n">
        <v>774</v>
      </c>
      <c r="AI778">
        <f>IF(AND($E778=Subj_OccCode,Subj_BldgSF&gt;0,ABS($L778-Subj_BldgSF)&lt;=Subj_BldgSF*Subj_SizeTol),ABS($L778-Subj_BldgSF),NA())</f>
        <v/>
      </c>
      <c r="AJ778">
        <f>IF(ISNA(AI778),NA(),AI778+ROW()/10000000)</f>
        <v/>
      </c>
    </row>
    <row r="779" ht="15" customHeight="1">
      <c r="A779" s="248" t="n">
        <v>8</v>
      </c>
      <c r="B779" s="245" t="n">
        <v>775</v>
      </c>
      <c r="AI779">
        <f>IF(AND($E779=Subj_OccCode,Subj_BldgSF&gt;0,ABS($L779-Subj_BldgSF)&lt;=Subj_BldgSF*Subj_SizeTol),ABS($L779-Subj_BldgSF),NA())</f>
        <v/>
      </c>
      <c r="AJ779">
        <f>IF(ISNA(AI779),NA(),AI779+ROW()/10000000)</f>
        <v/>
      </c>
    </row>
    <row r="780" ht="15" customHeight="1">
      <c r="A780" s="248" t="n">
        <v>8</v>
      </c>
      <c r="B780" s="245" t="n">
        <v>776</v>
      </c>
      <c r="AI780">
        <f>IF(AND($E780=Subj_OccCode,Subj_BldgSF&gt;0,ABS($L780-Subj_BldgSF)&lt;=Subj_BldgSF*Subj_SizeTol),ABS($L780-Subj_BldgSF),NA())</f>
        <v/>
      </c>
      <c r="AJ780">
        <f>IF(ISNA(AI780),NA(),AI780+ROW()/10000000)</f>
        <v/>
      </c>
    </row>
    <row r="781" ht="15" customHeight="1">
      <c r="A781" s="248" t="n">
        <v>8</v>
      </c>
      <c r="B781" s="245" t="n">
        <v>777</v>
      </c>
      <c r="AI781">
        <f>IF(AND($E781=Subj_OccCode,Subj_BldgSF&gt;0,ABS($L781-Subj_BldgSF)&lt;=Subj_BldgSF*Subj_SizeTol),ABS($L781-Subj_BldgSF),NA())</f>
        <v/>
      </c>
      <c r="AJ781">
        <f>IF(ISNA(AI781),NA(),AI781+ROW()/10000000)</f>
        <v/>
      </c>
    </row>
    <row r="782" ht="15" customHeight="1">
      <c r="A782" s="248" t="n">
        <v>8</v>
      </c>
      <c r="B782" s="245" t="n">
        <v>778</v>
      </c>
      <c r="AI782">
        <f>IF(AND($E782=Subj_OccCode,Subj_BldgSF&gt;0,ABS($L782-Subj_BldgSF)&lt;=Subj_BldgSF*Subj_SizeTol),ABS($L782-Subj_BldgSF),NA())</f>
        <v/>
      </c>
      <c r="AJ782">
        <f>IF(ISNA(AI782),NA(),AI782+ROW()/10000000)</f>
        <v/>
      </c>
    </row>
    <row r="783" ht="15" customHeight="1">
      <c r="A783" s="248" t="n">
        <v>8</v>
      </c>
      <c r="B783" s="245" t="n">
        <v>779</v>
      </c>
      <c r="AI783">
        <f>IF(AND($E783=Subj_OccCode,Subj_BldgSF&gt;0,ABS($L783-Subj_BldgSF)&lt;=Subj_BldgSF*Subj_SizeTol),ABS($L783-Subj_BldgSF),NA())</f>
        <v/>
      </c>
      <c r="AJ783">
        <f>IF(ISNA(AI783),NA(),AI783+ROW()/10000000)</f>
        <v/>
      </c>
    </row>
    <row r="784" ht="15" customHeight="1">
      <c r="A784" s="248" t="n">
        <v>8</v>
      </c>
      <c r="B784" s="245" t="n">
        <v>780</v>
      </c>
      <c r="AI784">
        <f>IF(AND($E784=Subj_OccCode,Subj_BldgSF&gt;0,ABS($L784-Subj_BldgSF)&lt;=Subj_BldgSF*Subj_SizeTol),ABS($L784-Subj_BldgSF),NA())</f>
        <v/>
      </c>
      <c r="AJ784">
        <f>IF(ISNA(AI784),NA(),AI784+ROW()/10000000)</f>
        <v/>
      </c>
    </row>
    <row r="785" ht="15" customHeight="1">
      <c r="A785" s="248" t="n">
        <v>8</v>
      </c>
      <c r="B785" s="245" t="n">
        <v>781</v>
      </c>
      <c r="AI785">
        <f>IF(AND($E785=Subj_OccCode,Subj_BldgSF&gt;0,ABS($L785-Subj_BldgSF)&lt;=Subj_BldgSF*Subj_SizeTol),ABS($L785-Subj_BldgSF),NA())</f>
        <v/>
      </c>
      <c r="AJ785">
        <f>IF(ISNA(AI785),NA(),AI785+ROW()/10000000)</f>
        <v/>
      </c>
    </row>
    <row r="786" ht="15" customHeight="1">
      <c r="A786" s="248" t="n">
        <v>8</v>
      </c>
      <c r="B786" s="245" t="n">
        <v>782</v>
      </c>
      <c r="AI786">
        <f>IF(AND($E786=Subj_OccCode,Subj_BldgSF&gt;0,ABS($L786-Subj_BldgSF)&lt;=Subj_BldgSF*Subj_SizeTol),ABS($L786-Subj_BldgSF),NA())</f>
        <v/>
      </c>
      <c r="AJ786">
        <f>IF(ISNA(AI786),NA(),AI786+ROW()/10000000)</f>
        <v/>
      </c>
    </row>
    <row r="787" ht="15" customHeight="1">
      <c r="A787" s="248" t="n">
        <v>8</v>
      </c>
      <c r="B787" s="245" t="n">
        <v>783</v>
      </c>
      <c r="AI787">
        <f>IF(AND($E787=Subj_OccCode,Subj_BldgSF&gt;0,ABS($L787-Subj_BldgSF)&lt;=Subj_BldgSF*Subj_SizeTol),ABS($L787-Subj_BldgSF),NA())</f>
        <v/>
      </c>
      <c r="AJ787">
        <f>IF(ISNA(AI787),NA(),AI787+ROW()/10000000)</f>
        <v/>
      </c>
    </row>
    <row r="788" ht="15" customHeight="1">
      <c r="A788" s="248" t="n">
        <v>8</v>
      </c>
      <c r="B788" s="245" t="n">
        <v>784</v>
      </c>
      <c r="AI788">
        <f>IF(AND($E788=Subj_OccCode,Subj_BldgSF&gt;0,ABS($L788-Subj_BldgSF)&lt;=Subj_BldgSF*Subj_SizeTol),ABS($L788-Subj_BldgSF),NA())</f>
        <v/>
      </c>
      <c r="AJ788">
        <f>IF(ISNA(AI788),NA(),AI788+ROW()/10000000)</f>
        <v/>
      </c>
    </row>
    <row r="789" ht="15" customHeight="1">
      <c r="A789" s="248" t="n">
        <v>8</v>
      </c>
      <c r="B789" s="245" t="n">
        <v>785</v>
      </c>
      <c r="AI789">
        <f>IF(AND($E789=Subj_OccCode,Subj_BldgSF&gt;0,ABS($L789-Subj_BldgSF)&lt;=Subj_BldgSF*Subj_SizeTol),ABS($L789-Subj_BldgSF),NA())</f>
        <v/>
      </c>
      <c r="AJ789">
        <f>IF(ISNA(AI789),NA(),AI789+ROW()/10000000)</f>
        <v/>
      </c>
    </row>
    <row r="790" ht="15" customHeight="1">
      <c r="A790" s="248" t="n">
        <v>8</v>
      </c>
      <c r="B790" s="245" t="n">
        <v>786</v>
      </c>
      <c r="AI790">
        <f>IF(AND($E790=Subj_OccCode,Subj_BldgSF&gt;0,ABS($L790-Subj_BldgSF)&lt;=Subj_BldgSF*Subj_SizeTol),ABS($L790-Subj_BldgSF),NA())</f>
        <v/>
      </c>
      <c r="AJ790">
        <f>IF(ISNA(AI790),NA(),AI790+ROW()/10000000)</f>
        <v/>
      </c>
    </row>
    <row r="791" ht="15" customHeight="1">
      <c r="A791" s="248" t="n">
        <v>8</v>
      </c>
      <c r="B791" s="245" t="n">
        <v>787</v>
      </c>
      <c r="AI791">
        <f>IF(AND($E791=Subj_OccCode,Subj_BldgSF&gt;0,ABS($L791-Subj_BldgSF)&lt;=Subj_BldgSF*Subj_SizeTol),ABS($L791-Subj_BldgSF),NA())</f>
        <v/>
      </c>
      <c r="AJ791">
        <f>IF(ISNA(AI791),NA(),AI791+ROW()/10000000)</f>
        <v/>
      </c>
    </row>
    <row r="792" ht="15" customHeight="1">
      <c r="A792" s="248" t="n">
        <v>8</v>
      </c>
      <c r="B792" s="245" t="n">
        <v>788</v>
      </c>
      <c r="AI792">
        <f>IF(AND($E792=Subj_OccCode,Subj_BldgSF&gt;0,ABS($L792-Subj_BldgSF)&lt;=Subj_BldgSF*Subj_SizeTol),ABS($L792-Subj_BldgSF),NA())</f>
        <v/>
      </c>
      <c r="AJ792">
        <f>IF(ISNA(AI792),NA(),AI792+ROW()/10000000)</f>
        <v/>
      </c>
    </row>
    <row r="793" ht="15" customHeight="1">
      <c r="A793" s="248" t="n">
        <v>8</v>
      </c>
      <c r="B793" s="245" t="n">
        <v>789</v>
      </c>
      <c r="AI793">
        <f>IF(AND($E793=Subj_OccCode,Subj_BldgSF&gt;0,ABS($L793-Subj_BldgSF)&lt;=Subj_BldgSF*Subj_SizeTol),ABS($L793-Subj_BldgSF),NA())</f>
        <v/>
      </c>
      <c r="AJ793">
        <f>IF(ISNA(AI793),NA(),AI793+ROW()/10000000)</f>
        <v/>
      </c>
    </row>
    <row r="794" ht="15" customHeight="1">
      <c r="A794" s="248" t="n">
        <v>8</v>
      </c>
      <c r="B794" s="245" t="n">
        <v>790</v>
      </c>
      <c r="AI794">
        <f>IF(AND($E794=Subj_OccCode,Subj_BldgSF&gt;0,ABS($L794-Subj_BldgSF)&lt;=Subj_BldgSF*Subj_SizeTol),ABS($L794-Subj_BldgSF),NA())</f>
        <v/>
      </c>
      <c r="AJ794">
        <f>IF(ISNA(AI794),NA(),AI794+ROW()/10000000)</f>
        <v/>
      </c>
    </row>
    <row r="795" ht="15" customHeight="1">
      <c r="A795" s="248" t="n">
        <v>8</v>
      </c>
      <c r="B795" s="245" t="n">
        <v>791</v>
      </c>
      <c r="AI795">
        <f>IF(AND($E795=Subj_OccCode,Subj_BldgSF&gt;0,ABS($L795-Subj_BldgSF)&lt;=Subj_BldgSF*Subj_SizeTol),ABS($L795-Subj_BldgSF),NA())</f>
        <v/>
      </c>
      <c r="AJ795">
        <f>IF(ISNA(AI795),NA(),AI795+ROW()/10000000)</f>
        <v/>
      </c>
    </row>
    <row r="796" ht="15" customHeight="1">
      <c r="A796" s="248" t="n">
        <v>8</v>
      </c>
      <c r="B796" s="245" t="n">
        <v>792</v>
      </c>
      <c r="AI796">
        <f>IF(AND($E796=Subj_OccCode,Subj_BldgSF&gt;0,ABS($L796-Subj_BldgSF)&lt;=Subj_BldgSF*Subj_SizeTol),ABS($L796-Subj_BldgSF),NA())</f>
        <v/>
      </c>
      <c r="AJ796">
        <f>IF(ISNA(AI796),NA(),AI796+ROW()/10000000)</f>
        <v/>
      </c>
    </row>
    <row r="797" ht="15" customHeight="1">
      <c r="A797" s="248" t="n">
        <v>8</v>
      </c>
      <c r="B797" s="245" t="n">
        <v>793</v>
      </c>
      <c r="AI797">
        <f>IF(AND($E797=Subj_OccCode,Subj_BldgSF&gt;0,ABS($L797-Subj_BldgSF)&lt;=Subj_BldgSF*Subj_SizeTol),ABS($L797-Subj_BldgSF),NA())</f>
        <v/>
      </c>
      <c r="AJ797">
        <f>IF(ISNA(AI797),NA(),AI797+ROW()/10000000)</f>
        <v/>
      </c>
    </row>
    <row r="798" ht="15" customHeight="1">
      <c r="A798" s="248" t="n">
        <v>8</v>
      </c>
      <c r="B798" s="245" t="n">
        <v>794</v>
      </c>
      <c r="AI798">
        <f>IF(AND($E798=Subj_OccCode,Subj_BldgSF&gt;0,ABS($L798-Subj_BldgSF)&lt;=Subj_BldgSF*Subj_SizeTol),ABS($L798-Subj_BldgSF),NA())</f>
        <v/>
      </c>
      <c r="AJ798">
        <f>IF(ISNA(AI798),NA(),AI798+ROW()/10000000)</f>
        <v/>
      </c>
    </row>
    <row r="799" ht="15" customHeight="1">
      <c r="A799" s="248" t="n">
        <v>8</v>
      </c>
      <c r="B799" s="245" t="n">
        <v>795</v>
      </c>
      <c r="AI799">
        <f>IF(AND($E799=Subj_OccCode,Subj_BldgSF&gt;0,ABS($L799-Subj_BldgSF)&lt;=Subj_BldgSF*Subj_SizeTol),ABS($L799-Subj_BldgSF),NA())</f>
        <v/>
      </c>
      <c r="AJ799">
        <f>IF(ISNA(AI799),NA(),AI799+ROW()/10000000)</f>
        <v/>
      </c>
    </row>
    <row r="800" ht="15" customHeight="1">
      <c r="A800" s="248" t="n">
        <v>8</v>
      </c>
      <c r="B800" s="245" t="n">
        <v>796</v>
      </c>
      <c r="AI800">
        <f>IF(AND($E800=Subj_OccCode,Subj_BldgSF&gt;0,ABS($L800-Subj_BldgSF)&lt;=Subj_BldgSF*Subj_SizeTol),ABS($L800-Subj_BldgSF),NA())</f>
        <v/>
      </c>
      <c r="AJ800">
        <f>IF(ISNA(AI800),NA(),AI800+ROW()/10000000)</f>
        <v/>
      </c>
    </row>
    <row r="801" ht="15" customHeight="1">
      <c r="A801" s="248" t="n">
        <v>8</v>
      </c>
      <c r="B801" s="245" t="n">
        <v>797</v>
      </c>
      <c r="AI801">
        <f>IF(AND($E801=Subj_OccCode,Subj_BldgSF&gt;0,ABS($L801-Subj_BldgSF)&lt;=Subj_BldgSF*Subj_SizeTol),ABS($L801-Subj_BldgSF),NA())</f>
        <v/>
      </c>
      <c r="AJ801">
        <f>IF(ISNA(AI801),NA(),AI801+ROW()/10000000)</f>
        <v/>
      </c>
    </row>
    <row r="802" ht="15" customHeight="1">
      <c r="A802" s="248" t="n">
        <v>8</v>
      </c>
      <c r="B802" s="245" t="n">
        <v>798</v>
      </c>
      <c r="AI802">
        <f>IF(AND($E802=Subj_OccCode,Subj_BldgSF&gt;0,ABS($L802-Subj_BldgSF)&lt;=Subj_BldgSF*Subj_SizeTol),ABS($L802-Subj_BldgSF),NA())</f>
        <v/>
      </c>
      <c r="AJ802">
        <f>IF(ISNA(AI802),NA(),AI802+ROW()/10000000)</f>
        <v/>
      </c>
    </row>
    <row r="803" ht="15" customHeight="1">
      <c r="A803" s="248" t="n">
        <v>8</v>
      </c>
      <c r="B803" s="245" t="n">
        <v>799</v>
      </c>
      <c r="AI803">
        <f>IF(AND($E803=Subj_OccCode,Subj_BldgSF&gt;0,ABS($L803-Subj_BldgSF)&lt;=Subj_BldgSF*Subj_SizeTol),ABS($L803-Subj_BldgSF),NA())</f>
        <v/>
      </c>
      <c r="AJ803">
        <f>IF(ISNA(AI803),NA(),AI803+ROW()/10000000)</f>
        <v/>
      </c>
    </row>
    <row r="804" ht="15" customHeight="1">
      <c r="A804" s="248" t="n">
        <v>8</v>
      </c>
      <c r="B804" s="245" t="n">
        <v>800</v>
      </c>
      <c r="AI804">
        <f>IF(AND($E804=Subj_OccCode,Subj_BldgSF&gt;0,ABS($L804-Subj_BldgSF)&lt;=Subj_BldgSF*Subj_SizeTol),ABS($L804-Subj_BldgSF),NA())</f>
        <v/>
      </c>
      <c r="AJ804">
        <f>IF(ISNA(AI804),NA(),AI804+ROW()/10000000)</f>
        <v/>
      </c>
    </row>
    <row r="805" ht="15" customHeight="1">
      <c r="A805" s="248" t="n">
        <v>8</v>
      </c>
      <c r="B805" s="245" t="n">
        <v>801</v>
      </c>
      <c r="AI805">
        <f>IF(AND($E805=Subj_OccCode,Subj_BldgSF&gt;0,ABS($L805-Subj_BldgSF)&lt;=Subj_BldgSF*Subj_SizeTol),ABS($L805-Subj_BldgSF),NA())</f>
        <v/>
      </c>
      <c r="AJ805">
        <f>IF(ISNA(AI805),NA(),AI805+ROW()/10000000)</f>
        <v/>
      </c>
    </row>
    <row r="806" ht="15" customHeight="1">
      <c r="A806" s="248" t="n">
        <v>8</v>
      </c>
      <c r="B806" s="245" t="n">
        <v>802</v>
      </c>
      <c r="AI806">
        <f>IF(AND($E806=Subj_OccCode,Subj_BldgSF&gt;0,ABS($L806-Subj_BldgSF)&lt;=Subj_BldgSF*Subj_SizeTol),ABS($L806-Subj_BldgSF),NA())</f>
        <v/>
      </c>
      <c r="AJ806">
        <f>IF(ISNA(AI806),NA(),AI806+ROW()/10000000)</f>
        <v/>
      </c>
    </row>
    <row r="807" ht="15" customHeight="1">
      <c r="A807" s="248" t="n">
        <v>8</v>
      </c>
      <c r="B807" s="245" t="n">
        <v>803</v>
      </c>
      <c r="AI807">
        <f>IF(AND($E807=Subj_OccCode,Subj_BldgSF&gt;0,ABS($L807-Subj_BldgSF)&lt;=Subj_BldgSF*Subj_SizeTol),ABS($L807-Subj_BldgSF),NA())</f>
        <v/>
      </c>
      <c r="AJ807">
        <f>IF(ISNA(AI807),NA(),AI807+ROW()/10000000)</f>
        <v/>
      </c>
    </row>
    <row r="808" ht="15" customHeight="1">
      <c r="A808" s="248" t="n">
        <v>8</v>
      </c>
      <c r="B808" s="245" t="n">
        <v>804</v>
      </c>
      <c r="AI808">
        <f>IF(AND($E808=Subj_OccCode,Subj_BldgSF&gt;0,ABS($L808-Subj_BldgSF)&lt;=Subj_BldgSF*Subj_SizeTol),ABS($L808-Subj_BldgSF),NA())</f>
        <v/>
      </c>
      <c r="AJ808">
        <f>IF(ISNA(AI808),NA(),AI808+ROW()/10000000)</f>
        <v/>
      </c>
    </row>
    <row r="809" ht="15" customHeight="1">
      <c r="A809" s="248" t="n">
        <v>8</v>
      </c>
      <c r="B809" s="245" t="n">
        <v>805</v>
      </c>
      <c r="AI809">
        <f>IF(AND($E809=Subj_OccCode,Subj_BldgSF&gt;0,ABS($L809-Subj_BldgSF)&lt;=Subj_BldgSF*Subj_SizeTol),ABS($L809-Subj_BldgSF),NA())</f>
        <v/>
      </c>
      <c r="AJ809">
        <f>IF(ISNA(AI809),NA(),AI809+ROW()/10000000)</f>
        <v/>
      </c>
    </row>
    <row r="810" ht="15" customHeight="1">
      <c r="A810" s="248" t="n">
        <v>8</v>
      </c>
      <c r="B810" s="245" t="n">
        <v>806</v>
      </c>
      <c r="AI810">
        <f>IF(AND($E810=Subj_OccCode,Subj_BldgSF&gt;0,ABS($L810-Subj_BldgSF)&lt;=Subj_BldgSF*Subj_SizeTol),ABS($L810-Subj_BldgSF),NA())</f>
        <v/>
      </c>
      <c r="AJ810">
        <f>IF(ISNA(AI810),NA(),AI810+ROW()/10000000)</f>
        <v/>
      </c>
    </row>
    <row r="811" ht="15" customHeight="1">
      <c r="A811" s="248" t="n">
        <v>8</v>
      </c>
      <c r="B811" s="245" t="n">
        <v>807</v>
      </c>
      <c r="AI811">
        <f>IF(AND($E811=Subj_OccCode,Subj_BldgSF&gt;0,ABS($L811-Subj_BldgSF)&lt;=Subj_BldgSF*Subj_SizeTol),ABS($L811-Subj_BldgSF),NA())</f>
        <v/>
      </c>
      <c r="AJ811">
        <f>IF(ISNA(AI811),NA(),AI811+ROW()/10000000)</f>
        <v/>
      </c>
    </row>
    <row r="812" ht="15" customHeight="1">
      <c r="A812" s="248" t="n">
        <v>8</v>
      </c>
      <c r="B812" s="245" t="n">
        <v>808</v>
      </c>
      <c r="AI812">
        <f>IF(AND($E812=Subj_OccCode,Subj_BldgSF&gt;0,ABS($L812-Subj_BldgSF)&lt;=Subj_BldgSF*Subj_SizeTol),ABS($L812-Subj_BldgSF),NA())</f>
        <v/>
      </c>
      <c r="AJ812">
        <f>IF(ISNA(AI812),NA(),AI812+ROW()/10000000)</f>
        <v/>
      </c>
    </row>
    <row r="813" ht="15" customHeight="1">
      <c r="A813" s="248" t="n">
        <v>8</v>
      </c>
      <c r="B813" s="245" t="n">
        <v>809</v>
      </c>
      <c r="AI813">
        <f>IF(AND($E813=Subj_OccCode,Subj_BldgSF&gt;0,ABS($L813-Subj_BldgSF)&lt;=Subj_BldgSF*Subj_SizeTol),ABS($L813-Subj_BldgSF),NA())</f>
        <v/>
      </c>
      <c r="AJ813">
        <f>IF(ISNA(AI813),NA(),AI813+ROW()/10000000)</f>
        <v/>
      </c>
    </row>
    <row r="814" ht="15" customHeight="1">
      <c r="A814" s="248" t="n">
        <v>8</v>
      </c>
      <c r="B814" s="245" t="n">
        <v>810</v>
      </c>
      <c r="AI814">
        <f>IF(AND($E814=Subj_OccCode,Subj_BldgSF&gt;0,ABS($L814-Subj_BldgSF)&lt;=Subj_BldgSF*Subj_SizeTol),ABS($L814-Subj_BldgSF),NA())</f>
        <v/>
      </c>
      <c r="AJ814">
        <f>IF(ISNA(AI814),NA(),AI814+ROW()/10000000)</f>
        <v/>
      </c>
    </row>
    <row r="815" ht="15" customHeight="1">
      <c r="A815" s="248" t="n">
        <v>8</v>
      </c>
      <c r="B815" s="245" t="n">
        <v>811</v>
      </c>
      <c r="AI815">
        <f>IF(AND($E815=Subj_OccCode,Subj_BldgSF&gt;0,ABS($L815-Subj_BldgSF)&lt;=Subj_BldgSF*Subj_SizeTol),ABS($L815-Subj_BldgSF),NA())</f>
        <v/>
      </c>
      <c r="AJ815">
        <f>IF(ISNA(AI815),NA(),AI815+ROW()/10000000)</f>
        <v/>
      </c>
    </row>
    <row r="816" ht="15" customHeight="1">
      <c r="A816" s="248" t="n">
        <v>8</v>
      </c>
      <c r="B816" s="245" t="n">
        <v>812</v>
      </c>
      <c r="AI816">
        <f>IF(AND($E816=Subj_OccCode,Subj_BldgSF&gt;0,ABS($L816-Subj_BldgSF)&lt;=Subj_BldgSF*Subj_SizeTol),ABS($L816-Subj_BldgSF),NA())</f>
        <v/>
      </c>
      <c r="AJ816">
        <f>IF(ISNA(AI816),NA(),AI816+ROW()/10000000)</f>
        <v/>
      </c>
    </row>
    <row r="817" ht="15" customHeight="1">
      <c r="A817" s="248" t="n">
        <v>8</v>
      </c>
      <c r="B817" s="245" t="n">
        <v>813</v>
      </c>
      <c r="AI817">
        <f>IF(AND($E817=Subj_OccCode,Subj_BldgSF&gt;0,ABS($L817-Subj_BldgSF)&lt;=Subj_BldgSF*Subj_SizeTol),ABS($L817-Subj_BldgSF),NA())</f>
        <v/>
      </c>
      <c r="AJ817">
        <f>IF(ISNA(AI817),NA(),AI817+ROW()/10000000)</f>
        <v/>
      </c>
    </row>
    <row r="818" ht="15" customHeight="1">
      <c r="A818" s="248" t="n">
        <v>8</v>
      </c>
      <c r="B818" s="245" t="n">
        <v>814</v>
      </c>
      <c r="AI818">
        <f>IF(AND($E818=Subj_OccCode,Subj_BldgSF&gt;0,ABS($L818-Subj_BldgSF)&lt;=Subj_BldgSF*Subj_SizeTol),ABS($L818-Subj_BldgSF),NA())</f>
        <v/>
      </c>
      <c r="AJ818">
        <f>IF(ISNA(AI818),NA(),AI818+ROW()/10000000)</f>
        <v/>
      </c>
    </row>
    <row r="819" ht="15" customHeight="1">
      <c r="A819" s="248" t="n">
        <v>8</v>
      </c>
      <c r="B819" s="245" t="n">
        <v>815</v>
      </c>
      <c r="AI819">
        <f>IF(AND($E819=Subj_OccCode,Subj_BldgSF&gt;0,ABS($L819-Subj_BldgSF)&lt;=Subj_BldgSF*Subj_SizeTol),ABS($L819-Subj_BldgSF),NA())</f>
        <v/>
      </c>
      <c r="AJ819">
        <f>IF(ISNA(AI819),NA(),AI819+ROW()/10000000)</f>
        <v/>
      </c>
    </row>
    <row r="820" ht="15" customHeight="1">
      <c r="A820" s="248" t="n">
        <v>8</v>
      </c>
      <c r="B820" s="245" t="n">
        <v>816</v>
      </c>
      <c r="AI820">
        <f>IF(AND($E820=Subj_OccCode,Subj_BldgSF&gt;0,ABS($L820-Subj_BldgSF)&lt;=Subj_BldgSF*Subj_SizeTol),ABS($L820-Subj_BldgSF),NA())</f>
        <v/>
      </c>
      <c r="AJ820">
        <f>IF(ISNA(AI820),NA(),AI820+ROW()/10000000)</f>
        <v/>
      </c>
    </row>
    <row r="821" ht="15" customHeight="1">
      <c r="A821" s="248" t="n">
        <v>8</v>
      </c>
      <c r="B821" s="245" t="n">
        <v>817</v>
      </c>
      <c r="AI821">
        <f>IF(AND($E821=Subj_OccCode,Subj_BldgSF&gt;0,ABS($L821-Subj_BldgSF)&lt;=Subj_BldgSF*Subj_SizeTol),ABS($L821-Subj_BldgSF),NA())</f>
        <v/>
      </c>
      <c r="AJ821">
        <f>IF(ISNA(AI821),NA(),AI821+ROW()/10000000)</f>
        <v/>
      </c>
    </row>
    <row r="822" ht="15" customHeight="1">
      <c r="A822" s="248" t="n">
        <v>8</v>
      </c>
      <c r="B822" s="245" t="n">
        <v>818</v>
      </c>
      <c r="AI822">
        <f>IF(AND($E822=Subj_OccCode,Subj_BldgSF&gt;0,ABS($L822-Subj_BldgSF)&lt;=Subj_BldgSF*Subj_SizeTol),ABS($L822-Subj_BldgSF),NA())</f>
        <v/>
      </c>
      <c r="AJ822">
        <f>IF(ISNA(AI822),NA(),AI822+ROW()/10000000)</f>
        <v/>
      </c>
    </row>
    <row r="823" ht="15" customHeight="1">
      <c r="A823" s="248" t="n">
        <v>8</v>
      </c>
      <c r="B823" s="245" t="n">
        <v>819</v>
      </c>
      <c r="AI823">
        <f>IF(AND($E823=Subj_OccCode,Subj_BldgSF&gt;0,ABS($L823-Subj_BldgSF)&lt;=Subj_BldgSF*Subj_SizeTol),ABS($L823-Subj_BldgSF),NA())</f>
        <v/>
      </c>
      <c r="AJ823">
        <f>IF(ISNA(AI823),NA(),AI823+ROW()/10000000)</f>
        <v/>
      </c>
    </row>
    <row r="824" ht="15" customHeight="1">
      <c r="A824" s="248" t="n">
        <v>8</v>
      </c>
      <c r="B824" s="245" t="n">
        <v>820</v>
      </c>
      <c r="AI824">
        <f>IF(AND($E824=Subj_OccCode,Subj_BldgSF&gt;0,ABS($L824-Subj_BldgSF)&lt;=Subj_BldgSF*Subj_SizeTol),ABS($L824-Subj_BldgSF),NA())</f>
        <v/>
      </c>
      <c r="AJ824">
        <f>IF(ISNA(AI824),NA(),AI824+ROW()/10000000)</f>
        <v/>
      </c>
    </row>
    <row r="825" ht="15" customHeight="1">
      <c r="A825" s="248" t="n">
        <v>8</v>
      </c>
      <c r="B825" s="245" t="n">
        <v>821</v>
      </c>
      <c r="AI825">
        <f>IF(AND($E825=Subj_OccCode,Subj_BldgSF&gt;0,ABS($L825-Subj_BldgSF)&lt;=Subj_BldgSF*Subj_SizeTol),ABS($L825-Subj_BldgSF),NA())</f>
        <v/>
      </c>
      <c r="AJ825">
        <f>IF(ISNA(AI825),NA(),AI825+ROW()/10000000)</f>
        <v/>
      </c>
    </row>
    <row r="826" ht="15" customHeight="1">
      <c r="A826" s="248" t="n">
        <v>8</v>
      </c>
      <c r="B826" s="245" t="n">
        <v>822</v>
      </c>
      <c r="AI826">
        <f>IF(AND($E826=Subj_OccCode,Subj_BldgSF&gt;0,ABS($L826-Subj_BldgSF)&lt;=Subj_BldgSF*Subj_SizeTol),ABS($L826-Subj_BldgSF),NA())</f>
        <v/>
      </c>
      <c r="AJ826">
        <f>IF(ISNA(AI826),NA(),AI826+ROW()/10000000)</f>
        <v/>
      </c>
    </row>
    <row r="827" ht="15" customHeight="1">
      <c r="A827" s="248" t="n">
        <v>8</v>
      </c>
      <c r="B827" s="245" t="n">
        <v>823</v>
      </c>
      <c r="AI827">
        <f>IF(AND($E827=Subj_OccCode,Subj_BldgSF&gt;0,ABS($L827-Subj_BldgSF)&lt;=Subj_BldgSF*Subj_SizeTol),ABS($L827-Subj_BldgSF),NA())</f>
        <v/>
      </c>
      <c r="AJ827">
        <f>IF(ISNA(AI827),NA(),AI827+ROW()/10000000)</f>
        <v/>
      </c>
    </row>
    <row r="828" ht="15" customHeight="1">
      <c r="A828" s="248" t="n">
        <v>8</v>
      </c>
      <c r="B828" s="245" t="n">
        <v>824</v>
      </c>
      <c r="AI828">
        <f>IF(AND($E828=Subj_OccCode,Subj_BldgSF&gt;0,ABS($L828-Subj_BldgSF)&lt;=Subj_BldgSF*Subj_SizeTol),ABS($L828-Subj_BldgSF),NA())</f>
        <v/>
      </c>
      <c r="AJ828">
        <f>IF(ISNA(AI828),NA(),AI828+ROW()/10000000)</f>
        <v/>
      </c>
    </row>
    <row r="829" ht="15" customHeight="1">
      <c r="A829" s="248" t="n">
        <v>8</v>
      </c>
      <c r="B829" s="245" t="n">
        <v>825</v>
      </c>
      <c r="AI829">
        <f>IF(AND($E829=Subj_OccCode,Subj_BldgSF&gt;0,ABS($L829-Subj_BldgSF)&lt;=Subj_BldgSF*Subj_SizeTol),ABS($L829-Subj_BldgSF),NA())</f>
        <v/>
      </c>
      <c r="AJ829">
        <f>IF(ISNA(AI829),NA(),AI829+ROW()/10000000)</f>
        <v/>
      </c>
    </row>
    <row r="830" ht="15" customHeight="1">
      <c r="A830" s="248" t="n">
        <v>8</v>
      </c>
      <c r="B830" s="245" t="n">
        <v>826</v>
      </c>
      <c r="AI830">
        <f>IF(AND($E830=Subj_OccCode,Subj_BldgSF&gt;0,ABS($L830-Subj_BldgSF)&lt;=Subj_BldgSF*Subj_SizeTol),ABS($L830-Subj_BldgSF),NA())</f>
        <v/>
      </c>
      <c r="AJ830">
        <f>IF(ISNA(AI830),NA(),AI830+ROW()/10000000)</f>
        <v/>
      </c>
    </row>
    <row r="831" ht="15" customHeight="1">
      <c r="A831" s="248" t="n">
        <v>8</v>
      </c>
      <c r="B831" s="245" t="n">
        <v>827</v>
      </c>
      <c r="AI831">
        <f>IF(AND($E831=Subj_OccCode,Subj_BldgSF&gt;0,ABS($L831-Subj_BldgSF)&lt;=Subj_BldgSF*Subj_SizeTol),ABS($L831-Subj_BldgSF),NA())</f>
        <v/>
      </c>
      <c r="AJ831">
        <f>IF(ISNA(AI831),NA(),AI831+ROW()/10000000)</f>
        <v/>
      </c>
    </row>
    <row r="832" ht="15" customHeight="1">
      <c r="A832" s="248" t="n">
        <v>8</v>
      </c>
      <c r="B832" s="245" t="n">
        <v>828</v>
      </c>
      <c r="AI832">
        <f>IF(AND($E832=Subj_OccCode,Subj_BldgSF&gt;0,ABS($L832-Subj_BldgSF)&lt;=Subj_BldgSF*Subj_SizeTol),ABS($L832-Subj_BldgSF),NA())</f>
        <v/>
      </c>
      <c r="AJ832">
        <f>IF(ISNA(AI832),NA(),AI832+ROW()/10000000)</f>
        <v/>
      </c>
    </row>
    <row r="833" ht="15" customHeight="1">
      <c r="A833" s="248" t="n">
        <v>8</v>
      </c>
      <c r="B833" s="245" t="n">
        <v>829</v>
      </c>
      <c r="AI833">
        <f>IF(AND($E833=Subj_OccCode,Subj_BldgSF&gt;0,ABS($L833-Subj_BldgSF)&lt;=Subj_BldgSF*Subj_SizeTol),ABS($L833-Subj_BldgSF),NA())</f>
        <v/>
      </c>
      <c r="AJ833">
        <f>IF(ISNA(AI833),NA(),AI833+ROW()/10000000)</f>
        <v/>
      </c>
    </row>
    <row r="834" ht="15" customHeight="1">
      <c r="A834" s="248" t="n">
        <v>8</v>
      </c>
      <c r="B834" s="245" t="n">
        <v>830</v>
      </c>
      <c r="AI834">
        <f>IF(AND($E834=Subj_OccCode,Subj_BldgSF&gt;0,ABS($L834-Subj_BldgSF)&lt;=Subj_BldgSF*Subj_SizeTol),ABS($L834-Subj_BldgSF),NA())</f>
        <v/>
      </c>
      <c r="AJ834">
        <f>IF(ISNA(AI834),NA(),AI834+ROW()/10000000)</f>
        <v/>
      </c>
    </row>
    <row r="835" ht="15" customHeight="1">
      <c r="A835" s="248" t="n">
        <v>8</v>
      </c>
      <c r="B835" s="245" t="n">
        <v>831</v>
      </c>
      <c r="AI835">
        <f>IF(AND($E835=Subj_OccCode,Subj_BldgSF&gt;0,ABS($L835-Subj_BldgSF)&lt;=Subj_BldgSF*Subj_SizeTol),ABS($L835-Subj_BldgSF),NA())</f>
        <v/>
      </c>
      <c r="AJ835">
        <f>IF(ISNA(AI835),NA(),AI835+ROW()/10000000)</f>
        <v/>
      </c>
    </row>
    <row r="836" ht="15" customHeight="1">
      <c r="A836" s="248" t="n">
        <v>8</v>
      </c>
      <c r="B836" s="245" t="n">
        <v>832</v>
      </c>
      <c r="AI836">
        <f>IF(AND($E836=Subj_OccCode,Subj_BldgSF&gt;0,ABS($L836-Subj_BldgSF)&lt;=Subj_BldgSF*Subj_SizeTol),ABS($L836-Subj_BldgSF),NA())</f>
        <v/>
      </c>
      <c r="AJ836">
        <f>IF(ISNA(AI836),NA(),AI836+ROW()/10000000)</f>
        <v/>
      </c>
    </row>
    <row r="837" ht="15" customHeight="1">
      <c r="A837" s="248" t="n">
        <v>8</v>
      </c>
      <c r="B837" s="245" t="n">
        <v>833</v>
      </c>
      <c r="AI837">
        <f>IF(AND($E837=Subj_OccCode,Subj_BldgSF&gt;0,ABS($L837-Subj_BldgSF)&lt;=Subj_BldgSF*Subj_SizeTol),ABS($L837-Subj_BldgSF),NA())</f>
        <v/>
      </c>
      <c r="AJ837">
        <f>IF(ISNA(AI837),NA(),AI837+ROW()/10000000)</f>
        <v/>
      </c>
    </row>
    <row r="838" ht="15" customHeight="1">
      <c r="A838" s="248" t="n">
        <v>8</v>
      </c>
      <c r="B838" s="245" t="n">
        <v>834</v>
      </c>
      <c r="AI838">
        <f>IF(AND($E838=Subj_OccCode,Subj_BldgSF&gt;0,ABS($L838-Subj_BldgSF)&lt;=Subj_BldgSF*Subj_SizeTol),ABS($L838-Subj_BldgSF),NA())</f>
        <v/>
      </c>
      <c r="AJ838">
        <f>IF(ISNA(AI838),NA(),AI838+ROW()/10000000)</f>
        <v/>
      </c>
    </row>
    <row r="839" ht="15" customHeight="1">
      <c r="A839" s="248" t="n">
        <v>8</v>
      </c>
      <c r="B839" s="245" t="n">
        <v>835</v>
      </c>
      <c r="AI839">
        <f>IF(AND($E839=Subj_OccCode,Subj_BldgSF&gt;0,ABS($L839-Subj_BldgSF)&lt;=Subj_BldgSF*Subj_SizeTol),ABS($L839-Subj_BldgSF),NA())</f>
        <v/>
      </c>
      <c r="AJ839">
        <f>IF(ISNA(AI839),NA(),AI839+ROW()/10000000)</f>
        <v/>
      </c>
    </row>
    <row r="840" ht="15" customHeight="1">
      <c r="A840" s="248" t="n">
        <v>8</v>
      </c>
      <c r="B840" s="245" t="n">
        <v>836</v>
      </c>
      <c r="AI840">
        <f>IF(AND($E840=Subj_OccCode,Subj_BldgSF&gt;0,ABS($L840-Subj_BldgSF)&lt;=Subj_BldgSF*Subj_SizeTol),ABS($L840-Subj_BldgSF),NA())</f>
        <v/>
      </c>
      <c r="AJ840">
        <f>IF(ISNA(AI840),NA(),AI840+ROW()/10000000)</f>
        <v/>
      </c>
    </row>
    <row r="841" ht="15" customHeight="1">
      <c r="A841" s="248" t="n">
        <v>8</v>
      </c>
      <c r="B841" s="245" t="n">
        <v>837</v>
      </c>
      <c r="AI841">
        <f>IF(AND($E841=Subj_OccCode,Subj_BldgSF&gt;0,ABS($L841-Subj_BldgSF)&lt;=Subj_BldgSF*Subj_SizeTol),ABS($L841-Subj_BldgSF),NA())</f>
        <v/>
      </c>
      <c r="AJ841">
        <f>IF(ISNA(AI841),NA(),AI841+ROW()/10000000)</f>
        <v/>
      </c>
    </row>
    <row r="842" ht="15" customHeight="1">
      <c r="A842" s="248" t="n">
        <v>8</v>
      </c>
      <c r="B842" s="245" t="n">
        <v>838</v>
      </c>
      <c r="AI842">
        <f>IF(AND($E842=Subj_OccCode,Subj_BldgSF&gt;0,ABS($L842-Subj_BldgSF)&lt;=Subj_BldgSF*Subj_SizeTol),ABS($L842-Subj_BldgSF),NA())</f>
        <v/>
      </c>
      <c r="AJ842">
        <f>IF(ISNA(AI842),NA(),AI842+ROW()/10000000)</f>
        <v/>
      </c>
    </row>
    <row r="843" ht="15" customHeight="1">
      <c r="A843" s="248" t="n">
        <v>8</v>
      </c>
      <c r="B843" s="245" t="n">
        <v>839</v>
      </c>
      <c r="AI843">
        <f>IF(AND($E843=Subj_OccCode,Subj_BldgSF&gt;0,ABS($L843-Subj_BldgSF)&lt;=Subj_BldgSF*Subj_SizeTol),ABS($L843-Subj_BldgSF),NA())</f>
        <v/>
      </c>
      <c r="AJ843">
        <f>IF(ISNA(AI843),NA(),AI843+ROW()/10000000)</f>
        <v/>
      </c>
    </row>
    <row r="844" ht="15" customHeight="1">
      <c r="A844" s="248" t="n">
        <v>8</v>
      </c>
      <c r="B844" s="245" t="n">
        <v>840</v>
      </c>
      <c r="AI844">
        <f>IF(AND($E844=Subj_OccCode,Subj_BldgSF&gt;0,ABS($L844-Subj_BldgSF)&lt;=Subj_BldgSF*Subj_SizeTol),ABS($L844-Subj_BldgSF),NA())</f>
        <v/>
      </c>
      <c r="AJ844">
        <f>IF(ISNA(AI844),NA(),AI844+ROW()/10000000)</f>
        <v/>
      </c>
    </row>
    <row r="845" ht="15" customHeight="1">
      <c r="A845" s="248" t="n">
        <v>8</v>
      </c>
      <c r="B845" s="245" t="n">
        <v>841</v>
      </c>
      <c r="AI845">
        <f>IF(AND($E845=Subj_OccCode,Subj_BldgSF&gt;0,ABS($L845-Subj_BldgSF)&lt;=Subj_BldgSF*Subj_SizeTol),ABS($L845-Subj_BldgSF),NA())</f>
        <v/>
      </c>
      <c r="AJ845">
        <f>IF(ISNA(AI845),NA(),AI845+ROW()/10000000)</f>
        <v/>
      </c>
    </row>
    <row r="846" ht="15" customHeight="1">
      <c r="A846" s="248" t="n">
        <v>8</v>
      </c>
      <c r="B846" s="245" t="n">
        <v>842</v>
      </c>
      <c r="AI846">
        <f>IF(AND($E846=Subj_OccCode,Subj_BldgSF&gt;0,ABS($L846-Subj_BldgSF)&lt;=Subj_BldgSF*Subj_SizeTol),ABS($L846-Subj_BldgSF),NA())</f>
        <v/>
      </c>
      <c r="AJ846">
        <f>IF(ISNA(AI846),NA(),AI846+ROW()/10000000)</f>
        <v/>
      </c>
    </row>
    <row r="847" ht="15" customHeight="1">
      <c r="A847" s="248" t="n">
        <v>8</v>
      </c>
      <c r="B847" s="245" t="n">
        <v>843</v>
      </c>
      <c r="AI847">
        <f>IF(AND($E847=Subj_OccCode,Subj_BldgSF&gt;0,ABS($L847-Subj_BldgSF)&lt;=Subj_BldgSF*Subj_SizeTol),ABS($L847-Subj_BldgSF),NA())</f>
        <v/>
      </c>
      <c r="AJ847">
        <f>IF(ISNA(AI847),NA(),AI847+ROW()/10000000)</f>
        <v/>
      </c>
    </row>
    <row r="848" ht="15" customHeight="1">
      <c r="A848" s="248" t="n">
        <v>8</v>
      </c>
      <c r="B848" s="245" t="n">
        <v>844</v>
      </c>
      <c r="AI848">
        <f>IF(AND($E848=Subj_OccCode,Subj_BldgSF&gt;0,ABS($L848-Subj_BldgSF)&lt;=Subj_BldgSF*Subj_SizeTol),ABS($L848-Subj_BldgSF),NA())</f>
        <v/>
      </c>
      <c r="AJ848">
        <f>IF(ISNA(AI848),NA(),AI848+ROW()/10000000)</f>
        <v/>
      </c>
    </row>
    <row r="849" ht="15" customHeight="1">
      <c r="A849" s="248" t="n">
        <v>8</v>
      </c>
      <c r="B849" s="245" t="n">
        <v>845</v>
      </c>
      <c r="AI849">
        <f>IF(AND($E849=Subj_OccCode,Subj_BldgSF&gt;0,ABS($L849-Subj_BldgSF)&lt;=Subj_BldgSF*Subj_SizeTol),ABS($L849-Subj_BldgSF),NA())</f>
        <v/>
      </c>
      <c r="AJ849">
        <f>IF(ISNA(AI849),NA(),AI849+ROW()/10000000)</f>
        <v/>
      </c>
    </row>
    <row r="850" ht="15" customHeight="1">
      <c r="A850" s="248" t="n">
        <v>8</v>
      </c>
      <c r="B850" s="245" t="n">
        <v>846</v>
      </c>
      <c r="AI850">
        <f>IF(AND($E850=Subj_OccCode,Subj_BldgSF&gt;0,ABS($L850-Subj_BldgSF)&lt;=Subj_BldgSF*Subj_SizeTol),ABS($L850-Subj_BldgSF),NA())</f>
        <v/>
      </c>
      <c r="AJ850">
        <f>IF(ISNA(AI850),NA(),AI850+ROW()/10000000)</f>
        <v/>
      </c>
    </row>
    <row r="851" ht="15" customHeight="1">
      <c r="A851" s="248" t="n">
        <v>8</v>
      </c>
      <c r="B851" s="245" t="n">
        <v>847</v>
      </c>
      <c r="AI851">
        <f>IF(AND($E851=Subj_OccCode,Subj_BldgSF&gt;0,ABS($L851-Subj_BldgSF)&lt;=Subj_BldgSF*Subj_SizeTol),ABS($L851-Subj_BldgSF),NA())</f>
        <v/>
      </c>
      <c r="AJ851">
        <f>IF(ISNA(AI851),NA(),AI851+ROW()/10000000)</f>
        <v/>
      </c>
    </row>
    <row r="852" ht="15" customHeight="1">
      <c r="A852" s="248" t="n">
        <v>8</v>
      </c>
      <c r="B852" s="245" t="n">
        <v>848</v>
      </c>
      <c r="AI852">
        <f>IF(AND($E852=Subj_OccCode,Subj_BldgSF&gt;0,ABS($L852-Subj_BldgSF)&lt;=Subj_BldgSF*Subj_SizeTol),ABS($L852-Subj_BldgSF),NA())</f>
        <v/>
      </c>
      <c r="AJ852">
        <f>IF(ISNA(AI852),NA(),AI852+ROW()/10000000)</f>
        <v/>
      </c>
    </row>
    <row r="853" ht="15" customHeight="1">
      <c r="A853" s="248" t="n">
        <v>8</v>
      </c>
      <c r="B853" s="245" t="n">
        <v>849</v>
      </c>
      <c r="AI853">
        <f>IF(AND($E853=Subj_OccCode,Subj_BldgSF&gt;0,ABS($L853-Subj_BldgSF)&lt;=Subj_BldgSF*Subj_SizeTol),ABS($L853-Subj_BldgSF),NA())</f>
        <v/>
      </c>
      <c r="AJ853">
        <f>IF(ISNA(AI853),NA(),AI853+ROW()/10000000)</f>
        <v/>
      </c>
    </row>
    <row r="854" ht="15" customHeight="1">
      <c r="A854" s="248" t="n">
        <v>8</v>
      </c>
      <c r="B854" s="245" t="n">
        <v>850</v>
      </c>
      <c r="AI854">
        <f>IF(AND($E854=Subj_OccCode,Subj_BldgSF&gt;0,ABS($L854-Subj_BldgSF)&lt;=Subj_BldgSF*Subj_SizeTol),ABS($L854-Subj_BldgSF),NA())</f>
        <v/>
      </c>
      <c r="AJ854">
        <f>IF(ISNA(AI854),NA(),AI854+ROW()/10000000)</f>
        <v/>
      </c>
    </row>
    <row r="855" ht="15" customHeight="1">
      <c r="A855" s="248" t="n">
        <v>8</v>
      </c>
      <c r="B855" s="245" t="n">
        <v>851</v>
      </c>
      <c r="AI855">
        <f>IF(AND($E855=Subj_OccCode,Subj_BldgSF&gt;0,ABS($L855-Subj_BldgSF)&lt;=Subj_BldgSF*Subj_SizeTol),ABS($L855-Subj_BldgSF),NA())</f>
        <v/>
      </c>
      <c r="AJ855">
        <f>IF(ISNA(AI855),NA(),AI855+ROW()/10000000)</f>
        <v/>
      </c>
    </row>
    <row r="856" ht="15" customHeight="1">
      <c r="A856" s="248" t="n">
        <v>8</v>
      </c>
      <c r="B856" s="245" t="n">
        <v>852</v>
      </c>
      <c r="AI856">
        <f>IF(AND($E856=Subj_OccCode,Subj_BldgSF&gt;0,ABS($L856-Subj_BldgSF)&lt;=Subj_BldgSF*Subj_SizeTol),ABS($L856-Subj_BldgSF),NA())</f>
        <v/>
      </c>
      <c r="AJ856">
        <f>IF(ISNA(AI856),NA(),AI856+ROW()/10000000)</f>
        <v/>
      </c>
    </row>
    <row r="857" ht="15" customHeight="1">
      <c r="A857" s="248" t="n">
        <v>8</v>
      </c>
      <c r="B857" s="245" t="n">
        <v>853</v>
      </c>
      <c r="AI857">
        <f>IF(AND($E857=Subj_OccCode,Subj_BldgSF&gt;0,ABS($L857-Subj_BldgSF)&lt;=Subj_BldgSF*Subj_SizeTol),ABS($L857-Subj_BldgSF),NA())</f>
        <v/>
      </c>
      <c r="AJ857">
        <f>IF(ISNA(AI857),NA(),AI857+ROW()/10000000)</f>
        <v/>
      </c>
    </row>
    <row r="858" ht="15" customHeight="1">
      <c r="A858" s="248" t="n">
        <v>8</v>
      </c>
      <c r="B858" s="245" t="n">
        <v>854</v>
      </c>
      <c r="AI858">
        <f>IF(AND($E858=Subj_OccCode,Subj_BldgSF&gt;0,ABS($L858-Subj_BldgSF)&lt;=Subj_BldgSF*Subj_SizeTol),ABS($L858-Subj_BldgSF),NA())</f>
        <v/>
      </c>
      <c r="AJ858">
        <f>IF(ISNA(AI858),NA(),AI858+ROW()/10000000)</f>
        <v/>
      </c>
    </row>
    <row r="859" ht="15" customHeight="1">
      <c r="A859" s="248" t="n">
        <v>8</v>
      </c>
      <c r="B859" s="245" t="n">
        <v>855</v>
      </c>
      <c r="AI859">
        <f>IF(AND($E859=Subj_OccCode,Subj_BldgSF&gt;0,ABS($L859-Subj_BldgSF)&lt;=Subj_BldgSF*Subj_SizeTol),ABS($L859-Subj_BldgSF),NA())</f>
        <v/>
      </c>
      <c r="AJ859">
        <f>IF(ISNA(AI859),NA(),AI859+ROW()/10000000)</f>
        <v/>
      </c>
    </row>
    <row r="860" ht="15" customHeight="1">
      <c r="A860" s="248" t="n">
        <v>8</v>
      </c>
      <c r="B860" s="245" t="n">
        <v>856</v>
      </c>
      <c r="AI860">
        <f>IF(AND($E860=Subj_OccCode,Subj_BldgSF&gt;0,ABS($L860-Subj_BldgSF)&lt;=Subj_BldgSF*Subj_SizeTol),ABS($L860-Subj_BldgSF),NA())</f>
        <v/>
      </c>
      <c r="AJ860">
        <f>IF(ISNA(AI860),NA(),AI860+ROW()/10000000)</f>
        <v/>
      </c>
    </row>
    <row r="861" ht="15" customHeight="1">
      <c r="A861" s="248" t="n">
        <v>8</v>
      </c>
      <c r="B861" s="245" t="n">
        <v>857</v>
      </c>
      <c r="AI861">
        <f>IF(AND($E861=Subj_OccCode,Subj_BldgSF&gt;0,ABS($L861-Subj_BldgSF)&lt;=Subj_BldgSF*Subj_SizeTol),ABS($L861-Subj_BldgSF),NA())</f>
        <v/>
      </c>
      <c r="AJ861">
        <f>IF(ISNA(AI861),NA(),AI861+ROW()/10000000)</f>
        <v/>
      </c>
    </row>
    <row r="862" ht="15" customHeight="1">
      <c r="A862" s="248" t="n">
        <v>8</v>
      </c>
      <c r="B862" s="245" t="n">
        <v>858</v>
      </c>
      <c r="AI862">
        <f>IF(AND($E862=Subj_OccCode,Subj_BldgSF&gt;0,ABS($L862-Subj_BldgSF)&lt;=Subj_BldgSF*Subj_SizeTol),ABS($L862-Subj_BldgSF),NA())</f>
        <v/>
      </c>
      <c r="AJ862">
        <f>IF(ISNA(AI862),NA(),AI862+ROW()/10000000)</f>
        <v/>
      </c>
    </row>
    <row r="863" ht="15" customHeight="1">
      <c r="A863" s="248" t="n">
        <v>8</v>
      </c>
      <c r="B863" s="245" t="n">
        <v>859</v>
      </c>
      <c r="AI863">
        <f>IF(AND($E863=Subj_OccCode,Subj_BldgSF&gt;0,ABS($L863-Subj_BldgSF)&lt;=Subj_BldgSF*Subj_SizeTol),ABS($L863-Subj_BldgSF),NA())</f>
        <v/>
      </c>
      <c r="AJ863">
        <f>IF(ISNA(AI863),NA(),AI863+ROW()/10000000)</f>
        <v/>
      </c>
    </row>
    <row r="864" ht="15" customHeight="1">
      <c r="A864" s="248" t="n">
        <v>8</v>
      </c>
      <c r="B864" s="245" t="n">
        <v>860</v>
      </c>
      <c r="AI864">
        <f>IF(AND($E864=Subj_OccCode,Subj_BldgSF&gt;0,ABS($L864-Subj_BldgSF)&lt;=Subj_BldgSF*Subj_SizeTol),ABS($L864-Subj_BldgSF),NA())</f>
        <v/>
      </c>
      <c r="AJ864">
        <f>IF(ISNA(AI864),NA(),AI864+ROW()/10000000)</f>
        <v/>
      </c>
    </row>
    <row r="865" ht="15" customHeight="1">
      <c r="A865" s="248" t="n">
        <v>8</v>
      </c>
      <c r="B865" s="245" t="n">
        <v>861</v>
      </c>
      <c r="AI865">
        <f>IF(AND($E865=Subj_OccCode,Subj_BldgSF&gt;0,ABS($L865-Subj_BldgSF)&lt;=Subj_BldgSF*Subj_SizeTol),ABS($L865-Subj_BldgSF),NA())</f>
        <v/>
      </c>
      <c r="AJ865">
        <f>IF(ISNA(AI865),NA(),AI865+ROW()/10000000)</f>
        <v/>
      </c>
    </row>
    <row r="866" ht="15" customHeight="1">
      <c r="A866" s="248" t="n">
        <v>8</v>
      </c>
      <c r="B866" s="245" t="n">
        <v>862</v>
      </c>
      <c r="AI866">
        <f>IF(AND($E866=Subj_OccCode,Subj_BldgSF&gt;0,ABS($L866-Subj_BldgSF)&lt;=Subj_BldgSF*Subj_SizeTol),ABS($L866-Subj_BldgSF),NA())</f>
        <v/>
      </c>
      <c r="AJ866">
        <f>IF(ISNA(AI866),NA(),AI866+ROW()/10000000)</f>
        <v/>
      </c>
    </row>
    <row r="867" ht="15" customHeight="1">
      <c r="A867" s="248" t="n">
        <v>8</v>
      </c>
      <c r="B867" s="245" t="n">
        <v>863</v>
      </c>
      <c r="AI867">
        <f>IF(AND($E867=Subj_OccCode,Subj_BldgSF&gt;0,ABS($L867-Subj_BldgSF)&lt;=Subj_BldgSF*Subj_SizeTol),ABS($L867-Subj_BldgSF),NA())</f>
        <v/>
      </c>
      <c r="AJ867">
        <f>IF(ISNA(AI867),NA(),AI867+ROW()/10000000)</f>
        <v/>
      </c>
    </row>
    <row r="868" ht="15" customHeight="1">
      <c r="A868" s="248" t="n">
        <v>8</v>
      </c>
      <c r="B868" s="245" t="n">
        <v>864</v>
      </c>
      <c r="AI868">
        <f>IF(AND($E868=Subj_OccCode,Subj_BldgSF&gt;0,ABS($L868-Subj_BldgSF)&lt;=Subj_BldgSF*Subj_SizeTol),ABS($L868-Subj_BldgSF),NA())</f>
        <v/>
      </c>
      <c r="AJ868">
        <f>IF(ISNA(AI868),NA(),AI868+ROW()/10000000)</f>
        <v/>
      </c>
    </row>
    <row r="869" ht="15" customHeight="1">
      <c r="A869" s="248" t="n">
        <v>8</v>
      </c>
      <c r="B869" s="245" t="n">
        <v>865</v>
      </c>
      <c r="AI869">
        <f>IF(AND($E869=Subj_OccCode,Subj_BldgSF&gt;0,ABS($L869-Subj_BldgSF)&lt;=Subj_BldgSF*Subj_SizeTol),ABS($L869-Subj_BldgSF),NA())</f>
        <v/>
      </c>
      <c r="AJ869">
        <f>IF(ISNA(AI869),NA(),AI869+ROW()/10000000)</f>
        <v/>
      </c>
    </row>
    <row r="870" ht="15" customHeight="1">
      <c r="A870" s="248" t="n">
        <v>8</v>
      </c>
      <c r="B870" s="245" t="n">
        <v>866</v>
      </c>
      <c r="AI870">
        <f>IF(AND($E870=Subj_OccCode,Subj_BldgSF&gt;0,ABS($L870-Subj_BldgSF)&lt;=Subj_BldgSF*Subj_SizeTol),ABS($L870-Subj_BldgSF),NA())</f>
        <v/>
      </c>
      <c r="AJ870">
        <f>IF(ISNA(AI870),NA(),AI870+ROW()/10000000)</f>
        <v/>
      </c>
    </row>
    <row r="871" ht="15" customHeight="1">
      <c r="A871" s="248" t="n">
        <v>8</v>
      </c>
      <c r="B871" s="245" t="n">
        <v>867</v>
      </c>
      <c r="AI871">
        <f>IF(AND($E871=Subj_OccCode,Subj_BldgSF&gt;0,ABS($L871-Subj_BldgSF)&lt;=Subj_BldgSF*Subj_SizeTol),ABS($L871-Subj_BldgSF),NA())</f>
        <v/>
      </c>
      <c r="AJ871">
        <f>IF(ISNA(AI871),NA(),AI871+ROW()/10000000)</f>
        <v/>
      </c>
    </row>
    <row r="872" ht="15" customHeight="1">
      <c r="A872" s="248" t="n">
        <v>8</v>
      </c>
      <c r="B872" s="245" t="n">
        <v>868</v>
      </c>
      <c r="AI872">
        <f>IF(AND($E872=Subj_OccCode,Subj_BldgSF&gt;0,ABS($L872-Subj_BldgSF)&lt;=Subj_BldgSF*Subj_SizeTol),ABS($L872-Subj_BldgSF),NA())</f>
        <v/>
      </c>
      <c r="AJ872">
        <f>IF(ISNA(AI872),NA(),AI872+ROW()/10000000)</f>
        <v/>
      </c>
    </row>
    <row r="873" ht="15" customHeight="1">
      <c r="A873" s="248" t="n">
        <v>8</v>
      </c>
      <c r="B873" s="245" t="n">
        <v>869</v>
      </c>
      <c r="AI873">
        <f>IF(AND($E873=Subj_OccCode,Subj_BldgSF&gt;0,ABS($L873-Subj_BldgSF)&lt;=Subj_BldgSF*Subj_SizeTol),ABS($L873-Subj_BldgSF),NA())</f>
        <v/>
      </c>
      <c r="AJ873">
        <f>IF(ISNA(AI873),NA(),AI873+ROW()/10000000)</f>
        <v/>
      </c>
    </row>
    <row r="874" ht="15" customHeight="1">
      <c r="A874" s="248" t="n">
        <v>8</v>
      </c>
      <c r="B874" s="245" t="n">
        <v>870</v>
      </c>
      <c r="AI874">
        <f>IF(AND($E874=Subj_OccCode,Subj_BldgSF&gt;0,ABS($L874-Subj_BldgSF)&lt;=Subj_BldgSF*Subj_SizeTol),ABS($L874-Subj_BldgSF),NA())</f>
        <v/>
      </c>
      <c r="AJ874">
        <f>IF(ISNA(AI874),NA(),AI874+ROW()/10000000)</f>
        <v/>
      </c>
    </row>
    <row r="875" ht="15" customHeight="1">
      <c r="A875" s="248" t="n">
        <v>8</v>
      </c>
      <c r="B875" s="245" t="n">
        <v>871</v>
      </c>
      <c r="AI875">
        <f>IF(AND($E875=Subj_OccCode,Subj_BldgSF&gt;0,ABS($L875-Subj_BldgSF)&lt;=Subj_BldgSF*Subj_SizeTol),ABS($L875-Subj_BldgSF),NA())</f>
        <v/>
      </c>
      <c r="AJ875">
        <f>IF(ISNA(AI875),NA(),AI875+ROW()/10000000)</f>
        <v/>
      </c>
    </row>
    <row r="876" ht="15" customHeight="1">
      <c r="A876" s="248" t="n">
        <v>8</v>
      </c>
      <c r="B876" s="245" t="n">
        <v>872</v>
      </c>
      <c r="AI876">
        <f>IF(AND($E876=Subj_OccCode,Subj_BldgSF&gt;0,ABS($L876-Subj_BldgSF)&lt;=Subj_BldgSF*Subj_SizeTol),ABS($L876-Subj_BldgSF),NA())</f>
        <v/>
      </c>
      <c r="AJ876">
        <f>IF(ISNA(AI876),NA(),AI876+ROW()/10000000)</f>
        <v/>
      </c>
    </row>
    <row r="877" ht="15" customHeight="1">
      <c r="A877" s="248" t="n">
        <v>8</v>
      </c>
      <c r="B877" s="245" t="n">
        <v>873</v>
      </c>
      <c r="AI877">
        <f>IF(AND($E877=Subj_OccCode,Subj_BldgSF&gt;0,ABS($L877-Subj_BldgSF)&lt;=Subj_BldgSF*Subj_SizeTol),ABS($L877-Subj_BldgSF),NA())</f>
        <v/>
      </c>
      <c r="AJ877">
        <f>IF(ISNA(AI877),NA(),AI877+ROW()/10000000)</f>
        <v/>
      </c>
    </row>
    <row r="878" ht="15" customHeight="1">
      <c r="A878" s="248" t="n">
        <v>8</v>
      </c>
      <c r="B878" s="245" t="n">
        <v>874</v>
      </c>
      <c r="AI878">
        <f>IF(AND($E878=Subj_OccCode,Subj_BldgSF&gt;0,ABS($L878-Subj_BldgSF)&lt;=Subj_BldgSF*Subj_SizeTol),ABS($L878-Subj_BldgSF),NA())</f>
        <v/>
      </c>
      <c r="AJ878">
        <f>IF(ISNA(AI878),NA(),AI878+ROW()/10000000)</f>
        <v/>
      </c>
    </row>
    <row r="879" ht="15" customHeight="1">
      <c r="A879" s="248" t="n">
        <v>8</v>
      </c>
      <c r="B879" s="245" t="n">
        <v>875</v>
      </c>
      <c r="AI879">
        <f>IF(AND($E879=Subj_OccCode,Subj_BldgSF&gt;0,ABS($L879-Subj_BldgSF)&lt;=Subj_BldgSF*Subj_SizeTol),ABS($L879-Subj_BldgSF),NA())</f>
        <v/>
      </c>
      <c r="AJ879">
        <f>IF(ISNA(AI879),NA(),AI879+ROW()/10000000)</f>
        <v/>
      </c>
    </row>
    <row r="880" ht="15" customHeight="1">
      <c r="A880" s="248" t="n">
        <v>8</v>
      </c>
      <c r="B880" s="245" t="n">
        <v>876</v>
      </c>
      <c r="AI880">
        <f>IF(AND($E880=Subj_OccCode,Subj_BldgSF&gt;0,ABS($L880-Subj_BldgSF)&lt;=Subj_BldgSF*Subj_SizeTol),ABS($L880-Subj_BldgSF),NA())</f>
        <v/>
      </c>
      <c r="AJ880">
        <f>IF(ISNA(AI880),NA(),AI880+ROW()/10000000)</f>
        <v/>
      </c>
    </row>
    <row r="881" ht="15" customHeight="1">
      <c r="A881" s="248" t="n">
        <v>8</v>
      </c>
      <c r="B881" s="245" t="n">
        <v>877</v>
      </c>
      <c r="AI881">
        <f>IF(AND($E881=Subj_OccCode,Subj_BldgSF&gt;0,ABS($L881-Subj_BldgSF)&lt;=Subj_BldgSF*Subj_SizeTol),ABS($L881-Subj_BldgSF),NA())</f>
        <v/>
      </c>
      <c r="AJ881">
        <f>IF(ISNA(AI881),NA(),AI881+ROW()/10000000)</f>
        <v/>
      </c>
    </row>
    <row r="882" ht="15" customHeight="1">
      <c r="A882" s="248" t="n">
        <v>8</v>
      </c>
      <c r="B882" s="245" t="n">
        <v>878</v>
      </c>
      <c r="AI882">
        <f>IF(AND($E882=Subj_OccCode,Subj_BldgSF&gt;0,ABS($L882-Subj_BldgSF)&lt;=Subj_BldgSF*Subj_SizeTol),ABS($L882-Subj_BldgSF),NA())</f>
        <v/>
      </c>
      <c r="AJ882">
        <f>IF(ISNA(AI882),NA(),AI882+ROW()/10000000)</f>
        <v/>
      </c>
    </row>
    <row r="883" ht="15" customHeight="1">
      <c r="A883" s="248" t="n">
        <v>8</v>
      </c>
      <c r="B883" s="245" t="n">
        <v>879</v>
      </c>
      <c r="AI883">
        <f>IF(AND($E883=Subj_OccCode,Subj_BldgSF&gt;0,ABS($L883-Subj_BldgSF)&lt;=Subj_BldgSF*Subj_SizeTol),ABS($L883-Subj_BldgSF),NA())</f>
        <v/>
      </c>
      <c r="AJ883">
        <f>IF(ISNA(AI883),NA(),AI883+ROW()/10000000)</f>
        <v/>
      </c>
    </row>
    <row r="884" ht="15" customHeight="1">
      <c r="A884" s="248" t="n">
        <v>8</v>
      </c>
      <c r="B884" s="245" t="n">
        <v>880</v>
      </c>
      <c r="AI884">
        <f>IF(AND($E884=Subj_OccCode,Subj_BldgSF&gt;0,ABS($L884-Subj_BldgSF)&lt;=Subj_BldgSF*Subj_SizeTol),ABS($L884-Subj_BldgSF),NA())</f>
        <v/>
      </c>
      <c r="AJ884">
        <f>IF(ISNA(AI884),NA(),AI884+ROW()/10000000)</f>
        <v/>
      </c>
    </row>
    <row r="885" ht="15" customHeight="1">
      <c r="A885" s="248" t="n">
        <v>8</v>
      </c>
      <c r="B885" s="245" t="n">
        <v>881</v>
      </c>
      <c r="AI885">
        <f>IF(AND($E885=Subj_OccCode,Subj_BldgSF&gt;0,ABS($L885-Subj_BldgSF)&lt;=Subj_BldgSF*Subj_SizeTol),ABS($L885-Subj_BldgSF),NA())</f>
        <v/>
      </c>
      <c r="AJ885">
        <f>IF(ISNA(AI885),NA(),AI885+ROW()/10000000)</f>
        <v/>
      </c>
    </row>
    <row r="886" ht="15" customHeight="1">
      <c r="A886" s="248" t="n">
        <v>8</v>
      </c>
      <c r="B886" s="245" t="n">
        <v>882</v>
      </c>
      <c r="AI886">
        <f>IF(AND($E886=Subj_OccCode,Subj_BldgSF&gt;0,ABS($L886-Subj_BldgSF)&lt;=Subj_BldgSF*Subj_SizeTol),ABS($L886-Subj_BldgSF),NA())</f>
        <v/>
      </c>
      <c r="AJ886">
        <f>IF(ISNA(AI886),NA(),AI886+ROW()/10000000)</f>
        <v/>
      </c>
    </row>
    <row r="887" ht="15" customHeight="1">
      <c r="A887" s="248" t="n">
        <v>8</v>
      </c>
      <c r="B887" s="245" t="n">
        <v>883</v>
      </c>
      <c r="AI887">
        <f>IF(AND($E887=Subj_OccCode,Subj_BldgSF&gt;0,ABS($L887-Subj_BldgSF)&lt;=Subj_BldgSF*Subj_SizeTol),ABS($L887-Subj_BldgSF),NA())</f>
        <v/>
      </c>
      <c r="AJ887">
        <f>IF(ISNA(AI887),NA(),AI887+ROW()/10000000)</f>
        <v/>
      </c>
    </row>
    <row r="888" ht="15" customHeight="1">
      <c r="A888" s="248" t="n">
        <v>8</v>
      </c>
      <c r="B888" s="245" t="n">
        <v>884</v>
      </c>
      <c r="AI888">
        <f>IF(AND($E888=Subj_OccCode,Subj_BldgSF&gt;0,ABS($L888-Subj_BldgSF)&lt;=Subj_BldgSF*Subj_SizeTol),ABS($L888-Subj_BldgSF),NA())</f>
        <v/>
      </c>
      <c r="AJ888">
        <f>IF(ISNA(AI888),NA(),AI888+ROW()/10000000)</f>
        <v/>
      </c>
    </row>
    <row r="889" ht="15" customHeight="1">
      <c r="A889" s="248" t="n">
        <v>8</v>
      </c>
      <c r="B889" s="245" t="n">
        <v>885</v>
      </c>
      <c r="AI889">
        <f>IF(AND($E889=Subj_OccCode,Subj_BldgSF&gt;0,ABS($L889-Subj_BldgSF)&lt;=Subj_BldgSF*Subj_SizeTol),ABS($L889-Subj_BldgSF),NA())</f>
        <v/>
      </c>
      <c r="AJ889">
        <f>IF(ISNA(AI889),NA(),AI889+ROW()/10000000)</f>
        <v/>
      </c>
    </row>
    <row r="890" ht="15" customHeight="1">
      <c r="A890" s="248" t="n">
        <v>8</v>
      </c>
      <c r="B890" s="245" t="n">
        <v>886</v>
      </c>
      <c r="AI890">
        <f>IF(AND($E890=Subj_OccCode,Subj_BldgSF&gt;0,ABS($L890-Subj_BldgSF)&lt;=Subj_BldgSF*Subj_SizeTol),ABS($L890-Subj_BldgSF),NA())</f>
        <v/>
      </c>
      <c r="AJ890">
        <f>IF(ISNA(AI890),NA(),AI890+ROW()/10000000)</f>
        <v/>
      </c>
    </row>
    <row r="891" ht="15" customHeight="1">
      <c r="A891" s="248" t="n">
        <v>8</v>
      </c>
      <c r="B891" s="245" t="n">
        <v>887</v>
      </c>
      <c r="AI891">
        <f>IF(AND($E891=Subj_OccCode,Subj_BldgSF&gt;0,ABS($L891-Subj_BldgSF)&lt;=Subj_BldgSF*Subj_SizeTol),ABS($L891-Subj_BldgSF),NA())</f>
        <v/>
      </c>
      <c r="AJ891">
        <f>IF(ISNA(AI891),NA(),AI891+ROW()/10000000)</f>
        <v/>
      </c>
    </row>
    <row r="892" ht="15" customHeight="1">
      <c r="A892" s="248" t="n">
        <v>8</v>
      </c>
      <c r="B892" s="245" t="n">
        <v>888</v>
      </c>
      <c r="AI892">
        <f>IF(AND($E892=Subj_OccCode,Subj_BldgSF&gt;0,ABS($L892-Subj_BldgSF)&lt;=Subj_BldgSF*Subj_SizeTol),ABS($L892-Subj_BldgSF),NA())</f>
        <v/>
      </c>
      <c r="AJ892">
        <f>IF(ISNA(AI892),NA(),AI892+ROW()/10000000)</f>
        <v/>
      </c>
    </row>
    <row r="893" ht="15" customHeight="1">
      <c r="A893" s="248" t="n">
        <v>8</v>
      </c>
      <c r="B893" s="245" t="n">
        <v>889</v>
      </c>
      <c r="AI893">
        <f>IF(AND($E893=Subj_OccCode,Subj_BldgSF&gt;0,ABS($L893-Subj_BldgSF)&lt;=Subj_BldgSF*Subj_SizeTol),ABS($L893-Subj_BldgSF),NA())</f>
        <v/>
      </c>
      <c r="AJ893">
        <f>IF(ISNA(AI893),NA(),AI893+ROW()/10000000)</f>
        <v/>
      </c>
    </row>
    <row r="894" ht="15" customHeight="1">
      <c r="A894" s="248" t="n">
        <v>8</v>
      </c>
      <c r="B894" s="245" t="n">
        <v>890</v>
      </c>
      <c r="AI894">
        <f>IF(AND($E894=Subj_OccCode,Subj_BldgSF&gt;0,ABS($L894-Subj_BldgSF)&lt;=Subj_BldgSF*Subj_SizeTol),ABS($L894-Subj_BldgSF),NA())</f>
        <v/>
      </c>
      <c r="AJ894">
        <f>IF(ISNA(AI894),NA(),AI894+ROW()/10000000)</f>
        <v/>
      </c>
    </row>
    <row r="895" ht="15" customHeight="1">
      <c r="A895" s="248" t="n">
        <v>8</v>
      </c>
      <c r="B895" s="245" t="n">
        <v>891</v>
      </c>
      <c r="AI895">
        <f>IF(AND($E895=Subj_OccCode,Subj_BldgSF&gt;0,ABS($L895-Subj_BldgSF)&lt;=Subj_BldgSF*Subj_SizeTol),ABS($L895-Subj_BldgSF),NA())</f>
        <v/>
      </c>
      <c r="AJ895">
        <f>IF(ISNA(AI895),NA(),AI895+ROW()/10000000)</f>
        <v/>
      </c>
    </row>
    <row r="896" ht="15" customHeight="1">
      <c r="A896" s="248" t="n">
        <v>8</v>
      </c>
      <c r="B896" s="245" t="n">
        <v>892</v>
      </c>
      <c r="AI896">
        <f>IF(AND($E896=Subj_OccCode,Subj_BldgSF&gt;0,ABS($L896-Subj_BldgSF)&lt;=Subj_BldgSF*Subj_SizeTol),ABS($L896-Subj_BldgSF),NA())</f>
        <v/>
      </c>
      <c r="AJ896">
        <f>IF(ISNA(AI896),NA(),AI896+ROW()/10000000)</f>
        <v/>
      </c>
    </row>
    <row r="897" ht="15" customHeight="1">
      <c r="A897" s="248" t="n">
        <v>8</v>
      </c>
      <c r="B897" s="245" t="n">
        <v>893</v>
      </c>
      <c r="AI897">
        <f>IF(AND($E897=Subj_OccCode,Subj_BldgSF&gt;0,ABS($L897-Subj_BldgSF)&lt;=Subj_BldgSF*Subj_SizeTol),ABS($L897-Subj_BldgSF),NA())</f>
        <v/>
      </c>
      <c r="AJ897">
        <f>IF(ISNA(AI897),NA(),AI897+ROW()/10000000)</f>
        <v/>
      </c>
    </row>
    <row r="898" ht="15" customHeight="1">
      <c r="A898" s="248" t="n">
        <v>8</v>
      </c>
      <c r="B898" s="245" t="n">
        <v>894</v>
      </c>
      <c r="AI898">
        <f>IF(AND($E898=Subj_OccCode,Subj_BldgSF&gt;0,ABS($L898-Subj_BldgSF)&lt;=Subj_BldgSF*Subj_SizeTol),ABS($L898-Subj_BldgSF),NA())</f>
        <v/>
      </c>
      <c r="AJ898">
        <f>IF(ISNA(AI898),NA(),AI898+ROW()/10000000)</f>
        <v/>
      </c>
    </row>
    <row r="899" ht="15" customHeight="1">
      <c r="A899" s="248" t="n">
        <v>8</v>
      </c>
      <c r="B899" s="245" t="n">
        <v>895</v>
      </c>
      <c r="AI899">
        <f>IF(AND($E899=Subj_OccCode,Subj_BldgSF&gt;0,ABS($L899-Subj_BldgSF)&lt;=Subj_BldgSF*Subj_SizeTol),ABS($L899-Subj_BldgSF),NA())</f>
        <v/>
      </c>
      <c r="AJ899">
        <f>IF(ISNA(AI899),NA(),AI899+ROW()/10000000)</f>
        <v/>
      </c>
    </row>
    <row r="900" ht="15" customHeight="1">
      <c r="A900" s="248" t="n">
        <v>8</v>
      </c>
      <c r="B900" s="245" t="n">
        <v>896</v>
      </c>
      <c r="AI900">
        <f>IF(AND($E900=Subj_OccCode,Subj_BldgSF&gt;0,ABS($L900-Subj_BldgSF)&lt;=Subj_BldgSF*Subj_SizeTol),ABS($L900-Subj_BldgSF),NA())</f>
        <v/>
      </c>
      <c r="AJ900">
        <f>IF(ISNA(AI900),NA(),AI900+ROW()/10000000)</f>
        <v/>
      </c>
    </row>
    <row r="901" ht="15" customHeight="1">
      <c r="A901" s="248" t="n">
        <v>8</v>
      </c>
      <c r="B901" s="245" t="n">
        <v>897</v>
      </c>
      <c r="AI901">
        <f>IF(AND($E901=Subj_OccCode,Subj_BldgSF&gt;0,ABS($L901-Subj_BldgSF)&lt;=Subj_BldgSF*Subj_SizeTol),ABS($L901-Subj_BldgSF),NA())</f>
        <v/>
      </c>
      <c r="AJ901">
        <f>IF(ISNA(AI901),NA(),AI901+ROW()/10000000)</f>
        <v/>
      </c>
    </row>
    <row r="902" ht="15" customHeight="1">
      <c r="A902" s="248" t="n">
        <v>8</v>
      </c>
      <c r="B902" s="245" t="n">
        <v>898</v>
      </c>
      <c r="AI902">
        <f>IF(AND($E902=Subj_OccCode,Subj_BldgSF&gt;0,ABS($L902-Subj_BldgSF)&lt;=Subj_BldgSF*Subj_SizeTol),ABS($L902-Subj_BldgSF),NA())</f>
        <v/>
      </c>
      <c r="AJ902">
        <f>IF(ISNA(AI902),NA(),AI902+ROW()/10000000)</f>
        <v/>
      </c>
    </row>
    <row r="903" ht="15" customHeight="1">
      <c r="A903" s="248" t="n">
        <v>8</v>
      </c>
      <c r="B903" s="245" t="n">
        <v>899</v>
      </c>
      <c r="AI903">
        <f>IF(AND($E903=Subj_OccCode,Subj_BldgSF&gt;0,ABS($L903-Subj_BldgSF)&lt;=Subj_BldgSF*Subj_SizeTol),ABS($L903-Subj_BldgSF),NA())</f>
        <v/>
      </c>
      <c r="AJ903">
        <f>IF(ISNA(AI903),NA(),AI903+ROW()/10000000)</f>
        <v/>
      </c>
    </row>
    <row r="904" ht="15" customHeight="1">
      <c r="A904" s="248" t="n">
        <v>8</v>
      </c>
      <c r="B904" s="245" t="n">
        <v>900</v>
      </c>
      <c r="AI904">
        <f>IF(AND($E904=Subj_OccCode,Subj_BldgSF&gt;0,ABS($L904-Subj_BldgSF)&lt;=Subj_BldgSF*Subj_SizeTol),ABS($L904-Subj_BldgSF),NA())</f>
        <v/>
      </c>
      <c r="AJ904">
        <f>IF(ISNA(AI904),NA(),AI904+ROW()/10000000)</f>
        <v/>
      </c>
    </row>
    <row r="905" ht="15" customHeight="1">
      <c r="A905" s="248" t="n">
        <v>8</v>
      </c>
      <c r="B905" s="245" t="n">
        <v>901</v>
      </c>
      <c r="AI905">
        <f>IF(AND($E905=Subj_OccCode,Subj_BldgSF&gt;0,ABS($L905-Subj_BldgSF)&lt;=Subj_BldgSF*Subj_SizeTol),ABS($L905-Subj_BldgSF),NA())</f>
        <v/>
      </c>
      <c r="AJ905">
        <f>IF(ISNA(AI905),NA(),AI905+ROW()/10000000)</f>
        <v/>
      </c>
    </row>
    <row r="906" ht="15" customHeight="1">
      <c r="A906" s="248" t="n">
        <v>8</v>
      </c>
      <c r="B906" s="245" t="n">
        <v>902</v>
      </c>
      <c r="AI906">
        <f>IF(AND($E906=Subj_OccCode,Subj_BldgSF&gt;0,ABS($L906-Subj_BldgSF)&lt;=Subj_BldgSF*Subj_SizeTol),ABS($L906-Subj_BldgSF),NA())</f>
        <v/>
      </c>
      <c r="AJ906">
        <f>IF(ISNA(AI906),NA(),AI906+ROW()/10000000)</f>
        <v/>
      </c>
    </row>
    <row r="907" ht="15" customHeight="1">
      <c r="A907" s="248" t="n">
        <v>8</v>
      </c>
      <c r="B907" s="245" t="n">
        <v>903</v>
      </c>
      <c r="AI907">
        <f>IF(AND($E907=Subj_OccCode,Subj_BldgSF&gt;0,ABS($L907-Subj_BldgSF)&lt;=Subj_BldgSF*Subj_SizeTol),ABS($L907-Subj_BldgSF),NA())</f>
        <v/>
      </c>
      <c r="AJ907">
        <f>IF(ISNA(AI907),NA(),AI907+ROW()/10000000)</f>
        <v/>
      </c>
    </row>
    <row r="908" ht="15" customHeight="1">
      <c r="A908" s="248" t="n">
        <v>8</v>
      </c>
      <c r="B908" s="245" t="n">
        <v>904</v>
      </c>
      <c r="AI908">
        <f>IF(AND($E908=Subj_OccCode,Subj_BldgSF&gt;0,ABS($L908-Subj_BldgSF)&lt;=Subj_BldgSF*Subj_SizeTol),ABS($L908-Subj_BldgSF),NA())</f>
        <v/>
      </c>
      <c r="AJ908">
        <f>IF(ISNA(AI908),NA(),AI908+ROW()/10000000)</f>
        <v/>
      </c>
    </row>
    <row r="909" ht="15" customHeight="1">
      <c r="A909" s="248" t="n">
        <v>8</v>
      </c>
      <c r="B909" s="245" t="n">
        <v>905</v>
      </c>
      <c r="AI909">
        <f>IF(AND($E909=Subj_OccCode,Subj_BldgSF&gt;0,ABS($L909-Subj_BldgSF)&lt;=Subj_BldgSF*Subj_SizeTol),ABS($L909-Subj_BldgSF),NA())</f>
        <v/>
      </c>
      <c r="AJ909">
        <f>IF(ISNA(AI909),NA(),AI909+ROW()/10000000)</f>
        <v/>
      </c>
    </row>
    <row r="910" ht="15" customHeight="1">
      <c r="A910" s="248" t="n">
        <v>8</v>
      </c>
      <c r="B910" s="245" t="n">
        <v>906</v>
      </c>
      <c r="AI910">
        <f>IF(AND($E910=Subj_OccCode,Subj_BldgSF&gt;0,ABS($L910-Subj_BldgSF)&lt;=Subj_BldgSF*Subj_SizeTol),ABS($L910-Subj_BldgSF),NA())</f>
        <v/>
      </c>
      <c r="AJ910">
        <f>IF(ISNA(AI910),NA(),AI910+ROW()/10000000)</f>
        <v/>
      </c>
    </row>
    <row r="911" ht="15" customHeight="1">
      <c r="A911" s="248" t="n">
        <v>8</v>
      </c>
      <c r="B911" s="245" t="n">
        <v>907</v>
      </c>
      <c r="AI911">
        <f>IF(AND($E911=Subj_OccCode,Subj_BldgSF&gt;0,ABS($L911-Subj_BldgSF)&lt;=Subj_BldgSF*Subj_SizeTol),ABS($L911-Subj_BldgSF),NA())</f>
        <v/>
      </c>
      <c r="AJ911">
        <f>IF(ISNA(AI911),NA(),AI911+ROW()/10000000)</f>
        <v/>
      </c>
    </row>
    <row r="912" ht="15" customHeight="1">
      <c r="A912" s="248" t="n">
        <v>8</v>
      </c>
      <c r="B912" s="245" t="n">
        <v>908</v>
      </c>
      <c r="AI912">
        <f>IF(AND($E912=Subj_OccCode,Subj_BldgSF&gt;0,ABS($L912-Subj_BldgSF)&lt;=Subj_BldgSF*Subj_SizeTol),ABS($L912-Subj_BldgSF),NA())</f>
        <v/>
      </c>
      <c r="AJ912">
        <f>IF(ISNA(AI912),NA(),AI912+ROW()/10000000)</f>
        <v/>
      </c>
    </row>
    <row r="913" ht="15" customHeight="1">
      <c r="A913" s="248" t="n">
        <v>8</v>
      </c>
      <c r="B913" s="245" t="n">
        <v>909</v>
      </c>
      <c r="AI913">
        <f>IF(AND($E913=Subj_OccCode,Subj_BldgSF&gt;0,ABS($L913-Subj_BldgSF)&lt;=Subj_BldgSF*Subj_SizeTol),ABS($L913-Subj_BldgSF),NA())</f>
        <v/>
      </c>
      <c r="AJ913">
        <f>IF(ISNA(AI913),NA(),AI913+ROW()/10000000)</f>
        <v/>
      </c>
    </row>
    <row r="914" ht="15" customHeight="1">
      <c r="A914" s="248" t="n">
        <v>8</v>
      </c>
      <c r="B914" s="245" t="n">
        <v>910</v>
      </c>
      <c r="AI914">
        <f>IF(AND($E914=Subj_OccCode,Subj_BldgSF&gt;0,ABS($L914-Subj_BldgSF)&lt;=Subj_BldgSF*Subj_SizeTol),ABS($L914-Subj_BldgSF),NA())</f>
        <v/>
      </c>
      <c r="AJ914">
        <f>IF(ISNA(AI914),NA(),AI914+ROW()/10000000)</f>
        <v/>
      </c>
    </row>
    <row r="915" ht="15" customHeight="1">
      <c r="A915" s="248" t="n">
        <v>8</v>
      </c>
      <c r="B915" s="245" t="n">
        <v>911</v>
      </c>
      <c r="AI915">
        <f>IF(AND($E915=Subj_OccCode,Subj_BldgSF&gt;0,ABS($L915-Subj_BldgSF)&lt;=Subj_BldgSF*Subj_SizeTol),ABS($L915-Subj_BldgSF),NA())</f>
        <v/>
      </c>
      <c r="AJ915">
        <f>IF(ISNA(AI915),NA(),AI915+ROW()/10000000)</f>
        <v/>
      </c>
    </row>
    <row r="916" ht="15" customHeight="1">
      <c r="A916" s="248" t="n">
        <v>8</v>
      </c>
      <c r="B916" s="245" t="n">
        <v>912</v>
      </c>
      <c r="AI916">
        <f>IF(AND($E916=Subj_OccCode,Subj_BldgSF&gt;0,ABS($L916-Subj_BldgSF)&lt;=Subj_BldgSF*Subj_SizeTol),ABS($L916-Subj_BldgSF),NA())</f>
        <v/>
      </c>
      <c r="AJ916">
        <f>IF(ISNA(AI916),NA(),AI916+ROW()/10000000)</f>
        <v/>
      </c>
    </row>
    <row r="917" ht="15" customHeight="1">
      <c r="A917" s="248" t="n">
        <v>8</v>
      </c>
      <c r="B917" s="245" t="n">
        <v>913</v>
      </c>
      <c r="AI917">
        <f>IF(AND($E917=Subj_OccCode,Subj_BldgSF&gt;0,ABS($L917-Subj_BldgSF)&lt;=Subj_BldgSF*Subj_SizeTol),ABS($L917-Subj_BldgSF),NA())</f>
        <v/>
      </c>
      <c r="AJ917">
        <f>IF(ISNA(AI917),NA(),AI917+ROW()/10000000)</f>
        <v/>
      </c>
    </row>
    <row r="918" ht="15" customHeight="1">
      <c r="A918" s="248" t="n">
        <v>8</v>
      </c>
      <c r="B918" s="245" t="n">
        <v>914</v>
      </c>
      <c r="AI918">
        <f>IF(AND($E918=Subj_OccCode,Subj_BldgSF&gt;0,ABS($L918-Subj_BldgSF)&lt;=Subj_BldgSF*Subj_SizeTol),ABS($L918-Subj_BldgSF),NA())</f>
        <v/>
      </c>
      <c r="AJ918">
        <f>IF(ISNA(AI918),NA(),AI918+ROW()/10000000)</f>
        <v/>
      </c>
    </row>
    <row r="919" ht="15" customHeight="1">
      <c r="A919" s="248" t="n">
        <v>8</v>
      </c>
      <c r="B919" s="245" t="n">
        <v>915</v>
      </c>
      <c r="AI919">
        <f>IF(AND($E919=Subj_OccCode,Subj_BldgSF&gt;0,ABS($L919-Subj_BldgSF)&lt;=Subj_BldgSF*Subj_SizeTol),ABS($L919-Subj_BldgSF),NA())</f>
        <v/>
      </c>
      <c r="AJ919">
        <f>IF(ISNA(AI919),NA(),AI919+ROW()/10000000)</f>
        <v/>
      </c>
    </row>
    <row r="920" ht="15" customHeight="1">
      <c r="A920" s="248" t="n">
        <v>8</v>
      </c>
      <c r="B920" s="245" t="n">
        <v>916</v>
      </c>
      <c r="AI920">
        <f>IF(AND($E920=Subj_OccCode,Subj_BldgSF&gt;0,ABS($L920-Subj_BldgSF)&lt;=Subj_BldgSF*Subj_SizeTol),ABS($L920-Subj_BldgSF),NA())</f>
        <v/>
      </c>
      <c r="AJ920">
        <f>IF(ISNA(AI920),NA(),AI920+ROW()/10000000)</f>
        <v/>
      </c>
    </row>
    <row r="921" ht="15" customHeight="1">
      <c r="A921" s="248" t="n">
        <v>8</v>
      </c>
      <c r="B921" s="245" t="n">
        <v>917</v>
      </c>
      <c r="AI921">
        <f>IF(AND($E921=Subj_OccCode,Subj_BldgSF&gt;0,ABS($L921-Subj_BldgSF)&lt;=Subj_BldgSF*Subj_SizeTol),ABS($L921-Subj_BldgSF),NA())</f>
        <v/>
      </c>
      <c r="AJ921">
        <f>IF(ISNA(AI921),NA(),AI921+ROW()/10000000)</f>
        <v/>
      </c>
    </row>
    <row r="922" ht="15" customHeight="1">
      <c r="A922" s="248" t="n">
        <v>8</v>
      </c>
      <c r="B922" s="245" t="n">
        <v>918</v>
      </c>
      <c r="AI922">
        <f>IF(AND($E922=Subj_OccCode,Subj_BldgSF&gt;0,ABS($L922-Subj_BldgSF)&lt;=Subj_BldgSF*Subj_SizeTol),ABS($L922-Subj_BldgSF),NA())</f>
        <v/>
      </c>
      <c r="AJ922">
        <f>IF(ISNA(AI922),NA(),AI922+ROW()/10000000)</f>
        <v/>
      </c>
    </row>
    <row r="923" ht="15" customHeight="1">
      <c r="A923" s="248" t="n">
        <v>8</v>
      </c>
      <c r="B923" s="245" t="n">
        <v>919</v>
      </c>
      <c r="AI923">
        <f>IF(AND($E923=Subj_OccCode,Subj_BldgSF&gt;0,ABS($L923-Subj_BldgSF)&lt;=Subj_BldgSF*Subj_SizeTol),ABS($L923-Subj_BldgSF),NA())</f>
        <v/>
      </c>
      <c r="AJ923">
        <f>IF(ISNA(AI923),NA(),AI923+ROW()/10000000)</f>
        <v/>
      </c>
    </row>
    <row r="924" ht="15" customHeight="1">
      <c r="A924" s="248" t="n">
        <v>8</v>
      </c>
      <c r="B924" s="245" t="n">
        <v>920</v>
      </c>
      <c r="AI924">
        <f>IF(AND($E924=Subj_OccCode,Subj_BldgSF&gt;0,ABS($L924-Subj_BldgSF)&lt;=Subj_BldgSF*Subj_SizeTol),ABS($L924-Subj_BldgSF),NA())</f>
        <v/>
      </c>
      <c r="AJ924">
        <f>IF(ISNA(AI924),NA(),AI924+ROW()/10000000)</f>
        <v/>
      </c>
    </row>
    <row r="925" ht="15" customHeight="1">
      <c r="A925" s="248" t="n">
        <v>8</v>
      </c>
      <c r="B925" s="245" t="n">
        <v>921</v>
      </c>
      <c r="AI925">
        <f>IF(AND($E925=Subj_OccCode,Subj_BldgSF&gt;0,ABS($L925-Subj_BldgSF)&lt;=Subj_BldgSF*Subj_SizeTol),ABS($L925-Subj_BldgSF),NA())</f>
        <v/>
      </c>
      <c r="AJ925">
        <f>IF(ISNA(AI925),NA(),AI925+ROW()/10000000)</f>
        <v/>
      </c>
    </row>
    <row r="926" ht="15" customHeight="1">
      <c r="A926" s="248" t="n">
        <v>8</v>
      </c>
      <c r="B926" s="245" t="n">
        <v>922</v>
      </c>
      <c r="AI926">
        <f>IF(AND($E926=Subj_OccCode,Subj_BldgSF&gt;0,ABS($L926-Subj_BldgSF)&lt;=Subj_BldgSF*Subj_SizeTol),ABS($L926-Subj_BldgSF),NA())</f>
        <v/>
      </c>
      <c r="AJ926">
        <f>IF(ISNA(AI926),NA(),AI926+ROW()/10000000)</f>
        <v/>
      </c>
    </row>
    <row r="927" ht="15" customHeight="1">
      <c r="A927" s="248" t="n">
        <v>8</v>
      </c>
      <c r="B927" s="245" t="n">
        <v>923</v>
      </c>
      <c r="AI927">
        <f>IF(AND($E927=Subj_OccCode,Subj_BldgSF&gt;0,ABS($L927-Subj_BldgSF)&lt;=Subj_BldgSF*Subj_SizeTol),ABS($L927-Subj_BldgSF),NA())</f>
        <v/>
      </c>
      <c r="AJ927">
        <f>IF(ISNA(AI927),NA(),AI927+ROW()/10000000)</f>
        <v/>
      </c>
    </row>
    <row r="928" ht="15" customHeight="1">
      <c r="A928" s="248" t="n">
        <v>8</v>
      </c>
      <c r="B928" s="245" t="n">
        <v>924</v>
      </c>
      <c r="AI928">
        <f>IF(AND($E928=Subj_OccCode,Subj_BldgSF&gt;0,ABS($L928-Subj_BldgSF)&lt;=Subj_BldgSF*Subj_SizeTol),ABS($L928-Subj_BldgSF),NA())</f>
        <v/>
      </c>
      <c r="AJ928">
        <f>IF(ISNA(AI928),NA(),AI928+ROW()/10000000)</f>
        <v/>
      </c>
    </row>
    <row r="929" ht="15" customHeight="1">
      <c r="A929" s="248" t="n">
        <v>8</v>
      </c>
      <c r="B929" s="245" t="n">
        <v>925</v>
      </c>
      <c r="AI929">
        <f>IF(AND($E929=Subj_OccCode,Subj_BldgSF&gt;0,ABS($L929-Subj_BldgSF)&lt;=Subj_BldgSF*Subj_SizeTol),ABS($L929-Subj_BldgSF),NA())</f>
        <v/>
      </c>
      <c r="AJ929">
        <f>IF(ISNA(AI929),NA(),AI929+ROW()/10000000)</f>
        <v/>
      </c>
    </row>
    <row r="930" ht="15" customHeight="1">
      <c r="A930" s="248" t="n">
        <v>8</v>
      </c>
      <c r="B930" s="245" t="n">
        <v>926</v>
      </c>
      <c r="AI930">
        <f>IF(AND($E930=Subj_OccCode,Subj_BldgSF&gt;0,ABS($L930-Subj_BldgSF)&lt;=Subj_BldgSF*Subj_SizeTol),ABS($L930-Subj_BldgSF),NA())</f>
        <v/>
      </c>
      <c r="AJ930">
        <f>IF(ISNA(AI930),NA(),AI930+ROW()/10000000)</f>
        <v/>
      </c>
    </row>
    <row r="931" ht="15" customHeight="1">
      <c r="A931" s="248" t="n">
        <v>8</v>
      </c>
      <c r="B931" s="245" t="n">
        <v>927</v>
      </c>
      <c r="AI931">
        <f>IF(AND($E931=Subj_OccCode,Subj_BldgSF&gt;0,ABS($L931-Subj_BldgSF)&lt;=Subj_BldgSF*Subj_SizeTol),ABS($L931-Subj_BldgSF),NA())</f>
        <v/>
      </c>
      <c r="AJ931">
        <f>IF(ISNA(AI931),NA(),AI931+ROW()/10000000)</f>
        <v/>
      </c>
    </row>
    <row r="932" ht="15" customHeight="1">
      <c r="A932" s="248" t="n">
        <v>8</v>
      </c>
      <c r="B932" s="245" t="n">
        <v>928</v>
      </c>
      <c r="AI932">
        <f>IF(AND($E932=Subj_OccCode,Subj_BldgSF&gt;0,ABS($L932-Subj_BldgSF)&lt;=Subj_BldgSF*Subj_SizeTol),ABS($L932-Subj_BldgSF),NA())</f>
        <v/>
      </c>
      <c r="AJ932">
        <f>IF(ISNA(AI932),NA(),AI932+ROW()/10000000)</f>
        <v/>
      </c>
    </row>
    <row r="933" ht="15" customHeight="1">
      <c r="A933" s="248" t="n">
        <v>8</v>
      </c>
      <c r="B933" s="245" t="n">
        <v>929</v>
      </c>
      <c r="AI933">
        <f>IF(AND($E933=Subj_OccCode,Subj_BldgSF&gt;0,ABS($L933-Subj_BldgSF)&lt;=Subj_BldgSF*Subj_SizeTol),ABS($L933-Subj_BldgSF),NA())</f>
        <v/>
      </c>
      <c r="AJ933">
        <f>IF(ISNA(AI933),NA(),AI933+ROW()/10000000)</f>
        <v/>
      </c>
    </row>
    <row r="934" ht="15" customHeight="1">
      <c r="A934" s="248" t="n">
        <v>8</v>
      </c>
      <c r="B934" s="245" t="n">
        <v>930</v>
      </c>
      <c r="AI934">
        <f>IF(AND($E934=Subj_OccCode,Subj_BldgSF&gt;0,ABS($L934-Subj_BldgSF)&lt;=Subj_BldgSF*Subj_SizeTol),ABS($L934-Subj_BldgSF),NA())</f>
        <v/>
      </c>
      <c r="AJ934">
        <f>IF(ISNA(AI934),NA(),AI934+ROW()/10000000)</f>
        <v/>
      </c>
    </row>
    <row r="935" ht="15" customHeight="1">
      <c r="A935" s="248" t="n">
        <v>8</v>
      </c>
      <c r="B935" s="245" t="n">
        <v>931</v>
      </c>
      <c r="AI935">
        <f>IF(AND($E935=Subj_OccCode,Subj_BldgSF&gt;0,ABS($L935-Subj_BldgSF)&lt;=Subj_BldgSF*Subj_SizeTol),ABS($L935-Subj_BldgSF),NA())</f>
        <v/>
      </c>
      <c r="AJ935">
        <f>IF(ISNA(AI935),NA(),AI935+ROW()/10000000)</f>
        <v/>
      </c>
    </row>
    <row r="936" ht="15" customHeight="1">
      <c r="A936" s="248" t="n">
        <v>8</v>
      </c>
      <c r="B936" s="245" t="n">
        <v>932</v>
      </c>
      <c r="AI936">
        <f>IF(AND($E936=Subj_OccCode,Subj_BldgSF&gt;0,ABS($L936-Subj_BldgSF)&lt;=Subj_BldgSF*Subj_SizeTol),ABS($L936-Subj_BldgSF),NA())</f>
        <v/>
      </c>
      <c r="AJ936">
        <f>IF(ISNA(AI936),NA(),AI936+ROW()/10000000)</f>
        <v/>
      </c>
    </row>
    <row r="937" ht="15" customHeight="1">
      <c r="A937" s="248" t="n">
        <v>8</v>
      </c>
      <c r="B937" s="245" t="n">
        <v>933</v>
      </c>
      <c r="AI937">
        <f>IF(AND($E937=Subj_OccCode,Subj_BldgSF&gt;0,ABS($L937-Subj_BldgSF)&lt;=Subj_BldgSF*Subj_SizeTol),ABS($L937-Subj_BldgSF),NA())</f>
        <v/>
      </c>
      <c r="AJ937">
        <f>IF(ISNA(AI937),NA(),AI937+ROW()/10000000)</f>
        <v/>
      </c>
    </row>
    <row r="938" ht="15" customHeight="1">
      <c r="A938" s="248" t="n">
        <v>8</v>
      </c>
      <c r="B938" s="245" t="n">
        <v>934</v>
      </c>
      <c r="AI938">
        <f>IF(AND($E938=Subj_OccCode,Subj_BldgSF&gt;0,ABS($L938-Subj_BldgSF)&lt;=Subj_BldgSF*Subj_SizeTol),ABS($L938-Subj_BldgSF),NA())</f>
        <v/>
      </c>
      <c r="AJ938">
        <f>IF(ISNA(AI938),NA(),AI938+ROW()/10000000)</f>
        <v/>
      </c>
    </row>
    <row r="939" ht="15" customHeight="1">
      <c r="A939" s="248" t="n">
        <v>8</v>
      </c>
      <c r="B939" s="245" t="n">
        <v>935</v>
      </c>
      <c r="AI939">
        <f>IF(AND($E939=Subj_OccCode,Subj_BldgSF&gt;0,ABS($L939-Subj_BldgSF)&lt;=Subj_BldgSF*Subj_SizeTol),ABS($L939-Subj_BldgSF),NA())</f>
        <v/>
      </c>
      <c r="AJ939">
        <f>IF(ISNA(AI939),NA(),AI939+ROW()/10000000)</f>
        <v/>
      </c>
    </row>
    <row r="940" ht="15" customHeight="1">
      <c r="A940" s="248" t="n">
        <v>8</v>
      </c>
      <c r="B940" s="245" t="n">
        <v>936</v>
      </c>
      <c r="AI940">
        <f>IF(AND($E940=Subj_OccCode,Subj_BldgSF&gt;0,ABS($L940-Subj_BldgSF)&lt;=Subj_BldgSF*Subj_SizeTol),ABS($L940-Subj_BldgSF),NA())</f>
        <v/>
      </c>
      <c r="AJ940">
        <f>IF(ISNA(AI940),NA(),AI940+ROW()/10000000)</f>
        <v/>
      </c>
    </row>
    <row r="941" ht="15" customHeight="1">
      <c r="A941" s="248" t="n">
        <v>8</v>
      </c>
      <c r="B941" s="245" t="n">
        <v>937</v>
      </c>
      <c r="AI941">
        <f>IF(AND($E941=Subj_OccCode,Subj_BldgSF&gt;0,ABS($L941-Subj_BldgSF)&lt;=Subj_BldgSF*Subj_SizeTol),ABS($L941-Subj_BldgSF),NA())</f>
        <v/>
      </c>
      <c r="AJ941">
        <f>IF(ISNA(AI941),NA(),AI941+ROW()/10000000)</f>
        <v/>
      </c>
    </row>
  </sheetData>
  <autoFilter ref="A1:AH941"/>
  <conditionalFormatting sqref="C6:C289">
    <cfRule type="duplicateValues" priority="2" dxfId="0"/>
  </conditionalFormatting>
  <conditionalFormatting sqref="A2:AH941">
    <cfRule type="expression" priority="2" dxfId="1">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2.xml><?xml version="1.0" encoding="utf-8"?>
<worksheet xmlns="http://schemas.openxmlformats.org/spreadsheetml/2006/main">
  <sheetPr codeName="Sheet3">
    <tabColor rgb="000E7490"/>
    <outlinePr summaryBelow="1" summaryRight="1"/>
    <pageSetUpPr fitToPage="1"/>
  </sheetPr>
  <dimension ref="A1:AX1019"/>
  <sheetViews>
    <sheetView zoomScale="90" workbookViewId="0">
      <pane ySplit="1" topLeftCell="A2" activePane="bottomLeft" state="frozen"/>
      <selection pane="bottomLeft" activeCell="A2" sqref="A2"/>
    </sheetView>
  </sheetViews>
  <sheetFormatPr baseColWidth="8" defaultColWidth="9.33203125" defaultRowHeight="12.75"/>
  <cols>
    <col width="5.6640625" customWidth="1" style="245" min="1" max="1"/>
    <col width="8" customWidth="1" style="354" min="2" max="2"/>
    <col width="7" customWidth="1" style="245" min="3" max="3"/>
    <col width="19" bestFit="1" customWidth="1" style="245" min="4" max="4"/>
    <col width="10" customWidth="1" style="245" min="5" max="5"/>
    <col width="32" customWidth="1" style="245" min="6" max="6"/>
    <col width="11" customWidth="1" style="672" min="7" max="7"/>
    <col width="7" bestFit="1" customWidth="1" style="253" min="8" max="8"/>
    <col width="9" bestFit="1" customWidth="1" style="245" min="9" max="9"/>
    <col width="9" bestFit="1" customWidth="1" style="245" min="10" max="10"/>
    <col width="8" customWidth="1" style="245" min="11" max="11"/>
    <col width="7.6640625" customWidth="1" style="245" min="12" max="12"/>
    <col width="7" customWidth="1" style="253" min="13" max="13"/>
    <col width="7" customWidth="1" style="253" min="14" max="14"/>
    <col width="8" customWidth="1" style="250" min="15" max="15"/>
    <col width="8" bestFit="1" customWidth="1" style="250" min="16" max="16"/>
    <col width="9.5" bestFit="1" customWidth="1" style="245" min="17" max="20"/>
    <col width="6" customWidth="1" min="18" max="18"/>
    <col width="8" customWidth="1" min="19" max="19"/>
    <col width="13" customWidth="1" min="20" max="20"/>
    <col width="6" bestFit="1" customWidth="1" style="245" min="21" max="21"/>
    <col width="9" bestFit="1" customWidth="1" style="245" min="22" max="22"/>
    <col width="9" bestFit="1" customWidth="1" style="245" min="23" max="23"/>
    <col width="18" bestFit="1" customWidth="1" style="245" min="24" max="24"/>
    <col width="22" bestFit="1" customWidth="1" style="245" min="25" max="25"/>
    <col width="6" bestFit="1" customWidth="1" style="245" min="26" max="27"/>
    <col width="6" customWidth="1" min="27" max="27"/>
    <col width="6" bestFit="1" customWidth="1" style="245" min="28" max="28"/>
    <col width="6" bestFit="1" customWidth="1" style="245" min="29" max="29"/>
    <col width="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52" customWidth="1" style="245" min="37" max="37"/>
    <col width="9.33203125" customWidth="1" style="245" min="38" max="16384"/>
    <col width="6" customWidth="1" min="39" max="39"/>
  </cols>
  <sheetData>
    <row r="1" ht="40.5" customHeight="1" thickBot="1">
      <c r="A1" s="1123" t="inlineStr">
        <is>
          <t>Pos</t>
        </is>
      </c>
      <c r="B1" s="1124" t="inlineStr">
        <is>
          <t>Num</t>
        </is>
      </c>
      <c r="C1" s="1123" t="inlineStr">
        <is>
          <t>Source</t>
        </is>
      </c>
      <c r="D1" s="1123" t="inlineStr">
        <is>
          <t>Schedule</t>
        </is>
      </c>
      <c r="E1" s="1123" t="inlineStr">
        <is>
          <t>Source</t>
        </is>
      </c>
      <c r="F1" s="1123" t="inlineStr">
        <is>
          <t>Address</t>
        </is>
      </c>
      <c r="G1" s="1125" t="inlineStr">
        <is>
          <t>Cls</t>
        </is>
      </c>
      <c r="H1" s="1123" t="inlineStr">
        <is>
          <t>Model</t>
        </is>
      </c>
      <c r="I1" s="1126" t="inlineStr">
        <is>
          <t>Loc</t>
        </is>
      </c>
      <c r="J1" s="1123" t="inlineStr">
        <is>
          <t>NRA</t>
        </is>
      </c>
      <c r="K1" s="1123" t="inlineStr">
        <is>
          <t>Rent</t>
        </is>
      </c>
      <c r="L1" s="1123" t="inlineStr">
        <is>
          <t>Vac</t>
        </is>
      </c>
      <c r="M1" s="1123" t="inlineStr">
        <is>
          <t>Exp</t>
        </is>
      </c>
      <c r="N1" s="1123" t="inlineStr">
        <is>
          <t>YOC</t>
        </is>
      </c>
      <c r="O1" s="1127" t="inlineStr">
        <is>
          <t>Office
Enclos.</t>
        </is>
      </c>
      <c r="P1" s="1127" t="inlineStr">
        <is>
          <t>Extend.
Office</t>
        </is>
      </c>
      <c r="Q1" s="1123" t="inlineStr">
        <is>
          <t>Wall
Height</t>
        </is>
      </c>
      <c r="R1" s="1123" t="inlineStr">
        <is>
          <t>Wall
Type</t>
        </is>
      </c>
      <c r="S1" s="1119" t="inlineStr">
        <is>
          <t># Units</t>
        </is>
      </c>
      <c r="T1" s="1123" t="inlineStr">
        <is>
          <t>Zone</t>
        </is>
      </c>
      <c r="U1" s="1123" t="inlineStr">
        <is>
          <t>Str</t>
        </is>
      </c>
      <c r="V1" s="1123" t="inlineStr">
        <is>
          <t>L Area</t>
        </is>
      </c>
      <c r="W1" s="1126" t="inlineStr">
        <is>
          <t>Land R</t>
        </is>
      </c>
      <c r="X1" s="1126" t="inlineStr">
        <is>
          <t>L:B Ratio</t>
        </is>
      </c>
      <c r="Y1" s="1126" t="inlineStr">
        <is>
          <t>Imp R</t>
        </is>
      </c>
      <c r="Z1" s="1123" t="inlineStr">
        <is>
          <t>Grd</t>
        </is>
      </c>
      <c r="AA1" s="1123" t="inlineStr">
        <is>
          <t>Phy</t>
        </is>
      </c>
      <c r="AB1" s="1123" t="inlineStr">
        <is>
          <t>Fun</t>
        </is>
      </c>
      <c r="AC1" s="1123" t="inlineStr">
        <is>
          <t>P_F</t>
        </is>
      </c>
      <c r="AD1" s="1123" t="inlineStr">
        <is>
          <t>Tenant</t>
        </is>
      </c>
      <c r="AE1" s="1123" t="inlineStr">
        <is>
          <t>PGI</t>
        </is>
      </c>
      <c r="AF1" s="1123" t="inlineStr">
        <is>
          <t>EGI</t>
        </is>
      </c>
      <c r="AG1" s="1123" t="inlineStr">
        <is>
          <t>NOI</t>
        </is>
      </c>
      <c r="AH1" s="1123" t="inlineStr">
        <is>
          <t>$ EXP</t>
        </is>
      </c>
      <c r="AI1" s="1123" t="inlineStr">
        <is>
          <t>Oth Inc/SF</t>
        </is>
      </c>
      <c r="AJ1" s="1123" t="inlineStr">
        <is>
          <t>Pkg Inc/SP</t>
        </is>
      </c>
      <c r="AK1" s="1183"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1184"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1184"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1184"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1184"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1184"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1184"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1184"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1184"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1184"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1184"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1184"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1184"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1184"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1184"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1184"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1184"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1184"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1184"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1184"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1184"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1184"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1184"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1184"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1184"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1184"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1184"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1184"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1184"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1184"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1184"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1184"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1184"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1184"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1184"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1184"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1184"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1184"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1184"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1184"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1184"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1184"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1184"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1184"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1184"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1184"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1184"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1184"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1184"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1184"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1184"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1184"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1184"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1184"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1184"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1184"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1184"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1184"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1184"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1184"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1184"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1184"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1184"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1184"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1184"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1184"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1184"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1184"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1184"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1184"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1184"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1184"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1184"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1184"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1184"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1184"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1184"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1184"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1184"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1184"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1184"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1184"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1184"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1184"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1184"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1184"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1184"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1184"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1184"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1184"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1184"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1184"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1184"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1184"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1184"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1184"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1184"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1184"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1184"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1184"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1184"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1184"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1184"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1184"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1184"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1184"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1184"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1184"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1184"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1184"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1184"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1184"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1184"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1184"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1184"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1184"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1184"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1184"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1184"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1184"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1184"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1184"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1184"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1184"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1184"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1184"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1184"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1184"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1184"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1184"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1184"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1184"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1184"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1184"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1184"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1184"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1184"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1184"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1184"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1184"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1184"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1184"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1184"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1184"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1184"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1184"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1184"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1184"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1184"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1184"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1184"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1184"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1184"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1184"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1184"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1184"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1184"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1184"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1184"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1184"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1184"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1184"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1184"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1184"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1184"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1184"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1184"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1184"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1184"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1184"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1184"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1184"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1184"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1184"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1184"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1184"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1184"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1184"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1184"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1184"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1184"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1184"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1184"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1184"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1184"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1184"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1184"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1184"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1184"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1184"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1184"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1184"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1184"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1184"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1184"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1184"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1184"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1184"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1184"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1184"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1184"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1184"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1184"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1184"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1184"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1184"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1184"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1184"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1184"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1184"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1184"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1184"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1184"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1184"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1184"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1184"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1184"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1184"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1184"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1184"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1184"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1184"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1184"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1184"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1184"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1184"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1184"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1184"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1184"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1184"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1184"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1184"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1184"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1184"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1184"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1184"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1184"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1184"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1184"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1184"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1184"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1184"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1184"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1184"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1184"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1184"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1184"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1184"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1184"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1184"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1184"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1184"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1184"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1184"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1184"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1184"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1184"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1184"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1184"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1184"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1184"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1184"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1184"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1184"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1184"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1184"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1184"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1184"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1184"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1184"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1184"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1184"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1184"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1184"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1184"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1184"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1184"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1184"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1185"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1185"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1185"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1185"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1185"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1185"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1185"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1185"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1185"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1185"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1185"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1185"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1185"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1185"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1185"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1185"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1185"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1185"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1185"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1185"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1185"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1185"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1185"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1185"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1185"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1185"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1185"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1185"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1185"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1185"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1185"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1185"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1185"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1185"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1185"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1185"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1185"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1185"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1185"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1185"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1185"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1185"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1185"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1185"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1185"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1185"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1185"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1185"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1185"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1185"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1185"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1185"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1185"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1184"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1185"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1185"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1185"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1185"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1185"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1185"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1185"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1185"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1185"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1185"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1185"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1185"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1185"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1185"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1185"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1185"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1185"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1185"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1185"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1185"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1185"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1185"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1185"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1185"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1185"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1185"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1185"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1185"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1185"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1185"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1185"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1185"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1185"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1185"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1184"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1184"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1184"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1185"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1185"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1185"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1185"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1185"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1185"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1185"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1185"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1185"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1185"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1185"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1185"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1185"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1185"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1185"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1185"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1185"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1185"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1185"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1185"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1185"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1185"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1185"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1185"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1185"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1185"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1185"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1185"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1185"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1185"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1185"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1185"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1185"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1185"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1185"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1185"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1185"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1185"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1185"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1185"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1185"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1185"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1185"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1185"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1185"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1185"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1185"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1185"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1185"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1185"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1185"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1185"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1185"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1185"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1185"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1185"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1185"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1185"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1185"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1185"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1185"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1185"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1185"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1185"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1185"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1185"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1185"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1185"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1185"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1185"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1185"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1185"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1185"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1185"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1185"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1185"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1185"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1185"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1185"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1185"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1185"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1185"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1185"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1185"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1185"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1185"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1185"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1185"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1185"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1185"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1185"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1185"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1185"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1185"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1185"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1185"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1185"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1185"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1185"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1185"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1185"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1185"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1185"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1185"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1185"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1185"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1185"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1185"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1185"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1185"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1185"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1185"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1185"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1185"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1185"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1185"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1185"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1185"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1185"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conditionalFormatting sqref="A2:AK1019">
    <cfRule type="expression" priority="1" dxfId="1">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3.xml><?xml version="1.0" encoding="utf-8"?>
<worksheet xmlns="http://schemas.openxmlformats.org/spreadsheetml/2006/main">
  <sheetPr codeName="Sheet4">
    <tabColor rgb="00D97706"/>
    <outlinePr summaryBelow="1" summaryRight="1"/>
    <pageSetUpPr/>
  </sheetPr>
  <dimension ref="A1:M158"/>
  <sheetViews>
    <sheetView workbookViewId="0">
      <pane ySplit="1" topLeftCell="A2" activePane="bottomLeft" state="frozen"/>
      <selection pane="bottomLeft" activeCell="B63" sqref="B63"/>
    </sheetView>
  </sheetViews>
  <sheetFormatPr baseColWidth="8" defaultRowHeight="10.5"/>
  <cols>
    <col width="6" customWidth="1" style="487" min="1" max="1"/>
    <col width="28" customWidth="1" min="2" max="2"/>
    <col width="11.5" customWidth="1" min="3" max="3"/>
    <col width="7" bestFit="1" customWidth="1" min="4" max="4"/>
    <col width="15" bestFit="1" customWidth="1" min="5" max="5"/>
    <col width="5.33203125" customWidth="1" min="6" max="6"/>
    <col width="17" customWidth="1" min="7" max="7"/>
    <col width="17" bestFit="1" customWidth="1" min="8" max="8"/>
    <col width="5.33203125" customWidth="1" min="9" max="9"/>
    <col width="19.5" bestFit="1" customWidth="1" min="10" max="10"/>
    <col width="16.83203125" bestFit="1" customWidth="1" min="11" max="11"/>
    <col width="7" customWidth="1" min="12" max="12"/>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4.xml><?xml version="1.0" encoding="utf-8"?>
<worksheet xmlns="http://schemas.openxmlformats.org/spreadsheetml/2006/main">
  <sheetPr>
    <tabColor rgb="00D97706"/>
    <outlinePr summaryBelow="1" summaryRight="1"/>
    <pageSetUpPr/>
  </sheetPr>
  <dimension ref="A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2" customWidth="1" min="3" max="3"/>
    <col width="6" customWidth="1" min="4" max="4"/>
    <col width="52" customWidth="1" min="5" max="5"/>
    <col width="50" customWidth="1" min="6" max="6"/>
  </cols>
  <sheetData>
    <row r="1">
      <c r="B1" s="1150" t="inlineStr">
        <is>
          <t>COUNTY OCCUPANCY CODE (OCC) REFERENCE TABLE</t>
        </is>
      </c>
    </row>
    <row r="2">
      <c r="B2" s="873"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873"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4"/>
    <row r="5">
      <c r="B5" s="1186" t="inlineStr">
        <is>
          <t>OCC Code</t>
        </is>
      </c>
      <c r="C5" s="1128" t="inlineStr">
        <is>
          <t>Acct Type</t>
        </is>
      </c>
      <c r="D5" s="1128" t="inlineStr">
        <is>
          <t>Account Total (source report)</t>
        </is>
      </c>
      <c r="E5" s="1186" t="inlineStr">
        <is>
          <t>Occupancy Description</t>
        </is>
      </c>
      <c r="F5" s="972" t="inlineStr">
        <is>
          <t>Code + Description (dropdown source)</t>
        </is>
      </c>
    </row>
    <row r="6">
      <c r="B6" s="1158" t="n">
        <v>26</v>
      </c>
      <c r="C6" t="inlineStr">
        <is>
          <t>Commercial</t>
        </is>
      </c>
      <c r="D6" t="n">
        <v>1</v>
      </c>
      <c r="E6" s="1158" t="inlineStr">
        <is>
          <t>Studio Loft</t>
        </is>
      </c>
      <c r="F6">
        <f>B6&amp;" - "&amp;E6</f>
        <v/>
      </c>
    </row>
    <row r="7">
      <c r="B7" s="1158" t="n">
        <v>90</v>
      </c>
      <c r="C7" t="inlineStr">
        <is>
          <t>Commercial</t>
        </is>
      </c>
      <c r="D7" t="n">
        <v>2</v>
      </c>
      <c r="E7" s="1158" t="inlineStr">
        <is>
          <t>Residential Out Structure</t>
        </is>
      </c>
      <c r="F7">
        <f>B7&amp;" - "&amp;E7</f>
        <v/>
      </c>
    </row>
    <row r="8">
      <c r="B8" s="1158" t="n">
        <v>99</v>
      </c>
      <c r="C8" t="inlineStr">
        <is>
          <t>Commercial</t>
        </is>
      </c>
      <c r="D8" t="n">
        <v>6</v>
      </c>
      <c r="E8" s="1158" t="inlineStr">
        <is>
          <t>Detached Garage</t>
        </is>
      </c>
      <c r="F8">
        <f>B8&amp;" - "&amp;E8</f>
        <v/>
      </c>
    </row>
    <row r="9">
      <c r="B9" s="1158" t="n">
        <v>100</v>
      </c>
      <c r="C9" t="inlineStr">
        <is>
          <t>Commercial</t>
        </is>
      </c>
      <c r="D9" t="n">
        <v>75</v>
      </c>
      <c r="E9" s="1158" t="inlineStr">
        <is>
          <t>Single Family Residential</t>
        </is>
      </c>
      <c r="F9">
        <f>B9&amp;" - "&amp;E9</f>
        <v/>
      </c>
    </row>
    <row r="10">
      <c r="B10" s="1158" t="n">
        <v>100</v>
      </c>
      <c r="C10" t="inlineStr">
        <is>
          <t>Industrial</t>
        </is>
      </c>
      <c r="D10" t="n">
        <v>2</v>
      </c>
      <c r="E10" s="1158" t="inlineStr">
        <is>
          <t>Single Family Residential</t>
        </is>
      </c>
      <c r="F10">
        <f>B10&amp;" - "&amp;E10</f>
        <v/>
      </c>
    </row>
    <row r="11">
      <c r="B11" s="1158" t="n">
        <v>101</v>
      </c>
      <c r="C11" t="inlineStr">
        <is>
          <t>Commercial</t>
        </is>
      </c>
      <c r="D11" t="n">
        <v>2</v>
      </c>
      <c r="E11" s="1158" t="inlineStr">
        <is>
          <t>Ag Single Family Residential-not integral</t>
        </is>
      </c>
      <c r="F11">
        <f>B11&amp;" - "&amp;E11</f>
        <v/>
      </c>
    </row>
    <row r="12">
      <c r="B12" s="1158" t="n">
        <v>102</v>
      </c>
      <c r="C12" t="inlineStr">
        <is>
          <t>Commercial</t>
        </is>
      </c>
      <c r="D12" t="n">
        <v>1</v>
      </c>
      <c r="E12" s="1158" t="inlineStr">
        <is>
          <t>Duplex</t>
        </is>
      </c>
      <c r="F12">
        <f>B12&amp;" - "&amp;E12</f>
        <v/>
      </c>
    </row>
    <row r="13">
      <c r="B13" s="1158" t="n">
        <v>105</v>
      </c>
      <c r="C13" t="inlineStr">
        <is>
          <t>Commercial</t>
        </is>
      </c>
      <c r="D13" t="n">
        <v>6</v>
      </c>
      <c r="E13" s="1158" t="inlineStr">
        <is>
          <t>Attached Single Family Residential</t>
        </is>
      </c>
      <c r="F13">
        <f>B13&amp;" - "&amp;E13</f>
        <v/>
      </c>
    </row>
    <row r="14">
      <c r="B14" s="1158" t="n">
        <v>116</v>
      </c>
      <c r="C14" t="inlineStr">
        <is>
          <t>Commercial</t>
        </is>
      </c>
      <c r="D14" t="n">
        <v>3</v>
      </c>
      <c r="E14" s="1158" t="inlineStr">
        <is>
          <t>Apartment w/4-8 Units</t>
        </is>
      </c>
      <c r="F14">
        <f>B14&amp;" - "&amp;E14</f>
        <v/>
      </c>
    </row>
    <row r="15">
      <c r="B15" s="1158" t="n">
        <v>118</v>
      </c>
      <c r="C15" t="inlineStr">
        <is>
          <t>Commercial</t>
        </is>
      </c>
      <c r="D15" t="n">
        <v>12</v>
      </c>
      <c r="E15" s="1158" t="inlineStr">
        <is>
          <t>Apartment w/9 + Units</t>
        </is>
      </c>
      <c r="F15">
        <f>B15&amp;" - "&amp;E15</f>
        <v/>
      </c>
    </row>
    <row r="16">
      <c r="B16" s="1158" t="n">
        <v>140</v>
      </c>
      <c r="C16" t="inlineStr">
        <is>
          <t>Commercial</t>
        </is>
      </c>
      <c r="D16" t="n">
        <v>66</v>
      </c>
      <c r="E16" s="1158" t="inlineStr">
        <is>
          <t>Parking Lot</t>
        </is>
      </c>
      <c r="F16">
        <f>B16&amp;" - "&amp;E16</f>
        <v/>
      </c>
    </row>
    <row r="17">
      <c r="B17" s="1158" t="n">
        <v>140</v>
      </c>
      <c r="C17" t="inlineStr">
        <is>
          <t>Industrial</t>
        </is>
      </c>
      <c r="D17" t="n">
        <v>1</v>
      </c>
      <c r="E17" s="1158" t="inlineStr">
        <is>
          <t>Parking Lot</t>
        </is>
      </c>
      <c r="F17">
        <f>B17&amp;" - "&amp;E17</f>
        <v/>
      </c>
    </row>
    <row r="18">
      <c r="B18" s="1158" t="n">
        <v>186</v>
      </c>
      <c r="C18" t="inlineStr">
        <is>
          <t>Industrial</t>
        </is>
      </c>
      <c r="D18" t="n">
        <v>2</v>
      </c>
      <c r="E18" s="1158" t="inlineStr">
        <is>
          <t>Light Commercial - Manufacturing Utility Bldg</t>
        </is>
      </c>
      <c r="F18">
        <f>B18&amp;" - "&amp;E18</f>
        <v/>
      </c>
    </row>
    <row r="19">
      <c r="B19" s="1158" t="n">
        <v>204</v>
      </c>
      <c r="C19" t="inlineStr">
        <is>
          <t>Commercial</t>
        </is>
      </c>
      <c r="D19" t="n">
        <v>1</v>
      </c>
      <c r="E19" s="1158" t="inlineStr">
        <is>
          <t>Computer Centers</t>
        </is>
      </c>
      <c r="F19">
        <f>B19&amp;" - "&amp;E19</f>
        <v/>
      </c>
    </row>
    <row r="20">
      <c r="B20" s="1158" t="n">
        <v>207</v>
      </c>
      <c r="C20" t="inlineStr">
        <is>
          <t>Commercial</t>
        </is>
      </c>
      <c r="D20" t="n">
        <v>1</v>
      </c>
      <c r="E20" s="1158" t="inlineStr">
        <is>
          <t>Firing Range Buildings</t>
        </is>
      </c>
      <c r="F20">
        <f>B20&amp;" - "&amp;E20</f>
        <v/>
      </c>
    </row>
    <row r="21">
      <c r="B21" s="1158" t="n">
        <v>208</v>
      </c>
      <c r="C21" t="inlineStr">
        <is>
          <t>Commercial</t>
        </is>
      </c>
      <c r="D21" t="n">
        <v>14</v>
      </c>
      <c r="E21" s="1158" t="inlineStr">
        <is>
          <t>Golf Course *CODE</t>
        </is>
      </c>
      <c r="F21">
        <f>B21&amp;" - "&amp;E21</f>
        <v/>
      </c>
    </row>
    <row r="22">
      <c r="B22" s="1158" t="n">
        <v>209</v>
      </c>
      <c r="C22" t="inlineStr">
        <is>
          <t>Commercial</t>
        </is>
      </c>
      <c r="D22" t="n">
        <v>2</v>
      </c>
      <c r="E22" s="1158" t="inlineStr">
        <is>
          <t>Nursery/Greenhouse</t>
        </is>
      </c>
      <c r="F22">
        <f>B22&amp;" - "&amp;E22</f>
        <v/>
      </c>
    </row>
    <row r="23">
      <c r="B23" s="1158" t="n">
        <v>210</v>
      </c>
      <c r="C23" t="inlineStr">
        <is>
          <t>Commercial</t>
        </is>
      </c>
      <c r="D23" t="n">
        <v>35</v>
      </c>
      <c r="E23" s="1158" t="inlineStr">
        <is>
          <t>Industrial Flex Mall Building</t>
        </is>
      </c>
      <c r="F23">
        <f>B23&amp;" - "&amp;E23</f>
        <v/>
      </c>
    </row>
    <row r="24">
      <c r="B24" s="1158" t="n">
        <v>210</v>
      </c>
      <c r="C24" t="inlineStr">
        <is>
          <t>Industrial</t>
        </is>
      </c>
      <c r="D24" t="n">
        <v>14</v>
      </c>
      <c r="E24" s="1158" t="inlineStr">
        <is>
          <t>Industrial Flex Mall Building</t>
        </is>
      </c>
      <c r="F24">
        <f>B24&amp;" - "&amp;E24</f>
        <v/>
      </c>
    </row>
    <row r="25">
      <c r="B25" s="1158" t="n">
        <v>211</v>
      </c>
      <c r="C25" t="inlineStr">
        <is>
          <t>Industrial</t>
        </is>
      </c>
      <c r="D25" t="n">
        <v>2</v>
      </c>
      <c r="E25" s="1158" t="inlineStr">
        <is>
          <t>Industiral Interior Office Space</t>
        </is>
      </c>
      <c r="F25">
        <f>B25&amp;" - "&amp;E25</f>
        <v/>
      </c>
    </row>
    <row r="26">
      <c r="B26" s="1158" t="n">
        <v>212</v>
      </c>
      <c r="C26" t="inlineStr">
        <is>
          <t>Industrial</t>
        </is>
      </c>
      <c r="D26" t="n">
        <v>2</v>
      </c>
      <c r="E26" s="1158" t="inlineStr">
        <is>
          <t>Laboratories</t>
        </is>
      </c>
      <c r="F26">
        <f>B26&amp;" - "&amp;E26</f>
        <v/>
      </c>
    </row>
    <row r="27">
      <c r="B27" s="1158" t="n">
        <v>213</v>
      </c>
      <c r="C27" t="inlineStr">
        <is>
          <t>Commercial</t>
        </is>
      </c>
      <c r="D27" t="n">
        <v>1</v>
      </c>
      <c r="E27" s="1158" t="inlineStr">
        <is>
          <t>Light Industrial Shell Buildings</t>
        </is>
      </c>
      <c r="F27">
        <f>B27&amp;" - "&amp;E27</f>
        <v/>
      </c>
    </row>
    <row r="28">
      <c r="B28" s="1158" t="n">
        <v>213</v>
      </c>
      <c r="C28" t="inlineStr">
        <is>
          <t>Industrial</t>
        </is>
      </c>
      <c r="D28" t="n">
        <v>2</v>
      </c>
      <c r="E28" s="1158" t="inlineStr">
        <is>
          <t>Light Industrial Shell Buildings</t>
        </is>
      </c>
      <c r="F28">
        <f>B28&amp;" - "&amp;E28</f>
        <v/>
      </c>
    </row>
    <row r="29">
      <c r="B29" s="1158" t="n">
        <v>217</v>
      </c>
      <c r="C29" t="inlineStr">
        <is>
          <t>Commercial</t>
        </is>
      </c>
      <c r="D29" t="n">
        <v>1</v>
      </c>
      <c r="E29" s="1158" t="inlineStr">
        <is>
          <t>Miscellaneous OB</t>
        </is>
      </c>
      <c r="F29">
        <f>B29&amp;" - "&amp;E29</f>
        <v/>
      </c>
    </row>
    <row r="30">
      <c r="B30" s="1158" t="n">
        <v>220</v>
      </c>
      <c r="C30" t="inlineStr">
        <is>
          <t>Commercial</t>
        </is>
      </c>
      <c r="D30" t="n">
        <v>1</v>
      </c>
      <c r="E30" s="1158" t="inlineStr">
        <is>
          <t>Recreational Pool Enclosure</t>
        </is>
      </c>
      <c r="F30">
        <f>B30&amp;" - "&amp;E30</f>
        <v/>
      </c>
    </row>
    <row r="31">
      <c r="B31" s="1158" t="n">
        <v>227</v>
      </c>
      <c r="C31" t="inlineStr">
        <is>
          <t>Commercial</t>
        </is>
      </c>
      <c r="D31" t="n">
        <v>20</v>
      </c>
      <c r="E31" s="1158" t="inlineStr">
        <is>
          <t>Complete Auto Dealership</t>
        </is>
      </c>
      <c r="F31">
        <f>B31&amp;" - "&amp;E31</f>
        <v/>
      </c>
    </row>
    <row r="32">
      <c r="B32" s="1158" t="n">
        <v>228</v>
      </c>
      <c r="C32" t="inlineStr">
        <is>
          <t>Commercial</t>
        </is>
      </c>
      <c r="D32" t="n">
        <v>3</v>
      </c>
      <c r="E32" s="1158" t="inlineStr">
        <is>
          <t>Kennel</t>
        </is>
      </c>
      <c r="F32">
        <f>B32&amp;" - "&amp;E32</f>
        <v/>
      </c>
    </row>
    <row r="33">
      <c r="B33" s="1158" t="n">
        <v>228</v>
      </c>
      <c r="C33" t="inlineStr">
        <is>
          <t>Industrial</t>
        </is>
      </c>
      <c r="D33" t="n">
        <v>1</v>
      </c>
      <c r="E33" s="1158" t="inlineStr">
        <is>
          <t>Kennel</t>
        </is>
      </c>
      <c r="F33">
        <f>B33&amp;" - "&amp;E33</f>
        <v/>
      </c>
    </row>
    <row r="34">
      <c r="B34" s="1158" t="n">
        <v>300</v>
      </c>
      <c r="C34" t="inlineStr">
        <is>
          <t>Commercial</t>
        </is>
      </c>
      <c r="D34" t="n">
        <v>1</v>
      </c>
      <c r="E34" s="1158" t="inlineStr">
        <is>
          <t>Apartments (Hi-Rise)</t>
        </is>
      </c>
      <c r="F34">
        <f>B34&amp;" - "&amp;E34</f>
        <v/>
      </c>
    </row>
    <row r="35">
      <c r="B35" s="1158" t="n">
        <v>302</v>
      </c>
      <c r="C35" t="inlineStr">
        <is>
          <t>Commercial</t>
        </is>
      </c>
      <c r="D35" t="n">
        <v>2</v>
      </c>
      <c r="E35" s="1158" t="inlineStr">
        <is>
          <t>Auditorium</t>
        </is>
      </c>
      <c r="F35">
        <f>B35&amp;" - "&amp;E35</f>
        <v/>
      </c>
    </row>
    <row r="36">
      <c r="B36" s="1158" t="n">
        <v>303</v>
      </c>
      <c r="C36" t="inlineStr">
        <is>
          <t>Commercial</t>
        </is>
      </c>
      <c r="D36" t="n">
        <v>11</v>
      </c>
      <c r="E36" s="1158" t="inlineStr">
        <is>
          <t>Showroom</t>
        </is>
      </c>
      <c r="F36">
        <f>B36&amp;" - "&amp;E36</f>
        <v/>
      </c>
    </row>
    <row r="37">
      <c r="B37" s="1158" t="n">
        <v>304</v>
      </c>
      <c r="C37" t="inlineStr">
        <is>
          <t>Commercial</t>
        </is>
      </c>
      <c r="D37" t="n">
        <v>89</v>
      </c>
      <c r="E37" s="1158" t="inlineStr">
        <is>
          <t>Bank</t>
        </is>
      </c>
      <c r="F37">
        <f>B37&amp;" - "&amp;E37</f>
        <v/>
      </c>
    </row>
    <row r="38">
      <c r="B38" s="1158" t="n">
        <v>305</v>
      </c>
      <c r="C38" t="inlineStr">
        <is>
          <t>Commercial</t>
        </is>
      </c>
      <c r="D38" t="n">
        <v>1</v>
      </c>
      <c r="E38" s="1158" t="inlineStr">
        <is>
          <t>Drive-up Mini Banks</t>
        </is>
      </c>
      <c r="F38">
        <f>B38&amp;" - "&amp;E38</f>
        <v/>
      </c>
    </row>
    <row r="39">
      <c r="B39" s="1158" t="n">
        <v>306</v>
      </c>
      <c r="C39" t="inlineStr">
        <is>
          <t>Commercial</t>
        </is>
      </c>
      <c r="D39" t="n">
        <v>6</v>
      </c>
      <c r="E39" s="1158" t="inlineStr">
        <is>
          <t>Bowling Alley</t>
        </is>
      </c>
      <c r="F39">
        <f>B39&amp;" - "&amp;E39</f>
        <v/>
      </c>
    </row>
    <row r="40">
      <c r="B40" s="1158" t="n">
        <v>309</v>
      </c>
      <c r="C40" t="inlineStr">
        <is>
          <t>Commercial</t>
        </is>
      </c>
      <c r="D40" t="n">
        <v>18</v>
      </c>
      <c r="E40" s="1158" t="inlineStr">
        <is>
          <t>Church</t>
        </is>
      </c>
      <c r="F40">
        <f>B40&amp;" - "&amp;E40</f>
        <v/>
      </c>
    </row>
    <row r="41">
      <c r="B41" s="1158" t="n">
        <v>310</v>
      </c>
      <c r="C41" t="inlineStr">
        <is>
          <t>Commercial</t>
        </is>
      </c>
      <c r="D41" t="n">
        <v>1</v>
      </c>
      <c r="E41" s="1158" t="inlineStr">
        <is>
          <t>City Club</t>
        </is>
      </c>
      <c r="F41">
        <f>B41&amp;" - "&amp;E41</f>
        <v/>
      </c>
    </row>
    <row r="42">
      <c r="B42" s="1158" t="n">
        <v>311</v>
      </c>
      <c r="C42" t="inlineStr">
        <is>
          <t>Commercial</t>
        </is>
      </c>
      <c r="D42" t="n">
        <v>5</v>
      </c>
      <c r="E42" s="1158" t="inlineStr">
        <is>
          <t>Clubhouse</t>
        </is>
      </c>
      <c r="F42">
        <f>B42&amp;" - "&amp;E42</f>
        <v/>
      </c>
    </row>
    <row r="43">
      <c r="B43" s="1158" t="n">
        <v>313</v>
      </c>
      <c r="C43" t="inlineStr">
        <is>
          <t>Commercial</t>
        </is>
      </c>
      <c r="D43" t="n">
        <v>1</v>
      </c>
      <c r="E43" s="1158" t="inlineStr">
        <is>
          <t>Convlsnt Hosp Nursing Home</t>
        </is>
      </c>
      <c r="F43">
        <f>B43&amp;" - "&amp;E43</f>
        <v/>
      </c>
    </row>
    <row r="44">
      <c r="B44" s="1158" t="n">
        <v>314</v>
      </c>
      <c r="C44" t="inlineStr">
        <is>
          <t>Commercial</t>
        </is>
      </c>
      <c r="D44" t="n">
        <v>1</v>
      </c>
      <c r="E44" s="1158" t="inlineStr">
        <is>
          <t>Country Club</t>
        </is>
      </c>
      <c r="F44">
        <f>B44&amp;" - "&amp;E44</f>
        <v/>
      </c>
    </row>
    <row r="45">
      <c r="B45" s="1158" t="n">
        <v>318</v>
      </c>
      <c r="C45" t="inlineStr">
        <is>
          <t>Commercial</t>
        </is>
      </c>
      <c r="D45" t="n">
        <v>3</v>
      </c>
      <c r="E45" s="1158" t="inlineStr">
        <is>
          <t>Department Store</t>
        </is>
      </c>
      <c r="F45">
        <f>B45&amp;" - "&amp;E45</f>
        <v/>
      </c>
    </row>
    <row r="46">
      <c r="B46" s="1158" t="n">
        <v>319</v>
      </c>
      <c r="C46" t="inlineStr">
        <is>
          <t>Commercial</t>
        </is>
      </c>
      <c r="D46" t="n">
        <v>47</v>
      </c>
      <c r="E46" s="1158" t="inlineStr">
        <is>
          <t>Discount Store</t>
        </is>
      </c>
      <c r="F46">
        <f>B46&amp;" - "&amp;E46</f>
        <v/>
      </c>
    </row>
    <row r="47">
      <c r="B47" s="1158" t="n">
        <v>320</v>
      </c>
      <c r="C47" t="inlineStr">
        <is>
          <t>Commercial</t>
        </is>
      </c>
      <c r="D47" t="n">
        <v>3</v>
      </c>
      <c r="E47" s="1158" t="inlineStr">
        <is>
          <t>Dispensary</t>
        </is>
      </c>
      <c r="F47">
        <f>B47&amp;" - "&amp;E47</f>
        <v/>
      </c>
    </row>
    <row r="48">
      <c r="B48" s="1158" t="n">
        <v>320</v>
      </c>
      <c r="C48" t="inlineStr">
        <is>
          <t>Industrial</t>
        </is>
      </c>
      <c r="D48" t="n">
        <v>1</v>
      </c>
      <c r="E48" s="1158" t="inlineStr">
        <is>
          <t>Dispensary</t>
        </is>
      </c>
      <c r="F48">
        <f>B48&amp;" - "&amp;E48</f>
        <v/>
      </c>
    </row>
    <row r="49">
      <c r="B49" s="1158" t="n">
        <v>321</v>
      </c>
      <c r="C49" t="inlineStr">
        <is>
          <t>Commercial</t>
        </is>
      </c>
      <c r="D49" t="n">
        <v>1</v>
      </c>
      <c r="E49" s="1158" t="inlineStr">
        <is>
          <t>Dormitory Residence Halls</t>
        </is>
      </c>
      <c r="F49">
        <f>B49&amp;" - "&amp;E49</f>
        <v/>
      </c>
    </row>
    <row r="50">
      <c r="B50" s="1158" t="n">
        <v>323</v>
      </c>
      <c r="C50" t="inlineStr">
        <is>
          <t>Commercial</t>
        </is>
      </c>
      <c r="D50" t="n">
        <v>5</v>
      </c>
      <c r="E50" s="1158" t="inlineStr">
        <is>
          <t>Fraternal Building</t>
        </is>
      </c>
      <c r="F50">
        <f>B50&amp;" - "&amp;E50</f>
        <v/>
      </c>
    </row>
    <row r="51">
      <c r="B51" s="1158" t="n">
        <v>325</v>
      </c>
      <c r="C51" t="inlineStr">
        <is>
          <t>Commercial</t>
        </is>
      </c>
      <c r="D51" t="n">
        <v>573</v>
      </c>
      <c r="E51" s="1158" t="inlineStr">
        <is>
          <t>Service Garage</t>
        </is>
      </c>
      <c r="F51">
        <f>B51&amp;" - "&amp;E51</f>
        <v/>
      </c>
    </row>
    <row r="52">
      <c r="B52" s="1158" t="n">
        <v>325</v>
      </c>
      <c r="C52" t="inlineStr">
        <is>
          <t>Industrial</t>
        </is>
      </c>
      <c r="D52" t="n">
        <v>38</v>
      </c>
      <c r="E52" s="1158" t="inlineStr">
        <is>
          <t>Service Garage</t>
        </is>
      </c>
      <c r="F52">
        <f>B52&amp;" - "&amp;E52</f>
        <v/>
      </c>
    </row>
    <row r="53">
      <c r="B53" s="1158" t="n">
        <v>326</v>
      </c>
      <c r="C53" t="inlineStr">
        <is>
          <t>Commercial</t>
        </is>
      </c>
      <c r="D53" t="n">
        <v>28</v>
      </c>
      <c r="E53" s="1158" t="inlineStr">
        <is>
          <t>Storage Garage</t>
        </is>
      </c>
      <c r="F53">
        <f>B53&amp;" - "&amp;E53</f>
        <v/>
      </c>
    </row>
    <row r="54">
      <c r="B54" s="1158" t="n">
        <v>326</v>
      </c>
      <c r="C54" t="inlineStr">
        <is>
          <t>Industrial</t>
        </is>
      </c>
      <c r="D54" t="n">
        <v>4</v>
      </c>
      <c r="E54" s="1158" t="inlineStr">
        <is>
          <t>Storage Garage</t>
        </is>
      </c>
      <c r="F54">
        <f>B54&amp;" - "&amp;E54</f>
        <v/>
      </c>
    </row>
    <row r="55">
      <c r="B55" s="1158" t="n">
        <v>328</v>
      </c>
      <c r="C55" t="inlineStr">
        <is>
          <t>Commercial</t>
        </is>
      </c>
      <c r="D55" t="n">
        <v>163</v>
      </c>
      <c r="E55" s="1158" t="inlineStr">
        <is>
          <t>Storage Hanger</t>
        </is>
      </c>
      <c r="F55">
        <f>B55&amp;" - "&amp;E55</f>
        <v/>
      </c>
    </row>
    <row r="56">
      <c r="B56" s="1158" t="n">
        <v>331</v>
      </c>
      <c r="C56" t="inlineStr">
        <is>
          <t>Commercial</t>
        </is>
      </c>
      <c r="D56" t="n">
        <v>4</v>
      </c>
      <c r="E56" s="1158" t="inlineStr">
        <is>
          <t>Hospital</t>
        </is>
      </c>
      <c r="F56">
        <f>B56&amp;" - "&amp;E56</f>
        <v/>
      </c>
    </row>
    <row r="57">
      <c r="B57" s="1158" t="n">
        <v>332</v>
      </c>
      <c r="C57" t="inlineStr">
        <is>
          <t>Commercial</t>
        </is>
      </c>
      <c r="D57" t="n">
        <v>13</v>
      </c>
      <c r="E57" s="1158" t="inlineStr">
        <is>
          <t>Hotel - Full Service</t>
        </is>
      </c>
      <c r="F57">
        <f>B57&amp;" - "&amp;E57</f>
        <v/>
      </c>
    </row>
    <row r="58">
      <c r="B58" s="1158" t="n">
        <v>333</v>
      </c>
      <c r="C58" t="inlineStr">
        <is>
          <t>Commercial</t>
        </is>
      </c>
      <c r="D58" t="n">
        <v>2</v>
      </c>
      <c r="E58" s="1158" t="inlineStr">
        <is>
          <t>Indust Heavy Manufacturing</t>
        </is>
      </c>
      <c r="F58">
        <f>B58&amp;" - "&amp;E58</f>
        <v/>
      </c>
    </row>
    <row r="59">
      <c r="B59" s="1158" t="n">
        <v>333</v>
      </c>
      <c r="C59" t="inlineStr">
        <is>
          <t>Industrial</t>
        </is>
      </c>
      <c r="D59" t="n">
        <v>1</v>
      </c>
      <c r="E59" s="1158" t="inlineStr">
        <is>
          <t>Indust Heavy Manufacturing</t>
        </is>
      </c>
      <c r="F59">
        <f>B59&amp;" - "&amp;E59</f>
        <v/>
      </c>
    </row>
    <row r="60">
      <c r="B60" s="1158" t="n">
        <v>334</v>
      </c>
      <c r="C60" t="inlineStr">
        <is>
          <t>Commercial</t>
        </is>
      </c>
      <c r="D60" t="n">
        <v>47</v>
      </c>
      <c r="E60" s="1158" t="inlineStr">
        <is>
          <t>Indust Lght Manufacturing</t>
        </is>
      </c>
      <c r="F60">
        <f>B60&amp;" - "&amp;E60</f>
        <v/>
      </c>
    </row>
    <row r="61">
      <c r="B61" s="1158" t="n">
        <v>334</v>
      </c>
      <c r="C61" t="inlineStr">
        <is>
          <t>Industrial</t>
        </is>
      </c>
      <c r="D61" t="n">
        <v>79</v>
      </c>
      <c r="E61" s="1158" t="inlineStr">
        <is>
          <t>Indust Lght Manufacturing</t>
        </is>
      </c>
      <c r="F61">
        <f>B61&amp;" - "&amp;E61</f>
        <v/>
      </c>
    </row>
    <row r="62">
      <c r="B62" s="1158" t="n">
        <v>335</v>
      </c>
      <c r="C62" t="inlineStr">
        <is>
          <t>Commercial</t>
        </is>
      </c>
      <c r="D62" t="n">
        <v>1</v>
      </c>
      <c r="E62" s="1158" t="inlineStr">
        <is>
          <t>Jail - Correctional Facility</t>
        </is>
      </c>
      <c r="F62">
        <f>B62&amp;" - "&amp;E62</f>
        <v/>
      </c>
    </row>
    <row r="63">
      <c r="B63" s="1158" t="n">
        <v>336</v>
      </c>
      <c r="C63" t="inlineStr">
        <is>
          <t>Commercial</t>
        </is>
      </c>
      <c r="D63" t="n">
        <v>5</v>
      </c>
      <c r="E63" s="1158" t="inlineStr">
        <is>
          <t>Laundromat</t>
        </is>
      </c>
      <c r="F63">
        <f>B63&amp;" - "&amp;E63</f>
        <v/>
      </c>
    </row>
    <row r="64">
      <c r="B64" s="1158" t="n">
        <v>339</v>
      </c>
      <c r="C64" t="inlineStr">
        <is>
          <t>Commercial</t>
        </is>
      </c>
      <c r="D64" t="n">
        <v>16</v>
      </c>
      <c r="E64" s="1158" t="inlineStr">
        <is>
          <t>Lumber Storage - Horizontal</t>
        </is>
      </c>
      <c r="F64">
        <f>B64&amp;" - "&amp;E64</f>
        <v/>
      </c>
    </row>
    <row r="65">
      <c r="B65" s="1158" t="n">
        <v>339</v>
      </c>
      <c r="C65" t="inlineStr">
        <is>
          <t>Industrial</t>
        </is>
      </c>
      <c r="D65" t="n">
        <v>2</v>
      </c>
      <c r="E65" s="1158" t="inlineStr">
        <is>
          <t>Lumber Storage - Horizontal</t>
        </is>
      </c>
      <c r="F65">
        <f>B65&amp;" - "&amp;E65</f>
        <v/>
      </c>
    </row>
    <row r="66">
      <c r="B66" s="1158" t="n">
        <v>340</v>
      </c>
      <c r="C66" t="inlineStr">
        <is>
          <t>Commercial</t>
        </is>
      </c>
      <c r="D66" t="n">
        <v>9</v>
      </c>
      <c r="E66" s="1158" t="inlineStr">
        <is>
          <t>Market</t>
        </is>
      </c>
      <c r="F66">
        <f>B66&amp;" - "&amp;E66</f>
        <v/>
      </c>
    </row>
    <row r="67">
      <c r="B67" s="1158" t="n">
        <v>341</v>
      </c>
      <c r="C67" t="inlineStr">
        <is>
          <t>Commercial</t>
        </is>
      </c>
      <c r="D67" t="n">
        <v>307</v>
      </c>
      <c r="E67" s="1158" t="inlineStr">
        <is>
          <t>Medical Offices</t>
        </is>
      </c>
      <c r="F67">
        <f>B67&amp;" - "&amp;E67</f>
        <v/>
      </c>
    </row>
    <row r="68">
      <c r="B68" s="1158" t="n">
        <v>342</v>
      </c>
      <c r="C68" t="inlineStr">
        <is>
          <t>Commercial</t>
        </is>
      </c>
      <c r="D68" t="n">
        <v>6</v>
      </c>
      <c r="E68" s="1158" t="inlineStr">
        <is>
          <t>Mortuary</t>
        </is>
      </c>
      <c r="F68">
        <f>B68&amp;" - "&amp;E68</f>
        <v/>
      </c>
    </row>
    <row r="69">
      <c r="B69" s="1158" t="n">
        <v>343</v>
      </c>
      <c r="C69" t="inlineStr">
        <is>
          <t>Commercial</t>
        </is>
      </c>
      <c r="D69" t="n">
        <v>16</v>
      </c>
      <c r="E69" s="1158" t="inlineStr">
        <is>
          <t>Motel</t>
        </is>
      </c>
      <c r="F69">
        <f>B69&amp;" - "&amp;E69</f>
        <v/>
      </c>
    </row>
    <row r="70">
      <c r="B70" s="1158" t="n">
        <v>344</v>
      </c>
      <c r="C70" t="inlineStr">
        <is>
          <t>Commercial</t>
        </is>
      </c>
      <c r="D70" t="n">
        <v>509</v>
      </c>
      <c r="E70" s="1158" t="inlineStr">
        <is>
          <t>Office Building</t>
        </is>
      </c>
      <c r="F70">
        <f>B70&amp;" - "&amp;E70</f>
        <v/>
      </c>
    </row>
    <row r="71">
      <c r="B71" s="1158" t="n">
        <v>344</v>
      </c>
      <c r="C71" t="inlineStr">
        <is>
          <t>Industrial</t>
        </is>
      </c>
      <c r="D71" t="n">
        <v>57</v>
      </c>
      <c r="E71" s="1158" t="inlineStr">
        <is>
          <t>Office Building</t>
        </is>
      </c>
      <c r="F71">
        <f>B71&amp;" - "&amp;E71</f>
        <v/>
      </c>
    </row>
    <row r="72">
      <c r="B72" s="1158" t="n">
        <v>345</v>
      </c>
      <c r="C72" t="inlineStr">
        <is>
          <t>Commercial</t>
        </is>
      </c>
      <c r="D72" t="n">
        <v>5</v>
      </c>
      <c r="E72" s="1158" t="inlineStr">
        <is>
          <t>Parking Structure</t>
        </is>
      </c>
      <c r="F72">
        <f>B72&amp;" - "&amp;E72</f>
        <v/>
      </c>
    </row>
    <row r="73">
      <c r="B73" s="1158" t="n">
        <v>345</v>
      </c>
      <c r="C73" t="inlineStr">
        <is>
          <t>Industrial</t>
        </is>
      </c>
      <c r="D73" t="n">
        <v>1</v>
      </c>
      <c r="E73" s="1158" t="inlineStr">
        <is>
          <t>Parking Structure</t>
        </is>
      </c>
      <c r="F73">
        <f>B73&amp;" - "&amp;E73</f>
        <v/>
      </c>
    </row>
    <row r="74">
      <c r="B74" s="1158" t="n">
        <v>346</v>
      </c>
      <c r="C74" t="inlineStr">
        <is>
          <t>Commercial</t>
        </is>
      </c>
      <c r="D74" t="n">
        <v>12</v>
      </c>
      <c r="E74" s="1158" t="inlineStr">
        <is>
          <t>Post Office</t>
        </is>
      </c>
      <c r="F74">
        <f>B74&amp;" - "&amp;E74</f>
        <v/>
      </c>
    </row>
    <row r="75">
      <c r="B75" s="1158" t="n">
        <v>349</v>
      </c>
      <c r="C75" t="inlineStr">
        <is>
          <t>Commercial</t>
        </is>
      </c>
      <c r="D75" t="n">
        <v>194</v>
      </c>
      <c r="E75" s="1158" t="inlineStr">
        <is>
          <t>Fast Food Restaurant</t>
        </is>
      </c>
      <c r="F75">
        <f>B75&amp;" - "&amp;E75</f>
        <v/>
      </c>
    </row>
    <row r="76">
      <c r="B76" s="1158" t="n">
        <v>350</v>
      </c>
      <c r="C76" t="inlineStr">
        <is>
          <t>Commercial</t>
        </is>
      </c>
      <c r="D76" t="n">
        <v>186</v>
      </c>
      <c r="E76" s="1158" t="inlineStr">
        <is>
          <t>Restaurant</t>
        </is>
      </c>
      <c r="F76">
        <f>B76&amp;" - "&amp;E76</f>
        <v/>
      </c>
    </row>
    <row r="77">
      <c r="B77" s="1158" t="n">
        <v>352</v>
      </c>
      <c r="C77" t="inlineStr">
        <is>
          <t>Commercial</t>
        </is>
      </c>
      <c r="D77" t="n">
        <v>6</v>
      </c>
      <c r="E77" s="1158" t="inlineStr">
        <is>
          <t>Multiple - Residential</t>
        </is>
      </c>
      <c r="F77">
        <f>B77&amp;" - "&amp;E77</f>
        <v/>
      </c>
    </row>
    <row r="78">
      <c r="B78" s="1158" t="n">
        <v>352</v>
      </c>
      <c r="C78" t="inlineStr">
        <is>
          <t>Industrial</t>
        </is>
      </c>
      <c r="D78" t="n">
        <v>1</v>
      </c>
      <c r="E78" s="1158" t="inlineStr">
        <is>
          <t>Multiple - Residential</t>
        </is>
      </c>
      <c r="F78">
        <f>B78&amp;" - "&amp;E78</f>
        <v/>
      </c>
    </row>
    <row r="79">
      <c r="B79" s="1158" t="n">
        <v>353</v>
      </c>
      <c r="C79" t="inlineStr">
        <is>
          <t>Commercial</t>
        </is>
      </c>
      <c r="D79" t="n">
        <v>698</v>
      </c>
      <c r="E79" s="1158" t="inlineStr">
        <is>
          <t>Retail Store</t>
        </is>
      </c>
      <c r="F79">
        <f>B79&amp;" - "&amp;E79</f>
        <v/>
      </c>
    </row>
    <row r="80">
      <c r="B80" s="1158" t="n">
        <v>353</v>
      </c>
      <c r="C80" t="inlineStr">
        <is>
          <t>Industrial</t>
        </is>
      </c>
      <c r="D80" t="n">
        <v>2</v>
      </c>
      <c r="E80" s="1158" t="inlineStr">
        <is>
          <t>Retail Store</t>
        </is>
      </c>
      <c r="F80">
        <f>B80&amp;" - "&amp;E80</f>
        <v/>
      </c>
    </row>
    <row r="81">
      <c r="B81" s="1158" t="n">
        <v>356</v>
      </c>
      <c r="C81" t="inlineStr">
        <is>
          <t>Commercial</t>
        </is>
      </c>
      <c r="D81" t="n">
        <v>1</v>
      </c>
      <c r="E81" s="1158" t="inlineStr">
        <is>
          <t>School - Classroom</t>
        </is>
      </c>
      <c r="F81">
        <f>B81&amp;" - "&amp;E81</f>
        <v/>
      </c>
    </row>
    <row r="82">
      <c r="B82" s="1158" t="n">
        <v>358</v>
      </c>
      <c r="C82" t="inlineStr">
        <is>
          <t>Commercial</t>
        </is>
      </c>
      <c r="D82" t="n">
        <v>5</v>
      </c>
      <c r="E82" s="1158" t="inlineStr">
        <is>
          <t>School - Gymnasium</t>
        </is>
      </c>
      <c r="F82">
        <f>B82&amp;" - "&amp;E82</f>
        <v/>
      </c>
    </row>
    <row r="83">
      <c r="B83" s="1158" t="n">
        <v>359</v>
      </c>
      <c r="C83" t="inlineStr">
        <is>
          <t>Commercial</t>
        </is>
      </c>
      <c r="D83" t="n">
        <v>2</v>
      </c>
      <c r="E83" s="1158" t="inlineStr">
        <is>
          <t>School - Lecture Hall</t>
        </is>
      </c>
      <c r="F83">
        <f>B83&amp;" - "&amp;E83</f>
        <v/>
      </c>
    </row>
    <row r="84">
      <c r="B84" s="1158" t="n">
        <v>361</v>
      </c>
      <c r="C84" t="inlineStr">
        <is>
          <t>Commercial</t>
        </is>
      </c>
      <c r="D84" t="n">
        <v>2</v>
      </c>
      <c r="E84" s="1158" t="inlineStr">
        <is>
          <t>School - Manual Arts</t>
        </is>
      </c>
      <c r="F84">
        <f>B84&amp;" - "&amp;E84</f>
        <v/>
      </c>
    </row>
    <row r="85">
      <c r="B85" s="1158" t="n">
        <v>368</v>
      </c>
      <c r="C85" t="inlineStr">
        <is>
          <t>Commercial</t>
        </is>
      </c>
      <c r="D85" t="n">
        <v>2</v>
      </c>
      <c r="E85" s="1158" t="inlineStr">
        <is>
          <t>College - Classrooms</t>
        </is>
      </c>
      <c r="F85">
        <f>B85&amp;" - "&amp;E85</f>
        <v/>
      </c>
    </row>
    <row r="86">
      <c r="B86" s="1158" t="n">
        <v>378</v>
      </c>
      <c r="C86" t="inlineStr">
        <is>
          <t>Commercial</t>
        </is>
      </c>
      <c r="D86" t="n">
        <v>1</v>
      </c>
      <c r="E86" s="1158" t="inlineStr">
        <is>
          <t>Stable</t>
        </is>
      </c>
      <c r="F86">
        <f>B86&amp;" - "&amp;E86</f>
        <v/>
      </c>
    </row>
    <row r="87">
      <c r="B87" s="1158" t="n">
        <v>380</v>
      </c>
      <c r="C87" t="inlineStr">
        <is>
          <t>Commercial</t>
        </is>
      </c>
      <c r="D87" t="n">
        <v>2</v>
      </c>
      <c r="E87" s="1158" t="inlineStr">
        <is>
          <t>Theatre - Motion</t>
        </is>
      </c>
      <c r="F87">
        <f>B87&amp;" - "&amp;E87</f>
        <v/>
      </c>
    </row>
    <row r="88">
      <c r="B88" s="1158" t="n">
        <v>381</v>
      </c>
      <c r="C88" t="inlineStr">
        <is>
          <t>Commercial</t>
        </is>
      </c>
      <c r="D88" t="n">
        <v>21</v>
      </c>
      <c r="E88" s="1158" t="inlineStr">
        <is>
          <t>Veterinary Hospital</t>
        </is>
      </c>
      <c r="F88">
        <f>B88&amp;" - "&amp;E88</f>
        <v/>
      </c>
    </row>
    <row r="89">
      <c r="B89" s="1158" t="n">
        <v>382</v>
      </c>
      <c r="C89" t="inlineStr">
        <is>
          <t>Commercial</t>
        </is>
      </c>
      <c r="D89" t="n">
        <v>1</v>
      </c>
      <c r="E89" s="1158" t="inlineStr">
        <is>
          <t>Medical Office Buildings</t>
        </is>
      </c>
      <c r="F89">
        <f>B89&amp;" - "&amp;E89</f>
        <v/>
      </c>
    </row>
    <row r="90">
      <c r="B90" s="1158" t="n">
        <v>384</v>
      </c>
      <c r="C90" t="inlineStr">
        <is>
          <t>Commercial</t>
        </is>
      </c>
      <c r="D90" t="n">
        <v>9</v>
      </c>
      <c r="E90" s="1158" t="inlineStr">
        <is>
          <t>Barber/Beauty Shop</t>
        </is>
      </c>
      <c r="F90">
        <f>B90&amp;" - "&amp;E90</f>
        <v/>
      </c>
    </row>
    <row r="91">
      <c r="B91" s="1158" t="n">
        <v>386</v>
      </c>
      <c r="C91" t="inlineStr">
        <is>
          <t>Commercial</t>
        </is>
      </c>
      <c r="D91" t="n">
        <v>77</v>
      </c>
      <c r="E91" s="1158" t="inlineStr">
        <is>
          <t>Mini Warehouse</t>
        </is>
      </c>
      <c r="F91">
        <f>B91&amp;" - "&amp;E91</f>
        <v/>
      </c>
    </row>
    <row r="92">
      <c r="B92" s="1158" t="n">
        <v>386</v>
      </c>
      <c r="C92" t="inlineStr">
        <is>
          <t>Industrial</t>
        </is>
      </c>
      <c r="D92" t="n">
        <v>4</v>
      </c>
      <c r="E92" s="1158" t="inlineStr">
        <is>
          <t>Mini Warehouse</t>
        </is>
      </c>
      <c r="F92">
        <f>B92&amp;" - "&amp;E92</f>
        <v/>
      </c>
    </row>
    <row r="93">
      <c r="B93" s="1158" t="n">
        <v>387</v>
      </c>
      <c r="C93" t="inlineStr">
        <is>
          <t>Commercial</t>
        </is>
      </c>
      <c r="D93" t="n">
        <v>27</v>
      </c>
      <c r="E93" s="1158" t="inlineStr">
        <is>
          <t>Transit Warehouse</t>
        </is>
      </c>
      <c r="F93">
        <f>B93&amp;" - "&amp;E93</f>
        <v/>
      </c>
    </row>
    <row r="94">
      <c r="B94" s="1158" t="n">
        <v>387</v>
      </c>
      <c r="C94" t="inlineStr">
        <is>
          <t>Industrial</t>
        </is>
      </c>
      <c r="D94" t="n">
        <v>4</v>
      </c>
      <c r="E94" s="1158" t="inlineStr">
        <is>
          <t>Transit Warehouse</t>
        </is>
      </c>
      <c r="F94">
        <f>B94&amp;" - "&amp;E94</f>
        <v/>
      </c>
    </row>
    <row r="95">
      <c r="B95" s="1158" t="n">
        <v>389</v>
      </c>
      <c r="C95" t="inlineStr">
        <is>
          <t>Commercial</t>
        </is>
      </c>
      <c r="D95" t="n">
        <v>7</v>
      </c>
      <c r="E95" s="1158" t="inlineStr">
        <is>
          <t>Equipment Implement</t>
        </is>
      </c>
      <c r="F95">
        <f>B95&amp;" - "&amp;E95</f>
        <v/>
      </c>
    </row>
    <row r="96">
      <c r="B96" s="1158" t="n">
        <v>389</v>
      </c>
      <c r="C96" t="inlineStr">
        <is>
          <t>Industrial</t>
        </is>
      </c>
      <c r="D96" t="n">
        <v>3</v>
      </c>
      <c r="E96" s="1158" t="inlineStr">
        <is>
          <t>Equipment Implement</t>
        </is>
      </c>
      <c r="F96">
        <f>B96&amp;" - "&amp;E96</f>
        <v/>
      </c>
    </row>
    <row r="97">
      <c r="B97" s="1158" t="n">
        <v>390</v>
      </c>
      <c r="C97" t="inlineStr">
        <is>
          <t>Commercial</t>
        </is>
      </c>
      <c r="D97" t="n">
        <v>4</v>
      </c>
      <c r="E97" s="1158" t="inlineStr">
        <is>
          <t>Lumber Storage - Vertical</t>
        </is>
      </c>
      <c r="F97">
        <f>B97&amp;" - "&amp;E97</f>
        <v/>
      </c>
    </row>
    <row r="98">
      <c r="B98" s="1158" t="n">
        <v>391</v>
      </c>
      <c r="C98" t="inlineStr">
        <is>
          <t>Commercial</t>
        </is>
      </c>
      <c r="D98" t="n">
        <v>10</v>
      </c>
      <c r="E98" s="1158" t="inlineStr">
        <is>
          <t>Storage - Material</t>
        </is>
      </c>
      <c r="F98">
        <f>B98&amp;" - "&amp;E98</f>
        <v/>
      </c>
    </row>
    <row r="99">
      <c r="B99" s="1158" t="n">
        <v>391</v>
      </c>
      <c r="C99" t="inlineStr">
        <is>
          <t>Industrial</t>
        </is>
      </c>
      <c r="D99" t="n">
        <v>3</v>
      </c>
      <c r="E99" s="1158" t="inlineStr">
        <is>
          <t>Storage - Material</t>
        </is>
      </c>
      <c r="F99">
        <f>B99&amp;" - "&amp;E99</f>
        <v/>
      </c>
    </row>
    <row r="100">
      <c r="B100" s="1158" t="n">
        <v>392</v>
      </c>
      <c r="C100" t="inlineStr">
        <is>
          <t>Commercial</t>
        </is>
      </c>
      <c r="D100" t="n">
        <v>2</v>
      </c>
      <c r="E100" s="1158" t="inlineStr">
        <is>
          <t>Industrial Engineering &amp; Research</t>
        </is>
      </c>
      <c r="F100">
        <f>B100&amp;" - "&amp;E100</f>
        <v/>
      </c>
    </row>
    <row r="101">
      <c r="B101" s="1158" t="n">
        <v>392</v>
      </c>
      <c r="C101" t="inlineStr">
        <is>
          <t>Industrial</t>
        </is>
      </c>
      <c r="D101" t="n">
        <v>2</v>
      </c>
      <c r="E101" s="1158" t="inlineStr">
        <is>
          <t>Industrial Engineering &amp; Research</t>
        </is>
      </c>
      <c r="F101">
        <f>B101&amp;" - "&amp;E101</f>
        <v/>
      </c>
    </row>
    <row r="102">
      <c r="B102" s="1158" t="n">
        <v>397</v>
      </c>
      <c r="C102" t="inlineStr">
        <is>
          <t>Commercial</t>
        </is>
      </c>
      <c r="D102" t="n">
        <v>2</v>
      </c>
      <c r="E102" s="1158" t="inlineStr">
        <is>
          <t>Barn</t>
        </is>
      </c>
      <c r="F102">
        <f>B102&amp;" - "&amp;E102</f>
        <v/>
      </c>
    </row>
    <row r="103">
      <c r="B103" s="1158" t="n">
        <v>401</v>
      </c>
      <c r="C103" t="inlineStr">
        <is>
          <t>Commercial</t>
        </is>
      </c>
      <c r="D103" t="n">
        <v>16</v>
      </c>
      <c r="E103" s="1158" t="inlineStr">
        <is>
          <t>Shed - Equipment</t>
        </is>
      </c>
      <c r="F103">
        <f>B103&amp;" - "&amp;E103</f>
        <v/>
      </c>
    </row>
    <row r="104">
      <c r="B104" s="1158" t="n">
        <v>401</v>
      </c>
      <c r="C104" t="inlineStr">
        <is>
          <t>Industrial</t>
        </is>
      </c>
      <c r="D104" t="n">
        <v>5</v>
      </c>
      <c r="E104" s="1158" t="inlineStr">
        <is>
          <t>Shed - Equipment</t>
        </is>
      </c>
      <c r="F104">
        <f>B104&amp;" - "&amp;E104</f>
        <v/>
      </c>
    </row>
    <row r="105">
      <c r="B105" s="1158" t="n">
        <v>403</v>
      </c>
      <c r="C105" t="inlineStr">
        <is>
          <t>Commercial</t>
        </is>
      </c>
      <c r="D105" t="n">
        <v>2</v>
      </c>
      <c r="E105" s="1158" t="inlineStr">
        <is>
          <t>Shower Building</t>
        </is>
      </c>
      <c r="F105">
        <f>B105&amp;" - "&amp;E105</f>
        <v/>
      </c>
    </row>
    <row r="106">
      <c r="B106" s="1158" t="n">
        <v>403</v>
      </c>
      <c r="C106" t="inlineStr">
        <is>
          <t>Industrial</t>
        </is>
      </c>
      <c r="D106" t="n">
        <v>2</v>
      </c>
      <c r="E106" s="1158" t="inlineStr">
        <is>
          <t>Shower Building</t>
        </is>
      </c>
      <c r="F106">
        <f>B106&amp;" - "&amp;E106</f>
        <v/>
      </c>
    </row>
    <row r="107">
      <c r="B107" s="1158" t="n">
        <v>404</v>
      </c>
      <c r="C107" t="inlineStr">
        <is>
          <t>Commercial</t>
        </is>
      </c>
      <c r="D107" t="n">
        <v>28</v>
      </c>
      <c r="E107" s="1158" t="inlineStr">
        <is>
          <t>Farm Utility Building</t>
        </is>
      </c>
      <c r="F107">
        <f>B107&amp;" - "&amp;E107</f>
        <v/>
      </c>
    </row>
    <row r="108">
      <c r="B108" s="1158" t="n">
        <v>404</v>
      </c>
      <c r="C108" t="inlineStr">
        <is>
          <t>Industrial</t>
        </is>
      </c>
      <c r="D108" t="n">
        <v>6</v>
      </c>
      <c r="E108" s="1158" t="inlineStr">
        <is>
          <t>Farm Utility Building</t>
        </is>
      </c>
      <c r="F108">
        <f>B108&amp;" - "&amp;E108</f>
        <v/>
      </c>
    </row>
    <row r="109">
      <c r="B109" s="1158" t="n">
        <v>405</v>
      </c>
      <c r="C109" t="inlineStr">
        <is>
          <t>Commercial</t>
        </is>
      </c>
      <c r="D109" t="n">
        <v>2</v>
      </c>
      <c r="E109" s="1158" t="inlineStr">
        <is>
          <t>Skating Rink</t>
        </is>
      </c>
      <c r="F109">
        <f>B109&amp;" - "&amp;E109</f>
        <v/>
      </c>
    </row>
    <row r="110">
      <c r="B110" s="1158" t="n">
        <v>406</v>
      </c>
      <c r="C110" t="inlineStr">
        <is>
          <t>Commercial</t>
        </is>
      </c>
      <c r="D110" t="n">
        <v>642</v>
      </c>
      <c r="E110" s="1158" t="inlineStr">
        <is>
          <t>Storage Warehouse</t>
        </is>
      </c>
      <c r="F110">
        <f>B110&amp;" - "&amp;E110</f>
        <v/>
      </c>
    </row>
    <row r="111">
      <c r="B111" s="1158" t="n">
        <v>406</v>
      </c>
      <c r="C111" t="inlineStr">
        <is>
          <t>Industrial</t>
        </is>
      </c>
      <c r="D111" t="n">
        <v>75</v>
      </c>
      <c r="E111" s="1158" t="inlineStr">
        <is>
          <t>Storage Warehouse</t>
        </is>
      </c>
      <c r="F111">
        <f>B111&amp;" - "&amp;E111</f>
        <v/>
      </c>
    </row>
    <row r="112">
      <c r="B112" s="1158" t="n">
        <v>407</v>
      </c>
      <c r="C112" t="inlineStr">
        <is>
          <t>Commercial</t>
        </is>
      </c>
      <c r="D112" t="n">
        <v>501</v>
      </c>
      <c r="E112" s="1158" t="inlineStr">
        <is>
          <t>Distribution Warehouse</t>
        </is>
      </c>
      <c r="F112">
        <f>B112&amp;" - "&amp;E112</f>
        <v/>
      </c>
    </row>
    <row r="113">
      <c r="B113" s="1158" t="n">
        <v>407</v>
      </c>
      <c r="C113" t="inlineStr">
        <is>
          <t>Industrial</t>
        </is>
      </c>
      <c r="D113" t="n">
        <v>154</v>
      </c>
      <c r="E113" s="1158" t="inlineStr">
        <is>
          <t>Distribution Warehouse</t>
        </is>
      </c>
      <c r="F113">
        <f>B113&amp;" - "&amp;E113</f>
        <v/>
      </c>
    </row>
    <row r="114">
      <c r="B114" s="1158" t="n">
        <v>408</v>
      </c>
      <c r="C114" t="inlineStr">
        <is>
          <t>Commercial</t>
        </is>
      </c>
      <c r="D114" t="n">
        <v>10</v>
      </c>
      <c r="E114" s="1158" t="inlineStr">
        <is>
          <t>Service Station</t>
        </is>
      </c>
      <c r="F114">
        <f>B114&amp;" - "&amp;E114</f>
        <v/>
      </c>
    </row>
    <row r="115">
      <c r="B115" s="1158" t="n">
        <v>409</v>
      </c>
      <c r="C115" t="inlineStr">
        <is>
          <t>Commercial</t>
        </is>
      </c>
      <c r="D115" t="n">
        <v>23</v>
      </c>
      <c r="E115" s="1158" t="inlineStr">
        <is>
          <t>T-Hanger</t>
        </is>
      </c>
      <c r="F115">
        <f>B115&amp;" - "&amp;E115</f>
        <v/>
      </c>
    </row>
    <row r="116">
      <c r="B116" s="1158" t="n">
        <v>410</v>
      </c>
      <c r="C116" t="inlineStr">
        <is>
          <t>Commercial</t>
        </is>
      </c>
      <c r="D116" t="n">
        <v>7</v>
      </c>
      <c r="E116" s="1158" t="inlineStr">
        <is>
          <t>Automotive Center</t>
        </is>
      </c>
      <c r="F116">
        <f>B116&amp;" - "&amp;E116</f>
        <v/>
      </c>
    </row>
    <row r="117">
      <c r="B117" s="1158" t="n">
        <v>412</v>
      </c>
      <c r="C117" t="inlineStr">
        <is>
          <t>Commercial</t>
        </is>
      </c>
      <c r="D117" t="n">
        <v>43</v>
      </c>
      <c r="E117" s="1158" t="inlineStr">
        <is>
          <t>Neighborhood Shopping Center</t>
        </is>
      </c>
      <c r="F117">
        <f>B117&amp;" - "&amp;E117</f>
        <v/>
      </c>
    </row>
    <row r="118">
      <c r="B118" s="1158" t="n">
        <v>413</v>
      </c>
      <c r="C118" t="inlineStr">
        <is>
          <t>Commercial</t>
        </is>
      </c>
      <c r="D118" t="n">
        <v>20</v>
      </c>
      <c r="E118" s="1158" t="inlineStr">
        <is>
          <t>Community Shopping Center</t>
        </is>
      </c>
      <c r="F118">
        <f>B118&amp;" - "&amp;E118</f>
        <v/>
      </c>
    </row>
    <row r="119">
      <c r="B119" s="1158" t="n">
        <v>414</v>
      </c>
      <c r="C119" t="inlineStr">
        <is>
          <t>Commercial</t>
        </is>
      </c>
      <c r="D119" t="n">
        <v>8</v>
      </c>
      <c r="E119" s="1158" t="inlineStr">
        <is>
          <t>Regional Shopping Center</t>
        </is>
      </c>
      <c r="F119">
        <f>B119&amp;" - "&amp;E119</f>
        <v/>
      </c>
    </row>
    <row r="120">
      <c r="B120" s="1158" t="n">
        <v>415</v>
      </c>
      <c r="C120" t="inlineStr">
        <is>
          <t>Commercial</t>
        </is>
      </c>
      <c r="D120" t="n">
        <v>2</v>
      </c>
      <c r="E120" s="1158" t="inlineStr">
        <is>
          <t>Utility Bldg Res</t>
        </is>
      </c>
      <c r="F120">
        <f>B120&amp;" - "&amp;E120</f>
        <v/>
      </c>
    </row>
    <row r="121">
      <c r="B121" s="1158" t="n">
        <v>418</v>
      </c>
      <c r="C121" t="inlineStr">
        <is>
          <t>Commercial</t>
        </is>
      </c>
      <c r="D121" t="n">
        <v>2</v>
      </c>
      <c r="E121" s="1158" t="inlineStr">
        <is>
          <t>Health Club</t>
        </is>
      </c>
      <c r="F121">
        <f>B121&amp;" - "&amp;E121</f>
        <v/>
      </c>
    </row>
    <row r="122">
      <c r="B122" s="1158" t="n">
        <v>419</v>
      </c>
      <c r="C122" t="inlineStr">
        <is>
          <t>Commercial</t>
        </is>
      </c>
      <c r="D122" t="n">
        <v>139</v>
      </c>
      <c r="E122" s="1158" t="inlineStr">
        <is>
          <t>Convenience Store</t>
        </is>
      </c>
      <c r="F122">
        <f>B122&amp;" - "&amp;E122</f>
        <v/>
      </c>
    </row>
    <row r="123">
      <c r="B123" s="1158" t="n">
        <v>419</v>
      </c>
      <c r="C123" t="inlineStr">
        <is>
          <t>Industrial</t>
        </is>
      </c>
      <c r="D123" t="n">
        <v>1</v>
      </c>
      <c r="E123" s="1158" t="inlineStr">
        <is>
          <t>Convenience Store</t>
        </is>
      </c>
      <c r="F123">
        <f>B123&amp;" - "&amp;E123</f>
        <v/>
      </c>
    </row>
    <row r="124">
      <c r="B124" s="1158" t="n">
        <v>421</v>
      </c>
      <c r="C124" t="inlineStr">
        <is>
          <t>Commercial</t>
        </is>
      </c>
      <c r="D124" t="n">
        <v>1</v>
      </c>
      <c r="E124" s="1158" t="inlineStr">
        <is>
          <t>Shed - Tool</t>
        </is>
      </c>
      <c r="F124">
        <f>B124&amp;" - "&amp;E124</f>
        <v/>
      </c>
    </row>
    <row r="125">
      <c r="B125" s="1158" t="n">
        <v>423</v>
      </c>
      <c r="C125" t="inlineStr">
        <is>
          <t>Commercial</t>
        </is>
      </c>
      <c r="D125" t="n">
        <v>23</v>
      </c>
      <c r="E125" s="1158" t="inlineStr">
        <is>
          <t>Mini Lube Garage</t>
        </is>
      </c>
      <c r="F125">
        <f>B125&amp;" - "&amp;E125</f>
        <v/>
      </c>
    </row>
    <row r="126">
      <c r="B126" s="1158" t="n">
        <v>425</v>
      </c>
      <c r="C126" t="inlineStr">
        <is>
          <t>Commercial</t>
        </is>
      </c>
      <c r="D126" t="n">
        <v>356</v>
      </c>
      <c r="E126" s="1158" t="inlineStr">
        <is>
          <t>Industrial WH Condo</t>
        </is>
      </c>
      <c r="F126">
        <f>B126&amp;" - "&amp;E126</f>
        <v/>
      </c>
    </row>
    <row r="127">
      <c r="B127" s="1158" t="n">
        <v>425</v>
      </c>
      <c r="C127" t="inlineStr">
        <is>
          <t>Industrial</t>
        </is>
      </c>
      <c r="D127" t="n">
        <v>12</v>
      </c>
      <c r="E127" s="1158" t="inlineStr">
        <is>
          <t>Industrial WH Condo</t>
        </is>
      </c>
      <c r="F127">
        <f>B127&amp;" - "&amp;E127</f>
        <v/>
      </c>
    </row>
    <row r="128">
      <c r="B128" s="1158" t="n">
        <v>426</v>
      </c>
      <c r="C128" t="inlineStr">
        <is>
          <t>Commercial</t>
        </is>
      </c>
      <c r="D128" t="n">
        <v>35</v>
      </c>
      <c r="E128" s="1158" t="inlineStr">
        <is>
          <t>Day Care Center</t>
        </is>
      </c>
      <c r="F128">
        <f>B128&amp;" - "&amp;E128</f>
        <v/>
      </c>
    </row>
    <row r="129">
      <c r="B129" s="1158" t="n">
        <v>430</v>
      </c>
      <c r="C129" t="inlineStr">
        <is>
          <t>Industrial</t>
        </is>
      </c>
      <c r="D129" t="n">
        <v>1</v>
      </c>
      <c r="E129" s="1158" t="inlineStr">
        <is>
          <t>Storage - Utility Grain</t>
        </is>
      </c>
      <c r="F129">
        <f>B129&amp;" - "&amp;E129</f>
        <v/>
      </c>
    </row>
    <row r="130">
      <c r="B130" s="1158" t="n">
        <v>431</v>
      </c>
      <c r="C130" t="inlineStr">
        <is>
          <t>Commercial</t>
        </is>
      </c>
      <c r="D130" t="n">
        <v>1</v>
      </c>
      <c r="E130" s="1158" t="inlineStr">
        <is>
          <t>Surgical Center - Out patient</t>
        </is>
      </c>
      <c r="F130">
        <f>B130&amp;" - "&amp;E130</f>
        <v/>
      </c>
    </row>
    <row r="131">
      <c r="B131" s="1158" t="n">
        <v>432</v>
      </c>
      <c r="C131" t="inlineStr">
        <is>
          <t>Industrial</t>
        </is>
      </c>
      <c r="D131" t="n">
        <v>1</v>
      </c>
      <c r="E131" s="1158" t="inlineStr">
        <is>
          <t>Restroom Building/Concessions</t>
        </is>
      </c>
      <c r="F131">
        <f>B131&amp;" - "&amp;E131</f>
        <v/>
      </c>
    </row>
    <row r="132">
      <c r="B132" s="1158" t="n">
        <v>434</v>
      </c>
      <c r="C132" t="inlineStr">
        <is>
          <t>Commercial</t>
        </is>
      </c>
      <c r="D132" t="n">
        <v>55</v>
      </c>
      <c r="E132" s="1158" t="inlineStr">
        <is>
          <t>Car Wash - Self Service</t>
        </is>
      </c>
      <c r="F132">
        <f>B132&amp;" - "&amp;E132</f>
        <v/>
      </c>
    </row>
    <row r="133">
      <c r="B133" s="1158" t="n">
        <v>434</v>
      </c>
      <c r="C133" t="inlineStr">
        <is>
          <t>Industrial</t>
        </is>
      </c>
      <c r="D133" t="n">
        <v>1</v>
      </c>
      <c r="E133" s="1158" t="inlineStr">
        <is>
          <t>Car Wash - Self Service</t>
        </is>
      </c>
      <c r="F133">
        <f>B133&amp;" - "&amp;E133</f>
        <v/>
      </c>
    </row>
    <row r="134">
      <c r="B134" s="1158" t="n">
        <v>435</v>
      </c>
      <c r="C134" t="inlineStr">
        <is>
          <t>Commercial</t>
        </is>
      </c>
      <c r="D134" t="n">
        <v>22</v>
      </c>
      <c r="E134" s="1158" t="inlineStr">
        <is>
          <t>Car Wash - Drive thru</t>
        </is>
      </c>
      <c r="F134">
        <f>B134&amp;" - "&amp;E134</f>
        <v/>
      </c>
    </row>
    <row r="135">
      <c r="B135" s="1158" t="n">
        <v>436</v>
      </c>
      <c r="C135" t="inlineStr">
        <is>
          <t>Commercial</t>
        </is>
      </c>
      <c r="D135" t="n">
        <v>52</v>
      </c>
      <c r="E135" s="1158" t="inlineStr">
        <is>
          <t>Car Wash - Automatic</t>
        </is>
      </c>
      <c r="F135">
        <f>B135&amp;" - "&amp;E135</f>
        <v/>
      </c>
    </row>
    <row r="136">
      <c r="B136" s="1158" t="n">
        <v>438</v>
      </c>
      <c r="C136" t="inlineStr">
        <is>
          <t>Industrial</t>
        </is>
      </c>
      <c r="D136" t="n">
        <v>1</v>
      </c>
      <c r="E136" s="1158" t="inlineStr">
        <is>
          <t>Prefab Metal Building *CODE</t>
        </is>
      </c>
      <c r="F136">
        <f>B136&amp;" - "&amp;E136</f>
        <v/>
      </c>
    </row>
    <row r="137">
      <c r="B137" s="1158" t="n">
        <v>441</v>
      </c>
      <c r="C137" t="inlineStr">
        <is>
          <t>Commercial</t>
        </is>
      </c>
      <c r="D137" t="n">
        <v>2</v>
      </c>
      <c r="E137" s="1158" t="inlineStr">
        <is>
          <t>Cocktail Lounge</t>
        </is>
      </c>
      <c r="F137">
        <f>B137&amp;" - "&amp;E137</f>
        <v/>
      </c>
    </row>
    <row r="138">
      <c r="B138" s="1158" t="n">
        <v>442</v>
      </c>
      <c r="C138" t="inlineStr">
        <is>
          <t>Commercial</t>
        </is>
      </c>
      <c r="D138" t="n">
        <v>41</v>
      </c>
      <c r="E138" s="1158" t="inlineStr">
        <is>
          <t>Bar/Tavern</t>
        </is>
      </c>
      <c r="F138">
        <f>B138&amp;" - "&amp;E138</f>
        <v/>
      </c>
    </row>
    <row r="139">
      <c r="B139" s="1158" t="n">
        <v>442</v>
      </c>
      <c r="C139" t="inlineStr">
        <is>
          <t>Industrial</t>
        </is>
      </c>
      <c r="D139" t="n">
        <v>1</v>
      </c>
      <c r="E139" s="1158" t="inlineStr">
        <is>
          <t>Bar/Tavern</t>
        </is>
      </c>
      <c r="F139">
        <f>B139&amp;" - "&amp;E139</f>
        <v/>
      </c>
    </row>
    <row r="140">
      <c r="B140" s="1158" t="n">
        <v>444</v>
      </c>
      <c r="C140" t="inlineStr">
        <is>
          <t>Commercial</t>
        </is>
      </c>
      <c r="D140" t="n">
        <v>18</v>
      </c>
      <c r="E140" s="1158" t="inlineStr">
        <is>
          <t>Dental Office/ Clinic</t>
        </is>
      </c>
      <c r="F140">
        <f>B140&amp;" - "&amp;E140</f>
        <v/>
      </c>
    </row>
    <row r="141">
      <c r="B141" s="1158" t="n">
        <v>446</v>
      </c>
      <c r="C141" t="inlineStr">
        <is>
          <t>Commercial</t>
        </is>
      </c>
      <c r="D141" t="n">
        <v>30</v>
      </c>
      <c r="E141" s="1158" t="inlineStr">
        <is>
          <t>SuperMarket</t>
        </is>
      </c>
      <c r="F141">
        <f>B141&amp;" - "&amp;E141</f>
        <v/>
      </c>
    </row>
    <row r="142">
      <c r="B142" s="1158" t="n">
        <v>447</v>
      </c>
      <c r="C142" t="inlineStr">
        <is>
          <t>Commercial</t>
        </is>
      </c>
      <c r="D142" t="n">
        <v>8</v>
      </c>
      <c r="E142" s="1158" t="inlineStr">
        <is>
          <t>Cold Storage Warehouse</t>
        </is>
      </c>
      <c r="F142">
        <f>B142&amp;" - "&amp;E142</f>
        <v/>
      </c>
    </row>
    <row r="143">
      <c r="B143" s="1158" t="n">
        <v>447</v>
      </c>
      <c r="C143" t="inlineStr">
        <is>
          <t>Industrial</t>
        </is>
      </c>
      <c r="D143" t="n">
        <v>2</v>
      </c>
      <c r="E143" s="1158" t="inlineStr">
        <is>
          <t>Cold Storage Warehouse</t>
        </is>
      </c>
      <c r="F143">
        <f>B143&amp;" - "&amp;E143</f>
        <v/>
      </c>
    </row>
    <row r="144">
      <c r="B144" s="1158" t="n">
        <v>448</v>
      </c>
      <c r="C144" t="inlineStr">
        <is>
          <t>Commercial</t>
        </is>
      </c>
      <c r="D144" t="n">
        <v>7</v>
      </c>
      <c r="E144" s="1158" t="inlineStr">
        <is>
          <t>Self Service Booth</t>
        </is>
      </c>
      <c r="F144">
        <f>B144&amp;" - "&amp;E144</f>
        <v/>
      </c>
    </row>
    <row r="145">
      <c r="B145" s="1158" t="n">
        <v>451</v>
      </c>
      <c r="C145" t="inlineStr">
        <is>
          <t>Commercial</t>
        </is>
      </c>
      <c r="D145" t="n">
        <v>2</v>
      </c>
      <c r="E145" s="1158" t="inlineStr">
        <is>
          <t>Grain Elevator Concrete</t>
        </is>
      </c>
      <c r="F145">
        <f>B145&amp;" - "&amp;E145</f>
        <v/>
      </c>
    </row>
    <row r="146">
      <c r="B146" s="1158" t="n">
        <v>452</v>
      </c>
      <c r="C146" t="inlineStr">
        <is>
          <t>Commercial</t>
        </is>
      </c>
      <c r="D146" t="n">
        <v>1</v>
      </c>
      <c r="E146" s="1158" t="inlineStr">
        <is>
          <t>Grain Elevator Conc Annex</t>
        </is>
      </c>
      <c r="F146">
        <f>B146&amp;" - "&amp;E146</f>
        <v/>
      </c>
    </row>
    <row r="147">
      <c r="B147" s="1158" t="n">
        <v>464</v>
      </c>
      <c r="C147" t="inlineStr">
        <is>
          <t>Commercial</t>
        </is>
      </c>
      <c r="D147" t="n">
        <v>2</v>
      </c>
      <c r="E147" s="1158" t="inlineStr">
        <is>
          <t>Grain Elevator Low</t>
        </is>
      </c>
      <c r="F147">
        <f>B147&amp;" - "&amp;E147</f>
        <v/>
      </c>
    </row>
    <row r="148">
      <c r="B148" s="1158" t="n">
        <v>465</v>
      </c>
      <c r="C148" t="inlineStr">
        <is>
          <t>Commercial</t>
        </is>
      </c>
      <c r="D148" t="n">
        <v>3</v>
      </c>
      <c r="E148" s="1158" t="inlineStr">
        <is>
          <t>Grain Elevator Average</t>
        </is>
      </c>
      <c r="F148">
        <f>B148&amp;" - "&amp;E148</f>
        <v/>
      </c>
    </row>
    <row r="149">
      <c r="B149" s="1158" t="n">
        <v>468</v>
      </c>
      <c r="C149" t="inlineStr">
        <is>
          <t>Commercial</t>
        </is>
      </c>
      <c r="D149" t="n">
        <v>1</v>
      </c>
      <c r="E149" s="1158" t="inlineStr">
        <is>
          <t>Farm Office</t>
        </is>
      </c>
      <c r="F149">
        <f>B149&amp;" - "&amp;E149</f>
        <v/>
      </c>
    </row>
    <row r="150">
      <c r="B150" s="1158" t="n">
        <v>468</v>
      </c>
      <c r="C150" t="inlineStr">
        <is>
          <t>Industrial</t>
        </is>
      </c>
      <c r="D150" t="n">
        <v>1</v>
      </c>
      <c r="E150" s="1158" t="inlineStr">
        <is>
          <t>Farm Office</t>
        </is>
      </c>
      <c r="F150">
        <f>B150&amp;" - "&amp;E150</f>
        <v/>
      </c>
    </row>
    <row r="151">
      <c r="B151" s="1158" t="n">
        <v>473</v>
      </c>
      <c r="C151" t="inlineStr">
        <is>
          <t>Commercial</t>
        </is>
      </c>
      <c r="D151" t="n">
        <v>9</v>
      </c>
      <c r="E151" s="1158" t="inlineStr">
        <is>
          <t>Equipment Building</t>
        </is>
      </c>
      <c r="F151">
        <f>B151&amp;" - "&amp;E151</f>
        <v/>
      </c>
    </row>
    <row r="152">
      <c r="B152" s="1158" t="n">
        <v>473</v>
      </c>
      <c r="C152" t="inlineStr">
        <is>
          <t>Industrial</t>
        </is>
      </c>
      <c r="D152" t="n">
        <v>1</v>
      </c>
      <c r="E152" s="1158" t="inlineStr">
        <is>
          <t>Equipment Building</t>
        </is>
      </c>
      <c r="F152">
        <f>B152&amp;" - "&amp;E152</f>
        <v/>
      </c>
    </row>
    <row r="153">
      <c r="B153" s="1158" t="n">
        <v>474</v>
      </c>
      <c r="C153" t="inlineStr">
        <is>
          <t>Commercial</t>
        </is>
      </c>
      <c r="D153" t="n">
        <v>19</v>
      </c>
      <c r="E153" s="1158" t="inlineStr">
        <is>
          <t>Modular Office</t>
        </is>
      </c>
      <c r="F153">
        <f>B153&amp;" - "&amp;E153</f>
        <v/>
      </c>
    </row>
    <row r="154">
      <c r="B154" s="1158" t="n">
        <v>474</v>
      </c>
      <c r="C154" t="inlineStr">
        <is>
          <t>Industrial</t>
        </is>
      </c>
      <c r="D154" t="n">
        <v>4</v>
      </c>
      <c r="E154" s="1158" t="inlineStr">
        <is>
          <t>Modular Office</t>
        </is>
      </c>
      <c r="F154">
        <f>B154&amp;" - "&amp;E154</f>
        <v/>
      </c>
    </row>
    <row r="155">
      <c r="B155" s="1158" t="n">
        <v>480</v>
      </c>
      <c r="C155" t="inlineStr">
        <is>
          <t>Commercial</t>
        </is>
      </c>
      <c r="D155" t="n">
        <v>1</v>
      </c>
      <c r="E155" s="1158" t="inlineStr">
        <is>
          <t>Vegetable Building</t>
        </is>
      </c>
      <c r="F155">
        <f>B155&amp;" - "&amp;E155</f>
        <v/>
      </c>
    </row>
    <row r="156">
      <c r="B156" s="1158" t="n">
        <v>482</v>
      </c>
      <c r="C156" t="inlineStr">
        <is>
          <t>Commercial</t>
        </is>
      </c>
      <c r="D156" t="n">
        <v>3</v>
      </c>
      <c r="E156" s="1158" t="inlineStr">
        <is>
          <t>Convention Center</t>
        </is>
      </c>
      <c r="F156">
        <f>B156&amp;" - "&amp;E156</f>
        <v/>
      </c>
    </row>
    <row r="157">
      <c r="B157" s="1158" t="n">
        <v>483</v>
      </c>
      <c r="C157" t="inlineStr">
        <is>
          <t>Commercial</t>
        </is>
      </c>
      <c r="D157" t="n">
        <v>4</v>
      </c>
      <c r="E157" s="1158" t="inlineStr">
        <is>
          <t>Fitness Center</t>
        </is>
      </c>
      <c r="F157">
        <f>B157&amp;" - "&amp;E157</f>
        <v/>
      </c>
    </row>
    <row r="158">
      <c r="B158" s="1158" t="n">
        <v>499</v>
      </c>
      <c r="C158" t="inlineStr">
        <is>
          <t>Commercial</t>
        </is>
      </c>
      <c r="D158" t="n">
        <v>3</v>
      </c>
      <c r="E158" s="1158" t="inlineStr">
        <is>
          <t>Salvage</t>
        </is>
      </c>
      <c r="F158">
        <f>B158&amp;" - "&amp;E158</f>
        <v/>
      </c>
    </row>
    <row r="159">
      <c r="B159" s="1158" t="n">
        <v>500</v>
      </c>
      <c r="C159" t="inlineStr">
        <is>
          <t>Commercial</t>
        </is>
      </c>
      <c r="D159" t="n">
        <v>3</v>
      </c>
      <c r="E159" s="1158" t="inlineStr">
        <is>
          <t>R V Parks *CODE</t>
        </is>
      </c>
      <c r="F159">
        <f>B159&amp;" - "&amp;E159</f>
        <v/>
      </c>
    </row>
    <row r="160">
      <c r="B160" s="1158" t="n">
        <v>501</v>
      </c>
      <c r="C160" t="inlineStr">
        <is>
          <t>Commercial</t>
        </is>
      </c>
      <c r="D160" t="n">
        <v>13</v>
      </c>
      <c r="E160" s="1158" t="inlineStr">
        <is>
          <t>Mini-Mart Convenience Stores</t>
        </is>
      </c>
      <c r="F160">
        <f>B160&amp;" - "&amp;E160</f>
        <v/>
      </c>
    </row>
    <row r="161">
      <c r="B161" s="1158" t="n">
        <v>501</v>
      </c>
      <c r="C161" t="inlineStr">
        <is>
          <t>Industrial</t>
        </is>
      </c>
      <c r="D161" t="n">
        <v>2</v>
      </c>
      <c r="E161" s="1158" t="inlineStr">
        <is>
          <t>Miscellaneous OB</t>
        </is>
      </c>
      <c r="F161">
        <f>B161&amp;" - "&amp;E161</f>
        <v/>
      </c>
    </row>
    <row r="162">
      <c r="B162" s="1158" t="n">
        <v>519</v>
      </c>
      <c r="C162" t="inlineStr">
        <is>
          <t>Commercial</t>
        </is>
      </c>
      <c r="D162" t="n">
        <v>1</v>
      </c>
      <c r="E162" s="1158" t="inlineStr">
        <is>
          <t>Greenhouse Shade Shelters</t>
        </is>
      </c>
      <c r="F162">
        <f>B162&amp;" - "&amp;E162</f>
        <v/>
      </c>
    </row>
    <row r="163">
      <c r="B163" s="1158" t="n">
        <v>523</v>
      </c>
      <c r="C163" t="inlineStr">
        <is>
          <t>Commercial</t>
        </is>
      </c>
      <c r="D163" t="n">
        <v>1</v>
      </c>
      <c r="E163" s="1158" t="inlineStr">
        <is>
          <t>Golf Cart Storage Bldgs</t>
        </is>
      </c>
      <c r="F163">
        <f>B163&amp;" - "&amp;E163</f>
        <v/>
      </c>
    </row>
    <row r="164">
      <c r="B164" s="1158" t="n">
        <v>525</v>
      </c>
      <c r="C164" t="inlineStr">
        <is>
          <t>Commercial</t>
        </is>
      </c>
      <c r="D164" t="n">
        <v>1</v>
      </c>
      <c r="E164" s="1158" t="inlineStr">
        <is>
          <t>Mini Warehouse Hi-rise</t>
        </is>
      </c>
      <c r="F164">
        <f>B164&amp;" - "&amp;E164</f>
        <v/>
      </c>
    </row>
    <row r="165">
      <c r="B165" s="1158" t="n">
        <v>526</v>
      </c>
      <c r="C165" t="inlineStr">
        <is>
          <t>Commercial</t>
        </is>
      </c>
      <c r="D165" t="n">
        <v>3</v>
      </c>
      <c r="E165" s="1158" t="inlineStr">
        <is>
          <t>Service Garage Sheds</t>
        </is>
      </c>
      <c r="F165">
        <f>B165&amp;" - "&amp;E165</f>
        <v/>
      </c>
    </row>
    <row r="166">
      <c r="B166" s="1158" t="n">
        <v>529</v>
      </c>
      <c r="C166" t="inlineStr">
        <is>
          <t>Commercial</t>
        </is>
      </c>
      <c r="D166" t="n">
        <v>1</v>
      </c>
      <c r="E166" s="1158" t="inlineStr">
        <is>
          <t>Snack Bar</t>
        </is>
      </c>
      <c r="F166">
        <f>B166&amp;" - "&amp;E166</f>
        <v/>
      </c>
    </row>
    <row r="167">
      <c r="B167" s="1158" t="n">
        <v>531</v>
      </c>
      <c r="C167" t="inlineStr">
        <is>
          <t>Commercial</t>
        </is>
      </c>
      <c r="D167" t="n">
        <v>2</v>
      </c>
      <c r="E167" s="1158" t="inlineStr">
        <is>
          <t>Mobile Home Parks *CODE</t>
        </is>
      </c>
      <c r="F167">
        <f>B167&amp;" - "&amp;E167</f>
        <v/>
      </c>
    </row>
    <row r="168">
      <c r="B168" s="1158" t="n">
        <v>533</v>
      </c>
      <c r="C168" t="inlineStr">
        <is>
          <t>Commercial</t>
        </is>
      </c>
      <c r="D168" t="n">
        <v>2</v>
      </c>
      <c r="E168" s="1158" t="inlineStr">
        <is>
          <t>Warehouse Food Store</t>
        </is>
      </c>
      <c r="F168">
        <f>B168&amp;" - "&amp;E168</f>
        <v/>
      </c>
    </row>
    <row r="169">
      <c r="B169" s="1158" t="n">
        <v>534</v>
      </c>
      <c r="C169" t="inlineStr">
        <is>
          <t>Commercial</t>
        </is>
      </c>
      <c r="D169" t="n">
        <v>10</v>
      </c>
      <c r="E169" s="1158" t="inlineStr">
        <is>
          <t>Warehouse Showroom Store</t>
        </is>
      </c>
      <c r="F169">
        <f>B169&amp;" - "&amp;E169</f>
        <v/>
      </c>
    </row>
    <row r="170">
      <c r="B170" s="1158" t="n">
        <v>534</v>
      </c>
      <c r="C170" t="inlineStr">
        <is>
          <t>Industrial</t>
        </is>
      </c>
      <c r="D170" t="n">
        <v>1</v>
      </c>
      <c r="E170" s="1158" t="inlineStr">
        <is>
          <t>Warehouse Showroom Store</t>
        </is>
      </c>
      <c r="F170">
        <f>B170&amp;" - "&amp;E170</f>
        <v/>
      </c>
    </row>
    <row r="171">
      <c r="B171" s="1158" t="n">
        <v>540</v>
      </c>
      <c r="C171" t="inlineStr">
        <is>
          <t>Commercial</t>
        </is>
      </c>
      <c r="D171" t="n">
        <v>1</v>
      </c>
      <c r="E171" s="1158" t="inlineStr">
        <is>
          <t>Motel Guest Rooms</t>
        </is>
      </c>
      <c r="F171">
        <f>B171&amp;" - "&amp;E171</f>
        <v/>
      </c>
    </row>
    <row r="172">
      <c r="B172" s="1158" t="n">
        <v>544</v>
      </c>
      <c r="C172" t="inlineStr">
        <is>
          <t>Commercial</t>
        </is>
      </c>
      <c r="D172" t="n">
        <v>4</v>
      </c>
      <c r="E172" s="1158" t="inlineStr">
        <is>
          <t>Office-Apartment</t>
        </is>
      </c>
      <c r="F172">
        <f>B172&amp;" - "&amp;E172</f>
        <v/>
      </c>
    </row>
    <row r="173">
      <c r="B173" s="1158" t="n">
        <v>557</v>
      </c>
      <c r="C173" t="inlineStr">
        <is>
          <t>Commercial</t>
        </is>
      </c>
      <c r="D173" t="n">
        <v>2</v>
      </c>
      <c r="E173" s="1158" t="inlineStr">
        <is>
          <t>Arch-Rib Quonset Utility</t>
        </is>
      </c>
      <c r="F173">
        <f>B173&amp;" - "&amp;E173</f>
        <v/>
      </c>
    </row>
    <row r="174">
      <c r="B174" s="1158" t="n">
        <v>558</v>
      </c>
      <c r="C174" t="inlineStr">
        <is>
          <t>Commercial</t>
        </is>
      </c>
      <c r="D174" t="n">
        <v>1</v>
      </c>
      <c r="E174" s="1158" t="inlineStr">
        <is>
          <t>Arch-Rib Quonset Farm Implement</t>
        </is>
      </c>
      <c r="F174">
        <f>B174&amp;" - "&amp;E174</f>
        <v/>
      </c>
    </row>
    <row r="175">
      <c r="B175" s="1158" t="n">
        <v>573</v>
      </c>
      <c r="C175" t="inlineStr">
        <is>
          <t>Commercial</t>
        </is>
      </c>
      <c r="D175" t="n">
        <v>1</v>
      </c>
      <c r="E175" s="1158" t="inlineStr">
        <is>
          <t>Arcade</t>
        </is>
      </c>
      <c r="F175">
        <f>B175&amp;" - "&amp;E175</f>
        <v/>
      </c>
    </row>
    <row r="176">
      <c r="B176" s="1158" t="n">
        <v>580</v>
      </c>
      <c r="C176" t="inlineStr">
        <is>
          <t>Commercial</t>
        </is>
      </c>
      <c r="D176" t="n">
        <v>2</v>
      </c>
      <c r="E176" s="1158" t="inlineStr">
        <is>
          <t>Truck Stop Restaurant</t>
        </is>
      </c>
      <c r="F176">
        <f>B176&amp;" - "&amp;E176</f>
        <v/>
      </c>
    </row>
    <row r="177">
      <c r="B177" s="1158" t="n">
        <v>582</v>
      </c>
      <c r="C177" t="inlineStr">
        <is>
          <t>Commercial</t>
        </is>
      </c>
      <c r="D177" t="n">
        <v>1</v>
      </c>
      <c r="E177" s="1158" t="inlineStr">
        <is>
          <t>Branch Post Office</t>
        </is>
      </c>
      <c r="F177">
        <f>B177&amp;" - "&amp;E177</f>
        <v/>
      </c>
    </row>
    <row r="178">
      <c r="B178" s="1158" t="n">
        <v>584</v>
      </c>
      <c r="C178" t="inlineStr">
        <is>
          <t>Commercial</t>
        </is>
      </c>
      <c r="D178" t="n">
        <v>56</v>
      </c>
      <c r="E178" s="1158" t="inlineStr">
        <is>
          <t>Mega Warehouse</t>
        </is>
      </c>
      <c r="F178">
        <f>B178&amp;" - "&amp;E178</f>
        <v/>
      </c>
    </row>
    <row r="179">
      <c r="B179" s="1158" t="n">
        <v>584</v>
      </c>
      <c r="C179" t="inlineStr">
        <is>
          <t>Industrial</t>
        </is>
      </c>
      <c r="D179" t="n">
        <v>21</v>
      </c>
      <c r="E179" s="1158" t="inlineStr">
        <is>
          <t>Mega Warehouse</t>
        </is>
      </c>
      <c r="F179">
        <f>B179&amp;" - "&amp;E179</f>
        <v/>
      </c>
    </row>
    <row r="180">
      <c r="B180" s="1158" t="n">
        <v>718</v>
      </c>
      <c r="C180" t="inlineStr">
        <is>
          <t>Commercial</t>
        </is>
      </c>
      <c r="D180" t="n">
        <v>3</v>
      </c>
      <c r="E180" s="1158" t="inlineStr">
        <is>
          <t>Banquet Halls</t>
        </is>
      </c>
      <c r="F180">
        <f>B180&amp;" - "&amp;E180</f>
        <v/>
      </c>
    </row>
    <row r="181">
      <c r="B181" s="1158" t="n">
        <v>1104</v>
      </c>
      <c r="C181" t="inlineStr">
        <is>
          <t>Commercial</t>
        </is>
      </c>
      <c r="D181" t="n">
        <v>1</v>
      </c>
      <c r="E181" s="1158" t="inlineStr">
        <is>
          <t>Light Commercial-Commodity Warehouse</t>
        </is>
      </c>
      <c r="F181">
        <f>B181&amp;" - "&amp;E181</f>
        <v/>
      </c>
    </row>
    <row r="182">
      <c r="B182" s="1158" t="n">
        <v>1104</v>
      </c>
      <c r="C182" t="inlineStr">
        <is>
          <t>Industrial</t>
        </is>
      </c>
      <c r="D182" t="n">
        <v>1</v>
      </c>
      <c r="E182" s="1158" t="inlineStr">
        <is>
          <t>Light Commercial-Commodity Warehouse</t>
        </is>
      </c>
      <c r="F182">
        <f>B182&amp;" - "&amp;E182</f>
        <v/>
      </c>
    </row>
    <row r="183">
      <c r="B183" s="1158" t="n">
        <v>1111</v>
      </c>
      <c r="C183" t="inlineStr">
        <is>
          <t>Commercial</t>
        </is>
      </c>
      <c r="D183" t="n">
        <v>2</v>
      </c>
      <c r="E183" s="1158" t="inlineStr">
        <is>
          <t>Parking Lot</t>
        </is>
      </c>
      <c r="F183">
        <f>B183&amp;" - "&amp;E183</f>
        <v/>
      </c>
    </row>
    <row r="184">
      <c r="B184" s="1158" t="n">
        <v>1112</v>
      </c>
      <c r="C184" t="inlineStr">
        <is>
          <t>Commercial</t>
        </is>
      </c>
      <c r="D184" t="n">
        <v>1</v>
      </c>
      <c r="E184" s="1158" t="inlineStr">
        <is>
          <t>Parking Lot Income Producing</t>
        </is>
      </c>
      <c r="F184">
        <f>B184&amp;" - "&amp;E184</f>
        <v/>
      </c>
    </row>
    <row r="185">
      <c r="B185" s="1158" t="n">
        <v>1157</v>
      </c>
      <c r="C185" t="inlineStr">
        <is>
          <t>Commercial</t>
        </is>
      </c>
      <c r="D185" t="n">
        <v>2</v>
      </c>
      <c r="E185" s="1158" t="inlineStr">
        <is>
          <t>Maintenance (Storage) Buildings</t>
        </is>
      </c>
      <c r="F185">
        <f>B185&amp;" - "&amp;E185</f>
        <v/>
      </c>
    </row>
    <row r="186">
      <c r="B186" s="1158" t="n">
        <v>1332</v>
      </c>
      <c r="C186" t="inlineStr">
        <is>
          <t>Commercial</t>
        </is>
      </c>
      <c r="D186" t="n">
        <v>39</v>
      </c>
      <c r="E186" s="1158" t="inlineStr">
        <is>
          <t>Hotels - Limited Service</t>
        </is>
      </c>
      <c r="F186">
        <f>B186&amp;" - "&amp;E186</f>
        <v/>
      </c>
    </row>
    <row r="187">
      <c r="B187" s="1158" t="n">
        <v>1332</v>
      </c>
      <c r="C187" t="inlineStr">
        <is>
          <t>Industrial</t>
        </is>
      </c>
      <c r="D187" t="n">
        <v>1</v>
      </c>
      <c r="E187" s="1158" t="inlineStr">
        <is>
          <t>Hotels - Limited Service</t>
        </is>
      </c>
      <c r="F187">
        <f>B187&amp;" - "&amp;E187</f>
        <v/>
      </c>
    </row>
    <row r="188">
      <c r="B188" s="1158" t="n">
        <v>1343</v>
      </c>
      <c r="C188" t="inlineStr">
        <is>
          <t>Commercial</t>
        </is>
      </c>
      <c r="D188" t="n">
        <v>4</v>
      </c>
      <c r="E188" s="1158" t="inlineStr">
        <is>
          <t>Extended Stay Motels</t>
        </is>
      </c>
      <c r="F188">
        <f>B188&amp;" - "&amp;E188</f>
        <v/>
      </c>
    </row>
    <row r="189">
      <c r="B189" s="1158" t="n">
        <v>1344</v>
      </c>
      <c r="C189" t="inlineStr">
        <is>
          <t>Commercial</t>
        </is>
      </c>
      <c r="D189" t="n">
        <v>173</v>
      </c>
      <c r="E189" s="1158" t="inlineStr">
        <is>
          <t>Office Building - Condo</t>
        </is>
      </c>
      <c r="F189">
        <f>B189&amp;" - "&amp;E189</f>
        <v/>
      </c>
    </row>
    <row r="190">
      <c r="B190" s="1158" t="n">
        <v>1353</v>
      </c>
      <c r="C190" t="inlineStr">
        <is>
          <t>Commercial</t>
        </is>
      </c>
      <c r="D190" t="n">
        <v>20</v>
      </c>
      <c r="E190" s="1158" t="inlineStr">
        <is>
          <t>Retail Store - Condo</t>
        </is>
      </c>
      <c r="F190">
        <f>B190&amp;" - "&amp;E190</f>
        <v/>
      </c>
    </row>
    <row r="191">
      <c r="B191" s="1158" t="n">
        <v>1458</v>
      </c>
      <c r="C191" t="inlineStr">
        <is>
          <t>Commercial</t>
        </is>
      </c>
      <c r="D191" t="n">
        <v>8</v>
      </c>
      <c r="E191" s="1158" t="inlineStr">
        <is>
          <t>Warehouse Discount Store</t>
        </is>
      </c>
      <c r="F191">
        <f>B191&amp;" - "&amp;E191</f>
        <v/>
      </c>
    </row>
    <row r="192">
      <c r="B192" s="1158" t="n">
        <v>1467</v>
      </c>
      <c r="C192" t="inlineStr">
        <is>
          <t>Commercial</t>
        </is>
      </c>
      <c r="D192" t="n">
        <v>2</v>
      </c>
      <c r="E192" s="1158" t="inlineStr">
        <is>
          <t>Boat Storage Buildings</t>
        </is>
      </c>
      <c r="F192">
        <f>B192&amp;" - "&amp;E192</f>
        <v/>
      </c>
    </row>
    <row r="193">
      <c r="B193" s="1158" t="n">
        <v>1468</v>
      </c>
      <c r="C193" t="inlineStr">
        <is>
          <t>Commercial</t>
        </is>
      </c>
      <c r="D193" t="n">
        <v>7</v>
      </c>
      <c r="E193" s="1158" t="inlineStr">
        <is>
          <t>Material Storage Sheds</t>
        </is>
      </c>
      <c r="F193">
        <f>B193&amp;" - "&amp;E193</f>
        <v/>
      </c>
    </row>
    <row r="194">
      <c r="B194" s="1158" t="n">
        <v>1468</v>
      </c>
      <c r="C194" t="inlineStr">
        <is>
          <t>Industrial</t>
        </is>
      </c>
      <c r="D194" t="n">
        <v>1</v>
      </c>
      <c r="E194" s="1158" t="inlineStr">
        <is>
          <t>Material Storage Sheds</t>
        </is>
      </c>
      <c r="F194">
        <f>B194&amp;" - "&amp;E194</f>
        <v/>
      </c>
    </row>
    <row r="195">
      <c r="B195" s="1158" t="n">
        <v>1471</v>
      </c>
      <c r="C195" t="inlineStr">
        <is>
          <t>Commercial</t>
        </is>
      </c>
      <c r="D195" t="n">
        <v>1</v>
      </c>
      <c r="E195" s="1158" t="inlineStr">
        <is>
          <t>Light Commercial Utility</t>
        </is>
      </c>
      <c r="F195">
        <f>B195&amp;" - "&amp;E195</f>
        <v/>
      </c>
    </row>
    <row r="196">
      <c r="B196" s="1158" t="n">
        <v>1473</v>
      </c>
      <c r="C196" t="inlineStr">
        <is>
          <t>Commercial</t>
        </is>
      </c>
      <c r="D196" t="n">
        <v>5</v>
      </c>
      <c r="E196" s="1158" t="inlineStr">
        <is>
          <t>Material Shelters</t>
        </is>
      </c>
      <c r="F196">
        <f>B196&amp;" - "&amp;E196</f>
        <v/>
      </c>
    </row>
    <row r="197">
      <c r="B197" s="1158" t="n">
        <v>1473</v>
      </c>
      <c r="C197" t="inlineStr">
        <is>
          <t>Industrial</t>
        </is>
      </c>
      <c r="D197" t="n">
        <v>1</v>
      </c>
      <c r="E197" s="1158" t="inlineStr">
        <is>
          <t>Material Shelters</t>
        </is>
      </c>
      <c r="F197">
        <f>B197&amp;" - "&amp;E197</f>
        <v/>
      </c>
    </row>
    <row r="198">
      <c r="B198" s="1158" t="n">
        <v>1513</v>
      </c>
      <c r="C198" t="inlineStr">
        <is>
          <t>Commercial</t>
        </is>
      </c>
      <c r="D198" t="n">
        <v>4</v>
      </c>
      <c r="E198" s="1158" t="inlineStr">
        <is>
          <t>Regional Discount Shopping Centers</t>
        </is>
      </c>
      <c r="F198">
        <f>B198&amp;" - "&amp;E198</f>
        <v/>
      </c>
    </row>
    <row r="199">
      <c r="B199" s="1158" t="n">
        <v>3441</v>
      </c>
      <c r="C199" t="inlineStr">
        <is>
          <t>Commercial</t>
        </is>
      </c>
      <c r="D199" t="n">
        <v>41</v>
      </c>
      <c r="E199" s="1158" t="inlineStr">
        <is>
          <t>Office Conversion</t>
        </is>
      </c>
      <c r="F199">
        <f>B199&amp;" - "&amp;E199</f>
        <v/>
      </c>
    </row>
  </sheetData>
  <pageMargins left="0.75" right="0.75" top="1" bottom="1" header="0.5" footer="0.5"/>
</worksheet>
</file>

<file path=xl/worksheets/sheet15.xml><?xml version="1.0" encoding="utf-8"?>
<worksheet xmlns="http://schemas.openxmlformats.org/spreadsheetml/2006/main">
  <sheetPr>
    <tabColor rgb="00D97706"/>
    <outlinePr summaryBelow="1" summaryRight="1"/>
    <pageSetUpPr/>
  </sheetPr>
  <dimension ref="A1:M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6" customWidth="1" min="2" max="2"/>
    <col width="9" customWidth="1" min="4" max="4"/>
    <col width="9" customWidth="1" min="5" max="5"/>
    <col width="14" customWidth="1" min="6" max="6"/>
    <col width="10" customWidth="1" min="7" max="7"/>
    <col width="16" customWidth="1" min="8" max="8"/>
    <col width="16" customWidth="1" min="9" max="9"/>
    <col width="12" customWidth="1" min="10" max="10"/>
    <col width="14" customWidth="1" min="11" max="11"/>
    <col width="24" customWidth="1" min="12" max="12"/>
    <col width="13" customWidth="1" min="13" max="13"/>
  </cols>
  <sheetData>
    <row r="1">
      <c r="B1" s="597" t="inlineStr">
        <is>
          <t>ZONING -- INTERIM LIST</t>
        </is>
      </c>
    </row>
    <row r="2" ht="40" customHeight="1">
      <c r="B2" s="895"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3"/>
    <row r="4">
      <c r="B4" s="972" t="inlineStr">
        <is>
          <t>Zone Value</t>
        </is>
      </c>
      <c r="D4" s="972" t="inlineStr">
        <is>
          <t>City-Filtered Zone Lists (for the Subject Property dropdown)</t>
        </is>
      </c>
    </row>
    <row r="5">
      <c r="D5" s="899" t="inlineStr">
        <is>
          <t>ARVADA</t>
        </is>
      </c>
      <c r="E5" s="899" t="inlineStr">
        <is>
          <t>AURORA</t>
        </is>
      </c>
      <c r="F5" s="899" t="inlineStr">
        <is>
          <t>BENNETT</t>
        </is>
      </c>
      <c r="G5" s="899" t="inlineStr">
        <is>
          <t>BRIGHTON</t>
        </is>
      </c>
      <c r="H5" s="899" t="inlineStr">
        <is>
          <t>COMMERCE CITY</t>
        </is>
      </c>
      <c r="I5" s="899" t="inlineStr">
        <is>
          <t>FEDERAL HEIGHTS</t>
        </is>
      </c>
      <c r="J5" s="899" t="inlineStr">
        <is>
          <t>NORTHGLENN</t>
        </is>
      </c>
      <c r="K5" s="899" t="inlineStr">
        <is>
          <t>STRASBURG</t>
        </is>
      </c>
      <c r="L5" s="899" t="inlineStr">
        <is>
          <t>THORNTON</t>
        </is>
      </c>
      <c r="M5" s="899" t="inlineStr">
        <is>
          <t>WESTMINSTER</t>
        </is>
      </c>
    </row>
    <row r="6">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c r="B9" t="inlineStr">
        <is>
          <t>B-2-Arv</t>
        </is>
      </c>
      <c r="E9" t="inlineStr">
        <is>
          <t>E-470</t>
        </is>
      </c>
      <c r="G9" t="inlineStr">
        <is>
          <t>C-3-Bri</t>
        </is>
      </c>
      <c r="H9" t="inlineStr">
        <is>
          <t>Commerce City</t>
        </is>
      </c>
      <c r="J9" t="inlineStr">
        <is>
          <t>C-5-Nor</t>
        </is>
      </c>
      <c r="L9" t="inlineStr">
        <is>
          <t>Eastlake Services</t>
        </is>
      </c>
      <c r="M9" t="inlineStr">
        <is>
          <t>PUD-Wes</t>
        </is>
      </c>
    </row>
    <row r="10">
      <c r="B10" t="inlineStr">
        <is>
          <t>B-3-Aur</t>
        </is>
      </c>
      <c r="E10" t="inlineStr">
        <is>
          <t>FBA</t>
        </is>
      </c>
      <c r="G10" t="inlineStr">
        <is>
          <t>C-O</t>
        </is>
      </c>
      <c r="H10" t="inlineStr">
        <is>
          <t>I-1-Com</t>
        </is>
      </c>
      <c r="J10" t="inlineStr">
        <is>
          <t>I-2-Nor</t>
        </is>
      </c>
      <c r="L10" t="inlineStr">
        <is>
          <t>Planned Development</t>
        </is>
      </c>
      <c r="M10" t="inlineStr">
        <is>
          <t>SPD</t>
        </is>
      </c>
    </row>
    <row r="11">
      <c r="B11" t="inlineStr">
        <is>
          <t>B-4-Aur</t>
        </is>
      </c>
      <c r="E11" t="inlineStr">
        <is>
          <t>M-1-Aur</t>
        </is>
      </c>
      <c r="G11" t="inlineStr">
        <is>
          <t>DT</t>
        </is>
      </c>
      <c r="H11" t="inlineStr">
        <is>
          <t>I-1S</t>
        </is>
      </c>
      <c r="J11" t="inlineStr">
        <is>
          <t>Northglenn</t>
        </is>
      </c>
      <c r="L11" t="inlineStr">
        <is>
          <t>Regional Commercial</t>
        </is>
      </c>
      <c r="M11" t="inlineStr">
        <is>
          <t>Westminster</t>
        </is>
      </c>
    </row>
    <row r="12">
      <c r="B12" t="inlineStr">
        <is>
          <t>B2</t>
        </is>
      </c>
      <c r="E12" t="inlineStr">
        <is>
          <t>M-2</t>
        </is>
      </c>
      <c r="G12" t="inlineStr">
        <is>
          <t>I-1-Bri</t>
        </is>
      </c>
      <c r="H12" t="inlineStr">
        <is>
          <t>I-2-Com</t>
        </is>
      </c>
      <c r="J12" t="inlineStr">
        <is>
          <t>PUD-Nor</t>
        </is>
      </c>
      <c r="L12" t="inlineStr">
        <is>
          <t>Single Family Detached</t>
        </is>
      </c>
    </row>
    <row r="13">
      <c r="B13" t="inlineStr">
        <is>
          <t>B4</t>
        </is>
      </c>
      <c r="E13" t="inlineStr">
        <is>
          <t>M-3</t>
        </is>
      </c>
      <c r="G13" t="inlineStr">
        <is>
          <t>PUD-Bri</t>
        </is>
      </c>
      <c r="H13" t="inlineStr">
        <is>
          <t>I-3-Com</t>
        </is>
      </c>
      <c r="J13" t="inlineStr">
        <is>
          <t>R-1-B-Nor</t>
        </is>
      </c>
      <c r="L13" t="inlineStr">
        <is>
          <t>Thornton</t>
        </is>
      </c>
    </row>
    <row r="14">
      <c r="B14" t="inlineStr">
        <is>
          <t>B8</t>
        </is>
      </c>
      <c r="E14" t="inlineStr">
        <is>
          <t>OA-G</t>
        </is>
      </c>
      <c r="G14" t="inlineStr">
        <is>
          <t>R-2-Bri</t>
        </is>
      </c>
      <c r="H14" t="inlineStr">
        <is>
          <t>Industrial</t>
        </is>
      </c>
      <c r="J14" t="inlineStr">
        <is>
          <t>R-1-C-Nor</t>
        </is>
      </c>
    </row>
    <row r="15">
      <c r="B15" t="inlineStr">
        <is>
          <t>B8A</t>
        </is>
      </c>
      <c r="E15" t="inlineStr">
        <is>
          <t>OA-MS</t>
        </is>
      </c>
      <c r="H15" t="inlineStr">
        <is>
          <t>PUD-Com</t>
        </is>
      </c>
      <c r="J15" t="inlineStr">
        <is>
          <t>R-4-Nor</t>
        </is>
      </c>
    </row>
    <row r="16">
      <c r="B16" t="inlineStr">
        <is>
          <t>B8G</t>
        </is>
      </c>
      <c r="E16" t="inlineStr">
        <is>
          <t>PD</t>
        </is>
      </c>
      <c r="H16" t="inlineStr">
        <is>
          <t>R-2-Com</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6.xml><?xml version="1.0" encoding="utf-8"?>
<worksheet xmlns="http://schemas.openxmlformats.org/spreadsheetml/2006/main">
  <sheetPr>
    <tabColor rgb="00D97706"/>
    <outlinePr summaryBelow="1" summaryRight="1"/>
    <pageSetUpPr/>
  </sheetPr>
  <dimension ref="A1:Q40"/>
  <sheetViews>
    <sheetView workbookViewId="0">
      <selection activeCell="A1" sqref="A1"/>
    </sheetView>
  </sheetViews>
  <sheetFormatPr baseColWidth="8" defaultRowHeight="15"/>
  <cols>
    <col width="29" customWidth="1" min="1" max="1"/>
    <col width="16" customWidth="1" min="2" max="2"/>
    <col width="16" customWidth="1" min="3" max="3"/>
    <col width="14" customWidth="1" min="4" max="4"/>
    <col width="16" customWidth="1" min="5" max="5"/>
    <col width="16" customWidth="1" min="6" max="6"/>
    <col width="16" customWidth="1" min="7" max="7"/>
    <col width="16" customWidth="1" min="8" max="8"/>
    <col width="3" customWidth="1" min="9" max="9"/>
    <col width="17" customWidth="1" min="10" max="10"/>
    <col width="32" customWidth="1" min="11" max="11"/>
    <col width="14" customWidth="1" min="12" max="12"/>
    <col width="14" customWidth="1" min="13" max="13"/>
    <col width="14" customWidth="1" min="14" max="14"/>
    <col width="14" customWidth="1" min="15" max="15"/>
    <col width="14" customWidth="1" min="16" max="16"/>
    <col width="14" customWidth="1" min="17" max="17"/>
  </cols>
  <sheetData>
    <row r="1" ht="34" customHeight="1">
      <c r="A1" s="935" t="inlineStr">
        <is>
          <t>Adams County, Colorado Property &amp; Development Resource Directory</t>
        </is>
      </c>
    </row>
    <row r="2" ht="34" customHeight="1"/>
    <row r="3" ht="28" customHeight="1">
      <c r="A3" s="936" t="inlineStr">
        <is>
          <t>County records, every municipality, unincorporated land-use resources, development monitoring, news, and a practical due-diligence workflow. Verified 2026-07-10.</t>
        </is>
      </c>
    </row>
    <row r="5">
      <c r="A5" s="937" t="inlineStr">
        <is>
          <t>Directory coverage</t>
        </is>
      </c>
      <c r="E5" s="937" t="inlineStr">
        <is>
          <t>How to use the directory</t>
        </is>
      </c>
      <c r="K5" s="937" t="inlineStr">
        <is>
          <t>Primary official starting points</t>
        </is>
      </c>
    </row>
    <row r="6" ht="30" customHeight="1">
      <c r="A6" s="938" t="inlineStr">
        <is>
          <t>Curated directory rows</t>
        </is>
      </c>
      <c r="B6" s="939">
        <f>COUNTA('Countywide Core'!$C$5:$C$500)+COUNTA('Municipal Directory'!$C$5:$C$500)+COUNTA('Meetings &amp; News'!$C$5:$C$500)+COUNTA('State &amp; Regional'!$C$5:$C$500)</f>
        <v/>
      </c>
      <c r="E6" s="940" t="inlineStr">
        <is>
          <t>1. Start with the county assessor search and capture the parcel/account number.</t>
        </is>
      </c>
      <c r="K6" s="938" t="inlineStr">
        <is>
          <t>Official municipality list</t>
        </is>
      </c>
      <c r="L6" s="941" t="inlineStr">
        <is>
          <t>https://adamscountyco.gov/about-adams-county/cities-towns/</t>
        </is>
      </c>
    </row>
    <row r="7" ht="30" customHeight="1">
      <c r="A7" s="938" t="inlineStr">
        <is>
          <t>Official-source rows</t>
        </is>
      </c>
      <c r="B7" s="939">
        <f>COUNTIF('Countywide Core'!$F$5:$F$500,"Yes")+COUNTIF('Municipal Directory'!$F$5:$F$500,"Yes")+COUNTIF('State &amp; Regional'!$F$5:$F$500,"Yes")+COUNTIF('Meetings &amp; News'!$E$5:$E$500,"Official")</f>
        <v/>
      </c>
      <c r="E7" s="942" t="inlineStr">
        <is>
          <t>2. Confirm the municipal boundary. A mailing city is not always the land-use jurisdiction.</t>
        </is>
      </c>
      <c r="K7" s="938" t="inlineStr">
        <is>
          <t>Adams County property search</t>
        </is>
      </c>
      <c r="L7" s="941" t="inlineStr">
        <is>
          <t>https://adamscountyco.gov/service/search-real-property/</t>
        </is>
      </c>
    </row>
    <row r="8" ht="30" customHeight="1">
      <c r="A8" s="938" t="inlineStr">
        <is>
          <t>Municipalities covered</t>
        </is>
      </c>
      <c r="B8" s="939" t="n">
        <v>10</v>
      </c>
      <c r="E8" s="940" t="inlineStr">
        <is>
          <t>3. Use county sources for assessor records, recorded deeds/documents, property taxes, tax liens and public-trustee foreclosure records for Adams County parcels.</t>
        </is>
      </c>
      <c r="K8" s="938" t="inlineStr">
        <is>
          <t>Recorded deed/document search</t>
        </is>
      </c>
      <c r="L8" s="941" t="inlineStr">
        <is>
          <t>https://recording.adamscountyco.gov/landmarkweb/</t>
        </is>
      </c>
    </row>
    <row r="9" ht="30" customHeight="1">
      <c r="A9" s="938" t="inlineStr">
        <is>
          <t>Unincorporated jurisdiction</t>
        </is>
      </c>
      <c r="B9" s="939" t="n">
        <v>1</v>
      </c>
      <c r="E9" s="942" t="inlineStr">
        <is>
          <t>4. Use the city or town for zoning, planning, development review, permits, local code, public hearings and municipal records; use Adams County for unincorporated land.</t>
        </is>
      </c>
      <c r="K9" s="938" t="inlineStr">
        <is>
          <t>Property tax portal</t>
        </is>
      </c>
      <c r="L9" s="941" t="inlineStr">
        <is>
          <t>https://adcotax.com/</t>
        </is>
      </c>
    </row>
    <row r="10" ht="30" customHeight="1">
      <c r="A10" s="938" t="inlineStr">
        <is>
          <t>Countywide core rows</t>
        </is>
      </c>
      <c r="B10" s="939">
        <f>COUNTA('Countywide Core'!$C$5:$C$500)</f>
        <v/>
      </c>
      <c r="E10" s="940" t="inlineStr">
        <is>
          <t>5. Save source documents and the date checked. Use public-notice and agenda pages to catch pending changes that may not yet appear on a project map.</t>
        </is>
      </c>
      <c r="K10" s="938" t="inlineStr">
        <is>
          <t>County GIS maps</t>
        </is>
      </c>
      <c r="L10" s="941" t="inlineStr">
        <is>
          <t>https://adamscountyco.gov/service/gis-interactive-maps/</t>
        </is>
      </c>
    </row>
    <row r="11">
      <c r="A11" s="938" t="inlineStr">
        <is>
          <t>Municipal detail rows</t>
        </is>
      </c>
      <c r="B11" s="939">
        <f>COUNTA('Municipal Directory'!$C$5:$C$500)</f>
        <v/>
      </c>
      <c r="K11" s="938" t="inlineStr">
        <is>
          <t>Unincorporated planning/zoning</t>
        </is>
      </c>
      <c r="L11" s="941" t="inlineStr">
        <is>
          <t>https://adamscountyco.gov/our-county/community-economic-development/planning-development/</t>
        </is>
      </c>
    </row>
    <row r="12">
      <c r="A12" s="938" t="inlineStr">
        <is>
          <t>Meeting / news rows</t>
        </is>
      </c>
      <c r="B12" s="939">
        <f>COUNTA('Meetings &amp; News'!$C$5:$C$500)</f>
        <v/>
      </c>
      <c r="E12" s="943" t="inlineStr">
        <is>
          <t>Scope and cautions</t>
        </is>
      </c>
      <c r="K12" s="938" t="inlineStr">
        <is>
          <t>Current county land-use cases</t>
        </is>
      </c>
      <c r="L12" s="941" t="inlineStr">
        <is>
          <t>https://adamscountyco.gov/our-county/community-economic-development/planning-development/current-land-use-cases/</t>
        </is>
      </c>
    </row>
    <row r="13" ht="30" customHeight="1">
      <c r="A13" s="938" t="inlineStr">
        <is>
          <t>State / regional rows</t>
        </is>
      </c>
      <c r="B13" s="939">
        <f>COUNTA('State &amp; Regional'!$C$5:$C$500)</f>
        <v/>
      </c>
      <c r="E13" s="944" t="inlineStr">
        <is>
          <t>GIS parcel lines and mapped layers are screening tools, not legal surveys or title evidence.</t>
        </is>
      </c>
      <c r="K13" s="938" t="inlineStr">
        <is>
          <t>Municipality quick matrix</t>
        </is>
      </c>
      <c r="L13" s="941" t="inlineStr">
        <is>
          <t>See the Quick Matrix worksheet</t>
        </is>
      </c>
    </row>
    <row r="14" ht="30" customHeight="1">
      <c r="A14" s="938" t="inlineStr">
        <is>
          <t>Due-diligence tasks</t>
        </is>
      </c>
      <c r="B14" s="939">
        <f>COUNTA('Due Diligence'!$A$5:$A$100)</f>
        <v/>
      </c>
      <c r="E14" s="945" t="inlineStr">
        <is>
          <t>Codes, maps, fees and project statuses change. Verify material conclusions with the responsible agency.</t>
        </is>
      </c>
    </row>
    <row r="15" ht="30" customHeight="1">
      <c r="A15" s="938" t="inlineStr">
        <is>
          <t>Tasks complete</t>
        </is>
      </c>
      <c r="B15" s="939">
        <f>COUNTIF('Due Diligence'!$H$5:$H$100,"Complete")</f>
        <v/>
      </c>
      <c r="E15" s="944" t="inlineStr">
        <is>
          <t>Online recorder searching is not a substitute for a title commitment, legal review or a complete chain-of-title examination.</t>
        </is>
      </c>
    </row>
    <row r="16" ht="30" customHeight="1">
      <c r="A16" s="938" t="inlineStr">
        <is>
          <t>Checklist completion</t>
        </is>
      </c>
      <c r="B16" s="946">
        <f>IF(B14=0,0,B15/B14)</f>
        <v/>
      </c>
      <c r="E16" s="945" t="inlineStr">
        <is>
          <t>Several listed cities/towns extend beyond Adams County. Confirm the parcel's county before using recorder, assessor or tax systems.</t>
        </is>
      </c>
    </row>
    <row r="19">
      <c r="A19" s="947" t="inlineStr">
        <is>
          <t>Recommended research workflow</t>
        </is>
      </c>
      <c r="J19" s="948" t="inlineStr">
        <is>
          <t>Detailed resources by jurisdiction</t>
        </is>
      </c>
    </row>
    <row r="20">
      <c r="A20" s="949" t="inlineStr">
        <is>
          <t>Step</t>
        </is>
      </c>
      <c r="B20" s="949" t="inlineStr">
        <is>
          <t>Question</t>
        </is>
      </c>
      <c r="E20" s="949" t="n"/>
      <c r="G20" s="949" t="n"/>
      <c r="J20" s="950" t="inlineStr">
        <is>
          <t>Municipality</t>
        </is>
      </c>
      <c r="K20" s="950" t="inlineStr">
        <is>
          <t>Resources</t>
        </is>
      </c>
    </row>
    <row r="21" ht="22" customHeight="1">
      <c r="A21" s="951" t="n">
        <v>1</v>
      </c>
      <c r="B21" s="952" t="inlineStr">
        <is>
          <t>What exact parcel is this?</t>
        </is>
      </c>
      <c r="E21" s="952" t="n"/>
      <c r="G21" s="952" t="n"/>
      <c r="J21" s="953" t="inlineStr">
        <is>
          <t>Arvada</t>
        </is>
      </c>
      <c r="K21" s="954">
        <f>COUNTIF('Municipal Directory'!$A$5:$A$500,J21)</f>
        <v/>
      </c>
    </row>
    <row r="22" ht="22" customHeight="1">
      <c r="A22" s="951" t="n">
        <v>2</v>
      </c>
      <c r="B22" s="952" t="inlineStr">
        <is>
          <t>Which county and land-use jurisdiction apply?</t>
        </is>
      </c>
      <c r="E22" s="952" t="n"/>
      <c r="G22" s="952" t="n"/>
      <c r="J22" s="953" t="inlineStr">
        <is>
          <t>Aurora</t>
        </is>
      </c>
      <c r="K22" s="954">
        <f>COUNTIF('Municipal Directory'!$A$5:$A$500,J22)</f>
        <v/>
      </c>
    </row>
    <row r="23" ht="22" customHeight="1">
      <c r="A23" s="951" t="n">
        <v>3</v>
      </c>
      <c r="B23" s="952" t="inlineStr">
        <is>
          <t>Who owns it and what is the legal description?</t>
        </is>
      </c>
      <c r="E23" s="952" t="n"/>
      <c r="G23" s="952" t="n"/>
      <c r="J23" s="953" t="inlineStr">
        <is>
          <t>Bennett</t>
        </is>
      </c>
      <c r="K23" s="954">
        <f>COUNTIF('Municipal Directory'!$A$5:$A$500,J23)</f>
        <v/>
      </c>
    </row>
    <row r="24" ht="22" customHeight="1">
      <c r="A24" s="951" t="n">
        <v>4</v>
      </c>
      <c r="B24" s="952" t="inlineStr">
        <is>
          <t>What recorded interests affect it?</t>
        </is>
      </c>
      <c r="E24" s="952" t="n"/>
      <c r="G24" s="952" t="n"/>
      <c r="J24" s="953" t="inlineStr">
        <is>
          <t>Brighton</t>
        </is>
      </c>
      <c r="K24" s="954">
        <f>COUNTIF('Municipal Directory'!$A$5:$A$500,J24)</f>
        <v/>
      </c>
    </row>
    <row r="25" ht="22" customHeight="1">
      <c r="A25" s="951" t="n">
        <v>5</v>
      </c>
      <c r="B25" s="952" t="inlineStr">
        <is>
          <t>Are taxes, tax liens or foreclosure issues present?</t>
        </is>
      </c>
      <c r="E25" s="952" t="n"/>
      <c r="G25" s="952" t="n"/>
      <c r="J25" s="953" t="inlineStr">
        <is>
          <t>Commerce City</t>
        </is>
      </c>
      <c r="K25" s="954">
        <f>COUNTIF('Municipal Directory'!$A$5:$A$500,J25)</f>
        <v/>
      </c>
    </row>
    <row r="26" ht="22" customHeight="1">
      <c r="A26" s="951" t="n">
        <v>6</v>
      </c>
      <c r="B26" s="952" t="inlineStr">
        <is>
          <t>What zoning, uses and overlays apply?</t>
        </is>
      </c>
      <c r="E26" s="952" t="n"/>
      <c r="G26" s="952" t="n"/>
      <c r="J26" s="953" t="inlineStr">
        <is>
          <t>Federal Heights</t>
        </is>
      </c>
      <c r="K26" s="954">
        <f>COUNTIF('Municipal Directory'!$A$5:$A$500,J26)</f>
        <v/>
      </c>
    </row>
    <row r="27" ht="22" customHeight="1">
      <c r="A27" s="951" t="n">
        <v>7</v>
      </c>
      <c r="B27" s="952" t="inlineStr">
        <is>
          <t>What projects or hearings may change the area?</t>
        </is>
      </c>
      <c r="E27" s="952" t="n"/>
      <c r="G27" s="952" t="n"/>
      <c r="J27" s="953" t="inlineStr">
        <is>
          <t>Lochbuie</t>
        </is>
      </c>
      <c r="K27" s="954">
        <f>COUNTIF('Municipal Directory'!$A$5:$A$500,J27)</f>
        <v/>
      </c>
    </row>
    <row r="28" ht="22" customHeight="1">
      <c r="A28" s="951" t="n">
        <v>8</v>
      </c>
      <c r="B28" s="952" t="inlineStr">
        <is>
          <t>What permits and violations exist?</t>
        </is>
      </c>
      <c r="E28" s="952" t="n"/>
      <c r="G28" s="952" t="n"/>
      <c r="J28" s="953" t="inlineStr">
        <is>
          <t>Northglenn</t>
        </is>
      </c>
      <c r="K28" s="954">
        <f>COUNTIF('Municipal Directory'!$A$5:$A$500,J28)</f>
        <v/>
      </c>
    </row>
    <row r="29" ht="22" customHeight="1">
      <c r="A29" s="951" t="n">
        <v>9</v>
      </c>
      <c r="B29" s="952" t="inlineStr">
        <is>
          <t>What physical and environmental constraints exist?</t>
        </is>
      </c>
      <c r="E29" s="952" t="n"/>
      <c r="G29" s="952" t="n"/>
      <c r="J29" s="953" t="inlineStr">
        <is>
          <t>Thornton</t>
        </is>
      </c>
      <c r="K29" s="954">
        <f>COUNTIF('Municipal Directory'!$A$5:$A$500,J29)</f>
        <v/>
      </c>
    </row>
    <row r="30" ht="22" customHeight="1">
      <c r="A30" s="951" t="n">
        <v>10</v>
      </c>
      <c r="B30" s="952" t="inlineStr">
        <is>
          <t>What service, access and district costs apply?</t>
        </is>
      </c>
      <c r="E30" s="952" t="n"/>
      <c r="G30" s="952" t="n"/>
      <c r="J30" s="953" t="inlineStr">
        <is>
          <t>Westminster</t>
        </is>
      </c>
      <c r="K30" s="954">
        <f>COUNTIF('Municipal Directory'!$A$5:$A$500,J30)</f>
        <v/>
      </c>
    </row>
    <row r="31" ht="36" customHeight="1">
      <c r="A31" s="951" t="n">
        <v>11</v>
      </c>
      <c r="B31" s="952" t="inlineStr">
        <is>
          <t>What final professional confirmations are needed?</t>
        </is>
      </c>
      <c r="E31" s="952" t="n"/>
      <c r="G31" s="952" t="n"/>
    </row>
    <row r="34">
      <c r="A34" s="947" t="inlineStr">
        <is>
          <t>What each worksheet contains</t>
        </is>
      </c>
    </row>
    <row r="35" ht="30" customHeight="1">
      <c r="A35" s="955" t="inlineStr">
        <is>
          <t>Quick Matrix</t>
        </is>
      </c>
      <c r="B35" s="956" t="inlineStr">
        <is>
          <t>One row for unincorporated Adams County plus every municipality, with direct links for GIS, zoning, planning, development, permits, plans, agendas, notices and news.</t>
        </is>
      </c>
    </row>
    <row r="36" ht="30" customHeight="1">
      <c r="A36" s="955" t="inlineStr">
        <is>
          <t>Countywide Core</t>
        </is>
      </c>
      <c r="B36" s="956" t="inlineStr">
        <is>
          <t>Assessor/property search, recorded deeds and documents, survey plats, taxes, tax liens, foreclosure, GIS, county planning, permits and public works.</t>
        </is>
      </c>
    </row>
    <row r="37" ht="30" customHeight="1">
      <c r="A37" s="955" t="inlineStr">
        <is>
          <t>Municipal Directory</t>
        </is>
      </c>
      <c r="B37" s="956" t="inlineStr">
        <is>
          <t>Detailed, filterable city/town resources for all 10 municipalities with territory in Adams County.</t>
        </is>
      </c>
    </row>
    <row r="38" ht="30" customHeight="1">
      <c r="A38" s="955" t="inlineStr">
        <is>
          <t>Meetings &amp; News</t>
        </is>
      </c>
      <c r="B38" s="956" t="inlineStr">
        <is>
          <t>Agendas, land-use cases, legal/public notices, alerts, official news and selected independent local media.</t>
        </is>
      </c>
    </row>
    <row r="39" ht="30" customHeight="1">
      <c r="A39" s="955" t="inlineStr">
        <is>
          <t>State &amp; Regional</t>
        </is>
      </c>
      <c r="B39" s="956" t="inlineStr">
        <is>
          <t>Special districts, business/UCC, water, oil and gas, flood, environmental, soils, wetlands, transportation, historic and HOA resources.</t>
        </is>
      </c>
    </row>
    <row r="40" ht="30" customHeight="1">
      <c r="A40" s="955" t="inlineStr">
        <is>
          <t>Due Diligence</t>
        </is>
      </c>
      <c r="B40" s="956" t="inlineStr">
        <is>
          <t>A 32-step editable checklist with status drop-downs, evidence to save and red flags.</t>
        </is>
      </c>
    </row>
  </sheetData>
  <mergeCells count="79">
    <mergeCell ref="G21:H21"/>
    <mergeCell ref="E12:I12"/>
    <mergeCell ref="A34:Q34"/>
    <mergeCell ref="B40:Q40"/>
    <mergeCell ref="E23:F23"/>
    <mergeCell ref="J19:K19"/>
    <mergeCell ref="E5:I5"/>
    <mergeCell ref="L8:Q8"/>
    <mergeCell ref="G23:H23"/>
    <mergeCell ref="E14:I14"/>
    <mergeCell ref="B12:C12"/>
    <mergeCell ref="B28:D28"/>
    <mergeCell ref="L10:Q10"/>
    <mergeCell ref="B35:Q35"/>
    <mergeCell ref="E13:I13"/>
    <mergeCell ref="B14:C14"/>
    <mergeCell ref="B30:D30"/>
    <mergeCell ref="B20:D20"/>
    <mergeCell ref="B13:C13"/>
    <mergeCell ref="E15:I15"/>
    <mergeCell ref="A3:Q3"/>
    <mergeCell ref="E27:F27"/>
    <mergeCell ref="G20:H20"/>
    <mergeCell ref="E7:I7"/>
    <mergeCell ref="E16:I16"/>
    <mergeCell ref="E22:F22"/>
    <mergeCell ref="G22:H22"/>
    <mergeCell ref="L12:Q12"/>
    <mergeCell ref="B37:Q37"/>
    <mergeCell ref="B16:C16"/>
    <mergeCell ref="A5:C5"/>
    <mergeCell ref="B11:C11"/>
    <mergeCell ref="K5:Q5"/>
    <mergeCell ref="E6:I6"/>
    <mergeCell ref="G24:H24"/>
    <mergeCell ref="E26:F26"/>
    <mergeCell ref="G26:H26"/>
    <mergeCell ref="B6:C6"/>
    <mergeCell ref="B15:C15"/>
    <mergeCell ref="B31:D31"/>
    <mergeCell ref="E25:F25"/>
    <mergeCell ref="G25:H25"/>
    <mergeCell ref="B21:D21"/>
    <mergeCell ref="B7:C7"/>
    <mergeCell ref="B23:D23"/>
    <mergeCell ref="E8:I8"/>
    <mergeCell ref="E20:F20"/>
    <mergeCell ref="E29:F29"/>
    <mergeCell ref="E10:I10"/>
    <mergeCell ref="E31:F31"/>
    <mergeCell ref="E9:I9"/>
    <mergeCell ref="L6:Q6"/>
    <mergeCell ref="B9:C9"/>
    <mergeCell ref="B25:D25"/>
    <mergeCell ref="L7:Q7"/>
    <mergeCell ref="B22:D22"/>
    <mergeCell ref="A19:H19"/>
    <mergeCell ref="E24:F24"/>
    <mergeCell ref="G27:H27"/>
    <mergeCell ref="B29:D29"/>
    <mergeCell ref="B36:Q36"/>
    <mergeCell ref="E28:F28"/>
    <mergeCell ref="L9:Q9"/>
    <mergeCell ref="G28:H28"/>
    <mergeCell ref="B8:C8"/>
    <mergeCell ref="B24:D24"/>
    <mergeCell ref="E30:F30"/>
    <mergeCell ref="L11:Q11"/>
    <mergeCell ref="G30:H30"/>
    <mergeCell ref="B10:C10"/>
    <mergeCell ref="B26:D26"/>
    <mergeCell ref="B39:Q39"/>
    <mergeCell ref="A1:Q2"/>
    <mergeCell ref="G29:H29"/>
    <mergeCell ref="B27:D27"/>
    <mergeCell ref="L13:Q13"/>
    <mergeCell ref="G31:H31"/>
    <mergeCell ref="B38:Q38"/>
    <mergeCell ref="E21:F21"/>
  </mergeCells>
  <pageMargins left="0.75" right="0.75" top="1" bottom="1" header="0.5" footer="0.5"/>
</worksheet>
</file>

<file path=xl/worksheets/sheet17.xml><?xml version="1.0" encoding="utf-8"?>
<worksheet xmlns="http://schemas.openxmlformats.org/spreadsheetml/2006/main">
  <sheetPr>
    <tabColor rgb="00D97706"/>
    <outlinePr summaryBelow="1" summaryRight="1"/>
    <pageSetUpPr/>
  </sheetPr>
  <dimension ref="A1:M15"/>
  <sheetViews>
    <sheetView workbookViewId="0">
      <selection activeCell="A1" sqref="A1"/>
    </sheetView>
  </sheetViews>
  <sheetFormatPr baseColWidth="8" defaultRowHeight="15"/>
  <cols>
    <col width="29" customWidth="1" min="1" max="1"/>
    <col width="21" customWidth="1" min="2" max="2"/>
    <col width="3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s>
  <sheetData>
    <row r="1" ht="32" customHeight="1">
      <c r="A1" s="957" t="inlineStr">
        <is>
          <t>Adams County Jurisdiction Quick Matrix</t>
        </is>
      </c>
    </row>
    <row r="2" ht="28" customHeight="1">
      <c r="A2" s="958" t="inlineStr">
        <is>
          <t>Direct official links by jurisdiction. Begin here after confirming the parcel's county and municipal boundary.</t>
        </is>
      </c>
    </row>
    <row r="4" ht="30" customHeight="1">
      <c r="A4" s="959" t="inlineStr">
        <is>
          <t>Jurisdiction</t>
        </is>
      </c>
      <c r="B4" s="959" t="inlineStr">
        <is>
          <t>Type</t>
        </is>
      </c>
      <c r="C4" s="959" t="inlineStr">
        <is>
          <t>Official Home</t>
        </is>
      </c>
      <c r="D4" s="1187" t="inlineStr">
        <is>
          <t>Property / GIS</t>
        </is>
      </c>
      <c r="E4" s="1187" t="inlineStr">
        <is>
          <t>Zoning / Code</t>
        </is>
      </c>
      <c r="F4" s="1187" t="inlineStr">
        <is>
          <t>Planning</t>
        </is>
      </c>
      <c r="G4" s="1187" t="inlineStr">
        <is>
          <t>Development / Projects</t>
        </is>
      </c>
      <c r="H4" s="1187" t="inlineStr">
        <is>
          <t>Permits</t>
        </is>
      </c>
      <c r="I4" s="1187" t="inlineStr">
        <is>
          <t>Long-Range Plan</t>
        </is>
      </c>
      <c r="J4" s="1187" t="inlineStr">
        <is>
          <t>Agendas / Meetings</t>
        </is>
      </c>
      <c r="K4" s="1187" t="inlineStr">
        <is>
          <t>Public Notices</t>
        </is>
      </c>
      <c r="L4" s="1187" t="inlineStr">
        <is>
          <t>News</t>
        </is>
      </c>
      <c r="M4" s="1187" t="inlineStr">
        <is>
          <t>Boundary / Use Note</t>
        </is>
      </c>
    </row>
    <row r="5" ht="54" customHeight="1">
      <c r="A5" s="952" t="inlineStr">
        <is>
          <t>Unincorporated Adams County</t>
        </is>
      </c>
      <c r="B5" s="952" t="inlineStr">
        <is>
          <t>County jurisdiction</t>
        </is>
      </c>
      <c r="C5" s="960" t="inlineStr">
        <is>
          <t>https://adamscountyco.gov/</t>
        </is>
      </c>
      <c r="D5" s="1188" t="inlineStr">
        <is>
          <t>https://adamscountyco.gov/service/gis-interactive-maps/</t>
        </is>
      </c>
      <c r="E5" s="1188" t="inlineStr">
        <is>
          <t>https://adamscountyco.gov/our-county/community-economic-development/planning-development/development-standards-regulations/</t>
        </is>
      </c>
      <c r="F5" s="1188" t="inlineStr">
        <is>
          <t>https://adamscountyco.gov/our-county/community-economic-development/planning-development/</t>
        </is>
      </c>
      <c r="G5" s="1188" t="inlineStr">
        <is>
          <t>https://adamscountyco.gov/our-county/community-economic-development/planning-development/current-land-use-cases/</t>
        </is>
      </c>
      <c r="H5" s="1188" t="inlineStr">
        <is>
          <t>https://adamscountyco.gov/our-county/community-economic-development/building-safety/building-permit/</t>
        </is>
      </c>
      <c r="I5" s="1188" t="inlineStr">
        <is>
          <t>https://adamscountyco.gov/our-county/community-economic-development/advancing-adams/comprehensive-plan/</t>
        </is>
      </c>
      <c r="J5" s="1188" t="inlineStr">
        <is>
          <t>https://adamscountyco.gov/about-adams-county/public-meetings/</t>
        </is>
      </c>
      <c r="K5" s="1189" t="inlineStr">
        <is>
          <t>https://adamscountyco.gov/our-county/community-economic-development/planning-development/current-land-use-cases/</t>
        </is>
      </c>
      <c r="L5" s="1189" t="inlineStr">
        <is>
          <t>https://adamscountyco.gov/about-adams-county/news/</t>
        </is>
      </c>
      <c r="M5" s="952" t="inlineStr">
        <is>
          <t>Use county land-use and permit resources only when the parcel is outside an incorporated city or town.</t>
        </is>
      </c>
    </row>
    <row r="6" ht="54" customHeight="1">
      <c r="A6" s="952" t="inlineStr">
        <is>
          <t>Arvada</t>
        </is>
      </c>
      <c r="B6" s="952" t="inlineStr">
        <is>
          <t>City</t>
        </is>
      </c>
      <c r="C6" s="960" t="inlineStr">
        <is>
          <t>https://www.arvadaco.gov/</t>
        </is>
      </c>
      <c r="D6" s="1188" t="inlineStr">
        <is>
          <t>https://www.arvadaco.gov/702/Maps-and-Property-Search</t>
        </is>
      </c>
      <c r="E6" s="1188" t="inlineStr">
        <is>
          <t>https://www.arvadaco.gov/168/Zoning</t>
        </is>
      </c>
      <c r="F6" s="1188" t="inlineStr">
        <is>
          <t>https://www.arvadaco.gov/1369/Planning-and-Development</t>
        </is>
      </c>
      <c r="G6" s="1188" t="inlineStr">
        <is>
          <t>https://www.arvadaco.gov/1394/Active-Development-Projects</t>
        </is>
      </c>
      <c r="H6" s="1188" t="inlineStr">
        <is>
          <t>https://www.arvadaco.gov/330/Permits</t>
        </is>
      </c>
      <c r="I6" s="1188" t="inlineStr">
        <is>
          <t>https://www.arvadaco.gov/1374/2026-27-Comprehensive-Plan</t>
        </is>
      </c>
      <c r="J6" s="1188" t="inlineStr">
        <is>
          <t>https://www.arvadaco.gov/AgendaCenter</t>
        </is>
      </c>
      <c r="K6" s="1189" t="inlineStr">
        <is>
          <t>https://www.arvadaco.gov/245/Meetings-and-Other-Legal-Notices</t>
        </is>
      </c>
      <c r="L6" s="1189" t="inlineStr">
        <is>
          <t>https://www.arvadaco.gov/908/News-Releases</t>
        </is>
      </c>
      <c r="M6" s="952" t="inlineStr">
        <is>
          <t>Use city land-use resources for the Arvada parcel; use the recorder/assessor for the parcel's actual county.</t>
        </is>
      </c>
    </row>
    <row r="7" ht="54" customHeight="1">
      <c r="A7" s="952" t="inlineStr">
        <is>
          <t>Aurora</t>
        </is>
      </c>
      <c r="B7" s="952" t="inlineStr">
        <is>
          <t>City</t>
        </is>
      </c>
      <c r="C7" s="960" t="inlineStr">
        <is>
          <t>https://www.auroragov.org/</t>
        </is>
      </c>
      <c r="D7" s="1188" t="inlineStr">
        <is>
          <t>https://www.auroragov.org/city_hall/maps/planning_and_zoning_maps</t>
        </is>
      </c>
      <c r="E7" s="1188" t="inlineStr">
        <is>
          <t>https://zoning.auroragov.org/</t>
        </is>
      </c>
      <c r="F7" s="1188" t="inlineStr">
        <is>
          <t>https://www.auroragov.org/business_services/planning</t>
        </is>
      </c>
      <c r="G7" s="1188" t="inlineStr">
        <is>
          <t>https://coaapps.auroragov.org/ProjectStatus/search.aspx</t>
        </is>
      </c>
      <c r="H7" s="1188" t="inlineStr">
        <is>
          <t>https://www.auroragov.org/business_services/building_division/permits</t>
        </is>
      </c>
      <c r="I7" s="1188" t="inlineStr">
        <is>
          <t>https://www.auroragov.org/business_services/planning/projects__plans___studies/comprehensive_plan</t>
        </is>
      </c>
      <c r="J7" s="1188" t="inlineStr">
        <is>
          <t>https://www.auroragov.org/city_hall/mayor___city_council/council_meetings</t>
        </is>
      </c>
      <c r="K7" s="1189" t="inlineStr">
        <is>
          <t>https://www.auroragov.org/city_hall/public_records/legal_notices/public_hearings</t>
        </is>
      </c>
      <c r="L7" s="1189" t="inlineStr">
        <is>
          <t>https://www.auroragov.org/news/whats_new</t>
        </is>
      </c>
      <c r="M7" s="952" t="inlineStr">
        <is>
          <t>Use these links for Aurora parcels in Adams County; verify county before deed, tax or assessor research.</t>
        </is>
      </c>
    </row>
    <row r="8" ht="54" customHeight="1">
      <c r="A8" s="952" t="inlineStr">
        <is>
          <t>Bennett</t>
        </is>
      </c>
      <c r="B8" s="952" t="inlineStr">
        <is>
          <t>Town</t>
        </is>
      </c>
      <c r="C8" s="960" t="inlineStr">
        <is>
          <t>https://www.bennettco.gov/</t>
        </is>
      </c>
      <c r="D8" s="1188" t="inlineStr">
        <is>
          <t>https://www.bennettco.gov/business/page/bennett-zoning-map</t>
        </is>
      </c>
      <c r="E8" s="1188" t="inlineStr">
        <is>
          <t>https://www.bennettco.gov/planning-economic-development/page/zoning-and-subdivision-regulations</t>
        </is>
      </c>
      <c r="F8" s="1188" t="inlineStr">
        <is>
          <t>https://www.bennettco.gov/planning-economic-development/page/planning-and-zoning</t>
        </is>
      </c>
      <c r="G8" s="1188" t="inlineStr">
        <is>
          <t>https://www.bennettco.gov/projects</t>
        </is>
      </c>
      <c r="H8" s="1188" t="inlineStr">
        <is>
          <t>https://www.bennettco.gov/community-development/page/building-department</t>
        </is>
      </c>
      <c r="I8" s="1188" t="inlineStr">
        <is>
          <t>https://www.bennettco.gov/planning-economic-development/page/master-plans-and-guiding-documents</t>
        </is>
      </c>
      <c r="J8" s="1188" t="inlineStr">
        <is>
          <t>https://www.bennettco.gov/meetings/recent</t>
        </is>
      </c>
      <c r="K8" s="1189" t="inlineStr">
        <is>
          <t>https://www.bennettco.gov/town-clerk/page/public-records</t>
        </is>
      </c>
      <c r="L8" s="1189" t="inlineStr">
        <is>
          <t>https://www.bennettco.gov/news</t>
        </is>
      </c>
      <c r="M8" s="952" t="inlineStr">
        <is>
          <t>Use town land-use resources; confirm parcel county for assessor, deed and tax records.</t>
        </is>
      </c>
    </row>
    <row r="9" ht="54" customHeight="1">
      <c r="A9" s="952" t="inlineStr">
        <is>
          <t>Brighton</t>
        </is>
      </c>
      <c r="B9" s="952" t="inlineStr">
        <is>
          <t>City</t>
        </is>
      </c>
      <c r="C9" s="960" t="inlineStr">
        <is>
          <t>https://www.brightonco.gov/</t>
        </is>
      </c>
      <c r="D9" s="1188" t="inlineStr">
        <is>
          <t>https://www.brightonco.gov/248/Geographic-Information-Systems</t>
        </is>
      </c>
      <c r="E9" s="1188" t="inlineStr">
        <is>
          <t>https://www.brightonco.gov/363/Land-Use-Development-Code</t>
        </is>
      </c>
      <c r="F9" s="1188" t="inlineStr">
        <is>
          <t>https://www.brightonco.gov/224/Planning-Zoning</t>
        </is>
      </c>
      <c r="G9" s="1188" t="inlineStr">
        <is>
          <t>https://www.brightonco.gov/1596/Interactive-Development-Map</t>
        </is>
      </c>
      <c r="H9" s="1188" t="inlineStr">
        <is>
          <t>https://www.brightonco.gov/222/Permitting</t>
        </is>
      </c>
      <c r="I9" s="1188" t="inlineStr">
        <is>
          <t>https://www.brightonco.gov/553/Long-Range-Planning</t>
        </is>
      </c>
      <c r="J9" s="1188" t="inlineStr">
        <is>
          <t>https://www.brightonco.gov/agendacenter</t>
        </is>
      </c>
      <c r="K9" s="1189" t="inlineStr">
        <is>
          <t>https://www.brightonco.gov/453/Legal-Notices</t>
        </is>
      </c>
      <c r="L9" s="1189" t="inlineStr">
        <is>
          <t>https://www.brightonco.gov/175/News</t>
        </is>
      </c>
      <c r="M9" s="952" t="inlineStr">
        <is>
          <t>Use city land-use resources; confirm parcel county before county-record research.</t>
        </is>
      </c>
    </row>
    <row r="10" ht="54" customHeight="1">
      <c r="A10" s="952" t="inlineStr">
        <is>
          <t>Commerce City</t>
        </is>
      </c>
      <c r="B10" s="952" t="inlineStr">
        <is>
          <t>City</t>
        </is>
      </c>
      <c r="C10" s="960" t="inlineStr">
        <is>
          <t>https://www.c3gov.com/Home</t>
        </is>
      </c>
      <c r="D10" s="1188" t="inlineStr">
        <is>
          <t>https://www.c3gov.com/Residents/Maps-Data-GIS</t>
        </is>
      </c>
      <c r="E10" s="1188" t="inlineStr">
        <is>
          <t>https://www.c3gov.com/Government/City-Codes/Land-Development-Code</t>
        </is>
      </c>
      <c r="F10" s="1188" t="inlineStr">
        <is>
          <t>https://www.c3gov.com/Government/Departments-Divisions/Community-Development</t>
        </is>
      </c>
      <c r="G10" s="1188" t="inlineStr">
        <is>
          <t>https://www.c3gov.com/Business-Development/Development-Projects-Map</t>
        </is>
      </c>
      <c r="H10" s="1188" t="inlineStr">
        <is>
          <t>https://www.c3gov.com/Business-Development/Building-Permits-Inspections</t>
        </is>
      </c>
      <c r="I10" s="1188" t="inlineStr">
        <is>
          <t>https://www.c3gov.com/Government/City-Charter-Master-Plans/Comprehensive-Plan</t>
        </is>
      </c>
      <c r="J10" s="1188" t="inlineStr">
        <is>
          <t>https://www.c3gov.com/Site-Footer/Footer-Widgets/Quick-Links/Meeting-Agendas-and-Schedules</t>
        </is>
      </c>
      <c r="K10" s="1189" t="inlineStr">
        <is>
          <t>https://www.c3gov.com/Government/Departments-Divisions/City-Clerks-Office/Legal-Notices-Ordinances</t>
        </is>
      </c>
      <c r="L10" s="1189" t="inlineStr">
        <is>
          <t>https://www.c3gov.com/Government/Media-News/News-Announcements</t>
        </is>
      </c>
      <c r="M10" s="952" t="inlineStr">
        <is>
          <t>Use city land-use resources and Adams County property/recording/tax sources for Adams County parcels.</t>
        </is>
      </c>
    </row>
    <row r="11" ht="54" customHeight="1">
      <c r="A11" s="952" t="inlineStr">
        <is>
          <t>Federal Heights</t>
        </is>
      </c>
      <c r="B11" s="952" t="inlineStr">
        <is>
          <t>City</t>
        </is>
      </c>
      <c r="C11" s="960" t="inlineStr">
        <is>
          <t>https://www.fedheights.org/</t>
        </is>
      </c>
      <c r="D11" s="1188" t="inlineStr">
        <is>
          <t>https://www.fedheights.org/index.asp?SEC=D1A883BE-0C29-4602-8CC9-5D6A08DA5503</t>
        </is>
      </c>
      <c r="E11" s="1188" t="inlineStr">
        <is>
          <t>https://www.fedheights.org/index.asp?SEC=D7AA9940-8607-468A-8215-7308DD3BF799</t>
        </is>
      </c>
      <c r="F11" s="1188" t="inlineStr">
        <is>
          <t>https://www.fedheights.org/planning</t>
        </is>
      </c>
      <c r="G11" s="1188" t="inlineStr">
        <is>
          <t>https://www.fedheights.org/index.asp?SEC=%7B76F23E1D-0819-4BAB-BD73-23D6092E8A3B%7D&amp;persistdesign=none</t>
        </is>
      </c>
      <c r="H11" s="1188" t="inlineStr">
        <is>
          <t>https://www.fedheights.org/index.asp?SEC=D1CB6EB6-9C4B-4FA8-B119-EF1785E54CB6</t>
        </is>
      </c>
      <c r="I11" s="1188" t="inlineStr">
        <is>
          <t>https://www.fedheights.org/index.asp?SEC=%7B5CF1D2C4-3E29-4A1A-BBFA-2BE19B3ABFD0%7D</t>
        </is>
      </c>
      <c r="J11" s="1188" t="inlineStr">
        <is>
          <t>https://www.fedheights.org/index.asp?SEC=%7BE66D34DF-8290-4807-83DA-3AF56D110C00%7D</t>
        </is>
      </c>
      <c r="K11" s="1189" t="inlineStr">
        <is>
          <t>https://www.fedheights.org/index.asp?SEC=%7B13723B89-BA4A-47C1-9634-50363F8CD1D2%7D&amp;persistdesign=none</t>
        </is>
      </c>
      <c r="L11" s="1189" t="inlineStr">
        <is>
          <t>https://www.fedheights.org/index.asp?SEC=407F7286-34E9-495F-B5F7-88E905D7C9A5</t>
        </is>
      </c>
      <c r="M11" s="952" t="inlineStr">
        <is>
          <t>Use city land-use resources and Adams County property/recording/tax sources.</t>
        </is>
      </c>
    </row>
    <row r="12" ht="54" customHeight="1">
      <c r="A12" s="952" t="inlineStr">
        <is>
          <t>Lochbuie</t>
        </is>
      </c>
      <c r="B12" s="952" t="inlineStr">
        <is>
          <t>Town</t>
        </is>
      </c>
      <c r="C12" s="960" t="inlineStr">
        <is>
          <t>https://www.lochbuie.org/</t>
        </is>
      </c>
      <c r="D12" s="1188" t="inlineStr">
        <is>
          <t>https://www.lochbuie.org/community-dev/page/interactive-land-use-map</t>
        </is>
      </c>
      <c r="E12" s="1188" t="inlineStr">
        <is>
          <t>https://www.lochbuie.org/administration/page/zoning-map</t>
        </is>
      </c>
      <c r="F12" s="1188" t="inlineStr">
        <is>
          <t>https://www.lochbuie.org/community-dev/page/current-planning</t>
        </is>
      </c>
      <c r="G12" s="1188" t="inlineStr">
        <is>
          <t>https://www.lochbuie.org/projects</t>
        </is>
      </c>
      <c r="H12" s="1188" t="inlineStr">
        <is>
          <t>https://www.lochbuie.org/community-dev/page/building-permits-and-inspections</t>
        </is>
      </c>
      <c r="I12" s="1188" t="inlineStr">
        <is>
          <t>https://www.lochbuie.org/community-dev/page/documents</t>
        </is>
      </c>
      <c r="J12" s="1188" t="inlineStr">
        <is>
          <t>https://www.lochbuie.org/meetings</t>
        </is>
      </c>
      <c r="K12" s="1189" t="inlineStr">
        <is>
          <t>https://www.lochbuie.org/publicnotice</t>
        </is>
      </c>
      <c r="L12" s="1189" t="inlineStr">
        <is>
          <t>https://www.lochbuie.org/news</t>
        </is>
      </c>
      <c r="M12" s="952" t="inlineStr">
        <is>
          <t>Use town land-use resources; confirm the parcel's county before deed, tax and assessor research.</t>
        </is>
      </c>
    </row>
    <row r="13" ht="54" customHeight="1">
      <c r="A13" s="952" t="inlineStr">
        <is>
          <t>Northglenn</t>
        </is>
      </c>
      <c r="B13" s="952" t="inlineStr">
        <is>
          <t>City</t>
        </is>
      </c>
      <c r="C13" s="960" t="inlineStr">
        <is>
          <t>https://www.northglenn.org/</t>
        </is>
      </c>
      <c r="D13" s="1188" t="inlineStr">
        <is>
          <t>https://biz.northglenn.org/quickzone</t>
        </is>
      </c>
      <c r="E13" s="1188" t="inlineStr">
        <is>
          <t>https://www.northglenn.org/government/land_use_zoning/new_code_northglenn.php</t>
        </is>
      </c>
      <c r="F13" s="1188" t="inlineStr">
        <is>
          <t>https://www.northglenn.org/government/departments/planning_development/index.php</t>
        </is>
      </c>
      <c r="G13" s="1188" t="inlineStr">
        <is>
          <t>https://www.northglenn.org/government/project_updates/</t>
        </is>
      </c>
      <c r="H13" s="1188" t="inlineStr">
        <is>
          <t>https://www.northglenn.org/government/departments/building/pull_a_permit.php</t>
        </is>
      </c>
      <c r="I13" s="1188" t="inlineStr">
        <is>
          <t>https://www.northglenn.org/government/land_use_zoning/comprehensive_plan.php</t>
        </is>
      </c>
      <c r="J13" s="1188" t="inlineStr">
        <is>
          <t>https://webdocs.northglenn.org/</t>
        </is>
      </c>
      <c r="K13" s="1189" t="inlineStr">
        <is>
          <t>https://webdocs.northglenn.org/</t>
        </is>
      </c>
      <c r="L13" s="1189" t="inlineStr">
        <is>
          <t>https://www.northglenn.org/newslist.php</t>
        </is>
      </c>
      <c r="M13" s="952" t="inlineStr">
        <is>
          <t>Use city land-use resources; confirm the parcel's county before recorder, assessor and tax research.</t>
        </is>
      </c>
    </row>
    <row r="14" ht="54" customHeight="1">
      <c r="A14" s="952" t="inlineStr">
        <is>
          <t>Thornton</t>
        </is>
      </c>
      <c r="B14" s="952" t="inlineStr">
        <is>
          <t>City</t>
        </is>
      </c>
      <c r="C14" s="960" t="inlineStr">
        <is>
          <t>https://www.thorntonco.gov/</t>
        </is>
      </c>
      <c r="D14" s="1188" t="inlineStr">
        <is>
          <t>https://cityofthornton.maps.arcgis.com/apps/webappviewer/index.html?id=643abe02e8b8446586b6eb6d8ed43f84</t>
        </is>
      </c>
      <c r="E14" s="1188" t="inlineStr">
        <is>
          <t>https://www.thorntonco.gov/business-development/city-development/current-planning-zoning/zoning-districts-uses-and-regulations</t>
        </is>
      </c>
      <c r="F14" s="1188" t="inlineStr">
        <is>
          <t>https://www.thorntonco.gov/business-development/city-development</t>
        </is>
      </c>
      <c r="G14" s="1188" t="inlineStr">
        <is>
          <t>https://www.thorntonco.gov/business-development/active-development</t>
        </is>
      </c>
      <c r="H14" s="1188" t="inlineStr">
        <is>
          <t>https://www.thorntonco.gov/business-development/city-development/building-permits-inspections</t>
        </is>
      </c>
      <c r="I14" s="1188" t="inlineStr">
        <is>
          <t>https://www.thorntonco.gov/business-development/city-development/long-range-planning/plans/thornton-comprehensive-plan</t>
        </is>
      </c>
      <c r="J14" s="1188" t="inlineStr">
        <is>
          <t>https://www.thorntonco.gov/government/mayor-council/upcoming-meetings</t>
        </is>
      </c>
      <c r="K14" s="1189" t="inlineStr">
        <is>
          <t>https://www.thorntonco.gov/government/public-notices</t>
        </is>
      </c>
      <c r="L14" s="1189" t="inlineStr">
        <is>
          <t>https://www.thorntonco.gov/news</t>
        </is>
      </c>
      <c r="M14" s="952" t="inlineStr">
        <is>
          <t>Use city land-use resources; confirm the parcel's county before county-record research.</t>
        </is>
      </c>
    </row>
    <row r="15" ht="54" customHeight="1">
      <c r="A15" s="952" t="inlineStr">
        <is>
          <t>Westminster</t>
        </is>
      </c>
      <c r="B15" s="952" t="inlineStr">
        <is>
          <t>City</t>
        </is>
      </c>
      <c r="C15" s="960" t="inlineStr">
        <is>
          <t>https://www.westminsterco.gov/</t>
        </is>
      </c>
      <c r="D15" s="1188" t="inlineStr">
        <is>
          <t>https://www.westminsterco.gov/471/Maps</t>
        </is>
      </c>
      <c r="E15" s="1188" t="inlineStr">
        <is>
          <t>https://www.westminsterco.gov/727/Zoning</t>
        </is>
      </c>
      <c r="F15" s="1188" t="inlineStr">
        <is>
          <t>https://www.westminsterco.gov/707/Planning</t>
        </is>
      </c>
      <c r="G15" s="1188" t="inlineStr">
        <is>
          <t>https://www.westminsterco.gov/855/Current-Development-Project-Map</t>
        </is>
      </c>
      <c r="H15" s="1188" t="inlineStr">
        <is>
          <t>https://www.westminsterco.gov/617/Apply-for-a-Permit-Project</t>
        </is>
      </c>
      <c r="I15" s="1188" t="inlineStr">
        <is>
          <t>https://www.westminsterco.gov/DocumentCenter/View/5605/Comprehensive-Plan_November2025-LR</t>
        </is>
      </c>
      <c r="J15" s="1188" t="inlineStr">
        <is>
          <t>https://www.westminsterco.gov/AgendaCenter</t>
        </is>
      </c>
      <c r="K15" s="1189" t="inlineStr">
        <is>
          <t>https://www.westminsterco.gov/1098/Public-Notices</t>
        </is>
      </c>
      <c r="L15" s="1189" t="inlineStr">
        <is>
          <t>https://www.westminsterco.gov/m/NewsFlash</t>
        </is>
      </c>
      <c r="M15" s="952" t="inlineStr">
        <is>
          <t>Use city land-use resources; confirm the parcel's county before recorder, assessor and tax research.</t>
        </is>
      </c>
    </row>
  </sheetData>
  <mergeCells count="2">
    <mergeCell ref="A2:M2"/>
    <mergeCell ref="A1:M1"/>
  </mergeCells>
  <hyperlinks>
    <hyperlink xmlns:r="http://schemas.openxmlformats.org/officeDocument/2006/relationships" ref="C5" r:id="rId1"/>
    <hyperlink xmlns:r="http://schemas.openxmlformats.org/officeDocument/2006/relationships" ref="D5" r:id="rId2"/>
    <hyperlink xmlns:r="http://schemas.openxmlformats.org/officeDocument/2006/relationships" ref="E5" r:id="rId3"/>
    <hyperlink xmlns:r="http://schemas.openxmlformats.org/officeDocument/2006/relationships" ref="F5" r:id="rId4"/>
    <hyperlink xmlns:r="http://schemas.openxmlformats.org/officeDocument/2006/relationships" ref="G5" r:id="rId5"/>
    <hyperlink xmlns:r="http://schemas.openxmlformats.org/officeDocument/2006/relationships" ref="H5" r:id="rId6"/>
    <hyperlink xmlns:r="http://schemas.openxmlformats.org/officeDocument/2006/relationships" ref="I5" r:id="rId7"/>
    <hyperlink xmlns:r="http://schemas.openxmlformats.org/officeDocument/2006/relationships" ref="J5" r:id="rId8"/>
    <hyperlink xmlns:r="http://schemas.openxmlformats.org/officeDocument/2006/relationships" ref="C6" r:id="rId9"/>
    <hyperlink xmlns:r="http://schemas.openxmlformats.org/officeDocument/2006/relationships" ref="D6" r:id="rId10"/>
    <hyperlink xmlns:r="http://schemas.openxmlformats.org/officeDocument/2006/relationships" ref="E6" r:id="rId11"/>
    <hyperlink xmlns:r="http://schemas.openxmlformats.org/officeDocument/2006/relationships" ref="F6" r:id="rId12"/>
    <hyperlink xmlns:r="http://schemas.openxmlformats.org/officeDocument/2006/relationships" ref="G6" r:id="rId13"/>
    <hyperlink xmlns:r="http://schemas.openxmlformats.org/officeDocument/2006/relationships" ref="H6" r:id="rId14"/>
    <hyperlink xmlns:r="http://schemas.openxmlformats.org/officeDocument/2006/relationships" ref="I6" r:id="rId15"/>
    <hyperlink xmlns:r="http://schemas.openxmlformats.org/officeDocument/2006/relationships" ref="J6" r:id="rId16"/>
    <hyperlink xmlns:r="http://schemas.openxmlformats.org/officeDocument/2006/relationships" ref="C7" r:id="rId17"/>
    <hyperlink xmlns:r="http://schemas.openxmlformats.org/officeDocument/2006/relationships" ref="D7" r:id="rId18"/>
    <hyperlink xmlns:r="http://schemas.openxmlformats.org/officeDocument/2006/relationships" ref="E7" r:id="rId19"/>
    <hyperlink xmlns:r="http://schemas.openxmlformats.org/officeDocument/2006/relationships" ref="F7" r:id="rId20"/>
    <hyperlink xmlns:r="http://schemas.openxmlformats.org/officeDocument/2006/relationships" ref="G7" r:id="rId21"/>
    <hyperlink xmlns:r="http://schemas.openxmlformats.org/officeDocument/2006/relationships" ref="H7" r:id="rId22"/>
    <hyperlink xmlns:r="http://schemas.openxmlformats.org/officeDocument/2006/relationships" ref="I7" r:id="rId23"/>
    <hyperlink xmlns:r="http://schemas.openxmlformats.org/officeDocument/2006/relationships" ref="J7" r:id="rId24"/>
    <hyperlink xmlns:r="http://schemas.openxmlformats.org/officeDocument/2006/relationships" ref="C8" r:id="rId25"/>
    <hyperlink xmlns:r="http://schemas.openxmlformats.org/officeDocument/2006/relationships" ref="D8" r:id="rId26"/>
    <hyperlink xmlns:r="http://schemas.openxmlformats.org/officeDocument/2006/relationships" ref="E8" r:id="rId27"/>
    <hyperlink xmlns:r="http://schemas.openxmlformats.org/officeDocument/2006/relationships" ref="F8" r:id="rId28"/>
    <hyperlink xmlns:r="http://schemas.openxmlformats.org/officeDocument/2006/relationships" ref="G8" r:id="rId29"/>
    <hyperlink xmlns:r="http://schemas.openxmlformats.org/officeDocument/2006/relationships" ref="H8" r:id="rId30"/>
    <hyperlink xmlns:r="http://schemas.openxmlformats.org/officeDocument/2006/relationships" ref="I8" r:id="rId31"/>
    <hyperlink xmlns:r="http://schemas.openxmlformats.org/officeDocument/2006/relationships" ref="J8" r:id="rId32"/>
    <hyperlink xmlns:r="http://schemas.openxmlformats.org/officeDocument/2006/relationships" ref="C9" r:id="rId33"/>
    <hyperlink xmlns:r="http://schemas.openxmlformats.org/officeDocument/2006/relationships" ref="D9" r:id="rId34"/>
    <hyperlink xmlns:r="http://schemas.openxmlformats.org/officeDocument/2006/relationships" ref="E9" r:id="rId35"/>
    <hyperlink xmlns:r="http://schemas.openxmlformats.org/officeDocument/2006/relationships" ref="F9" r:id="rId36"/>
    <hyperlink xmlns:r="http://schemas.openxmlformats.org/officeDocument/2006/relationships" ref="G9" r:id="rId37"/>
    <hyperlink xmlns:r="http://schemas.openxmlformats.org/officeDocument/2006/relationships" ref="H9" r:id="rId38"/>
    <hyperlink xmlns:r="http://schemas.openxmlformats.org/officeDocument/2006/relationships" ref="I9" r:id="rId39"/>
    <hyperlink xmlns:r="http://schemas.openxmlformats.org/officeDocument/2006/relationships" ref="J9" r:id="rId40"/>
    <hyperlink xmlns:r="http://schemas.openxmlformats.org/officeDocument/2006/relationships" ref="C10" r:id="rId41"/>
    <hyperlink xmlns:r="http://schemas.openxmlformats.org/officeDocument/2006/relationships" ref="D10" r:id="rId42"/>
    <hyperlink xmlns:r="http://schemas.openxmlformats.org/officeDocument/2006/relationships" ref="E10" r:id="rId43"/>
    <hyperlink xmlns:r="http://schemas.openxmlformats.org/officeDocument/2006/relationships" ref="F10" r:id="rId44"/>
    <hyperlink xmlns:r="http://schemas.openxmlformats.org/officeDocument/2006/relationships" ref="G10" r:id="rId45"/>
    <hyperlink xmlns:r="http://schemas.openxmlformats.org/officeDocument/2006/relationships" ref="H10" r:id="rId46"/>
    <hyperlink xmlns:r="http://schemas.openxmlformats.org/officeDocument/2006/relationships" ref="I10" r:id="rId47"/>
    <hyperlink xmlns:r="http://schemas.openxmlformats.org/officeDocument/2006/relationships" ref="J10" r:id="rId48"/>
    <hyperlink xmlns:r="http://schemas.openxmlformats.org/officeDocument/2006/relationships" ref="C11" r:id="rId49"/>
    <hyperlink xmlns:r="http://schemas.openxmlformats.org/officeDocument/2006/relationships" ref="D11" r:id="rId50"/>
    <hyperlink xmlns:r="http://schemas.openxmlformats.org/officeDocument/2006/relationships" ref="E11" r:id="rId51"/>
    <hyperlink xmlns:r="http://schemas.openxmlformats.org/officeDocument/2006/relationships" ref="F11" r:id="rId52"/>
    <hyperlink xmlns:r="http://schemas.openxmlformats.org/officeDocument/2006/relationships" ref="G11" r:id="rId53"/>
    <hyperlink xmlns:r="http://schemas.openxmlformats.org/officeDocument/2006/relationships" ref="H11" r:id="rId54"/>
    <hyperlink xmlns:r="http://schemas.openxmlformats.org/officeDocument/2006/relationships" ref="I11" r:id="rId55"/>
    <hyperlink xmlns:r="http://schemas.openxmlformats.org/officeDocument/2006/relationships" ref="J11" r:id="rId56"/>
    <hyperlink xmlns:r="http://schemas.openxmlformats.org/officeDocument/2006/relationships" ref="C12" r:id="rId57"/>
    <hyperlink xmlns:r="http://schemas.openxmlformats.org/officeDocument/2006/relationships" ref="D12" r:id="rId58"/>
    <hyperlink xmlns:r="http://schemas.openxmlformats.org/officeDocument/2006/relationships" ref="E12" r:id="rId59"/>
    <hyperlink xmlns:r="http://schemas.openxmlformats.org/officeDocument/2006/relationships" ref="F12" r:id="rId60"/>
    <hyperlink xmlns:r="http://schemas.openxmlformats.org/officeDocument/2006/relationships" ref="G12" r:id="rId61"/>
    <hyperlink xmlns:r="http://schemas.openxmlformats.org/officeDocument/2006/relationships" ref="H12" r:id="rId62"/>
    <hyperlink xmlns:r="http://schemas.openxmlformats.org/officeDocument/2006/relationships" ref="I12" r:id="rId63"/>
    <hyperlink xmlns:r="http://schemas.openxmlformats.org/officeDocument/2006/relationships" ref="J12" r:id="rId64"/>
    <hyperlink xmlns:r="http://schemas.openxmlformats.org/officeDocument/2006/relationships" ref="C13" r:id="rId65"/>
    <hyperlink xmlns:r="http://schemas.openxmlformats.org/officeDocument/2006/relationships" ref="D13" r:id="rId66"/>
    <hyperlink xmlns:r="http://schemas.openxmlformats.org/officeDocument/2006/relationships" ref="E13" r:id="rId67"/>
    <hyperlink xmlns:r="http://schemas.openxmlformats.org/officeDocument/2006/relationships" ref="F13" r:id="rId68"/>
    <hyperlink xmlns:r="http://schemas.openxmlformats.org/officeDocument/2006/relationships" ref="G13" r:id="rId69"/>
    <hyperlink xmlns:r="http://schemas.openxmlformats.org/officeDocument/2006/relationships" ref="H13" r:id="rId70"/>
    <hyperlink xmlns:r="http://schemas.openxmlformats.org/officeDocument/2006/relationships" ref="I13" r:id="rId71"/>
    <hyperlink xmlns:r="http://schemas.openxmlformats.org/officeDocument/2006/relationships" ref="J13" r:id="rId72"/>
    <hyperlink xmlns:r="http://schemas.openxmlformats.org/officeDocument/2006/relationships" ref="C14" r:id="rId73"/>
    <hyperlink xmlns:r="http://schemas.openxmlformats.org/officeDocument/2006/relationships" ref="D14" r:id="rId74"/>
    <hyperlink xmlns:r="http://schemas.openxmlformats.org/officeDocument/2006/relationships" ref="E14" r:id="rId75"/>
    <hyperlink xmlns:r="http://schemas.openxmlformats.org/officeDocument/2006/relationships" ref="F14" r:id="rId76"/>
    <hyperlink xmlns:r="http://schemas.openxmlformats.org/officeDocument/2006/relationships" ref="G14" r:id="rId77"/>
    <hyperlink xmlns:r="http://schemas.openxmlformats.org/officeDocument/2006/relationships" ref="H14" r:id="rId78"/>
    <hyperlink xmlns:r="http://schemas.openxmlformats.org/officeDocument/2006/relationships" ref="I14" r:id="rId79"/>
    <hyperlink xmlns:r="http://schemas.openxmlformats.org/officeDocument/2006/relationships" ref="J14" r:id="rId80"/>
    <hyperlink xmlns:r="http://schemas.openxmlformats.org/officeDocument/2006/relationships" ref="C15" r:id="rId81"/>
    <hyperlink xmlns:r="http://schemas.openxmlformats.org/officeDocument/2006/relationships" ref="D15" r:id="rId82"/>
    <hyperlink xmlns:r="http://schemas.openxmlformats.org/officeDocument/2006/relationships" ref="E15" r:id="rId83"/>
    <hyperlink xmlns:r="http://schemas.openxmlformats.org/officeDocument/2006/relationships" ref="F15" r:id="rId84"/>
    <hyperlink xmlns:r="http://schemas.openxmlformats.org/officeDocument/2006/relationships" ref="G15" r:id="rId85"/>
    <hyperlink xmlns:r="http://schemas.openxmlformats.org/officeDocument/2006/relationships" ref="H15" r:id="rId86"/>
    <hyperlink xmlns:r="http://schemas.openxmlformats.org/officeDocument/2006/relationships" ref="I15" r:id="rId87"/>
    <hyperlink xmlns:r="http://schemas.openxmlformats.org/officeDocument/2006/relationships" ref="J15" r:id="rId88"/>
  </hyperlinks>
  <pageMargins left="0.75" right="0.75" top="1" bottom="1" header="0.5" footer="0.5"/>
</worksheet>
</file>

<file path=xl/worksheets/sheet18.xml><?xml version="1.0" encoding="utf-8"?>
<worksheet xmlns="http://schemas.openxmlformats.org/spreadsheetml/2006/main">
  <sheetPr>
    <tabColor rgb="00D97706"/>
    <outlinePr summaryBelow="1" summaryRight="1"/>
    <pageSetUpPr/>
  </sheetPr>
  <dimension ref="A1:I41"/>
  <sheetViews>
    <sheetView workbookViewId="0">
      <selection activeCell="A1" sqref="A1"/>
    </sheetView>
  </sheetViews>
  <sheetFormatPr baseColWidth="8" defaultRowHeight="15"/>
  <cols>
    <col width="14" customWidth="1" min="1" max="1"/>
    <col width="21" customWidth="1" min="2" max="2"/>
    <col width="52" customWidth="1" min="3" max="3"/>
    <col width="52" customWidth="1" min="4" max="4"/>
    <col width="52" customWidth="1" min="5" max="5"/>
    <col width="6" customWidth="1" min="6" max="6"/>
    <col width="52" customWidth="1" min="7" max="7"/>
    <col width="21" customWidth="1" min="8" max="8"/>
    <col width="10" customWidth="1" min="9" max="9"/>
  </cols>
  <sheetData>
    <row r="1" ht="32" customHeight="1">
      <c r="A1" s="957" t="inlineStr">
        <is>
          <t>Adams County Core Property &amp; Land Records</t>
        </is>
      </c>
    </row>
    <row r="2" ht="28" customHeight="1">
      <c r="A2" s="958" t="inlineStr">
        <is>
          <t>County-level assessor, recording, tax, foreclosure, GIS, unincorporated planning, permits, public works and monitoring resources.</t>
        </is>
      </c>
    </row>
    <row r="4" ht="30" customHeight="1">
      <c r="A4" s="959" t="inlineStr">
        <is>
          <t>Jurisdiction</t>
        </is>
      </c>
      <c r="B4" s="959" t="inlineStr">
        <is>
          <t>Category</t>
        </is>
      </c>
      <c r="C4" s="1187" t="inlineStr">
        <is>
          <t>Resource</t>
        </is>
      </c>
      <c r="D4" s="1187" t="inlineStr">
        <is>
          <t>What It Provides</t>
        </is>
      </c>
      <c r="E4" s="1187" t="inlineStr">
        <is>
          <t>Best Use</t>
        </is>
      </c>
      <c r="F4" s="959" t="inlineStr">
        <is>
          <t>Official</t>
        </is>
      </c>
      <c r="G4" s="1187" t="inlineStr">
        <is>
          <t>URL</t>
        </is>
      </c>
      <c r="H4" s="959" t="inlineStr">
        <is>
          <t>Verified</t>
        </is>
      </c>
      <c r="I4" s="959" t="inlineStr">
        <is>
          <t>Priority</t>
        </is>
      </c>
    </row>
    <row r="5" ht="42" customHeight="1">
      <c r="A5" s="952" t="inlineStr">
        <is>
          <t>Adams County</t>
        </is>
      </c>
      <c r="B5" s="952" t="inlineStr">
        <is>
          <t>Jurisdictions</t>
        </is>
      </c>
      <c r="C5" s="952" t="inlineStr">
        <is>
          <t>Cities &amp; Towns in Adams County</t>
        </is>
      </c>
      <c r="D5" s="952" t="inlineStr">
        <is>
          <t>Official county list of municipalities with territory in Adams County and named unincorporated communities.</t>
        </is>
      </c>
      <c r="E5" s="952" t="inlineStr">
        <is>
          <t>Confirm which municipal websites belong in the search set.</t>
        </is>
      </c>
      <c r="F5" s="952" t="inlineStr">
        <is>
          <t>Yes</t>
        </is>
      </c>
      <c r="G5" s="1188" t="inlineStr">
        <is>
          <t>https://adamscountyco.gov/about-adams-county/cities-towns/</t>
        </is>
      </c>
      <c r="H5" s="1129" t="n">
        <v>46213</v>
      </c>
      <c r="I5" s="951" t="inlineStr">
        <is>
          <t>Critical</t>
        </is>
      </c>
    </row>
    <row r="6" ht="42" customHeight="1">
      <c r="A6" s="952" t="inlineStr">
        <is>
          <t>Adams County</t>
        </is>
      </c>
      <c r="B6" s="952" t="inlineStr">
        <is>
          <t>Property Search</t>
        </is>
      </c>
      <c r="C6" s="952" t="inlineStr">
        <is>
          <t>Search Real Property</t>
        </is>
      </c>
      <c r="D6" s="952" t="inlineStr">
        <is>
          <t>County assessor entry page for parcel, owner, address, account and assessment research.</t>
        </is>
      </c>
      <c r="E6" s="952" t="inlineStr">
        <is>
          <t>Start every Adams County property investigation and obtain the parcel/account number.</t>
        </is>
      </c>
      <c r="F6" s="952" t="inlineStr">
        <is>
          <t>Yes</t>
        </is>
      </c>
      <c r="G6" s="1188" t="inlineStr">
        <is>
          <t>https://adamscountyco.gov/service/search-real-property/</t>
        </is>
      </c>
      <c r="H6" s="1129" t="n">
        <v>46213</v>
      </c>
      <c r="I6" s="951" t="inlineStr">
        <is>
          <t>Critical</t>
        </is>
      </c>
    </row>
    <row r="7" ht="42" customHeight="1">
      <c r="A7" s="952" t="inlineStr">
        <is>
          <t>Adams County</t>
        </is>
      </c>
      <c r="B7" s="952" t="inlineStr">
        <is>
          <t>Property Search</t>
        </is>
      </c>
      <c r="C7" s="952" t="inlineStr">
        <is>
          <t>Assessor Quick Search</t>
        </is>
      </c>
      <c r="D7" s="952" t="inlineStr">
        <is>
          <t>Direct assessor/GIS parcel lookup.</t>
        </is>
      </c>
      <c r="E7" s="952" t="inlineStr">
        <is>
          <t>Search by owner, address, parcel or account number and view assessment attributes.</t>
        </is>
      </c>
      <c r="F7" s="952" t="inlineStr">
        <is>
          <t>Yes</t>
        </is>
      </c>
      <c r="G7" s="1188" t="inlineStr">
        <is>
          <t>https://gisapp.adcogov.org/quicksearch/</t>
        </is>
      </c>
      <c r="H7" s="1129" t="n">
        <v>46213</v>
      </c>
      <c r="I7" s="951" t="inlineStr">
        <is>
          <t>Critical</t>
        </is>
      </c>
    </row>
    <row r="8" ht="42" customHeight="1">
      <c r="A8" s="952" t="inlineStr">
        <is>
          <t>Adams County</t>
        </is>
      </c>
      <c r="B8" s="952" t="inlineStr">
        <is>
          <t>Assessor</t>
        </is>
      </c>
      <c r="C8" s="952" t="inlineStr">
        <is>
          <t>Assessor Office</t>
        </is>
      </c>
      <c r="D8" s="952" t="inlineStr">
        <is>
          <t>Assessment, valuation, exemptions, appeals and ownership record guidance.</t>
        </is>
      </c>
      <c r="E8" s="952" t="inlineStr">
        <is>
          <t>Resolve valuation or ownership questions and locate appeal information.</t>
        </is>
      </c>
      <c r="F8" s="952" t="inlineStr">
        <is>
          <t>Yes</t>
        </is>
      </c>
      <c r="G8" s="1188" t="inlineStr">
        <is>
          <t>https://adamscountyco.gov/our-county/elected-officials/assessor/</t>
        </is>
      </c>
      <c r="H8" s="1129" t="n">
        <v>46213</v>
      </c>
      <c r="I8" s="951" t="inlineStr">
        <is>
          <t>High</t>
        </is>
      </c>
    </row>
    <row r="9" ht="42" customHeight="1">
      <c r="A9" s="952" t="inlineStr">
        <is>
          <t>Adams County</t>
        </is>
      </c>
      <c r="B9" s="952" t="inlineStr">
        <is>
          <t>GIS / Data</t>
        </is>
      </c>
      <c r="C9" s="952" t="inlineStr">
        <is>
          <t>Assessor Maps &amp; Data</t>
        </is>
      </c>
      <c r="D9" s="952" t="inlineStr">
        <is>
          <t>Assessor mapping and downloadable property-related data resources.</t>
        </is>
      </c>
      <c r="E9" s="952" t="inlineStr">
        <is>
          <t>Cross-check parcel geometry, neighborhood and assessment map data.</t>
        </is>
      </c>
      <c r="F9" s="952" t="inlineStr">
        <is>
          <t>Yes</t>
        </is>
      </c>
      <c r="G9" s="1188" t="inlineStr">
        <is>
          <t>https://adamscountyco.gov/our-county/elected-officials/assessor/maps-data/</t>
        </is>
      </c>
      <c r="H9" s="1129" t="n">
        <v>46213</v>
      </c>
      <c r="I9" s="951" t="inlineStr">
        <is>
          <t>High</t>
        </is>
      </c>
    </row>
    <row r="10" ht="42" customHeight="1">
      <c r="A10" s="952" t="inlineStr">
        <is>
          <t>Adams County</t>
        </is>
      </c>
      <c r="B10" s="952" t="inlineStr">
        <is>
          <t>GIS / Data</t>
        </is>
      </c>
      <c r="C10" s="952" t="inlineStr">
        <is>
          <t>GIS Interactive Maps</t>
        </is>
      </c>
      <c r="D10" s="952" t="inlineStr">
        <is>
          <t>County interactive mapping applications.</t>
        </is>
      </c>
      <c r="E10" s="952" t="inlineStr">
        <is>
          <t>Screen parcels, boundaries, services, hazards and other mapped county data.</t>
        </is>
      </c>
      <c r="F10" s="952" t="inlineStr">
        <is>
          <t>Yes</t>
        </is>
      </c>
      <c r="G10" s="1188" t="inlineStr">
        <is>
          <t>https://adamscountyco.gov/service/gis-interactive-maps/</t>
        </is>
      </c>
      <c r="H10" s="1129" t="n">
        <v>46213</v>
      </c>
      <c r="I10" s="951" t="inlineStr">
        <is>
          <t>Critical</t>
        </is>
      </c>
    </row>
    <row r="11" ht="42" customHeight="1">
      <c r="A11" s="952" t="inlineStr">
        <is>
          <t>Adams County</t>
        </is>
      </c>
      <c r="B11" s="952" t="inlineStr">
        <is>
          <t>GIS / Data</t>
        </is>
      </c>
      <c r="C11" s="952" t="inlineStr">
        <is>
          <t>Geographic Information Systems</t>
        </is>
      </c>
      <c r="D11" s="952" t="inlineStr">
        <is>
          <t>County GIS program overview and limitations.</t>
        </is>
      </c>
      <c r="E11" s="952" t="inlineStr">
        <is>
          <t>Understand map sources and remember that GIS parcel lines are not a legal survey.</t>
        </is>
      </c>
      <c r="F11" s="952" t="inlineStr">
        <is>
          <t>Yes</t>
        </is>
      </c>
      <c r="G11" s="1188" t="inlineStr">
        <is>
          <t>https://adamscountyco.gov/our-county/information-technology-innovation/geographic-information-systems/</t>
        </is>
      </c>
      <c r="H11" s="1129" t="n">
        <v>46213</v>
      </c>
      <c r="I11" s="951" t="inlineStr">
        <is>
          <t>High</t>
        </is>
      </c>
    </row>
    <row r="12" ht="42" customHeight="1">
      <c r="A12" s="952" t="inlineStr">
        <is>
          <t>Adams County</t>
        </is>
      </c>
      <c r="B12" s="952" t="inlineStr">
        <is>
          <t>Recorded Documents</t>
        </is>
      </c>
      <c r="C12" s="952" t="inlineStr">
        <is>
          <t>Find Public Records / Recorded Documents</t>
        </is>
      </c>
      <c r="D12" s="952" t="inlineStr">
        <is>
          <t>Guide to recorded real estate documents, search methods and copies.</t>
        </is>
      </c>
      <c r="E12" s="952" t="inlineStr">
        <is>
          <t>Learn how to search deeds, deeds of trust, releases, easements, liens, plats and related filings.</t>
        </is>
      </c>
      <c r="F12" s="952" t="inlineStr">
        <is>
          <t>Yes</t>
        </is>
      </c>
      <c r="G12" s="1188" t="inlineStr">
        <is>
          <t>https://adamscountyco.gov/service/find-public-records-recorded-documents/</t>
        </is>
      </c>
      <c r="H12" s="1129" t="n">
        <v>46213</v>
      </c>
      <c r="I12" s="951" t="inlineStr">
        <is>
          <t>Critical</t>
        </is>
      </c>
    </row>
    <row r="13" ht="42" customHeight="1">
      <c r="A13" s="952" t="inlineStr">
        <is>
          <t>Adams County</t>
        </is>
      </c>
      <c r="B13" s="952" t="inlineStr">
        <is>
          <t>Recorded Documents</t>
        </is>
      </c>
      <c r="C13" s="952" t="inlineStr">
        <is>
          <t>Landmark Web Recording Search</t>
        </is>
      </c>
      <c r="D13" s="952" t="inlineStr">
        <is>
          <t>Direct public index for recorded documents.</t>
        </is>
      </c>
      <c r="E13" s="952" t="inlineStr">
        <is>
          <t>Search the grantor/grantee index, legal description references and document numbers.</t>
        </is>
      </c>
      <c r="F13" s="952" t="inlineStr">
        <is>
          <t>Yes</t>
        </is>
      </c>
      <c r="G13" s="1188" t="inlineStr">
        <is>
          <t>https://recording.adamscountyco.gov/landmarkweb/</t>
        </is>
      </c>
      <c r="H13" s="1129" t="n">
        <v>46213</v>
      </c>
      <c r="I13" s="951" t="inlineStr">
        <is>
          <t>Critical</t>
        </is>
      </c>
    </row>
    <row r="14" ht="42" customHeight="1">
      <c r="A14" s="952" t="inlineStr">
        <is>
          <t>Adams County</t>
        </is>
      </c>
      <c r="B14" s="952" t="inlineStr">
        <is>
          <t>Recorded Documents</t>
        </is>
      </c>
      <c r="C14" s="952" t="inlineStr">
        <is>
          <t>Recording Division</t>
        </is>
      </c>
      <c r="D14" s="952" t="inlineStr">
        <is>
          <t>Recorder services, fees, document standards and contact information.</t>
        </is>
      </c>
      <c r="E14" s="952" t="inlineStr">
        <is>
          <t>Order copies or resolve questions about recorded instruments.</t>
        </is>
      </c>
      <c r="F14" s="952" t="inlineStr">
        <is>
          <t>Yes</t>
        </is>
      </c>
      <c r="G14" s="1188" t="inlineStr">
        <is>
          <t>https://adamscountyco.gov/our-county/elected-officials/clerk-recorder/recording/</t>
        </is>
      </c>
      <c r="H14" s="1129" t="n">
        <v>46213</v>
      </c>
      <c r="I14" s="951" t="inlineStr">
        <is>
          <t>High</t>
        </is>
      </c>
    </row>
    <row r="15" ht="42" customHeight="1">
      <c r="A15" s="952" t="inlineStr">
        <is>
          <t>Adams County</t>
        </is>
      </c>
      <c r="B15" s="952" t="inlineStr">
        <is>
          <t>Survey / Plat</t>
        </is>
      </c>
      <c r="C15" s="952" t="inlineStr">
        <is>
          <t>Land Survey Plats</t>
        </is>
      </c>
      <c r="D15" s="952" t="inlineStr">
        <is>
          <t>Recorded survey plat resources and filing information.</t>
        </is>
      </c>
      <c r="E15" s="952" t="inlineStr">
        <is>
          <t>Research recorded surveys and surveyor filings; still obtain a current survey when required.</t>
        </is>
      </c>
      <c r="F15" s="952" t="inlineStr">
        <is>
          <t>Yes</t>
        </is>
      </c>
      <c r="G15" s="1188" t="inlineStr">
        <is>
          <t>https://adamscountyco.gov/our-county/elected-officials/clerk-recorder/recording/land-survey-plats/</t>
        </is>
      </c>
      <c r="H15" s="1129" t="n">
        <v>46213</v>
      </c>
      <c r="I15" s="951" t="inlineStr">
        <is>
          <t>High</t>
        </is>
      </c>
    </row>
    <row r="16" ht="42" customHeight="1">
      <c r="A16" s="952" t="inlineStr">
        <is>
          <t>Adams County</t>
        </is>
      </c>
      <c r="B16" s="952" t="inlineStr">
        <is>
          <t>Public Postings</t>
        </is>
      </c>
      <c r="C16" s="952" t="inlineStr">
        <is>
          <t>Public Document Postings</t>
        </is>
      </c>
      <c r="D16" s="952" t="inlineStr">
        <is>
          <t>Publicly posted documents maintained through the recording division.</t>
        </is>
      </c>
      <c r="E16" s="952" t="inlineStr">
        <is>
          <t>Check statutory postings and other public documents relevant to a parcel or entity.</t>
        </is>
      </c>
      <c r="F16" s="952" t="inlineStr">
        <is>
          <t>Yes</t>
        </is>
      </c>
      <c r="G16" s="1188" t="inlineStr">
        <is>
          <t>https://adamscountyco.gov/our-county/elected-officials/clerk-recorder/recording/public-document-postings/</t>
        </is>
      </c>
      <c r="H16" s="1129" t="n">
        <v>46213</v>
      </c>
      <c r="I16" s="951" t="inlineStr">
        <is>
          <t>Useful</t>
        </is>
      </c>
    </row>
    <row r="17" ht="42" customHeight="1">
      <c r="A17" s="952" t="inlineStr">
        <is>
          <t>Adams County</t>
        </is>
      </c>
      <c r="B17" s="952" t="inlineStr">
        <is>
          <t>Property Tax</t>
        </is>
      </c>
      <c r="C17" s="952" t="inlineStr">
        <is>
          <t>Adams County Tax Portal</t>
        </is>
      </c>
      <c r="D17" s="952" t="inlineStr">
        <is>
          <t>Direct tax account search and payment portal.</t>
        </is>
      </c>
      <c r="E17" s="952" t="inlineStr">
        <is>
          <t>Verify current taxes, balances, tax history and payment status.</t>
        </is>
      </c>
      <c r="F17" s="952" t="inlineStr">
        <is>
          <t>Yes</t>
        </is>
      </c>
      <c r="G17" s="1188" t="inlineStr">
        <is>
          <t>https://adcotax.com/</t>
        </is>
      </c>
      <c r="H17" s="1129" t="n">
        <v>46213</v>
      </c>
      <c r="I17" s="951" t="inlineStr">
        <is>
          <t>Critical</t>
        </is>
      </c>
    </row>
    <row r="18" ht="42" customHeight="1">
      <c r="A18" s="952" t="inlineStr">
        <is>
          <t>Adams County</t>
        </is>
      </c>
      <c r="B18" s="952" t="inlineStr">
        <is>
          <t>Property Tax</t>
        </is>
      </c>
      <c r="C18" s="952" t="inlineStr">
        <is>
          <t>Treasurer Division</t>
        </is>
      </c>
      <c r="D18" s="952" t="inlineStr">
        <is>
          <t>Treasurer services and property-tax administration information.</t>
        </is>
      </c>
      <c r="E18" s="952" t="inlineStr">
        <is>
          <t>Resolve tax bills, payment questions and certificates.</t>
        </is>
      </c>
      <c r="F18" s="952" t="inlineStr">
        <is>
          <t>Yes</t>
        </is>
      </c>
      <c r="G18" s="1188" t="inlineStr">
        <is>
          <t>https://adamscountyco.gov/our-county/elected-officials/treasurer-public-trustee/treasurer-division/</t>
        </is>
      </c>
      <c r="H18" s="1129" t="n">
        <v>46213</v>
      </c>
      <c r="I18" s="951" t="inlineStr">
        <is>
          <t>High</t>
        </is>
      </c>
    </row>
    <row r="19" ht="42" customHeight="1">
      <c r="A19" s="952" t="inlineStr">
        <is>
          <t>Adams County</t>
        </is>
      </c>
      <c r="B19" s="952" t="inlineStr">
        <is>
          <t>Property Tax</t>
        </is>
      </c>
      <c r="C19" s="952" t="inlineStr">
        <is>
          <t>Property Tax Information</t>
        </is>
      </c>
      <c r="D19" s="952" t="inlineStr">
        <is>
          <t>Property tax timelines, payment methods and frequently used tax information.</t>
        </is>
      </c>
      <c r="E19" s="952" t="inlineStr">
        <is>
          <t>Understand due dates, delinquency and tax account procedures.</t>
        </is>
      </c>
      <c r="F19" s="952" t="inlineStr">
        <is>
          <t>Yes</t>
        </is>
      </c>
      <c r="G19" s="1188" t="inlineStr">
        <is>
          <t>https://adamscountyco.gov/our-county/elected-officials/treasurer-public-trustee/treasurer-division/property-tax-information/</t>
        </is>
      </c>
      <c r="H19" s="1129" t="n">
        <v>46213</v>
      </c>
      <c r="I19" s="951" t="inlineStr">
        <is>
          <t>High</t>
        </is>
      </c>
    </row>
    <row r="20" ht="42" customHeight="1">
      <c r="A20" s="952" t="inlineStr">
        <is>
          <t>Adams County</t>
        </is>
      </c>
      <c r="B20" s="952" t="inlineStr">
        <is>
          <t>Tax Lien</t>
        </is>
      </c>
      <c r="C20" s="952" t="inlineStr">
        <is>
          <t>Tax Lien Sale</t>
        </is>
      </c>
      <c r="D20" s="952" t="inlineStr">
        <is>
          <t>County tax lien sale process and related information.</t>
        </is>
      </c>
      <c r="E20" s="952" t="inlineStr">
        <is>
          <t>Research delinquent tax liens and sale procedures.</t>
        </is>
      </c>
      <c r="F20" s="952" t="inlineStr">
        <is>
          <t>Yes</t>
        </is>
      </c>
      <c r="G20" s="1188" t="inlineStr">
        <is>
          <t>https://adamscountyco.gov/our-county/elected-officials/treasurer-public-trustee/treasurer-division/tax-lien-sale/</t>
        </is>
      </c>
      <c r="H20" s="1129" t="n">
        <v>46213</v>
      </c>
      <c r="I20" s="951" t="inlineStr">
        <is>
          <t>High</t>
        </is>
      </c>
    </row>
    <row r="21" ht="42" customHeight="1">
      <c r="A21" s="952" t="inlineStr">
        <is>
          <t>Adams County</t>
        </is>
      </c>
      <c r="B21" s="952" t="inlineStr">
        <is>
          <t>Tax Lien</t>
        </is>
      </c>
      <c r="C21" s="952" t="inlineStr">
        <is>
          <t>Treasurer's Deed</t>
        </is>
      </c>
      <c r="D21" s="952" t="inlineStr">
        <is>
          <t>Information on the treasurer's deed process after a tax lien.</t>
        </is>
      </c>
      <c r="E21" s="952" t="inlineStr">
        <is>
          <t>Investigate tax-deed procedures and required notices.</t>
        </is>
      </c>
      <c r="F21" s="952" t="inlineStr">
        <is>
          <t>Yes</t>
        </is>
      </c>
      <c r="G21" s="1188" t="inlineStr">
        <is>
          <t>https://adamscountyco.gov/our-county/elected-officials/treasurer-public-trustee/treasurer-division/tax-lien-sale/treasurers-deed/</t>
        </is>
      </c>
      <c r="H21" s="1129" t="n">
        <v>46213</v>
      </c>
      <c r="I21" s="951" t="inlineStr">
        <is>
          <t>High</t>
        </is>
      </c>
    </row>
    <row r="22" ht="42" customHeight="1">
      <c r="A22" s="952" t="inlineStr">
        <is>
          <t>Adams County</t>
        </is>
      </c>
      <c r="B22" s="952" t="inlineStr">
        <is>
          <t>Foreclosure</t>
        </is>
      </c>
      <c r="C22" s="952" t="inlineStr">
        <is>
          <t>Public Trustee Division</t>
        </is>
      </c>
      <c r="D22" s="952" t="inlineStr">
        <is>
          <t>County public trustee functions for deeds of trust and foreclosure administration.</t>
        </is>
      </c>
      <c r="E22" s="952" t="inlineStr">
        <is>
          <t>Understand foreclosure, releases and public trustee procedures.</t>
        </is>
      </c>
      <c r="F22" s="952" t="inlineStr">
        <is>
          <t>Yes</t>
        </is>
      </c>
      <c r="G22" s="1188" t="inlineStr">
        <is>
          <t>https://adamscountyco.gov/our-county/elected-officials/treasurer-public-trustee/public-trustee-division/</t>
        </is>
      </c>
      <c r="H22" s="1129" t="n">
        <v>46213</v>
      </c>
      <c r="I22" s="951" t="inlineStr">
        <is>
          <t>High</t>
        </is>
      </c>
    </row>
    <row r="23" ht="42" customHeight="1">
      <c r="A23" s="952" t="inlineStr">
        <is>
          <t>Adams County</t>
        </is>
      </c>
      <c r="B23" s="952" t="inlineStr">
        <is>
          <t>Foreclosure</t>
        </is>
      </c>
      <c r="C23" s="952" t="inlineStr">
        <is>
          <t>Foreclosure Search</t>
        </is>
      </c>
      <c r="D23" s="952" t="inlineStr">
        <is>
          <t>Direct search of Adams County public trustee foreclosure records.</t>
        </is>
      </c>
      <c r="E23" s="952" t="inlineStr">
        <is>
          <t>Check pending and historical foreclosure activity associated with a borrower or property.</t>
        </is>
      </c>
      <c r="F23" s="952" t="inlineStr">
        <is>
          <t>Yes</t>
        </is>
      </c>
      <c r="G23" s="1188" t="inlineStr">
        <is>
          <t>https://apps.adcogov.org/PTForeclosureSearch/?ds=1</t>
        </is>
      </c>
      <c r="H23" s="1129" t="n">
        <v>46213</v>
      </c>
      <c r="I23" s="951" t="inlineStr">
        <is>
          <t>Critical</t>
        </is>
      </c>
    </row>
    <row r="24" ht="42" customHeight="1">
      <c r="A24" s="952" t="inlineStr">
        <is>
          <t>Adams County</t>
        </is>
      </c>
      <c r="B24" s="952" t="inlineStr">
        <is>
          <t>Foreclosure</t>
        </is>
      </c>
      <c r="C24" s="952" t="inlineStr">
        <is>
          <t>Foreclosure Reports</t>
        </is>
      </c>
      <c r="D24" s="952" t="inlineStr">
        <is>
          <t>Public trustee foreclosure reports.</t>
        </is>
      </c>
      <c r="E24" s="952" t="inlineStr">
        <is>
          <t>Monitor foreclosure filings and sale-related reports.</t>
        </is>
      </c>
      <c r="F24" s="952" t="inlineStr">
        <is>
          <t>Yes</t>
        </is>
      </c>
      <c r="G24" s="1188" t="inlineStr">
        <is>
          <t>https://apps.adcogov.org/PTForeclosureSearch/reports</t>
        </is>
      </c>
      <c r="H24" s="1129" t="n">
        <v>46213</v>
      </c>
      <c r="I24" s="951" t="inlineStr">
        <is>
          <t>High</t>
        </is>
      </c>
    </row>
    <row r="25" ht="42" customHeight="1">
      <c r="A25" s="952" t="inlineStr">
        <is>
          <t>Adams County</t>
        </is>
      </c>
      <c r="B25" s="952" t="inlineStr">
        <is>
          <t>Planning / Zoning</t>
        </is>
      </c>
      <c r="C25" s="952" t="inlineStr">
        <is>
          <t>Planning &amp; Development</t>
        </is>
      </c>
      <c r="D25" s="952" t="inlineStr">
        <is>
          <t>County planning, zoning and development review for unincorporated Adams County.</t>
        </is>
      </c>
      <c r="E25" s="952" t="inlineStr">
        <is>
          <t>Use only for unincorporated parcels; incorporated parcels are governed by their city or town.</t>
        </is>
      </c>
      <c r="F25" s="952" t="inlineStr">
        <is>
          <t>Yes</t>
        </is>
      </c>
      <c r="G25" s="1188" t="inlineStr">
        <is>
          <t>https://adamscountyco.gov/our-county/community-economic-development/planning-development/</t>
        </is>
      </c>
      <c r="H25" s="1129" t="n">
        <v>46213</v>
      </c>
      <c r="I25" s="951" t="inlineStr">
        <is>
          <t>Critical</t>
        </is>
      </c>
    </row>
    <row r="26" ht="42" customHeight="1">
      <c r="A26" s="952" t="inlineStr">
        <is>
          <t>Adams County</t>
        </is>
      </c>
      <c r="B26" s="952" t="inlineStr">
        <is>
          <t>Planning / Zoning</t>
        </is>
      </c>
      <c r="C26" s="952" t="inlineStr">
        <is>
          <t>Development Standards &amp; Regulations</t>
        </is>
      </c>
      <c r="D26" s="952" t="inlineStr">
        <is>
          <t>Current county land-use and development regulations.</t>
        </is>
      </c>
      <c r="E26" s="952" t="inlineStr">
        <is>
          <t>Research zone districts, allowed uses, overlays, subdivisions and application standards in unincorporated areas.</t>
        </is>
      </c>
      <c r="F26" s="952" t="inlineStr">
        <is>
          <t>Yes</t>
        </is>
      </c>
      <c r="G26" s="1188" t="inlineStr">
        <is>
          <t>https://adamscountyco.gov/our-county/community-economic-development/planning-development/development-standards-regulations/</t>
        </is>
      </c>
      <c r="H26" s="1129" t="n">
        <v>46213</v>
      </c>
      <c r="I26" s="951" t="inlineStr">
        <is>
          <t>Critical</t>
        </is>
      </c>
    </row>
    <row r="27" ht="42" customHeight="1">
      <c r="A27" s="952" t="inlineStr">
        <is>
          <t>Adams County</t>
        </is>
      </c>
      <c r="B27" s="952" t="inlineStr">
        <is>
          <t>Planning / Zoning</t>
        </is>
      </c>
      <c r="C27" s="952" t="inlineStr">
        <is>
          <t>Current Land Use Cases</t>
        </is>
      </c>
      <c r="D27" s="952" t="inlineStr">
        <is>
          <t>Scheduled land-use cases, public hearings and recent decisions.</t>
        </is>
      </c>
      <c r="E27" s="952" t="inlineStr">
        <is>
          <t>Identify rezonings, conditional uses, plats, variances and nearby proposals before final approval.</t>
        </is>
      </c>
      <c r="F27" s="952" t="inlineStr">
        <is>
          <t>Yes</t>
        </is>
      </c>
      <c r="G27" s="1188" t="inlineStr">
        <is>
          <t>https://adamscountyco.gov/our-county/community-economic-development/planning-development/current-land-use-cases/</t>
        </is>
      </c>
      <c r="H27" s="1129" t="n">
        <v>46213</v>
      </c>
      <c r="I27" s="951" t="inlineStr">
        <is>
          <t>Critical</t>
        </is>
      </c>
    </row>
    <row r="28" ht="42" customHeight="1">
      <c r="A28" s="952" t="inlineStr">
        <is>
          <t>Adams County</t>
        </is>
      </c>
      <c r="B28" s="952" t="inlineStr">
        <is>
          <t>Long-Range Planning</t>
        </is>
      </c>
      <c r="C28" s="952" t="inlineStr">
        <is>
          <t>Advancing Adams Comprehensive Plan</t>
        </is>
      </c>
      <c r="D28" s="952" t="inlineStr">
        <is>
          <t>Countywide policy plan and future land-use maps for unincorporated Adams County.</t>
        </is>
      </c>
      <c r="E28" s="952" t="inlineStr">
        <is>
          <t>Evaluate future land-use direction, policy context and long-range growth patterns.</t>
        </is>
      </c>
      <c r="F28" s="952" t="inlineStr">
        <is>
          <t>Yes</t>
        </is>
      </c>
      <c r="G28" s="1188" t="inlineStr">
        <is>
          <t>https://adamscountyco.gov/our-county/community-economic-development/advancing-adams/comprehensive-plan/</t>
        </is>
      </c>
      <c r="H28" s="1129" t="n">
        <v>46213</v>
      </c>
      <c r="I28" s="951" t="inlineStr">
        <is>
          <t>High</t>
        </is>
      </c>
    </row>
    <row r="29" ht="42" customHeight="1">
      <c r="A29" s="952" t="inlineStr">
        <is>
          <t>Adams County</t>
        </is>
      </c>
      <c r="B29" s="952" t="inlineStr">
        <is>
          <t>Long-Range Planning</t>
        </is>
      </c>
      <c r="C29" s="952" t="inlineStr">
        <is>
          <t>Long Range Planning</t>
        </is>
      </c>
      <c r="D29" s="952" t="inlineStr">
        <is>
          <t>Adopted plans and ongoing long-range planning work.</t>
        </is>
      </c>
      <c r="E29" s="952" t="inlineStr">
        <is>
          <t>Find subarea, transportation and other adopted planning documents.</t>
        </is>
      </c>
      <c r="F29" s="952" t="inlineStr">
        <is>
          <t>Yes</t>
        </is>
      </c>
      <c r="G29" s="1188" t="inlineStr">
        <is>
          <t>https://adamscountyco.gov/our-county/community-economic-development/planning-development/long-range-planning/</t>
        </is>
      </c>
      <c r="H29" s="1129" t="n">
        <v>46213</v>
      </c>
      <c r="I29" s="951" t="inlineStr">
        <is>
          <t>High</t>
        </is>
      </c>
    </row>
    <row r="30" ht="42" customHeight="1">
      <c r="A30" s="952" t="inlineStr">
        <is>
          <t>Adams County</t>
        </is>
      </c>
      <c r="B30" s="952" t="inlineStr">
        <is>
          <t>Permits</t>
        </is>
      </c>
      <c r="C30" s="952" t="inlineStr">
        <is>
          <t>Permits &amp; Licensing</t>
        </is>
      </c>
      <c r="D30" s="952" t="inlineStr">
        <is>
          <t>County permit, license and Eye on Adams resources for unincorporated property.</t>
        </is>
      </c>
      <c r="E30" s="952" t="inlineStr">
        <is>
          <t>Find permit tools, licensing information and code-related records.</t>
        </is>
      </c>
      <c r="F30" s="952" t="inlineStr">
        <is>
          <t>Yes</t>
        </is>
      </c>
      <c r="G30" s="1188" t="inlineStr">
        <is>
          <t>https://adamscountyco.gov/our-county/community-economic-development/permits-licensing/</t>
        </is>
      </c>
      <c r="H30" s="1129" t="n">
        <v>46213</v>
      </c>
      <c r="I30" s="951" t="inlineStr">
        <is>
          <t>Critical</t>
        </is>
      </c>
    </row>
    <row r="31" ht="42" customHeight="1">
      <c r="A31" s="952" t="inlineStr">
        <is>
          <t>Adams County</t>
        </is>
      </c>
      <c r="B31" s="952" t="inlineStr">
        <is>
          <t>Permits</t>
        </is>
      </c>
      <c r="C31" s="952" t="inlineStr">
        <is>
          <t>Building Permit</t>
        </is>
      </c>
      <c r="D31" s="952" t="inlineStr">
        <is>
          <t>Building-permit application, review, payment and permit-tracking guidance.</t>
        </is>
      </c>
      <c r="E31" s="952" t="inlineStr">
        <is>
          <t>Research or apply for building permits in unincorporated Adams County.</t>
        </is>
      </c>
      <c r="F31" s="952" t="inlineStr">
        <is>
          <t>Yes</t>
        </is>
      </c>
      <c r="G31" s="1188" t="inlineStr">
        <is>
          <t>https://adamscountyco.gov/our-county/community-economic-development/building-safety/building-permit/</t>
        </is>
      </c>
      <c r="H31" s="1129" t="n">
        <v>46213</v>
      </c>
      <c r="I31" s="951" t="inlineStr">
        <is>
          <t>Critical</t>
        </is>
      </c>
    </row>
    <row r="32" ht="42" customHeight="1">
      <c r="A32" s="952" t="inlineStr">
        <is>
          <t>Adams County</t>
        </is>
      </c>
      <c r="B32" s="952" t="inlineStr">
        <is>
          <t>Permits</t>
        </is>
      </c>
      <c r="C32" s="952" t="inlineStr">
        <is>
          <t>Apply for a Building Permit</t>
        </is>
      </c>
      <c r="D32" s="952" t="inlineStr">
        <is>
          <t>Service guide to the building-permit process and required resources.</t>
        </is>
      </c>
      <c r="E32" s="952" t="inlineStr">
        <is>
          <t>Use as a concise application starting point.</t>
        </is>
      </c>
      <c r="F32" s="952" t="inlineStr">
        <is>
          <t>Yes</t>
        </is>
      </c>
      <c r="G32" s="1188" t="inlineStr">
        <is>
          <t>https://adamscountyco.gov/service/apply-for-a-building-permit/</t>
        </is>
      </c>
      <c r="H32" s="1129" t="n">
        <v>46213</v>
      </c>
      <c r="I32" s="951" t="inlineStr">
        <is>
          <t>High</t>
        </is>
      </c>
    </row>
    <row r="33" ht="42" customHeight="1">
      <c r="A33" s="952" t="inlineStr">
        <is>
          <t>Adams County</t>
        </is>
      </c>
      <c r="B33" s="952" t="inlineStr">
        <is>
          <t>Permits</t>
        </is>
      </c>
      <c r="C33" s="952" t="inlineStr">
        <is>
          <t>Permit Fees &amp; Contractor Registration</t>
        </is>
      </c>
      <c r="D33" s="952" t="inlineStr">
        <is>
          <t>Permit fee and contractor licensing information.</t>
        </is>
      </c>
      <c r="E33" s="952" t="inlineStr">
        <is>
          <t>Estimate administrative requirements and verify contractor registration procedures.</t>
        </is>
      </c>
      <c r="F33" s="952" t="inlineStr">
        <is>
          <t>Yes</t>
        </is>
      </c>
      <c r="G33" s="1188" t="inlineStr">
        <is>
          <t>https://adamscountyco.gov/our-county/community-economic-development/building-safety/permit-fees-contractor-registration/</t>
        </is>
      </c>
      <c r="H33" s="1129" t="n">
        <v>46213</v>
      </c>
      <c r="I33" s="951" t="inlineStr">
        <is>
          <t>Useful</t>
        </is>
      </c>
    </row>
    <row r="34" ht="42" customHeight="1">
      <c r="A34" s="952" t="inlineStr">
        <is>
          <t>Adams County</t>
        </is>
      </c>
      <c r="B34" s="952" t="inlineStr">
        <is>
          <t>Permits</t>
        </is>
      </c>
      <c r="C34" s="952" t="inlineStr">
        <is>
          <t>Submittal Checklists</t>
        </is>
      </c>
      <c r="D34" s="952" t="inlineStr">
        <is>
          <t>Checklists for development and building submittals.</t>
        </is>
      </c>
      <c r="E34" s="952" t="inlineStr">
        <is>
          <t>Confirm required documents before filing an application.</t>
        </is>
      </c>
      <c r="F34" s="952" t="inlineStr">
        <is>
          <t>Yes</t>
        </is>
      </c>
      <c r="G34" s="1188" t="inlineStr">
        <is>
          <t>https://adamscountyco.gov/our-county/community-economic-development/submittal-checklists/</t>
        </is>
      </c>
      <c r="H34" s="1129" t="n">
        <v>46213</v>
      </c>
      <c r="I34" s="951" t="inlineStr">
        <is>
          <t>High</t>
        </is>
      </c>
    </row>
    <row r="35" ht="42" customHeight="1">
      <c r="A35" s="952" t="inlineStr">
        <is>
          <t>Adams County</t>
        </is>
      </c>
      <c r="B35" s="952" t="inlineStr">
        <is>
          <t>Codes</t>
        </is>
      </c>
      <c r="C35" s="952" t="inlineStr">
        <is>
          <t>Codes &amp; Information</t>
        </is>
      </c>
      <c r="D35" s="952" t="inlineStr">
        <is>
          <t>Building codes, development regulations and related compliance resources.</t>
        </is>
      </c>
      <c r="E35" s="952" t="inlineStr">
        <is>
          <t>Verify current construction and land-use standards before design or acquisition.</t>
        </is>
      </c>
      <c r="F35" s="952" t="inlineStr">
        <is>
          <t>Yes</t>
        </is>
      </c>
      <c r="G35" s="1188" t="inlineStr">
        <is>
          <t>https://adamscountyco.gov/our-county/community-economic-development/permits-licensing/codes-information/</t>
        </is>
      </c>
      <c r="H35" s="1129" t="n">
        <v>46213</v>
      </c>
      <c r="I35" s="951" t="inlineStr">
        <is>
          <t>High</t>
        </is>
      </c>
    </row>
    <row r="36" ht="42" customHeight="1">
      <c r="A36" s="952" t="inlineStr">
        <is>
          <t>Adams County</t>
        </is>
      </c>
      <c r="B36" s="952" t="inlineStr">
        <is>
          <t>Online Tools</t>
        </is>
      </c>
      <c r="C36" s="952" t="inlineStr">
        <is>
          <t>Community &amp; Economic Development Online Resources</t>
        </is>
      </c>
      <c r="D36" s="952" t="inlineStr">
        <is>
          <t>Online research and application resources for planning, building and permits.</t>
        </is>
      </c>
      <c r="E36" s="952" t="inlineStr">
        <is>
          <t>Use as a consolidated starting point for development services.</t>
        </is>
      </c>
      <c r="F36" s="952" t="inlineStr">
        <is>
          <t>Yes</t>
        </is>
      </c>
      <c r="G36" s="1188" t="inlineStr">
        <is>
          <t>https://adamscountyco.gov/our-county/community-economic-development/online-resources/</t>
        </is>
      </c>
      <c r="H36" s="1129" t="n">
        <v>46213</v>
      </c>
      <c r="I36" s="951" t="inlineStr">
        <is>
          <t>Useful</t>
        </is>
      </c>
    </row>
    <row r="37" ht="42" customHeight="1">
      <c r="A37" s="952" t="inlineStr">
        <is>
          <t>Adams County</t>
        </is>
      </c>
      <c r="B37" s="952" t="inlineStr">
        <is>
          <t>Road / Access</t>
        </is>
      </c>
      <c r="C37" s="952" t="inlineStr">
        <is>
          <t>Public Works</t>
        </is>
      </c>
      <c r="D37" s="952" t="inlineStr">
        <is>
          <t>County roads, right-of-way, access, stormwater and infrastructure permit information.</t>
        </is>
      </c>
      <c r="E37" s="952" t="inlineStr">
        <is>
          <t>Check county road jurisdiction, access permits and public works projects.</t>
        </is>
      </c>
      <c r="F37" s="952" t="inlineStr">
        <is>
          <t>Yes</t>
        </is>
      </c>
      <c r="G37" s="1188" t="inlineStr">
        <is>
          <t>https://adamscountyco.gov/our-county/public-works/</t>
        </is>
      </c>
      <c r="H37" s="1129" t="n">
        <v>46213</v>
      </c>
      <c r="I37" s="951" t="inlineStr">
        <is>
          <t>High</t>
        </is>
      </c>
    </row>
    <row r="38" ht="42" customHeight="1">
      <c r="A38" s="952" t="inlineStr">
        <is>
          <t>Adams County</t>
        </is>
      </c>
      <c r="B38" s="952" t="inlineStr">
        <is>
          <t>Meetings</t>
        </is>
      </c>
      <c r="C38" s="952" t="inlineStr">
        <is>
          <t>Public Meetings</t>
        </is>
      </c>
      <c r="D38" s="952" t="inlineStr">
        <is>
          <t>County boards, commissions, hearings and public participation links.</t>
        </is>
      </c>
      <c r="E38" s="952" t="inlineStr">
        <is>
          <t>Monitor decisions and public-comment opportunities.</t>
        </is>
      </c>
      <c r="F38" s="952" t="inlineStr">
        <is>
          <t>Yes</t>
        </is>
      </c>
      <c r="G38" s="1188" t="inlineStr">
        <is>
          <t>https://adamscountyco.gov/about-adams-county/public-meetings/</t>
        </is>
      </c>
      <c r="H38" s="1129" t="n">
        <v>46213</v>
      </c>
      <c r="I38" s="951" t="inlineStr">
        <is>
          <t>High</t>
        </is>
      </c>
    </row>
    <row r="39" ht="42" customHeight="1">
      <c r="A39" s="952" t="inlineStr">
        <is>
          <t>Adams County</t>
        </is>
      </c>
      <c r="B39" s="952" t="inlineStr">
        <is>
          <t>Meetings</t>
        </is>
      </c>
      <c r="C39" s="952" t="inlineStr">
        <is>
          <t>Current Meeting Agendas &amp; Archives</t>
        </is>
      </c>
      <c r="D39" s="952" t="inlineStr">
        <is>
          <t>Board of County Commissioners agendas, minutes, audio and public hearing information.</t>
        </is>
      </c>
      <c r="E39" s="952" t="inlineStr">
        <is>
          <t>Track pending and completed county actions.</t>
        </is>
      </c>
      <c r="F39" s="952" t="inlineStr">
        <is>
          <t>Yes</t>
        </is>
      </c>
      <c r="G39" s="1188" t="inlineStr">
        <is>
          <t>https://adamscountyco.gov/our-county/elected-officials/board-of-county-commissioners/current-meeting-agendas-archives/</t>
        </is>
      </c>
      <c r="H39" s="1129" t="n">
        <v>46213</v>
      </c>
      <c r="I39" s="951" t="inlineStr">
        <is>
          <t>High</t>
        </is>
      </c>
    </row>
    <row r="40" ht="42" customHeight="1">
      <c r="A40" s="952" t="inlineStr">
        <is>
          <t>Adams County</t>
        </is>
      </c>
      <c r="B40" s="952" t="inlineStr">
        <is>
          <t>News</t>
        </is>
      </c>
      <c r="C40" s="952" t="inlineStr">
        <is>
          <t>Adams County News</t>
        </is>
      </c>
      <c r="D40" s="952" t="inlineStr">
        <is>
          <t>Official county news and announcements.</t>
        </is>
      </c>
      <c r="E40" s="952" t="inlineStr">
        <is>
          <t>Monitor code updates, projects, hearings, public programs and policy changes.</t>
        </is>
      </c>
      <c r="F40" s="952" t="inlineStr">
        <is>
          <t>Yes</t>
        </is>
      </c>
      <c r="G40" s="1188" t="inlineStr">
        <is>
          <t>https://adamscountyco.gov/about-adams-county/news/</t>
        </is>
      </c>
      <c r="H40" s="1129" t="n">
        <v>46213</v>
      </c>
      <c r="I40" s="951" t="inlineStr">
        <is>
          <t>High</t>
        </is>
      </c>
    </row>
    <row r="41" ht="42" customHeight="1">
      <c r="A41" s="952" t="inlineStr">
        <is>
          <t>Adams County</t>
        </is>
      </c>
      <c r="B41" s="952" t="inlineStr">
        <is>
          <t>News</t>
        </is>
      </c>
      <c r="C41" s="952" t="inlineStr">
        <is>
          <t>Planning &amp; Development News &amp; Updates</t>
        </is>
      </c>
      <c r="D41" s="952" t="inlineStr">
        <is>
          <t>Updates from the county planning and development division.</t>
        </is>
      </c>
      <c r="E41" s="952" t="inlineStr">
        <is>
          <t>Watch for development-regulation changes and planning initiatives.</t>
        </is>
      </c>
      <c r="F41" s="952" t="inlineStr">
        <is>
          <t>Yes</t>
        </is>
      </c>
      <c r="G41" s="1188" t="inlineStr">
        <is>
          <t>https://adamscountyco.gov/our-county/community-economic-development/planning-development/news-updates/</t>
        </is>
      </c>
      <c r="H41" s="1129" t="n">
        <v>46213</v>
      </c>
      <c r="I41" s="951" t="inlineStr">
        <is>
          <t>High</t>
        </is>
      </c>
    </row>
  </sheetData>
  <mergeCells count="2">
    <mergeCell ref="A1:I1"/>
    <mergeCell ref="A2:I2"/>
  </mergeCells>
  <dataValidations count="1">
    <dataValidation sqref="I5:I41" showDropDown="0" showInputMessage="0" showErrorMessage="0" allowBlank="0" type="list">
      <formula1>"Critical,High,Useful,Reference"</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s>
  <pageMargins left="0.75" right="0.75" top="1" bottom="1" header="0.5" footer="0.5"/>
</worksheet>
</file>

<file path=xl/worksheets/sheet19.xml><?xml version="1.0" encoding="utf-8"?>
<worksheet xmlns="http://schemas.openxmlformats.org/spreadsheetml/2006/main">
  <sheetPr>
    <tabColor rgb="00D97706"/>
    <outlinePr summaryBelow="1" summaryRight="1"/>
    <pageSetUpPr/>
  </sheetPr>
  <dimension ref="A1:J176"/>
  <sheetViews>
    <sheetView workbookViewId="0">
      <selection activeCell="A1" sqref="A1"/>
    </sheetView>
  </sheetViews>
  <sheetFormatPr baseColWidth="8" defaultRowHeight="15"/>
  <cols>
    <col width="18" customWidth="1" min="1" max="1"/>
    <col width="23" customWidth="1" min="2" max="2"/>
    <col width="32" customWidth="1" min="3" max="3"/>
    <col width="52" customWidth="1" min="4" max="4"/>
    <col width="52" customWidth="1" min="5" max="5"/>
    <col width="6" customWidth="1" min="6" max="6"/>
    <col width="52" customWidth="1" min="7" max="7"/>
    <col width="52" customWidth="1" min="8" max="8"/>
    <col width="21" customWidth="1" min="9" max="9"/>
    <col width="12" customWidth="1" min="10" max="10"/>
  </cols>
  <sheetData>
    <row r="1" ht="32" customHeight="1">
      <c r="A1" s="957" t="inlineStr">
        <is>
          <t>Municipal Property, Zoning, Planning, Development &amp; Permit Directory</t>
        </is>
      </c>
    </row>
    <row r="2" ht="28" customHeight="1">
      <c r="A2" s="958" t="inlineStr">
        <is>
          <t>Detailed official resources for Arvada, Aurora, Bennett, Brighton, Commerce City, Federal Heights, Lochbuie, Northglenn, Thornton and Westminster.</t>
        </is>
      </c>
    </row>
    <row r="4" ht="30" customHeight="1">
      <c r="A4" s="959" t="inlineStr">
        <is>
          <t>Municipality</t>
        </is>
      </c>
      <c r="B4" s="959" t="inlineStr">
        <is>
          <t>Category</t>
        </is>
      </c>
      <c r="C4" s="959" t="inlineStr">
        <is>
          <t>Resource</t>
        </is>
      </c>
      <c r="D4" s="1187" t="inlineStr">
        <is>
          <t>What It Provides</t>
        </is>
      </c>
      <c r="E4" s="1187" t="inlineStr">
        <is>
          <t>Best Use</t>
        </is>
      </c>
      <c r="F4" s="959" t="inlineStr">
        <is>
          <t>Official</t>
        </is>
      </c>
      <c r="G4" s="1187" t="inlineStr">
        <is>
          <t>URL</t>
        </is>
      </c>
      <c r="H4" s="1187" t="inlineStr">
        <is>
          <t>Coverage Note</t>
        </is>
      </c>
      <c r="I4" s="959" t="inlineStr">
        <is>
          <t>Verified</t>
        </is>
      </c>
      <c r="J4" s="959" t="inlineStr">
        <is>
          <t>Priority</t>
        </is>
      </c>
    </row>
    <row r="5" ht="42" customHeight="1">
      <c r="A5" s="952" t="inlineStr">
        <is>
          <t>Arvada</t>
        </is>
      </c>
      <c r="B5" s="952" t="inlineStr">
        <is>
          <t>Official Website</t>
        </is>
      </c>
      <c r="C5" s="952" t="inlineStr">
        <is>
          <t>City of Arvada</t>
        </is>
      </c>
      <c r="D5" s="952" t="inlineStr">
        <is>
          <t>Main city website and departmental navigation.</t>
        </is>
      </c>
      <c r="E5" s="952" t="inlineStr">
        <is>
          <t>Verify current city contacts and services.</t>
        </is>
      </c>
      <c r="F5" s="952" t="inlineStr">
        <is>
          <t>Yes</t>
        </is>
      </c>
      <c r="G5" s="1188" t="inlineStr">
        <is>
          <t>https://www.arvadaco.gov/</t>
        </is>
      </c>
      <c r="H5" s="952" t="inlineStr">
        <is>
          <t>Use for parcels inside this jurisdiction; confirm the parcel's actual county before relying on county recorder or assessor records.</t>
        </is>
      </c>
      <c r="I5" s="1129" t="n">
        <v>46213</v>
      </c>
      <c r="J5" s="951" t="inlineStr">
        <is>
          <t>Reference</t>
        </is>
      </c>
    </row>
    <row r="6" ht="42" customHeight="1">
      <c r="A6" s="952" t="inlineStr">
        <is>
          <t>Arvada</t>
        </is>
      </c>
      <c r="B6" s="952" t="inlineStr">
        <is>
          <t>GIS / Property</t>
        </is>
      </c>
      <c r="C6" s="952" t="inlineStr">
        <is>
          <t>Maps and Property Search</t>
        </is>
      </c>
      <c r="D6" s="952" t="inlineStr">
        <is>
          <t>City maps and parcel/property research links.</t>
        </is>
      </c>
      <c r="E6" s="952" t="inlineStr">
        <is>
          <t>Locate parcels, zoning and mapped city information.</t>
        </is>
      </c>
      <c r="F6" s="952" t="inlineStr">
        <is>
          <t>Yes</t>
        </is>
      </c>
      <c r="G6" s="1188" t="inlineStr">
        <is>
          <t>https://www.arvadaco.gov/702/Maps-and-Property-Search</t>
        </is>
      </c>
      <c r="H6" s="952" t="inlineStr">
        <is>
          <t>Use for parcels inside this jurisdiction; confirm the parcel's actual county before relying on county recorder or assessor records.</t>
        </is>
      </c>
      <c r="I6" s="1129" t="n">
        <v>46213</v>
      </c>
      <c r="J6" s="951" t="inlineStr">
        <is>
          <t>Critical</t>
        </is>
      </c>
    </row>
    <row r="7" ht="42" customHeight="1">
      <c r="A7" s="952" t="inlineStr">
        <is>
          <t>Arvada</t>
        </is>
      </c>
      <c r="B7" s="952" t="inlineStr">
        <is>
          <t>Zoning</t>
        </is>
      </c>
      <c r="C7" s="952" t="inlineStr">
        <is>
          <t>Zoning</t>
        </is>
      </c>
      <c r="D7" s="952" t="inlineStr">
        <is>
          <t>Zoning districts, regulations and zoning information.</t>
        </is>
      </c>
      <c r="E7" s="952" t="inlineStr">
        <is>
          <t>Confirm district and permitted-use rules.</t>
        </is>
      </c>
      <c r="F7" s="952" t="inlineStr">
        <is>
          <t>Yes</t>
        </is>
      </c>
      <c r="G7" s="1188" t="inlineStr">
        <is>
          <t>https://www.arvadaco.gov/168/Zoning</t>
        </is>
      </c>
      <c r="H7" s="952" t="inlineStr">
        <is>
          <t>Use for parcels inside this jurisdiction; confirm the parcel's actual county before relying on county recorder or assessor records.</t>
        </is>
      </c>
      <c r="I7" s="1129" t="n">
        <v>46213</v>
      </c>
      <c r="J7" s="951" t="inlineStr">
        <is>
          <t>Critical</t>
        </is>
      </c>
    </row>
    <row r="8" ht="42" customHeight="1">
      <c r="A8" s="952" t="inlineStr">
        <is>
          <t>Arvada</t>
        </is>
      </c>
      <c r="B8" s="952" t="inlineStr">
        <is>
          <t>Planning</t>
        </is>
      </c>
      <c r="C8" s="952" t="inlineStr">
        <is>
          <t>Planning and Development</t>
        </is>
      </c>
      <c r="D8" s="952" t="inlineStr">
        <is>
          <t>Planning, land use, development review and long-range resources.</t>
        </is>
      </c>
      <c r="E8" s="952" t="inlineStr">
        <is>
          <t>Start development or entitlement research.</t>
        </is>
      </c>
      <c r="F8" s="952" t="inlineStr">
        <is>
          <t>Yes</t>
        </is>
      </c>
      <c r="G8" s="1188" t="inlineStr">
        <is>
          <t>https://www.arvadaco.gov/1369/Planning-and-Development</t>
        </is>
      </c>
      <c r="H8" s="952" t="inlineStr">
        <is>
          <t>Use for parcels inside this jurisdiction; confirm the parcel's actual county before relying on county recorder or assessor records.</t>
        </is>
      </c>
      <c r="I8" s="1129" t="n">
        <v>46213</v>
      </c>
      <c r="J8" s="951" t="inlineStr">
        <is>
          <t>Critical</t>
        </is>
      </c>
    </row>
    <row r="9" ht="42" customHeight="1">
      <c r="A9" s="952" t="inlineStr">
        <is>
          <t>Arvada</t>
        </is>
      </c>
      <c r="B9" s="952" t="inlineStr">
        <is>
          <t>Code</t>
        </is>
      </c>
      <c r="C9" s="952" t="inlineStr">
        <is>
          <t>Land Development Code</t>
        </is>
      </c>
      <c r="D9" s="952" t="inlineStr">
        <is>
          <t>Current land-development regulations.</t>
        </is>
      </c>
      <c r="E9" s="952" t="inlineStr">
        <is>
          <t>Review use, dimensional, design and review standards.</t>
        </is>
      </c>
      <c r="F9" s="952" t="inlineStr">
        <is>
          <t>Yes</t>
        </is>
      </c>
      <c r="G9" s="1188" t="inlineStr">
        <is>
          <t>https://www.arvadaco.gov/1397/Land-Development-Code</t>
        </is>
      </c>
      <c r="H9" s="952" t="inlineStr">
        <is>
          <t>Use for parcels inside this jurisdiction; confirm the parcel's actual county before relying on county recorder or assessor records.</t>
        </is>
      </c>
      <c r="I9" s="1129" t="n">
        <v>46213</v>
      </c>
      <c r="J9" s="951" t="inlineStr">
        <is>
          <t>Critical</t>
        </is>
      </c>
    </row>
    <row r="10" ht="42" customHeight="1">
      <c r="A10" s="952" t="inlineStr">
        <is>
          <t>Arvada</t>
        </is>
      </c>
      <c r="B10" s="952" t="inlineStr">
        <is>
          <t>Development</t>
        </is>
      </c>
      <c r="C10" s="952" t="inlineStr">
        <is>
          <t>Active Development Projects</t>
        </is>
      </c>
      <c r="D10" s="952" t="inlineStr">
        <is>
          <t>Map/list of current development projects.</t>
        </is>
      </c>
      <c r="E10" s="952" t="inlineStr">
        <is>
          <t>Identify pending or active projects near a target property.</t>
        </is>
      </c>
      <c r="F10" s="952" t="inlineStr">
        <is>
          <t>Yes</t>
        </is>
      </c>
      <c r="G10" s="1188" t="inlineStr">
        <is>
          <t>https://www.arvadaco.gov/1394/Active-Development-Projects</t>
        </is>
      </c>
      <c r="H10" s="952" t="inlineStr">
        <is>
          <t>Use for parcels inside this jurisdiction; confirm the parcel's actual county before relying on county recorder or assessor records.</t>
        </is>
      </c>
      <c r="I10" s="1129" t="n">
        <v>46213</v>
      </c>
      <c r="J10" s="951" t="inlineStr">
        <is>
          <t>High</t>
        </is>
      </c>
    </row>
    <row r="11" ht="42" customHeight="1">
      <c r="A11" s="952" t="inlineStr">
        <is>
          <t>Arvada</t>
        </is>
      </c>
      <c r="B11" s="952" t="inlineStr">
        <is>
          <t>Development</t>
        </is>
      </c>
      <c r="C11" s="952" t="inlineStr">
        <is>
          <t>Development Review Process</t>
        </is>
      </c>
      <c r="D11" s="952" t="inlineStr">
        <is>
          <t>Explanation of land-use and development review steps.</t>
        </is>
      </c>
      <c r="E11" s="952" t="inlineStr">
        <is>
          <t>Estimate entitlement path and required approvals.</t>
        </is>
      </c>
      <c r="F11" s="952" t="inlineStr">
        <is>
          <t>Yes</t>
        </is>
      </c>
      <c r="G11" s="1188" t="inlineStr">
        <is>
          <t>https://www.arvadaco.gov/1393/Development-Review-Process</t>
        </is>
      </c>
      <c r="H11" s="952" t="inlineStr">
        <is>
          <t>Use for parcels inside this jurisdiction; confirm the parcel's actual county before relying on county recorder or assessor records.</t>
        </is>
      </c>
      <c r="I11" s="1129" t="n">
        <v>46213</v>
      </c>
      <c r="J11" s="951" t="inlineStr">
        <is>
          <t>High</t>
        </is>
      </c>
    </row>
    <row r="12" ht="42" customHeight="1">
      <c r="A12" s="952" t="inlineStr">
        <is>
          <t>Arvada</t>
        </is>
      </c>
      <c r="B12" s="952" t="inlineStr">
        <is>
          <t>Planning Documents</t>
        </is>
      </c>
      <c r="C12" s="952" t="inlineStr">
        <is>
          <t>Documents and Downloads</t>
        </is>
      </c>
      <c r="D12" s="952" t="inlineStr">
        <is>
          <t>Applications, checklists, plans and planning documents.</t>
        </is>
      </c>
      <c r="E12" s="952" t="inlineStr">
        <is>
          <t>Collect forms and supporting standards.</t>
        </is>
      </c>
      <c r="F12" s="952" t="inlineStr">
        <is>
          <t>Yes</t>
        </is>
      </c>
      <c r="G12" s="1188" t="inlineStr">
        <is>
          <t>https://www.arvadaco.gov/363/Documents-and-Downloads</t>
        </is>
      </c>
      <c r="H12" s="952" t="inlineStr">
        <is>
          <t>Use for parcels inside this jurisdiction; confirm the parcel's actual county before relying on county recorder or assessor records.</t>
        </is>
      </c>
      <c r="I12" s="1129" t="n">
        <v>46213</v>
      </c>
      <c r="J12" s="951" t="inlineStr">
        <is>
          <t>Useful</t>
        </is>
      </c>
    </row>
    <row r="13" ht="42" customHeight="1">
      <c r="A13" s="952" t="inlineStr">
        <is>
          <t>Arvada</t>
        </is>
      </c>
      <c r="B13" s="952" t="inlineStr">
        <is>
          <t>Permits</t>
        </is>
      </c>
      <c r="C13" s="952" t="inlineStr">
        <is>
          <t>Permits</t>
        </is>
      </c>
      <c r="D13" s="952" t="inlineStr">
        <is>
          <t>City permit portal and permit categories.</t>
        </is>
      </c>
      <c r="E13" s="952" t="inlineStr">
        <is>
          <t>Find applicable city permits.</t>
        </is>
      </c>
      <c r="F13" s="952" t="inlineStr">
        <is>
          <t>Yes</t>
        </is>
      </c>
      <c r="G13" s="1188" t="inlineStr">
        <is>
          <t>https://www.arvadaco.gov/330/Permits</t>
        </is>
      </c>
      <c r="H13" s="952" t="inlineStr">
        <is>
          <t>Use for parcels inside this jurisdiction; confirm the parcel's actual county before relying on county recorder or assessor records.</t>
        </is>
      </c>
      <c r="I13" s="1129" t="n">
        <v>46213</v>
      </c>
      <c r="J13" s="951" t="inlineStr">
        <is>
          <t>High</t>
        </is>
      </c>
    </row>
    <row r="14" ht="42" customHeight="1">
      <c r="A14" s="952" t="inlineStr">
        <is>
          <t>Arvada</t>
        </is>
      </c>
      <c r="B14" s="952" t="inlineStr">
        <is>
          <t>Permits</t>
        </is>
      </c>
      <c r="C14" s="952" t="inlineStr">
        <is>
          <t>Building Permits</t>
        </is>
      </c>
      <c r="D14" s="952" t="inlineStr">
        <is>
          <t>Building-permit requirements and guidance.</t>
        </is>
      </c>
      <c r="E14" s="952" t="inlineStr">
        <is>
          <t>Research construction permit needs.</t>
        </is>
      </c>
      <c r="F14" s="952" t="inlineStr">
        <is>
          <t>Yes</t>
        </is>
      </c>
      <c r="G14" s="1188" t="inlineStr">
        <is>
          <t>https://www.arvadaco.gov/332/Building-Permits</t>
        </is>
      </c>
      <c r="H14" s="952" t="inlineStr">
        <is>
          <t>Use for parcels inside this jurisdiction; confirm the parcel's actual county before relying on county recorder or assessor records.</t>
        </is>
      </c>
      <c r="I14" s="1129" t="n">
        <v>46213</v>
      </c>
      <c r="J14" s="951" t="inlineStr">
        <is>
          <t>Critical</t>
        </is>
      </c>
    </row>
    <row r="15" ht="42" customHeight="1">
      <c r="A15" s="952" t="inlineStr">
        <is>
          <t>Arvada</t>
        </is>
      </c>
      <c r="B15" s="952" t="inlineStr">
        <is>
          <t>Permits</t>
        </is>
      </c>
      <c r="C15" s="952" t="inlineStr">
        <is>
          <t>eTRAKiT Help</t>
        </is>
      </c>
      <c r="D15" s="952" t="inlineStr">
        <is>
          <t>Online permit and project portal help.</t>
        </is>
      </c>
      <c r="E15" s="952" t="inlineStr">
        <is>
          <t>Search or manage permits and development cases.</t>
        </is>
      </c>
      <c r="F15" s="952" t="inlineStr">
        <is>
          <t>Yes</t>
        </is>
      </c>
      <c r="G15" s="1188" t="inlineStr">
        <is>
          <t>https://www.arvadaco.gov/593/eTRAKiT-Help/permithelp</t>
        </is>
      </c>
      <c r="H15" s="952" t="inlineStr">
        <is>
          <t>Use for parcels inside this jurisdiction; confirm the parcel's actual county before relying on county recorder or assessor records.</t>
        </is>
      </c>
      <c r="I15" s="1129" t="n">
        <v>46213</v>
      </c>
      <c r="J15" s="951" t="inlineStr">
        <is>
          <t>High</t>
        </is>
      </c>
    </row>
    <row r="16" ht="42" customHeight="1">
      <c r="A16" s="952" t="inlineStr">
        <is>
          <t>Arvada</t>
        </is>
      </c>
      <c r="B16" s="952" t="inlineStr">
        <is>
          <t>Permit History</t>
        </is>
      </c>
      <c r="C16" s="952" t="inlineStr">
        <is>
          <t>Researching Permits</t>
        </is>
      </c>
      <c r="D16" s="952" t="inlineStr">
        <is>
          <t>Instructions for researching historical permits.</t>
        </is>
      </c>
      <c r="E16" s="952" t="inlineStr">
        <is>
          <t>Check prior construction and permit records.</t>
        </is>
      </c>
      <c r="F16" s="952" t="inlineStr">
        <is>
          <t>Yes</t>
        </is>
      </c>
      <c r="G16" s="1188" t="inlineStr">
        <is>
          <t>https://www.arvadaco.gov/627/Researching-Permits</t>
        </is>
      </c>
      <c r="H16" s="952" t="inlineStr">
        <is>
          <t>Use for parcels inside this jurisdiction; confirm the parcel's actual county before relying on county recorder or assessor records.</t>
        </is>
      </c>
      <c r="I16" s="1129" t="n">
        <v>46213</v>
      </c>
      <c r="J16" s="951" t="inlineStr">
        <is>
          <t>High</t>
        </is>
      </c>
    </row>
    <row r="17" ht="42" customHeight="1">
      <c r="A17" s="952" t="inlineStr">
        <is>
          <t>Arvada</t>
        </is>
      </c>
      <c r="B17" s="952" t="inlineStr">
        <is>
          <t>Long-Range Planning</t>
        </is>
      </c>
      <c r="C17" s="952" t="inlineStr">
        <is>
          <t>2026-27 Comprehensive Plan</t>
        </is>
      </c>
      <c r="D17" s="952" t="inlineStr">
        <is>
          <t>Current comprehensive-plan update information.</t>
        </is>
      </c>
      <c r="E17" s="952" t="inlineStr">
        <is>
          <t>Track future land-use policy and plan changes.</t>
        </is>
      </c>
      <c r="F17" s="952" t="inlineStr">
        <is>
          <t>Yes</t>
        </is>
      </c>
      <c r="G17" s="1188" t="inlineStr">
        <is>
          <t>https://www.arvadaco.gov/1374/2026-27-Comprehensive-Plan</t>
        </is>
      </c>
      <c r="H17" s="952" t="inlineStr">
        <is>
          <t>Use for parcels inside this jurisdiction; confirm the parcel's actual county before relying on county recorder or assessor records.</t>
        </is>
      </c>
      <c r="I17" s="1129" t="n">
        <v>46213</v>
      </c>
      <c r="J17" s="951" t="inlineStr">
        <is>
          <t>High</t>
        </is>
      </c>
    </row>
    <row r="18" ht="42" customHeight="1">
      <c r="A18" s="952" t="inlineStr">
        <is>
          <t>Arvada</t>
        </is>
      </c>
      <c r="B18" s="952" t="inlineStr">
        <is>
          <t>Plans</t>
        </is>
      </c>
      <c r="C18" s="952" t="inlineStr">
        <is>
          <t>City Plans</t>
        </is>
      </c>
      <c r="D18" s="952" t="inlineStr">
        <is>
          <t>Adopted and ongoing city plans.</t>
        </is>
      </c>
      <c r="E18" s="952" t="inlineStr">
        <is>
          <t>Review subarea and long-range policy documents.</t>
        </is>
      </c>
      <c r="F18" s="952" t="inlineStr">
        <is>
          <t>Yes</t>
        </is>
      </c>
      <c r="G18" s="1188" t="inlineStr">
        <is>
          <t>https://www.arvadaco.gov/304/City-Plans</t>
        </is>
      </c>
      <c r="H18" s="952" t="inlineStr">
        <is>
          <t>Use for parcels inside this jurisdiction; confirm the parcel's actual county before relying on county recorder or assessor records.</t>
        </is>
      </c>
      <c r="I18" s="1129" t="n">
        <v>46213</v>
      </c>
      <c r="J18" s="951" t="inlineStr">
        <is>
          <t>Useful</t>
        </is>
      </c>
    </row>
    <row r="19" ht="42" customHeight="1">
      <c r="A19" s="952" t="inlineStr">
        <is>
          <t>Arvada</t>
        </is>
      </c>
      <c r="B19" s="952" t="inlineStr">
        <is>
          <t>Meetings</t>
        </is>
      </c>
      <c r="C19" s="952" t="inlineStr">
        <is>
          <t>Planning Commission</t>
        </is>
      </c>
      <c r="D19" s="952" t="inlineStr">
        <is>
          <t>Planning Commission information and meeting resources.</t>
        </is>
      </c>
      <c r="E19" s="952" t="inlineStr">
        <is>
          <t>Monitor land-use recommendations and hearings.</t>
        </is>
      </c>
      <c r="F19" s="952" t="inlineStr">
        <is>
          <t>Yes</t>
        </is>
      </c>
      <c r="G19" s="1188" t="inlineStr">
        <is>
          <t>https://www.arvadaco.gov/276/Planning-Commission</t>
        </is>
      </c>
      <c r="H19" s="952" t="inlineStr">
        <is>
          <t>Use for parcels inside this jurisdiction; confirm the parcel's actual county before relying on county recorder or assessor records.</t>
        </is>
      </c>
      <c r="I19" s="1129" t="n">
        <v>46213</v>
      </c>
      <c r="J19" s="951" t="inlineStr">
        <is>
          <t>High</t>
        </is>
      </c>
    </row>
    <row r="20" ht="42" customHeight="1">
      <c r="A20" s="952" t="inlineStr">
        <is>
          <t>Arvada</t>
        </is>
      </c>
      <c r="B20" s="952" t="inlineStr">
        <is>
          <t>Meetings</t>
        </is>
      </c>
      <c r="C20" s="952" t="inlineStr">
        <is>
          <t>Agenda Center</t>
        </is>
      </c>
      <c r="D20" s="952" t="inlineStr">
        <is>
          <t>Agendas and minutes for city boards and council.</t>
        </is>
      </c>
      <c r="E20" s="952" t="inlineStr">
        <is>
          <t>Track official actions and hearing dates.</t>
        </is>
      </c>
      <c r="F20" s="952" t="inlineStr">
        <is>
          <t>Yes</t>
        </is>
      </c>
      <c r="G20" s="1188" t="inlineStr">
        <is>
          <t>https://www.arvadaco.gov/AgendaCenter</t>
        </is>
      </c>
      <c r="H20" s="952" t="inlineStr">
        <is>
          <t>Use for parcels inside this jurisdiction; confirm the parcel's actual county before relying on county recorder or assessor records.</t>
        </is>
      </c>
      <c r="I20" s="1129" t="n">
        <v>46213</v>
      </c>
      <c r="J20" s="951" t="inlineStr">
        <is>
          <t>High</t>
        </is>
      </c>
    </row>
    <row r="21" ht="42" customHeight="1">
      <c r="A21" s="952" t="inlineStr">
        <is>
          <t>Arvada</t>
        </is>
      </c>
      <c r="B21" s="952" t="inlineStr">
        <is>
          <t>Public Notices</t>
        </is>
      </c>
      <c r="C21" s="952" t="inlineStr">
        <is>
          <t>Meetings and Other Legal Notices</t>
        </is>
      </c>
      <c r="D21" s="952" t="inlineStr">
        <is>
          <t>Official notices and public-hearing information.</t>
        </is>
      </c>
      <c r="E21" s="952" t="inlineStr">
        <is>
          <t>Confirm formal notice and comment deadlines.</t>
        </is>
      </c>
      <c r="F21" s="952" t="inlineStr">
        <is>
          <t>Yes</t>
        </is>
      </c>
      <c r="G21" s="1188" t="inlineStr">
        <is>
          <t>https://www.arvadaco.gov/245/Meetings-and-Other-Legal-Notices</t>
        </is>
      </c>
      <c r="H21" s="952" t="inlineStr">
        <is>
          <t>Use for parcels inside this jurisdiction; confirm the parcel's actual county before relying on county recorder or assessor records.</t>
        </is>
      </c>
      <c r="I21" s="1129" t="n">
        <v>46213</v>
      </c>
      <c r="J21" s="951" t="inlineStr">
        <is>
          <t>High</t>
        </is>
      </c>
    </row>
    <row r="22" ht="42" customHeight="1">
      <c r="A22" s="952" t="inlineStr">
        <is>
          <t>Arvada</t>
        </is>
      </c>
      <c r="B22" s="952" t="inlineStr">
        <is>
          <t>News</t>
        </is>
      </c>
      <c r="C22" s="952" t="inlineStr">
        <is>
          <t>News Releases</t>
        </is>
      </c>
      <c r="D22" s="952" t="inlineStr">
        <is>
          <t>Official city news releases.</t>
        </is>
      </c>
      <c r="E22" s="952" t="inlineStr">
        <is>
          <t>Monitor city projects, policy and development announcements.</t>
        </is>
      </c>
      <c r="F22" s="952" t="inlineStr">
        <is>
          <t>Yes</t>
        </is>
      </c>
      <c r="G22" s="1188" t="inlineStr">
        <is>
          <t>https://www.arvadaco.gov/908/News-Releases</t>
        </is>
      </c>
      <c r="H22" s="952" t="inlineStr">
        <is>
          <t>Use for parcels inside this jurisdiction; confirm the parcel's actual county before relying on county recorder or assessor records.</t>
        </is>
      </c>
      <c r="I22" s="1129" t="n">
        <v>46213</v>
      </c>
      <c r="J22" s="951" t="inlineStr">
        <is>
          <t>Useful</t>
        </is>
      </c>
    </row>
    <row r="23" ht="42" customHeight="1">
      <c r="A23" s="952" t="inlineStr">
        <is>
          <t>Arvada</t>
        </is>
      </c>
      <c r="B23" s="952" t="inlineStr">
        <is>
          <t>Public Records</t>
        </is>
      </c>
      <c r="C23" s="952" t="inlineStr">
        <is>
          <t>Records and Requests</t>
        </is>
      </c>
      <c r="D23" s="952" t="inlineStr">
        <is>
          <t>Public records request information.</t>
        </is>
      </c>
      <c r="E23" s="952" t="inlineStr">
        <is>
          <t>Request records not available in online systems.</t>
        </is>
      </c>
      <c r="F23" s="952" t="inlineStr">
        <is>
          <t>Yes</t>
        </is>
      </c>
      <c r="G23" s="1188" t="inlineStr">
        <is>
          <t>https://www.arvadaco.gov/247/Records-and-Requests</t>
        </is>
      </c>
      <c r="H23" s="952" t="inlineStr">
        <is>
          <t>Use for parcels inside this jurisdiction; confirm the parcel's actual county before relying on county recorder or assessor records.</t>
        </is>
      </c>
      <c r="I23" s="1129" t="n">
        <v>46213</v>
      </c>
      <c r="J23" s="951" t="inlineStr">
        <is>
          <t>High</t>
        </is>
      </c>
    </row>
    <row r="24" ht="42" customHeight="1">
      <c r="A24" s="952" t="inlineStr">
        <is>
          <t>Aurora</t>
        </is>
      </c>
      <c r="B24" s="952" t="inlineStr">
        <is>
          <t>Official Website</t>
        </is>
      </c>
      <c r="C24" s="952" t="inlineStr">
        <is>
          <t>City of Aurora</t>
        </is>
      </c>
      <c r="D24" s="952" t="inlineStr">
        <is>
          <t>Main city website.</t>
        </is>
      </c>
      <c r="E24" s="952" t="inlineStr">
        <is>
          <t>Navigate city departments and services.</t>
        </is>
      </c>
      <c r="F24" s="952" t="inlineStr">
        <is>
          <t>Yes</t>
        </is>
      </c>
      <c r="G24" s="1188" t="inlineStr">
        <is>
          <t>https://www.auroragov.org/</t>
        </is>
      </c>
      <c r="H24" s="952" t="inlineStr">
        <is>
          <t>Use for parcels inside this jurisdiction; confirm the parcel's actual county before relying on county recorder or assessor records.</t>
        </is>
      </c>
      <c r="I24" s="1129" t="n">
        <v>46213</v>
      </c>
      <c r="J24" s="951" t="inlineStr">
        <is>
          <t>Reference</t>
        </is>
      </c>
    </row>
    <row r="25" ht="42" customHeight="1">
      <c r="A25" s="952" t="inlineStr">
        <is>
          <t>Aurora</t>
        </is>
      </c>
      <c r="B25" s="952" t="inlineStr">
        <is>
          <t>GIS / Property</t>
        </is>
      </c>
      <c r="C25" s="952" t="inlineStr">
        <is>
          <t>Planning and Zoning Maps</t>
        </is>
      </c>
      <c r="D25" s="952" t="inlineStr">
        <is>
          <t>Planning, zoning and related interactive maps.</t>
        </is>
      </c>
      <c r="E25" s="952" t="inlineStr">
        <is>
          <t>Locate zoning, plan areas and mapped land-use information.</t>
        </is>
      </c>
      <c r="F25" s="952" t="inlineStr">
        <is>
          <t>Yes</t>
        </is>
      </c>
      <c r="G25" s="1188" t="inlineStr">
        <is>
          <t>https://www.auroragov.org/city_hall/maps/planning_and_zoning_maps</t>
        </is>
      </c>
      <c r="H25" s="952" t="inlineStr">
        <is>
          <t>Use for parcels inside this jurisdiction; confirm the parcel's actual county before relying on county recorder or assessor records.</t>
        </is>
      </c>
      <c r="I25" s="1129" t="n">
        <v>46213</v>
      </c>
      <c r="J25" s="951" t="inlineStr">
        <is>
          <t>Critical</t>
        </is>
      </c>
    </row>
    <row r="26" ht="42" customHeight="1">
      <c r="A26" s="952" t="inlineStr">
        <is>
          <t>Aurora</t>
        </is>
      </c>
      <c r="B26" s="952" t="inlineStr">
        <is>
          <t>GIS / Open Data</t>
        </is>
      </c>
      <c r="C26" s="952" t="inlineStr">
        <is>
          <t>Aurora Open Data Map Services</t>
        </is>
      </c>
      <c r="D26" s="952" t="inlineStr">
        <is>
          <t>City GIS open-data map services.</t>
        </is>
      </c>
      <c r="E26" s="952" t="inlineStr">
        <is>
          <t>Use detailed GIS layers or connect mapping software.</t>
        </is>
      </c>
      <c r="F26" s="952" t="inlineStr">
        <is>
          <t>Yes</t>
        </is>
      </c>
      <c r="G26" s="1188" t="inlineStr">
        <is>
          <t>https://ags.auroragov.org/aurora/rest/services/OpenData/MapServer</t>
        </is>
      </c>
      <c r="H26" s="952" t="inlineStr">
        <is>
          <t>Use for parcels inside this jurisdiction; confirm the parcel's actual county before relying on county recorder or assessor records.</t>
        </is>
      </c>
      <c r="I26" s="1129" t="n">
        <v>46213</v>
      </c>
      <c r="J26" s="951" t="inlineStr">
        <is>
          <t>Useful</t>
        </is>
      </c>
    </row>
    <row r="27" ht="42" customHeight="1">
      <c r="A27" s="952" t="inlineStr">
        <is>
          <t>Aurora</t>
        </is>
      </c>
      <c r="B27" s="952" t="inlineStr">
        <is>
          <t>Zoning</t>
        </is>
      </c>
      <c r="C27" s="952" t="inlineStr">
        <is>
          <t>Zoning Navigator</t>
        </is>
      </c>
      <c r="D27" s="952" t="inlineStr">
        <is>
          <t>Interactive zoning and development-code navigation.</t>
        </is>
      </c>
      <c r="E27" s="952" t="inlineStr">
        <is>
          <t>Research district standards and applicable regulations.</t>
        </is>
      </c>
      <c r="F27" s="952" t="inlineStr">
        <is>
          <t>Yes</t>
        </is>
      </c>
      <c r="G27" s="1188" t="inlineStr">
        <is>
          <t>https://zoning.auroragov.org/</t>
        </is>
      </c>
      <c r="H27" s="952" t="inlineStr">
        <is>
          <t>Use for parcels inside this jurisdiction; confirm the parcel's actual county before relying on county recorder or assessor records.</t>
        </is>
      </c>
      <c r="I27" s="1129" t="n">
        <v>46213</v>
      </c>
      <c r="J27" s="951" t="inlineStr">
        <is>
          <t>Critical</t>
        </is>
      </c>
    </row>
    <row r="28" ht="42" customHeight="1">
      <c r="A28" s="952" t="inlineStr">
        <is>
          <t>Aurora</t>
        </is>
      </c>
      <c r="B28" s="952" t="inlineStr">
        <is>
          <t>Planning</t>
        </is>
      </c>
      <c r="C28" s="952" t="inlineStr">
        <is>
          <t>Planning</t>
        </is>
      </c>
      <c r="D28" s="952" t="inlineStr">
        <is>
          <t>Planning division resources, plans and land-use services.</t>
        </is>
      </c>
      <c r="E28" s="952" t="inlineStr">
        <is>
          <t>Start zoning or planning research.</t>
        </is>
      </c>
      <c r="F28" s="952" t="inlineStr">
        <is>
          <t>Yes</t>
        </is>
      </c>
      <c r="G28" s="1188" t="inlineStr">
        <is>
          <t>https://www.auroragov.org/business_services/planning</t>
        </is>
      </c>
      <c r="H28" s="952" t="inlineStr">
        <is>
          <t>Use for parcels inside this jurisdiction; confirm the parcel's actual county before relying on county recorder or assessor records.</t>
        </is>
      </c>
      <c r="I28" s="1129" t="n">
        <v>46213</v>
      </c>
      <c r="J28" s="951" t="inlineStr">
        <is>
          <t>Critical</t>
        </is>
      </c>
    </row>
    <row r="29" ht="42" customHeight="1">
      <c r="A29" s="952" t="inlineStr">
        <is>
          <t>Aurora</t>
        </is>
      </c>
      <c r="B29" s="952" t="inlineStr">
        <is>
          <t>Planning</t>
        </is>
      </c>
      <c r="C29" s="952" t="inlineStr">
        <is>
          <t>Planning &amp; Development Services</t>
        </is>
      </c>
      <c r="D29" s="952" t="inlineStr">
        <is>
          <t>Department-level planning, building and development services.</t>
        </is>
      </c>
      <c r="E29" s="952" t="inlineStr">
        <is>
          <t>Navigate project review and development departments.</t>
        </is>
      </c>
      <c r="F29" s="952" t="inlineStr">
        <is>
          <t>Yes</t>
        </is>
      </c>
      <c r="G29" s="1188" t="inlineStr">
        <is>
          <t>https://www.auroragov.org/city_hall/departments/planning___development_services</t>
        </is>
      </c>
      <c r="H29" s="952" t="inlineStr">
        <is>
          <t>Use for parcels inside this jurisdiction; confirm the parcel's actual county before relying on county recorder or assessor records.</t>
        </is>
      </c>
      <c r="I29" s="1129" t="n">
        <v>46213</v>
      </c>
      <c r="J29" s="951" t="inlineStr">
        <is>
          <t>High</t>
        </is>
      </c>
    </row>
    <row r="30" ht="42" customHeight="1">
      <c r="A30" s="952" t="inlineStr">
        <is>
          <t>Aurora</t>
        </is>
      </c>
      <c r="B30" s="952" t="inlineStr">
        <is>
          <t>Code</t>
        </is>
      </c>
      <c r="C30" s="952" t="inlineStr">
        <is>
          <t>Unified Development Ordinance</t>
        </is>
      </c>
      <c r="D30" s="952" t="inlineStr">
        <is>
          <t>Aurora's land-use and zoning ordinance.</t>
        </is>
      </c>
      <c r="E30" s="952" t="inlineStr">
        <is>
          <t>Review permitted uses, districts and development standards.</t>
        </is>
      </c>
      <c r="F30" s="952" t="inlineStr">
        <is>
          <t>Yes</t>
        </is>
      </c>
      <c r="G30" s="1188" t="inlineStr">
        <is>
          <t>https://www.auroragov.org/business_services/development_center/codes_rules/building___zoning_code/unified_development_ordinance</t>
        </is>
      </c>
      <c r="H30" s="952" t="inlineStr">
        <is>
          <t>Use for parcels inside this jurisdiction; confirm the parcel's actual county before relying on county recorder or assessor records.</t>
        </is>
      </c>
      <c r="I30" s="1129" t="n">
        <v>46213</v>
      </c>
      <c r="J30" s="951" t="inlineStr">
        <is>
          <t>Critical</t>
        </is>
      </c>
    </row>
    <row r="31" ht="42" customHeight="1">
      <c r="A31" s="952" t="inlineStr">
        <is>
          <t>Aurora</t>
        </is>
      </c>
      <c r="B31" s="952" t="inlineStr">
        <is>
          <t>Codes</t>
        </is>
      </c>
      <c r="C31" s="952" t="inlineStr">
        <is>
          <t>Building &amp; Zoning Code</t>
        </is>
      </c>
      <c r="D31" s="952" t="inlineStr">
        <is>
          <t>Building and zoning code resources.</t>
        </is>
      </c>
      <c r="E31" s="952" t="inlineStr">
        <is>
          <t>Verify construction and zoning requirements.</t>
        </is>
      </c>
      <c r="F31" s="952" t="inlineStr">
        <is>
          <t>Yes</t>
        </is>
      </c>
      <c r="G31" s="1188" t="inlineStr">
        <is>
          <t>https://www.auroragov.org/business_services/development_center/codes_rules/building___zoning_code</t>
        </is>
      </c>
      <c r="H31" s="952" t="inlineStr">
        <is>
          <t>Use for parcels inside this jurisdiction; confirm the parcel's actual county before relying on county recorder or assessor records.</t>
        </is>
      </c>
      <c r="I31" s="1129" t="n">
        <v>46213</v>
      </c>
      <c r="J31" s="951" t="inlineStr">
        <is>
          <t>High</t>
        </is>
      </c>
    </row>
    <row r="32" ht="42" customHeight="1">
      <c r="A32" s="952" t="inlineStr">
        <is>
          <t>Aurora</t>
        </is>
      </c>
      <c r="B32" s="952" t="inlineStr">
        <is>
          <t>Development</t>
        </is>
      </c>
      <c r="C32" s="952" t="inlineStr">
        <is>
          <t>Project Status Search</t>
        </is>
      </c>
      <c r="D32" s="952" t="inlineStr">
        <is>
          <t>Online search for development project status.</t>
        </is>
      </c>
      <c r="E32" s="952" t="inlineStr">
        <is>
          <t>Check active or historical development review cases.</t>
        </is>
      </c>
      <c r="F32" s="952" t="inlineStr">
        <is>
          <t>Yes</t>
        </is>
      </c>
      <c r="G32" s="1188" t="inlineStr">
        <is>
          <t>https://coaapps.auroragov.org/ProjectStatus/search.aspx</t>
        </is>
      </c>
      <c r="H32" s="952" t="inlineStr">
        <is>
          <t>Use for parcels inside this jurisdiction; confirm the parcel's actual county before relying on county recorder or assessor records.</t>
        </is>
      </c>
      <c r="I32" s="1129" t="n">
        <v>46213</v>
      </c>
      <c r="J32" s="951" t="inlineStr">
        <is>
          <t>Critical</t>
        </is>
      </c>
    </row>
    <row r="33" ht="42" customHeight="1">
      <c r="A33" s="952" t="inlineStr">
        <is>
          <t>Aurora</t>
        </is>
      </c>
      <c r="B33" s="952" t="inlineStr">
        <is>
          <t>Development</t>
        </is>
      </c>
      <c r="C33" s="952" t="inlineStr">
        <is>
          <t>Forms and Applications</t>
        </is>
      </c>
      <c r="D33" s="952" t="inlineStr">
        <is>
          <t>Development-center forms and applications.</t>
        </is>
      </c>
      <c r="E33" s="952" t="inlineStr">
        <is>
          <t>Identify required land-use and development submittals.</t>
        </is>
      </c>
      <c r="F33" s="952" t="inlineStr">
        <is>
          <t>Yes</t>
        </is>
      </c>
      <c r="G33" s="1188" t="inlineStr">
        <is>
          <t>https://www.auroragov.org/business_services/development_center/development_process/forms_and_applications</t>
        </is>
      </c>
      <c r="H33" s="952" t="inlineStr">
        <is>
          <t>Use for parcels inside this jurisdiction; confirm the parcel's actual county before relying on county recorder or assessor records.</t>
        </is>
      </c>
      <c r="I33" s="1129" t="n">
        <v>46213</v>
      </c>
      <c r="J33" s="951" t="inlineStr">
        <is>
          <t>High</t>
        </is>
      </c>
    </row>
    <row r="34" ht="42" customHeight="1">
      <c r="A34" s="952" t="inlineStr">
        <is>
          <t>Aurora</t>
        </is>
      </c>
      <c r="B34" s="952" t="inlineStr">
        <is>
          <t>Development</t>
        </is>
      </c>
      <c r="C34" s="952" t="inlineStr">
        <is>
          <t>Projects, Plans &amp; Studies</t>
        </is>
      </c>
      <c r="D34" s="952" t="inlineStr">
        <is>
          <t>Current and adopted planning projects and studies.</t>
        </is>
      </c>
      <c r="E34" s="952" t="inlineStr">
        <is>
          <t>Track area plans, corridor studies and policy changes.</t>
        </is>
      </c>
      <c r="F34" s="952" t="inlineStr">
        <is>
          <t>Yes</t>
        </is>
      </c>
      <c r="G34" s="1188" t="inlineStr">
        <is>
          <t>https://www.auroragov.org/business_services/planning/projects__plans___studies</t>
        </is>
      </c>
      <c r="H34" s="952" t="inlineStr">
        <is>
          <t>Use for parcels inside this jurisdiction; confirm the parcel's actual county before relying on county recorder or assessor records.</t>
        </is>
      </c>
      <c r="I34" s="1129" t="n">
        <v>46213</v>
      </c>
      <c r="J34" s="951" t="inlineStr">
        <is>
          <t>High</t>
        </is>
      </c>
    </row>
    <row r="35" ht="42" customHeight="1">
      <c r="A35" s="952" t="inlineStr">
        <is>
          <t>Aurora</t>
        </is>
      </c>
      <c r="B35" s="952" t="inlineStr">
        <is>
          <t>Long-Range Planning</t>
        </is>
      </c>
      <c r="C35" s="952" t="inlineStr">
        <is>
          <t>Comprehensive Plan</t>
        </is>
      </c>
      <c r="D35" s="952" t="inlineStr">
        <is>
          <t>Aurora comprehensive-plan resources.</t>
        </is>
      </c>
      <c r="E35" s="952" t="inlineStr">
        <is>
          <t>Evaluate future land-use and policy direction.</t>
        </is>
      </c>
      <c r="F35" s="952" t="inlineStr">
        <is>
          <t>Yes</t>
        </is>
      </c>
      <c r="G35" s="1188" t="inlineStr">
        <is>
          <t>https://www.auroragov.org/business_services/planning/projects__plans___studies/comprehensive_plan</t>
        </is>
      </c>
      <c r="H35" s="952" t="inlineStr">
        <is>
          <t>Use for parcels inside this jurisdiction; confirm the parcel's actual county before relying on county recorder or assessor records.</t>
        </is>
      </c>
      <c r="I35" s="1129" t="n">
        <v>46213</v>
      </c>
      <c r="J35" s="951" t="inlineStr">
        <is>
          <t>High</t>
        </is>
      </c>
    </row>
    <row r="36" ht="42" customHeight="1">
      <c r="A36" s="952" t="inlineStr">
        <is>
          <t>Aurora</t>
        </is>
      </c>
      <c r="B36" s="952" t="inlineStr">
        <is>
          <t>Neighborhood Planning</t>
        </is>
      </c>
      <c r="C36" s="952" t="inlineStr">
        <is>
          <t>Neighborhood Planning</t>
        </is>
      </c>
      <c r="D36" s="952" t="inlineStr">
        <is>
          <t>Area and neighborhood plan information.</t>
        </is>
      </c>
      <c r="E36" s="952" t="inlineStr">
        <is>
          <t>Research smaller-area plans affecting a parcel.</t>
        </is>
      </c>
      <c r="F36" s="952" t="inlineStr">
        <is>
          <t>Yes</t>
        </is>
      </c>
      <c r="G36" s="1188" t="inlineStr">
        <is>
          <t>https://www.auroragov.org/residents/neighborhood_planning</t>
        </is>
      </c>
      <c r="H36" s="952" t="inlineStr">
        <is>
          <t>Use for parcels inside this jurisdiction; confirm the parcel's actual county before relying on county recorder or assessor records.</t>
        </is>
      </c>
      <c r="I36" s="1129" t="n">
        <v>46213</v>
      </c>
      <c r="J36" s="951" t="inlineStr">
        <is>
          <t>Useful</t>
        </is>
      </c>
    </row>
    <row r="37" ht="42" customHeight="1">
      <c r="A37" s="952" t="inlineStr">
        <is>
          <t>Aurora</t>
        </is>
      </c>
      <c r="B37" s="952" t="inlineStr">
        <is>
          <t>Permits</t>
        </is>
      </c>
      <c r="C37" s="952" t="inlineStr">
        <is>
          <t>Building Permits</t>
        </is>
      </c>
      <c r="D37" s="952" t="inlineStr">
        <is>
          <t>Building permit information and application guidance.</t>
        </is>
      </c>
      <c r="E37" s="952" t="inlineStr">
        <is>
          <t>Check permit requirements and application paths.</t>
        </is>
      </c>
      <c r="F37" s="952" t="inlineStr">
        <is>
          <t>Yes</t>
        </is>
      </c>
      <c r="G37" s="1188" t="inlineStr">
        <is>
          <t>https://www.auroragov.org/business_services/building_division/permits</t>
        </is>
      </c>
      <c r="H37" s="952" t="inlineStr">
        <is>
          <t>Use for parcels inside this jurisdiction; confirm the parcel's actual county before relying on county recorder or assessor records.</t>
        </is>
      </c>
      <c r="I37" s="1129" t="n">
        <v>46213</v>
      </c>
      <c r="J37" s="951" t="inlineStr">
        <is>
          <t>Critical</t>
        </is>
      </c>
    </row>
    <row r="38" ht="42" customHeight="1">
      <c r="A38" s="952" t="inlineStr">
        <is>
          <t>Aurora</t>
        </is>
      </c>
      <c r="B38" s="952" t="inlineStr">
        <is>
          <t>Permits</t>
        </is>
      </c>
      <c r="C38" s="952" t="inlineStr">
        <is>
          <t>Development Center Permitting</t>
        </is>
      </c>
      <c r="D38" s="952" t="inlineStr">
        <is>
          <t>Development permitting and online processes.</t>
        </is>
      </c>
      <c r="E38" s="952" t="inlineStr">
        <is>
          <t>Manage or research development-related permits.</t>
        </is>
      </c>
      <c r="F38" s="952" t="inlineStr">
        <is>
          <t>Yes</t>
        </is>
      </c>
      <c r="G38" s="1188" t="inlineStr">
        <is>
          <t>https://www.auroragov.org/business_services/development_center/permitting</t>
        </is>
      </c>
      <c r="H38" s="952" t="inlineStr">
        <is>
          <t>Use for parcels inside this jurisdiction; confirm the parcel's actual county before relying on county recorder or assessor records.</t>
        </is>
      </c>
      <c r="I38" s="1129" t="n">
        <v>46213</v>
      </c>
      <c r="J38" s="951" t="inlineStr">
        <is>
          <t>High</t>
        </is>
      </c>
    </row>
    <row r="39" ht="42" customHeight="1">
      <c r="A39" s="952" t="inlineStr">
        <is>
          <t>Aurora</t>
        </is>
      </c>
      <c r="B39" s="952" t="inlineStr">
        <is>
          <t>Online Portal</t>
        </is>
      </c>
      <c r="C39" s="952" t="inlineStr">
        <is>
          <t>Aurora4Biz</t>
        </is>
      </c>
      <c r="D39" s="952" t="inlineStr">
        <is>
          <t>Online business, permit and licensing services.</t>
        </is>
      </c>
      <c r="E39" s="952" t="inlineStr">
        <is>
          <t>Access city permitting and business services.</t>
        </is>
      </c>
      <c r="F39" s="952" t="inlineStr">
        <is>
          <t>Yes</t>
        </is>
      </c>
      <c r="G39" s="1188" t="inlineStr">
        <is>
          <t>https://www.auroragov.org/business_services/aurora4biz</t>
        </is>
      </c>
      <c r="H39" s="952" t="inlineStr">
        <is>
          <t>Use for parcels inside this jurisdiction; confirm the parcel's actual county before relying on county recorder or assessor records.</t>
        </is>
      </c>
      <c r="I39" s="1129" t="n">
        <v>46213</v>
      </c>
      <c r="J39" s="951" t="inlineStr">
        <is>
          <t>High</t>
        </is>
      </c>
    </row>
    <row r="40" ht="42" customHeight="1">
      <c r="A40" s="952" t="inlineStr">
        <is>
          <t>Aurora</t>
        </is>
      </c>
      <c r="B40" s="952" t="inlineStr">
        <is>
          <t>Meetings</t>
        </is>
      </c>
      <c r="C40" s="952" t="inlineStr">
        <is>
          <t>Planning &amp; Zoning Commission</t>
        </is>
      </c>
      <c r="D40" s="952" t="inlineStr">
        <is>
          <t>Commission schedules, records and participation information.</t>
        </is>
      </c>
      <c r="E40" s="952" t="inlineStr">
        <is>
          <t>Monitor land-use hearings and recommendations.</t>
        </is>
      </c>
      <c r="F40" s="952" t="inlineStr">
        <is>
          <t>Yes</t>
        </is>
      </c>
      <c r="G40" s="1188" t="inlineStr">
        <is>
          <t>https://www.auroragov.org/city_hall/boards___commissions/planning___zoning_commission</t>
        </is>
      </c>
      <c r="H40" s="952" t="inlineStr">
        <is>
          <t>Use for parcels inside this jurisdiction; confirm the parcel's actual county before relying on county recorder or assessor records.</t>
        </is>
      </c>
      <c r="I40" s="1129" t="n">
        <v>46213</v>
      </c>
      <c r="J40" s="951" t="inlineStr">
        <is>
          <t>High</t>
        </is>
      </c>
    </row>
    <row r="41" ht="42" customHeight="1">
      <c r="A41" s="952" t="inlineStr">
        <is>
          <t>Aurora</t>
        </is>
      </c>
      <c r="B41" s="952" t="inlineStr">
        <is>
          <t>Meetings</t>
        </is>
      </c>
      <c r="C41" s="952" t="inlineStr">
        <is>
          <t>City Council Meetings</t>
        </is>
      </c>
      <c r="D41" s="952" t="inlineStr">
        <is>
          <t>Council meeting agendas and records.</t>
        </is>
      </c>
      <c r="E41" s="952" t="inlineStr">
        <is>
          <t>Track final legislative and land-use actions.</t>
        </is>
      </c>
      <c r="F41" s="952" t="inlineStr">
        <is>
          <t>Yes</t>
        </is>
      </c>
      <c r="G41" s="1188" t="inlineStr">
        <is>
          <t>https://www.auroragov.org/city_hall/mayor___city_council/council_meetings</t>
        </is>
      </c>
      <c r="H41" s="952" t="inlineStr">
        <is>
          <t>Use for parcels inside this jurisdiction; confirm the parcel's actual county before relying on county recorder or assessor records.</t>
        </is>
      </c>
      <c r="I41" s="1129" t="n">
        <v>46213</v>
      </c>
      <c r="J41" s="951" t="inlineStr">
        <is>
          <t>High</t>
        </is>
      </c>
    </row>
    <row r="42" ht="42" customHeight="1">
      <c r="A42" s="952" t="inlineStr">
        <is>
          <t>Aurora</t>
        </is>
      </c>
      <c r="B42" s="952" t="inlineStr">
        <is>
          <t>Public Notices</t>
        </is>
      </c>
      <c r="C42" s="952" t="inlineStr">
        <is>
          <t>Public Hearings</t>
        </is>
      </c>
      <c r="D42" s="952" t="inlineStr">
        <is>
          <t>Official public-hearing notices.</t>
        </is>
      </c>
      <c r="E42" s="952" t="inlineStr">
        <is>
          <t>Confirm hearing dates, applications and public-comment opportunities.</t>
        </is>
      </c>
      <c r="F42" s="952" t="inlineStr">
        <is>
          <t>Yes</t>
        </is>
      </c>
      <c r="G42" s="1188" t="inlineStr">
        <is>
          <t>https://www.auroragov.org/city_hall/public_records/legal_notices/public_hearings</t>
        </is>
      </c>
      <c r="H42" s="952" t="inlineStr">
        <is>
          <t>Use for parcels inside this jurisdiction; confirm the parcel's actual county before relying on county recorder or assessor records.</t>
        </is>
      </c>
      <c r="I42" s="1129" t="n">
        <v>46213</v>
      </c>
      <c r="J42" s="951" t="inlineStr">
        <is>
          <t>High</t>
        </is>
      </c>
    </row>
    <row r="43" ht="42" customHeight="1">
      <c r="A43" s="952" t="inlineStr">
        <is>
          <t>Aurora</t>
        </is>
      </c>
      <c r="B43" s="952" t="inlineStr">
        <is>
          <t>Public Records</t>
        </is>
      </c>
      <c r="C43" s="952" t="inlineStr">
        <is>
          <t>Public Records</t>
        </is>
      </c>
      <c r="D43" s="952" t="inlineStr">
        <is>
          <t>Codes, ordinances, records and legal-notice navigation.</t>
        </is>
      </c>
      <c r="E43" s="952" t="inlineStr">
        <is>
          <t>Request or retrieve official city records.</t>
        </is>
      </c>
      <c r="F43" s="952" t="inlineStr">
        <is>
          <t>Yes</t>
        </is>
      </c>
      <c r="G43" s="1188" t="inlineStr">
        <is>
          <t>https://www.auroragov.org/city_hall/public_records</t>
        </is>
      </c>
      <c r="H43" s="952" t="inlineStr">
        <is>
          <t>Use for parcels inside this jurisdiction; confirm the parcel's actual county before relying on county recorder or assessor records.</t>
        </is>
      </c>
      <c r="I43" s="1129" t="n">
        <v>46213</v>
      </c>
      <c r="J43" s="951" t="inlineStr">
        <is>
          <t>High</t>
        </is>
      </c>
    </row>
    <row r="44" ht="42" customHeight="1">
      <c r="A44" s="952" t="inlineStr">
        <is>
          <t>Aurora</t>
        </is>
      </c>
      <c r="B44" s="952" t="inlineStr">
        <is>
          <t>News</t>
        </is>
      </c>
      <c r="C44" s="952" t="inlineStr">
        <is>
          <t>What's New</t>
        </is>
      </c>
      <c r="D44" s="952" t="inlineStr">
        <is>
          <t>Official city news and announcements.</t>
        </is>
      </c>
      <c r="E44" s="952" t="inlineStr">
        <is>
          <t>Monitor city changes, projects and public initiatives.</t>
        </is>
      </c>
      <c r="F44" s="952" t="inlineStr">
        <is>
          <t>Yes</t>
        </is>
      </c>
      <c r="G44" s="1188" t="inlineStr">
        <is>
          <t>https://www.auroragov.org/news/whats_new</t>
        </is>
      </c>
      <c r="H44" s="952" t="inlineStr">
        <is>
          <t>Use for parcels inside this jurisdiction; confirm the parcel's actual county before relying on county recorder or assessor records.</t>
        </is>
      </c>
      <c r="I44" s="1129" t="n">
        <v>46213</v>
      </c>
      <c r="J44" s="951" t="inlineStr">
        <is>
          <t>Useful</t>
        </is>
      </c>
    </row>
    <row r="45" ht="42" customHeight="1">
      <c r="A45" s="952" t="inlineStr">
        <is>
          <t>Bennett</t>
        </is>
      </c>
      <c r="B45" s="952" t="inlineStr">
        <is>
          <t>Official Website</t>
        </is>
      </c>
      <c r="C45" s="952" t="inlineStr">
        <is>
          <t>Town of Bennett</t>
        </is>
      </c>
      <c r="D45" s="952" t="inlineStr">
        <is>
          <t>Main town website.</t>
        </is>
      </c>
      <c r="E45" s="952" t="inlineStr">
        <is>
          <t>Navigate municipal services and updates.</t>
        </is>
      </c>
      <c r="F45" s="952" t="inlineStr">
        <is>
          <t>Yes</t>
        </is>
      </c>
      <c r="G45" s="1188" t="inlineStr">
        <is>
          <t>https://www.bennettco.gov/</t>
        </is>
      </c>
      <c r="H45" s="952" t="inlineStr">
        <is>
          <t>Use for parcels inside this jurisdiction; confirm the parcel's actual county before relying on county recorder or assessor records.</t>
        </is>
      </c>
      <c r="I45" s="1129" t="n">
        <v>46213</v>
      </c>
      <c r="J45" s="951" t="inlineStr">
        <is>
          <t>Reference</t>
        </is>
      </c>
    </row>
    <row r="46" ht="42" customHeight="1">
      <c r="A46" s="952" t="inlineStr">
        <is>
          <t>Bennett</t>
        </is>
      </c>
      <c r="B46" s="952" t="inlineStr">
        <is>
          <t>Zoning</t>
        </is>
      </c>
      <c r="C46" s="952" t="inlineStr">
        <is>
          <t>Bennett Zoning Map</t>
        </is>
      </c>
      <c r="D46" s="952" t="inlineStr">
        <is>
          <t>Official town zoning map.</t>
        </is>
      </c>
      <c r="E46" s="952" t="inlineStr">
        <is>
          <t>Identify the zoning district for a property.</t>
        </is>
      </c>
      <c r="F46" s="952" t="inlineStr">
        <is>
          <t>Yes</t>
        </is>
      </c>
      <c r="G46" s="1188" t="inlineStr">
        <is>
          <t>https://www.bennettco.gov/business/page/bennett-zoning-map</t>
        </is>
      </c>
      <c r="H46" s="952" t="inlineStr">
        <is>
          <t>Use for parcels inside this jurisdiction; confirm the parcel's actual county before relying on county recorder or assessor records.</t>
        </is>
      </c>
      <c r="I46" s="1129" t="n">
        <v>46213</v>
      </c>
      <c r="J46" s="951" t="inlineStr">
        <is>
          <t>Critical</t>
        </is>
      </c>
    </row>
    <row r="47" ht="42" customHeight="1">
      <c r="A47" s="952" t="inlineStr">
        <is>
          <t>Bennett</t>
        </is>
      </c>
      <c r="B47" s="952" t="inlineStr">
        <is>
          <t>Planning</t>
        </is>
      </c>
      <c r="C47" s="952" t="inlineStr">
        <is>
          <t>Planning and Zoning</t>
        </is>
      </c>
      <c r="D47" s="952" t="inlineStr">
        <is>
          <t>Planning and zoning services, forms and guidance.</t>
        </is>
      </c>
      <c r="E47" s="952" t="inlineStr">
        <is>
          <t>Start land-use and entitlement research.</t>
        </is>
      </c>
      <c r="F47" s="952" t="inlineStr">
        <is>
          <t>Yes</t>
        </is>
      </c>
      <c r="G47" s="1188" t="inlineStr">
        <is>
          <t>https://www.bennettco.gov/planning-economic-development/page/planning-and-zoning</t>
        </is>
      </c>
      <c r="H47" s="952" t="inlineStr">
        <is>
          <t>Use for parcels inside this jurisdiction; confirm the parcel's actual county before relying on county recorder or assessor records.</t>
        </is>
      </c>
      <c r="I47" s="1129" t="n">
        <v>46213</v>
      </c>
      <c r="J47" s="951" t="inlineStr">
        <is>
          <t>Critical</t>
        </is>
      </c>
    </row>
    <row r="48" ht="42" customHeight="1">
      <c r="A48" s="952" t="inlineStr">
        <is>
          <t>Bennett</t>
        </is>
      </c>
      <c r="B48" s="952" t="inlineStr">
        <is>
          <t>Planning</t>
        </is>
      </c>
      <c r="C48" s="952" t="inlineStr">
        <is>
          <t>Planning &amp; Economic Development</t>
        </is>
      </c>
      <c r="D48" s="952" t="inlineStr">
        <is>
          <t>Department-level planning and economic-development resources.</t>
        </is>
      </c>
      <c r="E48" s="952" t="inlineStr">
        <is>
          <t>Find staff, plans and development assistance.</t>
        </is>
      </c>
      <c r="F48" s="952" t="inlineStr">
        <is>
          <t>Yes</t>
        </is>
      </c>
      <c r="G48" s="1188" t="inlineStr">
        <is>
          <t>https://www.bennettco.gov/planning-economic-development</t>
        </is>
      </c>
      <c r="H48" s="952" t="inlineStr">
        <is>
          <t>Use for parcels inside this jurisdiction; confirm the parcel's actual county before relying on county recorder or assessor records.</t>
        </is>
      </c>
      <c r="I48" s="1129" t="n">
        <v>46213</v>
      </c>
      <c r="J48" s="951" t="inlineStr">
        <is>
          <t>High</t>
        </is>
      </c>
    </row>
    <row r="49" ht="42" customHeight="1">
      <c r="A49" s="952" t="inlineStr">
        <is>
          <t>Bennett</t>
        </is>
      </c>
      <c r="B49" s="952" t="inlineStr">
        <is>
          <t>Code</t>
        </is>
      </c>
      <c r="C49" s="952" t="inlineStr">
        <is>
          <t>Zoning and Subdivision Regulations</t>
        </is>
      </c>
      <c r="D49" s="952" t="inlineStr">
        <is>
          <t>Town zoning and subdivision regulations.</t>
        </is>
      </c>
      <c r="E49" s="952" t="inlineStr">
        <is>
          <t>Review allowed uses, lot standards and subdivision rules.</t>
        </is>
      </c>
      <c r="F49" s="952" t="inlineStr">
        <is>
          <t>Yes</t>
        </is>
      </c>
      <c r="G49" s="1188" t="inlineStr">
        <is>
          <t>https://www.bennettco.gov/planning-economic-development/page/zoning-and-subdivision-regulations</t>
        </is>
      </c>
      <c r="H49" s="952" t="inlineStr">
        <is>
          <t>Use for parcels inside this jurisdiction; confirm the parcel's actual county before relying on county recorder or assessor records.</t>
        </is>
      </c>
      <c r="I49" s="1129" t="n">
        <v>46213</v>
      </c>
      <c r="J49" s="951" t="inlineStr">
        <is>
          <t>Critical</t>
        </is>
      </c>
    </row>
    <row r="50" ht="42" customHeight="1">
      <c r="A50" s="952" t="inlineStr">
        <is>
          <t>Bennett</t>
        </is>
      </c>
      <c r="B50" s="952" t="inlineStr">
        <is>
          <t>Development</t>
        </is>
      </c>
      <c r="C50" s="952" t="inlineStr">
        <is>
          <t>Development Portal</t>
        </is>
      </c>
      <c r="D50" s="952" t="inlineStr">
        <is>
          <t>Development applications, projects and related tools.</t>
        </is>
      </c>
      <c r="E50" s="952" t="inlineStr">
        <is>
          <t>Begin project and entitlement research.</t>
        </is>
      </c>
      <c r="F50" s="952" t="inlineStr">
        <is>
          <t>Yes</t>
        </is>
      </c>
      <c r="G50" s="1188" t="inlineStr">
        <is>
          <t>https://www.bennettco.gov/development</t>
        </is>
      </c>
      <c r="H50" s="952" t="inlineStr">
        <is>
          <t>Use for parcels inside this jurisdiction; confirm the parcel's actual county before relying on county recorder or assessor records.</t>
        </is>
      </c>
      <c r="I50" s="1129" t="n">
        <v>46213</v>
      </c>
      <c r="J50" s="951" t="inlineStr">
        <is>
          <t>High</t>
        </is>
      </c>
    </row>
    <row r="51" ht="42" customHeight="1">
      <c r="A51" s="952" t="inlineStr">
        <is>
          <t>Bennett</t>
        </is>
      </c>
      <c r="B51" s="952" t="inlineStr">
        <is>
          <t>Development</t>
        </is>
      </c>
      <c r="C51" s="952" t="inlineStr">
        <is>
          <t>Active Projects</t>
        </is>
      </c>
      <c r="D51" s="952" t="inlineStr">
        <is>
          <t>Current town projects and development information.</t>
        </is>
      </c>
      <c r="E51" s="952" t="inlineStr">
        <is>
          <t>Monitor infrastructure and development activity.</t>
        </is>
      </c>
      <c r="F51" s="952" t="inlineStr">
        <is>
          <t>Yes</t>
        </is>
      </c>
      <c r="G51" s="1188" t="inlineStr">
        <is>
          <t>https://www.bennettco.gov/projects</t>
        </is>
      </c>
      <c r="H51" s="952" t="inlineStr">
        <is>
          <t>Use for parcels inside this jurisdiction; confirm the parcel's actual county before relying on county recorder or assessor records.</t>
        </is>
      </c>
      <c r="I51" s="1129" t="n">
        <v>46213</v>
      </c>
      <c r="J51" s="951" t="inlineStr">
        <is>
          <t>High</t>
        </is>
      </c>
    </row>
    <row r="52" ht="42" customHeight="1">
      <c r="A52" s="952" t="inlineStr">
        <is>
          <t>Bennett</t>
        </is>
      </c>
      <c r="B52" s="952" t="inlineStr">
        <is>
          <t>Development</t>
        </is>
      </c>
      <c r="C52" s="952" t="inlineStr">
        <is>
          <t>Applicant Guides</t>
        </is>
      </c>
      <c r="D52" s="952" t="inlineStr">
        <is>
          <t>Guides for planning and development applications.</t>
        </is>
      </c>
      <c r="E52" s="952" t="inlineStr">
        <is>
          <t>Understand application standards and submittals.</t>
        </is>
      </c>
      <c r="F52" s="952" t="inlineStr">
        <is>
          <t>Yes</t>
        </is>
      </c>
      <c r="G52" s="1188" t="inlineStr">
        <is>
          <t>https://www.bennettco.gov/planning-economic-development/page/applicant-guides</t>
        </is>
      </c>
      <c r="H52" s="952" t="inlineStr">
        <is>
          <t>Use for parcels inside this jurisdiction; confirm the parcel's actual county before relying on county recorder or assessor records.</t>
        </is>
      </c>
      <c r="I52" s="1129" t="n">
        <v>46213</v>
      </c>
      <c r="J52" s="951" t="inlineStr">
        <is>
          <t>High</t>
        </is>
      </c>
    </row>
    <row r="53" ht="42" customHeight="1">
      <c r="A53" s="952" t="inlineStr">
        <is>
          <t>Bennett</t>
        </is>
      </c>
      <c r="B53" s="952" t="inlineStr">
        <is>
          <t>Permits</t>
        </is>
      </c>
      <c r="C53" s="952" t="inlineStr">
        <is>
          <t>Self-Service Guide: Permits and Zoning</t>
        </is>
      </c>
      <c r="D53" s="952" t="inlineStr">
        <is>
          <t>Online guidance for permits and zoning services.</t>
        </is>
      </c>
      <c r="E53" s="952" t="inlineStr">
        <is>
          <t>Navigate permit and zoning requests.</t>
        </is>
      </c>
      <c r="F53" s="952" t="inlineStr">
        <is>
          <t>Yes</t>
        </is>
      </c>
      <c r="G53" s="1188" t="inlineStr">
        <is>
          <t>https://www.bennettco.gov/community-development/page/self-service-guide-permits-and-zoning</t>
        </is>
      </c>
      <c r="H53" s="952" t="inlineStr">
        <is>
          <t>Use for parcels inside this jurisdiction; confirm the parcel's actual county before relying on county recorder or assessor records.</t>
        </is>
      </c>
      <c r="I53" s="1129" t="n">
        <v>46213</v>
      </c>
      <c r="J53" s="951" t="inlineStr">
        <is>
          <t>High</t>
        </is>
      </c>
    </row>
    <row r="54" ht="42" customHeight="1">
      <c r="A54" s="952" t="inlineStr">
        <is>
          <t>Bennett</t>
        </is>
      </c>
      <c r="B54" s="952" t="inlineStr">
        <is>
          <t>Permits</t>
        </is>
      </c>
      <c r="C54" s="952" t="inlineStr">
        <is>
          <t>Building Department</t>
        </is>
      </c>
      <c r="D54" s="952" t="inlineStr">
        <is>
          <t>Building permits, inspections and code information.</t>
        </is>
      </c>
      <c r="E54" s="952" t="inlineStr">
        <is>
          <t>Research construction permitting.</t>
        </is>
      </c>
      <c r="F54" s="952" t="inlineStr">
        <is>
          <t>Yes</t>
        </is>
      </c>
      <c r="G54" s="1188" t="inlineStr">
        <is>
          <t>https://www.bennettco.gov/community-development/page/building-department</t>
        </is>
      </c>
      <c r="H54" s="952" t="inlineStr">
        <is>
          <t>Use for parcels inside this jurisdiction; confirm the parcel's actual county before relying on county recorder or assessor records.</t>
        </is>
      </c>
      <c r="I54" s="1129" t="n">
        <v>46213</v>
      </c>
      <c r="J54" s="951" t="inlineStr">
        <is>
          <t>Critical</t>
        </is>
      </c>
    </row>
    <row r="55" ht="42" customHeight="1">
      <c r="A55" s="952" t="inlineStr">
        <is>
          <t>Bennett</t>
        </is>
      </c>
      <c r="B55" s="952" t="inlineStr">
        <is>
          <t>Permits</t>
        </is>
      </c>
      <c r="C55" s="952" t="inlineStr">
        <is>
          <t>How to Obtain a Permit</t>
        </is>
      </c>
      <c r="D55" s="952" t="inlineStr">
        <is>
          <t>Step-by-step permit guidance.</t>
        </is>
      </c>
      <c r="E55" s="952" t="inlineStr">
        <is>
          <t>Prepare a building permit application.</t>
        </is>
      </c>
      <c r="F55" s="952" t="inlineStr">
        <is>
          <t>Yes</t>
        </is>
      </c>
      <c r="G55" s="1188" t="inlineStr">
        <is>
          <t>https://www.bennettco.gov/community-development/page/how-obtain-permit</t>
        </is>
      </c>
      <c r="H55" s="952" t="inlineStr">
        <is>
          <t>Use for parcels inside this jurisdiction; confirm the parcel's actual county before relying on county recorder or assessor records.</t>
        </is>
      </c>
      <c r="I55" s="1129" t="n">
        <v>46213</v>
      </c>
      <c r="J55" s="951" t="inlineStr">
        <is>
          <t>High</t>
        </is>
      </c>
    </row>
    <row r="56" ht="42" customHeight="1">
      <c r="A56" s="952" t="inlineStr">
        <is>
          <t>Bennett</t>
        </is>
      </c>
      <c r="B56" s="952" t="inlineStr">
        <is>
          <t>Long-Range Planning</t>
        </is>
      </c>
      <c r="C56" s="952" t="inlineStr">
        <is>
          <t>Master Plans and Guiding Documents</t>
        </is>
      </c>
      <c r="D56" s="952" t="inlineStr">
        <is>
          <t>Town master plans and policy documents.</t>
        </is>
      </c>
      <c r="E56" s="952" t="inlineStr">
        <is>
          <t>Evaluate future land-use and infrastructure direction.</t>
        </is>
      </c>
      <c r="F56" s="952" t="inlineStr">
        <is>
          <t>Yes</t>
        </is>
      </c>
      <c r="G56" s="1188" t="inlineStr">
        <is>
          <t>https://www.bennettco.gov/planning-economic-development/page/master-plans-and-guiding-documents</t>
        </is>
      </c>
      <c r="H56" s="952" t="inlineStr">
        <is>
          <t>Use for parcels inside this jurisdiction; confirm the parcel's actual county before relying on county recorder or assessor records.</t>
        </is>
      </c>
      <c r="I56" s="1129" t="n">
        <v>46213</v>
      </c>
      <c r="J56" s="951" t="inlineStr">
        <is>
          <t>High</t>
        </is>
      </c>
    </row>
    <row r="57" ht="42" customHeight="1">
      <c r="A57" s="952" t="inlineStr">
        <is>
          <t>Bennett</t>
        </is>
      </c>
      <c r="B57" s="952" t="inlineStr">
        <is>
          <t>Meetings</t>
        </is>
      </c>
      <c r="C57" s="952" t="inlineStr">
        <is>
          <t>Planning &amp; Zoning Commission</t>
        </is>
      </c>
      <c r="D57" s="952" t="inlineStr">
        <is>
          <t>Commission information and meeting resources.</t>
        </is>
      </c>
      <c r="E57" s="952" t="inlineStr">
        <is>
          <t>Monitor planning hearings and recommendations.</t>
        </is>
      </c>
      <c r="F57" s="952" t="inlineStr">
        <is>
          <t>Yes</t>
        </is>
      </c>
      <c r="G57" s="1188" t="inlineStr">
        <is>
          <t>https://www.bennettco.gov/planning-and-zoning-commission</t>
        </is>
      </c>
      <c r="H57" s="952" t="inlineStr">
        <is>
          <t>Use for parcels inside this jurisdiction; confirm the parcel's actual county before relying on county recorder or assessor records.</t>
        </is>
      </c>
      <c r="I57" s="1129" t="n">
        <v>46213</v>
      </c>
      <c r="J57" s="951" t="inlineStr">
        <is>
          <t>High</t>
        </is>
      </c>
    </row>
    <row r="58" ht="42" customHeight="1">
      <c r="A58" s="952" t="inlineStr">
        <is>
          <t>Bennett</t>
        </is>
      </c>
      <c r="B58" s="952" t="inlineStr">
        <is>
          <t>Meetings</t>
        </is>
      </c>
      <c r="C58" s="952" t="inlineStr">
        <is>
          <t>Recent Meetings</t>
        </is>
      </c>
      <c r="D58" s="952" t="inlineStr">
        <is>
          <t>Agendas and meeting records.</t>
        </is>
      </c>
      <c r="E58" s="952" t="inlineStr">
        <is>
          <t>Track board and commission actions.</t>
        </is>
      </c>
      <c r="F58" s="952" t="inlineStr">
        <is>
          <t>Yes</t>
        </is>
      </c>
      <c r="G58" s="1188" t="inlineStr">
        <is>
          <t>https://www.bennettco.gov/meetings/recent</t>
        </is>
      </c>
      <c r="H58" s="952" t="inlineStr">
        <is>
          <t>Use for parcels inside this jurisdiction; confirm the parcel's actual county before relying on county recorder or assessor records.</t>
        </is>
      </c>
      <c r="I58" s="1129" t="n">
        <v>46213</v>
      </c>
      <c r="J58" s="951" t="inlineStr">
        <is>
          <t>High</t>
        </is>
      </c>
    </row>
    <row r="59" ht="42" customHeight="1">
      <c r="A59" s="952" t="inlineStr">
        <is>
          <t>Bennett</t>
        </is>
      </c>
      <c r="B59" s="952" t="inlineStr">
        <is>
          <t>Public Records</t>
        </is>
      </c>
      <c r="C59" s="952" t="inlineStr">
        <is>
          <t>Public Records</t>
        </is>
      </c>
      <c r="D59" s="952" t="inlineStr">
        <is>
          <t>Town public-records request information.</t>
        </is>
      </c>
      <c r="E59" s="952" t="inlineStr">
        <is>
          <t>Obtain records not posted online.</t>
        </is>
      </c>
      <c r="F59" s="952" t="inlineStr">
        <is>
          <t>Yes</t>
        </is>
      </c>
      <c r="G59" s="1188" t="inlineStr">
        <is>
          <t>https://www.bennettco.gov/town-clerk/page/public-records</t>
        </is>
      </c>
      <c r="H59" s="952" t="inlineStr">
        <is>
          <t>Use for parcels inside this jurisdiction; confirm the parcel's actual county before relying on county recorder or assessor records.</t>
        </is>
      </c>
      <c r="I59" s="1129" t="n">
        <v>46213</v>
      </c>
      <c r="J59" s="951" t="inlineStr">
        <is>
          <t>High</t>
        </is>
      </c>
    </row>
    <row r="60" ht="42" customHeight="1">
      <c r="A60" s="952" t="inlineStr">
        <is>
          <t>Bennett</t>
        </is>
      </c>
      <c r="B60" s="952" t="inlineStr">
        <is>
          <t>News</t>
        </is>
      </c>
      <c r="C60" s="952" t="inlineStr">
        <is>
          <t>Town News</t>
        </is>
      </c>
      <c r="D60" s="952" t="inlineStr">
        <is>
          <t>Official Bennett news and notices.</t>
        </is>
      </c>
      <c r="E60" s="952" t="inlineStr">
        <is>
          <t>Monitor code, permit, project and public-service updates.</t>
        </is>
      </c>
      <c r="F60" s="952" t="inlineStr">
        <is>
          <t>Yes</t>
        </is>
      </c>
      <c r="G60" s="1188" t="inlineStr">
        <is>
          <t>https://www.bennettco.gov/news</t>
        </is>
      </c>
      <c r="H60" s="952" t="inlineStr">
        <is>
          <t>Use for parcels inside this jurisdiction; confirm the parcel's actual county before relying on county recorder or assessor records.</t>
        </is>
      </c>
      <c r="I60" s="1129" t="n">
        <v>46213</v>
      </c>
      <c r="J60" s="951" t="inlineStr">
        <is>
          <t>High</t>
        </is>
      </c>
    </row>
    <row r="61" ht="42" customHeight="1">
      <c r="A61" s="952" t="inlineStr">
        <is>
          <t>Brighton</t>
        </is>
      </c>
      <c r="B61" s="952" t="inlineStr">
        <is>
          <t>Official Website</t>
        </is>
      </c>
      <c r="C61" s="952" t="inlineStr">
        <is>
          <t>City of Brighton</t>
        </is>
      </c>
      <c r="D61" s="952" t="inlineStr">
        <is>
          <t>Main city website.</t>
        </is>
      </c>
      <c r="E61" s="952" t="inlineStr">
        <is>
          <t>Navigate city services and departments.</t>
        </is>
      </c>
      <c r="F61" s="952" t="inlineStr">
        <is>
          <t>Yes</t>
        </is>
      </c>
      <c r="G61" s="1188" t="inlineStr">
        <is>
          <t>https://www.brightonco.gov/</t>
        </is>
      </c>
      <c r="H61" s="952" t="inlineStr">
        <is>
          <t>Use for parcels inside this jurisdiction; confirm the parcel's actual county before relying on county recorder or assessor records.</t>
        </is>
      </c>
      <c r="I61" s="1129" t="n">
        <v>46213</v>
      </c>
      <c r="J61" s="951" t="inlineStr">
        <is>
          <t>Reference</t>
        </is>
      </c>
    </row>
    <row r="62" ht="42" customHeight="1">
      <c r="A62" s="952" t="inlineStr">
        <is>
          <t>Brighton</t>
        </is>
      </c>
      <c r="B62" s="952" t="inlineStr">
        <is>
          <t>GIS / Property</t>
        </is>
      </c>
      <c r="C62" s="952" t="inlineStr">
        <is>
          <t>Geographic Information Systems</t>
        </is>
      </c>
      <c r="D62" s="952" t="inlineStr">
        <is>
          <t>City GIS maps and data.</t>
        </is>
      </c>
      <c r="E62" s="952" t="inlineStr">
        <is>
          <t>Research parcels, infrastructure and municipal mapping.</t>
        </is>
      </c>
      <c r="F62" s="952" t="inlineStr">
        <is>
          <t>Yes</t>
        </is>
      </c>
      <c r="G62" s="1188" t="inlineStr">
        <is>
          <t>https://www.brightonco.gov/248/Geographic-Information-Systems</t>
        </is>
      </c>
      <c r="H62" s="952" t="inlineStr">
        <is>
          <t>Use for parcels inside this jurisdiction; confirm the parcel's actual county before relying on county recorder or assessor records.</t>
        </is>
      </c>
      <c r="I62" s="1129" t="n">
        <v>46213</v>
      </c>
      <c r="J62" s="951" t="inlineStr">
        <is>
          <t>Critical</t>
        </is>
      </c>
    </row>
    <row r="63" ht="42" customHeight="1">
      <c r="A63" s="952" t="inlineStr">
        <is>
          <t>Brighton</t>
        </is>
      </c>
      <c r="B63" s="952" t="inlineStr">
        <is>
          <t>Zoning / Planning</t>
        </is>
      </c>
      <c r="C63" s="952" t="inlineStr">
        <is>
          <t>Planning &amp; Zoning</t>
        </is>
      </c>
      <c r="D63" s="952" t="inlineStr">
        <is>
          <t>Planning, zoning, applications and staff resources.</t>
        </is>
      </c>
      <c r="E63" s="952" t="inlineStr">
        <is>
          <t>Start zoning and entitlement research.</t>
        </is>
      </c>
      <c r="F63" s="952" t="inlineStr">
        <is>
          <t>Yes</t>
        </is>
      </c>
      <c r="G63" s="1188" t="inlineStr">
        <is>
          <t>https://www.brightonco.gov/224/Planning-Zoning</t>
        </is>
      </c>
      <c r="H63" s="952" t="inlineStr">
        <is>
          <t>Use for parcels inside this jurisdiction; confirm the parcel's actual county before relying on county recorder or assessor records.</t>
        </is>
      </c>
      <c r="I63" s="1129" t="n">
        <v>46213</v>
      </c>
      <c r="J63" s="951" t="inlineStr">
        <is>
          <t>Critical</t>
        </is>
      </c>
    </row>
    <row r="64" ht="42" customHeight="1">
      <c r="A64" s="952" t="inlineStr">
        <is>
          <t>Brighton</t>
        </is>
      </c>
      <c r="B64" s="952" t="inlineStr">
        <is>
          <t>Code</t>
        </is>
      </c>
      <c r="C64" s="952" t="inlineStr">
        <is>
          <t>Land Use &amp; Development Code</t>
        </is>
      </c>
      <c r="D64" s="952" t="inlineStr">
        <is>
          <t>Current city land-use and development code.</t>
        </is>
      </c>
      <c r="E64" s="952" t="inlineStr">
        <is>
          <t>Review zoning districts, uses and development standards.</t>
        </is>
      </c>
      <c r="F64" s="952" t="inlineStr">
        <is>
          <t>Yes</t>
        </is>
      </c>
      <c r="G64" s="1188" t="inlineStr">
        <is>
          <t>https://www.brightonco.gov/363/Land-Use-Development-Code</t>
        </is>
      </c>
      <c r="H64" s="952" t="inlineStr">
        <is>
          <t>Use for parcels inside this jurisdiction; confirm the parcel's actual county before relying on county recorder or assessor records.</t>
        </is>
      </c>
      <c r="I64" s="1129" t="n">
        <v>46213</v>
      </c>
      <c r="J64" s="951" t="inlineStr">
        <is>
          <t>Critical</t>
        </is>
      </c>
    </row>
    <row r="65" ht="42" customHeight="1">
      <c r="A65" s="952" t="inlineStr">
        <is>
          <t>Brighton</t>
        </is>
      </c>
      <c r="B65" s="952" t="inlineStr">
        <is>
          <t>Development</t>
        </is>
      </c>
      <c r="C65" s="952" t="inlineStr">
        <is>
          <t>Land Use &amp; Development Applications</t>
        </is>
      </c>
      <c r="D65" s="952" t="inlineStr">
        <is>
          <t>Applications and procedural information.</t>
        </is>
      </c>
      <c r="E65" s="952" t="inlineStr">
        <is>
          <t>Identify entitlement types and application requirements.</t>
        </is>
      </c>
      <c r="F65" s="952" t="inlineStr">
        <is>
          <t>Yes</t>
        </is>
      </c>
      <c r="G65" s="1188" t="inlineStr">
        <is>
          <t>https://www.brightonco.gov/1142/Land-Use-Development-Applications</t>
        </is>
      </c>
      <c r="H65" s="952" t="inlineStr">
        <is>
          <t>Use for parcels inside this jurisdiction; confirm the parcel's actual county before relying on county recorder or assessor records.</t>
        </is>
      </c>
      <c r="I65" s="1129" t="n">
        <v>46213</v>
      </c>
      <c r="J65" s="951" t="inlineStr">
        <is>
          <t>High</t>
        </is>
      </c>
    </row>
    <row r="66" ht="42" customHeight="1">
      <c r="A66" s="952" t="inlineStr">
        <is>
          <t>Brighton</t>
        </is>
      </c>
      <c r="B66" s="952" t="inlineStr">
        <is>
          <t>Development</t>
        </is>
      </c>
      <c r="C66" s="952" t="inlineStr">
        <is>
          <t>Interactive Development Map</t>
        </is>
      </c>
      <c r="D66" s="952" t="inlineStr">
        <is>
          <t>Interactive map of development activity.</t>
        </is>
      </c>
      <c r="E66" s="952" t="inlineStr">
        <is>
          <t>Find active projects near a target property.</t>
        </is>
      </c>
      <c r="F66" s="952" t="inlineStr">
        <is>
          <t>Yes</t>
        </is>
      </c>
      <c r="G66" s="1188" t="inlineStr">
        <is>
          <t>https://www.brightonco.gov/1596/Interactive-Development-Map</t>
        </is>
      </c>
      <c r="H66" s="952" t="inlineStr">
        <is>
          <t>Use for parcels inside this jurisdiction; confirm the parcel's actual county before relying on county recorder or assessor records.</t>
        </is>
      </c>
      <c r="I66" s="1129" t="n">
        <v>46213</v>
      </c>
      <c r="J66" s="951" t="inlineStr">
        <is>
          <t>Critical</t>
        </is>
      </c>
    </row>
    <row r="67" ht="42" customHeight="1">
      <c r="A67" s="952" t="inlineStr">
        <is>
          <t>Brighton</t>
        </is>
      </c>
      <c r="B67" s="952" t="inlineStr">
        <is>
          <t>Development</t>
        </is>
      </c>
      <c r="C67" s="952" t="inlineStr">
        <is>
          <t>Development Resources</t>
        </is>
      </c>
      <c r="D67" s="952" t="inlineStr">
        <is>
          <t>Development standards, guides and applicant resources.</t>
        </is>
      </c>
      <c r="E67" s="952" t="inlineStr">
        <is>
          <t>Plan a development submittal or feasibility review.</t>
        </is>
      </c>
      <c r="F67" s="952" t="inlineStr">
        <is>
          <t>Yes</t>
        </is>
      </c>
      <c r="G67" s="1188" t="inlineStr">
        <is>
          <t>https://www.brightonco.gov/1146/Development-Resources</t>
        </is>
      </c>
      <c r="H67" s="952" t="inlineStr">
        <is>
          <t>Use for parcels inside this jurisdiction; confirm the parcel's actual county before relying on county recorder or assessor records.</t>
        </is>
      </c>
      <c r="I67" s="1129" t="n">
        <v>46213</v>
      </c>
      <c r="J67" s="951" t="inlineStr">
        <is>
          <t>High</t>
        </is>
      </c>
    </row>
    <row r="68" ht="42" customHeight="1">
      <c r="A68" s="952" t="inlineStr">
        <is>
          <t>Brighton</t>
        </is>
      </c>
      <c r="B68" s="952" t="inlineStr">
        <is>
          <t>Permits</t>
        </is>
      </c>
      <c r="C68" s="952" t="inlineStr">
        <is>
          <t>Permitting</t>
        </is>
      </c>
      <c r="D68" s="952" t="inlineStr">
        <is>
          <t>City permitting resources and online services.</t>
        </is>
      </c>
      <c r="E68" s="952" t="inlineStr">
        <is>
          <t>Research permit requirements and status.</t>
        </is>
      </c>
      <c r="F68" s="952" t="inlineStr">
        <is>
          <t>Yes</t>
        </is>
      </c>
      <c r="G68" s="1188" t="inlineStr">
        <is>
          <t>https://www.brightonco.gov/222/Permitting</t>
        </is>
      </c>
      <c r="H68" s="952" t="inlineStr">
        <is>
          <t>Use for parcels inside this jurisdiction; confirm the parcel's actual county before relying on county recorder or assessor records.</t>
        </is>
      </c>
      <c r="I68" s="1129" t="n">
        <v>46213</v>
      </c>
      <c r="J68" s="951" t="inlineStr">
        <is>
          <t>Critical</t>
        </is>
      </c>
    </row>
    <row r="69" ht="42" customHeight="1">
      <c r="A69" s="952" t="inlineStr">
        <is>
          <t>Brighton</t>
        </is>
      </c>
      <c r="B69" s="952" t="inlineStr">
        <is>
          <t>Codes</t>
        </is>
      </c>
      <c r="C69" s="952" t="inlineStr">
        <is>
          <t>Codes</t>
        </is>
      </c>
      <c r="D69" s="952" t="inlineStr">
        <is>
          <t>Building and municipal code resources.</t>
        </is>
      </c>
      <c r="E69" s="952" t="inlineStr">
        <is>
          <t>Confirm adopted construction and municipal standards.</t>
        </is>
      </c>
      <c r="F69" s="952" t="inlineStr">
        <is>
          <t>Yes</t>
        </is>
      </c>
      <c r="G69" s="1188" t="inlineStr">
        <is>
          <t>https://www.brightonco.gov/1194/Codes</t>
        </is>
      </c>
      <c r="H69" s="952" t="inlineStr">
        <is>
          <t>Use for parcels inside this jurisdiction; confirm the parcel's actual county before relying on county recorder or assessor records.</t>
        </is>
      </c>
      <c r="I69" s="1129" t="n">
        <v>46213</v>
      </c>
      <c r="J69" s="951" t="inlineStr">
        <is>
          <t>High</t>
        </is>
      </c>
    </row>
    <row r="70" ht="42" customHeight="1">
      <c r="A70" s="952" t="inlineStr">
        <is>
          <t>Brighton</t>
        </is>
      </c>
      <c r="B70" s="952" t="inlineStr">
        <is>
          <t>Long-Range Planning</t>
        </is>
      </c>
      <c r="C70" s="952" t="inlineStr">
        <is>
          <t>Long Range Planning</t>
        </is>
      </c>
      <c r="D70" s="952" t="inlineStr">
        <is>
          <t>Comprehensive and area planning resources.</t>
        </is>
      </c>
      <c r="E70" s="952" t="inlineStr">
        <is>
          <t>Research future land use and long-range initiatives.</t>
        </is>
      </c>
      <c r="F70" s="952" t="inlineStr">
        <is>
          <t>Yes</t>
        </is>
      </c>
      <c r="G70" s="1188" t="inlineStr">
        <is>
          <t>https://www.brightonco.gov/553/Long-Range-Planning</t>
        </is>
      </c>
      <c r="H70" s="952" t="inlineStr">
        <is>
          <t>Use for parcels inside this jurisdiction; confirm the parcel's actual county before relying on county recorder or assessor records.</t>
        </is>
      </c>
      <c r="I70" s="1129" t="n">
        <v>46213</v>
      </c>
      <c r="J70" s="951" t="inlineStr">
        <is>
          <t>High</t>
        </is>
      </c>
    </row>
    <row r="71" ht="42" customHeight="1">
      <c r="A71" s="952" t="inlineStr">
        <is>
          <t>Brighton</t>
        </is>
      </c>
      <c r="B71" s="952" t="inlineStr">
        <is>
          <t>Meetings</t>
        </is>
      </c>
      <c r="C71" s="952" t="inlineStr">
        <is>
          <t>Planning Commission</t>
        </is>
      </c>
      <c r="D71" s="952" t="inlineStr">
        <is>
          <t>Planning Commission information.</t>
        </is>
      </c>
      <c r="E71" s="952" t="inlineStr">
        <is>
          <t>Monitor land-use hearings and recommendations.</t>
        </is>
      </c>
      <c r="F71" s="952" t="inlineStr">
        <is>
          <t>Yes</t>
        </is>
      </c>
      <c r="G71" s="1188" t="inlineStr">
        <is>
          <t>https://www.brightonco.gov/197/Planning-Commission</t>
        </is>
      </c>
      <c r="H71" s="952" t="inlineStr">
        <is>
          <t>Use for parcels inside this jurisdiction; confirm the parcel's actual county before relying on county recorder or assessor records.</t>
        </is>
      </c>
      <c r="I71" s="1129" t="n">
        <v>46213</v>
      </c>
      <c r="J71" s="951" t="inlineStr">
        <is>
          <t>High</t>
        </is>
      </c>
    </row>
    <row r="72" ht="42" customHeight="1">
      <c r="A72" s="952" t="inlineStr">
        <is>
          <t>Brighton</t>
        </is>
      </c>
      <c r="B72" s="952" t="inlineStr">
        <is>
          <t>Meetings</t>
        </is>
      </c>
      <c r="C72" s="952" t="inlineStr">
        <is>
          <t>Agenda Center</t>
        </is>
      </c>
      <c r="D72" s="952" t="inlineStr">
        <is>
          <t>Agendas, minutes and meeting records.</t>
        </is>
      </c>
      <c r="E72" s="952" t="inlineStr">
        <is>
          <t>Track official city decisions.</t>
        </is>
      </c>
      <c r="F72" s="952" t="inlineStr">
        <is>
          <t>Yes</t>
        </is>
      </c>
      <c r="G72" s="1188" t="inlineStr">
        <is>
          <t>https://www.brightonco.gov/agendacenter</t>
        </is>
      </c>
      <c r="H72" s="952" t="inlineStr">
        <is>
          <t>Use for parcels inside this jurisdiction; confirm the parcel's actual county before relying on county recorder or assessor records.</t>
        </is>
      </c>
      <c r="I72" s="1129" t="n">
        <v>46213</v>
      </c>
      <c r="J72" s="951" t="inlineStr">
        <is>
          <t>High</t>
        </is>
      </c>
    </row>
    <row r="73" ht="42" customHeight="1">
      <c r="A73" s="952" t="inlineStr">
        <is>
          <t>Brighton</t>
        </is>
      </c>
      <c r="B73" s="952" t="inlineStr">
        <is>
          <t>Public Notices</t>
        </is>
      </c>
      <c r="C73" s="952" t="inlineStr">
        <is>
          <t>Legal Notices</t>
        </is>
      </c>
      <c r="D73" s="952" t="inlineStr">
        <is>
          <t>Official legal notices and hearing postings.</t>
        </is>
      </c>
      <c r="E73" s="952" t="inlineStr">
        <is>
          <t>Confirm formal notices and deadlines.</t>
        </is>
      </c>
      <c r="F73" s="952" t="inlineStr">
        <is>
          <t>Yes</t>
        </is>
      </c>
      <c r="G73" s="1188" t="inlineStr">
        <is>
          <t>https://www.brightonco.gov/453/Legal-Notices</t>
        </is>
      </c>
      <c r="H73" s="952" t="inlineStr">
        <is>
          <t>Use for parcels inside this jurisdiction; confirm the parcel's actual county before relying on county recorder or assessor records.</t>
        </is>
      </c>
      <c r="I73" s="1129" t="n">
        <v>46213</v>
      </c>
      <c r="J73" s="951" t="inlineStr">
        <is>
          <t>High</t>
        </is>
      </c>
    </row>
    <row r="74" ht="42" customHeight="1">
      <c r="A74" s="952" t="inlineStr">
        <is>
          <t>Brighton</t>
        </is>
      </c>
      <c r="B74" s="952" t="inlineStr">
        <is>
          <t>News</t>
        </is>
      </c>
      <c r="C74" s="952" t="inlineStr">
        <is>
          <t>City News</t>
        </is>
      </c>
      <c r="D74" s="952" t="inlineStr">
        <is>
          <t>Official city news and announcements.</t>
        </is>
      </c>
      <c r="E74" s="952" t="inlineStr">
        <is>
          <t>Monitor projects, policy and community changes.</t>
        </is>
      </c>
      <c r="F74" s="952" t="inlineStr">
        <is>
          <t>Yes</t>
        </is>
      </c>
      <c r="G74" s="1188" t="inlineStr">
        <is>
          <t>https://www.brightonco.gov/175/News</t>
        </is>
      </c>
      <c r="H74" s="952" t="inlineStr">
        <is>
          <t>Use for parcels inside this jurisdiction; confirm the parcel's actual county before relying on county recorder or assessor records.</t>
        </is>
      </c>
      <c r="I74" s="1129" t="n">
        <v>46213</v>
      </c>
      <c r="J74" s="951" t="inlineStr">
        <is>
          <t>Useful</t>
        </is>
      </c>
    </row>
    <row r="75" ht="42" customHeight="1">
      <c r="A75" s="952" t="inlineStr">
        <is>
          <t>Brighton</t>
        </is>
      </c>
      <c r="B75" s="952" t="inlineStr">
        <is>
          <t>Alerts</t>
        </is>
      </c>
      <c r="C75" s="952" t="inlineStr">
        <is>
          <t>Notify Me</t>
        </is>
      </c>
      <c r="D75" s="952" t="inlineStr">
        <is>
          <t>Email subscription categories and alerts.</t>
        </is>
      </c>
      <c r="E75" s="952" t="inlineStr">
        <is>
          <t>Subscribe to meeting, project and news updates.</t>
        </is>
      </c>
      <c r="F75" s="952" t="inlineStr">
        <is>
          <t>Yes</t>
        </is>
      </c>
      <c r="G75" s="1188" t="inlineStr">
        <is>
          <t>https://www.brightonco.gov/notifyme</t>
        </is>
      </c>
      <c r="H75" s="952" t="inlineStr">
        <is>
          <t>Use for parcels inside this jurisdiction; confirm the parcel's actual county before relying on county recorder or assessor records.</t>
        </is>
      </c>
      <c r="I75" s="1129" t="n">
        <v>46213</v>
      </c>
      <c r="J75" s="951" t="inlineStr">
        <is>
          <t>Useful</t>
        </is>
      </c>
    </row>
    <row r="76" ht="42" customHeight="1">
      <c r="A76" s="952" t="inlineStr">
        <is>
          <t>Commerce City</t>
        </is>
      </c>
      <c r="B76" s="952" t="inlineStr">
        <is>
          <t>Official Website</t>
        </is>
      </c>
      <c r="C76" s="952" t="inlineStr">
        <is>
          <t>Commerce City</t>
        </is>
      </c>
      <c r="D76" s="952" t="inlineStr">
        <is>
          <t>Main city website.</t>
        </is>
      </c>
      <c r="E76" s="952" t="inlineStr">
        <is>
          <t>Navigate city departments and services.</t>
        </is>
      </c>
      <c r="F76" s="952" t="inlineStr">
        <is>
          <t>Yes</t>
        </is>
      </c>
      <c r="G76" s="1188" t="inlineStr">
        <is>
          <t>https://www.c3gov.com/Home</t>
        </is>
      </c>
      <c r="H76" s="952" t="inlineStr">
        <is>
          <t>Use for parcels inside this jurisdiction; confirm the parcel's actual county before relying on county recorder or assessor records.</t>
        </is>
      </c>
      <c r="I76" s="1129" t="n">
        <v>46213</v>
      </c>
      <c r="J76" s="951" t="inlineStr">
        <is>
          <t>Reference</t>
        </is>
      </c>
    </row>
    <row r="77" ht="42" customHeight="1">
      <c r="A77" s="952" t="inlineStr">
        <is>
          <t>Commerce City</t>
        </is>
      </c>
      <c r="B77" s="952" t="inlineStr">
        <is>
          <t>GIS / Property</t>
        </is>
      </c>
      <c r="C77" s="952" t="inlineStr">
        <is>
          <t>Maps, Data &amp; GIS</t>
        </is>
      </c>
      <c r="D77" s="952" t="inlineStr">
        <is>
          <t>City maps, data and GIS resources.</t>
        </is>
      </c>
      <c r="E77" s="952" t="inlineStr">
        <is>
          <t>Research zoning, parcels, boundaries and infrastructure.</t>
        </is>
      </c>
      <c r="F77" s="952" t="inlineStr">
        <is>
          <t>Yes</t>
        </is>
      </c>
      <c r="G77" s="1188" t="inlineStr">
        <is>
          <t>https://www.c3gov.com/Residents/Maps-Data-GIS</t>
        </is>
      </c>
      <c r="H77" s="952" t="inlineStr">
        <is>
          <t>Use for parcels inside this jurisdiction; confirm the parcel's actual county before relying on county recorder or assessor records.</t>
        </is>
      </c>
      <c r="I77" s="1129" t="n">
        <v>46213</v>
      </c>
      <c r="J77" s="951" t="inlineStr">
        <is>
          <t>Critical</t>
        </is>
      </c>
    </row>
    <row r="78" ht="42" customHeight="1">
      <c r="A78" s="952" t="inlineStr">
        <is>
          <t>Commerce City</t>
        </is>
      </c>
      <c r="B78" s="952" t="inlineStr">
        <is>
          <t>Code</t>
        </is>
      </c>
      <c r="C78" s="952" t="inlineStr">
        <is>
          <t>Land Development Code</t>
        </is>
      </c>
      <c r="D78" s="952" t="inlineStr">
        <is>
          <t>City land-development regulations.</t>
        </is>
      </c>
      <c r="E78" s="952" t="inlineStr">
        <is>
          <t>Review zoning, use, subdivision and development standards.</t>
        </is>
      </c>
      <c r="F78" s="952" t="inlineStr">
        <is>
          <t>Yes</t>
        </is>
      </c>
      <c r="G78" s="1188" t="inlineStr">
        <is>
          <t>https://www.c3gov.com/Government/City-Codes/Land-Development-Code</t>
        </is>
      </c>
      <c r="H78" s="952" t="inlineStr">
        <is>
          <t>Use for parcels inside this jurisdiction; confirm the parcel's actual county before relying on county recorder or assessor records.</t>
        </is>
      </c>
      <c r="I78" s="1129" t="n">
        <v>46213</v>
      </c>
      <c r="J78" s="951" t="inlineStr">
        <is>
          <t>Critical</t>
        </is>
      </c>
    </row>
    <row r="79" ht="42" customHeight="1">
      <c r="A79" s="952" t="inlineStr">
        <is>
          <t>Commerce City</t>
        </is>
      </c>
      <c r="B79" s="952" t="inlineStr">
        <is>
          <t>Code</t>
        </is>
      </c>
      <c r="C79" s="952" t="inlineStr">
        <is>
          <t>Land Development Code Transition</t>
        </is>
      </c>
      <c r="D79" s="952" t="inlineStr">
        <is>
          <t>Information on current code changes and transition rules.</t>
        </is>
      </c>
      <c r="E79" s="952" t="inlineStr">
        <is>
          <t>Check which code version applies to a project.</t>
        </is>
      </c>
      <c r="F79" s="952" t="inlineStr">
        <is>
          <t>Yes</t>
        </is>
      </c>
      <c r="G79" s="1188" t="inlineStr">
        <is>
          <t>https://www.c3gov.com/Government/City-Codes/Land-Development-Code/Land-Development-Code-Transition</t>
        </is>
      </c>
      <c r="H79" s="952" t="inlineStr">
        <is>
          <t>Use for parcels inside this jurisdiction; confirm the parcel's actual county before relying on county recorder or assessor records.</t>
        </is>
      </c>
      <c r="I79" s="1129" t="n">
        <v>46213</v>
      </c>
      <c r="J79" s="951" t="inlineStr">
        <is>
          <t>High</t>
        </is>
      </c>
    </row>
    <row r="80" ht="42" customHeight="1">
      <c r="A80" s="952" t="inlineStr">
        <is>
          <t>Commerce City</t>
        </is>
      </c>
      <c r="B80" s="952" t="inlineStr">
        <is>
          <t>Zoning / Standards</t>
        </is>
      </c>
      <c r="C80" s="952" t="inlineStr">
        <is>
          <t>Land Use Standards</t>
        </is>
      </c>
      <c r="D80" s="952" t="inlineStr">
        <is>
          <t>Land-use and development standards.</t>
        </is>
      </c>
      <c r="E80" s="952" t="inlineStr">
        <is>
          <t>Confirm site and use requirements.</t>
        </is>
      </c>
      <c r="F80" s="952" t="inlineStr">
        <is>
          <t>Yes</t>
        </is>
      </c>
      <c r="G80" s="1188" t="inlineStr">
        <is>
          <t>https://www.c3gov.com/Business-Development/Developing-in-Commerce-City/Land-Use-Standards</t>
        </is>
      </c>
      <c r="H80" s="952" t="inlineStr">
        <is>
          <t>Use for parcels inside this jurisdiction; confirm the parcel's actual county before relying on county recorder or assessor records.</t>
        </is>
      </c>
      <c r="I80" s="1129" t="n">
        <v>46213</v>
      </c>
      <c r="J80" s="951" t="inlineStr">
        <is>
          <t>Critical</t>
        </is>
      </c>
    </row>
    <row r="81" ht="42" customHeight="1">
      <c r="A81" s="952" t="inlineStr">
        <is>
          <t>Commerce City</t>
        </is>
      </c>
      <c r="B81" s="952" t="inlineStr">
        <is>
          <t>Planning</t>
        </is>
      </c>
      <c r="C81" s="952" t="inlineStr">
        <is>
          <t>Community Development</t>
        </is>
      </c>
      <c r="D81" s="952" t="inlineStr">
        <is>
          <t>Planning, building and development department resources.</t>
        </is>
      </c>
      <c r="E81" s="952" t="inlineStr">
        <is>
          <t>Start land-use and development research.</t>
        </is>
      </c>
      <c r="F81" s="952" t="inlineStr">
        <is>
          <t>Yes</t>
        </is>
      </c>
      <c r="G81" s="1188" t="inlineStr">
        <is>
          <t>https://www.c3gov.com/Government/Departments-Divisions/Community-Development</t>
        </is>
      </c>
      <c r="H81" s="952" t="inlineStr">
        <is>
          <t>Use for parcels inside this jurisdiction; confirm the parcel's actual county before relying on county recorder or assessor records.</t>
        </is>
      </c>
      <c r="I81" s="1129" t="n">
        <v>46213</v>
      </c>
      <c r="J81" s="951" t="inlineStr">
        <is>
          <t>High</t>
        </is>
      </c>
    </row>
    <row r="82" ht="42" customHeight="1">
      <c r="A82" s="952" t="inlineStr">
        <is>
          <t>Commerce City</t>
        </is>
      </c>
      <c r="B82" s="952" t="inlineStr">
        <is>
          <t>Development</t>
        </is>
      </c>
      <c r="C82" s="952" t="inlineStr">
        <is>
          <t>Developing in Commerce City</t>
        </is>
      </c>
      <c r="D82" s="952" t="inlineStr">
        <is>
          <t>Development-process overview and resources.</t>
        </is>
      </c>
      <c r="E82" s="952" t="inlineStr">
        <is>
          <t>Understand approvals, standards and contacts.</t>
        </is>
      </c>
      <c r="F82" s="952" t="inlineStr">
        <is>
          <t>Yes</t>
        </is>
      </c>
      <c r="G82" s="1188" t="inlineStr">
        <is>
          <t>https://www.c3gov.com/Business-Development/Developing-in-Commerce-City</t>
        </is>
      </c>
      <c r="H82" s="952" t="inlineStr">
        <is>
          <t>Use for parcels inside this jurisdiction; confirm the parcel's actual county before relying on county recorder or assessor records.</t>
        </is>
      </c>
      <c r="I82" s="1129" t="n">
        <v>46213</v>
      </c>
      <c r="J82" s="951" t="inlineStr">
        <is>
          <t>High</t>
        </is>
      </c>
    </row>
    <row r="83" ht="42" customHeight="1">
      <c r="A83" s="952" t="inlineStr">
        <is>
          <t>Commerce City</t>
        </is>
      </c>
      <c r="B83" s="952" t="inlineStr">
        <is>
          <t>Development</t>
        </is>
      </c>
      <c r="C83" s="952" t="inlineStr">
        <is>
          <t>Land Use Approvals</t>
        </is>
      </c>
      <c r="D83" s="952" t="inlineStr">
        <is>
          <t>Land-use approval types and application guidance.</t>
        </is>
      </c>
      <c r="E83" s="952" t="inlineStr">
        <is>
          <t>Determine the entitlement process for a proposal.</t>
        </is>
      </c>
      <c r="F83" s="952" t="inlineStr">
        <is>
          <t>Yes</t>
        </is>
      </c>
      <c r="G83" s="1188" t="inlineStr">
        <is>
          <t>https://www.c3gov.com/Business-Development/Developing-in-Commerce-City/Land-Use-Approvals</t>
        </is>
      </c>
      <c r="H83" s="952" t="inlineStr">
        <is>
          <t>Use for parcels inside this jurisdiction; confirm the parcel's actual county before relying on county recorder or assessor records.</t>
        </is>
      </c>
      <c r="I83" s="1129" t="n">
        <v>46213</v>
      </c>
      <c r="J83" s="951" t="inlineStr">
        <is>
          <t>High</t>
        </is>
      </c>
    </row>
    <row r="84" ht="42" customHeight="1">
      <c r="A84" s="952" t="inlineStr">
        <is>
          <t>Commerce City</t>
        </is>
      </c>
      <c r="B84" s="952" t="inlineStr">
        <is>
          <t>Development</t>
        </is>
      </c>
      <c r="C84" s="952" t="inlineStr">
        <is>
          <t>Development Projects Map</t>
        </is>
      </c>
      <c r="D84" s="952" t="inlineStr">
        <is>
          <t>Map of active development projects.</t>
        </is>
      </c>
      <c r="E84" s="952" t="inlineStr">
        <is>
          <t>Identify projects near a property and monitor status.</t>
        </is>
      </c>
      <c r="F84" s="952" t="inlineStr">
        <is>
          <t>Yes</t>
        </is>
      </c>
      <c r="G84" s="1188" t="inlineStr">
        <is>
          <t>https://www.c3gov.com/Business-Development/Development-Projects-Map</t>
        </is>
      </c>
      <c r="H84" s="952" t="inlineStr">
        <is>
          <t>Use for parcels inside this jurisdiction; confirm the parcel's actual county before relying on county recorder or assessor records.</t>
        </is>
      </c>
      <c r="I84" s="1129" t="n">
        <v>46213</v>
      </c>
      <c r="J84" s="951" t="inlineStr">
        <is>
          <t>Critical</t>
        </is>
      </c>
    </row>
    <row r="85" ht="42" customHeight="1">
      <c r="A85" s="952" t="inlineStr">
        <is>
          <t>Commerce City</t>
        </is>
      </c>
      <c r="B85" s="952" t="inlineStr">
        <is>
          <t>Permits</t>
        </is>
      </c>
      <c r="C85" s="952" t="inlineStr">
        <is>
          <t>Building Permits &amp; Inspections</t>
        </is>
      </c>
      <c r="D85" s="952" t="inlineStr">
        <is>
          <t>Building-permit and inspection information.</t>
        </is>
      </c>
      <c r="E85" s="952" t="inlineStr">
        <is>
          <t>Research construction permits and inspections.</t>
        </is>
      </c>
      <c r="F85" s="952" t="inlineStr">
        <is>
          <t>Yes</t>
        </is>
      </c>
      <c r="G85" s="1188" t="inlineStr">
        <is>
          <t>https://www.c3gov.com/Business-Development/Building-Permits-Inspections</t>
        </is>
      </c>
      <c r="H85" s="952" t="inlineStr">
        <is>
          <t>Use for parcels inside this jurisdiction; confirm the parcel's actual county before relying on county recorder or assessor records.</t>
        </is>
      </c>
      <c r="I85" s="1129" t="n">
        <v>46213</v>
      </c>
      <c r="J85" s="951" t="inlineStr">
        <is>
          <t>Critical</t>
        </is>
      </c>
    </row>
    <row r="86" ht="42" customHeight="1">
      <c r="A86" s="952" t="inlineStr">
        <is>
          <t>Commerce City</t>
        </is>
      </c>
      <c r="B86" s="952" t="inlineStr">
        <is>
          <t>Online Portal</t>
        </is>
      </c>
      <c r="C86" s="952" t="inlineStr">
        <is>
          <t>eTRAKiT Portal</t>
        </is>
      </c>
      <c r="D86" s="952" t="inlineStr">
        <is>
          <t>Online permitting and project portal.</t>
        </is>
      </c>
      <c r="E86" s="952" t="inlineStr">
        <is>
          <t>Search or manage permits and development cases.</t>
        </is>
      </c>
      <c r="F86" s="952" t="inlineStr">
        <is>
          <t>Yes</t>
        </is>
      </c>
      <c r="G86" s="1188" t="inlineStr">
        <is>
          <t>https://www.c3gov.com/Business-Development/eTRAKiT-Portal</t>
        </is>
      </c>
      <c r="H86" s="952" t="inlineStr">
        <is>
          <t>Use for parcels inside this jurisdiction; confirm the parcel's actual county before relying on county recorder or assessor records.</t>
        </is>
      </c>
      <c r="I86" s="1129" t="n">
        <v>46213</v>
      </c>
      <c r="J86" s="951" t="inlineStr">
        <is>
          <t>High</t>
        </is>
      </c>
    </row>
    <row r="87" ht="42" customHeight="1">
      <c r="A87" s="952" t="inlineStr">
        <is>
          <t>Commerce City</t>
        </is>
      </c>
      <c r="B87" s="952" t="inlineStr">
        <is>
          <t>Long-Range Planning</t>
        </is>
      </c>
      <c r="C87" s="952" t="inlineStr">
        <is>
          <t>Comprehensive Plan</t>
        </is>
      </c>
      <c r="D87" s="952" t="inlineStr">
        <is>
          <t>City comprehensive plan and related documents.</t>
        </is>
      </c>
      <c r="E87" s="952" t="inlineStr">
        <is>
          <t>Evaluate future land use and city policy.</t>
        </is>
      </c>
      <c r="F87" s="952" t="inlineStr">
        <is>
          <t>Yes</t>
        </is>
      </c>
      <c r="G87" s="1188" t="inlineStr">
        <is>
          <t>https://www.c3gov.com/Government/City-Charter-Master-Plans/Comprehensive-Plan</t>
        </is>
      </c>
      <c r="H87" s="952" t="inlineStr">
        <is>
          <t>Use for parcels inside this jurisdiction; confirm the parcel's actual county before relying on county recorder or assessor records.</t>
        </is>
      </c>
      <c r="I87" s="1129" t="n">
        <v>46213</v>
      </c>
      <c r="J87" s="951" t="inlineStr">
        <is>
          <t>High</t>
        </is>
      </c>
    </row>
    <row r="88" ht="42" customHeight="1">
      <c r="A88" s="952" t="inlineStr">
        <is>
          <t>Commerce City</t>
        </is>
      </c>
      <c r="B88" s="952" t="inlineStr">
        <is>
          <t>Meetings</t>
        </is>
      </c>
      <c r="C88" s="952" t="inlineStr">
        <is>
          <t>Planning Commission</t>
        </is>
      </c>
      <c r="D88" s="952" t="inlineStr">
        <is>
          <t>Planning Commission information and meetings.</t>
        </is>
      </c>
      <c r="E88" s="952" t="inlineStr">
        <is>
          <t>Monitor planning hearings and recommendations.</t>
        </is>
      </c>
      <c r="F88" s="952" t="inlineStr">
        <is>
          <t>Yes</t>
        </is>
      </c>
      <c r="G88" s="1188" t="inlineStr">
        <is>
          <t>https://www.c3gov.com/Government/Boards-Commissions/Planning-Commission</t>
        </is>
      </c>
      <c r="H88" s="952" t="inlineStr">
        <is>
          <t>Use for parcels inside this jurisdiction; confirm the parcel's actual county before relying on county recorder or assessor records.</t>
        </is>
      </c>
      <c r="I88" s="1129" t="n">
        <v>46213</v>
      </c>
      <c r="J88" s="951" t="inlineStr">
        <is>
          <t>High</t>
        </is>
      </c>
    </row>
    <row r="89" ht="42" customHeight="1">
      <c r="A89" s="952" t="inlineStr">
        <is>
          <t>Commerce City</t>
        </is>
      </c>
      <c r="B89" s="952" t="inlineStr">
        <is>
          <t>Meetings</t>
        </is>
      </c>
      <c r="C89" s="952" t="inlineStr">
        <is>
          <t>Meeting Agendas and Schedules</t>
        </is>
      </c>
      <c r="D89" s="952" t="inlineStr">
        <is>
          <t>Agendas, schedules and public meeting records.</t>
        </is>
      </c>
      <c r="E89" s="952" t="inlineStr">
        <is>
          <t>Track city council and board action.</t>
        </is>
      </c>
      <c r="F89" s="952" t="inlineStr">
        <is>
          <t>Yes</t>
        </is>
      </c>
      <c r="G89" s="1188" t="inlineStr">
        <is>
          <t>https://www.c3gov.com/Site-Footer/Footer-Widgets/Quick-Links/Meeting-Agendas-and-Schedules</t>
        </is>
      </c>
      <c r="H89" s="952" t="inlineStr">
        <is>
          <t>Use for parcels inside this jurisdiction; confirm the parcel's actual county before relying on county recorder or assessor records.</t>
        </is>
      </c>
      <c r="I89" s="1129" t="n">
        <v>46213</v>
      </c>
      <c r="J89" s="951" t="inlineStr">
        <is>
          <t>High</t>
        </is>
      </c>
    </row>
    <row r="90" ht="42" customHeight="1">
      <c r="A90" s="952" t="inlineStr">
        <is>
          <t>Commerce City</t>
        </is>
      </c>
      <c r="B90" s="952" t="inlineStr">
        <is>
          <t>Public Notices</t>
        </is>
      </c>
      <c r="C90" s="952" t="inlineStr">
        <is>
          <t>Legal Notices &amp; Ordinances</t>
        </is>
      </c>
      <c r="D90" s="952" t="inlineStr">
        <is>
          <t>Official legal notices and ordinances.</t>
        </is>
      </c>
      <c r="E90" s="952" t="inlineStr">
        <is>
          <t>Confirm hearings, ordinances and public-notice deadlines.</t>
        </is>
      </c>
      <c r="F90" s="952" t="inlineStr">
        <is>
          <t>Yes</t>
        </is>
      </c>
      <c r="G90" s="1188" t="inlineStr">
        <is>
          <t>https://www.c3gov.com/Government/Departments-Divisions/City-Clerks-Office/Legal-Notices-Ordinances</t>
        </is>
      </c>
      <c r="H90" s="952" t="inlineStr">
        <is>
          <t>Use for parcels inside this jurisdiction; confirm the parcel's actual county before relying on county recorder or assessor records.</t>
        </is>
      </c>
      <c r="I90" s="1129" t="n">
        <v>46213</v>
      </c>
      <c r="J90" s="951" t="inlineStr">
        <is>
          <t>High</t>
        </is>
      </c>
    </row>
    <row r="91" ht="42" customHeight="1">
      <c r="A91" s="952" t="inlineStr">
        <is>
          <t>Commerce City</t>
        </is>
      </c>
      <c r="B91" s="952" t="inlineStr">
        <is>
          <t>News</t>
        </is>
      </c>
      <c r="C91" s="952" t="inlineStr">
        <is>
          <t>News &amp; Announcements</t>
        </is>
      </c>
      <c r="D91" s="952" t="inlineStr">
        <is>
          <t>Official city news and announcements.</t>
        </is>
      </c>
      <c r="E91" s="952" t="inlineStr">
        <is>
          <t>Monitor projects, policies and public updates.</t>
        </is>
      </c>
      <c r="F91" s="952" t="inlineStr">
        <is>
          <t>Yes</t>
        </is>
      </c>
      <c r="G91" s="1188" t="inlineStr">
        <is>
          <t>https://www.c3gov.com/Government/Media-News/News-Announcements</t>
        </is>
      </c>
      <c r="H91" s="952" t="inlineStr">
        <is>
          <t>Use for parcels inside this jurisdiction; confirm the parcel's actual county before relying on county recorder or assessor records.</t>
        </is>
      </c>
      <c r="I91" s="1129" t="n">
        <v>46213</v>
      </c>
      <c r="J91" s="951" t="inlineStr">
        <is>
          <t>Useful</t>
        </is>
      </c>
    </row>
    <row r="92" ht="42" customHeight="1">
      <c r="A92" s="952" t="inlineStr">
        <is>
          <t>Federal Heights</t>
        </is>
      </c>
      <c r="B92" s="952" t="inlineStr">
        <is>
          <t>Official Website</t>
        </is>
      </c>
      <c r="C92" s="952" t="inlineStr">
        <is>
          <t>City of Federal Heights</t>
        </is>
      </c>
      <c r="D92" s="952" t="inlineStr">
        <is>
          <t>Main city website.</t>
        </is>
      </c>
      <c r="E92" s="952" t="inlineStr">
        <is>
          <t>Navigate city services and departments.</t>
        </is>
      </c>
      <c r="F92" s="952" t="inlineStr">
        <is>
          <t>Yes</t>
        </is>
      </c>
      <c r="G92" s="1188" t="inlineStr">
        <is>
          <t>https://www.fedheights.org/</t>
        </is>
      </c>
      <c r="H92" s="952" t="inlineStr">
        <is>
          <t>Use for parcels inside this jurisdiction; confirm the parcel's actual county before relying on county recorder or assessor records.</t>
        </is>
      </c>
      <c r="I92" s="1129" t="n">
        <v>46213</v>
      </c>
      <c r="J92" s="951" t="inlineStr">
        <is>
          <t>Reference</t>
        </is>
      </c>
    </row>
    <row r="93" ht="42" customHeight="1">
      <c r="A93" s="952" t="inlineStr">
        <is>
          <t>Federal Heights</t>
        </is>
      </c>
      <c r="B93" s="952" t="inlineStr">
        <is>
          <t>GIS / Property</t>
        </is>
      </c>
      <c r="C93" s="952" t="inlineStr">
        <is>
          <t>City Maps and GIS Data</t>
        </is>
      </c>
      <c r="D93" s="952" t="inlineStr">
        <is>
          <t>City maps, zoning map and GIS resources.</t>
        </is>
      </c>
      <c r="E93" s="952" t="inlineStr">
        <is>
          <t>Identify municipal boundaries and mapped information.</t>
        </is>
      </c>
      <c r="F93" s="952" t="inlineStr">
        <is>
          <t>Yes</t>
        </is>
      </c>
      <c r="G93" s="1188" t="inlineStr">
        <is>
          <t>https://www.fedheights.org/index.asp?SEC=D1A883BE-0C29-4602-8CC9-5D6A08DA5503</t>
        </is>
      </c>
      <c r="H93" s="952" t="inlineStr">
        <is>
          <t>Use for parcels inside this jurisdiction; confirm the parcel's actual county before relying on county recorder or assessor records.</t>
        </is>
      </c>
      <c r="I93" s="1129" t="n">
        <v>46213</v>
      </c>
      <c r="J93" s="951" t="inlineStr">
        <is>
          <t>Critical</t>
        </is>
      </c>
    </row>
    <row r="94" ht="42" customHeight="1">
      <c r="A94" s="952" t="inlineStr">
        <is>
          <t>Federal Heights</t>
        </is>
      </c>
      <c r="B94" s="952" t="inlineStr">
        <is>
          <t>Zoning</t>
        </is>
      </c>
      <c r="C94" s="952" t="inlineStr">
        <is>
          <t>Zoning Information</t>
        </is>
      </c>
      <c r="D94" s="952" t="inlineStr">
        <is>
          <t>Zoning district and zoning process information.</t>
        </is>
      </c>
      <c r="E94" s="952" t="inlineStr">
        <is>
          <t>Confirm zoning rules and contacts.</t>
        </is>
      </c>
      <c r="F94" s="952" t="inlineStr">
        <is>
          <t>Yes</t>
        </is>
      </c>
      <c r="G94" s="1188" t="inlineStr">
        <is>
          <t>https://www.fedheights.org/index.asp?SEC=D7AA9940-8607-468A-8215-7308DD3BF799</t>
        </is>
      </c>
      <c r="H94" s="952" t="inlineStr">
        <is>
          <t>Use for parcels inside this jurisdiction; confirm the parcel's actual county before relying on county recorder or assessor records.</t>
        </is>
      </c>
      <c r="I94" s="1129" t="n">
        <v>46213</v>
      </c>
      <c r="J94" s="951" t="inlineStr">
        <is>
          <t>Critical</t>
        </is>
      </c>
    </row>
    <row r="95" ht="42" customHeight="1">
      <c r="A95" s="952" t="inlineStr">
        <is>
          <t>Federal Heights</t>
        </is>
      </c>
      <c r="B95" s="952" t="inlineStr">
        <is>
          <t>Planning</t>
        </is>
      </c>
      <c r="C95" s="952" t="inlineStr">
        <is>
          <t>Planning</t>
        </is>
      </c>
      <c r="D95" s="952" t="inlineStr">
        <is>
          <t>Planning services and land-use information.</t>
        </is>
      </c>
      <c r="E95" s="952" t="inlineStr">
        <is>
          <t>Start zoning or development research.</t>
        </is>
      </c>
      <c r="F95" s="952" t="inlineStr">
        <is>
          <t>Yes</t>
        </is>
      </c>
      <c r="G95" s="1188" t="inlineStr">
        <is>
          <t>https://www.fedheights.org/planning</t>
        </is>
      </c>
      <c r="H95" s="952" t="inlineStr">
        <is>
          <t>Use for parcels inside this jurisdiction; confirm the parcel's actual county before relying on county recorder or assessor records.</t>
        </is>
      </c>
      <c r="I95" s="1129" t="n">
        <v>46213</v>
      </c>
      <c r="J95" s="951" t="inlineStr">
        <is>
          <t>Critical</t>
        </is>
      </c>
    </row>
    <row r="96" ht="42" customHeight="1">
      <c r="A96" s="952" t="inlineStr">
        <is>
          <t>Federal Heights</t>
        </is>
      </c>
      <c r="B96" s="952" t="inlineStr">
        <is>
          <t>Code</t>
        </is>
      </c>
      <c r="C96" s="952" t="inlineStr">
        <is>
          <t>Municipal Code and Charter</t>
        </is>
      </c>
      <c r="D96" s="952" t="inlineStr">
        <is>
          <t>Municipal code and charter resources.</t>
        </is>
      </c>
      <c r="E96" s="952" t="inlineStr">
        <is>
          <t>Review official local regulations.</t>
        </is>
      </c>
      <c r="F96" s="952" t="inlineStr">
        <is>
          <t>Yes</t>
        </is>
      </c>
      <c r="G96" s="1188" t="inlineStr">
        <is>
          <t>https://www.fedheights.org/index.asp?SEC=E0D5E6BC-02A8-4AEF-88A1-9093297C3662</t>
        </is>
      </c>
      <c r="H96" s="952" t="inlineStr">
        <is>
          <t>Use for parcels inside this jurisdiction; confirm the parcel's actual county before relying on county recorder or assessor records.</t>
        </is>
      </c>
      <c r="I96" s="1129" t="n">
        <v>46213</v>
      </c>
      <c r="J96" s="951" t="inlineStr">
        <is>
          <t>High</t>
        </is>
      </c>
    </row>
    <row r="97" ht="42" customHeight="1">
      <c r="A97" s="952" t="inlineStr">
        <is>
          <t>Federal Heights</t>
        </is>
      </c>
      <c r="B97" s="952" t="inlineStr">
        <is>
          <t>Permits</t>
        </is>
      </c>
      <c r="C97" s="952" t="inlineStr">
        <is>
          <t>Building Department</t>
        </is>
      </c>
      <c r="D97" s="952" t="inlineStr">
        <is>
          <t>Building permits, inspections and adopted codes.</t>
        </is>
      </c>
      <c r="E97" s="952" t="inlineStr">
        <is>
          <t>Research building-permit requirements.</t>
        </is>
      </c>
      <c r="F97" s="952" t="inlineStr">
        <is>
          <t>Yes</t>
        </is>
      </c>
      <c r="G97" s="1188" t="inlineStr">
        <is>
          <t>https://www.fedheights.org/index.asp?SEC=D1CB6EB6-9C4B-4FA8-B119-EF1785E54CB6</t>
        </is>
      </c>
      <c r="H97" s="952" t="inlineStr">
        <is>
          <t>Use for parcels inside this jurisdiction; confirm the parcel's actual county before relying on county recorder or assessor records.</t>
        </is>
      </c>
      <c r="I97" s="1129" t="n">
        <v>46213</v>
      </c>
      <c r="J97" s="951" t="inlineStr">
        <is>
          <t>Critical</t>
        </is>
      </c>
    </row>
    <row r="98" ht="42" customHeight="1">
      <c r="A98" s="952" t="inlineStr">
        <is>
          <t>Federal Heights</t>
        </is>
      </c>
      <c r="B98" s="952" t="inlineStr">
        <is>
          <t>Permits</t>
        </is>
      </c>
      <c r="C98" s="952" t="inlineStr">
        <is>
          <t>Building Guides</t>
        </is>
      </c>
      <c r="D98" s="952" t="inlineStr">
        <is>
          <t>Building and permit guidance documents.</t>
        </is>
      </c>
      <c r="E98" s="952" t="inlineStr">
        <is>
          <t>Prepare a permit submittal.</t>
        </is>
      </c>
      <c r="F98" s="952" t="inlineStr">
        <is>
          <t>Yes</t>
        </is>
      </c>
      <c r="G98" s="1188" t="inlineStr">
        <is>
          <t>https://www.fedheights.org/index.asp?SEC=%7BCB7135BC-846F-468B-B85D-0ECE8B03FFCD%7D&amp;persistdesign=none</t>
        </is>
      </c>
      <c r="H98" s="952" t="inlineStr">
        <is>
          <t>Use for parcels inside this jurisdiction; confirm the parcel's actual county before relying on county recorder or assessor records.</t>
        </is>
      </c>
      <c r="I98" s="1129" t="n">
        <v>46213</v>
      </c>
      <c r="J98" s="951" t="inlineStr">
        <is>
          <t>High</t>
        </is>
      </c>
    </row>
    <row r="99" ht="42" customHeight="1">
      <c r="A99" s="952" t="inlineStr">
        <is>
          <t>Federal Heights</t>
        </is>
      </c>
      <c r="B99" s="952" t="inlineStr">
        <is>
          <t>Permit History</t>
        </is>
      </c>
      <c r="C99" s="952" t="inlineStr">
        <is>
          <t>Monthly Permit Reports</t>
        </is>
      </c>
      <c r="D99" s="952" t="inlineStr">
        <is>
          <t>Monthly building-permit reports.</t>
        </is>
      </c>
      <c r="E99" s="952" t="inlineStr">
        <is>
          <t>Review recent permit activity and construction trends.</t>
        </is>
      </c>
      <c r="F99" s="952" t="inlineStr">
        <is>
          <t>Yes</t>
        </is>
      </c>
      <c r="G99" s="1188" t="inlineStr">
        <is>
          <t>https://www.fedheights.org/index.asp?SEC=%7B76F23E1D-0819-4BAB-BD73-23D6092E8A3B%7D&amp;persistdesign=none</t>
        </is>
      </c>
      <c r="H99" s="952" t="inlineStr">
        <is>
          <t>Use for parcels inside this jurisdiction; confirm the parcel's actual county before relying on county recorder or assessor records.</t>
        </is>
      </c>
      <c r="I99" s="1129" t="n">
        <v>46213</v>
      </c>
      <c r="J99" s="951" t="inlineStr">
        <is>
          <t>High</t>
        </is>
      </c>
    </row>
    <row r="100" ht="42" customHeight="1">
      <c r="A100" s="952" t="inlineStr">
        <is>
          <t>Federal Heights</t>
        </is>
      </c>
      <c r="B100" s="952" t="inlineStr">
        <is>
          <t>Long-Range Planning</t>
        </is>
      </c>
      <c r="C100" s="952" t="inlineStr">
        <is>
          <t>Comprehensive Plan</t>
        </is>
      </c>
      <c r="D100" s="952" t="inlineStr">
        <is>
          <t>Comprehensive-plan information.</t>
        </is>
      </c>
      <c r="E100" s="952" t="inlineStr">
        <is>
          <t>Evaluate future land use and policy direction.</t>
        </is>
      </c>
      <c r="F100" s="952" t="inlineStr">
        <is>
          <t>Yes</t>
        </is>
      </c>
      <c r="G100" s="1188" t="inlineStr">
        <is>
          <t>https://www.fedheights.org/index.asp?SEC=%7B5CF1D2C4-3E29-4A1A-BBFA-2BE19B3ABFD0%7D</t>
        </is>
      </c>
      <c r="H100" s="952" t="inlineStr">
        <is>
          <t>Use for parcels inside this jurisdiction; confirm the parcel's actual county before relying on county recorder or assessor records.</t>
        </is>
      </c>
      <c r="I100" s="1129" t="n">
        <v>46213</v>
      </c>
      <c r="J100" s="951" t="inlineStr">
        <is>
          <t>High</t>
        </is>
      </c>
    </row>
    <row r="101" ht="42" customHeight="1">
      <c r="A101" s="952" t="inlineStr">
        <is>
          <t>Federal Heights</t>
        </is>
      </c>
      <c r="B101" s="952" t="inlineStr">
        <is>
          <t>Meetings</t>
        </is>
      </c>
      <c r="C101" s="952" t="inlineStr">
        <is>
          <t>Meetings and Study Sessions</t>
        </is>
      </c>
      <c r="D101" s="952" t="inlineStr">
        <is>
          <t>Council minutes and audio recordings.</t>
        </is>
      </c>
      <c r="E101" s="952" t="inlineStr">
        <is>
          <t>Track council decisions and discussions.</t>
        </is>
      </c>
      <c r="F101" s="952" t="inlineStr">
        <is>
          <t>Yes</t>
        </is>
      </c>
      <c r="G101" s="1188" t="inlineStr">
        <is>
          <t>https://www.fedheights.org/index.asp?SEC=%7BE66D34DF-8290-4807-83DA-3AF56D110C00%7D</t>
        </is>
      </c>
      <c r="H101" s="952" t="inlineStr">
        <is>
          <t>Use for parcels inside this jurisdiction; confirm the parcel's actual county before relying on county recorder or assessor records.</t>
        </is>
      </c>
      <c r="I101" s="1129" t="n">
        <v>46213</v>
      </c>
      <c r="J101" s="951" t="inlineStr">
        <is>
          <t>High</t>
        </is>
      </c>
    </row>
    <row r="102" ht="42" customHeight="1">
      <c r="A102" s="952" t="inlineStr">
        <is>
          <t>Federal Heights</t>
        </is>
      </c>
      <c r="B102" s="952" t="inlineStr">
        <is>
          <t>Public Records</t>
        </is>
      </c>
      <c r="C102" s="952" t="inlineStr">
        <is>
          <t>Public Records</t>
        </is>
      </c>
      <c r="D102" s="952" t="inlineStr">
        <is>
          <t>Public records request process.</t>
        </is>
      </c>
      <c r="E102" s="952" t="inlineStr">
        <is>
          <t>Request planning, permit or city records not posted online.</t>
        </is>
      </c>
      <c r="F102" s="952" t="inlineStr">
        <is>
          <t>Yes</t>
        </is>
      </c>
      <c r="G102" s="1188" t="inlineStr">
        <is>
          <t>https://www.fedheights.org/index.asp?SEC=%7B13723B89-BA4A-47C1-9634-50363F8CD1D2%7D&amp;persistdesign=none</t>
        </is>
      </c>
      <c r="H102" s="952" t="inlineStr">
        <is>
          <t>Use for parcels inside this jurisdiction; confirm the parcel's actual county before relying on county recorder or assessor records.</t>
        </is>
      </c>
      <c r="I102" s="1129" t="n">
        <v>46213</v>
      </c>
      <c r="J102" s="951" t="inlineStr">
        <is>
          <t>High</t>
        </is>
      </c>
    </row>
    <row r="103" ht="42" customHeight="1">
      <c r="A103" s="952" t="inlineStr">
        <is>
          <t>Federal Heights</t>
        </is>
      </c>
      <c r="B103" s="952" t="inlineStr">
        <is>
          <t>News</t>
        </is>
      </c>
      <c r="C103" s="952" t="inlineStr">
        <is>
          <t>News and Events</t>
        </is>
      </c>
      <c r="D103" s="952" t="inlineStr">
        <is>
          <t>Official news and city calendar.</t>
        </is>
      </c>
      <c r="E103" s="952" t="inlineStr">
        <is>
          <t>Monitor meetings, announcements and city activity.</t>
        </is>
      </c>
      <c r="F103" s="952" t="inlineStr">
        <is>
          <t>Yes</t>
        </is>
      </c>
      <c r="G103" s="1188" t="inlineStr">
        <is>
          <t>https://www.fedheights.org/index.asp?SEC=407F7286-34E9-495F-B5F7-88E905D7C9A5</t>
        </is>
      </c>
      <c r="H103" s="952" t="inlineStr">
        <is>
          <t>Use for parcels inside this jurisdiction; confirm the parcel's actual county before relying on county recorder or assessor records.</t>
        </is>
      </c>
      <c r="I103" s="1129" t="n">
        <v>46213</v>
      </c>
      <c r="J103" s="951" t="inlineStr">
        <is>
          <t>Useful</t>
        </is>
      </c>
    </row>
    <row r="104" ht="42" customHeight="1">
      <c r="A104" s="952" t="inlineStr">
        <is>
          <t>Federal Heights</t>
        </is>
      </c>
      <c r="B104" s="952" t="inlineStr">
        <is>
          <t>Newsletter</t>
        </is>
      </c>
      <c r="C104" s="952" t="inlineStr">
        <is>
          <t>The Federal Heights Focus</t>
        </is>
      </c>
      <c r="D104" s="952" t="inlineStr">
        <is>
          <t>Quarterly official city newsletter.</t>
        </is>
      </c>
      <c r="E104" s="952" t="inlineStr">
        <is>
          <t>Monitor policy, infrastructure and community updates.</t>
        </is>
      </c>
      <c r="F104" s="952" t="inlineStr">
        <is>
          <t>Yes</t>
        </is>
      </c>
      <c r="G104" s="1188" t="inlineStr">
        <is>
          <t>https://www.fedheights.org/index.asp?SEC=%7B2E7DCCA1-1FEF-4EA7-8AE7-6C3F92D19EF3%7D&amp;persistdesign=none</t>
        </is>
      </c>
      <c r="H104" s="952" t="inlineStr">
        <is>
          <t>Use for parcels inside this jurisdiction; confirm the parcel's actual county before relying on county recorder or assessor records.</t>
        </is>
      </c>
      <c r="I104" s="1129" t="n">
        <v>46213</v>
      </c>
      <c r="J104" s="951" t="inlineStr">
        <is>
          <t>Useful</t>
        </is>
      </c>
    </row>
    <row r="105" ht="42" customHeight="1">
      <c r="A105" s="952" t="inlineStr">
        <is>
          <t>Lochbuie</t>
        </is>
      </c>
      <c r="B105" s="952" t="inlineStr">
        <is>
          <t>Official Website</t>
        </is>
      </c>
      <c r="C105" s="952" t="inlineStr">
        <is>
          <t>Town of Lochbuie</t>
        </is>
      </c>
      <c r="D105" s="952" t="inlineStr">
        <is>
          <t>Main town website.</t>
        </is>
      </c>
      <c r="E105" s="952" t="inlineStr">
        <is>
          <t>Navigate municipal services and updates.</t>
        </is>
      </c>
      <c r="F105" s="952" t="inlineStr">
        <is>
          <t>Yes</t>
        </is>
      </c>
      <c r="G105" s="1188" t="inlineStr">
        <is>
          <t>https://www.lochbuie.org/</t>
        </is>
      </c>
      <c r="H105" s="952" t="inlineStr">
        <is>
          <t>Use for parcels inside this jurisdiction; confirm the parcel's actual county before relying on county recorder or assessor records.</t>
        </is>
      </c>
      <c r="I105" s="1129" t="n">
        <v>46213</v>
      </c>
      <c r="J105" s="951" t="inlineStr">
        <is>
          <t>Reference</t>
        </is>
      </c>
    </row>
    <row r="106" ht="42" customHeight="1">
      <c r="A106" s="952" t="inlineStr">
        <is>
          <t>Lochbuie</t>
        </is>
      </c>
      <c r="B106" s="952" t="inlineStr">
        <is>
          <t>GIS / Property</t>
        </is>
      </c>
      <c r="C106" s="952" t="inlineStr">
        <is>
          <t>Interactive Land Use Map</t>
        </is>
      </c>
      <c r="D106" s="952" t="inlineStr">
        <is>
          <t>Interactive land-use and planning map.</t>
        </is>
      </c>
      <c r="E106" s="952" t="inlineStr">
        <is>
          <t>Research zoning and land-use information.</t>
        </is>
      </c>
      <c r="F106" s="952" t="inlineStr">
        <is>
          <t>Yes</t>
        </is>
      </c>
      <c r="G106" s="1188" t="inlineStr">
        <is>
          <t>https://www.lochbuie.org/community-dev/page/interactive-land-use-map</t>
        </is>
      </c>
      <c r="H106" s="952" t="inlineStr">
        <is>
          <t>Use for parcels inside this jurisdiction; confirm the parcel's actual county before relying on county recorder or assessor records.</t>
        </is>
      </c>
      <c r="I106" s="1129" t="n">
        <v>46213</v>
      </c>
      <c r="J106" s="951" t="inlineStr">
        <is>
          <t>Critical</t>
        </is>
      </c>
    </row>
    <row r="107" ht="42" customHeight="1">
      <c r="A107" s="952" t="inlineStr">
        <is>
          <t>Lochbuie</t>
        </is>
      </c>
      <c r="B107" s="952" t="inlineStr">
        <is>
          <t>GIS / Maps</t>
        </is>
      </c>
      <c r="C107" s="952" t="inlineStr">
        <is>
          <t>Maps</t>
        </is>
      </c>
      <c r="D107" s="952" t="inlineStr">
        <is>
          <t>Town mapping resources.</t>
        </is>
      </c>
      <c r="E107" s="952" t="inlineStr">
        <is>
          <t>Confirm planning areas and municipal map information.</t>
        </is>
      </c>
      <c r="F107" s="952" t="inlineStr">
        <is>
          <t>Yes</t>
        </is>
      </c>
      <c r="G107" s="1188" t="inlineStr">
        <is>
          <t>https://www.lochbuie.org/community-dev/page/maps</t>
        </is>
      </c>
      <c r="H107" s="952" t="inlineStr">
        <is>
          <t>Use for parcels inside this jurisdiction; confirm the parcel's actual county before relying on county recorder or assessor records.</t>
        </is>
      </c>
      <c r="I107" s="1129" t="n">
        <v>46213</v>
      </c>
      <c r="J107" s="951" t="inlineStr">
        <is>
          <t>High</t>
        </is>
      </c>
    </row>
    <row r="108" ht="42" customHeight="1">
      <c r="A108" s="952" t="inlineStr">
        <is>
          <t>Lochbuie</t>
        </is>
      </c>
      <c r="B108" s="952" t="inlineStr">
        <is>
          <t>Zoning</t>
        </is>
      </c>
      <c r="C108" s="952" t="inlineStr">
        <is>
          <t>Zoning Map</t>
        </is>
      </c>
      <c r="D108" s="952" t="inlineStr">
        <is>
          <t>Official town zoning map.</t>
        </is>
      </c>
      <c r="E108" s="952" t="inlineStr">
        <is>
          <t>Identify a property's zoning district.</t>
        </is>
      </c>
      <c r="F108" s="952" t="inlineStr">
        <is>
          <t>Yes</t>
        </is>
      </c>
      <c r="G108" s="1188" t="inlineStr">
        <is>
          <t>https://www.lochbuie.org/administration/page/zoning-map</t>
        </is>
      </c>
      <c r="H108" s="952" t="inlineStr">
        <is>
          <t>Use for parcels inside this jurisdiction; confirm the parcel's actual county before relying on county recorder or assessor records.</t>
        </is>
      </c>
      <c r="I108" s="1129" t="n">
        <v>46213</v>
      </c>
      <c r="J108" s="951" t="inlineStr">
        <is>
          <t>Critical</t>
        </is>
      </c>
    </row>
    <row r="109" ht="42" customHeight="1">
      <c r="A109" s="952" t="inlineStr">
        <is>
          <t>Lochbuie</t>
        </is>
      </c>
      <c r="B109" s="952" t="inlineStr">
        <is>
          <t>Planning</t>
        </is>
      </c>
      <c r="C109" s="952" t="inlineStr">
        <is>
          <t>Current Planning</t>
        </is>
      </c>
      <c r="D109" s="952" t="inlineStr">
        <is>
          <t>Current planning applications and services.</t>
        </is>
      </c>
      <c r="E109" s="952" t="inlineStr">
        <is>
          <t>Research ongoing land-use review.</t>
        </is>
      </c>
      <c r="F109" s="952" t="inlineStr">
        <is>
          <t>Yes</t>
        </is>
      </c>
      <c r="G109" s="1188" t="inlineStr">
        <is>
          <t>https://www.lochbuie.org/community-dev/page/current-planning</t>
        </is>
      </c>
      <c r="H109" s="952" t="inlineStr">
        <is>
          <t>Use for parcels inside this jurisdiction; confirm the parcel's actual county before relying on county recorder or assessor records.</t>
        </is>
      </c>
      <c r="I109" s="1129" t="n">
        <v>46213</v>
      </c>
      <c r="J109" s="951" t="inlineStr">
        <is>
          <t>Critical</t>
        </is>
      </c>
    </row>
    <row r="110" ht="42" customHeight="1">
      <c r="A110" s="952" t="inlineStr">
        <is>
          <t>Lochbuie</t>
        </is>
      </c>
      <c r="B110" s="952" t="inlineStr">
        <is>
          <t>Planning</t>
        </is>
      </c>
      <c r="C110" s="952" t="inlineStr">
        <is>
          <t>Community Development</t>
        </is>
      </c>
      <c r="D110" s="952" t="inlineStr">
        <is>
          <t>Planning, building and development resources.</t>
        </is>
      </c>
      <c r="E110" s="952" t="inlineStr">
        <is>
          <t>Start project feasibility and entitlement research.</t>
        </is>
      </c>
      <c r="F110" s="952" t="inlineStr">
        <is>
          <t>Yes</t>
        </is>
      </c>
      <c r="G110" s="1188" t="inlineStr">
        <is>
          <t>https://www.lochbuie.org/community-dev</t>
        </is>
      </c>
      <c r="H110" s="952" t="inlineStr">
        <is>
          <t>Use for parcels inside this jurisdiction; confirm the parcel's actual county before relying on county recorder or assessor records.</t>
        </is>
      </c>
      <c r="I110" s="1129" t="n">
        <v>46213</v>
      </c>
      <c r="J110" s="951" t="inlineStr">
        <is>
          <t>High</t>
        </is>
      </c>
    </row>
    <row r="111" ht="42" customHeight="1">
      <c r="A111" s="952" t="inlineStr">
        <is>
          <t>Lochbuie</t>
        </is>
      </c>
      <c r="B111" s="952" t="inlineStr">
        <is>
          <t>Development</t>
        </is>
      </c>
      <c r="C111" s="952" t="inlineStr">
        <is>
          <t>Land Use Applications</t>
        </is>
      </c>
      <c r="D111" s="952" t="inlineStr">
        <is>
          <t>Land-use applications and procedural resources.</t>
        </is>
      </c>
      <c r="E111" s="952" t="inlineStr">
        <is>
          <t>Determine application types and requirements.</t>
        </is>
      </c>
      <c r="F111" s="952" t="inlineStr">
        <is>
          <t>Yes</t>
        </is>
      </c>
      <c r="G111" s="1188" t="inlineStr">
        <is>
          <t>https://www.lochbuie.org/community-dev/page/land-use-applications</t>
        </is>
      </c>
      <c r="H111" s="952" t="inlineStr">
        <is>
          <t>Use for parcels inside this jurisdiction; confirm the parcel's actual county before relying on county recorder or assessor records.</t>
        </is>
      </c>
      <c r="I111" s="1129" t="n">
        <v>46213</v>
      </c>
      <c r="J111" s="951" t="inlineStr">
        <is>
          <t>High</t>
        </is>
      </c>
    </row>
    <row r="112" ht="42" customHeight="1">
      <c r="A112" s="952" t="inlineStr">
        <is>
          <t>Lochbuie</t>
        </is>
      </c>
      <c r="B112" s="952" t="inlineStr">
        <is>
          <t>Development</t>
        </is>
      </c>
      <c r="C112" s="952" t="inlineStr">
        <is>
          <t>Development Resources</t>
        </is>
      </c>
      <c r="D112" s="952" t="inlineStr">
        <is>
          <t>Development forms, standards and guidance.</t>
        </is>
      </c>
      <c r="E112" s="952" t="inlineStr">
        <is>
          <t>Prepare a development submittal.</t>
        </is>
      </c>
      <c r="F112" s="952" t="inlineStr">
        <is>
          <t>Yes</t>
        </is>
      </c>
      <c r="G112" s="1188" t="inlineStr">
        <is>
          <t>https://www.lochbuie.org/community-dev/page/development-resources</t>
        </is>
      </c>
      <c r="H112" s="952" t="inlineStr">
        <is>
          <t>Use for parcels inside this jurisdiction; confirm the parcel's actual county before relying on county recorder or assessor records.</t>
        </is>
      </c>
      <c r="I112" s="1129" t="n">
        <v>46213</v>
      </c>
      <c r="J112" s="951" t="inlineStr">
        <is>
          <t>High</t>
        </is>
      </c>
    </row>
    <row r="113" ht="42" customHeight="1">
      <c r="A113" s="952" t="inlineStr">
        <is>
          <t>Lochbuie</t>
        </is>
      </c>
      <c r="B113" s="952" t="inlineStr">
        <is>
          <t>Development</t>
        </is>
      </c>
      <c r="C113" s="952" t="inlineStr">
        <is>
          <t>Active Projects</t>
        </is>
      </c>
      <c r="D113" s="952" t="inlineStr">
        <is>
          <t>Current town projects.</t>
        </is>
      </c>
      <c r="E113" s="952" t="inlineStr">
        <is>
          <t>Monitor development and infrastructure activity.</t>
        </is>
      </c>
      <c r="F113" s="952" t="inlineStr">
        <is>
          <t>Yes</t>
        </is>
      </c>
      <c r="G113" s="1188" t="inlineStr">
        <is>
          <t>https://www.lochbuie.org/projects</t>
        </is>
      </c>
      <c r="H113" s="952" t="inlineStr">
        <is>
          <t>Use for parcels inside this jurisdiction; confirm the parcel's actual county before relying on county recorder or assessor records.</t>
        </is>
      </c>
      <c r="I113" s="1129" t="n">
        <v>46213</v>
      </c>
      <c r="J113" s="951" t="inlineStr">
        <is>
          <t>High</t>
        </is>
      </c>
    </row>
    <row r="114" ht="42" customHeight="1">
      <c r="A114" s="952" t="inlineStr">
        <is>
          <t>Lochbuie</t>
        </is>
      </c>
      <c r="B114" s="952" t="inlineStr">
        <is>
          <t>Permits</t>
        </is>
      </c>
      <c r="C114" s="952" t="inlineStr">
        <is>
          <t>Building Permits and Inspections</t>
        </is>
      </c>
      <c r="D114" s="952" t="inlineStr">
        <is>
          <t>Building permit and inspection guidance.</t>
        </is>
      </c>
      <c r="E114" s="952" t="inlineStr">
        <is>
          <t>Research construction permitting.</t>
        </is>
      </c>
      <c r="F114" s="952" t="inlineStr">
        <is>
          <t>Yes</t>
        </is>
      </c>
      <c r="G114" s="1188" t="inlineStr">
        <is>
          <t>https://www.lochbuie.org/community-dev/page/building-permits-and-inspections</t>
        </is>
      </c>
      <c r="H114" s="952" t="inlineStr">
        <is>
          <t>Use for parcels inside this jurisdiction; confirm the parcel's actual county before relying on county recorder or assessor records.</t>
        </is>
      </c>
      <c r="I114" s="1129" t="n">
        <v>46213</v>
      </c>
      <c r="J114" s="951" t="inlineStr">
        <is>
          <t>Critical</t>
        </is>
      </c>
    </row>
    <row r="115" ht="42" customHeight="1">
      <c r="A115" s="952" t="inlineStr">
        <is>
          <t>Lochbuie</t>
        </is>
      </c>
      <c r="B115" s="952" t="inlineStr">
        <is>
          <t>Long-Range Planning</t>
        </is>
      </c>
      <c r="C115" s="952" t="inlineStr">
        <is>
          <t>Documents / Comprehensive Plan</t>
        </is>
      </c>
      <c r="D115" s="952" t="inlineStr">
        <is>
          <t>Adopted planning documents, including the current comprehensive plan.</t>
        </is>
      </c>
      <c r="E115" s="952" t="inlineStr">
        <is>
          <t>Evaluate future land-use and policy direction.</t>
        </is>
      </c>
      <c r="F115" s="952" t="inlineStr">
        <is>
          <t>Yes</t>
        </is>
      </c>
      <c r="G115" s="1188" t="inlineStr">
        <is>
          <t>https://www.lochbuie.org/community-dev/page/documents</t>
        </is>
      </c>
      <c r="H115" s="952" t="inlineStr">
        <is>
          <t>Use for parcels inside this jurisdiction; confirm the parcel's actual county before relying on county recorder or assessor records.</t>
        </is>
      </c>
      <c r="I115" s="1129" t="n">
        <v>46213</v>
      </c>
      <c r="J115" s="951" t="inlineStr">
        <is>
          <t>High</t>
        </is>
      </c>
    </row>
    <row r="116" ht="42" customHeight="1">
      <c r="A116" s="952" t="inlineStr">
        <is>
          <t>Lochbuie</t>
        </is>
      </c>
      <c r="B116" s="952" t="inlineStr">
        <is>
          <t>Long-Range Planning</t>
        </is>
      </c>
      <c r="C116" s="952" t="inlineStr">
        <is>
          <t>Long-Range Planning</t>
        </is>
      </c>
      <c r="D116" s="952" t="inlineStr">
        <is>
          <t>Long-range planning initiatives and plans.</t>
        </is>
      </c>
      <c r="E116" s="952" t="inlineStr">
        <is>
          <t>Track policy and growth planning.</t>
        </is>
      </c>
      <c r="F116" s="952" t="inlineStr">
        <is>
          <t>Yes</t>
        </is>
      </c>
      <c r="G116" s="1188" t="inlineStr">
        <is>
          <t>https://www.lochbuie.org/community-dev/page/long-range-planning</t>
        </is>
      </c>
      <c r="H116" s="952" t="inlineStr">
        <is>
          <t>Use for parcels inside this jurisdiction; confirm the parcel's actual county before relying on county recorder or assessor records.</t>
        </is>
      </c>
      <c r="I116" s="1129" t="n">
        <v>46213</v>
      </c>
      <c r="J116" s="951" t="inlineStr">
        <is>
          <t>High</t>
        </is>
      </c>
    </row>
    <row r="117" ht="42" customHeight="1">
      <c r="A117" s="952" t="inlineStr">
        <is>
          <t>Lochbuie</t>
        </is>
      </c>
      <c r="B117" s="952" t="inlineStr">
        <is>
          <t>Code</t>
        </is>
      </c>
      <c r="C117" s="952" t="inlineStr">
        <is>
          <t>Ordinances</t>
        </is>
      </c>
      <c r="D117" s="952" t="inlineStr">
        <is>
          <t>Town ordinances and adopted regulations.</t>
        </is>
      </c>
      <c r="E117" s="952" t="inlineStr">
        <is>
          <t>Review recent legal changes and local rules.</t>
        </is>
      </c>
      <c r="F117" s="952" t="inlineStr">
        <is>
          <t>Yes</t>
        </is>
      </c>
      <c r="G117" s="1188" t="inlineStr">
        <is>
          <t>https://www.lochbuie.org/publicnotice/page/ordinances</t>
        </is>
      </c>
      <c r="H117" s="952" t="inlineStr">
        <is>
          <t>Use for parcels inside this jurisdiction; confirm the parcel's actual county before relying on county recorder or assessor records.</t>
        </is>
      </c>
      <c r="I117" s="1129" t="n">
        <v>46213</v>
      </c>
      <c r="J117" s="951" t="inlineStr">
        <is>
          <t>High</t>
        </is>
      </c>
    </row>
    <row r="118" ht="42" customHeight="1">
      <c r="A118" s="952" t="inlineStr">
        <is>
          <t>Lochbuie</t>
        </is>
      </c>
      <c r="B118" s="952" t="inlineStr">
        <is>
          <t>Meetings</t>
        </is>
      </c>
      <c r="C118" s="952" t="inlineStr">
        <is>
          <t>Upcoming Meetings</t>
        </is>
      </c>
      <c r="D118" s="952" t="inlineStr">
        <is>
          <t>Upcoming board and commission meetings.</t>
        </is>
      </c>
      <c r="E118" s="952" t="inlineStr">
        <is>
          <t>Monitor hearing dates and agendas.</t>
        </is>
      </c>
      <c r="F118" s="952" t="inlineStr">
        <is>
          <t>Yes</t>
        </is>
      </c>
      <c r="G118" s="1188" t="inlineStr">
        <is>
          <t>https://www.lochbuie.org/meetings</t>
        </is>
      </c>
      <c r="H118" s="952" t="inlineStr">
        <is>
          <t>Use for parcels inside this jurisdiction; confirm the parcel's actual county before relying on county recorder or assessor records.</t>
        </is>
      </c>
      <c r="I118" s="1129" t="n">
        <v>46213</v>
      </c>
      <c r="J118" s="951" t="inlineStr">
        <is>
          <t>High</t>
        </is>
      </c>
    </row>
    <row r="119" ht="42" customHeight="1">
      <c r="A119" s="952" t="inlineStr">
        <is>
          <t>Lochbuie</t>
        </is>
      </c>
      <c r="B119" s="952" t="inlineStr">
        <is>
          <t>Public Notices</t>
        </is>
      </c>
      <c r="C119" s="952" t="inlineStr">
        <is>
          <t>Public Notices</t>
        </is>
      </c>
      <c r="D119" s="952" t="inlineStr">
        <is>
          <t>Official public notices.</t>
        </is>
      </c>
      <c r="E119" s="952" t="inlineStr">
        <is>
          <t>Confirm hearings, ordinances and deadlines.</t>
        </is>
      </c>
      <c r="F119" s="952" t="inlineStr">
        <is>
          <t>Yes</t>
        </is>
      </c>
      <c r="G119" s="1188" t="inlineStr">
        <is>
          <t>https://www.lochbuie.org/publicnotice</t>
        </is>
      </c>
      <c r="H119" s="952" t="inlineStr">
        <is>
          <t>Use for parcels inside this jurisdiction; confirm the parcel's actual county before relying on county recorder or assessor records.</t>
        </is>
      </c>
      <c r="I119" s="1129" t="n">
        <v>46213</v>
      </c>
      <c r="J119" s="951" t="inlineStr">
        <is>
          <t>High</t>
        </is>
      </c>
    </row>
    <row r="120" ht="42" customHeight="1">
      <c r="A120" s="952" t="inlineStr">
        <is>
          <t>Lochbuie</t>
        </is>
      </c>
      <c r="B120" s="952" t="inlineStr">
        <is>
          <t>News</t>
        </is>
      </c>
      <c r="C120" s="952" t="inlineStr">
        <is>
          <t>Town News</t>
        </is>
      </c>
      <c r="D120" s="952" t="inlineStr">
        <is>
          <t>Official town news.</t>
        </is>
      </c>
      <c r="E120" s="952" t="inlineStr">
        <is>
          <t>Monitor development and municipal announcements.</t>
        </is>
      </c>
      <c r="F120" s="952" t="inlineStr">
        <is>
          <t>Yes</t>
        </is>
      </c>
      <c r="G120" s="1188" t="inlineStr">
        <is>
          <t>https://www.lochbuie.org/news</t>
        </is>
      </c>
      <c r="H120" s="952" t="inlineStr">
        <is>
          <t>Use for parcels inside this jurisdiction; confirm the parcel's actual county before relying on county recorder or assessor records.</t>
        </is>
      </c>
      <c r="I120" s="1129" t="n">
        <v>46213</v>
      </c>
      <c r="J120" s="951" t="inlineStr">
        <is>
          <t>Useful</t>
        </is>
      </c>
    </row>
    <row r="121" ht="42" customHeight="1">
      <c r="A121" s="952" t="inlineStr">
        <is>
          <t>Lochbuie</t>
        </is>
      </c>
      <c r="B121" s="952" t="inlineStr">
        <is>
          <t>Alerts</t>
        </is>
      </c>
      <c r="C121" s="952" t="inlineStr">
        <is>
          <t>Resident Portal / Alerts</t>
        </is>
      </c>
      <c r="D121" s="952" t="inlineStr">
        <is>
          <t>Town alert and portal resources.</t>
        </is>
      </c>
      <c r="E121" s="952" t="inlineStr">
        <is>
          <t>Subscribe to current notices and updates.</t>
        </is>
      </c>
      <c r="F121" s="952" t="inlineStr">
        <is>
          <t>Yes</t>
        </is>
      </c>
      <c r="G121" s="1188" t="inlineStr">
        <is>
          <t>https://www.lochbuie.org/portal</t>
        </is>
      </c>
      <c r="H121" s="952" t="inlineStr">
        <is>
          <t>Use for parcels inside this jurisdiction; confirm the parcel's actual county before relying on county recorder or assessor records.</t>
        </is>
      </c>
      <c r="I121" s="1129" t="n">
        <v>46213</v>
      </c>
      <c r="J121" s="951" t="inlineStr">
        <is>
          <t>Useful</t>
        </is>
      </c>
    </row>
    <row r="122" ht="42" customHeight="1">
      <c r="A122" s="952" t="inlineStr">
        <is>
          <t>Northglenn</t>
        </is>
      </c>
      <c r="B122" s="952" t="inlineStr">
        <is>
          <t>Official Website</t>
        </is>
      </c>
      <c r="C122" s="952" t="inlineStr">
        <is>
          <t>City of Northglenn</t>
        </is>
      </c>
      <c r="D122" s="952" t="inlineStr">
        <is>
          <t>Main city website.</t>
        </is>
      </c>
      <c r="E122" s="952" t="inlineStr">
        <is>
          <t>Navigate city services and departments.</t>
        </is>
      </c>
      <c r="F122" s="952" t="inlineStr">
        <is>
          <t>Yes</t>
        </is>
      </c>
      <c r="G122" s="1188" t="inlineStr">
        <is>
          <t>https://www.northglenn.org/</t>
        </is>
      </c>
      <c r="H122" s="952" t="inlineStr">
        <is>
          <t>Use for parcels inside this jurisdiction; confirm the parcel's actual county before relying on county recorder or assessor records.</t>
        </is>
      </c>
      <c r="I122" s="1129" t="n">
        <v>46213</v>
      </c>
      <c r="J122" s="951" t="inlineStr">
        <is>
          <t>Reference</t>
        </is>
      </c>
    </row>
    <row r="123" ht="42" customHeight="1">
      <c r="A123" s="952" t="inlineStr">
        <is>
          <t>Northglenn</t>
        </is>
      </c>
      <c r="B123" s="952" t="inlineStr">
        <is>
          <t>Planning</t>
        </is>
      </c>
      <c r="C123" s="952" t="inlineStr">
        <is>
          <t>Planning &amp; Development</t>
        </is>
      </c>
      <c r="D123" s="952" t="inlineStr">
        <is>
          <t>Planning, development review and economic-development resources.</t>
        </is>
      </c>
      <c r="E123" s="952" t="inlineStr">
        <is>
          <t>Start land-use and development research.</t>
        </is>
      </c>
      <c r="F123" s="952" t="inlineStr">
        <is>
          <t>Yes</t>
        </is>
      </c>
      <c r="G123" s="1188" t="inlineStr">
        <is>
          <t>https://www.northglenn.org/government/departments/planning_development/index.php</t>
        </is>
      </c>
      <c r="H123" s="952" t="inlineStr">
        <is>
          <t>Use for parcels inside this jurisdiction; confirm the parcel's actual county before relying on county recorder or assessor records.</t>
        </is>
      </c>
      <c r="I123" s="1129" t="n">
        <v>46213</v>
      </c>
      <c r="J123" s="951" t="inlineStr">
        <is>
          <t>Critical</t>
        </is>
      </c>
    </row>
    <row r="124" ht="42" customHeight="1">
      <c r="A124" s="952" t="inlineStr">
        <is>
          <t>Northglenn</t>
        </is>
      </c>
      <c r="B124" s="952" t="inlineStr">
        <is>
          <t>Zoning</t>
        </is>
      </c>
      <c r="C124" s="952" t="inlineStr">
        <is>
          <t>Land Use &amp; Zoning</t>
        </is>
      </c>
      <c r="D124" s="952" t="inlineStr">
        <is>
          <t>Zoning, land-use code and applications.</t>
        </is>
      </c>
      <c r="E124" s="952" t="inlineStr">
        <is>
          <t>Confirm district rules and application options.</t>
        </is>
      </c>
      <c r="F124" s="952" t="inlineStr">
        <is>
          <t>Yes</t>
        </is>
      </c>
      <c r="G124" s="1188" t="inlineStr">
        <is>
          <t>https://www.northglenn.org/government/land_use_zoning/index.php</t>
        </is>
      </c>
      <c r="H124" s="952" t="inlineStr">
        <is>
          <t>Use for parcels inside this jurisdiction; confirm the parcel's actual county before relying on county recorder or assessor records.</t>
        </is>
      </c>
      <c r="I124" s="1129" t="n">
        <v>46213</v>
      </c>
      <c r="J124" s="951" t="inlineStr">
        <is>
          <t>Critical</t>
        </is>
      </c>
    </row>
    <row r="125" ht="42" customHeight="1">
      <c r="A125" s="952" t="inlineStr">
        <is>
          <t>Northglenn</t>
        </is>
      </c>
      <c r="B125" s="952" t="inlineStr">
        <is>
          <t>GIS / Zoning</t>
        </is>
      </c>
      <c r="C125" s="952" t="inlineStr">
        <is>
          <t>Zoning Map</t>
        </is>
      </c>
      <c r="D125" s="952" t="inlineStr">
        <is>
          <t>Official zoning map.</t>
        </is>
      </c>
      <c r="E125" s="952" t="inlineStr">
        <is>
          <t>Identify parcel zoning.</t>
        </is>
      </c>
      <c r="F125" s="952" t="inlineStr">
        <is>
          <t>Yes</t>
        </is>
      </c>
      <c r="G125" s="1188" t="inlineStr">
        <is>
          <t>https://www.northglenn.org/government/land_use_zoning/zoning_map.php</t>
        </is>
      </c>
      <c r="H125" s="952" t="inlineStr">
        <is>
          <t>Use for parcels inside this jurisdiction; confirm the parcel's actual county before relying on county recorder or assessor records.</t>
        </is>
      </c>
      <c r="I125" s="1129" t="n">
        <v>46213</v>
      </c>
      <c r="J125" s="951" t="inlineStr">
        <is>
          <t>Critical</t>
        </is>
      </c>
    </row>
    <row r="126" ht="42" customHeight="1">
      <c r="A126" s="952" t="inlineStr">
        <is>
          <t>Northglenn</t>
        </is>
      </c>
      <c r="B126" s="952" t="inlineStr">
        <is>
          <t>GIS / Property</t>
        </is>
      </c>
      <c r="C126" s="952" t="inlineStr">
        <is>
          <t>QuickZone</t>
        </is>
      </c>
      <c r="D126" s="952" t="inlineStr">
        <is>
          <t>Interactive zoning/property lookup.</t>
        </is>
      </c>
      <c r="E126" s="952" t="inlineStr">
        <is>
          <t>Search an address and retrieve zoning information.</t>
        </is>
      </c>
      <c r="F126" s="952" t="inlineStr">
        <is>
          <t>Yes</t>
        </is>
      </c>
      <c r="G126" s="1188" t="inlineStr">
        <is>
          <t>https://biz.northglenn.org/quickzone</t>
        </is>
      </c>
      <c r="H126" s="952" t="inlineStr">
        <is>
          <t>Use for parcels inside this jurisdiction; confirm the parcel's actual county before relying on county recorder or assessor records.</t>
        </is>
      </c>
      <c r="I126" s="1129" t="n">
        <v>46213</v>
      </c>
      <c r="J126" s="951" t="inlineStr">
        <is>
          <t>Critical</t>
        </is>
      </c>
    </row>
    <row r="127" ht="42" customHeight="1">
      <c r="A127" s="952" t="inlineStr">
        <is>
          <t>Northglenn</t>
        </is>
      </c>
      <c r="B127" s="952" t="inlineStr">
        <is>
          <t>Code</t>
        </is>
      </c>
      <c r="C127" s="952" t="inlineStr">
        <is>
          <t>Unified Development Ordinance</t>
        </is>
      </c>
      <c r="D127" s="952" t="inlineStr">
        <is>
          <t>Northglenn land-use and development code.</t>
        </is>
      </c>
      <c r="E127" s="952" t="inlineStr">
        <is>
          <t>Review permitted uses, design and development standards.</t>
        </is>
      </c>
      <c r="F127" s="952" t="inlineStr">
        <is>
          <t>Yes</t>
        </is>
      </c>
      <c r="G127" s="1188" t="inlineStr">
        <is>
          <t>https://www.northglenn.org/government/land_use_zoning/new_code_northglenn.php</t>
        </is>
      </c>
      <c r="H127" s="952" t="inlineStr">
        <is>
          <t>Use for parcels inside this jurisdiction; confirm the parcel's actual county before relying on county recorder or assessor records.</t>
        </is>
      </c>
      <c r="I127" s="1129" t="n">
        <v>46213</v>
      </c>
      <c r="J127" s="951" t="inlineStr">
        <is>
          <t>Critical</t>
        </is>
      </c>
    </row>
    <row r="128" ht="42" customHeight="1">
      <c r="A128" s="952" t="inlineStr">
        <is>
          <t>Northglenn</t>
        </is>
      </c>
      <c r="B128" s="952" t="inlineStr">
        <is>
          <t>Development</t>
        </is>
      </c>
      <c r="C128" s="952" t="inlineStr">
        <is>
          <t>Land Use Applications</t>
        </is>
      </c>
      <c r="D128" s="952" t="inlineStr">
        <is>
          <t>Land-use application types and materials.</t>
        </is>
      </c>
      <c r="E128" s="952" t="inlineStr">
        <is>
          <t>Determine entitlement requirements.</t>
        </is>
      </c>
      <c r="F128" s="952" t="inlineStr">
        <is>
          <t>Yes</t>
        </is>
      </c>
      <c r="G128" s="1188" t="inlineStr">
        <is>
          <t>https://www.northglenn.org/government/land_use_zoning/land_use_applications.php</t>
        </is>
      </c>
      <c r="H128" s="952" t="inlineStr">
        <is>
          <t>Use for parcels inside this jurisdiction; confirm the parcel's actual county before relying on county recorder or assessor records.</t>
        </is>
      </c>
      <c r="I128" s="1129" t="n">
        <v>46213</v>
      </c>
      <c r="J128" s="951" t="inlineStr">
        <is>
          <t>High</t>
        </is>
      </c>
    </row>
    <row r="129" ht="42" customHeight="1">
      <c r="A129" s="952" t="inlineStr">
        <is>
          <t>Northglenn</t>
        </is>
      </c>
      <c r="B129" s="952" t="inlineStr">
        <is>
          <t>Development</t>
        </is>
      </c>
      <c r="C129" s="952" t="inlineStr">
        <is>
          <t>Development Review Process</t>
        </is>
      </c>
      <c r="D129" s="952" t="inlineStr">
        <is>
          <t>Development review process and steps.</t>
        </is>
      </c>
      <c r="E129" s="952" t="inlineStr">
        <is>
          <t>Estimate project path and review timing.</t>
        </is>
      </c>
      <c r="F129" s="952" t="inlineStr">
        <is>
          <t>Yes</t>
        </is>
      </c>
      <c r="G129" s="1188" t="inlineStr">
        <is>
          <t>https://www.northglenn.org/government/departments/planning_development/development_review_process.php</t>
        </is>
      </c>
      <c r="H129" s="952" t="inlineStr">
        <is>
          <t>Use for parcels inside this jurisdiction; confirm the parcel's actual county before relying on county recorder or assessor records.</t>
        </is>
      </c>
      <c r="I129" s="1129" t="n">
        <v>46213</v>
      </c>
      <c r="J129" s="951" t="inlineStr">
        <is>
          <t>High</t>
        </is>
      </c>
    </row>
    <row r="130" ht="42" customHeight="1">
      <c r="A130" s="952" t="inlineStr">
        <is>
          <t>Northglenn</t>
        </is>
      </c>
      <c r="B130" s="952" t="inlineStr">
        <is>
          <t>Development</t>
        </is>
      </c>
      <c r="C130" s="952" t="inlineStr">
        <is>
          <t>Project Updates</t>
        </is>
      </c>
      <c r="D130" s="952" t="inlineStr">
        <is>
          <t>City project and construction updates.</t>
        </is>
      </c>
      <c r="E130" s="952" t="inlineStr">
        <is>
          <t>Monitor development and public infrastructure projects.</t>
        </is>
      </c>
      <c r="F130" s="952" t="inlineStr">
        <is>
          <t>Yes</t>
        </is>
      </c>
      <c r="G130" s="1188" t="inlineStr">
        <is>
          <t>https://www.northglenn.org/government/project_updates/</t>
        </is>
      </c>
      <c r="H130" s="952" t="inlineStr">
        <is>
          <t>Use for parcels inside this jurisdiction; confirm the parcel's actual county before relying on county recorder or assessor records.</t>
        </is>
      </c>
      <c r="I130" s="1129" t="n">
        <v>46213</v>
      </c>
      <c r="J130" s="951" t="inlineStr">
        <is>
          <t>High</t>
        </is>
      </c>
    </row>
    <row r="131" ht="42" customHeight="1">
      <c r="A131" s="952" t="inlineStr">
        <is>
          <t>Northglenn</t>
        </is>
      </c>
      <c r="B131" s="952" t="inlineStr">
        <is>
          <t>Permits</t>
        </is>
      </c>
      <c r="C131" s="952" t="inlineStr">
        <is>
          <t>Licenses and Permits</t>
        </is>
      </c>
      <c r="D131" s="952" t="inlineStr">
        <is>
          <t>City licensing and permit resources.</t>
        </is>
      </c>
      <c r="E131" s="952" t="inlineStr">
        <is>
          <t>Locate applicable permits and application links.</t>
        </is>
      </c>
      <c r="F131" s="952" t="inlineStr">
        <is>
          <t>Yes</t>
        </is>
      </c>
      <c r="G131" s="1188" t="inlineStr">
        <is>
          <t>https://www.northglenn.org/services/licenses_and_permits/index.php</t>
        </is>
      </c>
      <c r="H131" s="952" t="inlineStr">
        <is>
          <t>Use for parcels inside this jurisdiction; confirm the parcel's actual county before relying on county recorder or assessor records.</t>
        </is>
      </c>
      <c r="I131" s="1129" t="n">
        <v>46213</v>
      </c>
      <c r="J131" s="951" t="inlineStr">
        <is>
          <t>High</t>
        </is>
      </c>
    </row>
    <row r="132" ht="42" customHeight="1">
      <c r="A132" s="952" t="inlineStr">
        <is>
          <t>Northglenn</t>
        </is>
      </c>
      <c r="B132" s="952" t="inlineStr">
        <is>
          <t>Permits</t>
        </is>
      </c>
      <c r="C132" s="952" t="inlineStr">
        <is>
          <t>Pull a Permit</t>
        </is>
      </c>
      <c r="D132" s="952" t="inlineStr">
        <is>
          <t>Building-permit application guidance.</t>
        </is>
      </c>
      <c r="E132" s="952" t="inlineStr">
        <is>
          <t>Apply for or research building permits.</t>
        </is>
      </c>
      <c r="F132" s="952" t="inlineStr">
        <is>
          <t>Yes</t>
        </is>
      </c>
      <c r="G132" s="1188" t="inlineStr">
        <is>
          <t>https://www.northglenn.org/government/departments/building/pull_a_permit.php</t>
        </is>
      </c>
      <c r="H132" s="952" t="inlineStr">
        <is>
          <t>Use for parcels inside this jurisdiction; confirm the parcel's actual county before relying on county recorder or assessor records.</t>
        </is>
      </c>
      <c r="I132" s="1129" t="n">
        <v>46213</v>
      </c>
      <c r="J132" s="951" t="inlineStr">
        <is>
          <t>Critical</t>
        </is>
      </c>
    </row>
    <row r="133" ht="42" customHeight="1">
      <c r="A133" s="952" t="inlineStr">
        <is>
          <t>Northglenn</t>
        </is>
      </c>
      <c r="B133" s="952" t="inlineStr">
        <is>
          <t>Long-Range Planning</t>
        </is>
      </c>
      <c r="C133" s="952" t="inlineStr">
        <is>
          <t>Comprehensive Plan</t>
        </is>
      </c>
      <c r="D133" s="952" t="inlineStr">
        <is>
          <t>Comprehensive-plan resources.</t>
        </is>
      </c>
      <c r="E133" s="952" t="inlineStr">
        <is>
          <t>Evaluate future land use and city policy.</t>
        </is>
      </c>
      <c r="F133" s="952" t="inlineStr">
        <is>
          <t>Yes</t>
        </is>
      </c>
      <c r="G133" s="1188" t="inlineStr">
        <is>
          <t>https://www.northglenn.org/government/land_use_zoning/comprehensive_plan.php</t>
        </is>
      </c>
      <c r="H133" s="952" t="inlineStr">
        <is>
          <t>Use for parcels inside this jurisdiction; confirm the parcel's actual county before relying on county recorder or assessor records.</t>
        </is>
      </c>
      <c r="I133" s="1129" t="n">
        <v>46213</v>
      </c>
      <c r="J133" s="951" t="inlineStr">
        <is>
          <t>High</t>
        </is>
      </c>
    </row>
    <row r="134" ht="42" customHeight="1">
      <c r="A134" s="952" t="inlineStr">
        <is>
          <t>Northglenn</t>
        </is>
      </c>
      <c r="B134" s="952" t="inlineStr">
        <is>
          <t>Plans</t>
        </is>
      </c>
      <c r="C134" s="952" t="inlineStr">
        <is>
          <t>Area Plans</t>
        </is>
      </c>
      <c r="D134" s="952" t="inlineStr">
        <is>
          <t>Adopted small-area and corridor plans.</t>
        </is>
      </c>
      <c r="E134" s="952" t="inlineStr">
        <is>
          <t>Research area-specific policies affecting a property.</t>
        </is>
      </c>
      <c r="F134" s="952" t="inlineStr">
        <is>
          <t>Yes</t>
        </is>
      </c>
      <c r="G134" s="1188" t="inlineStr">
        <is>
          <t>https://www.northglenn.org/government/land_use_zoning/area_plans/index.php</t>
        </is>
      </c>
      <c r="H134" s="952" t="inlineStr">
        <is>
          <t>Use for parcels inside this jurisdiction; confirm the parcel's actual county before relying on county recorder or assessor records.</t>
        </is>
      </c>
      <c r="I134" s="1129" t="n">
        <v>46213</v>
      </c>
      <c r="J134" s="951" t="inlineStr">
        <is>
          <t>Useful</t>
        </is>
      </c>
    </row>
    <row r="135" ht="42" customHeight="1">
      <c r="A135" s="952" t="inlineStr">
        <is>
          <t>Northglenn</t>
        </is>
      </c>
      <c r="B135" s="952" t="inlineStr">
        <is>
          <t>Meetings</t>
        </is>
      </c>
      <c r="C135" s="952" t="inlineStr">
        <is>
          <t>Planning Commission</t>
        </is>
      </c>
      <c r="D135" s="952" t="inlineStr">
        <is>
          <t>Planning Commission information.</t>
        </is>
      </c>
      <c r="E135" s="952" t="inlineStr">
        <is>
          <t>Monitor land-use hearings and recommendations.</t>
        </is>
      </c>
      <c r="F135" s="952" t="inlineStr">
        <is>
          <t>Yes</t>
        </is>
      </c>
      <c r="G135" s="1188" t="inlineStr">
        <is>
          <t>https://www.northglenn.org/government/boards_commissions/planning_commission.php</t>
        </is>
      </c>
      <c r="H135" s="952" t="inlineStr">
        <is>
          <t>Use for parcels inside this jurisdiction; confirm the parcel's actual county before relying on county recorder or assessor records.</t>
        </is>
      </c>
      <c r="I135" s="1129" t="n">
        <v>46213</v>
      </c>
      <c r="J135" s="951" t="inlineStr">
        <is>
          <t>High</t>
        </is>
      </c>
    </row>
    <row r="136" ht="42" customHeight="1">
      <c r="A136" s="952" t="inlineStr">
        <is>
          <t>Northglenn</t>
        </is>
      </c>
      <c r="B136" s="952" t="inlineStr">
        <is>
          <t>Meetings / Records</t>
        </is>
      </c>
      <c r="C136" s="952" t="inlineStr">
        <is>
          <t>Public Meeting Records</t>
        </is>
      </c>
      <c r="D136" s="952" t="inlineStr">
        <is>
          <t>Searchable agendas, minutes and public meeting documents.</t>
        </is>
      </c>
      <c r="E136" s="952" t="inlineStr">
        <is>
          <t>Track city council and board actions.</t>
        </is>
      </c>
      <c r="F136" s="952" t="inlineStr">
        <is>
          <t>Yes</t>
        </is>
      </c>
      <c r="G136" s="1188" t="inlineStr">
        <is>
          <t>https://webdocs.northglenn.org/</t>
        </is>
      </c>
      <c r="H136" s="952" t="inlineStr">
        <is>
          <t>Use for parcels inside this jurisdiction; confirm the parcel's actual county before relying on county recorder or assessor records.</t>
        </is>
      </c>
      <c r="I136" s="1129" t="n">
        <v>46213</v>
      </c>
      <c r="J136" s="951" t="inlineStr">
        <is>
          <t>High</t>
        </is>
      </c>
    </row>
    <row r="137" ht="42" customHeight="1">
      <c r="A137" s="952" t="inlineStr">
        <is>
          <t>Northglenn</t>
        </is>
      </c>
      <c r="B137" s="952" t="inlineStr">
        <is>
          <t>News</t>
        </is>
      </c>
      <c r="C137" s="952" t="inlineStr">
        <is>
          <t>City News Listings</t>
        </is>
      </c>
      <c r="D137" s="952" t="inlineStr">
        <is>
          <t>Official city news and announcements.</t>
        </is>
      </c>
      <c r="E137" s="952" t="inlineStr">
        <is>
          <t>Monitor projects, hearings and municipal changes.</t>
        </is>
      </c>
      <c r="F137" s="952" t="inlineStr">
        <is>
          <t>Yes</t>
        </is>
      </c>
      <c r="G137" s="1188" t="inlineStr">
        <is>
          <t>https://www.northglenn.org/newslist.php</t>
        </is>
      </c>
      <c r="H137" s="952" t="inlineStr">
        <is>
          <t>Use for parcels inside this jurisdiction; confirm the parcel's actual county before relying on county recorder or assessor records.</t>
        </is>
      </c>
      <c r="I137" s="1129" t="n">
        <v>46213</v>
      </c>
      <c r="J137" s="951" t="inlineStr">
        <is>
          <t>Useful</t>
        </is>
      </c>
    </row>
    <row r="138" ht="42" customHeight="1">
      <c r="A138" s="952" t="inlineStr">
        <is>
          <t>Northglenn</t>
        </is>
      </c>
      <c r="B138" s="952" t="inlineStr">
        <is>
          <t>Alerts</t>
        </is>
      </c>
      <c r="C138" s="952" t="inlineStr">
        <is>
          <t>TextMyGov Notifications</t>
        </is>
      </c>
      <c r="D138" s="952" t="inlineStr">
        <is>
          <t>Text alerts for council, utilities and city updates.</t>
        </is>
      </c>
      <c r="E138" s="952" t="inlineStr">
        <is>
          <t>Subscribe to hearings, road closures and government notices.</t>
        </is>
      </c>
      <c r="F138" s="952" t="inlineStr">
        <is>
          <t>Yes</t>
        </is>
      </c>
      <c r="G138" s="1188" t="inlineStr">
        <is>
          <t>https://www.northglenn.org/community/communications/textmygov.php</t>
        </is>
      </c>
      <c r="H138" s="952" t="inlineStr">
        <is>
          <t>Use for parcels inside this jurisdiction; confirm the parcel's actual county before relying on county recorder or assessor records.</t>
        </is>
      </c>
      <c r="I138" s="1129" t="n">
        <v>46213</v>
      </c>
      <c r="J138" s="951" t="inlineStr">
        <is>
          <t>Useful</t>
        </is>
      </c>
    </row>
    <row r="139" ht="42" customHeight="1">
      <c r="A139" s="952" t="inlineStr">
        <is>
          <t>Thornton</t>
        </is>
      </c>
      <c r="B139" s="952" t="inlineStr">
        <is>
          <t>Official Website</t>
        </is>
      </c>
      <c r="C139" s="952" t="inlineStr">
        <is>
          <t>City of Thornton</t>
        </is>
      </c>
      <c r="D139" s="952" t="inlineStr">
        <is>
          <t>Main city website.</t>
        </is>
      </c>
      <c r="E139" s="952" t="inlineStr">
        <is>
          <t>Navigate city services and departments.</t>
        </is>
      </c>
      <c r="F139" s="952" t="inlineStr">
        <is>
          <t>Yes</t>
        </is>
      </c>
      <c r="G139" s="1188" t="inlineStr">
        <is>
          <t>https://www.thorntonco.gov/</t>
        </is>
      </c>
      <c r="H139" s="952" t="inlineStr">
        <is>
          <t>Use for parcels inside this jurisdiction; confirm the parcel's actual county before relying on county recorder or assessor records.</t>
        </is>
      </c>
      <c r="I139" s="1129" t="n">
        <v>46213</v>
      </c>
      <c r="J139" s="951" t="inlineStr">
        <is>
          <t>Reference</t>
        </is>
      </c>
    </row>
    <row r="140" ht="42" customHeight="1">
      <c r="A140" s="952" t="inlineStr">
        <is>
          <t>Thornton</t>
        </is>
      </c>
      <c r="B140" s="952" t="inlineStr">
        <is>
          <t>Planning</t>
        </is>
      </c>
      <c r="C140" s="952" t="inlineStr">
        <is>
          <t>City Development</t>
        </is>
      </c>
      <c r="D140" s="952" t="inlineStr">
        <is>
          <t>Planning, building, development engineering and long-range resources.</t>
        </is>
      </c>
      <c r="E140" s="952" t="inlineStr">
        <is>
          <t>Start land-use, permitting and development research.</t>
        </is>
      </c>
      <c r="F140" s="952" t="inlineStr">
        <is>
          <t>Yes</t>
        </is>
      </c>
      <c r="G140" s="1188" t="inlineStr">
        <is>
          <t>https://www.thorntonco.gov/business-development/city-development</t>
        </is>
      </c>
      <c r="H140" s="952" t="inlineStr">
        <is>
          <t>Use for parcels inside this jurisdiction; confirm the parcel's actual county before relying on county recorder or assessor records.</t>
        </is>
      </c>
      <c r="I140" s="1129" t="n">
        <v>46213</v>
      </c>
      <c r="J140" s="951" t="inlineStr">
        <is>
          <t>Critical</t>
        </is>
      </c>
    </row>
    <row r="141" ht="42" customHeight="1">
      <c r="A141" s="952" t="inlineStr">
        <is>
          <t>Thornton</t>
        </is>
      </c>
      <c r="B141" s="952" t="inlineStr">
        <is>
          <t>Zoning</t>
        </is>
      </c>
      <c r="C141" s="952" t="inlineStr">
        <is>
          <t>Current Planning &amp; Zoning</t>
        </is>
      </c>
      <c r="D141" s="952" t="inlineStr">
        <is>
          <t>Zoning, development applications and current planning.</t>
        </is>
      </c>
      <c r="E141" s="952" t="inlineStr">
        <is>
          <t>Confirm zoning and active entitlement processes.</t>
        </is>
      </c>
      <c r="F141" s="952" t="inlineStr">
        <is>
          <t>Yes</t>
        </is>
      </c>
      <c r="G141" s="1188" t="inlineStr">
        <is>
          <t>https://www.thorntonco.gov/business-development/city-development/current-planning-zoning</t>
        </is>
      </c>
      <c r="H141" s="952" t="inlineStr">
        <is>
          <t>Use for parcels inside this jurisdiction; confirm the parcel's actual county before relying on county recorder or assessor records.</t>
        </is>
      </c>
      <c r="I141" s="1129" t="n">
        <v>46213</v>
      </c>
      <c r="J141" s="951" t="inlineStr">
        <is>
          <t>Critical</t>
        </is>
      </c>
    </row>
    <row r="142" ht="42" customHeight="1">
      <c r="A142" s="952" t="inlineStr">
        <is>
          <t>Thornton</t>
        </is>
      </c>
      <c r="B142" s="952" t="inlineStr">
        <is>
          <t>Zoning</t>
        </is>
      </c>
      <c r="C142" s="952" t="inlineStr">
        <is>
          <t>Zoning Districts, Uses and Regulations</t>
        </is>
      </c>
      <c r="D142" s="952" t="inlineStr">
        <is>
          <t>District standards and use regulations.</t>
        </is>
      </c>
      <c r="E142" s="952" t="inlineStr">
        <is>
          <t>Evaluate allowed uses and dimensional standards.</t>
        </is>
      </c>
      <c r="F142" s="952" t="inlineStr">
        <is>
          <t>Yes</t>
        </is>
      </c>
      <c r="G142" s="1188" t="inlineStr">
        <is>
          <t>https://www.thorntonco.gov/business-development/city-development/current-planning-zoning/zoning-districts-uses-and-regulations</t>
        </is>
      </c>
      <c r="H142" s="952" t="inlineStr">
        <is>
          <t>Use for parcels inside this jurisdiction; confirm the parcel's actual county before relying on county recorder or assessor records.</t>
        </is>
      </c>
      <c r="I142" s="1129" t="n">
        <v>46213</v>
      </c>
      <c r="J142" s="951" t="inlineStr">
        <is>
          <t>Critical</t>
        </is>
      </c>
    </row>
    <row r="143" ht="42" customHeight="1">
      <c r="A143" s="952" t="inlineStr">
        <is>
          <t>Thornton</t>
        </is>
      </c>
      <c r="B143" s="952" t="inlineStr">
        <is>
          <t>GIS / Property</t>
        </is>
      </c>
      <c r="C143" s="952" t="inlineStr">
        <is>
          <t>Interactive Zoning / Property Map</t>
        </is>
      </c>
      <c r="D143" s="952" t="inlineStr">
        <is>
          <t>Interactive city zoning and parcel map.</t>
        </is>
      </c>
      <c r="E143" s="952" t="inlineStr">
        <is>
          <t>Locate a parcel and screen zoning and mapped attributes.</t>
        </is>
      </c>
      <c r="F143" s="952" t="inlineStr">
        <is>
          <t>Yes</t>
        </is>
      </c>
      <c r="G143" s="1188" t="inlineStr">
        <is>
          <t>https://cityofthornton.maps.arcgis.com/apps/webappviewer/index.html?id=643abe02e8b8446586b6eb6d8ed43f84</t>
        </is>
      </c>
      <c r="H143" s="952" t="inlineStr">
        <is>
          <t>Use for parcels inside this jurisdiction; confirm the parcel's actual county before relying on county recorder or assessor records.</t>
        </is>
      </c>
      <c r="I143" s="1129" t="n">
        <v>46213</v>
      </c>
      <c r="J143" s="951" t="inlineStr">
        <is>
          <t>Critical</t>
        </is>
      </c>
    </row>
    <row r="144" ht="42" customHeight="1">
      <c r="A144" s="952" t="inlineStr">
        <is>
          <t>Thornton</t>
        </is>
      </c>
      <c r="B144" s="952" t="inlineStr">
        <is>
          <t>GIS / Open Data</t>
        </is>
      </c>
      <c r="C144" s="952" t="inlineStr">
        <is>
          <t>Thornton GIS Open Data</t>
        </is>
      </c>
      <c r="D144" s="952" t="inlineStr">
        <is>
          <t>Downloadable city GIS layers and maps.</t>
        </is>
      </c>
      <c r="E144" s="952" t="inlineStr">
        <is>
          <t>Perform advanced mapping and spatial analysis.</t>
        </is>
      </c>
      <c r="F144" s="952" t="inlineStr">
        <is>
          <t>Yes</t>
        </is>
      </c>
      <c r="G144" s="1188" t="inlineStr">
        <is>
          <t>https://data-cityofthornton.opendata.arcgis.com/</t>
        </is>
      </c>
      <c r="H144" s="952" t="inlineStr">
        <is>
          <t>Use for parcels inside this jurisdiction; confirm the parcel's actual county before relying on county recorder or assessor records.</t>
        </is>
      </c>
      <c r="I144" s="1129" t="n">
        <v>46213</v>
      </c>
      <c r="J144" s="951" t="inlineStr">
        <is>
          <t>Useful</t>
        </is>
      </c>
    </row>
    <row r="145" ht="42" customHeight="1">
      <c r="A145" s="952" t="inlineStr">
        <is>
          <t>Thornton</t>
        </is>
      </c>
      <c r="B145" s="952" t="inlineStr">
        <is>
          <t>Development</t>
        </is>
      </c>
      <c r="C145" s="952" t="inlineStr">
        <is>
          <t>Planning Application Search</t>
        </is>
      </c>
      <c r="D145" s="952" t="inlineStr">
        <is>
          <t>CityView search for planning applications.</t>
        </is>
      </c>
      <c r="E145" s="952" t="inlineStr">
        <is>
          <t>Check planning cases and application records.</t>
        </is>
      </c>
      <c r="F145" s="952" t="inlineStr">
        <is>
          <t>Yes</t>
        </is>
      </c>
      <c r="G145" s="1188" t="inlineStr">
        <is>
          <t>https://cityviewportal.thorntonco.gov/Planning/Locator</t>
        </is>
      </c>
      <c r="H145" s="952" t="inlineStr">
        <is>
          <t>Use for parcels inside this jurisdiction; confirm the parcel's actual county before relying on county recorder or assessor records.</t>
        </is>
      </c>
      <c r="I145" s="1129" t="n">
        <v>46213</v>
      </c>
      <c r="J145" s="951" t="inlineStr">
        <is>
          <t>Critical</t>
        </is>
      </c>
    </row>
    <row r="146" ht="42" customHeight="1">
      <c r="A146" s="952" t="inlineStr">
        <is>
          <t>Thornton</t>
        </is>
      </c>
      <c r="B146" s="952" t="inlineStr">
        <is>
          <t>Development</t>
        </is>
      </c>
      <c r="C146" s="952" t="inlineStr">
        <is>
          <t>Active Development</t>
        </is>
      </c>
      <c r="D146" s="952" t="inlineStr">
        <is>
          <t>Current development projects and related information.</t>
        </is>
      </c>
      <c r="E146" s="952" t="inlineStr">
        <is>
          <t>Identify nearby development and status.</t>
        </is>
      </c>
      <c r="F146" s="952" t="inlineStr">
        <is>
          <t>Yes</t>
        </is>
      </c>
      <c r="G146" s="1188" t="inlineStr">
        <is>
          <t>https://www.thorntonco.gov/business-development/active-development</t>
        </is>
      </c>
      <c r="H146" s="952" t="inlineStr">
        <is>
          <t>Use for parcels inside this jurisdiction; confirm the parcel's actual county before relying on county recorder or assessor records.</t>
        </is>
      </c>
      <c r="I146" s="1129" t="n">
        <v>46213</v>
      </c>
      <c r="J146" s="951" t="inlineStr">
        <is>
          <t>Critical</t>
        </is>
      </c>
    </row>
    <row r="147" ht="42" customHeight="1">
      <c r="A147" s="952" t="inlineStr">
        <is>
          <t>Thornton</t>
        </is>
      </c>
      <c r="B147" s="952" t="inlineStr">
        <is>
          <t>Development</t>
        </is>
      </c>
      <c r="C147" s="952" t="inlineStr">
        <is>
          <t>Development Applications</t>
        </is>
      </c>
      <c r="D147" s="952" t="inlineStr">
        <is>
          <t>Application types and development review resources.</t>
        </is>
      </c>
      <c r="E147" s="952" t="inlineStr">
        <is>
          <t>Determine entitlement and submittal requirements.</t>
        </is>
      </c>
      <c r="F147" s="952" t="inlineStr">
        <is>
          <t>Yes</t>
        </is>
      </c>
      <c r="G147" s="1188" t="inlineStr">
        <is>
          <t>https://www.thorntonco.gov/business-development/city-development/current-planning-zoning/development-applications</t>
        </is>
      </c>
      <c r="H147" s="952" t="inlineStr">
        <is>
          <t>Use for parcels inside this jurisdiction; confirm the parcel's actual county before relying on county recorder or assessor records.</t>
        </is>
      </c>
      <c r="I147" s="1129" t="n">
        <v>46213</v>
      </c>
      <c r="J147" s="951" t="inlineStr">
        <is>
          <t>High</t>
        </is>
      </c>
    </row>
    <row r="148" ht="42" customHeight="1">
      <c r="A148" s="952" t="inlineStr">
        <is>
          <t>Thornton</t>
        </is>
      </c>
      <c r="B148" s="952" t="inlineStr">
        <is>
          <t>Development</t>
        </is>
      </c>
      <c r="C148" s="952" t="inlineStr">
        <is>
          <t>Development Engineering &amp; Construction</t>
        </is>
      </c>
      <c r="D148" s="952" t="inlineStr">
        <is>
          <t>Engineering, construction and infrastructure review.</t>
        </is>
      </c>
      <c r="E148" s="952" t="inlineStr">
        <is>
          <t>Research civil plans, access and construction requirements.</t>
        </is>
      </c>
      <c r="F148" s="952" t="inlineStr">
        <is>
          <t>Yes</t>
        </is>
      </c>
      <c r="G148" s="1188" t="inlineStr">
        <is>
          <t>https://www.thorntonco.gov/business-development/city-development/development-engineering-construction</t>
        </is>
      </c>
      <c r="H148" s="952" t="inlineStr">
        <is>
          <t>Use for parcels inside this jurisdiction; confirm the parcel's actual county before relying on county recorder or assessor records.</t>
        </is>
      </c>
      <c r="I148" s="1129" t="n">
        <v>46213</v>
      </c>
      <c r="J148" s="951" t="inlineStr">
        <is>
          <t>High</t>
        </is>
      </c>
    </row>
    <row r="149" ht="42" customHeight="1">
      <c r="A149" s="952" t="inlineStr">
        <is>
          <t>Thornton</t>
        </is>
      </c>
      <c r="B149" s="952" t="inlineStr">
        <is>
          <t>Permits</t>
        </is>
      </c>
      <c r="C149" s="952" t="inlineStr">
        <is>
          <t>Building Permits &amp; Inspections</t>
        </is>
      </c>
      <c r="D149" s="952" t="inlineStr">
        <is>
          <t>Building permits, inspections and contractor information.</t>
        </is>
      </c>
      <c r="E149" s="952" t="inlineStr">
        <is>
          <t>Research construction permits.</t>
        </is>
      </c>
      <c r="F149" s="952" t="inlineStr">
        <is>
          <t>Yes</t>
        </is>
      </c>
      <c r="G149" s="1188" t="inlineStr">
        <is>
          <t>https://www.thorntonco.gov/business-development/city-development/building-permits-inspections</t>
        </is>
      </c>
      <c r="H149" s="952" t="inlineStr">
        <is>
          <t>Use for parcels inside this jurisdiction; confirm the parcel's actual county before relying on county recorder or assessor records.</t>
        </is>
      </c>
      <c r="I149" s="1129" t="n">
        <v>46213</v>
      </c>
      <c r="J149" s="951" t="inlineStr">
        <is>
          <t>Critical</t>
        </is>
      </c>
    </row>
    <row r="150" ht="42" customHeight="1">
      <c r="A150" s="952" t="inlineStr">
        <is>
          <t>Thornton</t>
        </is>
      </c>
      <c r="B150" s="952" t="inlineStr">
        <is>
          <t>Permits</t>
        </is>
      </c>
      <c r="C150" s="952" t="inlineStr">
        <is>
          <t>Permit Search</t>
        </is>
      </c>
      <c r="D150" s="952" t="inlineStr">
        <is>
          <t>CityView permit and submittal search.</t>
        </is>
      </c>
      <c r="E150" s="952" t="inlineStr">
        <is>
          <t>Check permit records and status.</t>
        </is>
      </c>
      <c r="F150" s="952" t="inlineStr">
        <is>
          <t>Yes</t>
        </is>
      </c>
      <c r="G150" s="1188" t="inlineStr">
        <is>
          <t>https://cityviewportal.thorntonco.gov/Permit/LocatorSubmittals</t>
        </is>
      </c>
      <c r="H150" s="952" t="inlineStr">
        <is>
          <t>Use for parcels inside this jurisdiction; confirm the parcel's actual county before relying on county recorder or assessor records.</t>
        </is>
      </c>
      <c r="I150" s="1129" t="n">
        <v>46213</v>
      </c>
      <c r="J150" s="951" t="inlineStr">
        <is>
          <t>Critical</t>
        </is>
      </c>
    </row>
    <row r="151" ht="42" customHeight="1">
      <c r="A151" s="952" t="inlineStr">
        <is>
          <t>Thornton</t>
        </is>
      </c>
      <c r="B151" s="952" t="inlineStr">
        <is>
          <t>Online Portal</t>
        </is>
      </c>
      <c r="C151" s="952" t="inlineStr">
        <is>
          <t>Thornton Permit Portal</t>
        </is>
      </c>
      <c r="D151" s="952" t="inlineStr">
        <is>
          <t>Online permit application portal.</t>
        </is>
      </c>
      <c r="E151" s="952" t="inlineStr">
        <is>
          <t>Submit or manage permits.</t>
        </is>
      </c>
      <c r="F151" s="952" t="inlineStr">
        <is>
          <t>Yes</t>
        </is>
      </c>
      <c r="G151" s="1188" t="inlineStr">
        <is>
          <t>https://permits.thorntonco.gov/</t>
        </is>
      </c>
      <c r="H151" s="952" t="inlineStr">
        <is>
          <t>Use for parcels inside this jurisdiction; confirm the parcel's actual county before relying on county recorder or assessor records.</t>
        </is>
      </c>
      <c r="I151" s="1129" t="n">
        <v>46213</v>
      </c>
      <c r="J151" s="951" t="inlineStr">
        <is>
          <t>High</t>
        </is>
      </c>
    </row>
    <row r="152" ht="42" customHeight="1">
      <c r="A152" s="952" t="inlineStr">
        <is>
          <t>Thornton</t>
        </is>
      </c>
      <c r="B152" s="952" t="inlineStr">
        <is>
          <t>Long-Range Planning</t>
        </is>
      </c>
      <c r="C152" s="952" t="inlineStr">
        <is>
          <t>Long Range Planning</t>
        </is>
      </c>
      <c r="D152" s="952" t="inlineStr">
        <is>
          <t>Long-range planning programs and resources.</t>
        </is>
      </c>
      <c r="E152" s="952" t="inlineStr">
        <is>
          <t>Evaluate future growth and policy context.</t>
        </is>
      </c>
      <c r="F152" s="952" t="inlineStr">
        <is>
          <t>Yes</t>
        </is>
      </c>
      <c r="G152" s="1188" t="inlineStr">
        <is>
          <t>https://www.thorntonco.gov/business-development/city-development/long-range-planning</t>
        </is>
      </c>
      <c r="H152" s="952" t="inlineStr">
        <is>
          <t>Use for parcels inside this jurisdiction; confirm the parcel's actual county before relying on county recorder or assessor records.</t>
        </is>
      </c>
      <c r="I152" s="1129" t="n">
        <v>46213</v>
      </c>
      <c r="J152" s="951" t="inlineStr">
        <is>
          <t>High</t>
        </is>
      </c>
    </row>
    <row r="153" ht="42" customHeight="1">
      <c r="A153" s="952" t="inlineStr">
        <is>
          <t>Thornton</t>
        </is>
      </c>
      <c r="B153" s="952" t="inlineStr">
        <is>
          <t>Long-Range Planning</t>
        </is>
      </c>
      <c r="C153" s="952" t="inlineStr">
        <is>
          <t>Thornton Comprehensive Plan</t>
        </is>
      </c>
      <c r="D153" s="952" t="inlineStr">
        <is>
          <t>Current comprehensive-plan resources.</t>
        </is>
      </c>
      <c r="E153" s="952" t="inlineStr">
        <is>
          <t>Review future land use and citywide policy.</t>
        </is>
      </c>
      <c r="F153" s="952" t="inlineStr">
        <is>
          <t>Yes</t>
        </is>
      </c>
      <c r="G153" s="1188" t="inlineStr">
        <is>
          <t>https://www.thorntonco.gov/business-development/city-development/long-range-planning/plans/thornton-comprehensive-plan</t>
        </is>
      </c>
      <c r="H153" s="952" t="inlineStr">
        <is>
          <t>Use for parcels inside this jurisdiction; confirm the parcel's actual county before relying on county recorder or assessor records.</t>
        </is>
      </c>
      <c r="I153" s="1129" t="n">
        <v>46213</v>
      </c>
      <c r="J153" s="951" t="inlineStr">
        <is>
          <t>High</t>
        </is>
      </c>
    </row>
    <row r="154" ht="42" customHeight="1">
      <c r="A154" s="952" t="inlineStr">
        <is>
          <t>Thornton</t>
        </is>
      </c>
      <c r="B154" s="952" t="inlineStr">
        <is>
          <t>Long-Range Planning</t>
        </is>
      </c>
      <c r="C154" s="952" t="inlineStr">
        <is>
          <t>Current Long-Range Projects</t>
        </is>
      </c>
      <c r="D154" s="952" t="inlineStr">
        <is>
          <t>Current planning initiatives and plan updates.</t>
        </is>
      </c>
      <c r="E154" s="952" t="inlineStr">
        <is>
          <t>Track future policy changes affecting property.</t>
        </is>
      </c>
      <c r="F154" s="952" t="inlineStr">
        <is>
          <t>Yes</t>
        </is>
      </c>
      <c r="G154" s="1188" t="inlineStr">
        <is>
          <t>https://www.thorntonco.gov/business-development/city-development/long-range-planning/current-projects</t>
        </is>
      </c>
      <c r="H154" s="952" t="inlineStr">
        <is>
          <t>Use for parcels inside this jurisdiction; confirm the parcel's actual county before relying on county recorder or assessor records.</t>
        </is>
      </c>
      <c r="I154" s="1129" t="n">
        <v>46213</v>
      </c>
      <c r="J154" s="951" t="inlineStr">
        <is>
          <t>High</t>
        </is>
      </c>
    </row>
    <row r="155" ht="42" customHeight="1">
      <c r="A155" s="952" t="inlineStr">
        <is>
          <t>Thornton</t>
        </is>
      </c>
      <c r="B155" s="952" t="inlineStr">
        <is>
          <t>Meetings</t>
        </is>
      </c>
      <c r="C155" s="952" t="inlineStr">
        <is>
          <t>Planning Commission / Board of Adjustment</t>
        </is>
      </c>
      <c r="D155" s="952" t="inlineStr">
        <is>
          <t>Board and commission information.</t>
        </is>
      </c>
      <c r="E155" s="952" t="inlineStr">
        <is>
          <t>Monitor land-use hearings, variances and appeals.</t>
        </is>
      </c>
      <c r="F155" s="952" t="inlineStr">
        <is>
          <t>Yes</t>
        </is>
      </c>
      <c r="G155" s="1188" t="inlineStr">
        <is>
          <t>https://www.thorntonco.gov/government/boards-commissions/planning-commission-board-adjustment</t>
        </is>
      </c>
      <c r="H155" s="952" t="inlineStr">
        <is>
          <t>Use for parcels inside this jurisdiction; confirm the parcel's actual county before relying on county recorder or assessor records.</t>
        </is>
      </c>
      <c r="I155" s="1129" t="n">
        <v>46213</v>
      </c>
      <c r="J155" s="951" t="inlineStr">
        <is>
          <t>High</t>
        </is>
      </c>
    </row>
    <row r="156" ht="42" customHeight="1">
      <c r="A156" s="952" t="inlineStr">
        <is>
          <t>Thornton</t>
        </is>
      </c>
      <c r="B156" s="952" t="inlineStr">
        <is>
          <t>Meetings</t>
        </is>
      </c>
      <c r="C156" s="952" t="inlineStr">
        <is>
          <t>Upcoming Meetings</t>
        </is>
      </c>
      <c r="D156" s="952" t="inlineStr">
        <is>
          <t>City council and public meeting calendar.</t>
        </is>
      </c>
      <c r="E156" s="952" t="inlineStr">
        <is>
          <t>Track meeting dates and agenda publication.</t>
        </is>
      </c>
      <c r="F156" s="952" t="inlineStr">
        <is>
          <t>Yes</t>
        </is>
      </c>
      <c r="G156" s="1188" t="inlineStr">
        <is>
          <t>https://www.thorntonco.gov/government/mayor-council/upcoming-meetings</t>
        </is>
      </c>
      <c r="H156" s="952" t="inlineStr">
        <is>
          <t>Use for parcels inside this jurisdiction; confirm the parcel's actual county before relying on county recorder or assessor records.</t>
        </is>
      </c>
      <c r="I156" s="1129" t="n">
        <v>46213</v>
      </c>
      <c r="J156" s="951" t="inlineStr">
        <is>
          <t>High</t>
        </is>
      </c>
    </row>
    <row r="157" ht="42" customHeight="1">
      <c r="A157" s="952" t="inlineStr">
        <is>
          <t>Thornton</t>
        </is>
      </c>
      <c r="B157" s="952" t="inlineStr">
        <is>
          <t>Public Notices</t>
        </is>
      </c>
      <c r="C157" s="952" t="inlineStr">
        <is>
          <t>Public Notices</t>
        </is>
      </c>
      <c r="D157" s="952" t="inlineStr">
        <is>
          <t>Approved ordinances, hearing notices and other public notices.</t>
        </is>
      </c>
      <c r="E157" s="952" t="inlineStr">
        <is>
          <t>Confirm formal hearings and legal actions.</t>
        </is>
      </c>
      <c r="F157" s="952" t="inlineStr">
        <is>
          <t>Yes</t>
        </is>
      </c>
      <c r="G157" s="1188" t="inlineStr">
        <is>
          <t>https://www.thorntonco.gov/government/public-notices</t>
        </is>
      </c>
      <c r="H157" s="952" t="inlineStr">
        <is>
          <t>Use for parcels inside this jurisdiction; confirm the parcel's actual county before relying on county recorder or assessor records.</t>
        </is>
      </c>
      <c r="I157" s="1129" t="n">
        <v>46213</v>
      </c>
      <c r="J157" s="951" t="inlineStr">
        <is>
          <t>High</t>
        </is>
      </c>
    </row>
    <row r="158" ht="42" customHeight="1">
      <c r="A158" s="952" t="inlineStr">
        <is>
          <t>Thornton</t>
        </is>
      </c>
      <c r="B158" s="952" t="inlineStr">
        <is>
          <t>News</t>
        </is>
      </c>
      <c r="C158" s="952" t="inlineStr">
        <is>
          <t>Thornton News</t>
        </is>
      </c>
      <c r="D158" s="952" t="inlineStr">
        <is>
          <t>Official city news and City Voice items.</t>
        </is>
      </c>
      <c r="E158" s="952" t="inlineStr">
        <is>
          <t>Monitor projects, council actions and city updates.</t>
        </is>
      </c>
      <c r="F158" s="952" t="inlineStr">
        <is>
          <t>Yes</t>
        </is>
      </c>
      <c r="G158" s="1188" t="inlineStr">
        <is>
          <t>https://www.thorntonco.gov/news</t>
        </is>
      </c>
      <c r="H158" s="952" t="inlineStr">
        <is>
          <t>Use for parcels inside this jurisdiction; confirm the parcel's actual county before relying on county recorder or assessor records.</t>
        </is>
      </c>
      <c r="I158" s="1129" t="n">
        <v>46213</v>
      </c>
      <c r="J158" s="951" t="inlineStr">
        <is>
          <t>Useful</t>
        </is>
      </c>
    </row>
    <row r="159" ht="42" customHeight="1">
      <c r="A159" s="952" t="inlineStr">
        <is>
          <t>Thornton</t>
        </is>
      </c>
      <c r="B159" s="952" t="inlineStr">
        <is>
          <t>Alerts</t>
        </is>
      </c>
      <c r="C159" s="952" t="inlineStr">
        <is>
          <t>T-Alerts</t>
        </is>
      </c>
      <c r="D159" s="952" t="inlineStr">
        <is>
          <t>Email subscriptions for meetings, development and city topics.</t>
        </is>
      </c>
      <c r="E159" s="952" t="inlineStr">
        <is>
          <t>Subscribe to current updates and meeting documents.</t>
        </is>
      </c>
      <c r="F159" s="952" t="inlineStr">
        <is>
          <t>Yes</t>
        </is>
      </c>
      <c r="G159" s="1188" t="inlineStr">
        <is>
          <t>https://talerts.thorntonco.gov/</t>
        </is>
      </c>
      <c r="H159" s="952" t="inlineStr">
        <is>
          <t>Use for parcels inside this jurisdiction; confirm the parcel's actual county before relying on county recorder or assessor records.</t>
        </is>
      </c>
      <c r="I159" s="1129" t="n">
        <v>46213</v>
      </c>
      <c r="J159" s="951" t="inlineStr">
        <is>
          <t>Useful</t>
        </is>
      </c>
    </row>
    <row r="160" ht="42" customHeight="1">
      <c r="A160" s="952" t="inlineStr">
        <is>
          <t>Westminster</t>
        </is>
      </c>
      <c r="B160" s="952" t="inlineStr">
        <is>
          <t>Official Website</t>
        </is>
      </c>
      <c r="C160" s="952" t="inlineStr">
        <is>
          <t>City of Westminster</t>
        </is>
      </c>
      <c r="D160" s="952" t="inlineStr">
        <is>
          <t>Main city website.</t>
        </is>
      </c>
      <c r="E160" s="952" t="inlineStr">
        <is>
          <t>Navigate city services and departments.</t>
        </is>
      </c>
      <c r="F160" s="952" t="inlineStr">
        <is>
          <t>Yes</t>
        </is>
      </c>
      <c r="G160" s="1188" t="inlineStr">
        <is>
          <t>https://www.westminsterco.gov/</t>
        </is>
      </c>
      <c r="H160" s="952" t="inlineStr">
        <is>
          <t>Use for parcels inside this jurisdiction; confirm the parcel's actual county before relying on county recorder or assessor records.</t>
        </is>
      </c>
      <c r="I160" s="1129" t="n">
        <v>46213</v>
      </c>
      <c r="J160" s="951" t="inlineStr">
        <is>
          <t>Reference</t>
        </is>
      </c>
    </row>
    <row r="161" ht="42" customHeight="1">
      <c r="A161" s="952" t="inlineStr">
        <is>
          <t>Westminster</t>
        </is>
      </c>
      <c r="B161" s="952" t="inlineStr">
        <is>
          <t>GIS / Property</t>
        </is>
      </c>
      <c r="C161" s="952" t="inlineStr">
        <is>
          <t>Maps</t>
        </is>
      </c>
      <c r="D161" s="952" t="inlineStr">
        <is>
          <t>City maps and GIS resources.</t>
        </is>
      </c>
      <c r="E161" s="952" t="inlineStr">
        <is>
          <t>Research zoning, parcels, utilities and city boundaries.</t>
        </is>
      </c>
      <c r="F161" s="952" t="inlineStr">
        <is>
          <t>Yes</t>
        </is>
      </c>
      <c r="G161" s="1188" t="inlineStr">
        <is>
          <t>https://www.westminsterco.gov/471/Maps</t>
        </is>
      </c>
      <c r="H161" s="952" t="inlineStr">
        <is>
          <t>Use for parcels inside this jurisdiction; confirm the parcel's actual county before relying on county recorder or assessor records.</t>
        </is>
      </c>
      <c r="I161" s="1129" t="n">
        <v>46213</v>
      </c>
      <c r="J161" s="951" t="inlineStr">
        <is>
          <t>Critical</t>
        </is>
      </c>
    </row>
    <row r="162" ht="42" customHeight="1">
      <c r="A162" s="952" t="inlineStr">
        <is>
          <t>Westminster</t>
        </is>
      </c>
      <c r="B162" s="952" t="inlineStr">
        <is>
          <t>Zoning</t>
        </is>
      </c>
      <c r="C162" s="952" t="inlineStr">
        <is>
          <t>Zoning</t>
        </is>
      </c>
      <c r="D162" s="952" t="inlineStr">
        <is>
          <t>Zoning map, districts and zoning resources.</t>
        </is>
      </c>
      <c r="E162" s="952" t="inlineStr">
        <is>
          <t>Confirm zoning and use standards.</t>
        </is>
      </c>
      <c r="F162" s="952" t="inlineStr">
        <is>
          <t>Yes</t>
        </is>
      </c>
      <c r="G162" s="1188" t="inlineStr">
        <is>
          <t>https://www.westminsterco.gov/727/Zoning</t>
        </is>
      </c>
      <c r="H162" s="952" t="inlineStr">
        <is>
          <t>Use for parcels inside this jurisdiction; confirm the parcel's actual county before relying on county recorder or assessor records.</t>
        </is>
      </c>
      <c r="I162" s="1129" t="n">
        <v>46213</v>
      </c>
      <c r="J162" s="951" t="inlineStr">
        <is>
          <t>Critical</t>
        </is>
      </c>
    </row>
    <row r="163" ht="42" customHeight="1">
      <c r="A163" s="952" t="inlineStr">
        <is>
          <t>Westminster</t>
        </is>
      </c>
      <c r="B163" s="952" t="inlineStr">
        <is>
          <t>Planning</t>
        </is>
      </c>
      <c r="C163" s="952" t="inlineStr">
        <is>
          <t>Planning</t>
        </is>
      </c>
      <c r="D163" s="952" t="inlineStr">
        <is>
          <t>Planning services, plans and development review.</t>
        </is>
      </c>
      <c r="E163" s="952" t="inlineStr">
        <is>
          <t>Start land-use and entitlement research.</t>
        </is>
      </c>
      <c r="F163" s="952" t="inlineStr">
        <is>
          <t>Yes</t>
        </is>
      </c>
      <c r="G163" s="1188" t="inlineStr">
        <is>
          <t>https://www.westminsterco.gov/707/Planning</t>
        </is>
      </c>
      <c r="H163" s="952" t="inlineStr">
        <is>
          <t>Use for parcels inside this jurisdiction; confirm the parcel's actual county before relying on county recorder or assessor records.</t>
        </is>
      </c>
      <c r="I163" s="1129" t="n">
        <v>46213</v>
      </c>
      <c r="J163" s="951" t="inlineStr">
        <is>
          <t>Critical</t>
        </is>
      </c>
    </row>
    <row r="164" ht="42" customHeight="1">
      <c r="A164" s="952" t="inlineStr">
        <is>
          <t>Westminster</t>
        </is>
      </c>
      <c r="B164" s="952" t="inlineStr">
        <is>
          <t>Development</t>
        </is>
      </c>
      <c r="C164" s="952" t="inlineStr">
        <is>
          <t>Develop in Westminster</t>
        </is>
      </c>
      <c r="D164" s="952" t="inlineStr">
        <is>
          <t>Development process, applications and standards.</t>
        </is>
      </c>
      <c r="E164" s="952" t="inlineStr">
        <is>
          <t>Understand approvals and development requirements.</t>
        </is>
      </c>
      <c r="F164" s="952" t="inlineStr">
        <is>
          <t>Yes</t>
        </is>
      </c>
      <c r="G164" s="1188" t="inlineStr">
        <is>
          <t>https://www.westminsterco.gov/703/Develop-in-Westminster</t>
        </is>
      </c>
      <c r="H164" s="952" t="inlineStr">
        <is>
          <t>Use for parcels inside this jurisdiction; confirm the parcel's actual county before relying on county recorder or assessor records.</t>
        </is>
      </c>
      <c r="I164" s="1129" t="n">
        <v>46213</v>
      </c>
      <c r="J164" s="951" t="inlineStr">
        <is>
          <t>High</t>
        </is>
      </c>
    </row>
    <row r="165" ht="42" customHeight="1">
      <c r="A165" s="952" t="inlineStr">
        <is>
          <t>Westminster</t>
        </is>
      </c>
      <c r="B165" s="952" t="inlineStr">
        <is>
          <t>Development</t>
        </is>
      </c>
      <c r="C165" s="952" t="inlineStr">
        <is>
          <t>Current Development Project Map</t>
        </is>
      </c>
      <c r="D165" s="952" t="inlineStr">
        <is>
          <t>Interactive map of current development projects.</t>
        </is>
      </c>
      <c r="E165" s="952" t="inlineStr">
        <is>
          <t>Identify active projects near a property.</t>
        </is>
      </c>
      <c r="F165" s="952" t="inlineStr">
        <is>
          <t>Yes</t>
        </is>
      </c>
      <c r="G165" s="1188" t="inlineStr">
        <is>
          <t>https://www.westminsterco.gov/855/Current-Development-Project-Map</t>
        </is>
      </c>
      <c r="H165" s="952" t="inlineStr">
        <is>
          <t>Use for parcels inside this jurisdiction; confirm the parcel's actual county before relying on county recorder or assessor records.</t>
        </is>
      </c>
      <c r="I165" s="1129" t="n">
        <v>46213</v>
      </c>
      <c r="J165" s="951" t="inlineStr">
        <is>
          <t>Critical</t>
        </is>
      </c>
    </row>
    <row r="166" ht="42" customHeight="1">
      <c r="A166" s="952" t="inlineStr">
        <is>
          <t>Westminster</t>
        </is>
      </c>
      <c r="B166" s="952" t="inlineStr">
        <is>
          <t>Development</t>
        </is>
      </c>
      <c r="C166" s="952" t="inlineStr">
        <is>
          <t>Redevelopment</t>
        </is>
      </c>
      <c r="D166" s="952" t="inlineStr">
        <is>
          <t>Redevelopment plans and initiatives.</t>
        </is>
      </c>
      <c r="E166" s="952" t="inlineStr">
        <is>
          <t>Research targeted redevelopment areas and programs.</t>
        </is>
      </c>
      <c r="F166" s="952" t="inlineStr">
        <is>
          <t>Yes</t>
        </is>
      </c>
      <c r="G166" s="1188" t="inlineStr">
        <is>
          <t>https://www.westminsterco.gov/1060/Redevelopment</t>
        </is>
      </c>
      <c r="H166" s="952" t="inlineStr">
        <is>
          <t>Use for parcels inside this jurisdiction; confirm the parcel's actual county before relying on county recorder or assessor records.</t>
        </is>
      </c>
      <c r="I166" s="1129" t="n">
        <v>46213</v>
      </c>
      <c r="J166" s="951" t="inlineStr">
        <is>
          <t>High</t>
        </is>
      </c>
    </row>
    <row r="167" ht="42" customHeight="1">
      <c r="A167" s="952" t="inlineStr">
        <is>
          <t>Westminster</t>
        </is>
      </c>
      <c r="B167" s="952" t="inlineStr">
        <is>
          <t>Permits</t>
        </is>
      </c>
      <c r="C167" s="952" t="inlineStr">
        <is>
          <t>Permits &amp; Licenses</t>
        </is>
      </c>
      <c r="D167" s="952" t="inlineStr">
        <is>
          <t>Permit and licensing resources.</t>
        </is>
      </c>
      <c r="E167" s="952" t="inlineStr">
        <is>
          <t>Find applicable city permits and licenses.</t>
        </is>
      </c>
      <c r="F167" s="952" t="inlineStr">
        <is>
          <t>Yes</t>
        </is>
      </c>
      <c r="G167" s="1188" t="inlineStr">
        <is>
          <t>https://www.westminsterco.gov/833/Permits-Licenses</t>
        </is>
      </c>
      <c r="H167" s="952" t="inlineStr">
        <is>
          <t>Use for parcels inside this jurisdiction; confirm the parcel's actual county before relying on county recorder or assessor records.</t>
        </is>
      </c>
      <c r="I167" s="1129" t="n">
        <v>46213</v>
      </c>
      <c r="J167" s="951" t="inlineStr">
        <is>
          <t>High</t>
        </is>
      </c>
    </row>
    <row r="168" ht="42" customHeight="1">
      <c r="A168" s="952" t="inlineStr">
        <is>
          <t>Westminster</t>
        </is>
      </c>
      <c r="B168" s="952" t="inlineStr">
        <is>
          <t>Permits</t>
        </is>
      </c>
      <c r="C168" s="952" t="inlineStr">
        <is>
          <t>Apply for a Permit / Project</t>
        </is>
      </c>
      <c r="D168" s="952" t="inlineStr">
        <is>
          <t>Online permit and project application guidance.</t>
        </is>
      </c>
      <c r="E168" s="952" t="inlineStr">
        <is>
          <t>Apply for or research permits and projects.</t>
        </is>
      </c>
      <c r="F168" s="952" t="inlineStr">
        <is>
          <t>Yes</t>
        </is>
      </c>
      <c r="G168" s="1188" t="inlineStr">
        <is>
          <t>https://www.westminsterco.gov/617/Apply-for-a-Permit-Project</t>
        </is>
      </c>
      <c r="H168" s="952" t="inlineStr">
        <is>
          <t>Use for parcels inside this jurisdiction; confirm the parcel's actual county before relying on county recorder or assessor records.</t>
        </is>
      </c>
      <c r="I168" s="1129" t="n">
        <v>46213</v>
      </c>
      <c r="J168" s="951" t="inlineStr">
        <is>
          <t>Critical</t>
        </is>
      </c>
    </row>
    <row r="169" ht="42" customHeight="1">
      <c r="A169" s="952" t="inlineStr">
        <is>
          <t>Westminster</t>
        </is>
      </c>
      <c r="B169" s="952" t="inlineStr">
        <is>
          <t>Long-Range Planning</t>
        </is>
      </c>
      <c r="C169" s="952" t="inlineStr">
        <is>
          <t>Comprehensive Plan (November 2025)</t>
        </is>
      </c>
      <c r="D169" s="952" t="inlineStr">
        <is>
          <t>Current city comprehensive plan PDF.</t>
        </is>
      </c>
      <c r="E169" s="952" t="inlineStr">
        <is>
          <t>Evaluate future land use, policy and growth direction.</t>
        </is>
      </c>
      <c r="F169" s="952" t="inlineStr">
        <is>
          <t>Yes</t>
        </is>
      </c>
      <c r="G169" s="1188" t="inlineStr">
        <is>
          <t>https://www.westminsterco.gov/DocumentCenter/View/5605/Comprehensive-Plan_November2025-LR</t>
        </is>
      </c>
      <c r="H169" s="952" t="inlineStr">
        <is>
          <t>Use for parcels inside this jurisdiction; confirm the parcel's actual county before relying on county recorder or assessor records.</t>
        </is>
      </c>
      <c r="I169" s="1129" t="n">
        <v>46213</v>
      </c>
      <c r="J169" s="951" t="inlineStr">
        <is>
          <t>High</t>
        </is>
      </c>
    </row>
    <row r="170" ht="42" customHeight="1">
      <c r="A170" s="952" t="inlineStr">
        <is>
          <t>Westminster</t>
        </is>
      </c>
      <c r="B170" s="952" t="inlineStr">
        <is>
          <t>Standards</t>
        </is>
      </c>
      <c r="C170" s="952" t="inlineStr">
        <is>
          <t>City Standards &amp; Specifications</t>
        </is>
      </c>
      <c r="D170" s="952" t="inlineStr">
        <is>
          <t>Engineering and development standards.</t>
        </is>
      </c>
      <c r="E170" s="952" t="inlineStr">
        <is>
          <t>Review technical requirements for construction and infrastructure.</t>
        </is>
      </c>
      <c r="F170" s="952" t="inlineStr">
        <is>
          <t>Yes</t>
        </is>
      </c>
      <c r="G170" s="1188" t="inlineStr">
        <is>
          <t>https://www.westminsterco.gov/747/City-Standards-Specifications</t>
        </is>
      </c>
      <c r="H170" s="952" t="inlineStr">
        <is>
          <t>Use for parcels inside this jurisdiction; confirm the parcel's actual county before relying on county recorder or assessor records.</t>
        </is>
      </c>
      <c r="I170" s="1129" t="n">
        <v>46213</v>
      </c>
      <c r="J170" s="951" t="inlineStr">
        <is>
          <t>High</t>
        </is>
      </c>
    </row>
    <row r="171" ht="42" customHeight="1">
      <c r="A171" s="952" t="inlineStr">
        <is>
          <t>Westminster</t>
        </is>
      </c>
      <c r="B171" s="952" t="inlineStr">
        <is>
          <t>Code Enforcement</t>
        </is>
      </c>
      <c r="C171" s="952" t="inlineStr">
        <is>
          <t>Code Enforcement</t>
        </is>
      </c>
      <c r="D171" s="952" t="inlineStr">
        <is>
          <t>Property and municipal code compliance information.</t>
        </is>
      </c>
      <c r="E171" s="952" t="inlineStr">
        <is>
          <t>Research complaint and compliance processes.</t>
        </is>
      </c>
      <c r="F171" s="952" t="inlineStr">
        <is>
          <t>Yes</t>
        </is>
      </c>
      <c r="G171" s="1188" t="inlineStr">
        <is>
          <t>https://www.westminsterco.gov/639/Code-Enforcement</t>
        </is>
      </c>
      <c r="H171" s="952" t="inlineStr">
        <is>
          <t>Use for parcels inside this jurisdiction; confirm the parcel's actual county before relying on county recorder or assessor records.</t>
        </is>
      </c>
      <c r="I171" s="1129" t="n">
        <v>46213</v>
      </c>
      <c r="J171" s="951" t="inlineStr">
        <is>
          <t>Useful</t>
        </is>
      </c>
    </row>
    <row r="172" ht="42" customHeight="1">
      <c r="A172" s="952" t="inlineStr">
        <is>
          <t>Westminster</t>
        </is>
      </c>
      <c r="B172" s="952" t="inlineStr">
        <is>
          <t>Meetings</t>
        </is>
      </c>
      <c r="C172" s="952" t="inlineStr">
        <is>
          <t>Planning Commission</t>
        </is>
      </c>
      <c r="D172" s="952" t="inlineStr">
        <is>
          <t>Planning Commission information and meetings.</t>
        </is>
      </c>
      <c r="E172" s="952" t="inlineStr">
        <is>
          <t>Monitor land-use hearings and recommendations.</t>
        </is>
      </c>
      <c r="F172" s="952" t="inlineStr">
        <is>
          <t>Yes</t>
        </is>
      </c>
      <c r="G172" s="1188" t="inlineStr">
        <is>
          <t>https://www.westminsterco.gov/614/Planning-Commission</t>
        </is>
      </c>
      <c r="H172" s="952" t="inlineStr">
        <is>
          <t>Use for parcels inside this jurisdiction; confirm the parcel's actual county before relying on county recorder or assessor records.</t>
        </is>
      </c>
      <c r="I172" s="1129" t="n">
        <v>46213</v>
      </c>
      <c r="J172" s="951" t="inlineStr">
        <is>
          <t>High</t>
        </is>
      </c>
    </row>
    <row r="173" ht="42" customHeight="1">
      <c r="A173" s="952" t="inlineStr">
        <is>
          <t>Westminster</t>
        </is>
      </c>
      <c r="B173" s="952" t="inlineStr">
        <is>
          <t>Meetings</t>
        </is>
      </c>
      <c r="C173" s="952" t="inlineStr">
        <is>
          <t>Agenda Center</t>
        </is>
      </c>
      <c r="D173" s="952" t="inlineStr">
        <is>
          <t>Agendas and minutes for boards and council.</t>
        </is>
      </c>
      <c r="E173" s="952" t="inlineStr">
        <is>
          <t>Track official decisions and meeting records.</t>
        </is>
      </c>
      <c r="F173" s="952" t="inlineStr">
        <is>
          <t>Yes</t>
        </is>
      </c>
      <c r="G173" s="1188" t="inlineStr">
        <is>
          <t>https://www.westminsterco.gov/AgendaCenter</t>
        </is>
      </c>
      <c r="H173" s="952" t="inlineStr">
        <is>
          <t>Use for parcels inside this jurisdiction; confirm the parcel's actual county before relying on county recorder or assessor records.</t>
        </is>
      </c>
      <c r="I173" s="1129" t="n">
        <v>46213</v>
      </c>
      <c r="J173" s="951" t="inlineStr">
        <is>
          <t>High</t>
        </is>
      </c>
    </row>
    <row r="174" ht="42" customHeight="1">
      <c r="A174" s="952" t="inlineStr">
        <is>
          <t>Westminster</t>
        </is>
      </c>
      <c r="B174" s="952" t="inlineStr">
        <is>
          <t>Public Notices</t>
        </is>
      </c>
      <c r="C174" s="952" t="inlineStr">
        <is>
          <t>Public Notices</t>
        </is>
      </c>
      <c r="D174" s="952" t="inlineStr">
        <is>
          <t>Official public and legal notices.</t>
        </is>
      </c>
      <c r="E174" s="952" t="inlineStr">
        <is>
          <t>Confirm hearings, ordinances and notice deadlines.</t>
        </is>
      </c>
      <c r="F174" s="952" t="inlineStr">
        <is>
          <t>Yes</t>
        </is>
      </c>
      <c r="G174" s="1188" t="inlineStr">
        <is>
          <t>https://www.westminsterco.gov/1098/Public-Notices</t>
        </is>
      </c>
      <c r="H174" s="952" t="inlineStr">
        <is>
          <t>Use for parcels inside this jurisdiction; confirm the parcel's actual county before relying on county recorder or assessor records.</t>
        </is>
      </c>
      <c r="I174" s="1129" t="n">
        <v>46213</v>
      </c>
      <c r="J174" s="951" t="inlineStr">
        <is>
          <t>High</t>
        </is>
      </c>
    </row>
    <row r="175" ht="42" customHeight="1">
      <c r="A175" s="952" t="inlineStr">
        <is>
          <t>Westminster</t>
        </is>
      </c>
      <c r="B175" s="952" t="inlineStr">
        <is>
          <t>News</t>
        </is>
      </c>
      <c r="C175" s="952" t="inlineStr">
        <is>
          <t>City News</t>
        </is>
      </c>
      <c r="D175" s="952" t="inlineStr">
        <is>
          <t>Official city news releases and updates.</t>
        </is>
      </c>
      <c r="E175" s="952" t="inlineStr">
        <is>
          <t>Monitor development, policy and public projects.</t>
        </is>
      </c>
      <c r="F175" s="952" t="inlineStr">
        <is>
          <t>Yes</t>
        </is>
      </c>
      <c r="G175" s="1188" t="inlineStr">
        <is>
          <t>https://www.westminsterco.gov/m/NewsFlash</t>
        </is>
      </c>
      <c r="H175" s="952" t="inlineStr">
        <is>
          <t>Use for parcels inside this jurisdiction; confirm the parcel's actual county before relying on county recorder or assessor records.</t>
        </is>
      </c>
      <c r="I175" s="1129" t="n">
        <v>46213</v>
      </c>
      <c r="J175" s="951" t="inlineStr">
        <is>
          <t>Useful</t>
        </is>
      </c>
    </row>
    <row r="176" ht="42" customHeight="1">
      <c r="A176" s="952" t="inlineStr">
        <is>
          <t>Westminster</t>
        </is>
      </c>
      <c r="B176" s="952" t="inlineStr">
        <is>
          <t>Public Records</t>
        </is>
      </c>
      <c r="C176" s="952" t="inlineStr">
        <is>
          <t>Public Records Request</t>
        </is>
      </c>
      <c r="D176" s="952" t="inlineStr">
        <is>
          <t>City public-records request information.</t>
        </is>
      </c>
      <c r="E176" s="952" t="inlineStr">
        <is>
          <t>Request planning, permit and other official records.</t>
        </is>
      </c>
      <c r="F176" s="952" t="inlineStr">
        <is>
          <t>Yes</t>
        </is>
      </c>
      <c r="G176" s="1188" t="inlineStr">
        <is>
          <t>https://www.westminsterco.gov/565/Public-Records-Request</t>
        </is>
      </c>
      <c r="H176" s="952" t="inlineStr">
        <is>
          <t>Use for parcels inside this jurisdiction; confirm the parcel's actual county before relying on county recorder or assessor records.</t>
        </is>
      </c>
      <c r="I176" s="1129" t="n">
        <v>46213</v>
      </c>
      <c r="J176" s="951" t="inlineStr">
        <is>
          <t>High</t>
        </is>
      </c>
    </row>
  </sheetData>
  <mergeCells count="2">
    <mergeCell ref="A1:J1"/>
    <mergeCell ref="A2:J2"/>
  </mergeCells>
  <dataValidations count="1">
    <dataValidation sqref="J5:J176" showDropDown="0" showInputMessage="0" showErrorMessage="0" allowBlank="0" type="list">
      <formula1>"Critical,High,Useful,Reference"</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s>
  <pageMargins left="0.75" right="0.75" top="1" bottom="1" header="0.5" footer="0.5"/>
</worksheet>
</file>

<file path=xl/worksheets/sheet20.xml><?xml version="1.0" encoding="utf-8"?>
<worksheet xmlns="http://schemas.openxmlformats.org/spreadsheetml/2006/main">
  <sheetPr>
    <tabColor rgb="00D97706"/>
    <outlinePr summaryBelow="1" summaryRight="1"/>
    <pageSetUpPr/>
  </sheetPr>
  <dimension ref="A1:I49"/>
  <sheetViews>
    <sheetView workbookViewId="0">
      <selection activeCell="A1" sqref="A1"/>
    </sheetView>
  </sheetViews>
  <sheetFormatPr baseColWidth="8" defaultRowHeight="15"/>
  <cols>
    <col width="52" customWidth="1" min="1" max="1"/>
    <col width="24" customWidth="1" min="2" max="2"/>
    <col width="31" customWidth="1" min="3" max="3"/>
    <col width="52" customWidth="1" min="4" max="4"/>
    <col width="13" customWidth="1" min="5" max="5"/>
    <col width="52" customWidth="1" min="6" max="6"/>
    <col width="21" customWidth="1" min="7" max="7"/>
    <col width="52" customWidth="1" min="8" max="8"/>
    <col width="10" customWidth="1" min="9" max="9"/>
  </cols>
  <sheetData>
    <row r="1" ht="32" customHeight="1">
      <c r="A1" s="1190" t="inlineStr">
        <is>
          <t>Public Meetings, Land-Use Cases, Legal Notices, Alerts &amp; Local News</t>
        </is>
      </c>
    </row>
    <row r="2" ht="28" customHeight="1">
      <c r="A2" s="1191" t="inlineStr">
        <is>
          <t>Monitor these sources for pending changes. Independent media adds context but does not replace official agendas, notices or records.</t>
        </is>
      </c>
    </row>
    <row r="4" ht="30" customHeight="1">
      <c r="A4" s="1187" t="inlineStr">
        <is>
          <t>Area</t>
        </is>
      </c>
      <c r="B4" s="959" t="inlineStr">
        <is>
          <t>Type</t>
        </is>
      </c>
      <c r="C4" s="959" t="inlineStr">
        <is>
          <t>Resource</t>
        </is>
      </c>
      <c r="D4" s="1187" t="inlineStr">
        <is>
          <t>Why It Matters</t>
        </is>
      </c>
      <c r="E4" s="959" t="inlineStr">
        <is>
          <t>Official / Independent</t>
        </is>
      </c>
      <c r="F4" s="1187" t="inlineStr">
        <is>
          <t>URL</t>
        </is>
      </c>
      <c r="G4" s="959" t="inlineStr">
        <is>
          <t>Verified</t>
        </is>
      </c>
      <c r="H4" s="1187" t="inlineStr">
        <is>
          <t>Monitoring Tip</t>
        </is>
      </c>
      <c r="I4" s="959" t="inlineStr">
        <is>
          <t>Priority</t>
        </is>
      </c>
    </row>
    <row r="5" ht="42" customHeight="1">
      <c r="A5" s="952" t="inlineStr">
        <is>
          <t>Adams County</t>
        </is>
      </c>
      <c r="B5" s="952" t="inlineStr">
        <is>
          <t>Public meetings</t>
        </is>
      </c>
      <c r="C5" s="952" t="inlineStr">
        <is>
          <t>County Public Meetings</t>
        </is>
      </c>
      <c r="D5" s="952" t="inlineStr">
        <is>
          <t>Central page for county boards, commissions and hearings.</t>
        </is>
      </c>
      <c r="E5" s="952" t="inlineStr">
        <is>
          <t>Official</t>
        </is>
      </c>
      <c r="F5" s="1188" t="inlineStr">
        <is>
          <t>https://adamscountyco.gov/about-adams-county/public-meetings/</t>
        </is>
      </c>
      <c r="G5" s="1129" t="n">
        <v>46213</v>
      </c>
      <c r="H5" s="952" t="inlineStr">
        <is>
          <t>Review weekly and before any due-diligence deadline.</t>
        </is>
      </c>
      <c r="I5" s="951" t="inlineStr">
        <is>
          <t>Critical</t>
        </is>
      </c>
    </row>
    <row r="6" ht="42" customHeight="1">
      <c r="A6" s="952" t="inlineStr">
        <is>
          <t>Adams County</t>
        </is>
      </c>
      <c r="B6" s="952" t="inlineStr">
        <is>
          <t>Land-use cases</t>
        </is>
      </c>
      <c r="C6" s="952" t="inlineStr">
        <is>
          <t>Current Land Use Cases</t>
        </is>
      </c>
      <c r="D6" s="952" t="inlineStr">
        <is>
          <t>Shows scheduled land-use cases requiring hearings and recent decisions.</t>
        </is>
      </c>
      <c r="E6" s="952" t="inlineStr">
        <is>
          <t>Official</t>
        </is>
      </c>
      <c r="F6" s="1188" t="inlineStr">
        <is>
          <t>https://adamscountyco.gov/our-county/community-economic-development/planning-development/current-land-use-cases/</t>
        </is>
      </c>
      <c r="G6" s="1129" t="n">
        <v>46213</v>
      </c>
      <c r="H6" s="952" t="inlineStr">
        <is>
          <t>Check by location, case number and hearing body.</t>
        </is>
      </c>
      <c r="I6" s="951" t="inlineStr">
        <is>
          <t>Critical</t>
        </is>
      </c>
    </row>
    <row r="7" ht="42" customHeight="1">
      <c r="A7" s="952" t="inlineStr">
        <is>
          <t>Adams County</t>
        </is>
      </c>
      <c r="B7" s="952" t="inlineStr">
        <is>
          <t>Agendas</t>
        </is>
      </c>
      <c r="C7" s="952" t="inlineStr">
        <is>
          <t>Current Meeting Agendas &amp; Archives</t>
        </is>
      </c>
      <c r="D7" s="952" t="inlineStr">
        <is>
          <t>BOCC agendas, minutes, audio and public comments.</t>
        </is>
      </c>
      <c r="E7" s="952" t="inlineStr">
        <is>
          <t>Official</t>
        </is>
      </c>
      <c r="F7" s="1188" t="inlineStr">
        <is>
          <t>https://adamscountyco.gov/our-county/elected-officials/board-of-county-commissioners/current-meeting-agendas-archives/</t>
        </is>
      </c>
      <c r="G7" s="1129" t="n">
        <v>46213</v>
      </c>
      <c r="H7" s="952" t="inlineStr">
        <is>
          <t>Search agendas for address, applicant or project name.</t>
        </is>
      </c>
      <c r="I7" s="951" t="inlineStr">
        <is>
          <t>Critical</t>
        </is>
      </c>
    </row>
    <row r="8" ht="42" customHeight="1">
      <c r="A8" s="952" t="inlineStr">
        <is>
          <t>Adams County</t>
        </is>
      </c>
      <c r="B8" s="952" t="inlineStr">
        <is>
          <t>Archives</t>
        </is>
      </c>
      <c r="C8" s="952" t="inlineStr">
        <is>
          <t>Archived Hearing Agendas &amp; Audio</t>
        </is>
      </c>
      <c r="D8" s="952" t="inlineStr">
        <is>
          <t>Archived BOCC, Board of Adjustment and Planning Commission records.</t>
        </is>
      </c>
      <c r="E8" s="952" t="inlineStr">
        <is>
          <t>Official</t>
        </is>
      </c>
      <c r="F8" s="1188" t="inlineStr">
        <is>
          <t>https://adamscountyco.gov/about-adams-county/public-meetings/archived-hearing-agendas-audio/</t>
        </is>
      </c>
      <c r="G8" s="1129" t="n">
        <v>46213</v>
      </c>
      <c r="H8" s="952" t="inlineStr">
        <is>
          <t>Use for entitlement history and past decisions.</t>
        </is>
      </c>
      <c r="I8" s="951" t="inlineStr">
        <is>
          <t>High</t>
        </is>
      </c>
    </row>
    <row r="9" ht="42" customHeight="1">
      <c r="A9" s="952" t="inlineStr">
        <is>
          <t>Adams County</t>
        </is>
      </c>
      <c r="B9" s="952" t="inlineStr">
        <is>
          <t>Official news</t>
        </is>
      </c>
      <c r="C9" s="952" t="inlineStr">
        <is>
          <t>Adams County News</t>
        </is>
      </c>
      <c r="D9" s="952" t="inlineStr">
        <is>
          <t>County announcements, policy changes and project updates.</t>
        </is>
      </c>
      <c r="E9" s="952" t="inlineStr">
        <is>
          <t>Official</t>
        </is>
      </c>
      <c r="F9" s="1188" t="inlineStr">
        <is>
          <t>https://adamscountyco.gov/about-adams-county/news/</t>
        </is>
      </c>
      <c r="G9" s="1129" t="n">
        <v>46213</v>
      </c>
      <c r="H9" s="952" t="inlineStr">
        <is>
          <t>Subscribe or review regularly.</t>
        </is>
      </c>
      <c r="I9" s="951" t="inlineStr">
        <is>
          <t>High</t>
        </is>
      </c>
    </row>
    <row r="10" ht="42" customHeight="1">
      <c r="A10" s="952" t="inlineStr">
        <is>
          <t>Adams County</t>
        </is>
      </c>
      <c r="B10" s="952" t="inlineStr">
        <is>
          <t>Planning updates</t>
        </is>
      </c>
      <c r="C10" s="952" t="inlineStr">
        <is>
          <t>Planning &amp; Development News</t>
        </is>
      </c>
      <c r="D10" s="952" t="inlineStr">
        <is>
          <t>Planning initiatives, code amendments and development updates.</t>
        </is>
      </c>
      <c r="E10" s="952" t="inlineStr">
        <is>
          <t>Official</t>
        </is>
      </c>
      <c r="F10" s="1188" t="inlineStr">
        <is>
          <t>https://adamscountyco.gov/our-county/community-economic-development/planning-development/news-updates/</t>
        </is>
      </c>
      <c r="G10" s="1129" t="n">
        <v>46213</v>
      </c>
      <c r="H10" s="952" t="inlineStr">
        <is>
          <t>Review for code-update and plan-update notices.</t>
        </is>
      </c>
      <c r="I10" s="951" t="inlineStr">
        <is>
          <t>High</t>
        </is>
      </c>
    </row>
    <row r="11" ht="42" customHeight="1">
      <c r="A11" s="952" t="inlineStr">
        <is>
          <t>Adams County</t>
        </is>
      </c>
      <c r="B11" s="952" t="inlineStr">
        <is>
          <t>Public documents</t>
        </is>
      </c>
      <c r="C11" s="952" t="inlineStr">
        <is>
          <t>Public Document Postings</t>
        </is>
      </c>
      <c r="D11" s="952" t="inlineStr">
        <is>
          <t>Recorded/public postings and notices.</t>
        </is>
      </c>
      <c r="E11" s="952" t="inlineStr">
        <is>
          <t>Official</t>
        </is>
      </c>
      <c r="F11" s="1188" t="inlineStr">
        <is>
          <t>https://adamscountyco.gov/our-county/elected-officials/clerk-recorder/recording/public-document-postings/</t>
        </is>
      </c>
      <c r="G11" s="1129" t="n">
        <v>46213</v>
      </c>
      <c r="H11" s="952" t="inlineStr">
        <is>
          <t>Search relevant names and legal descriptions.</t>
        </is>
      </c>
      <c r="I11" s="951" t="inlineStr">
        <is>
          <t>Useful</t>
        </is>
      </c>
    </row>
    <row r="12" ht="42" customHeight="1">
      <c r="A12" s="952" t="inlineStr">
        <is>
          <t>Arvada</t>
        </is>
      </c>
      <c r="B12" s="952" t="inlineStr">
        <is>
          <t>Agendas</t>
        </is>
      </c>
      <c r="C12" s="952" t="inlineStr">
        <is>
          <t>Agenda Center</t>
        </is>
      </c>
      <c r="D12" s="952" t="inlineStr">
        <is>
          <t>City council, boards and commission agendas and minutes.</t>
        </is>
      </c>
      <c r="E12" s="952" t="inlineStr">
        <is>
          <t>Official</t>
        </is>
      </c>
      <c r="F12" s="1188" t="inlineStr">
        <is>
          <t>https://www.arvadaco.gov/AgendaCenter</t>
        </is>
      </c>
      <c r="G12" s="1129" t="n">
        <v>46213</v>
      </c>
      <c r="H12" s="952" t="inlineStr">
        <is>
          <t>Search project name, address and case number.</t>
        </is>
      </c>
      <c r="I12" s="951" t="inlineStr">
        <is>
          <t>High</t>
        </is>
      </c>
    </row>
    <row r="13" ht="42" customHeight="1">
      <c r="A13" s="952" t="inlineStr">
        <is>
          <t>Arvada</t>
        </is>
      </c>
      <c r="B13" s="952" t="inlineStr">
        <is>
          <t>Legal notices</t>
        </is>
      </c>
      <c r="C13" s="952" t="inlineStr">
        <is>
          <t>Meetings and Other Legal Notices</t>
        </is>
      </c>
      <c r="D13" s="952" t="inlineStr">
        <is>
          <t>Formal meeting and legal notices.</t>
        </is>
      </c>
      <c r="E13" s="952" t="inlineStr">
        <is>
          <t>Official</t>
        </is>
      </c>
      <c r="F13" s="1188" t="inlineStr">
        <is>
          <t>https://www.arvadaco.gov/245/Meetings-and-Other-Legal-Notices</t>
        </is>
      </c>
      <c r="G13" s="1129" t="n">
        <v>46213</v>
      </c>
      <c r="H13" s="952" t="inlineStr">
        <is>
          <t>Review before relying on an application status.</t>
        </is>
      </c>
      <c r="I13" s="951" t="inlineStr">
        <is>
          <t>High</t>
        </is>
      </c>
    </row>
    <row r="14" ht="42" customHeight="1">
      <c r="A14" s="952" t="inlineStr">
        <is>
          <t>Arvada</t>
        </is>
      </c>
      <c r="B14" s="952" t="inlineStr">
        <is>
          <t>Official news</t>
        </is>
      </c>
      <c r="C14" s="952" t="inlineStr">
        <is>
          <t>News Releases</t>
        </is>
      </c>
      <c r="D14" s="952" t="inlineStr">
        <is>
          <t>Official city announcements.</t>
        </is>
      </c>
      <c r="E14" s="952" t="inlineStr">
        <is>
          <t>Official</t>
        </is>
      </c>
      <c r="F14" s="1188" t="inlineStr">
        <is>
          <t>https://www.arvadaco.gov/908/News-Releases</t>
        </is>
      </c>
      <c r="G14" s="1129" t="n">
        <v>46213</v>
      </c>
      <c r="H14" s="952" t="inlineStr">
        <is>
          <t>Monitor weekly for project and policy changes.</t>
        </is>
      </c>
      <c r="I14" s="951" t="inlineStr">
        <is>
          <t>Useful</t>
        </is>
      </c>
    </row>
    <row r="15" ht="42" customHeight="1">
      <c r="A15" s="952" t="inlineStr">
        <is>
          <t>Aurora</t>
        </is>
      </c>
      <c r="B15" s="952" t="inlineStr">
        <is>
          <t>Planning meetings</t>
        </is>
      </c>
      <c r="C15" s="952" t="inlineStr">
        <is>
          <t>Planning &amp; Zoning Commission</t>
        </is>
      </c>
      <c r="D15" s="952" t="inlineStr">
        <is>
          <t>Commission records and public participation information.</t>
        </is>
      </c>
      <c r="E15" s="952" t="inlineStr">
        <is>
          <t>Official</t>
        </is>
      </c>
      <c r="F15" s="1188" t="inlineStr">
        <is>
          <t>https://www.auroragov.org/city_hall/boards___commissions/planning___zoning_commission</t>
        </is>
      </c>
      <c r="G15" s="1129" t="n">
        <v>46213</v>
      </c>
      <c r="H15" s="952" t="inlineStr">
        <is>
          <t>Check agendas for land-use cases.</t>
        </is>
      </c>
      <c r="I15" s="951" t="inlineStr">
        <is>
          <t>High</t>
        </is>
      </c>
    </row>
    <row r="16" ht="42" customHeight="1">
      <c r="A16" s="952" t="inlineStr">
        <is>
          <t>Aurora</t>
        </is>
      </c>
      <c r="B16" s="952" t="inlineStr">
        <is>
          <t>Council meetings</t>
        </is>
      </c>
      <c r="C16" s="952" t="inlineStr">
        <is>
          <t>City Council Meetings</t>
        </is>
      </c>
      <c r="D16" s="952" t="inlineStr">
        <is>
          <t>Council agendas and records.</t>
        </is>
      </c>
      <c r="E16" s="952" t="inlineStr">
        <is>
          <t>Official</t>
        </is>
      </c>
      <c r="F16" s="1188" t="inlineStr">
        <is>
          <t>https://www.auroragov.org/city_hall/mayor___city_council/council_meetings</t>
        </is>
      </c>
      <c r="G16" s="1129" t="n">
        <v>46213</v>
      </c>
      <c r="H16" s="952" t="inlineStr">
        <is>
          <t>Track final approvals and ordinances.</t>
        </is>
      </c>
      <c r="I16" s="951" t="inlineStr">
        <is>
          <t>High</t>
        </is>
      </c>
    </row>
    <row r="17" ht="42" customHeight="1">
      <c r="A17" s="952" t="inlineStr">
        <is>
          <t>Aurora</t>
        </is>
      </c>
      <c r="B17" s="952" t="inlineStr">
        <is>
          <t>Public hearings</t>
        </is>
      </c>
      <c r="C17" s="952" t="inlineStr">
        <is>
          <t>Public Hearings</t>
        </is>
      </c>
      <c r="D17" s="952" t="inlineStr">
        <is>
          <t>Official notices of public hearings.</t>
        </is>
      </c>
      <c r="E17" s="952" t="inlineStr">
        <is>
          <t>Official</t>
        </is>
      </c>
      <c r="F17" s="1188" t="inlineStr">
        <is>
          <t>https://www.auroragov.org/city_hall/public_records/legal_notices/public_hearings</t>
        </is>
      </c>
      <c r="G17" s="1129" t="n">
        <v>46213</v>
      </c>
      <c r="H17" s="952" t="inlineStr">
        <is>
          <t>Check frequently during an active application.</t>
        </is>
      </c>
      <c r="I17" s="951" t="inlineStr">
        <is>
          <t>Critical</t>
        </is>
      </c>
    </row>
    <row r="18" ht="42" customHeight="1">
      <c r="A18" s="952" t="inlineStr">
        <is>
          <t>Aurora</t>
        </is>
      </c>
      <c r="B18" s="952" t="inlineStr">
        <is>
          <t>Official news</t>
        </is>
      </c>
      <c r="C18" s="952" t="inlineStr">
        <is>
          <t>What's New</t>
        </is>
      </c>
      <c r="D18" s="952" t="inlineStr">
        <is>
          <t>Official city news feed.</t>
        </is>
      </c>
      <c r="E18" s="952" t="inlineStr">
        <is>
          <t>Official</t>
        </is>
      </c>
      <c r="F18" s="1188" t="inlineStr">
        <is>
          <t>https://www.auroragov.org/news/whats_new</t>
        </is>
      </c>
      <c r="G18" s="1129" t="n">
        <v>46213</v>
      </c>
      <c r="H18" s="952" t="inlineStr">
        <is>
          <t>Monitor citywide projects and policy changes.</t>
        </is>
      </c>
      <c r="I18" s="951" t="inlineStr">
        <is>
          <t>Useful</t>
        </is>
      </c>
    </row>
    <row r="19" ht="42" customHeight="1">
      <c r="A19" s="952" t="inlineStr">
        <is>
          <t>Bennett</t>
        </is>
      </c>
      <c r="B19" s="952" t="inlineStr">
        <is>
          <t>Meetings</t>
        </is>
      </c>
      <c r="C19" s="952" t="inlineStr">
        <is>
          <t>Recent Meetings</t>
        </is>
      </c>
      <c r="D19" s="952" t="inlineStr">
        <is>
          <t>Board and commission agendas and minutes.</t>
        </is>
      </c>
      <c r="E19" s="952" t="inlineStr">
        <is>
          <t>Official</t>
        </is>
      </c>
      <c r="F19" s="1188" t="inlineStr">
        <is>
          <t>https://www.bennettco.gov/meetings/recent</t>
        </is>
      </c>
      <c r="G19" s="1129" t="n">
        <v>46213</v>
      </c>
      <c r="H19" s="952" t="inlineStr">
        <is>
          <t>Search planning and board records.</t>
        </is>
      </c>
      <c r="I19" s="951" t="inlineStr">
        <is>
          <t>High</t>
        </is>
      </c>
    </row>
    <row r="20" ht="42" customHeight="1">
      <c r="A20" s="952" t="inlineStr">
        <is>
          <t>Bennett</t>
        </is>
      </c>
      <c r="B20" s="952" t="inlineStr">
        <is>
          <t>Planning meetings</t>
        </is>
      </c>
      <c r="C20" s="952" t="inlineStr">
        <is>
          <t>Planning &amp; Zoning Commission</t>
        </is>
      </c>
      <c r="D20" s="952" t="inlineStr">
        <is>
          <t>Planning commission information and records.</t>
        </is>
      </c>
      <c r="E20" s="952" t="inlineStr">
        <is>
          <t>Official</t>
        </is>
      </c>
      <c r="F20" s="1188" t="inlineStr">
        <is>
          <t>https://www.bennettco.gov/planning-and-zoning-commission</t>
        </is>
      </c>
      <c r="G20" s="1129" t="n">
        <v>46213</v>
      </c>
      <c r="H20" s="952" t="inlineStr">
        <is>
          <t>Review upcoming land-use hearings.</t>
        </is>
      </c>
      <c r="I20" s="951" t="inlineStr">
        <is>
          <t>High</t>
        </is>
      </c>
    </row>
    <row r="21" ht="42" customHeight="1">
      <c r="A21" s="952" t="inlineStr">
        <is>
          <t>Bennett</t>
        </is>
      </c>
      <c r="B21" s="952" t="inlineStr">
        <is>
          <t>Official news</t>
        </is>
      </c>
      <c r="C21" s="952" t="inlineStr">
        <is>
          <t>Town News</t>
        </is>
      </c>
      <c r="D21" s="952" t="inlineStr">
        <is>
          <t>Town announcements and current notices.</t>
        </is>
      </c>
      <c r="E21" s="952" t="inlineStr">
        <is>
          <t>Official</t>
        </is>
      </c>
      <c r="F21" s="1188" t="inlineStr">
        <is>
          <t>https://www.bennettco.gov/news</t>
        </is>
      </c>
      <c r="G21" s="1129" t="n">
        <v>46213</v>
      </c>
      <c r="H21" s="952" t="inlineStr">
        <is>
          <t>Review regularly for code and permit changes.</t>
        </is>
      </c>
      <c r="I21" s="951" t="inlineStr">
        <is>
          <t>High</t>
        </is>
      </c>
    </row>
    <row r="22" ht="42" customHeight="1">
      <c r="A22" s="952" t="inlineStr">
        <is>
          <t>Brighton</t>
        </is>
      </c>
      <c r="B22" s="952" t="inlineStr">
        <is>
          <t>Agendas</t>
        </is>
      </c>
      <c r="C22" s="952" t="inlineStr">
        <is>
          <t>Agenda Center</t>
        </is>
      </c>
      <c r="D22" s="952" t="inlineStr">
        <is>
          <t>Council and board agendas and minutes.</t>
        </is>
      </c>
      <c r="E22" s="952" t="inlineStr">
        <is>
          <t>Official</t>
        </is>
      </c>
      <c r="F22" s="1188" t="inlineStr">
        <is>
          <t>https://www.brightonco.gov/agendacenter</t>
        </is>
      </c>
      <c r="G22" s="1129" t="n">
        <v>46213</v>
      </c>
      <c r="H22" s="952" t="inlineStr">
        <is>
          <t>Search address, project or applicant.</t>
        </is>
      </c>
      <c r="I22" s="951" t="inlineStr">
        <is>
          <t>High</t>
        </is>
      </c>
    </row>
    <row r="23" ht="42" customHeight="1">
      <c r="A23" s="952" t="inlineStr">
        <is>
          <t>Brighton</t>
        </is>
      </c>
      <c r="B23" s="952" t="inlineStr">
        <is>
          <t>Legal notices</t>
        </is>
      </c>
      <c r="C23" s="952" t="inlineStr">
        <is>
          <t>Legal Notices</t>
        </is>
      </c>
      <c r="D23" s="952" t="inlineStr">
        <is>
          <t>Official legal and hearing notices.</t>
        </is>
      </c>
      <c r="E23" s="952" t="inlineStr">
        <is>
          <t>Official</t>
        </is>
      </c>
      <c r="F23" s="1188" t="inlineStr">
        <is>
          <t>https://www.brightonco.gov/453/Legal-Notices</t>
        </is>
      </c>
      <c r="G23" s="1129" t="n">
        <v>46213</v>
      </c>
      <c r="H23" s="952" t="inlineStr">
        <is>
          <t>Confirm hearing dates and comment periods.</t>
        </is>
      </c>
      <c r="I23" s="951" t="inlineStr">
        <is>
          <t>Critical</t>
        </is>
      </c>
    </row>
    <row r="24" ht="42" customHeight="1">
      <c r="A24" s="952" t="inlineStr">
        <is>
          <t>Brighton</t>
        </is>
      </c>
      <c r="B24" s="952" t="inlineStr">
        <is>
          <t>Official news</t>
        </is>
      </c>
      <c r="C24" s="952" t="inlineStr">
        <is>
          <t>City News</t>
        </is>
      </c>
      <c r="D24" s="952" t="inlineStr">
        <is>
          <t>Official city announcements.</t>
        </is>
      </c>
      <c r="E24" s="952" t="inlineStr">
        <is>
          <t>Official</t>
        </is>
      </c>
      <c r="F24" s="1188" t="inlineStr">
        <is>
          <t>https://www.brightonco.gov/175/News</t>
        </is>
      </c>
      <c r="G24" s="1129" t="n">
        <v>46213</v>
      </c>
      <c r="H24" s="952" t="inlineStr">
        <is>
          <t>Monitor development and infrastructure updates.</t>
        </is>
      </c>
      <c r="I24" s="951" t="inlineStr">
        <is>
          <t>Useful</t>
        </is>
      </c>
    </row>
    <row r="25" ht="42" customHeight="1">
      <c r="A25" s="952" t="inlineStr">
        <is>
          <t>Brighton</t>
        </is>
      </c>
      <c r="B25" s="952" t="inlineStr">
        <is>
          <t>Subscriptions</t>
        </is>
      </c>
      <c r="C25" s="952" t="inlineStr">
        <is>
          <t>Notify Me</t>
        </is>
      </c>
      <c r="D25" s="952" t="inlineStr">
        <is>
          <t>Email subscriptions for agendas, notices and news.</t>
        </is>
      </c>
      <c r="E25" s="952" t="inlineStr">
        <is>
          <t>Official</t>
        </is>
      </c>
      <c r="F25" s="1188" t="inlineStr">
        <is>
          <t>https://www.brightonco.gov/notifyme</t>
        </is>
      </c>
      <c r="G25" s="1129" t="n">
        <v>46213</v>
      </c>
      <c r="H25" s="952" t="inlineStr">
        <is>
          <t>Subscribe to planning and city council categories.</t>
        </is>
      </c>
      <c r="I25" s="951" t="inlineStr">
        <is>
          <t>Useful</t>
        </is>
      </c>
    </row>
    <row r="26" ht="42" customHeight="1">
      <c r="A26" s="952" t="inlineStr">
        <is>
          <t>Commerce City</t>
        </is>
      </c>
      <c r="B26" s="952" t="inlineStr">
        <is>
          <t>Agendas</t>
        </is>
      </c>
      <c r="C26" s="952" t="inlineStr">
        <is>
          <t>Meeting Agendas and Schedules</t>
        </is>
      </c>
      <c r="D26" s="952" t="inlineStr">
        <is>
          <t>Council and board agendas, meetings and schedules.</t>
        </is>
      </c>
      <c r="E26" s="952" t="inlineStr">
        <is>
          <t>Official</t>
        </is>
      </c>
      <c r="F26" s="1188" t="inlineStr">
        <is>
          <t>https://www.c3gov.com/Site-Footer/Footer-Widgets/Quick-Links/Meeting-Agendas-and-Schedules</t>
        </is>
      </c>
      <c r="G26" s="1129" t="n">
        <v>46213</v>
      </c>
      <c r="H26" s="952" t="inlineStr">
        <is>
          <t>Search all meeting records for project terms.</t>
        </is>
      </c>
      <c r="I26" s="951" t="inlineStr">
        <is>
          <t>High</t>
        </is>
      </c>
    </row>
    <row r="27" ht="42" customHeight="1">
      <c r="A27" s="952" t="inlineStr">
        <is>
          <t>Commerce City</t>
        </is>
      </c>
      <c r="B27" s="952" t="inlineStr">
        <is>
          <t>Legal notices</t>
        </is>
      </c>
      <c r="C27" s="952" t="inlineStr">
        <is>
          <t>Legal Notices &amp; Ordinances</t>
        </is>
      </c>
      <c r="D27" s="952" t="inlineStr">
        <is>
          <t>Formal notices and ordinance postings.</t>
        </is>
      </c>
      <c r="E27" s="952" t="inlineStr">
        <is>
          <t>Official</t>
        </is>
      </c>
      <c r="F27" s="1188" t="inlineStr">
        <is>
          <t>https://www.c3gov.com/Government/Departments-Divisions/City-Clerks-Office/Legal-Notices-Ordinances</t>
        </is>
      </c>
      <c r="G27" s="1129" t="n">
        <v>46213</v>
      </c>
      <c r="H27" s="952" t="inlineStr">
        <is>
          <t>Confirm legal notice and adoption status.</t>
        </is>
      </c>
      <c r="I27" s="951" t="inlineStr">
        <is>
          <t>Critical</t>
        </is>
      </c>
    </row>
    <row r="28" ht="42" customHeight="1">
      <c r="A28" s="952" t="inlineStr">
        <is>
          <t>Commerce City</t>
        </is>
      </c>
      <c r="B28" s="952" t="inlineStr">
        <is>
          <t>Official news</t>
        </is>
      </c>
      <c r="C28" s="952" t="inlineStr">
        <is>
          <t>News &amp; Announcements</t>
        </is>
      </c>
      <c r="D28" s="952" t="inlineStr">
        <is>
          <t>Official city news feed.</t>
        </is>
      </c>
      <c r="E28" s="952" t="inlineStr">
        <is>
          <t>Official</t>
        </is>
      </c>
      <c r="F28" s="1188" t="inlineStr">
        <is>
          <t>https://www.c3gov.com/Government/Media-News/News-Announcements</t>
        </is>
      </c>
      <c r="G28" s="1129" t="n">
        <v>46213</v>
      </c>
      <c r="H28" s="952" t="inlineStr">
        <is>
          <t>Monitor projects, code changes and public programs.</t>
        </is>
      </c>
      <c r="I28" s="951" t="inlineStr">
        <is>
          <t>Useful</t>
        </is>
      </c>
    </row>
    <row r="29" ht="42" customHeight="1">
      <c r="A29" s="952" t="inlineStr">
        <is>
          <t>Federal Heights</t>
        </is>
      </c>
      <c r="B29" s="952" t="inlineStr">
        <is>
          <t>Meetings</t>
        </is>
      </c>
      <c r="C29" s="952" t="inlineStr">
        <is>
          <t>Meetings and Study Sessions</t>
        </is>
      </c>
      <c r="D29" s="952" t="inlineStr">
        <is>
          <t>Minutes and audio recordings.</t>
        </is>
      </c>
      <c r="E29" s="952" t="inlineStr">
        <is>
          <t>Official</t>
        </is>
      </c>
      <c r="F29" s="1188" t="inlineStr">
        <is>
          <t>https://www.fedheights.org/index.asp?SEC=%7BE66D34DF-8290-4807-83DA-3AF56D110C00%7D</t>
        </is>
      </c>
      <c r="G29" s="1129" t="n">
        <v>46213</v>
      </c>
      <c r="H29" s="952" t="inlineStr">
        <is>
          <t>Review council records for property-related actions.</t>
        </is>
      </c>
      <c r="I29" s="951" t="inlineStr">
        <is>
          <t>High</t>
        </is>
      </c>
    </row>
    <row r="30" ht="42" customHeight="1">
      <c r="A30" s="952" t="inlineStr">
        <is>
          <t>Federal Heights</t>
        </is>
      </c>
      <c r="B30" s="952" t="inlineStr">
        <is>
          <t>Official news</t>
        </is>
      </c>
      <c r="C30" s="952" t="inlineStr">
        <is>
          <t>News and Events</t>
        </is>
      </c>
      <c r="D30" s="952" t="inlineStr">
        <is>
          <t>Official calendar and announcements.</t>
        </is>
      </c>
      <c r="E30" s="952" t="inlineStr">
        <is>
          <t>Official</t>
        </is>
      </c>
      <c r="F30" s="1188" t="inlineStr">
        <is>
          <t>https://www.fedheights.org/index.asp?SEC=407F7286-34E9-495F-B5F7-88E905D7C9A5</t>
        </is>
      </c>
      <c r="G30" s="1129" t="n">
        <v>46213</v>
      </c>
      <c r="H30" s="952" t="inlineStr">
        <is>
          <t>Review current calendar and notices.</t>
        </is>
      </c>
      <c r="I30" s="951" t="inlineStr">
        <is>
          <t>Useful</t>
        </is>
      </c>
    </row>
    <row r="31" ht="42" customHeight="1">
      <c r="A31" s="952" t="inlineStr">
        <is>
          <t>Federal Heights</t>
        </is>
      </c>
      <c r="B31" s="952" t="inlineStr">
        <is>
          <t>Newsletter</t>
        </is>
      </c>
      <c r="C31" s="952" t="inlineStr">
        <is>
          <t>Federal Heights Focus</t>
        </is>
      </c>
      <c r="D31" s="952" t="inlineStr">
        <is>
          <t>Quarterly city newsletter.</t>
        </is>
      </c>
      <c r="E31" s="952" t="inlineStr">
        <is>
          <t>Official</t>
        </is>
      </c>
      <c r="F31" s="1188" t="inlineStr">
        <is>
          <t>https://www.fedheights.org/index.asp?SEC=%7B2E7DCCA1-1FEF-4EA7-8AE7-6C3F92D19EF3%7D&amp;persistdesign=none</t>
        </is>
      </c>
      <c r="G31" s="1129" t="n">
        <v>46213</v>
      </c>
      <c r="H31" s="952" t="inlineStr">
        <is>
          <t>Use for longer-term city project updates.</t>
        </is>
      </c>
      <c r="I31" s="951" t="inlineStr">
        <is>
          <t>Useful</t>
        </is>
      </c>
    </row>
    <row r="32" ht="42" customHeight="1">
      <c r="A32" s="952" t="inlineStr">
        <is>
          <t>Lochbuie</t>
        </is>
      </c>
      <c r="B32" s="952" t="inlineStr">
        <is>
          <t>Meetings</t>
        </is>
      </c>
      <c r="C32" s="952" t="inlineStr">
        <is>
          <t>Upcoming Meetings</t>
        </is>
      </c>
      <c r="D32" s="952" t="inlineStr">
        <is>
          <t>Upcoming town meetings.</t>
        </is>
      </c>
      <c r="E32" s="952" t="inlineStr">
        <is>
          <t>Official</t>
        </is>
      </c>
      <c r="F32" s="1188" t="inlineStr">
        <is>
          <t>https://www.lochbuie.org/meetings</t>
        </is>
      </c>
      <c r="G32" s="1129" t="n">
        <v>46213</v>
      </c>
      <c r="H32" s="952" t="inlineStr">
        <is>
          <t>Review agendas before board action.</t>
        </is>
      </c>
      <c r="I32" s="951" t="inlineStr">
        <is>
          <t>High</t>
        </is>
      </c>
    </row>
    <row r="33" ht="42" customHeight="1">
      <c r="A33" s="952" t="inlineStr">
        <is>
          <t>Lochbuie</t>
        </is>
      </c>
      <c r="B33" s="952" t="inlineStr">
        <is>
          <t>Public notices</t>
        </is>
      </c>
      <c r="C33" s="952" t="inlineStr">
        <is>
          <t>Public Notices</t>
        </is>
      </c>
      <c r="D33" s="952" t="inlineStr">
        <is>
          <t>Formal town notices.</t>
        </is>
      </c>
      <c r="E33" s="952" t="inlineStr">
        <is>
          <t>Official</t>
        </is>
      </c>
      <c r="F33" s="1188" t="inlineStr">
        <is>
          <t>https://www.lochbuie.org/publicnotice</t>
        </is>
      </c>
      <c r="G33" s="1129" t="n">
        <v>46213</v>
      </c>
      <c r="H33" s="952" t="inlineStr">
        <is>
          <t>Confirm hearings and ordinance notices.</t>
        </is>
      </c>
      <c r="I33" s="951" t="inlineStr">
        <is>
          <t>Critical</t>
        </is>
      </c>
    </row>
    <row r="34" ht="42" customHeight="1">
      <c r="A34" s="952" t="inlineStr">
        <is>
          <t>Lochbuie</t>
        </is>
      </c>
      <c r="B34" s="952" t="inlineStr">
        <is>
          <t>Official news</t>
        </is>
      </c>
      <c r="C34" s="952" t="inlineStr">
        <is>
          <t>Town News</t>
        </is>
      </c>
      <c r="D34" s="952" t="inlineStr">
        <is>
          <t>Official town news feed.</t>
        </is>
      </c>
      <c r="E34" s="952" t="inlineStr">
        <is>
          <t>Official</t>
        </is>
      </c>
      <c r="F34" s="1188" t="inlineStr">
        <is>
          <t>https://www.lochbuie.org/news</t>
        </is>
      </c>
      <c r="G34" s="1129" t="n">
        <v>46213</v>
      </c>
      <c r="H34" s="952" t="inlineStr">
        <is>
          <t>Monitor development and infrastructure changes.</t>
        </is>
      </c>
      <c r="I34" s="951" t="inlineStr">
        <is>
          <t>Useful</t>
        </is>
      </c>
    </row>
    <row r="35" ht="42" customHeight="1">
      <c r="A35" s="952" t="inlineStr">
        <is>
          <t>Northglenn</t>
        </is>
      </c>
      <c r="B35" s="952" t="inlineStr">
        <is>
          <t>Meeting records</t>
        </is>
      </c>
      <c r="C35" s="952" t="inlineStr">
        <is>
          <t>Public Meeting Records</t>
        </is>
      </c>
      <c r="D35" s="952" t="inlineStr">
        <is>
          <t>Searchable agendas, minutes and hearing documents.</t>
        </is>
      </c>
      <c r="E35" s="952" t="inlineStr">
        <is>
          <t>Official</t>
        </is>
      </c>
      <c r="F35" s="1188" t="inlineStr">
        <is>
          <t>https://webdocs.northglenn.org/</t>
        </is>
      </c>
      <c r="G35" s="1129" t="n">
        <v>46213</v>
      </c>
      <c r="H35" s="952" t="inlineStr">
        <is>
          <t>Search address, case number, ordinance and applicant.</t>
        </is>
      </c>
      <c r="I35" s="951" t="inlineStr">
        <is>
          <t>Critical</t>
        </is>
      </c>
    </row>
    <row r="36" ht="42" customHeight="1">
      <c r="A36" s="952" t="inlineStr">
        <is>
          <t>Northglenn</t>
        </is>
      </c>
      <c r="B36" s="952" t="inlineStr">
        <is>
          <t>Official news</t>
        </is>
      </c>
      <c r="C36" s="952" t="inlineStr">
        <is>
          <t>City News Listings</t>
        </is>
      </c>
      <c r="D36" s="952" t="inlineStr">
        <is>
          <t>Official city news feed.</t>
        </is>
      </c>
      <c r="E36" s="952" t="inlineStr">
        <is>
          <t>Official</t>
        </is>
      </c>
      <c r="F36" s="1188" t="inlineStr">
        <is>
          <t>https://www.northglenn.org/newslist.php</t>
        </is>
      </c>
      <c r="G36" s="1129" t="n">
        <v>46213</v>
      </c>
      <c r="H36" s="952" t="inlineStr">
        <is>
          <t>Monitor citywide projects and policy updates.</t>
        </is>
      </c>
      <c r="I36" s="951" t="inlineStr">
        <is>
          <t>Useful</t>
        </is>
      </c>
    </row>
    <row r="37" ht="42" customHeight="1">
      <c r="A37" s="952" t="inlineStr">
        <is>
          <t>Northglenn</t>
        </is>
      </c>
      <c r="B37" s="952" t="inlineStr">
        <is>
          <t>Alerts</t>
        </is>
      </c>
      <c r="C37" s="952" t="inlineStr">
        <is>
          <t>TextMyGov</t>
        </is>
      </c>
      <c r="D37" s="952" t="inlineStr">
        <is>
          <t>Text notifications for council, utilities and city topics.</t>
        </is>
      </c>
      <c r="E37" s="952" t="inlineStr">
        <is>
          <t>Official</t>
        </is>
      </c>
      <c r="F37" s="1188" t="inlineStr">
        <is>
          <t>https://www.northglenn.org/community/communications/textmygov.php</t>
        </is>
      </c>
      <c r="G37" s="1129" t="n">
        <v>46213</v>
      </c>
      <c r="H37" s="952" t="inlineStr">
        <is>
          <t>Subscribe to City Council and Utilities alerts.</t>
        </is>
      </c>
      <c r="I37" s="951" t="inlineStr">
        <is>
          <t>Useful</t>
        </is>
      </c>
    </row>
    <row r="38" ht="42" customHeight="1">
      <c r="A38" s="952" t="inlineStr">
        <is>
          <t>Thornton</t>
        </is>
      </c>
      <c r="B38" s="952" t="inlineStr">
        <is>
          <t>Meetings</t>
        </is>
      </c>
      <c r="C38" s="952" t="inlineStr">
        <is>
          <t>Upcoming Meetings</t>
        </is>
      </c>
      <c r="D38" s="952" t="inlineStr">
        <is>
          <t>Council and public meeting calendar.</t>
        </is>
      </c>
      <c r="E38" s="952" t="inlineStr">
        <is>
          <t>Official</t>
        </is>
      </c>
      <c r="F38" s="1188" t="inlineStr">
        <is>
          <t>https://www.thorntonco.gov/government/mayor-council/upcoming-meetings</t>
        </is>
      </c>
      <c r="G38" s="1129" t="n">
        <v>46213</v>
      </c>
      <c r="H38" s="952" t="inlineStr">
        <is>
          <t>Open meeting details and linked documents.</t>
        </is>
      </c>
      <c r="I38" s="951" t="inlineStr">
        <is>
          <t>High</t>
        </is>
      </c>
    </row>
    <row r="39" ht="42" customHeight="1">
      <c r="A39" s="952" t="inlineStr">
        <is>
          <t>Thornton</t>
        </is>
      </c>
      <c r="B39" s="952" t="inlineStr">
        <is>
          <t>Public notices</t>
        </is>
      </c>
      <c r="C39" s="952" t="inlineStr">
        <is>
          <t>Public Notices</t>
        </is>
      </c>
      <c r="D39" s="952" t="inlineStr">
        <is>
          <t>Hearing notices, approved ordinances and other notices.</t>
        </is>
      </c>
      <c r="E39" s="952" t="inlineStr">
        <is>
          <t>Official</t>
        </is>
      </c>
      <c r="F39" s="1188" t="inlineStr">
        <is>
          <t>https://www.thorntonco.gov/government/public-notices</t>
        </is>
      </c>
      <c r="G39" s="1129" t="n">
        <v>46213</v>
      </c>
      <c r="H39" s="952" t="inlineStr">
        <is>
          <t>Confirm current hearing and ordinance status.</t>
        </is>
      </c>
      <c r="I39" s="951" t="inlineStr">
        <is>
          <t>Critical</t>
        </is>
      </c>
    </row>
    <row r="40" ht="42" customHeight="1">
      <c r="A40" s="952" t="inlineStr">
        <is>
          <t>Thornton</t>
        </is>
      </c>
      <c r="B40" s="952" t="inlineStr">
        <is>
          <t>Official news</t>
        </is>
      </c>
      <c r="C40" s="952" t="inlineStr">
        <is>
          <t>Thornton News</t>
        </is>
      </c>
      <c r="D40" s="952" t="inlineStr">
        <is>
          <t>Official news and City Voice feed.</t>
        </is>
      </c>
      <c r="E40" s="952" t="inlineStr">
        <is>
          <t>Official</t>
        </is>
      </c>
      <c r="F40" s="1188" t="inlineStr">
        <is>
          <t>https://www.thorntonco.gov/news</t>
        </is>
      </c>
      <c r="G40" s="1129" t="n">
        <v>46213</v>
      </c>
      <c r="H40" s="952" t="inlineStr">
        <is>
          <t>Monitor council, development and infrastructure updates.</t>
        </is>
      </c>
      <c r="I40" s="951" t="inlineStr">
        <is>
          <t>Useful</t>
        </is>
      </c>
    </row>
    <row r="41" ht="42" customHeight="1">
      <c r="A41" s="952" t="inlineStr">
        <is>
          <t>Thornton</t>
        </is>
      </c>
      <c r="B41" s="952" t="inlineStr">
        <is>
          <t>Subscriptions</t>
        </is>
      </c>
      <c r="C41" s="952" t="inlineStr">
        <is>
          <t>T-Alerts</t>
        </is>
      </c>
      <c r="D41" s="952" t="inlineStr">
        <is>
          <t>Email subscriptions including city council documents and business topics.</t>
        </is>
      </c>
      <c r="E41" s="952" t="inlineStr">
        <is>
          <t>Official</t>
        </is>
      </c>
      <c r="F41" s="1188" t="inlineStr">
        <is>
          <t>https://talerts.thorntonco.gov/</t>
        </is>
      </c>
      <c r="G41" s="1129" t="n">
        <v>46213</v>
      </c>
      <c r="H41" s="952" t="inlineStr">
        <is>
          <t>Subscribe to City Council Meeting Documents and Thornton News.</t>
        </is>
      </c>
      <c r="I41" s="951" t="inlineStr">
        <is>
          <t>Useful</t>
        </is>
      </c>
    </row>
    <row r="42" ht="42" customHeight="1">
      <c r="A42" s="952" t="inlineStr">
        <is>
          <t>Westminster</t>
        </is>
      </c>
      <c r="B42" s="952" t="inlineStr">
        <is>
          <t>Agendas</t>
        </is>
      </c>
      <c r="C42" s="952" t="inlineStr">
        <is>
          <t>Agenda Center</t>
        </is>
      </c>
      <c r="D42" s="952" t="inlineStr">
        <is>
          <t>Council and board agendas and minutes.</t>
        </is>
      </c>
      <c r="E42" s="952" t="inlineStr">
        <is>
          <t>Official</t>
        </is>
      </c>
      <c r="F42" s="1188" t="inlineStr">
        <is>
          <t>https://www.westminsterco.gov/AgendaCenter</t>
        </is>
      </c>
      <c r="G42" s="1129" t="n">
        <v>46213</v>
      </c>
      <c r="H42" s="952" t="inlineStr">
        <is>
          <t>Search project names and land-use cases.</t>
        </is>
      </c>
      <c r="I42" s="951" t="inlineStr">
        <is>
          <t>High</t>
        </is>
      </c>
    </row>
    <row r="43" ht="42" customHeight="1">
      <c r="A43" s="952" t="inlineStr">
        <is>
          <t>Westminster</t>
        </is>
      </c>
      <c r="B43" s="952" t="inlineStr">
        <is>
          <t>Public notices</t>
        </is>
      </c>
      <c r="C43" s="952" t="inlineStr">
        <is>
          <t>Public Notices</t>
        </is>
      </c>
      <c r="D43" s="952" t="inlineStr">
        <is>
          <t>Formal notices and public-hearing information.</t>
        </is>
      </c>
      <c r="E43" s="952" t="inlineStr">
        <is>
          <t>Official</t>
        </is>
      </c>
      <c r="F43" s="1188" t="inlineStr">
        <is>
          <t>https://www.westminsterco.gov/1098/Public-Notices</t>
        </is>
      </c>
      <c r="G43" s="1129" t="n">
        <v>46213</v>
      </c>
      <c r="H43" s="952" t="inlineStr">
        <is>
          <t>Review during any active entitlement or code amendment.</t>
        </is>
      </c>
      <c r="I43" s="951" t="inlineStr">
        <is>
          <t>Critical</t>
        </is>
      </c>
    </row>
    <row r="44" ht="42" customHeight="1">
      <c r="A44" s="952" t="inlineStr">
        <is>
          <t>Westminster</t>
        </is>
      </c>
      <c r="B44" s="952" t="inlineStr">
        <is>
          <t>Official news</t>
        </is>
      </c>
      <c r="C44" s="952" t="inlineStr">
        <is>
          <t>City News</t>
        </is>
      </c>
      <c r="D44" s="952" t="inlineStr">
        <is>
          <t>Official city news feed.</t>
        </is>
      </c>
      <c r="E44" s="952" t="inlineStr">
        <is>
          <t>Official</t>
        </is>
      </c>
      <c r="F44" s="1188" t="inlineStr">
        <is>
          <t>https://www.westminsterco.gov/m/NewsFlash</t>
        </is>
      </c>
      <c r="G44" s="1129" t="n">
        <v>46213</v>
      </c>
      <c r="H44" s="952" t="inlineStr">
        <is>
          <t>Monitor development, policy and infrastructure announcements.</t>
        </is>
      </c>
      <c r="I44" s="951" t="inlineStr">
        <is>
          <t>Useful</t>
        </is>
      </c>
    </row>
    <row r="45" ht="42" customHeight="1">
      <c r="A45" s="952" t="inlineStr">
        <is>
          <t>Aurora / Adams County</t>
        </is>
      </c>
      <c r="B45" s="952" t="inlineStr">
        <is>
          <t>Independent local news</t>
        </is>
      </c>
      <c r="C45" s="952" t="inlineStr">
        <is>
          <t>Sentinel Colorado</t>
        </is>
      </c>
      <c r="D45" s="952" t="inlineStr">
        <is>
          <t>Independent reporting on Aurora and the surrounding region.</t>
        </is>
      </c>
      <c r="E45" s="952" t="inlineStr">
        <is>
          <t>Independent</t>
        </is>
      </c>
      <c r="F45" s="1188" t="inlineStr">
        <is>
          <t>https://sentinelcolorado.com/</t>
        </is>
      </c>
      <c r="G45" s="1129" t="n">
        <v>46213</v>
      </c>
      <c r="H45" s="952" t="inlineStr">
        <is>
          <t>Use for context; verify hearings and legal status on official city/county pages.</t>
        </is>
      </c>
      <c r="I45" s="951" t="inlineStr">
        <is>
          <t>Useful</t>
        </is>
      </c>
    </row>
    <row r="46" ht="42" customHeight="1">
      <c r="A46" s="952" t="inlineStr">
        <is>
          <t>Bennett / Strasburg / Watkins</t>
        </is>
      </c>
      <c r="B46" s="952" t="inlineStr">
        <is>
          <t>Independent local news</t>
        </is>
      </c>
      <c r="C46" s="952" t="inlineStr">
        <is>
          <t>I-70 Scout &amp; Eastern Colorado News</t>
        </is>
      </c>
      <c r="D46" s="952" t="inlineStr">
        <is>
          <t>Local reporting along the eastern I-70 corridor.</t>
        </is>
      </c>
      <c r="E46" s="952" t="inlineStr">
        <is>
          <t>Independent</t>
        </is>
      </c>
      <c r="F46" s="1188" t="inlineStr">
        <is>
          <t>https://i-70scout.com/blog/</t>
        </is>
      </c>
      <c r="G46" s="1129" t="n">
        <v>46213</v>
      </c>
      <c r="H46" s="952" t="inlineStr">
        <is>
          <t>Use for local context and project reporting; verify with official notices.</t>
        </is>
      </c>
      <c r="I46" s="951" t="inlineStr">
        <is>
          <t>Useful</t>
        </is>
      </c>
    </row>
    <row r="47" ht="42" customHeight="1">
      <c r="A47" s="952" t="inlineStr">
        <is>
          <t>Arvada</t>
        </is>
      </c>
      <c r="B47" s="952" t="inlineStr">
        <is>
          <t>Independent local news</t>
        </is>
      </c>
      <c r="C47" s="952" t="inlineStr">
        <is>
          <t>Arvada Press</t>
        </is>
      </c>
      <c r="D47" s="952" t="inlineStr">
        <is>
          <t>Community news focused on Arvada.</t>
        </is>
      </c>
      <c r="E47" s="952" t="inlineStr">
        <is>
          <t>Independent</t>
        </is>
      </c>
      <c r="F47" s="1188" t="inlineStr">
        <is>
          <t>https://arvadapress.presspatron.com/</t>
        </is>
      </c>
      <c r="G47" s="1129" t="n">
        <v>46213</v>
      </c>
      <c r="H47" s="952" t="inlineStr">
        <is>
          <t>Use for context; verify land-use decisions in city records.</t>
        </is>
      </c>
      <c r="I47" s="951" t="inlineStr">
        <is>
          <t>Useful</t>
        </is>
      </c>
    </row>
    <row r="48" ht="42" customHeight="1">
      <c r="A48" s="952" t="inlineStr">
        <is>
          <t>Brighton / Commerce City / Northglenn / Thornton / Westminster</t>
        </is>
      </c>
      <c r="B48" s="952" t="inlineStr">
        <is>
          <t>Independent local news</t>
        </is>
      </c>
      <c r="C48" s="952" t="inlineStr">
        <is>
          <t>Colorado Community Media Local Guide</t>
        </is>
      </c>
      <c r="D48" s="952" t="inlineStr">
        <is>
          <t>Gateway to local community-news outlets and editions.</t>
        </is>
      </c>
      <c r="E48" s="952" t="inlineStr">
        <is>
          <t>Independent</t>
        </is>
      </c>
      <c r="F48" s="1188" t="inlineStr">
        <is>
          <t>https://local.coloradocommunitymedia.com/</t>
        </is>
      </c>
      <c r="G48" s="1129" t="n">
        <v>46213</v>
      </c>
      <c r="H48" s="952" t="inlineStr">
        <is>
          <t>Use for context and reporting; verify legal notices and approvals officially.</t>
        </is>
      </c>
      <c r="I48" s="951" t="inlineStr">
        <is>
          <t>Useful</t>
        </is>
      </c>
    </row>
    <row r="49" ht="42" customHeight="1">
      <c r="A49" s="952" t="inlineStr">
        <is>
          <t>Westminster</t>
        </is>
      </c>
      <c r="B49" s="952" t="inlineStr">
        <is>
          <t>Independent local news</t>
        </is>
      </c>
      <c r="C49" s="952" t="inlineStr">
        <is>
          <t>Westminster Window Colorado Trust</t>
        </is>
      </c>
      <c r="D49" s="952" t="inlineStr">
        <is>
          <t>Community and government-news newsletter focused on Westminster.</t>
        </is>
      </c>
      <c r="E49" s="952" t="inlineStr">
        <is>
          <t>Independent</t>
        </is>
      </c>
      <c r="F49" s="1188" t="inlineStr">
        <is>
          <t>https://westminster-window-colorado-trust.beehiiv.com/</t>
        </is>
      </c>
      <c r="G49" s="1129" t="n">
        <v>46213</v>
      </c>
      <c r="H49" s="952" t="inlineStr">
        <is>
          <t>Use as a secondary monitoring source.</t>
        </is>
      </c>
      <c r="I49" s="951" t="inlineStr">
        <is>
          <t>Useful</t>
        </is>
      </c>
    </row>
  </sheetData>
  <mergeCells count="2">
    <mergeCell ref="A1:I1"/>
    <mergeCell ref="A2:I2"/>
  </mergeCells>
  <dataValidations count="1">
    <dataValidation sqref="I5:I49" showDropDown="0" showInputMessage="0" showErrorMessage="0" allowBlank="0" type="list">
      <formula1>"Critical,High,Useful,Reference"</formula1>
    </dataValidation>
  </dataValidations>
  <hyperlinks>
    <hyperlink xmlns:r="http://schemas.openxmlformats.org/officeDocument/2006/relationships" ref="F5" r:id="rId1"/>
    <hyperlink xmlns:r="http://schemas.openxmlformats.org/officeDocument/2006/relationships" ref="F6" r:id="rId2"/>
    <hyperlink xmlns:r="http://schemas.openxmlformats.org/officeDocument/2006/relationships" ref="F7" r:id="rId3"/>
    <hyperlink xmlns:r="http://schemas.openxmlformats.org/officeDocument/2006/relationships" ref="F8" r:id="rId4"/>
    <hyperlink xmlns:r="http://schemas.openxmlformats.org/officeDocument/2006/relationships" ref="F9" r:id="rId5"/>
    <hyperlink xmlns:r="http://schemas.openxmlformats.org/officeDocument/2006/relationships" ref="F10" r:id="rId6"/>
    <hyperlink xmlns:r="http://schemas.openxmlformats.org/officeDocument/2006/relationships" ref="F11" r:id="rId7"/>
    <hyperlink xmlns:r="http://schemas.openxmlformats.org/officeDocument/2006/relationships" ref="F12" r:id="rId8"/>
    <hyperlink xmlns:r="http://schemas.openxmlformats.org/officeDocument/2006/relationships" ref="F13" r:id="rId9"/>
    <hyperlink xmlns:r="http://schemas.openxmlformats.org/officeDocument/2006/relationships" ref="F14" r:id="rId10"/>
    <hyperlink xmlns:r="http://schemas.openxmlformats.org/officeDocument/2006/relationships" ref="F15" r:id="rId11"/>
    <hyperlink xmlns:r="http://schemas.openxmlformats.org/officeDocument/2006/relationships" ref="F16" r:id="rId12"/>
    <hyperlink xmlns:r="http://schemas.openxmlformats.org/officeDocument/2006/relationships" ref="F17" r:id="rId13"/>
    <hyperlink xmlns:r="http://schemas.openxmlformats.org/officeDocument/2006/relationships" ref="F18" r:id="rId14"/>
    <hyperlink xmlns:r="http://schemas.openxmlformats.org/officeDocument/2006/relationships" ref="F19" r:id="rId15"/>
    <hyperlink xmlns:r="http://schemas.openxmlformats.org/officeDocument/2006/relationships" ref="F20" r:id="rId16"/>
    <hyperlink xmlns:r="http://schemas.openxmlformats.org/officeDocument/2006/relationships" ref="F21" r:id="rId17"/>
    <hyperlink xmlns:r="http://schemas.openxmlformats.org/officeDocument/2006/relationships" ref="F22" r:id="rId18"/>
    <hyperlink xmlns:r="http://schemas.openxmlformats.org/officeDocument/2006/relationships" ref="F23" r:id="rId19"/>
    <hyperlink xmlns:r="http://schemas.openxmlformats.org/officeDocument/2006/relationships" ref="F24" r:id="rId20"/>
    <hyperlink xmlns:r="http://schemas.openxmlformats.org/officeDocument/2006/relationships" ref="F25" r:id="rId21"/>
    <hyperlink xmlns:r="http://schemas.openxmlformats.org/officeDocument/2006/relationships" ref="F26" r:id="rId22"/>
    <hyperlink xmlns:r="http://schemas.openxmlformats.org/officeDocument/2006/relationships" ref="F27" r:id="rId23"/>
    <hyperlink xmlns:r="http://schemas.openxmlformats.org/officeDocument/2006/relationships" ref="F28" r:id="rId24"/>
    <hyperlink xmlns:r="http://schemas.openxmlformats.org/officeDocument/2006/relationships" ref="F29" r:id="rId25"/>
    <hyperlink xmlns:r="http://schemas.openxmlformats.org/officeDocument/2006/relationships" ref="F30" r:id="rId26"/>
    <hyperlink xmlns:r="http://schemas.openxmlformats.org/officeDocument/2006/relationships" ref="F31" r:id="rId27"/>
    <hyperlink xmlns:r="http://schemas.openxmlformats.org/officeDocument/2006/relationships" ref="F32" r:id="rId28"/>
    <hyperlink xmlns:r="http://schemas.openxmlformats.org/officeDocument/2006/relationships" ref="F33" r:id="rId29"/>
    <hyperlink xmlns:r="http://schemas.openxmlformats.org/officeDocument/2006/relationships" ref="F34" r:id="rId30"/>
    <hyperlink xmlns:r="http://schemas.openxmlformats.org/officeDocument/2006/relationships" ref="F35" r:id="rId31"/>
    <hyperlink xmlns:r="http://schemas.openxmlformats.org/officeDocument/2006/relationships" ref="F36" r:id="rId32"/>
    <hyperlink xmlns:r="http://schemas.openxmlformats.org/officeDocument/2006/relationships" ref="F37" r:id="rId33"/>
    <hyperlink xmlns:r="http://schemas.openxmlformats.org/officeDocument/2006/relationships" ref="F38" r:id="rId34"/>
    <hyperlink xmlns:r="http://schemas.openxmlformats.org/officeDocument/2006/relationships" ref="F39" r:id="rId35"/>
    <hyperlink xmlns:r="http://schemas.openxmlformats.org/officeDocument/2006/relationships" ref="F40" r:id="rId36"/>
    <hyperlink xmlns:r="http://schemas.openxmlformats.org/officeDocument/2006/relationships" ref="F41" r:id="rId37"/>
    <hyperlink xmlns:r="http://schemas.openxmlformats.org/officeDocument/2006/relationships" ref="F42" r:id="rId38"/>
    <hyperlink xmlns:r="http://schemas.openxmlformats.org/officeDocument/2006/relationships" ref="F43" r:id="rId39"/>
    <hyperlink xmlns:r="http://schemas.openxmlformats.org/officeDocument/2006/relationships" ref="F44" r:id="rId40"/>
    <hyperlink xmlns:r="http://schemas.openxmlformats.org/officeDocument/2006/relationships" ref="F45" r:id="rId41"/>
    <hyperlink xmlns:r="http://schemas.openxmlformats.org/officeDocument/2006/relationships" ref="F46" r:id="rId42"/>
    <hyperlink xmlns:r="http://schemas.openxmlformats.org/officeDocument/2006/relationships" ref="F47" r:id="rId43"/>
    <hyperlink xmlns:r="http://schemas.openxmlformats.org/officeDocument/2006/relationships" ref="F48" r:id="rId44"/>
    <hyperlink xmlns:r="http://schemas.openxmlformats.org/officeDocument/2006/relationships" ref="F49" r:id="rId45"/>
  </hyperlinks>
  <pageMargins left="0.75" right="0.75" top="1" bottom="1" header="0.5" footer="0.5"/>
</worksheet>
</file>

<file path=xl/worksheets/sheet21.xml><?xml version="1.0" encoding="utf-8"?>
<worksheet xmlns="http://schemas.openxmlformats.org/spreadsheetml/2006/main">
  <sheetPr>
    <tabColor rgb="00D97706"/>
    <outlinePr summaryBelow="1" summaryRight="1"/>
    <pageSetUpPr/>
  </sheetPr>
  <dimension ref="A1:I42"/>
  <sheetViews>
    <sheetView workbookViewId="0">
      <selection activeCell="A1" sqref="A1"/>
    </sheetView>
  </sheetViews>
  <sheetFormatPr baseColWidth="8" defaultRowHeight="15"/>
  <cols>
    <col width="52" customWidth="1" min="1" max="1"/>
    <col width="25" customWidth="1" min="2" max="2"/>
    <col width="31" customWidth="1" min="3" max="3"/>
    <col width="52" customWidth="1" min="4" max="4"/>
    <col width="52" customWidth="1" min="5" max="5"/>
    <col width="6" customWidth="1" min="6" max="6"/>
    <col width="52" customWidth="1" min="7" max="7"/>
    <col width="21" customWidth="1" min="8" max="8"/>
    <col width="10" customWidth="1" min="9" max="9"/>
  </cols>
  <sheetData>
    <row r="1" ht="32" customHeight="1">
      <c r="A1" s="1190" t="inlineStr">
        <is>
          <t>Colorado, Regional &amp; Federal Property Due-Diligence Resources</t>
        </is>
      </c>
    </row>
    <row r="2" ht="28" customHeight="1">
      <c r="A2" s="1191" t="inlineStr">
        <is>
          <t>Special districts, business/UCC, water, oil and gas, environmental, flood, soils, wetlands, transportation, historic and HOA research tools.</t>
        </is>
      </c>
    </row>
    <row r="4" ht="30" customHeight="1">
      <c r="A4" s="1187" t="inlineStr">
        <is>
          <t>Level / Agency</t>
        </is>
      </c>
      <c r="B4" s="959" t="inlineStr">
        <is>
          <t>Category</t>
        </is>
      </c>
      <c r="C4" s="959" t="inlineStr">
        <is>
          <t>Resource</t>
        </is>
      </c>
      <c r="D4" s="1187" t="inlineStr">
        <is>
          <t>What It Provides</t>
        </is>
      </c>
      <c r="E4" s="1187" t="inlineStr">
        <is>
          <t>Best Use</t>
        </is>
      </c>
      <c r="F4" s="959" t="inlineStr">
        <is>
          <t>Official</t>
        </is>
      </c>
      <c r="G4" s="1187" t="inlineStr">
        <is>
          <t>URL</t>
        </is>
      </c>
      <c r="H4" s="959" t="inlineStr">
        <is>
          <t>Verified</t>
        </is>
      </c>
      <c r="I4" s="959" t="inlineStr">
        <is>
          <t>Priority</t>
        </is>
      </c>
    </row>
    <row r="5" ht="42" customHeight="1">
      <c r="A5" s="952" t="inlineStr">
        <is>
          <t>Colorado Secretary of State</t>
        </is>
      </c>
      <c r="B5" s="952" t="inlineStr">
        <is>
          <t>Business Entities</t>
        </is>
      </c>
      <c r="C5" s="952" t="inlineStr">
        <is>
          <t>Search Business Records</t>
        </is>
      </c>
      <c r="D5" s="952" t="inlineStr">
        <is>
          <t>Search corporations, LLCs, trade names and filing documents.</t>
        </is>
      </c>
      <c r="E5" s="952" t="inlineStr">
        <is>
          <t>Identify owners, applicants, developers, lenders and registered agents.</t>
        </is>
      </c>
      <c r="F5" s="952" t="inlineStr">
        <is>
          <t>Yes</t>
        </is>
      </c>
      <c r="G5" s="1188" t="inlineStr">
        <is>
          <t>https://co.colorado.gov/search-business-records</t>
        </is>
      </c>
      <c r="H5" s="1129" t="n">
        <v>46213</v>
      </c>
      <c r="I5" s="951" t="inlineStr">
        <is>
          <t>High</t>
        </is>
      </c>
    </row>
    <row r="6" ht="42" customHeight="1">
      <c r="A6" s="952" t="inlineStr">
        <is>
          <t>Colorado Secretary of State</t>
        </is>
      </c>
      <c r="B6" s="952" t="inlineStr">
        <is>
          <t>UCC / Liens</t>
        </is>
      </c>
      <c r="C6" s="952" t="inlineStr">
        <is>
          <t>UCC Records Search</t>
        </is>
      </c>
      <c r="D6" s="952" t="inlineStr">
        <is>
          <t>Search UCC financing statements and related secured-transaction records.</t>
        </is>
      </c>
      <c r="E6" s="952" t="inlineStr">
        <is>
          <t>Screen for UCC filings and certain statutory liens associated with a debtor.</t>
        </is>
      </c>
      <c r="F6" s="952" t="inlineStr">
        <is>
          <t>Yes</t>
        </is>
      </c>
      <c r="G6" s="1188" t="inlineStr">
        <is>
          <t>https://www.sos.state.co.us/ucc/pages/home.xhtml</t>
        </is>
      </c>
      <c r="H6" s="1129" t="n">
        <v>46213</v>
      </c>
      <c r="I6" s="951" t="inlineStr">
        <is>
          <t>High</t>
        </is>
      </c>
    </row>
    <row r="7" ht="42" customHeight="1">
      <c r="A7" s="952" t="inlineStr">
        <is>
          <t>Colorado DOLA</t>
        </is>
      </c>
      <c r="B7" s="952" t="inlineStr">
        <is>
          <t>Special Districts</t>
        </is>
      </c>
      <c r="C7" s="952" t="inlineStr">
        <is>
          <t>Colorado Special Districts Map</t>
        </is>
      </c>
      <c r="D7" s="952" t="inlineStr">
        <is>
          <t>Map and information for special-district boundaries.</t>
        </is>
      </c>
      <c r="E7" s="952" t="inlineStr">
        <is>
          <t>Identify water, sanitation, fire, metro and other districts that may tax or serve a property.</t>
        </is>
      </c>
      <c r="F7" s="952" t="inlineStr">
        <is>
          <t>Yes</t>
        </is>
      </c>
      <c r="G7" s="1188" t="inlineStr">
        <is>
          <t>https://gis.dola.colorado.gov/CO_SpecialDistrict/</t>
        </is>
      </c>
      <c r="H7" s="1129" t="n">
        <v>46213</v>
      </c>
      <c r="I7" s="951" t="inlineStr">
        <is>
          <t>Critical</t>
        </is>
      </c>
    </row>
    <row r="8" ht="42" customHeight="1">
      <c r="A8" s="952" t="inlineStr">
        <is>
          <t>Colorado DOLA</t>
        </is>
      </c>
      <c r="B8" s="952" t="inlineStr">
        <is>
          <t>Local Governments</t>
        </is>
      </c>
      <c r="C8" s="952" t="inlineStr">
        <is>
          <t>Local Government Information System</t>
        </is>
      </c>
      <c r="D8" s="952" t="inlineStr">
        <is>
          <t>Local-government contacts, budgets and election filings.</t>
        </is>
      </c>
      <c r="E8" s="952" t="inlineStr">
        <is>
          <t>Research special districts and other local-government entities.</t>
        </is>
      </c>
      <c r="F8" s="952" t="inlineStr">
        <is>
          <t>Yes</t>
        </is>
      </c>
      <c r="G8" s="1188" t="inlineStr">
        <is>
          <t>https://dola.colorado.gov/dlg_lgis_ui_pu/</t>
        </is>
      </c>
      <c r="H8" s="1129" t="n">
        <v>46213</v>
      </c>
      <c r="I8" s="951" t="inlineStr">
        <is>
          <t>High</t>
        </is>
      </c>
    </row>
    <row r="9" ht="42" customHeight="1">
      <c r="A9" s="952" t="inlineStr">
        <is>
          <t>Colorado DOLA</t>
        </is>
      </c>
      <c r="B9" s="952" t="inlineStr">
        <is>
          <t>Taxing Entities</t>
        </is>
      </c>
      <c r="C9" s="952" t="inlineStr">
        <is>
          <t>Search Colorado Property Tax Entities</t>
        </is>
      </c>
      <c r="D9" s="952" t="inlineStr">
        <is>
          <t>Search entities associated with property taxation.</t>
        </is>
      </c>
      <c r="E9" s="952" t="inlineStr">
        <is>
          <t>Understand tax districts and locate entity information; verify mill levies with county offices.</t>
        </is>
      </c>
      <c r="F9" s="952" t="inlineStr">
        <is>
          <t>Yes</t>
        </is>
      </c>
      <c r="G9" s="1188" t="inlineStr">
        <is>
          <t>https://dola.colorado.gov/dlg_lgis_ui_pu/publicLGTaxEntities.jsf</t>
        </is>
      </c>
      <c r="H9" s="1129" t="n">
        <v>46213</v>
      </c>
      <c r="I9" s="951" t="inlineStr">
        <is>
          <t>High</t>
        </is>
      </c>
    </row>
    <row r="10" ht="42" customHeight="1">
      <c r="A10" s="952" t="inlineStr">
        <is>
          <t>Colorado DOLA</t>
        </is>
      </c>
      <c r="B10" s="952" t="inlineStr">
        <is>
          <t>Municipal Boundaries</t>
        </is>
      </c>
      <c r="C10" s="952" t="inlineStr">
        <is>
          <t>Colorado Municipal Boundaries</t>
        </is>
      </c>
      <c r="D10" s="952" t="inlineStr">
        <is>
          <t>State municipal boundary map.</t>
        </is>
      </c>
      <c r="E10" s="952" t="inlineStr">
        <is>
          <t>Confirm whether a parcel is incorporated and identify the municipality.</t>
        </is>
      </c>
      <c r="F10" s="952" t="inlineStr">
        <is>
          <t>Yes</t>
        </is>
      </c>
      <c r="G10" s="1188" t="inlineStr">
        <is>
          <t>https://gis.dola.colorado.gov/CO_Muni/</t>
        </is>
      </c>
      <c r="H10" s="1129" t="n">
        <v>46213</v>
      </c>
      <c r="I10" s="951" t="inlineStr">
        <is>
          <t>Critical</t>
        </is>
      </c>
    </row>
    <row r="11" ht="42" customHeight="1">
      <c r="A11" s="952" t="inlineStr">
        <is>
          <t>Colorado DOLA</t>
        </is>
      </c>
      <c r="B11" s="952" t="inlineStr">
        <is>
          <t>GIS Downloads</t>
        </is>
      </c>
      <c r="C11" s="952" t="inlineStr">
        <is>
          <t>GIS Data Sources</t>
        </is>
      </c>
      <c r="D11" s="952" t="inlineStr">
        <is>
          <t>State-maintained boundary and demographic GIS datasets.</t>
        </is>
      </c>
      <c r="E11" s="952" t="inlineStr">
        <is>
          <t>Download municipal, annexation and special-district data.</t>
        </is>
      </c>
      <c r="F11" s="952" t="inlineStr">
        <is>
          <t>Yes</t>
        </is>
      </c>
      <c r="G11" s="1188" t="inlineStr">
        <is>
          <t>https://demography.dola.colorado.gov/assets/html/gis_data.html</t>
        </is>
      </c>
      <c r="H11" s="1129" t="n">
        <v>46213</v>
      </c>
      <c r="I11" s="951" t="inlineStr">
        <is>
          <t>Useful</t>
        </is>
      </c>
    </row>
    <row r="12" ht="42" customHeight="1">
      <c r="A12" s="952" t="inlineStr">
        <is>
          <t>Colorado State Demography Office</t>
        </is>
      </c>
      <c r="B12" s="952" t="inlineStr">
        <is>
          <t>Demographics</t>
        </is>
      </c>
      <c r="C12" s="952" t="inlineStr">
        <is>
          <t>Data Bundle Lookup</t>
        </is>
      </c>
      <c r="D12" s="952" t="inlineStr">
        <is>
          <t>Population, housing and demographic data bundles.</t>
        </is>
      </c>
      <c r="E12" s="952" t="inlineStr">
        <is>
          <t>Support market, planning and growth analysis.</t>
        </is>
      </c>
      <c r="F12" s="952" t="inlineStr">
        <is>
          <t>Yes</t>
        </is>
      </c>
      <c r="G12" s="1188" t="inlineStr">
        <is>
          <t>https://demography.dola.colorado.gov/assets/lookups/dashboard_lookup.html</t>
        </is>
      </c>
      <c r="H12" s="1129" t="n">
        <v>46213</v>
      </c>
      <c r="I12" s="951" t="inlineStr">
        <is>
          <t>Useful</t>
        </is>
      </c>
    </row>
    <row r="13" ht="42" customHeight="1">
      <c r="A13" s="952" t="inlineStr">
        <is>
          <t>Colorado Geospatial Portal</t>
        </is>
      </c>
      <c r="B13" s="952" t="inlineStr">
        <is>
          <t>GIS / Open Data</t>
        </is>
      </c>
      <c r="C13" s="952" t="inlineStr">
        <is>
          <t>Colorado Geospatial Portal</t>
        </is>
      </c>
      <c r="D13" s="952" t="inlineStr">
        <is>
          <t>Statewide open GIS datasets and maps.</t>
        </is>
      </c>
      <c r="E13" s="952" t="inlineStr">
        <is>
          <t>Find state layers for environment, transportation, boundaries and natural resources.</t>
        </is>
      </c>
      <c r="F13" s="952" t="inlineStr">
        <is>
          <t>Yes</t>
        </is>
      </c>
      <c r="G13" s="1188" t="inlineStr">
        <is>
          <t>https://geodata.colorado.gov/</t>
        </is>
      </c>
      <c r="H13" s="1129" t="n">
        <v>46213</v>
      </c>
      <c r="I13" s="951" t="inlineStr">
        <is>
          <t>High</t>
        </is>
      </c>
    </row>
    <row r="14" ht="42" customHeight="1">
      <c r="A14" s="952" t="inlineStr">
        <is>
          <t>Colorado OIT</t>
        </is>
      </c>
      <c r="B14" s="952" t="inlineStr">
        <is>
          <t>GIS Viewer</t>
        </is>
      </c>
      <c r="C14" s="952" t="inlineStr">
        <is>
          <t>Colorado State Map Viewer</t>
        </is>
      </c>
      <c r="D14" s="952" t="inlineStr">
        <is>
          <t>Statewide interactive map viewer.</t>
        </is>
      </c>
      <c r="E14" s="952" t="inlineStr">
        <is>
          <t>Screen state datasets without desktop GIS.</t>
        </is>
      </c>
      <c r="F14" s="952" t="inlineStr">
        <is>
          <t>Yes</t>
        </is>
      </c>
      <c r="G14" s="1188" t="inlineStr">
        <is>
          <t>https://gis.colorado.gov/viewer/?page=Home</t>
        </is>
      </c>
      <c r="H14" s="1129" t="n">
        <v>46213</v>
      </c>
      <c r="I14" s="951" t="inlineStr">
        <is>
          <t>Useful</t>
        </is>
      </c>
    </row>
    <row r="15" ht="42" customHeight="1">
      <c r="A15" s="952" t="inlineStr">
        <is>
          <t>DRCOG</t>
        </is>
      </c>
      <c r="B15" s="952" t="inlineStr">
        <is>
          <t>Regional GIS / Planning</t>
        </is>
      </c>
      <c r="C15" s="952" t="inlineStr">
        <is>
          <t>Data, Maps &amp; Modeling</t>
        </is>
      </c>
      <c r="D15" s="952" t="inlineStr">
        <is>
          <t>Denver-region data, maps, forecasts and modeling resources.</t>
        </is>
      </c>
      <c r="E15" s="952" t="inlineStr">
        <is>
          <t>Research regional growth, transportation, parcels and planning context.</t>
        </is>
      </c>
      <c r="F15" s="952" t="inlineStr">
        <is>
          <t>Yes</t>
        </is>
      </c>
      <c r="G15" s="1188" t="inlineStr">
        <is>
          <t>https://drcog.org/data-maps-modeling</t>
        </is>
      </c>
      <c r="H15" s="1129" t="n">
        <v>46213</v>
      </c>
      <c r="I15" s="951" t="inlineStr">
        <is>
          <t>High</t>
        </is>
      </c>
    </row>
    <row r="16" ht="42" customHeight="1">
      <c r="A16" s="952" t="inlineStr">
        <is>
          <t>Colorado Division of Water Resources</t>
        </is>
      </c>
      <c r="B16" s="952" t="inlineStr">
        <is>
          <t>Water</t>
        </is>
      </c>
      <c r="C16" s="952" t="inlineStr">
        <is>
          <t>CDSS / DWR Tools</t>
        </is>
      </c>
      <c r="D16" s="952" t="inlineStr">
        <is>
          <t>Water-rights, structures, hydrography and decision-support tools.</t>
        </is>
      </c>
      <c r="E16" s="952" t="inlineStr">
        <is>
          <t>Research water rights, ditches, structures and hydrologic data.</t>
        </is>
      </c>
      <c r="F16" s="952" t="inlineStr">
        <is>
          <t>Yes</t>
        </is>
      </c>
      <c r="G16" s="1188" t="inlineStr">
        <is>
          <t>https://dwr.state.co.us/Tools</t>
        </is>
      </c>
      <c r="H16" s="1129" t="n">
        <v>46213</v>
      </c>
      <c r="I16" s="951" t="inlineStr">
        <is>
          <t>Critical</t>
        </is>
      </c>
    </row>
    <row r="17" ht="42" customHeight="1">
      <c r="A17" s="952" t="inlineStr">
        <is>
          <t>Colorado Division of Water Resources</t>
        </is>
      </c>
      <c r="B17" s="952" t="inlineStr">
        <is>
          <t>Wells</t>
        </is>
      </c>
      <c r="C17" s="952" t="inlineStr">
        <is>
          <t>Well Permits</t>
        </is>
      </c>
      <c r="D17" s="952" t="inlineStr">
        <is>
          <t>Well permit search and information.</t>
        </is>
      </c>
      <c r="E17" s="952" t="inlineStr">
        <is>
          <t>Check permitted wells and well records near a parcel.</t>
        </is>
      </c>
      <c r="F17" s="952" t="inlineStr">
        <is>
          <t>Yes</t>
        </is>
      </c>
      <c r="G17" s="1188" t="inlineStr">
        <is>
          <t>https://dwr.state.co.us/Tools/WellPermits</t>
        </is>
      </c>
      <c r="H17" s="1129" t="n">
        <v>46213</v>
      </c>
      <c r="I17" s="951" t="inlineStr">
        <is>
          <t>Critical</t>
        </is>
      </c>
    </row>
    <row r="18" ht="42" customHeight="1">
      <c r="A18" s="952" t="inlineStr">
        <is>
          <t>Colorado Energy &amp; Carbon Management Commission</t>
        </is>
      </c>
      <c r="B18" s="952" t="inlineStr">
        <is>
          <t>Oil &amp; Gas</t>
        </is>
      </c>
      <c r="C18" s="952" t="inlineStr">
        <is>
          <t>ECMC Maps</t>
        </is>
      </c>
      <c r="D18" s="952" t="inlineStr">
        <is>
          <t>Oil and gas wells, facilities and regulatory map tools.</t>
        </is>
      </c>
      <c r="E18" s="952" t="inlineStr">
        <is>
          <t>Screen nearby oil/gas infrastructure, setbacks and regulatory records.</t>
        </is>
      </c>
      <c r="F18" s="952" t="inlineStr">
        <is>
          <t>Yes</t>
        </is>
      </c>
      <c r="G18" s="1188" t="inlineStr">
        <is>
          <t>https://ecmc.state.co.us/maps.html</t>
        </is>
      </c>
      <c r="H18" s="1129" t="n">
        <v>46213</v>
      </c>
      <c r="I18" s="951" t="inlineStr">
        <is>
          <t>Critical</t>
        </is>
      </c>
    </row>
    <row r="19" ht="42" customHeight="1">
      <c r="A19" s="952" t="inlineStr">
        <is>
          <t>Colorado Energy &amp; Carbon Management Commission</t>
        </is>
      </c>
      <c r="B19" s="952" t="inlineStr">
        <is>
          <t>Oil &amp; Gas Data</t>
        </is>
      </c>
      <c r="C19" s="952" t="inlineStr">
        <is>
          <t>ECMC Data</t>
        </is>
      </c>
      <c r="D19" s="952" t="inlineStr">
        <is>
          <t>Downloadable oil and gas data and records.</t>
        </is>
      </c>
      <c r="E19" s="952" t="inlineStr">
        <is>
          <t>Perform detailed facility and well research.</t>
        </is>
      </c>
      <c r="F19" s="952" t="inlineStr">
        <is>
          <t>Yes</t>
        </is>
      </c>
      <c r="G19" s="1188" t="inlineStr">
        <is>
          <t>https://ecmc.state.co.us/data.html</t>
        </is>
      </c>
      <c r="H19" s="1129" t="n">
        <v>46213</v>
      </c>
      <c r="I19" s="951" t="inlineStr">
        <is>
          <t>High</t>
        </is>
      </c>
    </row>
    <row r="20" ht="42" customHeight="1">
      <c r="A20" s="952" t="inlineStr">
        <is>
          <t>CDPHE</t>
        </is>
      </c>
      <c r="B20" s="952" t="inlineStr">
        <is>
          <t>Environmental</t>
        </is>
      </c>
      <c r="C20" s="952" t="inlineStr">
        <is>
          <t>Maps and GIS for Health and Environment</t>
        </is>
      </c>
      <c r="D20" s="952" t="inlineStr">
        <is>
          <t>Environmental, health, cleanup and facility mapping resources.</t>
        </is>
      </c>
      <c r="E20" s="952" t="inlineStr">
        <is>
          <t>Screen environmental and public-health conditions.</t>
        </is>
      </c>
      <c r="F20" s="952" t="inlineStr">
        <is>
          <t>Yes</t>
        </is>
      </c>
      <c r="G20" s="1188" t="inlineStr">
        <is>
          <t>https://cdphe.colorado.gov/maps-and-gis-for-health-and-environment</t>
        </is>
      </c>
      <c r="H20" s="1129" t="n">
        <v>46213</v>
      </c>
      <c r="I20" s="951" t="inlineStr">
        <is>
          <t>Critical</t>
        </is>
      </c>
    </row>
    <row r="21" ht="42" customHeight="1">
      <c r="A21" s="952" t="inlineStr">
        <is>
          <t>CDPHE</t>
        </is>
      </c>
      <c r="B21" s="952" t="inlineStr">
        <is>
          <t>Contamination</t>
        </is>
      </c>
      <c r="C21" s="952" t="inlineStr">
        <is>
          <t>Environmental Maps and GIS Data</t>
        </is>
      </c>
      <c r="D21" s="952" t="inlineStr">
        <is>
          <t>Hazardous Materials and Waste Management map portal and records search.</t>
        </is>
      </c>
      <c r="E21" s="952" t="inlineStr">
        <is>
          <t>Locate regulated facilities, waste sites and associated records.</t>
        </is>
      </c>
      <c r="F21" s="952" t="inlineStr">
        <is>
          <t>Yes</t>
        </is>
      </c>
      <c r="G21" s="1188" t="inlineStr">
        <is>
          <t>https://cdphe.colorado.gov/hm/gis-data</t>
        </is>
      </c>
      <c r="H21" s="1129" t="n">
        <v>46213</v>
      </c>
      <c r="I21" s="951" t="inlineStr">
        <is>
          <t>Critical</t>
        </is>
      </c>
    </row>
    <row r="22" ht="42" customHeight="1">
      <c r="A22" s="952" t="inlineStr">
        <is>
          <t>CDPHE</t>
        </is>
      </c>
      <c r="B22" s="952" t="inlineStr">
        <is>
          <t>Contamination</t>
        </is>
      </c>
      <c r="C22" s="952" t="inlineStr">
        <is>
          <t>How to Find Out if a Site Is Contaminated</t>
        </is>
      </c>
      <c r="D22" s="952" t="inlineStr">
        <is>
          <t>Guide to cleanup, covenant, tank and federal environmental databases.</t>
        </is>
      </c>
      <c r="E22" s="952" t="inlineStr">
        <is>
          <t>Build an environmental-screening search plan.</t>
        </is>
      </c>
      <c r="F22" s="952" t="inlineStr">
        <is>
          <t>Yes</t>
        </is>
      </c>
      <c r="G22" s="1188" t="inlineStr">
        <is>
          <t>https://cdphe.colorado.gov/hm/if-site-contaminated</t>
        </is>
      </c>
      <c r="H22" s="1129" t="n">
        <v>46213</v>
      </c>
      <c r="I22" s="951" t="inlineStr">
        <is>
          <t>High</t>
        </is>
      </c>
    </row>
    <row r="23" ht="42" customHeight="1">
      <c r="A23" s="952" t="inlineStr">
        <is>
          <t>CDPHE</t>
        </is>
      </c>
      <c r="B23" s="952" t="inlineStr">
        <is>
          <t>Water Quality</t>
        </is>
      </c>
      <c r="C23" s="952" t="inlineStr">
        <is>
          <t>Clean Water GIS Maps</t>
        </is>
      </c>
      <c r="D23" s="952" t="inlineStr">
        <is>
          <t>Impaired waters, stream segments, TMDLs and watershed-plan maps.</t>
        </is>
      </c>
      <c r="E23" s="952" t="inlineStr">
        <is>
          <t>Screen nearby surface-water quality and regulatory context.</t>
        </is>
      </c>
      <c r="F23" s="952" t="inlineStr">
        <is>
          <t>Yes</t>
        </is>
      </c>
      <c r="G23" s="1188" t="inlineStr">
        <is>
          <t>https://cdphe.colorado.gov/clean-water-gis-maps</t>
        </is>
      </c>
      <c r="H23" s="1129" t="n">
        <v>46213</v>
      </c>
      <c r="I23" s="951" t="inlineStr">
        <is>
          <t>High</t>
        </is>
      </c>
    </row>
    <row r="24" ht="42" customHeight="1">
      <c r="A24" s="952" t="inlineStr">
        <is>
          <t>CDPHE</t>
        </is>
      </c>
      <c r="B24" s="952" t="inlineStr">
        <is>
          <t>PFAS</t>
        </is>
      </c>
      <c r="C24" s="952" t="inlineStr">
        <is>
          <t>PFAS Mapping</t>
        </is>
      </c>
      <c r="D24" s="952" t="inlineStr">
        <is>
          <t>PFAS sampling and vulnerability mapping resources.</t>
        </is>
      </c>
      <c r="E24" s="952" t="inlineStr">
        <is>
          <t>Screen known sampling and modeled PFAS concerns.</t>
        </is>
      </c>
      <c r="F24" s="952" t="inlineStr">
        <is>
          <t>Yes</t>
        </is>
      </c>
      <c r="G24" s="1188" t="inlineStr">
        <is>
          <t>https://cdphe.colorado.gov/pfas/mapping</t>
        </is>
      </c>
      <c r="H24" s="1129" t="n">
        <v>46213</v>
      </c>
      <c r="I24" s="951" t="inlineStr">
        <is>
          <t>Useful</t>
        </is>
      </c>
    </row>
    <row r="25" ht="42" customHeight="1">
      <c r="A25" s="952" t="inlineStr">
        <is>
          <t>FEMA</t>
        </is>
      </c>
      <c r="B25" s="952" t="inlineStr">
        <is>
          <t>Flood</t>
        </is>
      </c>
      <c r="C25" s="952" t="inlineStr">
        <is>
          <t>Flood Maps</t>
        </is>
      </c>
      <c r="D25" s="952" t="inlineStr">
        <is>
          <t>FEMA flood-hazard mapping overview and resources.</t>
        </is>
      </c>
      <c r="E25" s="952" t="inlineStr">
        <is>
          <t>Understand official flood-map products and updates.</t>
        </is>
      </c>
      <c r="F25" s="952" t="inlineStr">
        <is>
          <t>Yes</t>
        </is>
      </c>
      <c r="G25" s="1188" t="inlineStr">
        <is>
          <t>https://www.fema.gov/flood-maps</t>
        </is>
      </c>
      <c r="H25" s="1129" t="n">
        <v>46213</v>
      </c>
      <c r="I25" s="951" t="inlineStr">
        <is>
          <t>Critical</t>
        </is>
      </c>
    </row>
    <row r="26" ht="42" customHeight="1">
      <c r="A26" s="952" t="inlineStr">
        <is>
          <t>FEMA</t>
        </is>
      </c>
      <c r="B26" s="952" t="inlineStr">
        <is>
          <t>Flood</t>
        </is>
      </c>
      <c r="C26" s="952" t="inlineStr">
        <is>
          <t>Flood Map Service Center</t>
        </is>
      </c>
      <c r="D26" s="952" t="inlineStr">
        <is>
          <t>Official address and map search for effective flood maps.</t>
        </is>
      </c>
      <c r="E26" s="952" t="inlineStr">
        <is>
          <t>Search flood zones, panels and Letters of Map Change.</t>
        </is>
      </c>
      <c r="F26" s="952" t="inlineStr">
        <is>
          <t>Yes</t>
        </is>
      </c>
      <c r="G26" s="1188" t="inlineStr">
        <is>
          <t>https://msc.fema.gov/portal/search</t>
        </is>
      </c>
      <c r="H26" s="1129" t="n">
        <v>46213</v>
      </c>
      <c r="I26" s="951" t="inlineStr">
        <is>
          <t>Critical</t>
        </is>
      </c>
    </row>
    <row r="27" ht="42" customHeight="1">
      <c r="A27" s="952" t="inlineStr">
        <is>
          <t>FEMA</t>
        </is>
      </c>
      <c r="B27" s="952" t="inlineStr">
        <is>
          <t>Flood / GIS</t>
        </is>
      </c>
      <c r="C27" s="952" t="inlineStr">
        <is>
          <t>National Flood Hazard Layer</t>
        </is>
      </c>
      <c r="D27" s="952" t="inlineStr">
        <is>
          <t>GIS representation of current flood-hazard information.</t>
        </is>
      </c>
      <c r="E27" s="952" t="inlineStr">
        <is>
          <t>Overlay flood data in mapping workflows.</t>
        </is>
      </c>
      <c r="F27" s="952" t="inlineStr">
        <is>
          <t>Yes</t>
        </is>
      </c>
      <c r="G27" s="1188" t="inlineStr">
        <is>
          <t>https://www.fema.gov/flood-maps/national-flood-hazard-layer</t>
        </is>
      </c>
      <c r="H27" s="1129" t="n">
        <v>46213</v>
      </c>
      <c r="I27" s="951" t="inlineStr">
        <is>
          <t>High</t>
        </is>
      </c>
    </row>
    <row r="28" ht="42" customHeight="1">
      <c r="A28" s="952" t="inlineStr">
        <is>
          <t>U.S. EPA</t>
        </is>
      </c>
      <c r="B28" s="952" t="inlineStr">
        <is>
          <t>Environmental</t>
        </is>
      </c>
      <c r="C28" s="952" t="inlineStr">
        <is>
          <t>Cleanups in My Community</t>
        </is>
      </c>
      <c r="D28" s="952" t="inlineStr">
        <is>
          <t>Map of federal and state cleanup sites and programs.</t>
        </is>
      </c>
      <c r="E28" s="952" t="inlineStr">
        <is>
          <t>Screen nearby cleanup and regulated sites.</t>
        </is>
      </c>
      <c r="F28" s="952" t="inlineStr">
        <is>
          <t>Yes</t>
        </is>
      </c>
      <c r="G28" s="1188" t="inlineStr">
        <is>
          <t>https://www.epa.gov/cleanups/cleanups-my-community</t>
        </is>
      </c>
      <c r="H28" s="1129" t="n">
        <v>46213</v>
      </c>
      <c r="I28" s="951" t="inlineStr">
        <is>
          <t>Critical</t>
        </is>
      </c>
    </row>
    <row r="29" ht="42" customHeight="1">
      <c r="A29" s="952" t="inlineStr">
        <is>
          <t>U.S. EPA</t>
        </is>
      </c>
      <c r="B29" s="952" t="inlineStr">
        <is>
          <t>Environmental</t>
        </is>
      </c>
      <c r="C29" s="952" t="inlineStr">
        <is>
          <t>Direct Cleanup Map</t>
        </is>
      </c>
      <c r="D29" s="952" t="inlineStr">
        <is>
          <t>Interactive cleanup-site map.</t>
        </is>
      </c>
      <c r="E29" s="952" t="inlineStr">
        <is>
          <t>Search a specific address or area for cleanup records.</t>
        </is>
      </c>
      <c r="F29" s="952" t="inlineStr">
        <is>
          <t>Yes</t>
        </is>
      </c>
      <c r="G29" s="1188" t="inlineStr">
        <is>
          <t>https://map22.epa.gov/cimc/</t>
        </is>
      </c>
      <c r="H29" s="1129" t="n">
        <v>46213</v>
      </c>
      <c r="I29" s="951" t="inlineStr">
        <is>
          <t>High</t>
        </is>
      </c>
    </row>
    <row r="30" ht="42" customHeight="1">
      <c r="A30" s="952" t="inlineStr">
        <is>
          <t>U.S. EPA</t>
        </is>
      </c>
      <c r="B30" s="952" t="inlineStr">
        <is>
          <t>Superfund</t>
        </is>
      </c>
      <c r="C30" s="952" t="inlineStr">
        <is>
          <t>Search Superfund Sites</t>
        </is>
      </c>
      <c r="D30" s="952" t="inlineStr">
        <is>
          <t>Superfund and National Priorities List search resources.</t>
        </is>
      </c>
      <c r="E30" s="952" t="inlineStr">
        <is>
          <t>Check nearby federal Superfund sites and site documents.</t>
        </is>
      </c>
      <c r="F30" s="952" t="inlineStr">
        <is>
          <t>Yes</t>
        </is>
      </c>
      <c r="G30" s="1188" t="inlineStr">
        <is>
          <t>https://www.epa.gov/superfund/search-superfund-sites-where-you-live</t>
        </is>
      </c>
      <c r="H30" s="1129" t="n">
        <v>46213</v>
      </c>
      <c r="I30" s="951" t="inlineStr">
        <is>
          <t>High</t>
        </is>
      </c>
    </row>
    <row r="31" ht="42" customHeight="1">
      <c r="A31" s="952" t="inlineStr">
        <is>
          <t>USDA NRCS</t>
        </is>
      </c>
      <c r="B31" s="952" t="inlineStr">
        <is>
          <t>Soils</t>
        </is>
      </c>
      <c r="C31" s="952" t="inlineStr">
        <is>
          <t>Web Soil Survey</t>
        </is>
      </c>
      <c r="D31" s="952" t="inlineStr">
        <is>
          <t>Authoritative soil maps and interpretations.</t>
        </is>
      </c>
      <c r="E31" s="952" t="inlineStr">
        <is>
          <t>Evaluate soil type, drainage, engineering and agricultural characteristics.</t>
        </is>
      </c>
      <c r="F31" s="952" t="inlineStr">
        <is>
          <t>Yes</t>
        </is>
      </c>
      <c r="G31" s="1188" t="inlineStr">
        <is>
          <t>https://websoilsurvey.nrcs.usda.gov/</t>
        </is>
      </c>
      <c r="H31" s="1129" t="n">
        <v>46213</v>
      </c>
      <c r="I31" s="951" t="inlineStr">
        <is>
          <t>Critical</t>
        </is>
      </c>
    </row>
    <row r="32" ht="42" customHeight="1">
      <c r="A32" s="952" t="inlineStr">
        <is>
          <t>U.S. Fish &amp; Wildlife Service</t>
        </is>
      </c>
      <c r="B32" s="952" t="inlineStr">
        <is>
          <t>Wetlands</t>
        </is>
      </c>
      <c r="C32" s="952" t="inlineStr">
        <is>
          <t>National Wetlands Inventory Mapper</t>
        </is>
      </c>
      <c r="D32" s="952" t="inlineStr">
        <is>
          <t>Mapped wetland and aquatic-resource information.</t>
        </is>
      </c>
      <c r="E32" s="952" t="inlineStr">
        <is>
          <t>Screen for potential wetlands; field verification may still be required.</t>
        </is>
      </c>
      <c r="F32" s="952" t="inlineStr">
        <is>
          <t>Yes</t>
        </is>
      </c>
      <c r="G32" s="1188" t="inlineStr">
        <is>
          <t>https://www.fws.gov/program/national-wetlands-inventory/wetlands-mapper</t>
        </is>
      </c>
      <c r="H32" s="1129" t="n">
        <v>46213</v>
      </c>
      <c r="I32" s="951" t="inlineStr">
        <is>
          <t>High</t>
        </is>
      </c>
    </row>
    <row r="33" ht="42" customHeight="1">
      <c r="A33" s="952" t="inlineStr">
        <is>
          <t>CDOT</t>
        </is>
      </c>
      <c r="B33" s="952" t="inlineStr">
        <is>
          <t>Transportation</t>
        </is>
      </c>
      <c r="C33" s="952" t="inlineStr">
        <is>
          <t>Online Transportation Information System</t>
        </is>
      </c>
      <c r="D33" s="952" t="inlineStr">
        <is>
          <t>Traffic, highway attributes, planning and geographic data.</t>
        </is>
      </c>
      <c r="E33" s="952" t="inlineStr">
        <is>
          <t>Research state-highway context and transportation planning.</t>
        </is>
      </c>
      <c r="F33" s="952" t="inlineStr">
        <is>
          <t>Yes</t>
        </is>
      </c>
      <c r="G33" s="1188" t="inlineStr">
        <is>
          <t>https://dtdapps.codot.gov/otis</t>
        </is>
      </c>
      <c r="H33" s="1129" t="n">
        <v>46213</v>
      </c>
      <c r="I33" s="951" t="inlineStr">
        <is>
          <t>Critical</t>
        </is>
      </c>
    </row>
    <row r="34" ht="42" customHeight="1">
      <c r="A34" s="952" t="inlineStr">
        <is>
          <t>CDOT</t>
        </is>
      </c>
      <c r="B34" s="952" t="inlineStr">
        <is>
          <t>Transportation</t>
        </is>
      </c>
      <c r="C34" s="952" t="inlineStr">
        <is>
          <t>Highway Data Explorer</t>
        </is>
      </c>
      <c r="D34" s="952" t="inlineStr">
        <is>
          <t>Map-based state highway data and attributes.</t>
        </is>
      </c>
      <c r="E34" s="952" t="inlineStr">
        <is>
          <t>Review highway classification, geometry and related data.</t>
        </is>
      </c>
      <c r="F34" s="952" t="inlineStr">
        <is>
          <t>Yes</t>
        </is>
      </c>
      <c r="G34" s="1188" t="inlineStr">
        <is>
          <t>https://dtdapps.codot.gov/otis/HighwayData</t>
        </is>
      </c>
      <c r="H34" s="1129" t="n">
        <v>46213</v>
      </c>
      <c r="I34" s="951" t="inlineStr">
        <is>
          <t>High</t>
        </is>
      </c>
    </row>
    <row r="35" ht="42" customHeight="1">
      <c r="A35" s="952" t="inlineStr">
        <is>
          <t>CDOT</t>
        </is>
      </c>
      <c r="B35" s="952" t="inlineStr">
        <is>
          <t>Traffic</t>
        </is>
      </c>
      <c r="C35" s="952" t="inlineStr">
        <is>
          <t>Traffic Data Explorer</t>
        </is>
      </c>
      <c r="D35" s="952" t="inlineStr">
        <is>
          <t>Traffic stations, AADT and projected traffic data.</t>
        </is>
      </c>
      <c r="E35" s="952" t="inlineStr">
        <is>
          <t>Support access, development and market analysis.</t>
        </is>
      </c>
      <c r="F35" s="952" t="inlineStr">
        <is>
          <t>Yes</t>
        </is>
      </c>
      <c r="G35" s="1188" t="inlineStr">
        <is>
          <t>https://dtdapps.codot.gov/otis/TrafficData</t>
        </is>
      </c>
      <c r="H35" s="1129" t="n">
        <v>46213</v>
      </c>
      <c r="I35" s="951" t="inlineStr">
        <is>
          <t>High</t>
        </is>
      </c>
    </row>
    <row r="36" ht="42" customHeight="1">
      <c r="A36" s="952" t="inlineStr">
        <is>
          <t>History Colorado</t>
        </is>
      </c>
      <c r="B36" s="952" t="inlineStr">
        <is>
          <t>Historic Properties</t>
        </is>
      </c>
      <c r="C36" s="952" t="inlineStr">
        <is>
          <t>Compass Information</t>
        </is>
      </c>
      <c r="D36" s="952" t="inlineStr">
        <is>
          <t>State cultural-resource inventory and research guidance.</t>
        </is>
      </c>
      <c r="E36" s="952" t="inlineStr">
        <is>
          <t>Screen historic resources and understand access to cultural-resource data.</t>
        </is>
      </c>
      <c r="F36" s="952" t="inlineStr">
        <is>
          <t>Yes</t>
        </is>
      </c>
      <c r="G36" s="1188" t="inlineStr">
        <is>
          <t>https://www.historycolorado.org/compass-information</t>
        </is>
      </c>
      <c r="H36" s="1129" t="n">
        <v>46213</v>
      </c>
      <c r="I36" s="951" t="inlineStr">
        <is>
          <t>High</t>
        </is>
      </c>
    </row>
    <row r="37" ht="42" customHeight="1">
      <c r="A37" s="952" t="inlineStr">
        <is>
          <t>History Colorado</t>
        </is>
      </c>
      <c r="B37" s="952" t="inlineStr">
        <is>
          <t>Historic Properties</t>
        </is>
      </c>
      <c r="C37" s="952" t="inlineStr">
        <is>
          <t>National &amp; State Register Listed Properties</t>
        </is>
      </c>
      <c r="D37" s="952" t="inlineStr">
        <is>
          <t>Lists and records of registered historic properties.</t>
        </is>
      </c>
      <c r="E37" s="952" t="inlineStr">
        <is>
          <t>Check whether a property or nearby resource is listed.</t>
        </is>
      </c>
      <c r="F37" s="952" t="inlineStr">
        <is>
          <t>Yes</t>
        </is>
      </c>
      <c r="G37" s="1188" t="inlineStr">
        <is>
          <t>https://www.historycolorado.org/national-state-register-listed-properties</t>
        </is>
      </c>
      <c r="H37" s="1129" t="n">
        <v>46213</v>
      </c>
      <c r="I37" s="951" t="inlineStr">
        <is>
          <t>High</t>
        </is>
      </c>
    </row>
    <row r="38" ht="42" customHeight="1">
      <c r="A38" s="952" t="inlineStr">
        <is>
          <t>Colorado Division of Real Estate</t>
        </is>
      </c>
      <c r="B38" s="952" t="inlineStr">
        <is>
          <t>HOA</t>
        </is>
      </c>
      <c r="C38" s="952" t="inlineStr">
        <is>
          <t>HOA Center</t>
        </is>
      </c>
      <c r="D38" s="952" t="inlineStr">
        <is>
          <t>Information about common-interest communities, CCIOA and HOA resources.</t>
        </is>
      </c>
      <c r="E38" s="952" t="inlineStr">
        <is>
          <t>Understand HOA registration and common-interest community issues.</t>
        </is>
      </c>
      <c r="F38" s="952" t="inlineStr">
        <is>
          <t>Yes</t>
        </is>
      </c>
      <c r="G38" s="1188" t="inlineStr">
        <is>
          <t>https://dre.colorado.gov/hoa-center</t>
        </is>
      </c>
      <c r="H38" s="1129" t="n">
        <v>46213</v>
      </c>
      <c r="I38" s="951" t="inlineStr">
        <is>
          <t>High</t>
        </is>
      </c>
    </row>
    <row r="39" ht="42" customHeight="1">
      <c r="A39" s="952" t="inlineStr">
        <is>
          <t>Colorado Division of Real Estate</t>
        </is>
      </c>
      <c r="B39" s="952" t="inlineStr">
        <is>
          <t>HOA</t>
        </is>
      </c>
      <c r="C39" s="952" t="inlineStr">
        <is>
          <t>HOA Registration Services</t>
        </is>
      </c>
      <c r="D39" s="952" t="inlineStr">
        <is>
          <t>HOA registration lookup guidance and registration resources.</t>
        </is>
      </c>
      <c r="E39" s="952" t="inlineStr">
        <is>
          <t>Check an association's registration status and identify contacts.</t>
        </is>
      </c>
      <c r="F39" s="952" t="inlineStr">
        <is>
          <t>Yes</t>
        </is>
      </c>
      <c r="G39" s="1188" t="inlineStr">
        <is>
          <t>https://dre.colorado.gov/hoa-registration-services</t>
        </is>
      </c>
      <c r="H39" s="1129" t="n">
        <v>46213</v>
      </c>
      <c r="I39" s="951" t="inlineStr">
        <is>
          <t>High</t>
        </is>
      </c>
    </row>
    <row r="40" ht="42" customHeight="1">
      <c r="A40" s="952" t="inlineStr">
        <is>
          <t>Colorado DORA</t>
        </is>
      </c>
      <c r="B40" s="952" t="inlineStr">
        <is>
          <t>Professional Licenses</t>
        </is>
      </c>
      <c r="C40" s="952" t="inlineStr">
        <is>
          <t>Verify a Professional or Business License</t>
        </is>
      </c>
      <c r="D40" s="952" t="inlineStr">
        <is>
          <t>Search licenses for brokers, engineers, architects and other regulated professionals.</t>
        </is>
      </c>
      <c r="E40" s="952" t="inlineStr">
        <is>
          <t>Verify people and firms involved in a transaction or project.</t>
        </is>
      </c>
      <c r="F40" s="952" t="inlineStr">
        <is>
          <t>Yes</t>
        </is>
      </c>
      <c r="G40" s="1188" t="inlineStr">
        <is>
          <t>https://co.colorado.gov/verify-status-professionals-license</t>
        </is>
      </c>
      <c r="H40" s="1129" t="n">
        <v>46213</v>
      </c>
      <c r="I40" s="951" t="inlineStr">
        <is>
          <t>Useful</t>
        </is>
      </c>
    </row>
    <row r="41" ht="42" customHeight="1">
      <c r="A41" s="952" t="inlineStr">
        <is>
          <t>Colorado State Land Board</t>
        </is>
      </c>
      <c r="B41" s="952" t="inlineStr">
        <is>
          <t>State Trust Land</t>
        </is>
      </c>
      <c r="C41" s="952" t="inlineStr">
        <is>
          <t>State Land Board Online Services</t>
        </is>
      </c>
      <c r="D41" s="952" t="inlineStr">
        <is>
          <t>State trust land and lease-related online services.</t>
        </is>
      </c>
      <c r="E41" s="952" t="inlineStr">
        <is>
          <t>Screen potential state trust land interests and obtain state land information.</t>
        </is>
      </c>
      <c r="F41" s="952" t="inlineStr">
        <is>
          <t>Yes</t>
        </is>
      </c>
      <c r="G41" s="1188" t="inlineStr">
        <is>
          <t>https://secure.slb.colorado.gov/</t>
        </is>
      </c>
      <c r="H41" s="1129" t="n">
        <v>46213</v>
      </c>
      <c r="I41" s="951" t="inlineStr">
        <is>
          <t>Useful</t>
        </is>
      </c>
    </row>
    <row r="42" ht="42" customHeight="1">
      <c r="A42" s="952" t="inlineStr">
        <is>
          <t>BLM</t>
        </is>
      </c>
      <c r="B42" s="952" t="inlineStr">
        <is>
          <t>Federal Land / GIS</t>
        </is>
      </c>
      <c r="C42" s="952" t="inlineStr">
        <is>
          <t>Colorado GIS Datasets</t>
        </is>
      </c>
      <c r="D42" s="952" t="inlineStr">
        <is>
          <t>Federal land and resource GIS datasets.</t>
        </is>
      </c>
      <c r="E42" s="952" t="inlineStr">
        <is>
          <t>Screen federal land status and download BLM layers.</t>
        </is>
      </c>
      <c r="F42" s="952" t="inlineStr">
        <is>
          <t>Yes</t>
        </is>
      </c>
      <c r="G42" s="1188" t="inlineStr">
        <is>
          <t>https://www.blm.gov/maps/frequently-requested/colorado/gis-datasets</t>
        </is>
      </c>
      <c r="H42" s="1129" t="n">
        <v>46213</v>
      </c>
      <c r="I42" s="951" t="inlineStr">
        <is>
          <t>Useful</t>
        </is>
      </c>
    </row>
  </sheetData>
  <mergeCells count="2">
    <mergeCell ref="A1:I1"/>
    <mergeCell ref="A2:I2"/>
  </mergeCells>
  <dataValidations count="1">
    <dataValidation sqref="I5:I42" showDropDown="0" showInputMessage="0" showErrorMessage="0" allowBlank="0" type="list">
      <formula1>"Critical,High,Useful,Reference"</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s>
  <pageMargins left="0.75" right="0.75" top="1" bottom="1" header="0.5" footer="0.5"/>
</worksheet>
</file>

<file path=xl/worksheets/sheet22.xml><?xml version="1.0" encoding="utf-8"?>
<worksheet xmlns="http://schemas.openxmlformats.org/spreadsheetml/2006/main">
  <sheetPr>
    <tabColor rgb="00D97706"/>
    <outlinePr summaryBelow="1" summaryRight="1"/>
    <pageSetUpPr/>
  </sheetPr>
  <dimension ref="A1:I36"/>
  <sheetViews>
    <sheetView workbookViewId="0">
      <selection activeCell="A1" sqref="A1"/>
    </sheetView>
  </sheetViews>
  <sheetFormatPr baseColWidth="8" defaultRowHeight="15"/>
  <cols>
    <col width="6" customWidth="1" min="1" max="1"/>
    <col width="32" customWidth="1" min="2" max="2"/>
    <col width="52" customWidth="1" min="3" max="3"/>
    <col width="52" customWidth="1" min="4" max="4"/>
    <col width="52" customWidth="1" min="5" max="5"/>
    <col width="52" customWidth="1" min="6" max="6"/>
    <col width="52" customWidth="1" min="7" max="7"/>
    <col width="13" customWidth="1" min="8" max="8"/>
    <col width="34" customWidth="1" min="9" max="9"/>
  </cols>
  <sheetData>
    <row r="1" ht="32" customHeight="1">
      <c r="A1" s="957" t="inlineStr">
        <is>
          <t>Property Due-Diligence Checklist</t>
        </is>
      </c>
    </row>
    <row r="2" ht="28" customHeight="1">
      <c r="A2" s="958" t="inlineStr">
        <is>
          <t>Use one copy per property. Update Status, add notes, and save the evidence listed for each step. This is a research workflow, not legal, survey, engineering or title advice.</t>
        </is>
      </c>
    </row>
    <row r="4" ht="30" customHeight="1">
      <c r="A4" s="959" t="inlineStr">
        <is>
          <t>Step</t>
        </is>
      </c>
      <c r="B4" s="959" t="inlineStr">
        <is>
          <t>Topic</t>
        </is>
      </c>
      <c r="C4" s="1187" t="inlineStr">
        <is>
          <t>Question / Action</t>
        </is>
      </c>
      <c r="D4" s="1187" t="inlineStr">
        <is>
          <t>Primary Resource</t>
        </is>
      </c>
      <c r="E4" s="1187" t="inlineStr">
        <is>
          <t>URL</t>
        </is>
      </c>
      <c r="F4" s="1187" t="inlineStr">
        <is>
          <t>Evidence to Save</t>
        </is>
      </c>
      <c r="G4" s="1187" t="inlineStr">
        <is>
          <t>Red Flags / Follow-up</t>
        </is>
      </c>
      <c r="H4" s="959" t="inlineStr">
        <is>
          <t>Status</t>
        </is>
      </c>
      <c r="I4" s="959" t="inlineStr">
        <is>
          <t>Notes</t>
        </is>
      </c>
    </row>
    <row r="5" ht="42" customHeight="1">
      <c r="A5" s="951" t="n">
        <v>1</v>
      </c>
      <c r="B5" s="952" t="inlineStr">
        <is>
          <t>Parcel identity</t>
        </is>
      </c>
      <c r="C5" s="952" t="inlineStr">
        <is>
          <t>Normalize the street address and obtain the Adams County parcel/account number.</t>
        </is>
      </c>
      <c r="D5" s="952" t="inlineStr">
        <is>
          <t>Adams County Search Real Property</t>
        </is>
      </c>
      <c r="E5" s="1188" t="inlineStr">
        <is>
          <t>https://adamscountyco.gov/service/search-real-property/</t>
        </is>
      </c>
      <c r="F5" s="952" t="inlineStr">
        <is>
          <t>Property summary, APN/account number and screenshot/PDF</t>
        </is>
      </c>
      <c r="G5" s="952" t="inlineStr">
        <is>
          <t>Address mismatch, multiple parcels, condominium unit confusion</t>
        </is>
      </c>
      <c r="H5" s="951" t="inlineStr">
        <is>
          <t>Not Started</t>
        </is>
      </c>
      <c r="I5" s="952" t="n"/>
    </row>
    <row r="6" ht="42" customHeight="1">
      <c r="A6" s="951" t="n">
        <v>2</v>
      </c>
      <c r="B6" s="952" t="inlineStr">
        <is>
          <t>Jurisdiction</t>
        </is>
      </c>
      <c r="C6" s="952" t="inlineStr">
        <is>
          <t>Confirm the parcel's county, municipal boundary and whether it is unincorporated.</t>
        </is>
      </c>
      <c r="D6" s="952" t="inlineStr">
        <is>
          <t>County Cities &amp; Towns + Colorado Municipal Boundaries</t>
        </is>
      </c>
      <c r="E6" s="1188" t="inlineStr">
        <is>
          <t>https://gis.dola.colorado.gov/CO_Muni/</t>
        </is>
      </c>
      <c r="F6" s="952" t="inlineStr">
        <is>
          <t>Boundary map and jurisdiction note</t>
        </is>
      </c>
      <c r="G6" s="952" t="inlineStr">
        <is>
          <t>Mailing city differs from legal jurisdiction; recent annexation</t>
        </is>
      </c>
      <c r="H6" s="951" t="inlineStr">
        <is>
          <t>Not Started</t>
        </is>
      </c>
      <c r="I6" s="952" t="n"/>
    </row>
    <row r="7" ht="42" customHeight="1">
      <c r="A7" s="951" t="n">
        <v>3</v>
      </c>
      <c r="B7" s="952" t="inlineStr">
        <is>
          <t>Ownership</t>
        </is>
      </c>
      <c r="C7" s="952" t="inlineStr">
        <is>
          <t>Verify current owner name, mailing address, legal description and assessment record.</t>
        </is>
      </c>
      <c r="D7" s="952" t="inlineStr">
        <is>
          <t>Adams County Assessor Quick Search</t>
        </is>
      </c>
      <c r="E7" s="1188" t="inlineStr">
        <is>
          <t>https://gisapp.adcogov.org/quicksearch/</t>
        </is>
      </c>
      <c r="F7" s="952" t="inlineStr">
        <is>
          <t>Assessor property detail</t>
        </is>
      </c>
      <c r="G7" s="952" t="inlineStr">
        <is>
          <t>Owner entity name differs from contract; stale mailing address</t>
        </is>
      </c>
      <c r="H7" s="951" t="inlineStr">
        <is>
          <t>Not Started</t>
        </is>
      </c>
      <c r="I7" s="952" t="n"/>
    </row>
    <row r="8" ht="42" customHeight="1">
      <c r="A8" s="951" t="n">
        <v>4</v>
      </c>
      <c r="B8" s="952" t="inlineStr">
        <is>
          <t>Legal description</t>
        </is>
      </c>
      <c r="C8" s="952" t="inlineStr">
        <is>
          <t>Compare the assessor legal description with the deed and survey/plat.</t>
        </is>
      </c>
      <c r="D8" s="952" t="inlineStr">
        <is>
          <t>Adams County Landmark Web</t>
        </is>
      </c>
      <c r="E8" s="1188" t="inlineStr">
        <is>
          <t>https://recording.adamscountyco.gov/landmarkweb/</t>
        </is>
      </c>
      <c r="F8" s="952" t="inlineStr">
        <is>
          <t>Latest vesting deed and legal description</t>
        </is>
      </c>
      <c r="G8" s="952" t="inlineStr">
        <is>
          <t>Abbreviated assessor description, omitted tract, exception or easement</t>
        </is>
      </c>
      <c r="H8" s="951" t="inlineStr">
        <is>
          <t>Not Started</t>
        </is>
      </c>
      <c r="I8" s="952" t="n"/>
    </row>
    <row r="9" ht="42" customHeight="1">
      <c r="A9" s="951" t="n">
        <v>5</v>
      </c>
      <c r="B9" s="952" t="inlineStr">
        <is>
          <t>Deed chain</t>
        </is>
      </c>
      <c r="C9" s="952" t="inlineStr">
        <is>
          <t>Pull the current vesting deed and prior deeds needed to understand title history.</t>
        </is>
      </c>
      <c r="D9" s="952" t="inlineStr">
        <is>
          <t>Adams County Landmark Web</t>
        </is>
      </c>
      <c r="E9" s="1188" t="inlineStr">
        <is>
          <t>https://recording.adamscountyco.gov/landmarkweb/</t>
        </is>
      </c>
      <c r="F9" s="952" t="inlineStr">
        <is>
          <t>Recorded deed images and document numbers</t>
        </is>
      </c>
      <c r="G9" s="952" t="inlineStr">
        <is>
          <t>Quitclaim transfers, estate/probate issues, entity changes, recording gaps</t>
        </is>
      </c>
      <c r="H9" s="951" t="inlineStr">
        <is>
          <t>Not Started</t>
        </is>
      </c>
      <c r="I9" s="952" t="n"/>
    </row>
    <row r="10" ht="42" customHeight="1">
      <c r="A10" s="951" t="n">
        <v>6</v>
      </c>
      <c r="B10" s="952" t="inlineStr">
        <is>
          <t>Recorded encumbrances</t>
        </is>
      </c>
      <c r="C10" s="952" t="inlineStr">
        <is>
          <t>Search for deeds of trust, releases, easements, covenants, liens, notices and agreements.</t>
        </is>
      </c>
      <c r="D10" s="952" t="inlineStr">
        <is>
          <t>Adams County Recorded Documents</t>
        </is>
      </c>
      <c r="E10" s="1188" t="inlineStr">
        <is>
          <t>https://adamscountyco.gov/service/find-public-records-recorded-documents/</t>
        </is>
      </c>
      <c r="F10" s="952" t="inlineStr">
        <is>
          <t>Index results and relevant document images</t>
        </is>
      </c>
      <c r="G10" s="952" t="inlineStr">
        <is>
          <t>Unreleased liens, access easements, restrictive covenants, notices of default</t>
        </is>
      </c>
      <c r="H10" s="951" t="inlineStr">
        <is>
          <t>Not Started</t>
        </is>
      </c>
      <c r="I10" s="952" t="n"/>
    </row>
    <row r="11" ht="42" customHeight="1">
      <c r="A11" s="951" t="n">
        <v>7</v>
      </c>
      <c r="B11" s="952" t="inlineStr">
        <is>
          <t>Title</t>
        </is>
      </c>
      <c r="C11" s="952" t="inlineStr">
        <is>
          <t>Order a title commitment and compare exceptions with independently found records.</t>
        </is>
      </c>
      <c r="D11" s="952" t="inlineStr">
        <is>
          <t>Licensed title company / attorney</t>
        </is>
      </c>
      <c r="E11" s="963" t="n"/>
      <c r="F11" s="952" t="inlineStr">
        <is>
          <t>Current title commitment and exception documents</t>
        </is>
      </c>
      <c r="G11" s="952" t="inlineStr">
        <is>
          <t>Unresolved requirements, gap risk, standard exceptions that need survey evidence</t>
        </is>
      </c>
      <c r="H11" s="951" t="inlineStr">
        <is>
          <t>Not Started</t>
        </is>
      </c>
      <c r="I11" s="952" t="n"/>
    </row>
    <row r="12" ht="42" customHeight="1">
      <c r="A12" s="951" t="n">
        <v>8</v>
      </c>
      <c r="B12" s="952" t="inlineStr">
        <is>
          <t>Taxes</t>
        </is>
      </c>
      <c r="C12" s="952" t="inlineStr">
        <is>
          <t>Verify current and prior property-tax status, delinquency and payment history.</t>
        </is>
      </c>
      <c r="D12" s="952" t="inlineStr">
        <is>
          <t>Adams County Tax Portal</t>
        </is>
      </c>
      <c r="E12" s="1188" t="inlineStr">
        <is>
          <t>https://adcotax.com/</t>
        </is>
      </c>
      <c r="F12" s="952" t="inlineStr">
        <is>
          <t>Tax statement and payment history</t>
        </is>
      </c>
      <c r="G12" s="952" t="inlineStr">
        <is>
          <t>Delinquent taxes, omitted taxes, special assessments</t>
        </is>
      </c>
      <c r="H12" s="951" t="inlineStr">
        <is>
          <t>Not Started</t>
        </is>
      </c>
      <c r="I12" s="952" t="n"/>
    </row>
    <row r="13" ht="42" customHeight="1">
      <c r="A13" s="951" t="n">
        <v>9</v>
      </c>
      <c r="B13" s="952" t="inlineStr">
        <is>
          <t>Tax liens / deed</t>
        </is>
      </c>
      <c r="C13" s="952" t="inlineStr">
        <is>
          <t>Check tax-lien sale and treasurer's deed information when delinquency appears.</t>
        </is>
      </c>
      <c r="D13" s="952" t="inlineStr">
        <is>
          <t>Adams County Tax Lien Sale</t>
        </is>
      </c>
      <c r="E13" s="1188" t="inlineStr">
        <is>
          <t>https://adamscountyco.gov/our-county/elected-officials/treasurer-public-trustee/treasurer-division/tax-lien-sale/</t>
        </is>
      </c>
      <c r="F13" s="952" t="inlineStr">
        <is>
          <t>Tax-lien research notes</t>
        </is>
      </c>
      <c r="G13" s="952" t="inlineStr">
        <is>
          <t>Outstanding certificates, redemption deadlines, treasurer's deed process</t>
        </is>
      </c>
      <c r="H13" s="951" t="inlineStr">
        <is>
          <t>Not Started</t>
        </is>
      </c>
      <c r="I13" s="952" t="n"/>
    </row>
    <row r="14" ht="42" customHeight="1">
      <c r="A14" s="951" t="n">
        <v>10</v>
      </c>
      <c r="B14" s="952" t="inlineStr">
        <is>
          <t>Foreclosure</t>
        </is>
      </c>
      <c r="C14" s="952" t="inlineStr">
        <is>
          <t>Search public trustee foreclosure records and reports.</t>
        </is>
      </c>
      <c r="D14" s="952" t="inlineStr">
        <is>
          <t>Adams County Foreclosure Search</t>
        </is>
      </c>
      <c r="E14" s="1188" t="inlineStr">
        <is>
          <t>https://apps.adcogov.org/PTForeclosureSearch/?ds=1</t>
        </is>
      </c>
      <c r="F14" s="952" t="inlineStr">
        <is>
          <t>Foreclosure search results</t>
        </is>
      </c>
      <c r="G14" s="952" t="inlineStr">
        <is>
          <t>Active case, sale date, withdrawn/restarted case, borrower-name variants</t>
        </is>
      </c>
      <c r="H14" s="951" t="inlineStr">
        <is>
          <t>Not Started</t>
        </is>
      </c>
      <c r="I14" s="952" t="n"/>
    </row>
    <row r="15" ht="42" customHeight="1">
      <c r="A15" s="951" t="n">
        <v>11</v>
      </c>
      <c r="B15" s="952" t="inlineStr">
        <is>
          <t>Survey / plat</t>
        </is>
      </c>
      <c r="C15" s="952" t="inlineStr">
        <is>
          <t>Locate recorded plats and surveys; obtain a current survey if boundaries or improvements matter.</t>
        </is>
      </c>
      <c r="D15" s="952" t="inlineStr">
        <is>
          <t>Adams County Land Survey Plats</t>
        </is>
      </c>
      <c r="E15" s="1188" t="inlineStr">
        <is>
          <t>https://adamscountyco.gov/our-county/elected-officials/clerk-recorder/recording/land-survey-plats/</t>
        </is>
      </c>
      <c r="F15" s="952" t="inlineStr">
        <is>
          <t>Recorded plat/survey and current field survey when appropriate</t>
        </is>
      </c>
      <c r="G15" s="952" t="inlineStr">
        <is>
          <t>Encroachments, gaps/overlaps, fence conflicts, unrecorded access</t>
        </is>
      </c>
      <c r="H15" s="951" t="inlineStr">
        <is>
          <t>Not Started</t>
        </is>
      </c>
      <c r="I15" s="952" t="n"/>
    </row>
    <row r="16" ht="42" customHeight="1">
      <c r="A16" s="951" t="n">
        <v>12</v>
      </c>
      <c r="B16" s="952" t="inlineStr">
        <is>
          <t>Zoning district</t>
        </is>
      </c>
      <c r="C16" s="952" t="inlineStr">
        <is>
          <t>Confirm zoning with the correct city/town or Adams County for an unincorporated parcel.</t>
        </is>
      </c>
      <c r="D16" s="952" t="inlineStr">
        <is>
          <t>Quick Matrix / local zoning page</t>
        </is>
      </c>
      <c r="E16" s="963" t="n"/>
      <c r="F16" s="952" t="inlineStr">
        <is>
          <t>Zoning map screenshot and written zoning confirmation when material</t>
        </is>
      </c>
      <c r="G16" s="952" t="inlineStr">
        <is>
          <t>Split zoning, overlay district, pending rezoning, map/code conflict</t>
        </is>
      </c>
      <c r="H16" s="951" t="inlineStr">
        <is>
          <t>Not Started</t>
        </is>
      </c>
      <c r="I16" s="952" t="n"/>
    </row>
    <row r="17" ht="42" customHeight="1">
      <c r="A17" s="951" t="n">
        <v>13</v>
      </c>
      <c r="B17" s="952" t="inlineStr">
        <is>
          <t>Allowed use</t>
        </is>
      </c>
      <c r="C17" s="952" t="inlineStr">
        <is>
          <t>Read the current code for permitted, conditional, accessory and prohibited uses.</t>
        </is>
      </c>
      <c r="D17" s="952" t="inlineStr">
        <is>
          <t>Local land-use code</t>
        </is>
      </c>
      <c r="E17" s="963" t="n"/>
      <c r="F17" s="952" t="inlineStr">
        <is>
          <t>Code sections and planner confirmation</t>
        </is>
      </c>
      <c r="G17" s="952" t="inlineStr">
        <is>
          <t>Use requires hearing, spacing/separation rule, nonconforming status</t>
        </is>
      </c>
      <c r="H17" s="951" t="inlineStr">
        <is>
          <t>Not Started</t>
        </is>
      </c>
      <c r="I17" s="952" t="n"/>
    </row>
    <row r="18" ht="42" customHeight="1">
      <c r="A18" s="951" t="n">
        <v>14</v>
      </c>
      <c r="B18" s="952" t="inlineStr">
        <is>
          <t>Dimensional / design standards</t>
        </is>
      </c>
      <c r="C18" s="952" t="inlineStr">
        <is>
          <t>Check setbacks, height, lot coverage, parking, landscaping, design and sign rules.</t>
        </is>
      </c>
      <c r="D18" s="952" t="inlineStr">
        <is>
          <t>Local zoning/development code</t>
        </is>
      </c>
      <c r="E18" s="963" t="n"/>
      <c r="F18" s="952" t="inlineStr">
        <is>
          <t>Applicable standard excerpts</t>
        </is>
      </c>
      <c r="G18" s="952" t="inlineStr">
        <is>
          <t>Existing or proposed improvements do not comply</t>
        </is>
      </c>
      <c r="H18" s="951" t="inlineStr">
        <is>
          <t>Not Started</t>
        </is>
      </c>
      <c r="I18" s="952" t="n"/>
    </row>
    <row r="19" ht="42" customHeight="1">
      <c r="A19" s="951" t="n">
        <v>15</v>
      </c>
      <c r="B19" s="952" t="inlineStr">
        <is>
          <t>Overlays / constraints</t>
        </is>
      </c>
      <c r="C19" s="952" t="inlineStr">
        <is>
          <t>Check airport, flood, historic, oil/gas, design, corridor and other overlay districts.</t>
        </is>
      </c>
      <c r="D19" s="952" t="inlineStr">
        <is>
          <t>Local GIS + county/state tools</t>
        </is>
      </c>
      <c r="E19" s="963" t="n"/>
      <c r="F19" s="952" t="inlineStr">
        <is>
          <t>Overlay maps and applicable standards</t>
        </is>
      </c>
      <c r="G19" s="952" t="inlineStr">
        <is>
          <t>Overlay adds approval, disclosure or construction limits</t>
        </is>
      </c>
      <c r="H19" s="951" t="inlineStr">
        <is>
          <t>Not Started</t>
        </is>
      </c>
      <c r="I19" s="952" t="n"/>
    </row>
    <row r="20" ht="42" customHeight="1">
      <c r="A20" s="951" t="n">
        <v>16</v>
      </c>
      <c r="B20" s="952" t="inlineStr">
        <is>
          <t>Future land use</t>
        </is>
      </c>
      <c r="C20" s="952" t="inlineStr">
        <is>
          <t>Review the comprehensive plan, future land-use map and adopted area/corridor plans.</t>
        </is>
      </c>
      <c r="D20" s="952" t="inlineStr">
        <is>
          <t>Local comprehensive/long-range plan</t>
        </is>
      </c>
      <c r="E20" s="963" t="n"/>
      <c r="F20" s="952" t="inlineStr">
        <is>
          <t>Future land-use designation and policy notes</t>
        </is>
      </c>
      <c r="G20" s="952" t="inlineStr">
        <is>
          <t>Future designation conflicts with intended use; planned roadway or redevelopment area</t>
        </is>
      </c>
      <c r="H20" s="951" t="inlineStr">
        <is>
          <t>Not Started</t>
        </is>
      </c>
      <c r="I20" s="952" t="n"/>
    </row>
    <row r="21" ht="42" customHeight="1">
      <c r="A21" s="951" t="n">
        <v>17</v>
      </c>
      <c r="B21" s="952" t="inlineStr">
        <is>
          <t>Active development</t>
        </is>
      </c>
      <c r="C21" s="952" t="inlineStr">
        <is>
          <t>Search active development maps and project-status portals near the parcel.</t>
        </is>
      </c>
      <c r="D21" s="952" t="inlineStr">
        <is>
          <t>Local development projects page</t>
        </is>
      </c>
      <c r="E21" s="963" t="n"/>
      <c r="F21" s="952" t="inlineStr">
        <is>
          <t>Nearby project list/map</t>
        </is>
      </c>
      <c r="G21" s="952" t="inlineStr">
        <is>
          <t>Large pending project changes traffic, drainage, views, demand or compatibility</t>
        </is>
      </c>
      <c r="H21" s="951" t="inlineStr">
        <is>
          <t>Not Started</t>
        </is>
      </c>
      <c r="I21" s="952" t="n"/>
    </row>
    <row r="22" ht="42" customHeight="1">
      <c r="A22" s="951" t="n">
        <v>18</v>
      </c>
      <c r="B22" s="952" t="inlineStr">
        <is>
          <t>Hearings / cases</t>
        </is>
      </c>
      <c r="C22" s="952" t="inlineStr">
        <is>
          <t>Search current land-use cases, agendas and public notices by address, owner and project name.</t>
        </is>
      </c>
      <c r="D22" s="952" t="inlineStr">
        <is>
          <t>Meetings &amp; News sheet</t>
        </is>
      </c>
      <c r="E22" s="963" t="n"/>
      <c r="F22" s="952" t="inlineStr">
        <is>
          <t>Agendas, staff reports and hearing notices</t>
        </is>
      </c>
      <c r="G22" s="952" t="inlineStr">
        <is>
          <t>Pending rezoning, variance, annexation, subdivision or code amendment</t>
        </is>
      </c>
      <c r="H22" s="951" t="inlineStr">
        <is>
          <t>Not Started</t>
        </is>
      </c>
      <c r="I22" s="952" t="n"/>
    </row>
    <row r="23" ht="42" customHeight="1">
      <c r="A23" s="951" t="n">
        <v>19</v>
      </c>
      <c r="B23" s="952" t="inlineStr">
        <is>
          <t>Permit history</t>
        </is>
      </c>
      <c r="C23" s="952" t="inlineStr">
        <is>
          <t>Search building and development permits; request older records when online data is incomplete.</t>
        </is>
      </c>
      <c r="D23" s="952" t="inlineStr">
        <is>
          <t>Local permit portal / public records</t>
        </is>
      </c>
      <c r="E23" s="963" t="n"/>
      <c r="F23" s="952" t="inlineStr">
        <is>
          <t>Permit list, plans, certificates and inspection history</t>
        </is>
      </c>
      <c r="G23" s="952" t="inlineStr">
        <is>
          <t>Unpermitted work, open permit, failed inspection, missing certificate of occupancy</t>
        </is>
      </c>
      <c r="H23" s="951" t="inlineStr">
        <is>
          <t>Not Started</t>
        </is>
      </c>
      <c r="I23" s="952" t="n"/>
    </row>
    <row r="24" ht="42" customHeight="1">
      <c r="A24" s="951" t="n">
        <v>20</v>
      </c>
      <c r="B24" s="952" t="inlineStr">
        <is>
          <t>Code compliance</t>
        </is>
      </c>
      <c r="C24" s="952" t="inlineStr">
        <is>
          <t>Check for open code cases, violations and nuisance/unsafe-building records.</t>
        </is>
      </c>
      <c r="D24" s="952" t="inlineStr">
        <is>
          <t>Local code enforcement / records request</t>
        </is>
      </c>
      <c r="E24" s="963" t="n"/>
      <c r="F24" s="952" t="inlineStr">
        <is>
          <t>Code case history and clearance confirmation</t>
        </is>
      </c>
      <c r="G24" s="952" t="inlineStr">
        <is>
          <t>Open violation, repeat complaint, abatement lien or unsafe condition</t>
        </is>
      </c>
      <c r="H24" s="951" t="inlineStr">
        <is>
          <t>Not Started</t>
        </is>
      </c>
      <c r="I24" s="952" t="n"/>
    </row>
    <row r="25" ht="42" customHeight="1">
      <c r="A25" s="951" t="n">
        <v>21</v>
      </c>
      <c r="B25" s="952" t="inlineStr">
        <is>
          <t>Utilities / districts</t>
        </is>
      </c>
      <c r="C25" s="952" t="inlineStr">
        <is>
          <t>Identify water, sewer, fire, metro and other special districts; verify service and fees.</t>
        </is>
      </c>
      <c r="D25" s="952" t="inlineStr">
        <is>
          <t>Colorado Special Districts Map</t>
        </is>
      </c>
      <c r="E25" s="1188" t="inlineStr">
        <is>
          <t>https://gis.dola.colorado.gov/CO_SpecialDistrict/</t>
        </is>
      </c>
      <c r="F25" s="952" t="inlineStr">
        <is>
          <t>District list, service letters, fee schedules</t>
        </is>
      </c>
      <c r="G25" s="952" t="inlineStr">
        <is>
          <t>No committed service, high tap fees, multiple mill levies, private system</t>
        </is>
      </c>
      <c r="H25" s="951" t="inlineStr">
        <is>
          <t>Not Started</t>
        </is>
      </c>
      <c r="I25" s="952" t="n"/>
    </row>
    <row r="26" ht="42" customHeight="1">
      <c r="A26" s="951" t="n">
        <v>22</v>
      </c>
      <c r="B26" s="952" t="inlineStr">
        <is>
          <t>Water rights / wells</t>
        </is>
      </c>
      <c r="C26" s="952" t="inlineStr">
        <is>
          <t>Search wells, water rights, ditches and structures that may affect or serve the property.</t>
        </is>
      </c>
      <c r="D26" s="952" t="inlineStr">
        <is>
          <t>Colorado DWR Tools</t>
        </is>
      </c>
      <c r="E26" s="1188" t="inlineStr">
        <is>
          <t>https://dwr.state.co.us/Tools</t>
        </is>
      </c>
      <c r="F26" s="952" t="inlineStr">
        <is>
          <t>Well permit and water-right/structure records</t>
        </is>
      </c>
      <c r="G26" s="952" t="inlineStr">
        <is>
          <t>Unpermitted well, limited use, ditch easement, no transferable water</t>
        </is>
      </c>
      <c r="H26" s="951" t="inlineStr">
        <is>
          <t>Not Started</t>
        </is>
      </c>
      <c r="I26" s="952" t="n"/>
    </row>
    <row r="27" ht="42" customHeight="1">
      <c r="A27" s="951" t="n">
        <v>23</v>
      </c>
      <c r="B27" s="952" t="inlineStr">
        <is>
          <t>Flood / drainage</t>
        </is>
      </c>
      <c r="C27" s="952" t="inlineStr">
        <is>
          <t>Check FEMA maps, local floodplain layers, drainage studies and Letters of Map Change.</t>
        </is>
      </c>
      <c r="D27" s="952" t="inlineStr">
        <is>
          <t>FEMA Flood Map Service Center</t>
        </is>
      </c>
      <c r="E27" s="1188" t="inlineStr">
        <is>
          <t>https://msc.fema.gov/portal/search</t>
        </is>
      </c>
      <c r="F27" s="952" t="inlineStr">
        <is>
          <t>FIRM panel, flood zone, LOMC and local drainage information</t>
        </is>
      </c>
      <c r="G27" s="952" t="inlineStr">
        <is>
          <t>Special Flood Hazard Area, floodway, shallow flooding, required elevation/floodproofing</t>
        </is>
      </c>
      <c r="H27" s="951" t="inlineStr">
        <is>
          <t>Not Started</t>
        </is>
      </c>
      <c r="I27" s="952" t="n"/>
    </row>
    <row r="28" ht="42" customHeight="1">
      <c r="A28" s="951" t="n">
        <v>24</v>
      </c>
      <c r="B28" s="952" t="inlineStr">
        <is>
          <t>Soils / geotechnical</t>
        </is>
      </c>
      <c r="C28" s="952" t="inlineStr">
        <is>
          <t>Review Web Soil Survey and obtain geotechnical information appropriate to the project.</t>
        </is>
      </c>
      <c r="D28" s="952" t="inlineStr">
        <is>
          <t>USDA Web Soil Survey</t>
        </is>
      </c>
      <c r="E28" s="1188" t="inlineStr">
        <is>
          <t>https://websoilsurvey.nrcs.usda.gov/</t>
        </is>
      </c>
      <c r="F28" s="952" t="inlineStr">
        <is>
          <t>Soil report and geotechnical report when needed</t>
        </is>
      </c>
      <c r="G28" s="952" t="inlineStr">
        <is>
          <t>Expansive/collapsible soils, high water table, poor bearing or drainage</t>
        </is>
      </c>
      <c r="H28" s="951" t="inlineStr">
        <is>
          <t>Not Started</t>
        </is>
      </c>
      <c r="I28" s="952" t="n"/>
    </row>
    <row r="29" ht="42" customHeight="1">
      <c r="A29" s="951" t="n">
        <v>25</v>
      </c>
      <c r="B29" s="952" t="inlineStr">
        <is>
          <t>Wetlands / waters</t>
        </is>
      </c>
      <c r="C29" s="952" t="inlineStr">
        <is>
          <t>Screen wetlands and surface waters; determine whether delineation or permits are needed.</t>
        </is>
      </c>
      <c r="D29" s="952" t="inlineStr">
        <is>
          <t>National Wetlands Inventory</t>
        </is>
      </c>
      <c r="E29" s="1188" t="inlineStr">
        <is>
          <t>https://www.fws.gov/program/national-wetlands-inventory/wetlands-mapper</t>
        </is>
      </c>
      <c r="F29" s="952" t="inlineStr">
        <is>
          <t>Wetland map and consultant/agency determination if needed</t>
        </is>
      </c>
      <c r="G29" s="952" t="inlineStr">
        <is>
          <t>Mapped or field-indicated wetlands, jurisdictional waters, buffers</t>
        </is>
      </c>
      <c r="H29" s="951" t="inlineStr">
        <is>
          <t>Not Started</t>
        </is>
      </c>
      <c r="I29" s="952" t="n"/>
    </row>
    <row r="30" ht="42" customHeight="1">
      <c r="A30" s="951" t="n">
        <v>26</v>
      </c>
      <c r="B30" s="952" t="inlineStr">
        <is>
          <t>Environmental</t>
        </is>
      </c>
      <c r="C30" s="952" t="inlineStr">
        <is>
          <t>Search state and federal cleanup, waste, tank, covenant and Superfund databases.</t>
        </is>
      </c>
      <c r="D30" s="952" t="inlineStr">
        <is>
          <t>CDPHE Environmental Maps</t>
        </is>
      </c>
      <c r="E30" s="1188" t="inlineStr">
        <is>
          <t>https://cdphe.colorado.gov/hm/gis-data</t>
        </is>
      </c>
      <c r="F30" s="952" t="inlineStr">
        <is>
          <t>Database results and environmental reports</t>
        </is>
      </c>
      <c r="G30" s="952" t="inlineStr">
        <is>
          <t>Cleanup site, environmental covenant, leaking tank, landfill or hazardous facility</t>
        </is>
      </c>
      <c r="H30" s="951" t="inlineStr">
        <is>
          <t>Not Started</t>
        </is>
      </c>
      <c r="I30" s="952" t="n"/>
    </row>
    <row r="31" ht="42" customHeight="1">
      <c r="A31" s="951" t="n">
        <v>27</v>
      </c>
      <c r="B31" s="952" t="inlineStr">
        <is>
          <t>Oil and gas</t>
        </is>
      </c>
      <c r="C31" s="952" t="inlineStr">
        <is>
          <t>Check ECMC maps for wells, facilities, pipelines and regulatory records.</t>
        </is>
      </c>
      <c r="D31" s="952" t="inlineStr">
        <is>
          <t>ECMC Maps</t>
        </is>
      </c>
      <c r="E31" s="1188" t="inlineStr">
        <is>
          <t>https://ecmc.state.co.us/maps.html</t>
        </is>
      </c>
      <c r="F31" s="952" t="inlineStr">
        <is>
          <t>Facility map and relevant records</t>
        </is>
      </c>
      <c r="G31" s="952" t="inlineStr">
        <is>
          <t>Active/abandoned well, flowline, setback issue, remediation or access obligations</t>
        </is>
      </c>
      <c r="H31" s="951" t="inlineStr">
        <is>
          <t>Not Started</t>
        </is>
      </c>
      <c r="I31" s="952" t="n"/>
    </row>
    <row r="32" ht="42" customHeight="1">
      <c r="A32" s="951" t="n">
        <v>28</v>
      </c>
      <c r="B32" s="952" t="inlineStr">
        <is>
          <t>Access / roads / traffic</t>
        </is>
      </c>
      <c r="C32" s="952" t="inlineStr">
        <is>
          <t>Confirm legal and physical access, road jurisdiction, access permits and traffic conditions.</t>
        </is>
      </c>
      <c r="D32" s="952" t="inlineStr">
        <is>
          <t>Local public works + CDOT OTIS</t>
        </is>
      </c>
      <c r="E32" s="1188" t="inlineStr">
        <is>
          <t>https://dtdapps.codot.gov/otis</t>
        </is>
      </c>
      <c r="F32" s="952" t="inlineStr">
        <is>
          <t>Access documents, road data and agency correspondence</t>
        </is>
      </c>
      <c r="G32" s="952" t="inlineStr">
        <is>
          <t>No legal access, private-road maintenance, access-control restriction, future widening</t>
        </is>
      </c>
      <c r="H32" s="951" t="inlineStr">
        <is>
          <t>Not Started</t>
        </is>
      </c>
      <c r="I32" s="952" t="n"/>
    </row>
    <row r="33" ht="42" customHeight="1">
      <c r="A33" s="951" t="n">
        <v>29</v>
      </c>
      <c r="B33" s="952" t="inlineStr">
        <is>
          <t>Historic / cultural</t>
        </is>
      </c>
      <c r="C33" s="952" t="inlineStr">
        <is>
          <t>Check local historic overlays and state listed-property/cultural-resource tools.</t>
        </is>
      </c>
      <c r="D33" s="952" t="inlineStr">
        <is>
          <t>History Colorado Listed Properties</t>
        </is>
      </c>
      <c r="E33" s="1188" t="inlineStr">
        <is>
          <t>https://www.historycolorado.org/national-state-register-listed-properties</t>
        </is>
      </c>
      <c r="F33" s="952" t="inlineStr">
        <is>
          <t>Historic-status records and review requirements</t>
        </is>
      </c>
      <c r="G33" s="952" t="inlineStr">
        <is>
          <t>Designation or eligible resource limits demolition/alteration</t>
        </is>
      </c>
      <c r="H33" s="951" t="inlineStr">
        <is>
          <t>Not Started</t>
        </is>
      </c>
      <c r="I33" s="952" t="n"/>
    </row>
    <row r="34" ht="42" customHeight="1">
      <c r="A34" s="951" t="n">
        <v>30</v>
      </c>
      <c r="B34" s="952" t="inlineStr">
        <is>
          <t>HOA / covenants</t>
        </is>
      </c>
      <c r="C34" s="952" t="inlineStr">
        <is>
          <t>Search recorded declarations and confirm HOA registration, governing documents, dues and violations.</t>
        </is>
      </c>
      <c r="D34" s="952" t="inlineStr">
        <is>
          <t>Colorado HOA Center + county recorder</t>
        </is>
      </c>
      <c r="E34" s="1188" t="inlineStr">
        <is>
          <t>https://dre.colorado.gov/hoa-center</t>
        </is>
      </c>
      <c r="F34" s="952" t="inlineStr">
        <is>
          <t>Declarations, bylaws, budgets, status letter and registration</t>
        </is>
      </c>
      <c r="G34" s="952" t="inlineStr">
        <is>
          <t>Unregistered association, litigation, special assessment, rental/use restrictions</t>
        </is>
      </c>
      <c r="H34" s="951" t="inlineStr">
        <is>
          <t>Not Started</t>
        </is>
      </c>
      <c r="I34" s="952" t="n"/>
    </row>
    <row r="35" ht="42" customHeight="1">
      <c r="A35" s="951" t="n">
        <v>31</v>
      </c>
      <c r="B35" s="952" t="inlineStr">
        <is>
          <t>Entities / UCC</t>
        </is>
      </c>
      <c r="C35" s="952" t="inlineStr">
        <is>
          <t>Research seller/owner/applicant entities and UCC records where relevant.</t>
        </is>
      </c>
      <c r="D35" s="952" t="inlineStr">
        <is>
          <t>Colorado business and UCC searches</t>
        </is>
      </c>
      <c r="E35" s="1188" t="inlineStr">
        <is>
          <t>https://co.colorado.gov/search-business-records</t>
        </is>
      </c>
      <c r="F35" s="952" t="inlineStr">
        <is>
          <t>Entity filings, good-standing information and UCC results</t>
        </is>
      </c>
      <c r="G35" s="952" t="inlineStr">
        <is>
          <t>Dissolved entity, authority problem, secured filing, name mismatch</t>
        </is>
      </c>
      <c r="H35" s="951" t="inlineStr">
        <is>
          <t>Not Started</t>
        </is>
      </c>
      <c r="I35" s="952" t="n"/>
    </row>
    <row r="36" ht="42" customHeight="1">
      <c r="A36" s="951" t="n">
        <v>32</v>
      </c>
      <c r="B36" s="952" t="inlineStr">
        <is>
          <t>Final verification</t>
        </is>
      </c>
      <c r="C36" s="952" t="inlineStr">
        <is>
          <t>Confirm material conclusions with the responsible agency, title company, surveyor, engineer, planner and legal counsel.</t>
        </is>
      </c>
      <c r="D36" s="952" t="inlineStr">
        <is>
          <t>Responsible professionals and agencies</t>
        </is>
      </c>
      <c r="E36" s="963" t="n"/>
      <c r="F36" s="952" t="inlineStr">
        <is>
          <t>Written confirmations and final diligence memo</t>
        </is>
      </c>
      <c r="G36" s="952" t="inlineStr">
        <is>
          <t>Reliance only on GIS or informal web information; unresolved conflicts</t>
        </is>
      </c>
      <c r="H36" s="951" t="inlineStr">
        <is>
          <t>Not Started</t>
        </is>
      </c>
      <c r="I36" s="952" t="n"/>
    </row>
  </sheetData>
  <mergeCells count="2">
    <mergeCell ref="A1:I1"/>
    <mergeCell ref="A2:I2"/>
  </mergeCells>
  <dataValidations count="1">
    <dataValidation sqref="H5:H36" showDropDown="0" showInputMessage="0" showErrorMessage="0" allowBlank="0" type="list">
      <formula1>"Not Started,In Progress,Complete,N/A"</formula1>
    </dataValidation>
  </dataValidations>
  <hyperlinks>
    <hyperlink xmlns:r="http://schemas.openxmlformats.org/officeDocument/2006/relationships" ref="E5" r:id="rId1"/>
    <hyperlink xmlns:r="http://schemas.openxmlformats.org/officeDocument/2006/relationships" ref="E6" r:id="rId2"/>
    <hyperlink xmlns:r="http://schemas.openxmlformats.org/officeDocument/2006/relationships" ref="E7" r:id="rId3"/>
    <hyperlink xmlns:r="http://schemas.openxmlformats.org/officeDocument/2006/relationships" ref="E8" r:id="rId4"/>
    <hyperlink xmlns:r="http://schemas.openxmlformats.org/officeDocument/2006/relationships" ref="E9" r:id="rId5"/>
    <hyperlink xmlns:r="http://schemas.openxmlformats.org/officeDocument/2006/relationships" ref="E10" r:id="rId6"/>
    <hyperlink xmlns:r="http://schemas.openxmlformats.org/officeDocument/2006/relationships" ref="E12" r:id="rId7"/>
    <hyperlink xmlns:r="http://schemas.openxmlformats.org/officeDocument/2006/relationships" ref="E13" r:id="rId8"/>
    <hyperlink xmlns:r="http://schemas.openxmlformats.org/officeDocument/2006/relationships" ref="E14" r:id="rId9"/>
    <hyperlink xmlns:r="http://schemas.openxmlformats.org/officeDocument/2006/relationships" ref="E15" r:id="rId10"/>
    <hyperlink xmlns:r="http://schemas.openxmlformats.org/officeDocument/2006/relationships" ref="E25" r:id="rId11"/>
    <hyperlink xmlns:r="http://schemas.openxmlformats.org/officeDocument/2006/relationships" ref="E26" r:id="rId12"/>
    <hyperlink xmlns:r="http://schemas.openxmlformats.org/officeDocument/2006/relationships" ref="E27" r:id="rId13"/>
    <hyperlink xmlns:r="http://schemas.openxmlformats.org/officeDocument/2006/relationships" ref="E28" r:id="rId14"/>
    <hyperlink xmlns:r="http://schemas.openxmlformats.org/officeDocument/2006/relationships" ref="E29" r:id="rId15"/>
    <hyperlink xmlns:r="http://schemas.openxmlformats.org/officeDocument/2006/relationships" ref="E30" r:id="rId16"/>
    <hyperlink xmlns:r="http://schemas.openxmlformats.org/officeDocument/2006/relationships" ref="E31" r:id="rId17"/>
    <hyperlink xmlns:r="http://schemas.openxmlformats.org/officeDocument/2006/relationships" ref="E32" r:id="rId18"/>
    <hyperlink xmlns:r="http://schemas.openxmlformats.org/officeDocument/2006/relationships" ref="E33" r:id="rId19"/>
    <hyperlink xmlns:r="http://schemas.openxmlformats.org/officeDocument/2006/relationships" ref="E34" r:id="rId20"/>
    <hyperlink xmlns:r="http://schemas.openxmlformats.org/officeDocument/2006/relationships" ref="E35" r:id="rId21"/>
  </hyperlinks>
  <pageMargins left="0.75" right="0.75" top="1" bottom="1" header="0.5" footer="0.5"/>
</worksheet>
</file>

<file path=xl/worksheets/sheet23.xml><?xml version="1.0" encoding="utf-8"?>
<worksheet xmlns="http://schemas.openxmlformats.org/spreadsheetml/2006/main">
  <sheetPr>
    <tabColor rgb="00D97706"/>
    <outlinePr summaryBelow="1" summaryRight="1"/>
    <pageSetUpPr/>
  </sheetPr>
  <dimension ref="A1:Q10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3" customWidth="1" min="9" max="9"/>
    <col width="9" customWidth="1" min="10" max="10"/>
    <col width="9" customWidth="1" min="11" max="11"/>
    <col width="28" customWidth="1" min="12" max="12"/>
    <col width="32" customWidth="1" min="13" max="13"/>
    <col width="52" customWidth="1" min="14" max="14"/>
    <col width="12" customWidth="1" min="15" max="15"/>
    <col width="52" customWidth="1" min="16" max="16"/>
    <col width="30" customWidth="1" min="17" max="17"/>
  </cols>
  <sheetData>
    <row r="1" ht="24" customHeight="1">
      <c r="A1" s="1130" t="inlineStr">
        <is>
          <t>COMMERCIAL PROPERTY EXPENSE DATABASE ? PROPERTY REGISTRY</t>
        </is>
      </c>
    </row>
    <row r="2" ht="15.95" customHeight="1">
      <c r="A2" s="1222" t="inlineStr">
        <is>
          <t>Adams County Assessor | Add one row per property | Used to track all expense comp submissions</t>
        </is>
      </c>
    </row>
    <row r="3" ht="30" customHeight="1">
      <c r="A3" s="1223" t="inlineStr">
        <is>
          <t>Prop ID</t>
        </is>
      </c>
      <c r="B3" s="1131" t="inlineStr">
        <is>
          <t>Occ Code</t>
        </is>
      </c>
      <c r="C3" s="1131" t="inlineStr">
        <is>
          <t>Account #</t>
        </is>
      </c>
      <c r="D3" s="1224" t="inlineStr">
        <is>
          <t>Address</t>
        </is>
      </c>
      <c r="E3" s="1223" t="inlineStr">
        <is>
          <t>City</t>
        </is>
      </c>
      <c r="F3" s="1223" t="inlineStr">
        <is>
          <t>State</t>
        </is>
      </c>
      <c r="G3" s="1223" t="inlineStr">
        <is>
          <t>Property Type</t>
        </is>
      </c>
      <c r="H3" s="1224" t="inlineStr">
        <is>
          <t>Subtype</t>
        </is>
      </c>
      <c r="I3" s="1223" t="inlineStr">
        <is>
          <t>Year Built</t>
        </is>
      </c>
      <c r="J3" s="1223" t="inlineStr">
        <is>
          <t>Bldg SF</t>
        </is>
      </c>
      <c r="K3" s="1223" t="inlineStr">
        <is>
          <t>Land SF</t>
        </is>
      </c>
      <c r="L3" s="1223" t="inlineStr">
        <is>
          <t>Parcel / Schedule #</t>
        </is>
      </c>
      <c r="M3" s="1223" t="inlineStr">
        <is>
          <t>Owner</t>
        </is>
      </c>
      <c r="N3" s="1224" t="inlineStr">
        <is>
          <t>Data Source</t>
        </is>
      </c>
      <c r="O3" s="1223" t="inlineStr">
        <is>
          <t>Date Added</t>
        </is>
      </c>
      <c r="P3" s="1224" t="inlineStr">
        <is>
          <t>Notes</t>
        </is>
      </c>
      <c r="Q3" s="972" t="inlineStr">
        <is>
          <t>Occ Description (auto)</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c r="Q4" s="1132">
        <f>IF(B4="","",IFERROR(INDEX(OCC_TABLE_DESC,MATCH(B4,OCC_TABLE_CODE,0)),"Unrecognized code"))</f>
        <v/>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c r="Q5" s="1132">
        <f>IF(B5="","",IFERROR(INDEX(OCC_TABLE_DESC,MATCH(B5,OCC_TABLE_CODE,0)),"Unrecognized code"))</f>
        <v/>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c r="Q6" s="1132">
        <f>IF(B6="","",IFERROR(INDEX(OCC_TABLE_DESC,MATCH(B6,OCC_TABLE_CODE,0)),"Unrecognized code"))</f>
        <v/>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c r="Q7" s="1132">
        <f>IF(B7="","",IFERROR(INDEX(OCC_TABLE_DESC,MATCH(B7,OCC_TABLE_CODE,0)),"Unrecognized code"))</f>
        <v/>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c r="Q8" s="1132">
        <f>IF(B8="","",IFERROR(INDEX(OCC_TABLE_DESC,MATCH(B8,OCC_TABLE_CODE,0)),"Unrecognized code"))</f>
        <v/>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c r="Q9" s="1132">
        <f>IF(B9="","",IFERROR(INDEX(OCC_TABLE_DESC,MATCH(B9,OCC_TABLE_CODE,0)),"Unrecognized code"))</f>
        <v/>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c r="Q10" s="1132">
        <f>IF(B10="","",IFERROR(INDEX(OCC_TABLE_DESC,MATCH(B10,OCC_TABLE_CODE,0)),"Unrecognized code"))</f>
        <v/>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c r="Q11" s="1132">
        <f>IF(B11="","",IFERROR(INDEX(OCC_TABLE_DESC,MATCH(B11,OCC_TABLE_CODE,0)),"Unrecognized code"))</f>
        <v/>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c r="Q12" s="1132">
        <f>IF(B12="","",IFERROR(INDEX(OCC_TABLE_DESC,MATCH(B12,OCC_TABLE_CODE,0)),"Unrecognized code"))</f>
        <v/>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c r="Q13" s="1132">
        <f>IF(B13="","",IFERROR(INDEX(OCC_TABLE_DESC,MATCH(B13,OCC_TABLE_CODE,0)),"Unrecognized code"))</f>
        <v/>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c r="Q14" s="1132">
        <f>IF(B14="","",IFERROR(INDEX(OCC_TABLE_DESC,MATCH(B14,OCC_TABLE_CODE,0)),"Unrecognized code"))</f>
        <v/>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c r="Q15" s="1132">
        <f>IF(B15="","",IFERROR(INDEX(OCC_TABLE_DESC,MATCH(B15,OCC_TABLE_CODE,0)),"Unrecognized code"))</f>
        <v/>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c r="Q16" s="1132">
        <f>IF(B16="","",IFERROR(INDEX(OCC_TABLE_DESC,MATCH(B16,OCC_TABLE_CODE,0)),"Unrecognized code"))</f>
        <v/>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c r="Q17" s="1132">
        <f>IF(B17="","",IFERROR(INDEX(OCC_TABLE_DESC,MATCH(B17,OCC_TABLE_CODE,0)),"Unrecognized code"))</f>
        <v/>
      </c>
    </row>
    <row r="18">
      <c r="A18" s="1225" t="inlineStr">
        <is>
          <t>P015</t>
        </is>
      </c>
      <c r="B18" s="695" t="n">
        <v>407</v>
      </c>
      <c r="C18" s="696" t="inlineStr">
        <is>
          <t>R0180894</t>
        </is>
      </c>
      <c r="D18" s="1226" t="inlineStr">
        <is>
          <t>1910 N Gun Club Rd</t>
        </is>
      </c>
      <c r="E18" s="1225" t="inlineStr">
        <is>
          <t>Aurora</t>
        </is>
      </c>
      <c r="F18" s="1225" t="inlineStr">
        <is>
          <t>CO</t>
        </is>
      </c>
      <c r="G18" s="1225" t="inlineStr">
        <is>
          <t>Industrial</t>
        </is>
      </c>
      <c r="H18" s="1226" t="inlineStr">
        <is>
          <t>Distribution Warehouse Multi-Tenant NNN</t>
        </is>
      </c>
      <c r="I18" s="1225" t="n">
        <v>2019</v>
      </c>
      <c r="J18" s="1225" t="n">
        <v>163386</v>
      </c>
      <c r="K18" s="1225" t="n"/>
      <c r="L18" s="1225" t="inlineStr">
        <is>
          <t>R0180894</t>
        </is>
      </c>
      <c r="M18" s="1225" t="n"/>
      <c r="N18" s="1226" t="inlineStr">
        <is>
          <t>MHE 2025 BAA – Owner submitted P&amp;L</t>
        </is>
      </c>
      <c r="O18" s="1225" t="inlineStr">
        <is>
          <t>2026-06-01</t>
        </is>
      </c>
      <c r="P18" s="1226" t="inlineStr">
        <is>
          <t>Actual accrual income; 2023–2024</t>
        </is>
      </c>
      <c r="Q18" s="1132">
        <f>IF(B18="","",IFERROR(INDEX(OCC_TABLE_DESC,MATCH(B18,OCC_TABLE_CODE,0)),"Unrecognized code"))</f>
        <v/>
      </c>
    </row>
    <row r="19">
      <c r="A19" s="699" t="inlineStr">
        <is>
          <t>P016</t>
        </is>
      </c>
      <c r="B19" s="695" t="n">
        <v>584</v>
      </c>
      <c r="C19" s="696" t="inlineStr">
        <is>
          <t>R0212546/R0212547</t>
        </is>
      </c>
      <c r="D19" s="1194" t="inlineStr">
        <is>
          <t>2780 N Tower Rd</t>
        </is>
      </c>
      <c r="E19" s="699" t="inlineStr">
        <is>
          <t>Aurora</t>
        </is>
      </c>
      <c r="F19" s="699" t="inlineStr">
        <is>
          <t>CO</t>
        </is>
      </c>
      <c r="G19" s="699" t="inlineStr">
        <is>
          <t>Industrial</t>
        </is>
      </c>
      <c r="H19" s="1194" t="inlineStr">
        <is>
          <t>Mega Warehouse NNN</t>
        </is>
      </c>
      <c r="I19" s="699" t="n">
        <v>1983</v>
      </c>
      <c r="J19" s="699" t="n">
        <v>384953</v>
      </c>
      <c r="K19" s="699" t="n"/>
      <c r="L19" s="699" t="inlineStr">
        <is>
          <t>R0212546/R0212547</t>
        </is>
      </c>
      <c r="M19" s="699" t="n"/>
      <c r="N19" s="1194" t="inlineStr">
        <is>
          <t>MHE 2025 BAA – County proforma</t>
        </is>
      </c>
      <c r="O19" s="699" t="inlineStr">
        <is>
          <t>2026-06-01</t>
        </is>
      </c>
      <c r="P19" s="1194" t="inlineStr">
        <is>
          <t>County proforma; 2024 only</t>
        </is>
      </c>
      <c r="Q19" s="1132">
        <f>IF(B19="","",IFERROR(INDEX(OCC_TABLE_DESC,MATCH(B19,OCC_TABLE_CODE,0)),"Unrecognized code"))</f>
        <v/>
      </c>
    </row>
    <row r="20">
      <c r="A20" s="1225" t="inlineStr">
        <is>
          <t>P017</t>
        </is>
      </c>
      <c r="B20" s="695" t="n">
        <v>210</v>
      </c>
      <c r="C20" s="696" t="inlineStr">
        <is>
          <t>R0098098</t>
        </is>
      </c>
      <c r="D20" s="1226" t="inlineStr">
        <is>
          <t>1445 E 68th Ave</t>
        </is>
      </c>
      <c r="E20" s="1225" t="inlineStr">
        <is>
          <t>Denver</t>
        </is>
      </c>
      <c r="F20" s="1225" t="inlineStr">
        <is>
          <t>CO</t>
        </is>
      </c>
      <c r="G20" s="1225" t="inlineStr">
        <is>
          <t>Industrial</t>
        </is>
      </c>
      <c r="H20" s="1226" t="inlineStr">
        <is>
          <t>Industrial Office Mix</t>
        </is>
      </c>
      <c r="I20" s="1225" t="n">
        <v>1972</v>
      </c>
      <c r="J20" s="1225" t="n">
        <v>63348</v>
      </c>
      <c r="K20" s="1225" t="n"/>
      <c r="L20" s="1225" t="inlineStr">
        <is>
          <t>R0098098</t>
        </is>
      </c>
      <c r="M20" s="1225" t="n"/>
      <c r="N20" s="1226" t="inlineStr">
        <is>
          <t>MHE 2025 BAA – County proforma</t>
        </is>
      </c>
      <c r="O20" s="1225" t="inlineStr">
        <is>
          <t>2026-06-01</t>
        </is>
      </c>
      <c r="P20" s="1226" t="inlineStr">
        <is>
          <t>YOC 1972/2006/2023; county proforma 2024</t>
        </is>
      </c>
      <c r="Q20" s="1132">
        <f>IF(B20="","",IFERROR(INDEX(OCC_TABLE_DESC,MATCH(B20,OCC_TABLE_CODE,0)),"Unrecognized code"))</f>
        <v/>
      </c>
    </row>
    <row r="21">
      <c r="A21" s="699" t="inlineStr">
        <is>
          <t>P018</t>
        </is>
      </c>
      <c r="B21" s="695" t="n">
        <v>406</v>
      </c>
      <c r="C21" s="696" t="inlineStr">
        <is>
          <t>R0103783</t>
        </is>
      </c>
      <c r="D21" s="1194" t="inlineStr">
        <is>
          <t>2031 E 58th Ave</t>
        </is>
      </c>
      <c r="E21" s="699" t="inlineStr">
        <is>
          <t>Denver</t>
        </is>
      </c>
      <c r="F21" s="699" t="inlineStr">
        <is>
          <t>CO</t>
        </is>
      </c>
      <c r="G21" s="699" t="inlineStr">
        <is>
          <t>Industrial</t>
        </is>
      </c>
      <c r="H21" s="1194" t="inlineStr">
        <is>
          <t>Storage Warehouse / Mod Office NNN</t>
        </is>
      </c>
      <c r="I21" s="699" t="n">
        <v>2004</v>
      </c>
      <c r="J21" s="699" t="n">
        <v>18720</v>
      </c>
      <c r="K21" s="699" t="n"/>
      <c r="L21" s="699" t="inlineStr">
        <is>
          <t>R0103783</t>
        </is>
      </c>
      <c r="M21" s="699" t="n"/>
      <c r="N21" s="1194" t="inlineStr">
        <is>
          <t>MHE 2025 BAA – NNN billed charges</t>
        </is>
      </c>
      <c r="O21" s="699" t="inlineStr">
        <is>
          <t>2026-06-01</t>
        </is>
      </c>
      <c r="P21" s="1194" t="inlineStr">
        <is>
          <t>NNN actual billed charges 2019–2024</t>
        </is>
      </c>
      <c r="Q21" s="1132">
        <f>IF(B21="","",IFERROR(INDEX(OCC_TABLE_DESC,MATCH(B21,OCC_TABLE_CODE,0)),"Unrecognized code"))</f>
        <v/>
      </c>
    </row>
    <row r="22">
      <c r="A22" s="1225" t="inlineStr">
        <is>
          <t>P019</t>
        </is>
      </c>
      <c r="B22" s="695" t="n">
        <v>407</v>
      </c>
      <c r="C22" s="696" t="inlineStr">
        <is>
          <t>R0210402/R0210403</t>
        </is>
      </c>
      <c r="D22" s="1226" t="inlineStr">
        <is>
          <t>17190 E 85th Ave</t>
        </is>
      </c>
      <c r="E22" s="1225" t="inlineStr">
        <is>
          <t>Commerce City</t>
        </is>
      </c>
      <c r="F22" s="1225" t="inlineStr">
        <is>
          <t>CO</t>
        </is>
      </c>
      <c r="G22" s="1225" t="inlineStr">
        <is>
          <t>Industrial</t>
        </is>
      </c>
      <c r="H22" s="1226" t="inlineStr">
        <is>
          <t>Industrial Warehouse NNN</t>
        </is>
      </c>
      <c r="I22" s="1225" t="n">
        <v>2021</v>
      </c>
      <c r="J22" s="1225" t="n">
        <v>329940</v>
      </c>
      <c r="K22" s="1225" t="n"/>
      <c r="L22" s="1225" t="inlineStr">
        <is>
          <t>R0210402/R0210403</t>
        </is>
      </c>
      <c r="M22" s="1225" t="n"/>
      <c r="N22" s="1226" t="inlineStr">
        <is>
          <t>MHE 2025 BAA – Petitioner proforma</t>
        </is>
      </c>
      <c r="O22" s="1225" t="inlineStr">
        <is>
          <t>2026-06-01</t>
        </is>
      </c>
      <c r="P22" s="1226" t="inlineStr">
        <is>
          <t>Petitioner proforma 2024/25</t>
        </is>
      </c>
      <c r="Q22" s="1132">
        <f>IF(B22="","",IFERROR(INDEX(OCC_TABLE_DESC,MATCH(B22,OCC_TABLE_CODE,0)),"Unrecognized code"))</f>
        <v/>
      </c>
    </row>
    <row r="23">
      <c r="A23" s="699" t="inlineStr">
        <is>
          <t>P020</t>
        </is>
      </c>
      <c r="B23" s="695" t="n">
        <v>584</v>
      </c>
      <c r="C23" s="696" t="inlineStr">
        <is>
          <t>R0209679</t>
        </is>
      </c>
      <c r="D23" s="1194" t="inlineStr">
        <is>
          <t>17501 E 84th Ave</t>
        </is>
      </c>
      <c r="E23" s="699" t="inlineStr">
        <is>
          <t>Commerce City</t>
        </is>
      </c>
      <c r="F23" s="699" t="inlineStr">
        <is>
          <t>CO</t>
        </is>
      </c>
      <c r="G23" s="699" t="inlineStr">
        <is>
          <t>Industrial</t>
        </is>
      </c>
      <c r="H23" s="1194" t="inlineStr">
        <is>
          <t>Mega Warehouse / Distribution Center NNN (Lowe's)</t>
        </is>
      </c>
      <c r="I23" s="699" t="n">
        <v>2021</v>
      </c>
      <c r="J23" s="699" t="n">
        <v>999780</v>
      </c>
      <c r="K23" s="699" t="n"/>
      <c r="L23" s="699" t="inlineStr">
        <is>
          <t>R0209679</t>
        </is>
      </c>
      <c r="M23" s="699" t="n"/>
      <c r="N23" s="1194" t="inlineStr">
        <is>
          <t>MHE 2025 BAA – Owner submitted P&amp;L</t>
        </is>
      </c>
      <c r="O23" s="699" t="inlineStr">
        <is>
          <t>2026-06-01</t>
        </is>
      </c>
      <c r="P23" s="1194" t="inlineStr">
        <is>
          <t>Actual accrual; 2023 NOI inflated by ~$2.8M prior-yr tax adj</t>
        </is>
      </c>
      <c r="Q23" s="1132">
        <f>IF(B23="","",IFERROR(INDEX(OCC_TABLE_DESC,MATCH(B23,OCC_TABLE_CODE,0)),"Unrecognized code"))</f>
        <v/>
      </c>
    </row>
    <row r="24">
      <c r="A24" s="1225" t="inlineStr">
        <is>
          <t>P021</t>
        </is>
      </c>
      <c r="B24" s="695" t="n">
        <v>210</v>
      </c>
      <c r="C24" s="696" t="inlineStr">
        <is>
          <t>R0091931</t>
        </is>
      </c>
      <c r="D24" s="1226" t="inlineStr">
        <is>
          <t>6300 E. 58th Ave</t>
        </is>
      </c>
      <c r="E24" s="1225" t="inlineStr">
        <is>
          <t>Commerce City</t>
        </is>
      </c>
      <c r="F24" s="1225" t="inlineStr">
        <is>
          <t>CO</t>
        </is>
      </c>
      <c r="G24" s="1225" t="inlineStr">
        <is>
          <t>Industrial</t>
        </is>
      </c>
      <c r="H24" s="1226" t="inlineStr">
        <is>
          <t>Multi-Tenant Industrial/Flex</t>
        </is>
      </c>
      <c r="I24" s="1225" t="n">
        <v>1999</v>
      </c>
      <c r="J24" s="1225" t="n">
        <v>90000</v>
      </c>
      <c r="K24" s="1225" t="n"/>
      <c r="L24" s="1225" t="inlineStr">
        <is>
          <t>R0091931</t>
        </is>
      </c>
      <c r="M24" s="1225" t="n"/>
      <c r="N24" s="1226" t="inlineStr">
        <is>
          <t>MHE 2025 BOE – Owner actual P&amp;L</t>
        </is>
      </c>
      <c r="O24" s="1225" t="inlineStr">
        <is>
          <t>2026-06-02</t>
        </is>
      </c>
      <c r="P24" s="1226" t="inlineStr">
        <is>
          <t>Actual accrual 2023+2024; YOC 1999–2001</t>
        </is>
      </c>
      <c r="Q24" s="1132">
        <f>IF(B24="","",IFERROR(INDEX(OCC_TABLE_DESC,MATCH(B24,OCC_TABLE_CODE,0)),"Unrecognized code"))</f>
        <v/>
      </c>
    </row>
    <row r="25">
      <c r="A25" s="699" t="inlineStr">
        <is>
          <t>P022</t>
        </is>
      </c>
      <c r="B25" s="695" t="n">
        <v>210</v>
      </c>
      <c r="C25" s="696" t="inlineStr">
        <is>
          <t>R0111559</t>
        </is>
      </c>
      <c r="D25" s="1194" t="inlineStr">
        <is>
          <t>3590 N. Himalaya Rd (Bldg 6)</t>
        </is>
      </c>
      <c r="E25" s="699" t="inlineStr">
        <is>
          <t>Aurora</t>
        </is>
      </c>
      <c r="F25" s="699" t="inlineStr">
        <is>
          <t>CO</t>
        </is>
      </c>
      <c r="G25" s="699" t="inlineStr">
        <is>
          <t>Industrial</t>
        </is>
      </c>
      <c r="H25" s="1194" t="inlineStr">
        <is>
          <t>Multi-Tenant Industrial/Flex NNN</t>
        </is>
      </c>
      <c r="I25" s="699" t="n"/>
      <c r="J25" s="699" t="n"/>
      <c r="K25" s="699" t="n"/>
      <c r="L25" s="699" t="inlineStr">
        <is>
          <t>R0111559</t>
        </is>
      </c>
      <c r="M25" s="699" t="n"/>
      <c r="N25" s="1194" t="inlineStr">
        <is>
          <t>MHE 2025 BOE – Sterling actual P&amp;L</t>
        </is>
      </c>
      <c r="O25" s="699" t="inlineStr">
        <is>
          <t>2026-06-02</t>
        </is>
      </c>
      <c r="P25" s="1194" t="inlineStr">
        <is>
          <t>2023 transitional (vacancy); 2024 new tenant in place; SF not confirmed</t>
        </is>
      </c>
      <c r="Q25" s="1132">
        <f>IF(B25="","",IFERROR(INDEX(OCC_TABLE_DESC,MATCH(B25,OCC_TABLE_CODE,0)),"Unrecognized code"))</f>
        <v/>
      </c>
    </row>
    <row r="26">
      <c r="A26" s="1225" t="inlineStr">
        <is>
          <t>P023</t>
        </is>
      </c>
      <c r="B26" s="695" t="n">
        <v>407</v>
      </c>
      <c r="C26" s="696" t="inlineStr">
        <is>
          <t>R0191098</t>
        </is>
      </c>
      <c r="D26" s="1226" t="inlineStr">
        <is>
          <t>19754 E. 35th Dr (Bldg 4)</t>
        </is>
      </c>
      <c r="E26" s="1225" t="inlineStr">
        <is>
          <t>Aurora</t>
        </is>
      </c>
      <c r="F26" s="1225" t="inlineStr">
        <is>
          <t>CO</t>
        </is>
      </c>
      <c r="G26" s="1225" t="inlineStr">
        <is>
          <t>Industrial</t>
        </is>
      </c>
      <c r="H26" s="1226" t="inlineStr">
        <is>
          <t>Single-Tenant Industrial NNN</t>
        </is>
      </c>
      <c r="I26" s="1225" t="n"/>
      <c r="J26" s="1225" t="n">
        <v>155033</v>
      </c>
      <c r="K26" s="1225" t="n"/>
      <c r="L26" s="1225" t="inlineStr">
        <is>
          <t>R0191098</t>
        </is>
      </c>
      <c r="M26" s="1225" t="n"/>
      <c r="N26" s="1226" t="inlineStr">
        <is>
          <t>MHE 2025 BOE – Sterling actual P&amp;L</t>
        </is>
      </c>
      <c r="O26" s="1225" t="inlineStr">
        <is>
          <t>2026-06-02</t>
        </is>
      </c>
      <c r="P26" s="1226" t="inlineStr">
        <is>
          <t>Single-tenant NNN (Quality Custom Distribution); lease thru 12/31/2029</t>
        </is>
      </c>
      <c r="Q26" s="1132">
        <f>IF(B26="","",IFERROR(INDEX(OCC_TABLE_DESC,MATCH(B26,OCC_TABLE_CODE,0)),"Unrecognized code"))</f>
        <v/>
      </c>
    </row>
    <row r="27">
      <c r="A27" s="699" t="inlineStr">
        <is>
          <t>P024</t>
        </is>
      </c>
      <c r="B27" s="695" t="n">
        <v>407</v>
      </c>
      <c r="C27" s="696" t="inlineStr">
        <is>
          <t>R0111560</t>
        </is>
      </c>
      <c r="D27" s="1194" t="inlineStr">
        <is>
          <t>20320 E. 36th Dr (Bldg 7)</t>
        </is>
      </c>
      <c r="E27" s="699" t="inlineStr">
        <is>
          <t>Aurora</t>
        </is>
      </c>
      <c r="F27" s="699" t="inlineStr">
        <is>
          <t>CO</t>
        </is>
      </c>
      <c r="G27" s="699" t="inlineStr">
        <is>
          <t>Industrial</t>
        </is>
      </c>
      <c r="H27" s="1194" t="inlineStr">
        <is>
          <t>Single-Tenant Industrial NNN</t>
        </is>
      </c>
      <c r="I27" s="699" t="n"/>
      <c r="J27" s="699" t="n">
        <v>200000</v>
      </c>
      <c r="K27" s="699" t="n"/>
      <c r="L27" s="699" t="inlineStr">
        <is>
          <t>R0111560</t>
        </is>
      </c>
      <c r="M27" s="699" t="n"/>
      <c r="N27" s="1194" t="inlineStr">
        <is>
          <t>MHE 2025 BOE – Sterling actual P&amp;L</t>
        </is>
      </c>
      <c r="O27" s="699" t="inlineStr">
        <is>
          <t>2026-06-02</t>
        </is>
      </c>
      <c r="P27" s="1194" t="inlineStr">
        <is>
          <t>FedEx NNN; lease expired 4/30/2024 – 2023 only usable</t>
        </is>
      </c>
      <c r="Q27" s="1132">
        <f>IF(B27="","",IFERROR(INDEX(OCC_TABLE_DESC,MATCH(B27,OCC_TABLE_CODE,0)),"Unrecognized code"))</f>
        <v/>
      </c>
    </row>
    <row r="28">
      <c r="A28" s="1225" t="inlineStr">
        <is>
          <t>P025</t>
        </is>
      </c>
      <c r="B28" s="695" t="n">
        <v>210</v>
      </c>
      <c r="C28" s="696" t="inlineStr">
        <is>
          <t>R0191099</t>
        </is>
      </c>
      <c r="D28" s="1226" t="inlineStr">
        <is>
          <t>3559 N. Himalaya Rd (Bldg 5)</t>
        </is>
      </c>
      <c r="E28" s="1225" t="inlineStr">
        <is>
          <t>Aurora</t>
        </is>
      </c>
      <c r="F28" s="1225" t="inlineStr">
        <is>
          <t>CO</t>
        </is>
      </c>
      <c r="G28" s="1225" t="inlineStr">
        <is>
          <t>Industrial</t>
        </is>
      </c>
      <c r="H28" s="1226" t="inlineStr">
        <is>
          <t>Multi-Tenant Industrial NNN</t>
        </is>
      </c>
      <c r="I28" s="1225" t="n"/>
      <c r="J28" s="1225" t="n">
        <v>159047</v>
      </c>
      <c r="K28" s="1225" t="n"/>
      <c r="L28" s="1225" t="inlineStr">
        <is>
          <t>R0191099</t>
        </is>
      </c>
      <c r="M28" s="1225" t="n"/>
      <c r="N28" s="1226" t="inlineStr">
        <is>
          <t>MHE 2025 BOE – Sterling actual P&amp;L</t>
        </is>
      </c>
      <c r="O28" s="1225" t="inlineStr">
        <is>
          <t>2026-06-02</t>
        </is>
      </c>
      <c r="P28" s="1226" t="inlineStr">
        <is>
          <t>Multi-tenant NNN; 3 tenants; 2023+2024</t>
        </is>
      </c>
      <c r="Q28" s="1132">
        <f>IF(B28="","",IFERROR(INDEX(OCC_TABLE_DESC,MATCH(B28,OCC_TABLE_CODE,0)),"Unrecognized code"))</f>
        <v/>
      </c>
    </row>
    <row r="29">
      <c r="A29" s="699" t="inlineStr">
        <is>
          <t>P026</t>
        </is>
      </c>
      <c r="B29" s="695" t="n">
        <v>406</v>
      </c>
      <c r="C29" s="696" t="inlineStr">
        <is>
          <t>R0092667</t>
        </is>
      </c>
      <c r="D29" s="1194" t="inlineStr">
        <is>
          <t>4901 Locust St</t>
        </is>
      </c>
      <c r="E29" s="699" t="inlineStr">
        <is>
          <t>Commerce City</t>
        </is>
      </c>
      <c r="F29" s="699" t="inlineStr">
        <is>
          <t>CO</t>
        </is>
      </c>
      <c r="G29" s="699" t="inlineStr">
        <is>
          <t>Industrial</t>
        </is>
      </c>
      <c r="H29" s="1194" t="inlineStr">
        <is>
          <t>Industrial Warehouse</t>
        </is>
      </c>
      <c r="I29" s="699" t="n"/>
      <c r="J29" s="699" t="n">
        <v>29512</v>
      </c>
      <c r="K29" s="699" t="n"/>
      <c r="L29" s="699" t="inlineStr">
        <is>
          <t>R0092667</t>
        </is>
      </c>
      <c r="M29" s="699" t="n"/>
      <c r="N29" s="1194" t="inlineStr">
        <is>
          <t>MHE 2025 BOE – Newmark appraisal proforma</t>
        </is>
      </c>
      <c r="O29" s="699" t="inlineStr">
        <is>
          <t>2026-06-02</t>
        </is>
      </c>
      <c r="P29" s="1194" t="inlineStr">
        <is>
          <t>Stabilized proforma; Newmark V&amp;A appraisal 6/30/2024</t>
        </is>
      </c>
      <c r="Q29" s="1132">
        <f>IF(B29="","",IFERROR(INDEX(OCC_TABLE_DESC,MATCH(B29,OCC_TABLE_CODE,0)),"Unrecognized code"))</f>
        <v/>
      </c>
    </row>
    <row r="30">
      <c r="A30" s="1225" t="inlineStr">
        <is>
          <t>P027</t>
        </is>
      </c>
      <c r="B30" s="695" t="n">
        <v>407</v>
      </c>
      <c r="C30" s="696" t="inlineStr">
        <is>
          <t>R0132030</t>
        </is>
      </c>
      <c r="D30" s="1226" t="inlineStr">
        <is>
          <t>Majestic Commercenter (R0132030)</t>
        </is>
      </c>
      <c r="E30" s="1225" t="inlineStr">
        <is>
          <t>Commerce City</t>
        </is>
      </c>
      <c r="F30" s="1225" t="inlineStr">
        <is>
          <t>CO</t>
        </is>
      </c>
      <c r="G30" s="1225" t="inlineStr">
        <is>
          <t>Industrial</t>
        </is>
      </c>
      <c r="H30" s="1226" t="inlineStr">
        <is>
          <t>Warehouse NNN</t>
        </is>
      </c>
      <c r="I30" s="1225" t="n">
        <v>2001</v>
      </c>
      <c r="J30" s="1225" t="n">
        <v>200094</v>
      </c>
      <c r="K30" s="1225" t="n"/>
      <c r="L30" s="1225" t="inlineStr">
        <is>
          <t>R0132030</t>
        </is>
      </c>
      <c r="M30" s="1225" t="n"/>
      <c r="N30" s="1226" t="inlineStr">
        <is>
          <t>AXG – Whse Expenses PSF.xlsx</t>
        </is>
      </c>
      <c r="O30" s="1225" t="inlineStr">
        <is>
          <t>2026-06-02</t>
        </is>
      </c>
      <c r="P30" s="1226" t="inlineStr">
        <is>
          <t>NNN landlord expenses only; 2021–2022</t>
        </is>
      </c>
      <c r="Q30" s="1132">
        <f>IF(B30="","",IFERROR(INDEX(OCC_TABLE_DESC,MATCH(B30,OCC_TABLE_CODE,0)),"Unrecognized code"))</f>
        <v/>
      </c>
    </row>
    <row r="31">
      <c r="A31" s="699" t="inlineStr">
        <is>
          <t>P028</t>
        </is>
      </c>
      <c r="B31" s="695" t="n">
        <v>407</v>
      </c>
      <c r="C31" s="696" t="inlineStr">
        <is>
          <t>R0084040</t>
        </is>
      </c>
      <c r="D31" s="1194" t="inlineStr">
        <is>
          <t>Majestic Commercenter (R0084040)</t>
        </is>
      </c>
      <c r="E31" s="699" t="inlineStr">
        <is>
          <t>Commerce City</t>
        </is>
      </c>
      <c r="F31" s="699" t="inlineStr">
        <is>
          <t>CO</t>
        </is>
      </c>
      <c r="G31" s="699" t="inlineStr">
        <is>
          <t>Industrial</t>
        </is>
      </c>
      <c r="H31" s="1194" t="inlineStr">
        <is>
          <t>Warehouse NNN</t>
        </is>
      </c>
      <c r="I31" s="699" t="n">
        <v>1997</v>
      </c>
      <c r="J31" s="699" t="n">
        <v>177736</v>
      </c>
      <c r="K31" s="699" t="n"/>
      <c r="L31" s="699" t="inlineStr">
        <is>
          <t>R0084040</t>
        </is>
      </c>
      <c r="M31" s="699" t="n"/>
      <c r="N31" s="1194" t="inlineStr">
        <is>
          <t>AXG – Whse Expenses PSF.xlsx</t>
        </is>
      </c>
      <c r="O31" s="699" t="inlineStr">
        <is>
          <t>2026-06-02</t>
        </is>
      </c>
      <c r="P31" s="1194" t="inlineStr">
        <is>
          <t>NNN landlord expenses only; 2021–2022</t>
        </is>
      </c>
      <c r="Q31" s="1132">
        <f>IF(B31="","",IFERROR(INDEX(OCC_TABLE_DESC,MATCH(B31,OCC_TABLE_CODE,0)),"Unrecognized code"))</f>
        <v/>
      </c>
    </row>
    <row r="32">
      <c r="A32" s="1225" t="inlineStr">
        <is>
          <t>P029</t>
        </is>
      </c>
      <c r="B32" s="695" t="n">
        <v>407</v>
      </c>
      <c r="C32" s="696" t="inlineStr">
        <is>
          <t>R0084041</t>
        </is>
      </c>
      <c r="D32" s="1226" t="inlineStr">
        <is>
          <t>Majestic Commercenter (R0084041)</t>
        </is>
      </c>
      <c r="E32" s="1225" t="inlineStr">
        <is>
          <t>Commerce City</t>
        </is>
      </c>
      <c r="F32" s="1225" t="inlineStr">
        <is>
          <t>CO</t>
        </is>
      </c>
      <c r="G32" s="1225" t="inlineStr">
        <is>
          <t>Industrial</t>
        </is>
      </c>
      <c r="H32" s="1226" t="inlineStr">
        <is>
          <t>Warehouse NNN</t>
        </is>
      </c>
      <c r="I32" s="1225" t="n">
        <v>1997</v>
      </c>
      <c r="J32" s="1225" t="n">
        <v>200371</v>
      </c>
      <c r="K32" s="1225" t="n"/>
      <c r="L32" s="1225" t="inlineStr">
        <is>
          <t>R0084041</t>
        </is>
      </c>
      <c r="M32" s="1225" t="n"/>
      <c r="N32" s="1226" t="inlineStr">
        <is>
          <t>AXG – Whse Expenses PSF.xlsx</t>
        </is>
      </c>
      <c r="O32" s="1225" t="inlineStr">
        <is>
          <t>2026-06-02</t>
        </is>
      </c>
      <c r="P32" s="1226" t="inlineStr">
        <is>
          <t>NNN landlord expenses only; 2021–2022</t>
        </is>
      </c>
      <c r="Q32" s="1132">
        <f>IF(B32="","",IFERROR(INDEX(OCC_TABLE_DESC,MATCH(B32,OCC_TABLE_CODE,0)),"Unrecognized code"))</f>
        <v/>
      </c>
    </row>
    <row r="33">
      <c r="A33" s="699" t="inlineStr">
        <is>
          <t>P030</t>
        </is>
      </c>
      <c r="B33" s="695" t="n">
        <v>584</v>
      </c>
      <c r="C33" s="696" t="inlineStr">
        <is>
          <t>R0217015</t>
        </is>
      </c>
      <c r="D33" s="1194" t="inlineStr">
        <is>
          <t>Majestic Commercenter (R0217015)</t>
        </is>
      </c>
      <c r="E33" s="699" t="inlineStr">
        <is>
          <t>Commerce City</t>
        </is>
      </c>
      <c r="F33" s="699" t="inlineStr">
        <is>
          <t>CO</t>
        </is>
      </c>
      <c r="G33" s="699" t="inlineStr">
        <is>
          <t>Industrial</t>
        </is>
      </c>
      <c r="H33" s="1194" t="inlineStr">
        <is>
          <t>Mega Warehouse NNN</t>
        </is>
      </c>
      <c r="I33" s="699" t="n">
        <v>2021</v>
      </c>
      <c r="J33" s="699" t="n">
        <v>548510</v>
      </c>
      <c r="K33" s="699" t="n"/>
      <c r="L33" s="699" t="inlineStr">
        <is>
          <t>R0217015</t>
        </is>
      </c>
      <c r="M33" s="699" t="n"/>
      <c r="N33" s="1194" t="inlineStr">
        <is>
          <t>AXG – Whse Expenses PSF.xlsx</t>
        </is>
      </c>
      <c r="O33" s="699" t="inlineStr">
        <is>
          <t>2026-06-02</t>
        </is>
      </c>
      <c r="P33" s="1194" t="inlineStr">
        <is>
          <t>NNN landlord expenses only; 2022 only</t>
        </is>
      </c>
      <c r="Q33" s="1132">
        <f>IF(B33="","",IFERROR(INDEX(OCC_TABLE_DESC,MATCH(B33,OCC_TABLE_CODE,0)),"Unrecognized code"))</f>
        <v/>
      </c>
    </row>
    <row r="34">
      <c r="A34" s="1225" t="inlineStr">
        <is>
          <t>P031</t>
        </is>
      </c>
      <c r="B34" s="695" t="n">
        <v>407</v>
      </c>
      <c r="C34" s="696" t="inlineStr">
        <is>
          <t>R0111562</t>
        </is>
      </c>
      <c r="D34" s="1226" t="inlineStr">
        <is>
          <t>Majestic Commercenter (R0111562)</t>
        </is>
      </c>
      <c r="E34" s="1225" t="inlineStr">
        <is>
          <t>Commerce City</t>
        </is>
      </c>
      <c r="F34" s="1225" t="inlineStr">
        <is>
          <t>CO</t>
        </is>
      </c>
      <c r="G34" s="1225" t="inlineStr">
        <is>
          <t>Industrial</t>
        </is>
      </c>
      <c r="H34" s="1226" t="inlineStr">
        <is>
          <t>Warehouse NNN</t>
        </is>
      </c>
      <c r="I34" s="1225" t="n">
        <v>2000</v>
      </c>
      <c r="J34" s="1225" t="n">
        <v>149175</v>
      </c>
      <c r="K34" s="1225" t="n"/>
      <c r="L34" s="1225" t="inlineStr">
        <is>
          <t>R0111562</t>
        </is>
      </c>
      <c r="M34" s="1225" t="n"/>
      <c r="N34" s="1226" t="inlineStr">
        <is>
          <t>AXG – Whse Expenses PSF.xlsx</t>
        </is>
      </c>
      <c r="O34" s="1225" t="inlineStr">
        <is>
          <t>2026-06-02</t>
        </is>
      </c>
      <c r="P34" s="1226" t="inlineStr">
        <is>
          <t>NNN landlord expenses only; 2019–2020</t>
        </is>
      </c>
      <c r="Q34" s="1132">
        <f>IF(B34="","",IFERROR(INDEX(OCC_TABLE_DESC,MATCH(B34,OCC_TABLE_CODE,0)),"Unrecognized code"))</f>
        <v/>
      </c>
    </row>
    <row r="35">
      <c r="A35" s="699" t="inlineStr">
        <is>
          <t>P032</t>
        </is>
      </c>
      <c r="B35" s="695" t="n">
        <v>407</v>
      </c>
      <c r="C35" s="696" t="inlineStr">
        <is>
          <t>R0118875</t>
        </is>
      </c>
      <c r="D35" s="1194" t="inlineStr">
        <is>
          <t>Majestic Commercenter (R0118875)</t>
        </is>
      </c>
      <c r="E35" s="699" t="inlineStr">
        <is>
          <t>Commerce City</t>
        </is>
      </c>
      <c r="F35" s="699" t="inlineStr">
        <is>
          <t>CO</t>
        </is>
      </c>
      <c r="G35" s="699" t="inlineStr">
        <is>
          <t>Industrial</t>
        </is>
      </c>
      <c r="H35" s="1194" t="inlineStr">
        <is>
          <t>Warehouse NNN</t>
        </is>
      </c>
      <c r="I35" s="699" t="n">
        <v>1999</v>
      </c>
      <c r="J35" s="699" t="n">
        <v>279640</v>
      </c>
      <c r="K35" s="699" t="n"/>
      <c r="L35" s="699" t="inlineStr">
        <is>
          <t>R0118875</t>
        </is>
      </c>
      <c r="M35" s="699" t="n"/>
      <c r="N35" s="1194" t="inlineStr">
        <is>
          <t>AXG – Whse Expenses PSF.xlsx</t>
        </is>
      </c>
      <c r="O35" s="699" t="inlineStr">
        <is>
          <t>2026-06-02</t>
        </is>
      </c>
      <c r="P35" s="1194" t="inlineStr">
        <is>
          <t>NNN landlord expenses only; 2021–2022</t>
        </is>
      </c>
      <c r="Q35" s="1132">
        <f>IF(B35="","",IFERROR(INDEX(OCC_TABLE_DESC,MATCH(B35,OCC_TABLE_CODE,0)),"Unrecognized code"))</f>
        <v/>
      </c>
    </row>
    <row r="36">
      <c r="A36" s="1225" t="inlineStr">
        <is>
          <t>P033</t>
        </is>
      </c>
      <c r="B36" s="695" t="n">
        <v>407</v>
      </c>
      <c r="C36" s="696" t="inlineStr">
        <is>
          <t>R0132031</t>
        </is>
      </c>
      <c r="D36" s="1226" t="inlineStr">
        <is>
          <t>Majestic Commercenter (R0132031)</t>
        </is>
      </c>
      <c r="E36" s="1225" t="inlineStr">
        <is>
          <t>Commerce City</t>
        </is>
      </c>
      <c r="F36" s="1225" t="inlineStr">
        <is>
          <t>CO</t>
        </is>
      </c>
      <c r="G36" s="1225" t="inlineStr">
        <is>
          <t>Industrial</t>
        </is>
      </c>
      <c r="H36" s="1226" t="inlineStr">
        <is>
          <t>Warehouse NNN</t>
        </is>
      </c>
      <c r="I36" s="1225" t="n">
        <v>2002</v>
      </c>
      <c r="J36" s="1225" t="n">
        <v>280098</v>
      </c>
      <c r="K36" s="1225" t="n"/>
      <c r="L36" s="1225" t="inlineStr">
        <is>
          <t>R0132031</t>
        </is>
      </c>
      <c r="M36" s="1225" t="n"/>
      <c r="N36" s="1226" t="inlineStr">
        <is>
          <t>AXG – Whse Expenses PSF.xlsx</t>
        </is>
      </c>
      <c r="O36" s="1225" t="inlineStr">
        <is>
          <t>2026-06-02</t>
        </is>
      </c>
      <c r="P36" s="1226" t="inlineStr">
        <is>
          <t>NNN landlord expenses only; 2021–2022</t>
        </is>
      </c>
      <c r="Q36" s="1132">
        <f>IF(B36="","",IFERROR(INDEX(OCC_TABLE_DESC,MATCH(B36,OCC_TABLE_CODE,0)),"Unrecognized code"))</f>
        <v/>
      </c>
    </row>
    <row r="37">
      <c r="A37" s="699" t="inlineStr">
        <is>
          <t>P034</t>
        </is>
      </c>
      <c r="B37" s="695" t="n">
        <v>407</v>
      </c>
      <c r="C37" s="696" t="inlineStr">
        <is>
          <t>R0172865</t>
        </is>
      </c>
      <c r="D37" s="1194" t="inlineStr">
        <is>
          <t>Majestic Commercenter (R0172865)</t>
        </is>
      </c>
      <c r="E37" s="699" t="inlineStr">
        <is>
          <t>Commerce City</t>
        </is>
      </c>
      <c r="F37" s="699" t="inlineStr">
        <is>
          <t>CO</t>
        </is>
      </c>
      <c r="G37" s="699" t="inlineStr">
        <is>
          <t>Industrial</t>
        </is>
      </c>
      <c r="H37" s="1194" t="inlineStr">
        <is>
          <t>Warehouse NNN</t>
        </is>
      </c>
      <c r="I37" s="699" t="n">
        <v>2008</v>
      </c>
      <c r="J37" s="699" t="n">
        <v>215461</v>
      </c>
      <c r="K37" s="699" t="n"/>
      <c r="L37" s="699" t="inlineStr">
        <is>
          <t>R0172865</t>
        </is>
      </c>
      <c r="M37" s="699" t="n"/>
      <c r="N37" s="1194" t="inlineStr">
        <is>
          <t>AXG – Whse Expenses PSF.xlsx</t>
        </is>
      </c>
      <c r="O37" s="699" t="inlineStr">
        <is>
          <t>2026-06-02</t>
        </is>
      </c>
      <c r="P37" s="1194" t="inlineStr">
        <is>
          <t>NNN landlord expenses only; 2021–2022</t>
        </is>
      </c>
      <c r="Q37" s="1132">
        <f>IF(B37="","",IFERROR(INDEX(OCC_TABLE_DESC,MATCH(B37,OCC_TABLE_CODE,0)),"Unrecognized code"))</f>
        <v/>
      </c>
    </row>
    <row r="38">
      <c r="A38" s="1225" t="inlineStr">
        <is>
          <t>P035</t>
        </is>
      </c>
      <c r="B38" s="695" t="n">
        <v>407</v>
      </c>
      <c r="C38" s="696" t="inlineStr">
        <is>
          <t>R0172867</t>
        </is>
      </c>
      <c r="D38" s="1226" t="inlineStr">
        <is>
          <t>Majestic Commercenter (R0172867)</t>
        </is>
      </c>
      <c r="E38" s="1225" t="inlineStr">
        <is>
          <t>Commerce City</t>
        </is>
      </c>
      <c r="F38" s="1225" t="inlineStr">
        <is>
          <t>CO</t>
        </is>
      </c>
      <c r="G38" s="1225" t="inlineStr">
        <is>
          <t>Industrial</t>
        </is>
      </c>
      <c r="H38" s="1226" t="inlineStr">
        <is>
          <t>Warehouse NNN</t>
        </is>
      </c>
      <c r="I38" s="1225" t="n">
        <v>2007</v>
      </c>
      <c r="J38" s="1225" t="n">
        <v>215560</v>
      </c>
      <c r="K38" s="1225" t="n"/>
      <c r="L38" s="1225" t="inlineStr">
        <is>
          <t>R0172867</t>
        </is>
      </c>
      <c r="M38" s="1225" t="n"/>
      <c r="N38" s="1226" t="inlineStr">
        <is>
          <t>AXG – Whse Expenses PSF.xlsx</t>
        </is>
      </c>
      <c r="O38" s="1225" t="inlineStr">
        <is>
          <t>2026-06-02</t>
        </is>
      </c>
      <c r="P38" s="1226" t="inlineStr">
        <is>
          <t>NNN landlord expenses only; 2021–2022</t>
        </is>
      </c>
      <c r="Q38" s="1132">
        <f>IF(B38="","",IFERROR(INDEX(OCC_TABLE_DESC,MATCH(B38,OCC_TABLE_CODE,0)),"Unrecognized code"))</f>
        <v/>
      </c>
    </row>
    <row r="39">
      <c r="A39" s="699" t="inlineStr">
        <is>
          <t>P036</t>
        </is>
      </c>
      <c r="B39" s="695" t="n">
        <v>407</v>
      </c>
      <c r="C39" s="696" t="inlineStr">
        <is>
          <t>R0172868</t>
        </is>
      </c>
      <c r="D39" s="1194" t="inlineStr">
        <is>
          <t>Majestic Commercenter (R0172868)</t>
        </is>
      </c>
      <c r="E39" s="699" t="inlineStr">
        <is>
          <t>Commerce City</t>
        </is>
      </c>
      <c r="F39" s="699" t="inlineStr">
        <is>
          <t>CO</t>
        </is>
      </c>
      <c r="G39" s="699" t="inlineStr">
        <is>
          <t>Industrial</t>
        </is>
      </c>
      <c r="H39" s="1194" t="inlineStr">
        <is>
          <t>Warehouse NNN</t>
        </is>
      </c>
      <c r="I39" s="699" t="n">
        <v>2007</v>
      </c>
      <c r="J39" s="699" t="n">
        <v>202091</v>
      </c>
      <c r="K39" s="699" t="n"/>
      <c r="L39" s="699" t="inlineStr">
        <is>
          <t>R0172868</t>
        </is>
      </c>
      <c r="M39" s="699" t="n"/>
      <c r="N39" s="1194" t="inlineStr">
        <is>
          <t>AXG – Whse Expenses PSF.xlsx</t>
        </is>
      </c>
      <c r="O39" s="699" t="inlineStr">
        <is>
          <t>2026-06-02</t>
        </is>
      </c>
      <c r="P39" s="1194" t="inlineStr">
        <is>
          <t>NNN landlord expenses only; 2021–2022</t>
        </is>
      </c>
      <c r="Q39" s="1132">
        <f>IF(B39="","",IFERROR(INDEX(OCC_TABLE_DESC,MATCH(B39,OCC_TABLE_CODE,0)),"Unrecognized code"))</f>
        <v/>
      </c>
    </row>
    <row r="40">
      <c r="A40" s="1225" t="inlineStr">
        <is>
          <t>P037</t>
        </is>
      </c>
      <c r="B40" s="695" t="n">
        <v>407</v>
      </c>
      <c r="C40" s="696" t="inlineStr">
        <is>
          <t>R0145680</t>
        </is>
      </c>
      <c r="D40" s="1226" t="inlineStr">
        <is>
          <t>Majestic Commercenter (R0145680)</t>
        </is>
      </c>
      <c r="E40" s="1225" t="inlineStr">
        <is>
          <t>Commerce City</t>
        </is>
      </c>
      <c r="F40" s="1225" t="inlineStr">
        <is>
          <t>CO</t>
        </is>
      </c>
      <c r="G40" s="1225" t="inlineStr">
        <is>
          <t>Industrial</t>
        </is>
      </c>
      <c r="H40" s="1226" t="inlineStr">
        <is>
          <t>Warehouse NNN</t>
        </is>
      </c>
      <c r="I40" s="1225" t="n">
        <v>2001</v>
      </c>
      <c r="J40" s="1225" t="n">
        <v>150027</v>
      </c>
      <c r="K40" s="1225" t="n"/>
      <c r="L40" s="1225" t="inlineStr">
        <is>
          <t>R0145680</t>
        </is>
      </c>
      <c r="M40" s="1225" t="n"/>
      <c r="N40" s="1226" t="inlineStr">
        <is>
          <t>AXG – Whse Expenses PSF.xlsx</t>
        </is>
      </c>
      <c r="O40" s="1225" t="inlineStr">
        <is>
          <t>2026-06-02</t>
        </is>
      </c>
      <c r="P40" s="1226" t="inlineStr">
        <is>
          <t>NNN landlord expenses only; 2021–2022</t>
        </is>
      </c>
      <c r="Q40" s="1132">
        <f>IF(B40="","",IFERROR(INDEX(OCC_TABLE_DESC,MATCH(B40,OCC_TABLE_CODE,0)),"Unrecognized code"))</f>
        <v/>
      </c>
    </row>
    <row r="41">
      <c r="A41" s="699" t="inlineStr">
        <is>
          <t>P038</t>
        </is>
      </c>
      <c r="B41" s="695" t="n">
        <v>584</v>
      </c>
      <c r="C41" s="696" t="inlineStr">
        <is>
          <t>R0181787</t>
        </is>
      </c>
      <c r="D41" s="1194" t="inlineStr">
        <is>
          <t>Majestic Commercenter (R0181787)</t>
        </is>
      </c>
      <c r="E41" s="699" t="inlineStr">
        <is>
          <t>Commerce City</t>
        </is>
      </c>
      <c r="F41" s="699" t="inlineStr">
        <is>
          <t>CO</t>
        </is>
      </c>
      <c r="G41" s="699" t="inlineStr">
        <is>
          <t>Industrial</t>
        </is>
      </c>
      <c r="H41" s="1194" t="inlineStr">
        <is>
          <t>Mega Warehouse NNN</t>
        </is>
      </c>
      <c r="I41" s="699" t="n">
        <v>2013</v>
      </c>
      <c r="J41" s="699" t="n">
        <v>500358</v>
      </c>
      <c r="K41" s="699" t="n"/>
      <c r="L41" s="699" t="inlineStr">
        <is>
          <t>R0181787</t>
        </is>
      </c>
      <c r="M41" s="699" t="n"/>
      <c r="N41" s="1194" t="inlineStr">
        <is>
          <t>AXG – Whse Expenses PSF.xlsx</t>
        </is>
      </c>
      <c r="O41" s="699" t="inlineStr">
        <is>
          <t>2026-06-02</t>
        </is>
      </c>
      <c r="P41" s="1194" t="inlineStr">
        <is>
          <t>NNN landlord expenses only; 2021–2022</t>
        </is>
      </c>
      <c r="Q41" s="1132">
        <f>IF(B41="","",IFERROR(INDEX(OCC_TABLE_DESC,MATCH(B41,OCC_TABLE_CODE,0)),"Unrecognized code"))</f>
        <v/>
      </c>
    </row>
    <row r="42">
      <c r="A42" s="1225" t="inlineStr">
        <is>
          <t>P039</t>
        </is>
      </c>
      <c r="B42" s="695" t="n">
        <v>584</v>
      </c>
      <c r="C42" s="696" t="inlineStr">
        <is>
          <t>R0191101</t>
        </is>
      </c>
      <c r="D42" s="1226" t="inlineStr">
        <is>
          <t>Majestic Commercenter (R0191101)</t>
        </is>
      </c>
      <c r="E42" s="1225" t="inlineStr">
        <is>
          <t>Commerce City</t>
        </is>
      </c>
      <c r="F42" s="1225" t="inlineStr">
        <is>
          <t>CO</t>
        </is>
      </c>
      <c r="G42" s="1225" t="inlineStr">
        <is>
          <t>Industrial</t>
        </is>
      </c>
      <c r="H42" s="1226" t="inlineStr">
        <is>
          <t>Mega Warehouse NNN</t>
        </is>
      </c>
      <c r="I42" s="1225" t="n">
        <v>2017</v>
      </c>
      <c r="J42" s="1225" t="n">
        <v>522120</v>
      </c>
      <c r="K42" s="1225" t="n"/>
      <c r="L42" s="1225" t="inlineStr">
        <is>
          <t>R0191101</t>
        </is>
      </c>
      <c r="M42" s="1225" t="n"/>
      <c r="N42" s="1226" t="inlineStr">
        <is>
          <t>AXG – Whse Expenses PSF.xlsx</t>
        </is>
      </c>
      <c r="O42" s="1225" t="inlineStr">
        <is>
          <t>2026-06-02</t>
        </is>
      </c>
      <c r="P42" s="1226" t="inlineStr">
        <is>
          <t>NNN landlord expenses only; 2021–2022</t>
        </is>
      </c>
      <c r="Q42" s="1132">
        <f>IF(B42="","",IFERROR(INDEX(OCC_TABLE_DESC,MATCH(B42,OCC_TABLE_CODE,0)),"Unrecognized code"))</f>
        <v/>
      </c>
    </row>
    <row r="43">
      <c r="A43" s="699" t="inlineStr">
        <is>
          <t>P040</t>
        </is>
      </c>
      <c r="B43" s="695" t="n">
        <v>407</v>
      </c>
      <c r="C43" s="696" t="inlineStr">
        <is>
          <t>R0202874</t>
        </is>
      </c>
      <c r="D43" s="1194" t="inlineStr">
        <is>
          <t>900 E 128th Ave</t>
        </is>
      </c>
      <c r="E43" s="699" t="inlineStr">
        <is>
          <t>Henderson</t>
        </is>
      </c>
      <c r="F43" s="699" t="inlineStr">
        <is>
          <t>CO</t>
        </is>
      </c>
      <c r="G43" s="699" t="inlineStr">
        <is>
          <t>Industrial</t>
        </is>
      </c>
      <c r="H43" s="1194" t="inlineStr">
        <is>
          <t>Last-Mile Distribution NNN</t>
        </is>
      </c>
      <c r="I43" s="699" t="n"/>
      <c r="J43" s="699" t="n"/>
      <c r="K43" s="699" t="n"/>
      <c r="L43" s="699" t="inlineStr">
        <is>
          <t>R0202874</t>
        </is>
      </c>
      <c r="M43" s="699" t="inlineStr">
        <is>
          <t>Amazon</t>
        </is>
      </c>
      <c r="N43" s="1194" t="inlineStr">
        <is>
          <t>AXG – Owner Income Statement 2021–2022</t>
        </is>
      </c>
      <c r="O43" s="699" t="inlineStr">
        <is>
          <t>2026-06-02</t>
        </is>
      </c>
      <c r="P43" s="1194" t="inlineStr">
        <is>
          <t>Amazon AMZL Last Mile Site 51812; SF not extracted</t>
        </is>
      </c>
      <c r="Q43" s="1132">
        <f>IF(B43="","",IFERROR(INDEX(OCC_TABLE_DESC,MATCH(B43,OCC_TABLE_CODE,0)),"Unrecognized code"))</f>
        <v/>
      </c>
    </row>
    <row r="44">
      <c r="A44" s="1225" t="inlineStr">
        <is>
          <t>P041</t>
        </is>
      </c>
      <c r="B44" s="695" t="n">
        <v>386</v>
      </c>
      <c r="C44" s="696" t="inlineStr">
        <is>
          <t>R0189384</t>
        </is>
      </c>
      <c r="D44" s="1226" t="inlineStr">
        <is>
          <t>1101 Colorado Blvd</t>
        </is>
      </c>
      <c r="E44" s="1225" t="inlineStr">
        <is>
          <t>Thornton</t>
        </is>
      </c>
      <c r="F44" s="1225" t="inlineStr">
        <is>
          <t>CO</t>
        </is>
      </c>
      <c r="G44" s="1225" t="inlineStr">
        <is>
          <t>Self-Storage</t>
        </is>
      </c>
      <c r="H44" s="1226" t="inlineStr">
        <is>
          <t>Climate-Controlled</t>
        </is>
      </c>
      <c r="I44" s="1225" t="n"/>
      <c r="J44" s="1225" t="n">
        <v>65766</v>
      </c>
      <c r="K44" s="1225" t="n"/>
      <c r="L44" s="1225" t="inlineStr">
        <is>
          <t>R0189384</t>
        </is>
      </c>
      <c r="M44" s="1225" t="n"/>
      <c r="N44" s="1226" t="inlineStr">
        <is>
          <t>AXG – Carlson SS Portfolio P&amp;L</t>
        </is>
      </c>
      <c r="O44" s="1225" t="inlineStr">
        <is>
          <t>2026-06-02</t>
        </is>
      </c>
      <c r="P44" s="1226" t="inlineStr">
        <is>
          <t>Actual FY2021–2023; 101.5% occ Q4 2023</t>
        </is>
      </c>
      <c r="Q44" s="1132">
        <f>IF(B44="","",IFERROR(INDEX(OCC_TABLE_DESC,MATCH(B44,OCC_TABLE_CODE,0)),"Unrecognized code"))</f>
        <v/>
      </c>
    </row>
    <row r="45">
      <c r="A45" s="699" t="inlineStr">
        <is>
          <t>P042</t>
        </is>
      </c>
      <c r="B45" s="695" t="n">
        <v>386</v>
      </c>
      <c r="C45" s="696" t="inlineStr">
        <is>
          <t>R0126235</t>
        </is>
      </c>
      <c r="D45" s="1194" t="inlineStr">
        <is>
          <t>15024 Laroy Drive</t>
        </is>
      </c>
      <c r="E45" s="699" t="inlineStr">
        <is>
          <t>Northglenn</t>
        </is>
      </c>
      <c r="F45" s="699" t="inlineStr">
        <is>
          <t>CO</t>
        </is>
      </c>
      <c r="G45" s="699" t="inlineStr">
        <is>
          <t>Self-Storage</t>
        </is>
      </c>
      <c r="H45" s="1194" t="inlineStr">
        <is>
          <t>Climate-Controlled</t>
        </is>
      </c>
      <c r="I45" s="699" t="n"/>
      <c r="J45" s="699" t="n">
        <v>79950</v>
      </c>
      <c r="K45" s="699" t="n"/>
      <c r="L45" s="699" t="inlineStr">
        <is>
          <t>R0126235</t>
        </is>
      </c>
      <c r="M45" s="699" t="n"/>
      <c r="N45" s="1194" t="inlineStr">
        <is>
          <t>AXG – Carlson SS Portfolio P&amp;L</t>
        </is>
      </c>
      <c r="O45" s="699" t="inlineStr">
        <is>
          <t>2026-06-02</t>
        </is>
      </c>
      <c r="P45" s="1194" t="inlineStr">
        <is>
          <t>Actual FY2021–2023; 91.4% occ Dec 2023</t>
        </is>
      </c>
      <c r="Q45" s="1132">
        <f>IF(B45="","",IFERROR(INDEX(OCC_TABLE_DESC,MATCH(B45,OCC_TABLE_CODE,0)),"Unrecognized code"))</f>
        <v/>
      </c>
    </row>
    <row r="46">
      <c r="A46" s="1225" t="inlineStr">
        <is>
          <t>P043</t>
        </is>
      </c>
      <c r="B46" s="695" t="n">
        <v>386</v>
      </c>
      <c r="C46" s="696" t="inlineStr">
        <is>
          <t>R0126234</t>
        </is>
      </c>
      <c r="D46" s="1226" t="inlineStr">
        <is>
          <t>715 W 112th Ave</t>
        </is>
      </c>
      <c r="E46" s="1225" t="inlineStr">
        <is>
          <t>Northglenn</t>
        </is>
      </c>
      <c r="F46" s="1225" t="inlineStr">
        <is>
          <t>CO</t>
        </is>
      </c>
      <c r="G46" s="1225" t="inlineStr">
        <is>
          <t>Self-Storage</t>
        </is>
      </c>
      <c r="H46" s="1226" t="inlineStr">
        <is>
          <t>Drive-Up/Drop-Off</t>
        </is>
      </c>
      <c r="I46" s="1225" t="n"/>
      <c r="J46" s="1225" t="n">
        <v>83756</v>
      </c>
      <c r="K46" s="1225" t="n"/>
      <c r="L46" s="1225" t="inlineStr">
        <is>
          <t>R0126234</t>
        </is>
      </c>
      <c r="M46" s="1225" t="n"/>
      <c r="N46" s="1226" t="inlineStr">
        <is>
          <t>AXG – Carlson SS Portfolio P&amp;L</t>
        </is>
      </c>
      <c r="O46" s="1225" t="inlineStr">
        <is>
          <t>2026-06-02</t>
        </is>
      </c>
      <c r="P46" s="1226" t="inlineStr">
        <is>
          <t>Actual FY2021–2023</t>
        </is>
      </c>
      <c r="Q46" s="1132">
        <f>IF(B46="","",IFERROR(INDEX(OCC_TABLE_DESC,MATCH(B46,OCC_TABLE_CODE,0)),"Unrecognized code"))</f>
        <v/>
      </c>
    </row>
    <row r="47">
      <c r="A47" s="699" t="inlineStr">
        <is>
          <t>P044</t>
        </is>
      </c>
      <c r="B47" s="695" t="n">
        <v>386</v>
      </c>
      <c r="C47" s="696" t="inlineStr">
        <is>
          <t>R0027089/R0178319</t>
        </is>
      </c>
      <c r="D47" s="1194" t="inlineStr">
        <is>
          <t>2290 E 120th Ave</t>
        </is>
      </c>
      <c r="E47" s="699" t="inlineStr">
        <is>
          <t>Thornton</t>
        </is>
      </c>
      <c r="F47" s="699" t="inlineStr">
        <is>
          <t>CO</t>
        </is>
      </c>
      <c r="G47" s="699" t="inlineStr">
        <is>
          <t>Self-Storage</t>
        </is>
      </c>
      <c r="H47" s="1194" t="inlineStr">
        <is>
          <t>Drive-Up/Drop-Off</t>
        </is>
      </c>
      <c r="I47" s="699" t="n"/>
      <c r="J47" s="699" t="n">
        <v>71909</v>
      </c>
      <c r="K47" s="699" t="n"/>
      <c r="L47" s="699" t="inlineStr">
        <is>
          <t>R0027089/R0178319</t>
        </is>
      </c>
      <c r="M47" s="699" t="n"/>
      <c r="N47" s="1194" t="inlineStr">
        <is>
          <t>AXG – Carlson SS Portfolio P&amp;L</t>
        </is>
      </c>
      <c r="O47" s="699" t="inlineStr">
        <is>
          <t>2026-06-02</t>
        </is>
      </c>
      <c r="P47" s="1194" t="inlineStr">
        <is>
          <t>Combined parcel FY2021–2023; 88.2% occ Dec 2023</t>
        </is>
      </c>
      <c r="Q47" s="1132">
        <f>IF(B47="","",IFERROR(INDEX(OCC_TABLE_DESC,MATCH(B47,OCC_TABLE_CODE,0)),"Unrecognized code"))</f>
        <v/>
      </c>
    </row>
    <row r="48">
      <c r="A48" s="1225" t="inlineStr">
        <is>
          <t>P045</t>
        </is>
      </c>
      <c r="B48" s="695" t="n">
        <v>386</v>
      </c>
      <c r="C48" s="696" t="inlineStr">
        <is>
          <t>R0043569</t>
        </is>
      </c>
      <c r="D48" s="1226" t="inlineStr">
        <is>
          <t>40131 Quivas St (104th &amp; Quivas)</t>
        </is>
      </c>
      <c r="E48" s="1225" t="inlineStr">
        <is>
          <t>Thornton</t>
        </is>
      </c>
      <c r="F48" s="1225" t="inlineStr">
        <is>
          <t>CO</t>
        </is>
      </c>
      <c r="G48" s="1225" t="inlineStr">
        <is>
          <t>Self-Storage</t>
        </is>
      </c>
      <c r="H48" s="1226" t="inlineStr">
        <is>
          <t>Drive-Up/Drop-Off</t>
        </is>
      </c>
      <c r="I48" s="1225" t="n"/>
      <c r="J48" s="1225" t="n">
        <v>41900</v>
      </c>
      <c r="K48" s="1225" t="n"/>
      <c r="L48" s="1225" t="inlineStr">
        <is>
          <t>R0043569</t>
        </is>
      </c>
      <c r="M48" s="1225" t="n"/>
      <c r="N48" s="1226" t="inlineStr">
        <is>
          <t>AXG – SS Expense Matrix + FY2024 P&amp;L</t>
        </is>
      </c>
      <c r="O48" s="1225" t="inlineStr">
        <is>
          <t>2026-06-02</t>
        </is>
      </c>
      <c r="P48" s="1226" t="inlineStr">
        <is>
          <t>Actual FY2024 monthly P&amp;L + expense matrix</t>
        </is>
      </c>
      <c r="Q48" s="1132">
        <f>IF(B48="","",IFERROR(INDEX(OCC_TABLE_DESC,MATCH(B48,OCC_TABLE_CODE,0)),"Unrecognized code"))</f>
        <v/>
      </c>
    </row>
    <row r="49">
      <c r="A49" s="699" t="inlineStr">
        <is>
          <t>P046</t>
        </is>
      </c>
      <c r="B49" s="695" t="n">
        <v>386</v>
      </c>
      <c r="C49" s="696" t="inlineStr">
        <is>
          <t>R0193009</t>
        </is>
      </c>
      <c r="D49" s="1194" t="inlineStr">
        <is>
          <t>Address unknown – see R0193009</t>
        </is>
      </c>
      <c r="E49" s="699" t="inlineStr">
        <is>
          <t>Adams County</t>
        </is>
      </c>
      <c r="F49" s="699" t="inlineStr">
        <is>
          <t>CO</t>
        </is>
      </c>
      <c r="G49" s="699" t="inlineStr">
        <is>
          <t>Self-Storage</t>
        </is>
      </c>
      <c r="H49" s="1194" t="inlineStr">
        <is>
          <t>Climate-Controlled</t>
        </is>
      </c>
      <c r="I49" s="699" t="n"/>
      <c r="J49" s="699" t="n">
        <v>94736</v>
      </c>
      <c r="K49" s="699" t="n"/>
      <c r="L49" s="699" t="inlineStr">
        <is>
          <t>R0193009</t>
        </is>
      </c>
      <c r="M49" s="699" t="n"/>
      <c r="N49" s="1194" t="inlineStr">
        <is>
          <t>AXG – SS Expense Matrix</t>
        </is>
      </c>
      <c r="O49" s="699" t="inlineStr">
        <is>
          <t>2026-06-02</t>
        </is>
      </c>
      <c r="P49" s="1194" t="inlineStr">
        <is>
          <t>Expense matrix data; EGI $1,582,087</t>
        </is>
      </c>
      <c r="Q49" s="1132">
        <f>IF(B49="","",IFERROR(INDEX(OCC_TABLE_DESC,MATCH(B49,OCC_TABLE_CODE,0)),"Unrecognized code"))</f>
        <v/>
      </c>
    </row>
    <row r="50">
      <c r="A50" s="1225" t="inlineStr">
        <is>
          <t>P047</t>
        </is>
      </c>
      <c r="B50" s="695" t="n">
        <v>386</v>
      </c>
      <c r="C50" s="696" t="inlineStr">
        <is>
          <t>R0099616</t>
        </is>
      </c>
      <c r="D50" s="1226" t="inlineStr">
        <is>
          <t>Address unknown – see R0099616</t>
        </is>
      </c>
      <c r="E50" s="1225" t="inlineStr">
        <is>
          <t>Adams County</t>
        </is>
      </c>
      <c r="F50" s="1225" t="inlineStr">
        <is>
          <t>CO</t>
        </is>
      </c>
      <c r="G50" s="1225" t="inlineStr">
        <is>
          <t>Self-Storage</t>
        </is>
      </c>
      <c r="H50" s="1226" t="inlineStr">
        <is>
          <t>Drive-Up/Drop-Off</t>
        </is>
      </c>
      <c r="I50" s="1225" t="n"/>
      <c r="J50" s="1225" t="n">
        <v>73500</v>
      </c>
      <c r="K50" s="1225" t="n"/>
      <c r="L50" s="1225" t="inlineStr">
        <is>
          <t>R0099616</t>
        </is>
      </c>
      <c r="M50" s="1225" t="n"/>
      <c r="N50" s="1226" t="inlineStr">
        <is>
          <t>AXG – SS Expense Matrix</t>
        </is>
      </c>
      <c r="O50" s="1225" t="inlineStr">
        <is>
          <t>2026-06-02</t>
        </is>
      </c>
      <c r="P50" s="1226" t="inlineStr">
        <is>
          <t>Expense matrix data; EGI $834,358</t>
        </is>
      </c>
      <c r="Q50" s="1132">
        <f>IF(B50="","",IFERROR(INDEX(OCC_TABLE_DESC,MATCH(B50,OCC_TABLE_CODE,0)),"Unrecognized code"))</f>
        <v/>
      </c>
    </row>
    <row r="51">
      <c r="A51" s="699" t="inlineStr">
        <is>
          <t>P048</t>
        </is>
      </c>
      <c r="B51" s="695" t="n">
        <v>386</v>
      </c>
      <c r="C51" s="696" t="inlineStr">
        <is>
          <t>R0098019</t>
        </is>
      </c>
      <c r="D51" s="1194" t="inlineStr">
        <is>
          <t>Address unknown – see R0098019</t>
        </is>
      </c>
      <c r="E51" s="699" t="inlineStr">
        <is>
          <t>Adams County</t>
        </is>
      </c>
      <c r="F51" s="699" t="inlineStr">
        <is>
          <t>CO</t>
        </is>
      </c>
      <c r="G51" s="699" t="inlineStr">
        <is>
          <t>Self-Storage</t>
        </is>
      </c>
      <c r="H51" s="1194" t="inlineStr">
        <is>
          <t>Drive-Up/Drop-Off</t>
        </is>
      </c>
      <c r="I51" s="699" t="n"/>
      <c r="J51" s="699" t="n">
        <v>44975</v>
      </c>
      <c r="K51" s="699" t="n"/>
      <c r="L51" s="699" t="inlineStr">
        <is>
          <t>R0098019</t>
        </is>
      </c>
      <c r="M51" s="699" t="n"/>
      <c r="N51" s="1194" t="inlineStr">
        <is>
          <t>AXG – SS Expense Matrix</t>
        </is>
      </c>
      <c r="O51" s="699" t="inlineStr">
        <is>
          <t>2026-06-02</t>
        </is>
      </c>
      <c r="P51" s="1194" t="inlineStr">
        <is>
          <t>Expense matrix data; EGI $588,827</t>
        </is>
      </c>
      <c r="Q51" s="1132">
        <f>IF(B51="","",IFERROR(INDEX(OCC_TABLE_DESC,MATCH(B51,OCC_TABLE_CODE,0)),"Unrecognized code"))</f>
        <v/>
      </c>
    </row>
    <row r="52">
      <c r="A52" s="1225" t="inlineStr">
        <is>
          <t>P049</t>
        </is>
      </c>
      <c r="B52" s="695" t="n">
        <v>386</v>
      </c>
      <c r="C52" s="696" t="inlineStr">
        <is>
          <t>R0102989</t>
        </is>
      </c>
      <c r="D52" s="1226" t="inlineStr">
        <is>
          <t>Fitzsimons area – see R0102989</t>
        </is>
      </c>
      <c r="E52" s="1225" t="inlineStr">
        <is>
          <t>Aurora</t>
        </is>
      </c>
      <c r="F52" s="1225" t="inlineStr">
        <is>
          <t>CO</t>
        </is>
      </c>
      <c r="G52" s="1225" t="inlineStr">
        <is>
          <t>Self-Storage</t>
        </is>
      </c>
      <c r="H52" s="1226" t="inlineStr">
        <is>
          <t>Climate-Controlled</t>
        </is>
      </c>
      <c r="I52" s="1225" t="n"/>
      <c r="J52" s="1225" t="n">
        <v>94797</v>
      </c>
      <c r="K52" s="1225" t="n"/>
      <c r="L52" s="1225" t="inlineStr">
        <is>
          <t>R0102989</t>
        </is>
      </c>
      <c r="M52" s="1225" t="n"/>
      <c r="N52" s="1226" t="inlineStr">
        <is>
          <t>AXG – SS Expense Matrix</t>
        </is>
      </c>
      <c r="O52" s="1225" t="inlineStr">
        <is>
          <t>2026-06-02</t>
        </is>
      </c>
      <c r="P52" s="1226" t="inlineStr">
        <is>
          <t>Expense matrix data; EGI $1,184,503</t>
        </is>
      </c>
      <c r="Q52" s="1132">
        <f>IF(B52="","",IFERROR(INDEX(OCC_TABLE_DESC,MATCH(B52,OCC_TABLE_CODE,0)),"Unrecognized code"))</f>
        <v/>
      </c>
    </row>
    <row r="53">
      <c r="A53" s="699" t="inlineStr">
        <is>
          <t>P050</t>
        </is>
      </c>
      <c r="B53" s="695" t="n">
        <v>386</v>
      </c>
      <c r="C53" s="696" t="inlineStr">
        <is>
          <t>R0085523</t>
        </is>
      </c>
      <c r="D53" s="1194" t="inlineStr">
        <is>
          <t>Address unknown – see R0085523</t>
        </is>
      </c>
      <c r="E53" s="699" t="inlineStr">
        <is>
          <t>Adams County</t>
        </is>
      </c>
      <c r="F53" s="699" t="inlineStr">
        <is>
          <t>CO</t>
        </is>
      </c>
      <c r="G53" s="699" t="inlineStr">
        <is>
          <t>Self-Storage</t>
        </is>
      </c>
      <c r="H53" s="1194" t="inlineStr">
        <is>
          <t>Drive-Up/Drop-Off</t>
        </is>
      </c>
      <c r="I53" s="699" t="n"/>
      <c r="J53" s="699" t="n">
        <v>39525</v>
      </c>
      <c r="K53" s="699" t="n"/>
      <c r="L53" s="699" t="inlineStr">
        <is>
          <t>R0085523</t>
        </is>
      </c>
      <c r="M53" s="699" t="n"/>
      <c r="N53" s="1194" t="inlineStr">
        <is>
          <t>AXG – SS Expense Matrix</t>
        </is>
      </c>
      <c r="O53" s="699" t="inlineStr">
        <is>
          <t>2026-06-02</t>
        </is>
      </c>
      <c r="P53" s="1194" t="inlineStr">
        <is>
          <t>Expense matrix data; EGI $541,974</t>
        </is>
      </c>
      <c r="Q53" s="1132">
        <f>IF(B53="","",IFERROR(INDEX(OCC_TABLE_DESC,MATCH(B53,OCC_TABLE_CODE,0)),"Unrecognized code"))</f>
        <v/>
      </c>
    </row>
    <row r="54">
      <c r="A54" s="1225" t="inlineStr">
        <is>
          <t>P051</t>
        </is>
      </c>
      <c r="B54" s="695" t="n">
        <v>386</v>
      </c>
      <c r="C54" s="696" t="inlineStr">
        <is>
          <t>R0174860</t>
        </is>
      </c>
      <c r="D54" s="1226" t="inlineStr">
        <is>
          <t>Address unknown – see R0174860</t>
        </is>
      </c>
      <c r="E54" s="1225" t="inlineStr">
        <is>
          <t>Adams County</t>
        </is>
      </c>
      <c r="F54" s="1225" t="inlineStr">
        <is>
          <t>CO</t>
        </is>
      </c>
      <c r="G54" s="1225" t="inlineStr">
        <is>
          <t>Self-Storage</t>
        </is>
      </c>
      <c r="H54" s="1226" t="inlineStr">
        <is>
          <t>Drive-Up/Drop-Off (containers)</t>
        </is>
      </c>
      <c r="I54" s="1225" t="n"/>
      <c r="J54" s="1225" t="n">
        <v>45980</v>
      </c>
      <c r="K54" s="1225" t="n"/>
      <c r="L54" s="1225" t="inlineStr">
        <is>
          <t>R0174860</t>
        </is>
      </c>
      <c r="M54" s="1225" t="n"/>
      <c r="N54" s="1226" t="inlineStr">
        <is>
          <t>AXG – SS Expense Matrix</t>
        </is>
      </c>
      <c r="O54" s="1225" t="inlineStr">
        <is>
          <t>2026-06-02</t>
        </is>
      </c>
      <c r="P54" s="1226" t="inlineStr">
        <is>
          <t>Expense matrix data; EGI $646,496</t>
        </is>
      </c>
      <c r="Q54" s="1132">
        <f>IF(B54="","",IFERROR(INDEX(OCC_TABLE_DESC,MATCH(B54,OCC_TABLE_CODE,0)),"Unrecognized code"))</f>
        <v/>
      </c>
    </row>
    <row r="55">
      <c r="A55" s="699" t="inlineStr">
        <is>
          <t>P052</t>
        </is>
      </c>
      <c r="B55" s="695" t="n">
        <v>386</v>
      </c>
      <c r="C55" s="696" t="inlineStr">
        <is>
          <t>R0161412</t>
        </is>
      </c>
      <c r="D55" s="1194" t="inlineStr">
        <is>
          <t>Address unknown – see R0161412</t>
        </is>
      </c>
      <c r="E55" s="699" t="inlineStr">
        <is>
          <t>Adams County</t>
        </is>
      </c>
      <c r="F55" s="699" t="inlineStr">
        <is>
          <t>CO</t>
        </is>
      </c>
      <c r="G55" s="699" t="inlineStr">
        <is>
          <t>Self-Storage</t>
        </is>
      </c>
      <c r="H55" s="1194" t="inlineStr">
        <is>
          <t>Drive-Up/Drop-Off</t>
        </is>
      </c>
      <c r="I55" s="699" t="n"/>
      <c r="J55" s="699" t="n">
        <v>88043</v>
      </c>
      <c r="K55" s="699" t="n"/>
      <c r="L55" s="699" t="inlineStr">
        <is>
          <t>R0161412</t>
        </is>
      </c>
      <c r="M55" s="699" t="n"/>
      <c r="N55" s="1194" t="inlineStr">
        <is>
          <t>AXG – SS Expense Matrix</t>
        </is>
      </c>
      <c r="O55" s="699" t="inlineStr">
        <is>
          <t>2026-06-02</t>
        </is>
      </c>
      <c r="P55" s="1194" t="inlineStr">
        <is>
          <t>Expense matrix data; EGI $1,206,603</t>
        </is>
      </c>
      <c r="Q55" s="1132">
        <f>IF(B55="","",IFERROR(INDEX(OCC_TABLE_DESC,MATCH(B55,OCC_TABLE_CODE,0)),"Unrecognized code"))</f>
        <v/>
      </c>
    </row>
    <row r="56">
      <c r="A56" s="1225" t="inlineStr">
        <is>
          <t>P053</t>
        </is>
      </c>
      <c r="B56" s="695" t="n">
        <v>386</v>
      </c>
      <c r="C56" s="696" t="inlineStr">
        <is>
          <t>R0169115</t>
        </is>
      </c>
      <c r="D56" s="1226" t="inlineStr">
        <is>
          <t>Address unknown – see R0169115</t>
        </is>
      </c>
      <c r="E56" s="1225" t="inlineStr">
        <is>
          <t>Adams County</t>
        </is>
      </c>
      <c r="F56" s="1225" t="inlineStr">
        <is>
          <t>CO</t>
        </is>
      </c>
      <c r="G56" s="1225" t="inlineStr">
        <is>
          <t>Self-Storage</t>
        </is>
      </c>
      <c r="H56" s="1226" t="inlineStr">
        <is>
          <t>Drive-Up/Drop-Off</t>
        </is>
      </c>
      <c r="I56" s="1225" t="n"/>
      <c r="J56" s="1225" t="n">
        <v>41764</v>
      </c>
      <c r="K56" s="1225" t="n"/>
      <c r="L56" s="1225" t="inlineStr">
        <is>
          <t>R0169115</t>
        </is>
      </c>
      <c r="M56" s="1225" t="n"/>
      <c r="N56" s="1226" t="inlineStr">
        <is>
          <t>AXG – SS Expense Matrix</t>
        </is>
      </c>
      <c r="O56" s="1225" t="inlineStr">
        <is>
          <t>2026-06-02</t>
        </is>
      </c>
      <c r="P56" s="1226" t="inlineStr">
        <is>
          <t>Expense matrix data; EGI $787,364</t>
        </is>
      </c>
      <c r="Q56" s="1132">
        <f>IF(B56="","",IFERROR(INDEX(OCC_TABLE_DESC,MATCH(B56,OCC_TABLE_CODE,0)),"Unrecognized code"))</f>
        <v/>
      </c>
    </row>
    <row r="57">
      <c r="A57" s="1225" t="inlineStr">
        <is>
          <t>P054</t>
        </is>
      </c>
      <c r="B57" s="695" t="n">
        <v>210</v>
      </c>
      <c r="C57" s="696" t="inlineStr">
        <is>
          <t>R0180551</t>
        </is>
      </c>
      <c r="D57" s="1226" t="inlineStr">
        <is>
          <t>1953 N Gun Club Rd</t>
        </is>
      </c>
      <c r="E57" s="1225" t="inlineStr">
        <is>
          <t>Aurora</t>
        </is>
      </c>
      <c r="F57" s="1225" t="inlineStr">
        <is>
          <t>CO</t>
        </is>
      </c>
      <c r="G57" s="1225" t="inlineStr">
        <is>
          <t>Industrial</t>
        </is>
      </c>
      <c r="H57" s="1226" t="inlineStr">
        <is>
          <t>Multi-Tenant Industrial/Office NNN</t>
        </is>
      </c>
      <c r="I57" s="1225" t="n"/>
      <c r="J57" s="1225" t="n"/>
      <c r="K57" s="1225" t="n"/>
      <c r="L57" s="1225" t="inlineStr">
        <is>
          <t>R0180551</t>
        </is>
      </c>
      <c r="M57" s="1225" t="inlineStr">
        <is>
          <t>Cherry Owner III LLC / AIP KKR</t>
        </is>
      </c>
      <c r="N57" s="1226" t="inlineStr">
        <is>
          <t>08_2025 Review – owner actual P&amp;L</t>
        </is>
      </c>
      <c r="O57" s="1225" t="inlineStr">
        <is>
          <t>2026-06-02</t>
        </is>
      </c>
      <c r="P57" s="1226" t="inlineStr">
        <is>
          <t>Actual 2023+2024; base rent + full recovery; adj for prior-yr tax</t>
        </is>
      </c>
      <c r="Q57" s="1132">
        <f>IF(B57="","",IFERROR(INDEX(OCC_TABLE_DESC,MATCH(B57,OCC_TABLE_CODE,0)),"Unrecognized code"))</f>
        <v/>
      </c>
    </row>
    <row r="58">
      <c r="A58" s="699" t="inlineStr">
        <is>
          <t>P055</t>
        </is>
      </c>
      <c r="B58" s="695" t="n">
        <v>407</v>
      </c>
      <c r="C58" s="696" t="inlineStr">
        <is>
          <t>R0211072/R0211073/R0211074</t>
        </is>
      </c>
      <c r="D58" s="1194" t="inlineStr">
        <is>
          <t>Park 76 Distribution Center</t>
        </is>
      </c>
      <c r="E58" s="699" t="inlineStr">
        <is>
          <t>Aurora</t>
        </is>
      </c>
      <c r="F58" s="699" t="inlineStr">
        <is>
          <t>CO</t>
        </is>
      </c>
      <c r="G58" s="699" t="inlineStr">
        <is>
          <t>Industrial</t>
        </is>
      </c>
      <c r="H58" s="1194" t="inlineStr">
        <is>
          <t>Industrial Warehouse (3-bldg campus) NNN</t>
        </is>
      </c>
      <c r="I58" s="699" t="n"/>
      <c r="J58" s="699" t="n"/>
      <c r="K58" s="699" t="n"/>
      <c r="L58" s="699" t="inlineStr">
        <is>
          <t>R0211072/R0211073/R0211074</t>
        </is>
      </c>
      <c r="M58" s="699" t="inlineStr">
        <is>
          <t>Park 76 Owner LLC / Alpha Industrial</t>
        </is>
      </c>
      <c r="N58" s="1194" t="inlineStr">
        <is>
          <t>08_2025 Review – owner actual P&amp;L</t>
        </is>
      </c>
      <c r="O58" s="699" t="inlineStr">
        <is>
          <t>2026-06-02</t>
        </is>
      </c>
      <c r="P58" s="1194" t="inlineStr">
        <is>
          <t>3-building campus; actual 2023+2024; lease-up completed ~2023</t>
        </is>
      </c>
      <c r="Q58" s="1132">
        <f>IF(B58="","",IFERROR(INDEX(OCC_TABLE_DESC,MATCH(B58,OCC_TABLE_CODE,0)),"Unrecognized code"))</f>
        <v/>
      </c>
    </row>
    <row r="59">
      <c r="A59" s="1225" t="inlineStr">
        <is>
          <t>P056</t>
        </is>
      </c>
      <c r="B59" s="695" t="n">
        <v>407</v>
      </c>
      <c r="C59" s="696" t="inlineStr">
        <is>
          <t>R0210485</t>
        </is>
      </c>
      <c r="D59" s="1226" t="inlineStr">
        <is>
          <t>1101 E 126th Ave (Bldg A)</t>
        </is>
      </c>
      <c r="E59" s="1225" t="inlineStr">
        <is>
          <t>Thornton</t>
        </is>
      </c>
      <c r="F59" s="1225" t="inlineStr">
        <is>
          <t>CO</t>
        </is>
      </c>
      <c r="G59" s="1225" t="inlineStr">
        <is>
          <t>Industrial</t>
        </is>
      </c>
      <c r="H59" s="1226" t="inlineStr">
        <is>
          <t>Industrial Warehouse NNN</t>
        </is>
      </c>
      <c r="I59" s="1225" t="n">
        <v>2022</v>
      </c>
      <c r="J59" s="1225" t="n"/>
      <c r="K59" s="1225" t="n"/>
      <c r="L59" s="1225" t="inlineStr">
        <is>
          <t>R0210485</t>
        </is>
      </c>
      <c r="M59" s="1225" t="inlineStr">
        <is>
          <t>Thornton Owner LLC / Alpha Industrial</t>
        </is>
      </c>
      <c r="N59" s="1226" t="inlineStr">
        <is>
          <t>08_2025 Review – owner actual P&amp;L</t>
        </is>
      </c>
      <c r="O59" s="1225" t="inlineStr">
        <is>
          <t>2026-06-02</t>
        </is>
      </c>
      <c r="P59" s="1226" t="inlineStr">
        <is>
          <t>New (YOC ~2022); 2023 lease-up; 2024 near-stabilized; 2024 only added</t>
        </is>
      </c>
      <c r="Q59" s="1132">
        <f>IF(B59="","",IFERROR(INDEX(OCC_TABLE_DESC,MATCH(B59,OCC_TABLE_CODE,0)),"Unrecognized code"))</f>
        <v/>
      </c>
    </row>
    <row r="60">
      <c r="A60" s="699" t="inlineStr">
        <is>
          <t>P057</t>
        </is>
      </c>
      <c r="B60" s="695" t="n">
        <v>407</v>
      </c>
      <c r="C60" s="696" t="inlineStr">
        <is>
          <t>R0210486</t>
        </is>
      </c>
      <c r="D60" s="1194" t="inlineStr">
        <is>
          <t>12625 Lafayette St (Bldg B)</t>
        </is>
      </c>
      <c r="E60" s="699" t="inlineStr">
        <is>
          <t>Thornton</t>
        </is>
      </c>
      <c r="F60" s="699" t="inlineStr">
        <is>
          <t>CO</t>
        </is>
      </c>
      <c r="G60" s="699" t="inlineStr">
        <is>
          <t>Industrial</t>
        </is>
      </c>
      <c r="H60" s="1194" t="inlineStr">
        <is>
          <t>Industrial Warehouse NNN</t>
        </is>
      </c>
      <c r="I60" s="699" t="n">
        <v>2022</v>
      </c>
      <c r="J60" s="699" t="n"/>
      <c r="K60" s="699" t="n"/>
      <c r="L60" s="699" t="inlineStr">
        <is>
          <t>R0210486</t>
        </is>
      </c>
      <c r="M60" s="699" t="inlineStr">
        <is>
          <t>Thornton Owner LLC / Alpha Industrial</t>
        </is>
      </c>
      <c r="N60" s="1194" t="inlineStr">
        <is>
          <t>08_2025 Review – owner actual P&amp;L</t>
        </is>
      </c>
      <c r="O60" s="699" t="inlineStr">
        <is>
          <t>2026-06-02</t>
        </is>
      </c>
      <c r="P60" s="1194" t="inlineStr">
        <is>
          <t>New (YOC ~2022); 2023 lease-up; 2024 near-stabilized; 2024 only added</t>
        </is>
      </c>
      <c r="Q60" s="1132">
        <f>IF(B60="","",IFERROR(INDEX(OCC_TABLE_DESC,MATCH(B60,OCC_TABLE_CODE,0)),"Unrecognized code"))</f>
        <v/>
      </c>
    </row>
    <row r="61">
      <c r="A61" s="1225" t="inlineStr">
        <is>
          <t>P058</t>
        </is>
      </c>
      <c r="B61" s="695" t="n">
        <v>407</v>
      </c>
      <c r="C61" s="696" t="inlineStr">
        <is>
          <t>R0091934</t>
        </is>
      </c>
      <c r="D61" s="1226" t="inlineStr">
        <is>
          <t>350 Park Industrial (5759)</t>
        </is>
      </c>
      <c r="E61" s="1225" t="inlineStr">
        <is>
          <t>Aurora</t>
        </is>
      </c>
      <c r="F61" s="1225" t="inlineStr">
        <is>
          <t>CO</t>
        </is>
      </c>
      <c r="G61" s="1225" t="inlineStr">
        <is>
          <t>Industrial</t>
        </is>
      </c>
      <c r="H61" s="1226" t="inlineStr">
        <is>
          <t>Multi-Tenant Industrial 407</t>
        </is>
      </c>
      <c r="I61" s="1225" t="n">
        <v>1995</v>
      </c>
      <c r="J61" s="1225" t="n">
        <v>32600</v>
      </c>
      <c r="K61" s="1225" t="n"/>
      <c r="L61" s="1225" t="inlineStr">
        <is>
          <t>R0091934</t>
        </is>
      </c>
      <c r="M61" s="1225" t="n"/>
      <c r="N61" s="1226" t="inlineStr">
        <is>
          <t>08_2025 Review – owner actual P&amp;L</t>
        </is>
      </c>
      <c r="O61" s="1225" t="inlineStr">
        <is>
          <t>2026-06-02</t>
        </is>
      </c>
      <c r="P61" s="1226" t="inlineStr">
        <is>
          <t>Actual accrual 2023+2024; multi-tenant; 3 tenants</t>
        </is>
      </c>
      <c r="Q61" s="1132">
        <f>IF(B61="","",IFERROR(INDEX(OCC_TABLE_DESC,MATCH(B61,OCC_TABLE_CODE,0)),"Unrecognized code"))</f>
        <v/>
      </c>
    </row>
    <row r="62">
      <c r="A62" s="699" t="inlineStr">
        <is>
          <t>P059</t>
        </is>
      </c>
      <c r="B62" s="695" t="n">
        <v>407</v>
      </c>
      <c r="C62" s="696" t="inlineStr">
        <is>
          <t>R0093111</t>
        </is>
      </c>
      <c r="D62" s="1194" t="inlineStr">
        <is>
          <t>Industrial Property (yden0702)</t>
        </is>
      </c>
      <c r="E62" s="699" t="inlineStr">
        <is>
          <t>Aurora</t>
        </is>
      </c>
      <c r="F62" s="699" t="inlineStr">
        <is>
          <t>CO</t>
        </is>
      </c>
      <c r="G62" s="699" t="inlineStr">
        <is>
          <t>Industrial</t>
        </is>
      </c>
      <c r="H62" s="1194" t="inlineStr">
        <is>
          <t>Multi-Tenant Industrial 407</t>
        </is>
      </c>
      <c r="I62" s="699" t="n"/>
      <c r="J62" s="699" t="n"/>
      <c r="K62" s="699" t="n"/>
      <c r="L62" s="699" t="inlineStr">
        <is>
          <t>R0093111</t>
        </is>
      </c>
      <c r="M62" s="699" t="n"/>
      <c r="N62" s="1194" t="inlineStr">
        <is>
          <t>08_2025 Review – owner actual P&amp;L</t>
        </is>
      </c>
      <c r="O62" s="699" t="inlineStr">
        <is>
          <t>2026-06-02</t>
        </is>
      </c>
      <c r="P62" s="1194" t="inlineStr">
        <is>
          <t>Actual 2023+2024; SF not confirmed; multi-tenant 3 tenants</t>
        </is>
      </c>
      <c r="Q62" s="1132">
        <f>IF(B62="","",IFERROR(INDEX(OCC_TABLE_DESC,MATCH(B62,OCC_TABLE_CODE,0)),"Unrecognized code"))</f>
        <v/>
      </c>
    </row>
    <row r="63">
      <c r="A63" s="1225" t="inlineStr">
        <is>
          <t>P060</t>
        </is>
      </c>
      <c r="B63" s="695" t="n">
        <v>407</v>
      </c>
      <c r="C63" s="696" t="inlineStr">
        <is>
          <t>R0100104</t>
        </is>
      </c>
      <c r="D63" s="1226" t="inlineStr">
        <is>
          <t>312 Kew West</t>
        </is>
      </c>
      <c r="E63" s="1225" t="inlineStr">
        <is>
          <t>Aurora</t>
        </is>
      </c>
      <c r="F63" s="1225" t="inlineStr">
        <is>
          <t>CO</t>
        </is>
      </c>
      <c r="G63" s="1225" t="inlineStr">
        <is>
          <t>Industrial</t>
        </is>
      </c>
      <c r="H63" s="1226" t="inlineStr">
        <is>
          <t>Multi-Tenant Industrial 407</t>
        </is>
      </c>
      <c r="I63" s="1225" t="n"/>
      <c r="J63" s="1225" t="n"/>
      <c r="K63" s="1225" t="n"/>
      <c r="L63" s="1225" t="inlineStr">
        <is>
          <t>R0100104</t>
        </is>
      </c>
      <c r="M63" s="1225" t="n"/>
      <c r="N63" s="1226" t="inlineStr">
        <is>
          <t>08_2025 Review – owner actual P&amp;L</t>
        </is>
      </c>
      <c r="O63" s="1225" t="inlineStr">
        <is>
          <t>2026-06-02</t>
        </is>
      </c>
      <c r="P63" s="1226" t="inlineStr">
        <is>
          <t>Actual 2023+2024; SF not confirmed</t>
        </is>
      </c>
      <c r="Q63" s="1132">
        <f>IF(B63="","",IFERROR(INDEX(OCC_TABLE_DESC,MATCH(B63,OCC_TABLE_CODE,0)),"Unrecognized code"))</f>
        <v/>
      </c>
    </row>
    <row r="64">
      <c r="A64" s="699" t="inlineStr">
        <is>
          <t>P061</t>
        </is>
      </c>
      <c r="B64" s="695" t="n">
        <v>584</v>
      </c>
      <c r="C64" s="696" t="inlineStr">
        <is>
          <t>R0083935</t>
        </is>
      </c>
      <c r="D64" s="1194" t="inlineStr">
        <is>
          <t>20101 E 36th Ave (RK Industries)</t>
        </is>
      </c>
      <c r="E64" s="699" t="inlineStr">
        <is>
          <t>Aurora</t>
        </is>
      </c>
      <c r="F64" s="699" t="inlineStr">
        <is>
          <t>CO</t>
        </is>
      </c>
      <c r="G64" s="699" t="inlineStr">
        <is>
          <t>Industrial</t>
        </is>
      </c>
      <c r="H64" s="1194" t="inlineStr">
        <is>
          <t>Mega Warehouse NNN</t>
        </is>
      </c>
      <c r="I64" s="699" t="n"/>
      <c r="J64" s="699" t="n">
        <v>278538</v>
      </c>
      <c r="K64" s="699" t="n"/>
      <c r="L64" s="699" t="inlineStr">
        <is>
          <t>R0083935</t>
        </is>
      </c>
      <c r="M64" s="699" t="inlineStr">
        <is>
          <t>RK Industries</t>
        </is>
      </c>
      <c r="N64" s="1194" t="inlineStr">
        <is>
          <t>08_2025 Review – CBRE income statement</t>
        </is>
      </c>
      <c r="O64" s="699" t="inlineStr">
        <is>
          <t>2026-06-02</t>
        </is>
      </c>
      <c r="P64" s="1194" t="inlineStr">
        <is>
          <t>Single-tenant NNN; 2024 partial data; rent $4.47/SF NNN</t>
        </is>
      </c>
      <c r="Q64" s="1132">
        <f>IF(B64="","",IFERROR(INDEX(OCC_TABLE_DESC,MATCH(B64,OCC_TABLE_CODE,0)),"Unrecognized code"))</f>
        <v/>
      </c>
    </row>
    <row r="65">
      <c r="A65" s="1225" t="inlineStr">
        <is>
          <t>P062</t>
        </is>
      </c>
      <c r="B65" s="695" t="n">
        <v>407</v>
      </c>
      <c r="C65" s="696" t="inlineStr">
        <is>
          <t>R0200721</t>
        </is>
      </c>
      <c r="D65" s="1226" t="inlineStr">
        <is>
          <t>3420 N Lisbon St</t>
        </is>
      </c>
      <c r="E65" s="1225" t="inlineStr">
        <is>
          <t>Aurora</t>
        </is>
      </c>
      <c r="F65" s="1225" t="inlineStr">
        <is>
          <t>CO</t>
        </is>
      </c>
      <c r="G65" s="1225" t="inlineStr">
        <is>
          <t>Industrial</t>
        </is>
      </c>
      <c r="H65" s="1226" t="inlineStr">
        <is>
          <t>Single-Tenant Industrial NNN</t>
        </is>
      </c>
      <c r="I65" s="1225" t="n">
        <v>2019</v>
      </c>
      <c r="J65" s="1225" t="n">
        <v>36212</v>
      </c>
      <c r="K65" s="1225" t="n"/>
      <c r="L65" s="1225" t="inlineStr">
        <is>
          <t>R0200721</t>
        </is>
      </c>
      <c r="M65" s="1225" t="inlineStr">
        <is>
          <t>Cameron Ashley Bldg Products</t>
        </is>
      </c>
      <c r="N65" s="1226" t="inlineStr">
        <is>
          <t>08_2025 Review – rent roll</t>
        </is>
      </c>
      <c r="O65" s="1225" t="inlineStr">
        <is>
          <t>2026-06-02</t>
        </is>
      </c>
      <c r="P65" s="1226" t="inlineStr">
        <is>
          <t>NNN lease thru 12/31/2028; rent only; tenant pays all opex</t>
        </is>
      </c>
      <c r="Q65" s="1132">
        <f>IF(B65="","",IFERROR(INDEX(OCC_TABLE_DESC,MATCH(B65,OCC_TABLE_CODE,0)),"Unrecognized code"))</f>
        <v/>
      </c>
    </row>
    <row r="66">
      <c r="A66" s="699" t="inlineStr">
        <is>
          <t>P063</t>
        </is>
      </c>
      <c r="B66" s="695" t="n">
        <v>344</v>
      </c>
      <c r="C66" s="696" t="inlineStr">
        <is>
          <t>R0040581</t>
        </is>
      </c>
      <c r="D66" s="1194" t="inlineStr">
        <is>
          <t>2090 E 104th Ave</t>
        </is>
      </c>
      <c r="E66" s="699" t="inlineStr">
        <is>
          <t>Thornton</t>
        </is>
      </c>
      <c r="F66" s="699" t="inlineStr">
        <is>
          <t>CO</t>
        </is>
      </c>
      <c r="G66" s="699" t="inlineStr">
        <is>
          <t>Office</t>
        </is>
      </c>
      <c r="H66" s="1194" t="inlineStr">
        <is>
          <t>Multi-Tenant Office</t>
        </is>
      </c>
      <c r="I66" s="699" t="n"/>
      <c r="J66" s="699" t="n">
        <v>19764</v>
      </c>
      <c r="K66" s="699" t="n"/>
      <c r="L66" s="699" t="inlineStr">
        <is>
          <t>R0040581</t>
        </is>
      </c>
      <c r="M66" s="699" t="n"/>
      <c r="N66" s="1194" t="inlineStr">
        <is>
          <t>08_2025 Review – owner P&amp;L</t>
        </is>
      </c>
      <c r="O66" s="699" t="inlineStr">
        <is>
          <t>2026-06-02</t>
        </is>
      </c>
      <c r="P66" s="1194" t="inlineStr">
        <is>
          <t>Actual 2023+2024; 11 suites</t>
        </is>
      </c>
      <c r="Q66" s="1132">
        <f>IF(B66="","",IFERROR(INDEX(OCC_TABLE_DESC,MATCH(B66,OCC_TABLE_CODE,0)),"Unrecognized code"))</f>
        <v/>
      </c>
    </row>
    <row r="67">
      <c r="A67" s="1225" t="inlineStr">
        <is>
          <t>P064</t>
        </is>
      </c>
      <c r="B67" s="695" t="n">
        <v>344</v>
      </c>
      <c r="C67" s="696" t="inlineStr">
        <is>
          <t>R0050977</t>
        </is>
      </c>
      <c r="D67" s="1226" t="inlineStr">
        <is>
          <t>9351 Grant St</t>
        </is>
      </c>
      <c r="E67" s="1225" t="inlineStr">
        <is>
          <t>Thornton</t>
        </is>
      </c>
      <c r="F67" s="1225" t="inlineStr">
        <is>
          <t>CO</t>
        </is>
      </c>
      <c r="G67" s="1225" t="inlineStr">
        <is>
          <t>Office</t>
        </is>
      </c>
      <c r="H67" s="1226" t="inlineStr">
        <is>
          <t>Multi-Tenant Office</t>
        </is>
      </c>
      <c r="I67" s="1225" t="n"/>
      <c r="J67" s="1225" t="n"/>
      <c r="K67" s="1225" t="n"/>
      <c r="L67" s="1225" t="inlineStr">
        <is>
          <t>R0050977</t>
        </is>
      </c>
      <c r="M67" s="1225" t="inlineStr">
        <is>
          <t>Crown Real Estate Group</t>
        </is>
      </c>
      <c r="N67" s="1226" t="inlineStr">
        <is>
          <t>08_2025 Review – owner P&amp;L</t>
        </is>
      </c>
      <c r="O67" s="1225" t="inlineStr">
        <is>
          <t>2026-06-02</t>
        </is>
      </c>
      <c r="P67" s="1226" t="inlineStr">
        <is>
          <t>Actual 2023; SF not stated; large property</t>
        </is>
      </c>
      <c r="Q67" s="1132">
        <f>IF(B67="","",IFERROR(INDEX(OCC_TABLE_DESC,MATCH(B67,OCC_TABLE_CODE,0)),"Unrecognized code"))</f>
        <v/>
      </c>
    </row>
    <row r="68">
      <c r="A68" s="699" t="inlineStr">
        <is>
          <t>P065</t>
        </is>
      </c>
      <c r="B68" s="695" t="n">
        <v>344</v>
      </c>
      <c r="C68" s="696" t="inlineStr">
        <is>
          <t>R0069041</t>
        </is>
      </c>
      <c r="D68" s="1194" t="inlineStr">
        <is>
          <t>7475 Dakin St (Turnpike Tower)</t>
        </is>
      </c>
      <c r="E68" s="699" t="inlineStr">
        <is>
          <t>Denver</t>
        </is>
      </c>
      <c r="F68" s="699" t="inlineStr">
        <is>
          <t>CO</t>
        </is>
      </c>
      <c r="G68" s="699" t="inlineStr">
        <is>
          <t>Office</t>
        </is>
      </c>
      <c r="H68" s="1194" t="inlineStr">
        <is>
          <t>Multi-Tenant Office</t>
        </is>
      </c>
      <c r="I68" s="699" t="n"/>
      <c r="J68" s="699" t="n">
        <v>114843</v>
      </c>
      <c r="K68" s="699" t="n"/>
      <c r="L68" s="699" t="inlineStr">
        <is>
          <t>R0069041</t>
        </is>
      </c>
      <c r="M68" s="699" t="n"/>
      <c r="N68" s="1194" t="inlineStr">
        <is>
          <t>08_2025 Review – owner P&amp;L</t>
        </is>
      </c>
      <c r="O68" s="699" t="inlineStr">
        <is>
          <t>2026-06-02</t>
        </is>
      </c>
      <c r="P68" s="1194" t="inlineStr">
        <is>
          <t>Actual 2023+2024; 87.7% occ; NNN/Modified leases</t>
        </is>
      </c>
      <c r="Q68" s="1132">
        <f>IF(B68="","",IFERROR(INDEX(OCC_TABLE_DESC,MATCH(B68,OCC_TABLE_CODE,0)),"Unrecognized code"))</f>
        <v/>
      </c>
    </row>
    <row r="69">
      <c r="A69" s="1225" t="inlineStr">
        <is>
          <t>P066</t>
        </is>
      </c>
      <c r="B69" s="695" t="n">
        <v>344</v>
      </c>
      <c r="C69" s="696" t="inlineStr">
        <is>
          <t>R0079409</t>
        </is>
      </c>
      <c r="D69" s="1226" t="inlineStr">
        <is>
          <t>6401 E 72nd Ave</t>
        </is>
      </c>
      <c r="E69" s="1225" t="inlineStr">
        <is>
          <t>Commerce City</t>
        </is>
      </c>
      <c r="F69" s="1225" t="inlineStr">
        <is>
          <t>CO</t>
        </is>
      </c>
      <c r="G69" s="1225" t="inlineStr">
        <is>
          <t>Office</t>
        </is>
      </c>
      <c r="H69" s="1226" t="inlineStr">
        <is>
          <t>Multi-Tenant Office</t>
        </is>
      </c>
      <c r="I69" s="1225" t="n"/>
      <c r="J69" s="1225" t="n">
        <v>8218</v>
      </c>
      <c r="K69" s="1225" t="n"/>
      <c r="L69" s="1225" t="inlineStr">
        <is>
          <t>R0079409</t>
        </is>
      </c>
      <c r="M69" s="1225" t="n"/>
      <c r="N69" s="1226" t="inlineStr">
        <is>
          <t>08_2025 Review – owner P&amp;L</t>
        </is>
      </c>
      <c r="O69" s="1225" t="inlineStr">
        <is>
          <t>2026-06-02</t>
        </is>
      </c>
      <c r="P69" s="1226" t="inlineStr">
        <is>
          <t>Actual 2023; 9 tenants; small multi-tenant office</t>
        </is>
      </c>
      <c r="Q69" s="1132">
        <f>IF(B69="","",IFERROR(INDEX(OCC_TABLE_DESC,MATCH(B69,OCC_TABLE_CODE,0)),"Unrecognized code"))</f>
        <v/>
      </c>
    </row>
    <row r="70">
      <c r="A70" s="699" t="inlineStr">
        <is>
          <t>P067</t>
        </is>
      </c>
      <c r="B70" s="695" t="n">
        <v>344</v>
      </c>
      <c r="C70" s="696" t="inlineStr">
        <is>
          <t>R0189338</t>
        </is>
      </c>
      <c r="D70" s="1194" t="inlineStr">
        <is>
          <t>203 Telluride St</t>
        </is>
      </c>
      <c r="E70" s="699" t="inlineStr">
        <is>
          <t>Aurora</t>
        </is>
      </c>
      <c r="F70" s="699" t="inlineStr">
        <is>
          <t>CO</t>
        </is>
      </c>
      <c r="G70" s="699" t="inlineStr">
        <is>
          <t>Office</t>
        </is>
      </c>
      <c r="H70" s="1194" t="inlineStr">
        <is>
          <t>Multi-Tenant Office</t>
        </is>
      </c>
      <c r="I70" s="699" t="n"/>
      <c r="J70" s="699" t="n"/>
      <c r="K70" s="699" t="n"/>
      <c r="L70" s="699" t="inlineStr">
        <is>
          <t>R0189338</t>
        </is>
      </c>
      <c r="M70" s="699" t="n"/>
      <c r="N70" s="1194" t="inlineStr">
        <is>
          <t>08_2025 Review – owner P&amp;L</t>
        </is>
      </c>
      <c r="O70" s="699" t="inlineStr">
        <is>
          <t>2026-06-02</t>
        </is>
      </c>
      <c r="P70" s="1194" t="inlineStr">
        <is>
          <t>Actual 2023+2024; SF not stated</t>
        </is>
      </c>
      <c r="Q70" s="1132">
        <f>IF(B70="","",IFERROR(INDEX(OCC_TABLE_DESC,MATCH(B70,OCC_TABLE_CODE,0)),"Unrecognized code"))</f>
        <v/>
      </c>
    </row>
    <row r="71">
      <c r="A71" s="1225" t="inlineStr">
        <is>
          <t>P068</t>
        </is>
      </c>
      <c r="B71" s="695" t="n">
        <v>344</v>
      </c>
      <c r="C71" s="696" t="inlineStr">
        <is>
          <t>R0193830</t>
        </is>
      </c>
      <c r="D71" s="1226" t="inlineStr">
        <is>
          <t>Justice Center Office Plaza</t>
        </is>
      </c>
      <c r="E71" s="1225" t="inlineStr">
        <is>
          <t>Denver</t>
        </is>
      </c>
      <c r="F71" s="1225" t="inlineStr">
        <is>
          <t>CO</t>
        </is>
      </c>
      <c r="G71" s="1225" t="inlineStr">
        <is>
          <t>Office</t>
        </is>
      </c>
      <c r="H71" s="1226" t="inlineStr">
        <is>
          <t>Multi-Tenant Office NNN</t>
        </is>
      </c>
      <c r="I71" s="1225" t="n"/>
      <c r="J71" s="1225" t="n">
        <v>41979</v>
      </c>
      <c r="K71" s="1225" t="n"/>
      <c r="L71" s="1225" t="inlineStr">
        <is>
          <t>R0193830</t>
        </is>
      </c>
      <c r="M71" s="1225" t="n"/>
      <c r="N71" s="1226" t="inlineStr">
        <is>
          <t>08_2025 Review – owner P&amp;L</t>
        </is>
      </c>
      <c r="O71" s="1225" t="inlineStr">
        <is>
          <t>2026-06-02</t>
        </is>
      </c>
      <c r="P71" s="1226" t="inlineStr">
        <is>
          <t>Actual 2023+2024; govt tenants; 100% occ; NNN leases</t>
        </is>
      </c>
      <c r="Q71" s="1132">
        <f>IF(B71="","",IFERROR(INDEX(OCC_TABLE_DESC,MATCH(B71,OCC_TABLE_CODE,0)),"Unrecognized code"))</f>
        <v/>
      </c>
    </row>
    <row r="72">
      <c r="A72" s="699" t="inlineStr">
        <is>
          <t>P069</t>
        </is>
      </c>
      <c r="B72" s="695" t="n">
        <v>210</v>
      </c>
      <c r="C72" s="696" t="inlineStr">
        <is>
          <t>R0098223</t>
        </is>
      </c>
      <c r="D72" s="1194" t="inlineStr">
        <is>
          <t>Washington Commerce Center</t>
        </is>
      </c>
      <c r="E72" s="699" t="inlineStr">
        <is>
          <t>Commerce City</t>
        </is>
      </c>
      <c r="F72" s="699" t="inlineStr">
        <is>
          <t>CO</t>
        </is>
      </c>
      <c r="G72" s="699" t="inlineStr">
        <is>
          <t>Office/Industrial</t>
        </is>
      </c>
      <c r="H72" s="1194" t="inlineStr">
        <is>
          <t>Multi-Tenant Office/Industrial</t>
        </is>
      </c>
      <c r="I72" s="699" t="n"/>
      <c r="J72" s="699" t="n">
        <v>278538</v>
      </c>
      <c r="K72" s="699" t="n"/>
      <c r="L72" s="699" t="inlineStr">
        <is>
          <t>R0098223</t>
        </is>
      </c>
      <c r="M72" s="699" t="n"/>
      <c r="N72" s="1194" t="inlineStr">
        <is>
          <t>08_2025 Review – owner P&amp;L</t>
        </is>
      </c>
      <c r="O72" s="699" t="inlineStr">
        <is>
          <t>2026-06-02</t>
        </is>
      </c>
      <c r="P72" s="1194" t="inlineStr">
        <is>
          <t>Actual 2023+2024; SF est; opex very low – likely tenant-pay NNN</t>
        </is>
      </c>
      <c r="Q72" s="1132">
        <f>IF(B72="","",IFERROR(INDEX(OCC_TABLE_DESC,MATCH(B72,OCC_TABLE_CODE,0)),"Unrecognized code"))</f>
        <v/>
      </c>
    </row>
    <row r="73">
      <c r="A73" s="1225" t="inlineStr">
        <is>
          <t>P070</t>
        </is>
      </c>
      <c r="B73" s="695" t="n">
        <v>210</v>
      </c>
      <c r="C73" s="696" t="inlineStr">
        <is>
          <t>R0084242</t>
        </is>
      </c>
      <c r="D73" s="1226" t="inlineStr">
        <is>
          <t>Upland Dist Ctr I (Bldg 1 bt46274)</t>
        </is>
      </c>
      <c r="E73" s="1225" t="inlineStr">
        <is>
          <t>Aurora</t>
        </is>
      </c>
      <c r="F73" s="1225" t="inlineStr">
        <is>
          <t>CO</t>
        </is>
      </c>
      <c r="G73" s="1225" t="inlineStr">
        <is>
          <t>Industrial</t>
        </is>
      </c>
      <c r="H73" s="1226" t="inlineStr">
        <is>
          <t>Multi-Tenant Industrial NNN</t>
        </is>
      </c>
      <c r="I73" s="1225" t="n"/>
      <c r="J73" s="1225" t="n"/>
      <c r="K73" s="1225" t="n"/>
      <c r="L73" s="1225" t="inlineStr">
        <is>
          <t>R0084242</t>
        </is>
      </c>
      <c r="M73" s="1225" t="inlineStr">
        <is>
          <t>Link Logistics</t>
        </is>
      </c>
      <c r="N73" s="1226" t="inlineStr">
        <is>
          <t>08_2025 Review – Link Logistics actual P&amp;L</t>
        </is>
      </c>
      <c r="O73" s="1225" t="inlineStr">
        <is>
          <t>2026-06-02</t>
        </is>
      </c>
      <c r="P73" s="1226" t="inlineStr">
        <is>
          <t>Actual accrual 2023+2024; NNN reimbursable structure</t>
        </is>
      </c>
      <c r="Q73" s="1132">
        <f>IF(B73="","",IFERROR(INDEX(OCC_TABLE_DESC,MATCH(B73,OCC_TABLE_CODE,0)),"Unrecognized code"))</f>
        <v/>
      </c>
    </row>
    <row r="74">
      <c r="A74" s="699" t="inlineStr">
        <is>
          <t>P071</t>
        </is>
      </c>
      <c r="B74" s="695" t="n">
        <v>210</v>
      </c>
      <c r="C74" s="696" t="inlineStr">
        <is>
          <t>R0084243</t>
        </is>
      </c>
      <c r="D74" s="1194" t="inlineStr">
        <is>
          <t>Upland Dist Ctr I (Bldg 2 bt46275)</t>
        </is>
      </c>
      <c r="E74" s="699" t="inlineStr">
        <is>
          <t>Aurora</t>
        </is>
      </c>
      <c r="F74" s="699" t="inlineStr">
        <is>
          <t>CO</t>
        </is>
      </c>
      <c r="G74" s="699" t="inlineStr">
        <is>
          <t>Industrial</t>
        </is>
      </c>
      <c r="H74" s="1194" t="inlineStr">
        <is>
          <t>Multi-Tenant Industrial NNN</t>
        </is>
      </c>
      <c r="I74" s="699" t="n"/>
      <c r="J74" s="699" t="n"/>
      <c r="K74" s="699" t="n"/>
      <c r="L74" s="699" t="inlineStr">
        <is>
          <t>R0084243</t>
        </is>
      </c>
      <c r="M74" s="699" t="inlineStr">
        <is>
          <t>Link Logistics</t>
        </is>
      </c>
      <c r="N74" s="1194" t="inlineStr">
        <is>
          <t>08_2025 Review – Link Logistics actual P&amp;L</t>
        </is>
      </c>
      <c r="O74" s="699" t="inlineStr">
        <is>
          <t>2026-06-02</t>
        </is>
      </c>
      <c r="P74" s="1194" t="inlineStr">
        <is>
          <t>Actual accrual 2023+2024</t>
        </is>
      </c>
      <c r="Q74" s="1132">
        <f>IF(B74="","",IFERROR(INDEX(OCC_TABLE_DESC,MATCH(B74,OCC_TABLE_CODE,0)),"Unrecognized code"))</f>
        <v/>
      </c>
    </row>
    <row r="75">
      <c r="A75" s="1225" t="inlineStr">
        <is>
          <t>P072</t>
        </is>
      </c>
      <c r="B75" s="695" t="n">
        <v>210</v>
      </c>
      <c r="C75" s="696" t="inlineStr">
        <is>
          <t>R0084244</t>
        </is>
      </c>
      <c r="D75" s="1226" t="inlineStr">
        <is>
          <t>Upland Dist Ctr I (Bldg 3 bt46276)</t>
        </is>
      </c>
      <c r="E75" s="1225" t="inlineStr">
        <is>
          <t>Aurora</t>
        </is>
      </c>
      <c r="F75" s="1225" t="inlineStr">
        <is>
          <t>CO</t>
        </is>
      </c>
      <c r="G75" s="1225" t="inlineStr">
        <is>
          <t>Industrial</t>
        </is>
      </c>
      <c r="H75" s="1226" t="inlineStr">
        <is>
          <t>Multi-Tenant Industrial NNN</t>
        </is>
      </c>
      <c r="I75" s="1225" t="n"/>
      <c r="J75" s="1225" t="n"/>
      <c r="K75" s="1225" t="n"/>
      <c r="L75" s="1225" t="inlineStr">
        <is>
          <t>R0084244</t>
        </is>
      </c>
      <c r="M75" s="1225" t="inlineStr">
        <is>
          <t>Link Logistics</t>
        </is>
      </c>
      <c r="N75" s="1226" t="inlineStr">
        <is>
          <t>08_2025 Review – Link Logistics actual P&amp;L</t>
        </is>
      </c>
      <c r="O75" s="1225" t="inlineStr">
        <is>
          <t>2026-06-02</t>
        </is>
      </c>
      <c r="P75" s="1226" t="inlineStr">
        <is>
          <t>2023 only; large warehouse; notable vacancy/free rent period</t>
        </is>
      </c>
      <c r="Q75" s="1132">
        <f>IF(B75="","",IFERROR(INDEX(OCC_TABLE_DESC,MATCH(B75,OCC_TABLE_CODE,0)),"Unrecognized code"))</f>
        <v/>
      </c>
    </row>
    <row r="76">
      <c r="A76" s="699" t="inlineStr">
        <is>
          <t>P073</t>
        </is>
      </c>
      <c r="B76" s="695" t="n">
        <v>210</v>
      </c>
      <c r="C76" s="696" t="inlineStr">
        <is>
          <t>R0084247</t>
        </is>
      </c>
      <c r="D76" s="1194" t="inlineStr">
        <is>
          <t>13802 E 33rd Place</t>
        </is>
      </c>
      <c r="E76" s="699" t="inlineStr">
        <is>
          <t>Aurora</t>
        </is>
      </c>
      <c r="F76" s="699" t="inlineStr">
        <is>
          <t>CO</t>
        </is>
      </c>
      <c r="G76" s="699" t="inlineStr">
        <is>
          <t>Industrial</t>
        </is>
      </c>
      <c r="H76" s="1194" t="inlineStr">
        <is>
          <t>Multi-Tenant Industrial NNN</t>
        </is>
      </c>
      <c r="I76" s="699" t="n"/>
      <c r="J76" s="699" t="n"/>
      <c r="K76" s="699" t="n"/>
      <c r="L76" s="699" t="inlineStr">
        <is>
          <t>R0084247</t>
        </is>
      </c>
      <c r="M76" s="699" t="inlineStr">
        <is>
          <t>Link Logistics</t>
        </is>
      </c>
      <c r="N76" s="1194" t="inlineStr">
        <is>
          <t>08_2025 Review – Link Logistics actual P&amp;L</t>
        </is>
      </c>
      <c r="O76" s="699" t="inlineStr">
        <is>
          <t>2026-06-02</t>
        </is>
      </c>
      <c r="P76" s="1194" t="inlineStr">
        <is>
          <t>Actual accrual 2023+2024</t>
        </is>
      </c>
      <c r="Q76" s="1132">
        <f>IF(B76="","",IFERROR(INDEX(OCC_TABLE_DESC,MATCH(B76,OCC_TABLE_CODE,0)),"Unrecognized code"))</f>
        <v/>
      </c>
    </row>
    <row r="77">
      <c r="A77" s="1225" t="inlineStr">
        <is>
          <t>P074</t>
        </is>
      </c>
      <c r="B77" s="695" t="n">
        <v>210</v>
      </c>
      <c r="C77" s="696" t="inlineStr">
        <is>
          <t>R0084248</t>
        </is>
      </c>
      <c r="D77" s="1226" t="inlineStr">
        <is>
          <t>14002 E 33rd Place</t>
        </is>
      </c>
      <c r="E77" s="1225" t="inlineStr">
        <is>
          <t>Aurora</t>
        </is>
      </c>
      <c r="F77" s="1225" t="inlineStr">
        <is>
          <t>CO</t>
        </is>
      </c>
      <c r="G77" s="1225" t="inlineStr">
        <is>
          <t>Industrial</t>
        </is>
      </c>
      <c r="H77" s="1226" t="inlineStr">
        <is>
          <t>Multi-Tenant Industrial NNN</t>
        </is>
      </c>
      <c r="I77" s="1225" t="n"/>
      <c r="J77" s="1225" t="n"/>
      <c r="K77" s="1225" t="n"/>
      <c r="L77" s="1225" t="inlineStr">
        <is>
          <t>R0084248</t>
        </is>
      </c>
      <c r="M77" s="1225" t="inlineStr">
        <is>
          <t>Link Logistics</t>
        </is>
      </c>
      <c r="N77" s="1226" t="inlineStr">
        <is>
          <t>08_2025 Review – Link Logistics actual P&amp;L</t>
        </is>
      </c>
      <c r="O77" s="1225" t="inlineStr">
        <is>
          <t>2026-06-02</t>
        </is>
      </c>
      <c r="P77" s="1226" t="inlineStr">
        <is>
          <t>Actual accrual 2023+2024; 2023 RE tax net of $53k refund</t>
        </is>
      </c>
      <c r="Q77" s="1132">
        <f>IF(B77="","",IFERROR(INDEX(OCC_TABLE_DESC,MATCH(B77,OCC_TABLE_CODE,0)),"Unrecognized code"))</f>
        <v/>
      </c>
    </row>
    <row r="78">
      <c r="A78" s="699" t="inlineStr">
        <is>
          <t>P075</t>
        </is>
      </c>
      <c r="B78" s="695" t="n">
        <v>210</v>
      </c>
      <c r="C78" s="696" t="inlineStr">
        <is>
          <t>R0084250</t>
        </is>
      </c>
      <c r="D78" s="1194" t="inlineStr">
        <is>
          <t>3250 Abilene Street</t>
        </is>
      </c>
      <c r="E78" s="699" t="inlineStr">
        <is>
          <t>Aurora</t>
        </is>
      </c>
      <c r="F78" s="699" t="inlineStr">
        <is>
          <t>CO</t>
        </is>
      </c>
      <c r="G78" s="699" t="inlineStr">
        <is>
          <t>Industrial</t>
        </is>
      </c>
      <c r="H78" s="1194" t="inlineStr">
        <is>
          <t>Multi-Tenant Industrial NNN</t>
        </is>
      </c>
      <c r="I78" s="699" t="n"/>
      <c r="J78" s="699" t="n"/>
      <c r="K78" s="699" t="n"/>
      <c r="L78" s="699" t="inlineStr">
        <is>
          <t>R0084250</t>
        </is>
      </c>
      <c r="M78" s="699" t="inlineStr">
        <is>
          <t>Link Logistics</t>
        </is>
      </c>
      <c r="N78" s="1194" t="inlineStr">
        <is>
          <t>08_2025 Review – Link Logistics actual P&amp;L</t>
        </is>
      </c>
      <c r="O78" s="699" t="inlineStr">
        <is>
          <t>2026-06-02</t>
        </is>
      </c>
      <c r="P78" s="1194" t="inlineStr">
        <is>
          <t>2024 tenant turnover; base rent dropped $787k→$407k; 2023 more stable</t>
        </is>
      </c>
      <c r="Q78" s="1132">
        <f>IF(B78="","",IFERROR(INDEX(OCC_TABLE_DESC,MATCH(B78,OCC_TABLE_CODE,0)),"Unrecognized code"))</f>
        <v/>
      </c>
    </row>
    <row r="79">
      <c r="A79" s="1225" t="inlineStr">
        <is>
          <t>P076</t>
        </is>
      </c>
      <c r="B79" s="695" t="n">
        <v>210</v>
      </c>
      <c r="C79" s="696" t="inlineStr">
        <is>
          <t>R0084253</t>
        </is>
      </c>
      <c r="D79" s="1226" t="inlineStr">
        <is>
          <t>14509 E 33rd Place (bt46265)</t>
        </is>
      </c>
      <c r="E79" s="1225" t="inlineStr">
        <is>
          <t>Aurora</t>
        </is>
      </c>
      <c r="F79" s="1225" t="inlineStr">
        <is>
          <t>CO</t>
        </is>
      </c>
      <c r="G79" s="1225" t="inlineStr">
        <is>
          <t>Industrial</t>
        </is>
      </c>
      <c r="H79" s="1226" t="inlineStr">
        <is>
          <t>Multi-Tenant Industrial NNN</t>
        </is>
      </c>
      <c r="I79" s="1225" t="n"/>
      <c r="J79" s="1225" t="n"/>
      <c r="K79" s="1225" t="n"/>
      <c r="L79" s="1225" t="inlineStr">
        <is>
          <t>R0084253</t>
        </is>
      </c>
      <c r="M79" s="1225" t="inlineStr">
        <is>
          <t>Link Logistics</t>
        </is>
      </c>
      <c r="N79" s="1226" t="inlineStr">
        <is>
          <t>08_2025 Review – Link Logistics actual P&amp;L</t>
        </is>
      </c>
      <c r="O79" s="1225" t="inlineStr">
        <is>
          <t>2026-06-02</t>
        </is>
      </c>
      <c r="P79" s="1226" t="inlineStr">
        <is>
          <t>Actual 2023+2024; 3-bldg campus R0084253</t>
        </is>
      </c>
      <c r="Q79" s="1132">
        <f>IF(B79="","",IFERROR(INDEX(OCC_TABLE_DESC,MATCH(B79,OCC_TABLE_CODE,0)),"Unrecognized code"))</f>
        <v/>
      </c>
    </row>
    <row r="80">
      <c r="A80" s="699" t="inlineStr">
        <is>
          <t>P077</t>
        </is>
      </c>
      <c r="B80" s="695" t="n">
        <v>210</v>
      </c>
      <c r="C80" s="696" t="inlineStr">
        <is>
          <t>R0084253</t>
        </is>
      </c>
      <c r="D80" s="1194" t="inlineStr">
        <is>
          <t>14704 E 33rd Place (bt46266)</t>
        </is>
      </c>
      <c r="E80" s="699" t="inlineStr">
        <is>
          <t>Aurora</t>
        </is>
      </c>
      <c r="F80" s="699" t="inlineStr">
        <is>
          <t>CO</t>
        </is>
      </c>
      <c r="G80" s="699" t="inlineStr">
        <is>
          <t>Industrial</t>
        </is>
      </c>
      <c r="H80" s="1194" t="inlineStr">
        <is>
          <t>Multi-Tenant Industrial NNN</t>
        </is>
      </c>
      <c r="I80" s="699" t="n"/>
      <c r="J80" s="699" t="n"/>
      <c r="K80" s="699" t="n"/>
      <c r="L80" s="699" t="inlineStr">
        <is>
          <t>R0084253</t>
        </is>
      </c>
      <c r="M80" s="699" t="inlineStr">
        <is>
          <t>Link Logistics</t>
        </is>
      </c>
      <c r="N80" s="1194" t="inlineStr">
        <is>
          <t>08_2025 Review – Link Logistics actual P&amp;L</t>
        </is>
      </c>
      <c r="O80" s="699" t="inlineStr">
        <is>
          <t>2026-06-02</t>
        </is>
      </c>
      <c r="P80" s="1194" t="inlineStr">
        <is>
          <t>Actual 2024; partial vacancy (electric/gas vacancy costs); same parcel R0084253</t>
        </is>
      </c>
      <c r="Q80" s="1132">
        <f>IF(B80="","",IFERROR(INDEX(OCC_TABLE_DESC,MATCH(B80,OCC_TABLE_CODE,0)),"Unrecognized code"))</f>
        <v/>
      </c>
    </row>
    <row r="81">
      <c r="A81" s="1225" t="inlineStr">
        <is>
          <t>P078</t>
        </is>
      </c>
      <c r="B81" s="695" t="n">
        <v>210</v>
      </c>
      <c r="C81" s="696" t="inlineStr">
        <is>
          <t>R0084253</t>
        </is>
      </c>
      <c r="D81" s="1226" t="inlineStr">
        <is>
          <t>14705 E 33rd Place (bt46267)</t>
        </is>
      </c>
      <c r="E81" s="1225" t="inlineStr">
        <is>
          <t>Aurora</t>
        </is>
      </c>
      <c r="F81" s="1225" t="inlineStr">
        <is>
          <t>CO</t>
        </is>
      </c>
      <c r="G81" s="1225" t="inlineStr">
        <is>
          <t>Industrial</t>
        </is>
      </c>
      <c r="H81" s="1226" t="inlineStr">
        <is>
          <t>Multi-Tenant Industrial NNN</t>
        </is>
      </c>
      <c r="I81" s="1225" t="n"/>
      <c r="J81" s="1225" t="n"/>
      <c r="K81" s="1225" t="n"/>
      <c r="L81" s="1225" t="inlineStr">
        <is>
          <t>R0084253</t>
        </is>
      </c>
      <c r="M81" s="1225" t="inlineStr">
        <is>
          <t>Link Logistics</t>
        </is>
      </c>
      <c r="N81" s="1226" t="inlineStr">
        <is>
          <t>08_2025 Review – Link Logistics actual P&amp;L</t>
        </is>
      </c>
      <c r="O81" s="1225" t="inlineStr">
        <is>
          <t>2026-06-02</t>
        </is>
      </c>
      <c r="P81" s="1226" t="inlineStr">
        <is>
          <t>Actual 2024; partial lease-up/free rent; same parcel R0084253</t>
        </is>
      </c>
      <c r="Q81" s="1132">
        <f>IF(B81="","",IFERROR(INDEX(OCC_TABLE_DESC,MATCH(B81,OCC_TABLE_CODE,0)),"Unrecognized code"))</f>
        <v/>
      </c>
    </row>
    <row r="82">
      <c r="A82" s="699" t="inlineStr">
        <is>
          <t>P079</t>
        </is>
      </c>
      <c r="B82" s="695" t="n">
        <v>584</v>
      </c>
      <c r="C82" s="696" t="inlineStr">
        <is>
          <t>R0086214</t>
        </is>
      </c>
      <c r="D82" s="1194" t="inlineStr">
        <is>
          <t>Aurora Warehouse (Polar br40666)</t>
        </is>
      </c>
      <c r="E82" s="699" t="inlineStr">
        <is>
          <t>Aurora</t>
        </is>
      </c>
      <c r="F82" s="699" t="inlineStr">
        <is>
          <t>CO</t>
        </is>
      </c>
      <c r="G82" s="699" t="inlineStr">
        <is>
          <t>Industrial</t>
        </is>
      </c>
      <c r="H82" s="1194" t="inlineStr">
        <is>
          <t>Mega Warehouse NNN</t>
        </is>
      </c>
      <c r="I82" s="699" t="n"/>
      <c r="J82" s="699" t="n"/>
      <c r="K82" s="699" t="n"/>
      <c r="L82" s="699" t="inlineStr">
        <is>
          <t>R0086214</t>
        </is>
      </c>
      <c r="M82" s="699" t="inlineStr">
        <is>
          <t>Link Logistics</t>
        </is>
      </c>
      <c r="N82" s="1194" t="inlineStr">
        <is>
          <t>08_2025 Review – Link Logistics actual P&amp;L</t>
        </is>
      </c>
      <c r="O82" s="699" t="inlineStr">
        <is>
          <t>2026-06-02</t>
        </is>
      </c>
      <c r="P82" s="1194" t="inlineStr">
        <is>
          <t>Actual 2023+2024; very large — RE tax $2.2-2.4M; revenue $6.5-7M</t>
        </is>
      </c>
      <c r="Q82" s="1132">
        <f>IF(B82="","",IFERROR(INDEX(OCC_TABLE_DESC,MATCH(B82,OCC_TABLE_CODE,0)),"Unrecognized code"))</f>
        <v/>
      </c>
    </row>
    <row r="83">
      <c r="A83" s="1225" t="inlineStr">
        <is>
          <t>P080</t>
        </is>
      </c>
      <c r="B83" s="695" t="n">
        <v>407</v>
      </c>
      <c r="C83" s="696" t="inlineStr">
        <is>
          <t>R0194277</t>
        </is>
      </c>
      <c r="D83" s="1226" t="inlineStr">
        <is>
          <t>8251 Quintero St</t>
        </is>
      </c>
      <c r="E83" s="1225" t="inlineStr">
        <is>
          <t>Commerce City</t>
        </is>
      </c>
      <c r="F83" s="1225" t="inlineStr">
        <is>
          <t>CO</t>
        </is>
      </c>
      <c r="G83" s="1225" t="inlineStr">
        <is>
          <t>Industrial</t>
        </is>
      </c>
      <c r="H83" s="1226" t="inlineStr">
        <is>
          <t>Industrial Warehouse NNN</t>
        </is>
      </c>
      <c r="I83" s="1225" t="n"/>
      <c r="J83" s="1225" t="n"/>
      <c r="K83" s="1225" t="n"/>
      <c r="L83" s="1225" t="inlineStr">
        <is>
          <t>R0194277</t>
        </is>
      </c>
      <c r="M83" s="1225" t="inlineStr">
        <is>
          <t>Becknell Industrial</t>
        </is>
      </c>
      <c r="N83" s="1226" t="inlineStr">
        <is>
          <t>08_2025 Review – Becknell Industrial actual P&amp;L</t>
        </is>
      </c>
      <c r="O83" s="1225" t="inlineStr">
        <is>
          <t>2026-06-02</t>
        </is>
      </c>
      <c r="P83" s="1226" t="inlineStr">
        <is>
          <t>Actual accrual 2023+2024; large RE taxes ~$2M; snow $151-188k</t>
        </is>
      </c>
      <c r="Q83" s="1132">
        <f>IF(B83="","",IFERROR(INDEX(OCC_TABLE_DESC,MATCH(B83,OCC_TABLE_CODE,0)),"Unrecognized code"))</f>
        <v/>
      </c>
    </row>
    <row r="84">
      <c r="A84" s="699" t="inlineStr">
        <is>
          <t>P081</t>
        </is>
      </c>
      <c r="B84" s="695" t="n">
        <v>407</v>
      </c>
      <c r="C84" s="696" t="inlineStr">
        <is>
          <t>R0198176</t>
        </is>
      </c>
      <c r="D84" s="1194" t="inlineStr">
        <is>
          <t>21800 E 19th Ave</t>
        </is>
      </c>
      <c r="E84" s="699" t="inlineStr">
        <is>
          <t>Aurora</t>
        </is>
      </c>
      <c r="F84" s="699" t="inlineStr">
        <is>
          <t>CO</t>
        </is>
      </c>
      <c r="G84" s="699" t="inlineStr">
        <is>
          <t>Industrial</t>
        </is>
      </c>
      <c r="H84" s="1194" t="inlineStr">
        <is>
          <t>Industrial Warehouse NNN</t>
        </is>
      </c>
      <c r="I84" s="699" t="n"/>
      <c r="J84" s="699" t="n"/>
      <c r="K84" s="699" t="n"/>
      <c r="L84" s="699" t="inlineStr">
        <is>
          <t>R0198176</t>
        </is>
      </c>
      <c r="M84" s="699" t="inlineStr">
        <is>
          <t>Becknell Industrial</t>
        </is>
      </c>
      <c r="N84" s="1194" t="inlineStr">
        <is>
          <t>08_2025 Review – Becknell Industrial actual P&amp;L</t>
        </is>
      </c>
      <c r="O84" s="699" t="inlineStr">
        <is>
          <t>2026-06-02</t>
        </is>
      </c>
      <c r="P84" s="1194" t="inlineStr">
        <is>
          <t>Actual accrual 2023+2024; absolute NNN – tenant pays RE taxes directly</t>
        </is>
      </c>
      <c r="Q84" s="1132">
        <f>IF(B84="","",IFERROR(INDEX(OCC_TABLE_DESC,MATCH(B84,OCC_TABLE_CODE,0)),"Unrecognized code"))</f>
        <v/>
      </c>
    </row>
    <row r="85">
      <c r="A85" s="1225" t="inlineStr">
        <is>
          <t>P082</t>
        </is>
      </c>
      <c r="B85" s="695" t="n">
        <v>407</v>
      </c>
      <c r="C85" s="696" t="inlineStr">
        <is>
          <t>R0201311</t>
        </is>
      </c>
      <c r="D85" s="1226" t="inlineStr">
        <is>
          <t>Ascent Commerce Center Bldg I</t>
        </is>
      </c>
      <c r="E85" s="1225" t="inlineStr">
        <is>
          <t>Aurora</t>
        </is>
      </c>
      <c r="F85" s="1225" t="inlineStr">
        <is>
          <t>CO</t>
        </is>
      </c>
      <c r="G85" s="1225" t="inlineStr">
        <is>
          <t>Industrial</t>
        </is>
      </c>
      <c r="H85" s="1226" t="inlineStr">
        <is>
          <t>Industrial Warehouse NNN</t>
        </is>
      </c>
      <c r="I85" s="1225" t="n"/>
      <c r="J85" s="1225" t="n"/>
      <c r="K85" s="1225" t="n"/>
      <c r="L85" s="1225" t="inlineStr">
        <is>
          <t>R0201311</t>
        </is>
      </c>
      <c r="M85" s="1225" t="inlineStr">
        <is>
          <t>Ambrose Property Group</t>
        </is>
      </c>
      <c r="N85" s="1226" t="inlineStr">
        <is>
          <t>08_2025 Review – Ambrose Property Group actual P&amp;L</t>
        </is>
      </c>
      <c r="O85" s="1225" t="inlineStr">
        <is>
          <t>2026-06-02</t>
        </is>
      </c>
      <c r="P85" s="1226" t="inlineStr">
        <is>
          <t>Q4 2024 only (Oct–Dec); partial-year/lease-up; 3-bldg campus</t>
        </is>
      </c>
      <c r="Q85" s="1132">
        <f>IF(B85="","",IFERROR(INDEX(OCC_TABLE_DESC,MATCH(B85,OCC_TABLE_CODE,0)),"Unrecognized code"))</f>
        <v/>
      </c>
    </row>
    <row r="86">
      <c r="A86" s="699" t="inlineStr">
        <is>
          <t>P083</t>
        </is>
      </c>
      <c r="B86" s="695" t="n">
        <v>407</v>
      </c>
      <c r="C86" s="696" t="inlineStr">
        <is>
          <t>R0201311</t>
        </is>
      </c>
      <c r="D86" s="1194" t="inlineStr">
        <is>
          <t>Ascent Commerce Center Bldg II</t>
        </is>
      </c>
      <c r="E86" s="699" t="inlineStr">
        <is>
          <t>Aurora</t>
        </is>
      </c>
      <c r="F86" s="699" t="inlineStr">
        <is>
          <t>CO</t>
        </is>
      </c>
      <c r="G86" s="699" t="inlineStr">
        <is>
          <t>Industrial</t>
        </is>
      </c>
      <c r="H86" s="1194" t="inlineStr">
        <is>
          <t>Industrial Warehouse NNN</t>
        </is>
      </c>
      <c r="I86" s="699" t="n"/>
      <c r="J86" s="699" t="n"/>
      <c r="K86" s="699" t="n"/>
      <c r="L86" s="699" t="inlineStr">
        <is>
          <t>R0201311</t>
        </is>
      </c>
      <c r="M86" s="699" t="inlineStr">
        <is>
          <t>Ambrose Property Group</t>
        </is>
      </c>
      <c r="N86" s="1194" t="inlineStr">
        <is>
          <t>08_2025 Review – Ambrose Property Group actual P&amp;L</t>
        </is>
      </c>
      <c r="O86" s="699" t="inlineStr">
        <is>
          <t>2026-06-02</t>
        </is>
      </c>
      <c r="P86" s="1194" t="inlineStr">
        <is>
          <t>Q4 2024 only (Oct–Dec); partial-year/lease-up; same campus R0201311</t>
        </is>
      </c>
      <c r="Q86" s="1132">
        <f>IF(B86="","",IFERROR(INDEX(OCC_TABLE_DESC,MATCH(B86,OCC_TABLE_CODE,0)),"Unrecognized code"))</f>
        <v/>
      </c>
    </row>
    <row r="87">
      <c r="A87" s="1225" t="inlineStr">
        <is>
          <t>P084</t>
        </is>
      </c>
      <c r="B87" s="695" t="n">
        <v>407</v>
      </c>
      <c r="C87" s="696" t="inlineStr">
        <is>
          <t>R0201311</t>
        </is>
      </c>
      <c r="D87" s="1226" t="inlineStr">
        <is>
          <t>Ascent Commerce Center Bldg III</t>
        </is>
      </c>
      <c r="E87" s="1225" t="inlineStr">
        <is>
          <t>Aurora</t>
        </is>
      </c>
      <c r="F87" s="1225" t="inlineStr">
        <is>
          <t>CO</t>
        </is>
      </c>
      <c r="G87" s="1225" t="inlineStr">
        <is>
          <t>Industrial</t>
        </is>
      </c>
      <c r="H87" s="1226" t="inlineStr">
        <is>
          <t>Industrial Warehouse NNN</t>
        </is>
      </c>
      <c r="I87" s="1225" t="n"/>
      <c r="J87" s="1225" t="n"/>
      <c r="K87" s="1225" t="n"/>
      <c r="L87" s="1225" t="inlineStr">
        <is>
          <t>R0201311</t>
        </is>
      </c>
      <c r="M87" s="1225" t="inlineStr">
        <is>
          <t>Ambrose Property Group</t>
        </is>
      </c>
      <c r="N87" s="1226" t="inlineStr">
        <is>
          <t>08_2025 Review – Ambrose Property Group actual P&amp;L</t>
        </is>
      </c>
      <c r="O87" s="1225" t="inlineStr">
        <is>
          <t>2026-06-02</t>
        </is>
      </c>
      <c r="P87" s="1226" t="inlineStr">
        <is>
          <t>Q4 2024 only (Oct–Dec); lease-up/negative NOI; same campus R0201311</t>
        </is>
      </c>
      <c r="Q87" s="1132">
        <f>IF(B87="","",IFERROR(INDEX(OCC_TABLE_DESC,MATCH(B87,OCC_TABLE_CODE,0)),"Unrecognized code"))</f>
        <v/>
      </c>
    </row>
    <row r="88">
      <c r="A88" s="1225" t="inlineStr">
        <is>
          <t>P085</t>
        </is>
      </c>
      <c r="B88" s="695" t="n">
        <v>210</v>
      </c>
      <c r="C88" s="696" t="inlineStr">
        <is>
          <t>R0093018</t>
        </is>
      </c>
      <c r="D88" s="1226" t="inlineStr">
        <is>
          <t>3350 Peoria St</t>
        </is>
      </c>
      <c r="E88" s="1225" t="inlineStr">
        <is>
          <t>Denver</t>
        </is>
      </c>
      <c r="F88" s="1225" t="inlineStr">
        <is>
          <t>CO</t>
        </is>
      </c>
      <c r="G88" s="1225" t="inlineStr">
        <is>
          <t>Industrial</t>
        </is>
      </c>
      <c r="H88" s="1226" t="inlineStr">
        <is>
          <t>Office/Industrial Flex</t>
        </is>
      </c>
      <c r="I88" s="1225" t="n"/>
      <c r="J88" s="1225" t="n">
        <v>33057</v>
      </c>
      <c r="K88" s="1225" t="n"/>
      <c r="L88" s="1225" t="inlineStr">
        <is>
          <t>R0093018</t>
        </is>
      </c>
      <c r="M88" s="1225" t="n"/>
      <c r="N88" s="1226" t="inlineStr">
        <is>
          <t>Lease, Rent or Op Income info – owner P&amp;L 2024</t>
        </is>
      </c>
      <c r="O88" s="1225" t="inlineStr">
        <is>
          <t>2026-06-03</t>
        </is>
      </c>
      <c r="P88" s="1226" t="inlineStr">
        <is>
          <t>Office/Industrial flex; owner-submitted 2024 P&amp;L</t>
        </is>
      </c>
      <c r="Q88" s="1132">
        <f>IF(B88="","",IFERROR(INDEX(OCC_TABLE_DESC,MATCH(B88,OCC_TABLE_CODE,0)),"Unrecognized code"))</f>
        <v/>
      </c>
    </row>
    <row r="89">
      <c r="A89" s="699" t="inlineStr">
        <is>
          <t>P086</t>
        </is>
      </c>
      <c r="B89" s="695" t="n">
        <v>406</v>
      </c>
      <c r="C89" s="696" t="inlineStr">
        <is>
          <t>R0210684</t>
        </is>
      </c>
      <c r="D89" s="1194" t="inlineStr">
        <is>
          <t>14200 E Moncrieff Place</t>
        </is>
      </c>
      <c r="E89" s="699" t="inlineStr">
        <is>
          <t>Aurora</t>
        </is>
      </c>
      <c r="F89" s="699" t="inlineStr">
        <is>
          <t>CO</t>
        </is>
      </c>
      <c r="G89" s="699" t="inlineStr">
        <is>
          <t>Industrial</t>
        </is>
      </c>
      <c r="H89" s="1194" t="inlineStr">
        <is>
          <t>Industrial Warehouse</t>
        </is>
      </c>
      <c r="I89" s="699" t="n">
        <v>1980</v>
      </c>
      <c r="J89" s="699" t="n">
        <v>233808</v>
      </c>
      <c r="K89" s="699" t="n"/>
      <c r="L89" s="699" t="inlineStr">
        <is>
          <t>R0210684</t>
        </is>
      </c>
      <c r="M89" s="699" t="n"/>
      <c r="N89" s="1194" t="inlineStr">
        <is>
          <t>Lease, Rent or Op Income info – owner P&amp;L 2023+2024</t>
        </is>
      </c>
      <c r="O89" s="699" t="inlineStr">
        <is>
          <t>2026-06-03</t>
        </is>
      </c>
      <c r="P89" s="1194" t="inlineStr">
        <is>
          <t>Large industrial; 1980 YOC; 233,808 SF</t>
        </is>
      </c>
      <c r="Q89" s="1132">
        <f>IF(B89="","",IFERROR(INDEX(OCC_TABLE_DESC,MATCH(B89,OCC_TABLE_CODE,0)),"Unrecognized code"))</f>
        <v/>
      </c>
    </row>
    <row r="90">
      <c r="A90" s="1225" t="inlineStr">
        <is>
          <t>P087</t>
        </is>
      </c>
      <c r="B90" s="695" t="n">
        <v>407</v>
      </c>
      <c r="C90" s="696" t="inlineStr">
        <is>
          <t>R0102985</t>
        </is>
      </c>
      <c r="D90" s="1226" t="inlineStr">
        <is>
          <t>5861 Tennyson St</t>
        </is>
      </c>
      <c r="E90" s="1225" t="inlineStr">
        <is>
          <t>Arvada</t>
        </is>
      </c>
      <c r="F90" s="1225" t="inlineStr">
        <is>
          <t>CO</t>
        </is>
      </c>
      <c r="G90" s="1225" t="inlineStr">
        <is>
          <t>Industrial</t>
        </is>
      </c>
      <c r="H90" s="1226" t="inlineStr">
        <is>
          <t>Industrial NNN</t>
        </is>
      </c>
      <c r="I90" s="1225" t="n">
        <v>2000</v>
      </c>
      <c r="J90" s="1225" t="n">
        <v>80640</v>
      </c>
      <c r="K90" s="1225" t="n"/>
      <c r="L90" s="1225" t="inlineStr">
        <is>
          <t>R0102985</t>
        </is>
      </c>
      <c r="M90" s="1225" t="n"/>
      <c r="N90" s="1226" t="inlineStr">
        <is>
          <t>Lease, Rent or Op Income info – owner P&amp;L 2023+2024</t>
        </is>
      </c>
      <c r="O90" s="1225" t="inlineStr">
        <is>
          <t>2026-06-03</t>
        </is>
      </c>
      <c r="P90" s="1226" t="inlineStr">
        <is>
          <t>NNN; landlord expenses only (tenant pays RE tax); 2000 YOC</t>
        </is>
      </c>
      <c r="Q90" s="1132">
        <f>IF(B90="","",IFERROR(INDEX(OCC_TABLE_DESC,MATCH(B90,OCC_TABLE_CODE,0)),"Unrecognized code"))</f>
        <v/>
      </c>
    </row>
    <row r="91">
      <c r="A91" s="699" t="inlineStr">
        <is>
          <t>P088</t>
        </is>
      </c>
      <c r="B91" s="695" t="n">
        <v>210</v>
      </c>
      <c r="C91" s="696" t="inlineStr">
        <is>
          <t>R0090973</t>
        </is>
      </c>
      <c r="D91" s="1194" t="inlineStr">
        <is>
          <t>3975 E 56th Ave</t>
        </is>
      </c>
      <c r="E91" s="699" t="inlineStr">
        <is>
          <t>Commerce City</t>
        </is>
      </c>
      <c r="F91" s="699" t="inlineStr">
        <is>
          <t>CO</t>
        </is>
      </c>
      <c r="G91" s="699" t="inlineStr">
        <is>
          <t>Industrial</t>
        </is>
      </c>
      <c r="H91" s="1194" t="inlineStr">
        <is>
          <t>Multi-Tenant Industrial</t>
        </is>
      </c>
      <c r="I91" s="699" t="n"/>
      <c r="J91" s="699" t="n">
        <v>42299</v>
      </c>
      <c r="K91" s="699" t="n"/>
      <c r="L91" s="699" t="inlineStr">
        <is>
          <t>R0090973</t>
        </is>
      </c>
      <c r="M91" s="699" t="n"/>
      <c r="N91" s="1194" t="inlineStr">
        <is>
          <t>Lease, Rent or Op Income info – owner P&amp;L 2024</t>
        </is>
      </c>
      <c r="O91" s="699" t="inlineStr">
        <is>
          <t>2026-06-03</t>
        </is>
      </c>
      <c r="P91" s="1194" t="inlineStr">
        <is>
          <t>Sand Creek Business Park; 2024 only</t>
        </is>
      </c>
      <c r="Q91" s="1132">
        <f>IF(B91="","",IFERROR(INDEX(OCC_TABLE_DESC,MATCH(B91,OCC_TABLE_CODE,0)),"Unrecognized code"))</f>
        <v/>
      </c>
    </row>
    <row r="92">
      <c r="A92" s="1225" t="inlineStr">
        <is>
          <t>P089</t>
        </is>
      </c>
      <c r="B92" s="695" t="n">
        <v>407</v>
      </c>
      <c r="C92" s="696" t="inlineStr">
        <is>
          <t>R0180951</t>
        </is>
      </c>
      <c r="D92" s="1226" t="inlineStr">
        <is>
          <t>(Address TBD – R0180951)</t>
        </is>
      </c>
      <c r="E92" s="1225" t="inlineStr">
        <is>
          <t>Adams County</t>
        </is>
      </c>
      <c r="F92" s="1225" t="inlineStr">
        <is>
          <t>CO</t>
        </is>
      </c>
      <c r="G92" s="1225" t="inlineStr">
        <is>
          <t>Industrial</t>
        </is>
      </c>
      <c r="H92" s="1226" t="inlineStr">
        <is>
          <t>Industrial NNN</t>
        </is>
      </c>
      <c r="I92" s="1225" t="n">
        <v>2016</v>
      </c>
      <c r="J92" s="1225" t="n">
        <v>122106</v>
      </c>
      <c r="K92" s="1225" t="n"/>
      <c r="L92" s="1225" t="inlineStr">
        <is>
          <t>R0180951</t>
        </is>
      </c>
      <c r="M92" s="1225" t="n"/>
      <c r="N92" s="1226" t="inlineStr">
        <is>
          <t>WH Expenses 2026-Working File – NNN landlord expenses 2023+2024</t>
        </is>
      </c>
      <c r="O92" s="1225" t="inlineStr">
        <is>
          <t>2026-06-03</t>
        </is>
      </c>
      <c r="P92" s="1226" t="inlineStr">
        <is>
          <t>NNN; landlord RE Tax, Ins, Utils, CAM only; 2023+2024</t>
        </is>
      </c>
      <c r="Q92" s="1132">
        <f>IF(B92="","",IFERROR(INDEX(OCC_TABLE_DESC,MATCH(B92,OCC_TABLE_CODE,0)),"Unrecognized code"))</f>
        <v/>
      </c>
    </row>
    <row r="93">
      <c r="A93" s="699" t="inlineStr">
        <is>
          <t>P090</t>
        </is>
      </c>
      <c r="B93" s="695" t="n">
        <v>407</v>
      </c>
      <c r="C93" s="696" t="inlineStr">
        <is>
          <t>R0110351</t>
        </is>
      </c>
      <c r="D93" s="1194" t="inlineStr">
        <is>
          <t>(Address TBD – R0110351)</t>
        </is>
      </c>
      <c r="E93" s="699" t="inlineStr">
        <is>
          <t>Adams County</t>
        </is>
      </c>
      <c r="F93" s="699" t="inlineStr">
        <is>
          <t>CO</t>
        </is>
      </c>
      <c r="G93" s="699" t="inlineStr">
        <is>
          <t>Industrial</t>
        </is>
      </c>
      <c r="H93" s="1194" t="inlineStr">
        <is>
          <t>Industrial NNN</t>
        </is>
      </c>
      <c r="I93" s="699" t="n">
        <v>2000</v>
      </c>
      <c r="J93" s="699" t="n">
        <v>85200</v>
      </c>
      <c r="K93" s="699" t="n"/>
      <c r="L93" s="699" t="inlineStr">
        <is>
          <t>R0110351</t>
        </is>
      </c>
      <c r="M93" s="699" t="n"/>
      <c r="N93" s="1194" t="inlineStr">
        <is>
          <t>WH Expenses 2026-Working File – NNN landlord expenses 2023+2024</t>
        </is>
      </c>
      <c r="O93" s="699" t="inlineStr">
        <is>
          <t>2026-06-03</t>
        </is>
      </c>
      <c r="P93" s="1194" t="inlineStr">
        <is>
          <t>NNN; landlord RE Tax, Ins, CAM only; 2023+2024</t>
        </is>
      </c>
      <c r="Q93" s="1132">
        <f>IF(B93="","",IFERROR(INDEX(OCC_TABLE_DESC,MATCH(B93,OCC_TABLE_CODE,0)),"Unrecognized code"))</f>
        <v/>
      </c>
    </row>
    <row r="94">
      <c r="A94" s="1225" t="inlineStr">
        <is>
          <t>P091</t>
        </is>
      </c>
      <c r="B94" s="695" t="n">
        <v>584</v>
      </c>
      <c r="C94" s="696" t="inlineStr">
        <is>
          <t>R0198530</t>
        </is>
      </c>
      <c r="D94" s="1226" t="inlineStr">
        <is>
          <t>(Address TBD – R0198530)</t>
        </is>
      </c>
      <c r="E94" s="1225" t="inlineStr">
        <is>
          <t>Adams County</t>
        </is>
      </c>
      <c r="F94" s="1225" t="inlineStr">
        <is>
          <t>CO</t>
        </is>
      </c>
      <c r="G94" s="1225" t="inlineStr">
        <is>
          <t>Industrial</t>
        </is>
      </c>
      <c r="H94" s="1226" t="inlineStr">
        <is>
          <t>Industrial Mega-Warehouse NNN</t>
        </is>
      </c>
      <c r="I94" s="1225" t="n">
        <v>2019</v>
      </c>
      <c r="J94" s="1225" t="n">
        <v>555867</v>
      </c>
      <c r="K94" s="1225" t="n"/>
      <c r="L94" s="1225" t="inlineStr">
        <is>
          <t>R0198530</t>
        </is>
      </c>
      <c r="M94" s="1225" t="n"/>
      <c r="N94" s="1226" t="inlineStr">
        <is>
          <t>WH Expenses 2026-Working File – NNN landlord expenses 2024</t>
        </is>
      </c>
      <c r="O94" s="1225" t="inlineStr">
        <is>
          <t>2026-06-03</t>
        </is>
      </c>
      <c r="P94" s="1226" t="inlineStr">
        <is>
          <t>Mega-warehouse; NNN; landlord RE Tax, Ins, Mgmt only; 2024</t>
        </is>
      </c>
      <c r="Q94" s="1132">
        <f>IF(B94="","",IFERROR(INDEX(OCC_TABLE_DESC,MATCH(B94,OCC_TABLE_CODE,0)),"Unrecognized code"))</f>
        <v/>
      </c>
    </row>
    <row r="95">
      <c r="A95" s="699" t="inlineStr">
        <is>
          <t>P092</t>
        </is>
      </c>
      <c r="B95" s="695" t="n">
        <v>447</v>
      </c>
      <c r="C95" s="696" t="inlineStr">
        <is>
          <t>R0180834</t>
        </is>
      </c>
      <c r="D95" s="1194" t="inlineStr">
        <is>
          <t>(Address TBD – R0180834)</t>
        </is>
      </c>
      <c r="E95" s="699" t="inlineStr">
        <is>
          <t>Adams County</t>
        </is>
      </c>
      <c r="F95" s="699" t="inlineStr">
        <is>
          <t>CO</t>
        </is>
      </c>
      <c r="G95" s="699" t="inlineStr">
        <is>
          <t>Industrial</t>
        </is>
      </c>
      <c r="H95" s="1194" t="inlineStr">
        <is>
          <t>Cold Storage/Mega-Warehouse NNN</t>
        </is>
      </c>
      <c r="I95" s="699" t="n">
        <v>2012</v>
      </c>
      <c r="J95" s="699" t="n">
        <v>550031</v>
      </c>
      <c r="K95" s="699" t="n"/>
      <c r="L95" s="699" t="inlineStr">
        <is>
          <t>R0180834</t>
        </is>
      </c>
      <c r="M95" s="699" t="n"/>
      <c r="N95" s="1194" t="inlineStr">
        <is>
          <t>WH Expenses 2026-Working File – NNN landlord expenses 2024</t>
        </is>
      </c>
      <c r="O95" s="699" t="inlineStr">
        <is>
          <t>2026-06-03</t>
        </is>
      </c>
      <c r="P95" s="1194" t="inlineStr">
        <is>
          <t>Cold storage/mega-WH; NNN; 2012 YOC; landlord RE Tax, Ins, Mgmt only</t>
        </is>
      </c>
      <c r="Q95" s="1132">
        <f>IF(B95="","",IFERROR(INDEX(OCC_TABLE_DESC,MATCH(B95,OCC_TABLE_CODE,0)),"Unrecognized code"))</f>
        <v/>
      </c>
    </row>
    <row r="96">
      <c r="A96" s="1225" t="inlineStr">
        <is>
          <t>P093</t>
        </is>
      </c>
      <c r="B96" s="695" t="n">
        <v>407</v>
      </c>
      <c r="C96" s="696" t="inlineStr">
        <is>
          <t>R0114792</t>
        </is>
      </c>
      <c r="D96" s="1226" t="inlineStr">
        <is>
          <t>(Address TBD – R0114792)</t>
        </is>
      </c>
      <c r="E96" s="1225" t="inlineStr">
        <is>
          <t>Adams County</t>
        </is>
      </c>
      <c r="F96" s="1225" t="inlineStr">
        <is>
          <t>CO</t>
        </is>
      </c>
      <c r="G96" s="1225" t="inlineStr">
        <is>
          <t>Industrial</t>
        </is>
      </c>
      <c r="H96" s="1226" t="inlineStr">
        <is>
          <t>Industrial NNN</t>
        </is>
      </c>
      <c r="I96" s="1225" t="n">
        <v>1998</v>
      </c>
      <c r="J96" s="1225" t="n">
        <v>64501</v>
      </c>
      <c r="K96" s="1225" t="n"/>
      <c r="L96" s="1225" t="inlineStr">
        <is>
          <t>R0114792</t>
        </is>
      </c>
      <c r="M96" s="1225" t="n"/>
      <c r="N96" s="1226" t="inlineStr">
        <is>
          <t>WH Expenses 2026-Working File – NNN landlord expenses 2023+2024</t>
        </is>
      </c>
      <c r="O96" s="1225" t="inlineStr">
        <is>
          <t>2026-06-03</t>
        </is>
      </c>
      <c r="P96" s="1226" t="inlineStr">
        <is>
          <t>NNN; landlord RE Tax, Ins, Mgmt only; 1998 YOC</t>
        </is>
      </c>
      <c r="Q96" s="1132">
        <f>IF(B96="","",IFERROR(INDEX(OCC_TABLE_DESC,MATCH(B96,OCC_TABLE_CODE,0)),"Unrecognized code"))</f>
        <v/>
      </c>
    </row>
    <row r="97">
      <c r="A97" s="1225" t="inlineStr">
        <is>
          <t>P094</t>
        </is>
      </c>
      <c r="B97" s="695" t="n">
        <v>407</v>
      </c>
      <c r="C97" s="696" t="inlineStr">
        <is>
          <t>R0104122</t>
        </is>
      </c>
      <c r="D97" s="1226" t="inlineStr">
        <is>
          <t>550 W 53rd Pl</t>
        </is>
      </c>
      <c r="E97" s="1225" t="inlineStr">
        <is>
          <t>Denver</t>
        </is>
      </c>
      <c r="F97" s="1225" t="inlineStr">
        <is>
          <t>CO</t>
        </is>
      </c>
      <c r="G97" s="1225" t="inlineStr">
        <is>
          <t>Industrial</t>
        </is>
      </c>
      <c r="H97" s="1226" t="inlineStr">
        <is>
          <t>Distribution Warehouse</t>
        </is>
      </c>
      <c r="I97" s="1225" t="n">
        <v>1971</v>
      </c>
      <c r="J97" s="1225" t="n">
        <v>127900</v>
      </c>
      <c r="K97" s="1225" t="n"/>
      <c r="L97" s="1225" t="inlineStr">
        <is>
          <t>R0104122</t>
        </is>
      </c>
      <c r="M97" s="1225" t="n"/>
      <c r="N97" s="1226" t="inlineStr">
        <is>
          <t>Brad-CBOE 2024 – appraiser income approach pro forma</t>
        </is>
      </c>
      <c r="O97" s="1225" t="inlineStr">
        <is>
          <t>2026-06-03</t>
        </is>
      </c>
      <c r="P97" s="1226" t="inlineStr">
        <is>
          <t>YOC 1971 (remod 1999/eff 1985); 127,900 SF; 2024 CBOE abatement income approach</t>
        </is>
      </c>
      <c r="Q97" s="1132">
        <f>IF(B97="","",IFERROR(INDEX(OCC_TABLE_DESC,MATCH(B97,OCC_TABLE_CODE,0)),"Unrecognized code"))</f>
        <v/>
      </c>
    </row>
    <row r="98">
      <c r="A98" s="699" t="inlineStr">
        <is>
          <t>P095</t>
        </is>
      </c>
      <c r="B98" s="695" t="n">
        <v>386</v>
      </c>
      <c r="C98" s="696" t="inlineStr">
        <is>
          <t>R0086010</t>
        </is>
      </c>
      <c r="D98" s="1194" t="inlineStr">
        <is>
          <t>15413 E 18th Ave</t>
        </is>
      </c>
      <c r="E98" s="699" t="inlineStr">
        <is>
          <t>Aurora</t>
        </is>
      </c>
      <c r="F98" s="699" t="inlineStr">
        <is>
          <t>CO</t>
        </is>
      </c>
      <c r="G98" s="699" t="inlineStr">
        <is>
          <t>Self-Storage</t>
        </is>
      </c>
      <c r="H98" s="1194" t="inlineStr">
        <is>
          <t>Self-Storage</t>
        </is>
      </c>
      <c r="I98" s="699" t="n">
        <v>1984</v>
      </c>
      <c r="J98" s="699" t="n">
        <v>63989</v>
      </c>
      <c r="K98" s="699" t="n"/>
      <c r="L98" s="699" t="inlineStr">
        <is>
          <t>R0086010</t>
        </is>
      </c>
      <c r="M98" s="699" t="n"/>
      <c r="N98" s="1194" t="inlineStr">
        <is>
          <t>AXG CBOE 2024 – appraiser income approach pro forma</t>
        </is>
      </c>
      <c r="O98" s="699" t="inlineStr">
        <is>
          <t>2026-06-03</t>
        </is>
      </c>
      <c r="P98" s="1194" t="inlineStr">
        <is>
          <t>8 buildings; NRA 57,754 SF; GBA 63,989 SF; 1984 YOC</t>
        </is>
      </c>
      <c r="Q98" s="1132">
        <f>IF(B98="","",IFERROR(INDEX(OCC_TABLE_DESC,MATCH(B98,OCC_TABLE_CODE,0)),"Unrecognized code"))</f>
        <v/>
      </c>
    </row>
    <row r="99">
      <c r="A99" s="1225" t="inlineStr">
        <is>
          <t>P096</t>
        </is>
      </c>
      <c r="B99" s="695" t="n">
        <v>407</v>
      </c>
      <c r="C99" s="696" t="inlineStr">
        <is>
          <t>R0083917</t>
        </is>
      </c>
      <c r="D99" s="1226" t="inlineStr">
        <is>
          <t>14701 E 38th Ave</t>
        </is>
      </c>
      <c r="E99" s="1225" t="inlineStr">
        <is>
          <t>Aurora</t>
        </is>
      </c>
      <c r="F99" s="1225" t="inlineStr">
        <is>
          <t>CO</t>
        </is>
      </c>
      <c r="G99" s="1225" t="inlineStr">
        <is>
          <t>Industrial</t>
        </is>
      </c>
      <c r="H99" s="1226" t="inlineStr">
        <is>
          <t>Industrial Owner-User</t>
        </is>
      </c>
      <c r="I99" s="1225" t="n"/>
      <c r="J99" s="1225" t="n">
        <v>117280</v>
      </c>
      <c r="K99" s="1225" t="n"/>
      <c r="L99" s="1225" t="inlineStr">
        <is>
          <t>R0083917</t>
        </is>
      </c>
      <c r="M99" s="1225" t="n"/>
      <c r="N99" s="1226" t="inlineStr">
        <is>
          <t>MT.xlsx I&amp;E Survey 2024</t>
        </is>
      </c>
      <c r="O99" s="1225" t="inlineStr">
        <is>
          <t>2026-06-03</t>
        </is>
      </c>
      <c r="P99" s="1226" t="inlineStr">
        <is>
          <t>Owner-user; expenses may include non-RE items (flag); 117,280 SF</t>
        </is>
      </c>
      <c r="Q99" s="1132">
        <f>IF(B99="","",IFERROR(INDEX(OCC_TABLE_DESC,MATCH(B99,OCC_TABLE_CODE,0)),"Unrecognized code"))</f>
        <v/>
      </c>
    </row>
    <row r="100">
      <c r="A100" s="699" t="inlineStr">
        <is>
          <t>P097</t>
        </is>
      </c>
      <c r="B100" s="695" t="n">
        <v>210</v>
      </c>
      <c r="C100" s="696" t="inlineStr">
        <is>
          <t>R0137586</t>
        </is>
      </c>
      <c r="D100" s="1194" t="inlineStr">
        <is>
          <t>7273-7285 E 96th Ave</t>
        </is>
      </c>
      <c r="E100" s="699" t="inlineStr">
        <is>
          <t>Commerce City</t>
        </is>
      </c>
      <c r="F100" s="699" t="inlineStr">
        <is>
          <t>CO</t>
        </is>
      </c>
      <c r="G100" s="699" t="inlineStr">
        <is>
          <t>Industrial</t>
        </is>
      </c>
      <c r="H100" s="1194" t="inlineStr">
        <is>
          <t>Multi-Tenant Industrial</t>
        </is>
      </c>
      <c r="I100" s="699" t="n"/>
      <c r="J100" s="699" t="n">
        <v>57200</v>
      </c>
      <c r="K100" s="699" t="n"/>
      <c r="L100" s="699" t="inlineStr">
        <is>
          <t>R0137586</t>
        </is>
      </c>
      <c r="M100" s="699" t="n"/>
      <c r="N100" s="1194" t="inlineStr">
        <is>
          <t>MT.xlsx I&amp;E Survey 2023</t>
        </is>
      </c>
      <c r="O100" s="699" t="inlineStr">
        <is>
          <t>2026-06-03</t>
        </is>
      </c>
      <c r="P100" s="1194" t="inlineStr">
        <is>
          <t>Modified lease; 57,200 SF; 2023 survey data</t>
        </is>
      </c>
      <c r="Q100" s="1132">
        <f>IF(B100="","",IFERROR(INDEX(OCC_TABLE_DESC,MATCH(B100,OCC_TABLE_CODE,0)),"Unrecognized code"))</f>
        <v/>
      </c>
    </row>
    <row r="101">
      <c r="A101" s="1225" t="inlineStr">
        <is>
          <t>P098</t>
        </is>
      </c>
      <c r="B101" s="695" t="n">
        <v>210</v>
      </c>
      <c r="C101" s="696" t="inlineStr">
        <is>
          <t>R0187010</t>
        </is>
      </c>
      <c r="D101" s="1226" t="inlineStr">
        <is>
          <t>8020 Steele St</t>
        </is>
      </c>
      <c r="E101" s="1225" t="inlineStr">
        <is>
          <t>Denver</t>
        </is>
      </c>
      <c r="F101" s="1225" t="inlineStr">
        <is>
          <t>CO</t>
        </is>
      </c>
      <c r="G101" s="1225" t="inlineStr">
        <is>
          <t>Industrial</t>
        </is>
      </c>
      <c r="H101" s="1226" t="inlineStr">
        <is>
          <t>Industrial Modified Gross</t>
        </is>
      </c>
      <c r="I101" s="1225" t="n"/>
      <c r="J101" s="1225" t="n">
        <v>70000</v>
      </c>
      <c r="K101" s="1225" t="n"/>
      <c r="L101" s="1225" t="inlineStr">
        <is>
          <t>R0187010</t>
        </is>
      </c>
      <c r="M101" s="1225" t="n"/>
      <c r="N101" s="1226" t="inlineStr">
        <is>
          <t>MT.xlsx I&amp;E Survey 2024</t>
        </is>
      </c>
      <c r="O101" s="1225" t="inlineStr">
        <is>
          <t>2026-06-03</t>
        </is>
      </c>
      <c r="P101" s="1226" t="inlineStr">
        <is>
          <t>Modified gross; owner pays ins/R&amp;M/mgmt; tenant pays utils/trash; 70,000 SF</t>
        </is>
      </c>
      <c r="Q101" s="1132">
        <f>IF(B101="","",IFERROR(INDEX(OCC_TABLE_DESC,MATCH(B101,OCC_TABLE_CODE,0)),"Unrecognized code"))</f>
        <v/>
      </c>
    </row>
    <row r="102">
      <c r="A102" s="699" t="inlineStr">
        <is>
          <t>P099</t>
        </is>
      </c>
      <c r="B102" s="695" t="n">
        <v>210</v>
      </c>
      <c r="C102" s="696" t="inlineStr">
        <is>
          <t>R0111914</t>
        </is>
      </c>
      <c r="D102" s="1194" t="inlineStr">
        <is>
          <t>1963 Jasper St</t>
        </is>
      </c>
      <c r="E102" s="699" t="inlineStr">
        <is>
          <t>Aurora</t>
        </is>
      </c>
      <c r="F102" s="699" t="inlineStr">
        <is>
          <t>CO</t>
        </is>
      </c>
      <c r="G102" s="699" t="inlineStr">
        <is>
          <t>Industrial</t>
        </is>
      </c>
      <c r="H102" s="1194" t="inlineStr">
        <is>
          <t>Multi-Tenant Industrial Gross</t>
        </is>
      </c>
      <c r="I102" s="699" t="n"/>
      <c r="J102" s="699" t="n">
        <v>33574</v>
      </c>
      <c r="K102" s="699" t="n"/>
      <c r="L102" s="699" t="inlineStr">
        <is>
          <t>R0111914</t>
        </is>
      </c>
      <c r="M102" s="699" t="n"/>
      <c r="N102" s="1194" t="inlineStr">
        <is>
          <t>MT.xlsx I&amp;E Survey 2024</t>
        </is>
      </c>
      <c r="O102" s="699" t="inlineStr">
        <is>
          <t>2026-06-03</t>
        </is>
      </c>
      <c r="P102" s="1194" t="inlineStr">
        <is>
          <t>Gross lease; owner pays all expenses except gas/elec; 33,574 SF</t>
        </is>
      </c>
      <c r="Q102" s="1132">
        <f>IF(B102="","",IFERROR(INDEX(OCC_TABLE_DESC,MATCH(B102,OCC_TABLE_CODE,0)),"Unrecognized code"))</f>
        <v/>
      </c>
    </row>
    <row r="103">
      <c r="A103" s="1225" t="inlineStr">
        <is>
          <t>P100</t>
        </is>
      </c>
      <c r="B103" s="695" t="n">
        <v>1332</v>
      </c>
      <c r="C103" s="696" t="inlineStr">
        <is>
          <t>R0111965</t>
        </is>
      </c>
      <c r="D103" s="1226" t="inlineStr">
        <is>
          <t>12101 Grant St</t>
        </is>
      </c>
      <c r="E103" s="1225" t="inlineStr">
        <is>
          <t>Thornton</t>
        </is>
      </c>
      <c r="F103" s="1225" t="inlineStr">
        <is>
          <t>CO</t>
        </is>
      </c>
      <c r="G103" s="1225" t="inlineStr">
        <is>
          <t>Hospitality</t>
        </is>
      </c>
      <c r="H103" s="1226" t="inlineStr">
        <is>
          <t>Hotel Limited Service</t>
        </is>
      </c>
      <c r="I103" s="1225" t="n">
        <v>1998</v>
      </c>
      <c r="J103" s="1225" t="n"/>
      <c r="K103" s="1225" t="n"/>
      <c r="L103" s="1225" t="inlineStr">
        <is>
          <t>R0111965</t>
        </is>
      </c>
      <c r="M103" s="1225" t="n"/>
      <c r="N103" s="1226" t="inlineStr">
        <is>
          <t>AXG CBOE 2024 – appraiser Rushmore income approach</t>
        </is>
      </c>
      <c r="O103" s="1225" t="inlineStr">
        <is>
          <t>2026-06-03</t>
        </is>
      </c>
      <c r="P103" s="1226" t="inlineStr">
        <is>
          <t>100 rooms; 1998 YOC; 2024 CBOE; ADR $115/occ 70%</t>
        </is>
      </c>
      <c r="Q103" s="1132">
        <f>IF(B103="","",IFERROR(INDEX(OCC_TABLE_DESC,MATCH(B103,OCC_TABLE_CODE,0)),"Unrecognized code"))</f>
        <v/>
      </c>
    </row>
    <row r="104">
      <c r="A104" s="699" t="inlineStr">
        <is>
          <t>P101</t>
        </is>
      </c>
      <c r="B104" s="695" t="n">
        <v>332</v>
      </c>
      <c r="C104" s="696" t="inlineStr">
        <is>
          <t>R0202410</t>
        </is>
      </c>
      <c r="D104" s="1194" t="inlineStr">
        <is>
          <t>2556 Oswego St</t>
        </is>
      </c>
      <c r="E104" s="699" t="inlineStr">
        <is>
          <t>Aurora</t>
        </is>
      </c>
      <c r="F104" s="699" t="inlineStr">
        <is>
          <t>CO</t>
        </is>
      </c>
      <c r="G104" s="699" t="inlineStr">
        <is>
          <t>Hospitality</t>
        </is>
      </c>
      <c r="H104" s="1194" t="inlineStr">
        <is>
          <t>Hotel Full Service</t>
        </is>
      </c>
      <c r="I104" s="699" t="n">
        <v>2023</v>
      </c>
      <c r="J104" s="699" t="n"/>
      <c r="K104" s="699" t="n"/>
      <c r="L104" s="699" t="inlineStr">
        <is>
          <t>R0202410</t>
        </is>
      </c>
      <c r="M104" s="699" t="n"/>
      <c r="N104" s="1194" t="inlineStr">
        <is>
          <t>AXG CBOE 2024 – appraiser Rushmore income approach</t>
        </is>
      </c>
      <c r="O104" s="699" t="inlineStr">
        <is>
          <t>2026-06-03</t>
        </is>
      </c>
      <c r="P104" s="1194" t="inlineStr">
        <is>
          <t>227 rooms; built 2023; 2024 CBOE; ADR $140/occ 70%</t>
        </is>
      </c>
      <c r="Q104" s="1132">
        <f>IF(B104="","",IFERROR(INDEX(OCC_TABLE_DESC,MATCH(B104,OCC_TABLE_CODE,0)),"Unrecognized code"))</f>
        <v/>
      </c>
    </row>
    <row r="105">
      <c r="A105" s="1225" t="inlineStr">
        <is>
          <t>P102</t>
        </is>
      </c>
      <c r="B105" s="695" t="n">
        <v>332</v>
      </c>
      <c r="C105" s="696" t="inlineStr">
        <is>
          <t>R0024498</t>
        </is>
      </c>
      <c r="D105" s="1226" t="inlineStr">
        <is>
          <t>83 E 120th Ave</t>
        </is>
      </c>
      <c r="E105" s="1225" t="inlineStr">
        <is>
          <t>Thornton</t>
        </is>
      </c>
      <c r="F105" s="1225" t="inlineStr">
        <is>
          <t>CO</t>
        </is>
      </c>
      <c r="G105" s="1225" t="inlineStr">
        <is>
          <t>Hospitality</t>
        </is>
      </c>
      <c r="H105" s="1226" t="inlineStr">
        <is>
          <t>Hotel Full Service</t>
        </is>
      </c>
      <c r="I105" s="1225" t="n">
        <v>1984</v>
      </c>
      <c r="J105" s="1225" t="n">
        <v>114796</v>
      </c>
      <c r="K105" s="1225" t="n"/>
      <c r="L105" s="1225" t="inlineStr">
        <is>
          <t>R0024498</t>
        </is>
      </c>
      <c r="M105" s="1225" t="n"/>
      <c r="N105" s="1226" t="inlineStr">
        <is>
          <t>AXG CBOE 2024 – appraiser Rushmore income approach</t>
        </is>
      </c>
      <c r="O105" s="1225" t="inlineStr">
        <is>
          <t>2026-06-03</t>
        </is>
      </c>
      <c r="P105" s="1226" t="inlineStr">
        <is>
          <t>137 rooms; 114,796 SF GBA; 2 bldgs; 1984 YOC; ADR $142/occ 70%</t>
        </is>
      </c>
      <c r="Q105" s="1132">
        <f>IF(B105="","",IFERROR(INDEX(OCC_TABLE_DESC,MATCH(B105,OCC_TABLE_CODE,0)),"Unrecognized code"))</f>
        <v/>
      </c>
    </row>
    <row r="106">
      <c r="A106" s="699" t="inlineStr">
        <is>
          <t>P103</t>
        </is>
      </c>
      <c r="B106" s="695" t="n">
        <v>407</v>
      </c>
      <c r="C106" s="696" t="inlineStr">
        <is>
          <t>R0075212</t>
        </is>
      </c>
      <c r="D106" s="1194" t="inlineStr">
        <is>
          <t>10500 Havana Ct</t>
        </is>
      </c>
      <c r="E106" s="699" t="inlineStr">
        <is>
          <t>Commerce City</t>
        </is>
      </c>
      <c r="F106" s="699" t="inlineStr">
        <is>
          <t>CO</t>
        </is>
      </c>
      <c r="G106" s="699" t="inlineStr">
        <is>
          <t>Industrial</t>
        </is>
      </c>
      <c r="H106" s="1194" t="inlineStr">
        <is>
          <t>Industrial NNN</t>
        </is>
      </c>
      <c r="I106" s="699" t="n"/>
      <c r="J106" s="699" t="n">
        <v>30000</v>
      </c>
      <c r="K106" s="699" t="n"/>
      <c r="L106" s="699" t="inlineStr">
        <is>
          <t>R0075212</t>
        </is>
      </c>
      <c r="M106" s="699" t="n"/>
      <c r="N106" s="1194" t="inlineStr">
        <is>
          <t>MT.xlsx I&amp;E Survey 2024</t>
        </is>
      </c>
      <c r="O106" s="699" t="inlineStr">
        <is>
          <t>2026-06-03</t>
        </is>
      </c>
      <c r="P106" s="1194" t="inlineStr">
        <is>
          <t>NNN; full expense survey; 30,000 SF</t>
        </is>
      </c>
      <c r="Q106" s="1132">
        <f>IF(B106="","",IFERROR(INDEX(OCC_TABLE_DESC,MATCH(B106,OCC_TABLE_CODE,0)),"Unrecognized code"))</f>
        <v/>
      </c>
    </row>
    <row r="107">
      <c r="A107" t="inlineStr">
        <is>
          <t>P104</t>
        </is>
      </c>
      <c r="B107" s="695" t="n">
        <v>210</v>
      </c>
      <c r="C107" t="inlineStr">
        <is>
          <t>R0226379</t>
        </is>
      </c>
      <c r="D107" s="1158" t="inlineStr">
        <is>
          <t>26100 E 68th Ave</t>
        </is>
      </c>
      <c r="E107" t="inlineStr">
        <is>
          <t>Aurora</t>
        </is>
      </c>
      <c r="F107" t="inlineStr">
        <is>
          <t>CO</t>
        </is>
      </c>
      <c r="G107" t="inlineStr">
        <is>
          <t>Industrial</t>
        </is>
      </c>
      <c r="H107" s="1158" t="inlineStr">
        <is>
          <t>Industrial Multi-Tenant</t>
        </is>
      </c>
      <c r="J107" t="n">
        <v>187720</v>
      </c>
      <c r="L107" t="inlineStr">
        <is>
          <t>R0226379</t>
        </is>
      </c>
      <c r="M107" t="inlineStr">
        <is>
          <t>Green Industrial Development Group (.ptg)</t>
        </is>
      </c>
      <c r="N107" s="1158" t="inlineStr">
        <is>
          <t>Owner Income Statement 2023 &amp; 2024</t>
        </is>
      </c>
      <c r="O107" t="inlineStr">
        <is>
          <t>2026-06-03</t>
        </is>
      </c>
      <c r="P107" s="1158" t="inlineStr">
        <is>
          <t>Building 1; Filing 3 Block 1 Lot 1; CAM reimb + TBB structure; SF unknown; 2023-2024 actuals</t>
        </is>
      </c>
      <c r="Q107" s="1132">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dataValidation>
    <dataValidation sqref="E4:E107" showDropDown="0" showInputMessage="0" showErrorMessage="0" allowBlank="1" type="list">
      <formula1>"Adams County,Arvada,Aurora,Commerce City,Denver,Henderson,Northglenn,Thornton,Westminster"</formula1>
    </dataValidation>
    <dataValidation sqref="F4:F107" showDropDown="0" showInputMessage="0" showErrorMessage="0" allowBlank="1" type="list">
      <formula1>"CO,Other"</formula1>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4.xml><?xml version="1.0" encoding="utf-8"?>
<worksheet xmlns="http://schemas.openxmlformats.org/spreadsheetml/2006/main">
  <sheetPr>
    <tabColor rgb="00D97706"/>
    <outlinePr summaryBelow="1" summaryRight="1"/>
    <pageSetUpPr/>
  </sheetPr>
  <dimension ref="A1:AR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3" customWidth="1" min="13" max="13"/>
    <col width="13" customWidth="1" min="14" max="14"/>
    <col width="11" customWidth="1" min="15" max="15"/>
    <col width="13" customWidth="1" min="16" max="16"/>
    <col width="13" customWidth="1" min="17" max="17"/>
    <col width="16" customWidth="1" min="18" max="18"/>
    <col width="13" customWidth="1" min="19" max="19"/>
    <col width="22" customWidth="1" min="20" max="20"/>
    <col width="11" customWidth="1" min="21" max="21"/>
    <col width="19" customWidth="1" min="22" max="22"/>
    <col width="21" customWidth="1" min="23" max="23"/>
    <col width="25" customWidth="1" min="24" max="24"/>
    <col width="13" customWidth="1" min="25" max="25"/>
    <col width="11" customWidth="1" min="26" max="26"/>
    <col width="13" customWidth="1" min="27" max="27"/>
    <col width="13" customWidth="1" min="28" max="28"/>
    <col width="21" customWidth="1" min="29" max="29"/>
    <col width="15" customWidth="1" min="30" max="30"/>
    <col width="13" customWidth="1" min="31" max="31"/>
    <col width="17" customWidth="1" min="32" max="32"/>
    <col width="20" customWidth="1" min="33" max="33"/>
    <col width="25" customWidth="1" min="34" max="34"/>
    <col width="19" customWidth="1" min="35" max="35"/>
    <col width="25" customWidth="1" min="36" max="36"/>
    <col width="13" customWidth="1" min="37" max="37"/>
    <col width="16" customWidth="1" min="38" max="38"/>
    <col width="52" customWidth="1" min="39" max="39"/>
    <col hidden="1" width="13" customWidth="1" min="40" max="40"/>
    <col hidden="1" width="13" customWidth="1" min="41" max="41"/>
    <col width="30" customWidth="1" min="44" max="44"/>
  </cols>
  <sheetData>
    <row r="1" ht="24" customHeight="1">
      <c r="A1" s="1133" t="inlineStr">
        <is>
          <t>COMMERCIAL PROPERTY EXPENSE DATABASE ? ANNUAL DETAIL</t>
        </is>
      </c>
    </row>
    <row r="2" ht="15.95" customHeight="1">
      <c r="A2" s="1222" t="inlineStr">
        <is>
          <t>One row per property per year | All dollar figures from owner P&amp;L unless noted | $/SF = $ / Building SF</t>
        </is>
      </c>
    </row>
    <row r="3" ht="42" customHeight="1">
      <c r="A3" s="1223" t="inlineStr">
        <is>
          <t>Prop ID</t>
        </is>
      </c>
      <c r="B3" s="1131" t="inlineStr">
        <is>
          <t>Occ Code</t>
        </is>
      </c>
      <c r="C3" s="1134" t="inlineStr">
        <is>
          <t>Account #</t>
        </is>
      </c>
      <c r="D3" s="1224" t="inlineStr">
        <is>
          <t>Address</t>
        </is>
      </c>
      <c r="E3" s="1223" t="inlineStr">
        <is>
          <t>City</t>
        </is>
      </c>
      <c r="F3" s="1223" t="inlineStr">
        <is>
          <t>State</t>
        </is>
      </c>
      <c r="G3" s="1223" t="inlineStr">
        <is>
          <t>Prop Type</t>
        </is>
      </c>
      <c r="H3" s="1224" t="inlineStr">
        <is>
          <t>Subtype</t>
        </is>
      </c>
      <c r="I3" s="1223" t="inlineStr">
        <is>
          <t>Year Built</t>
        </is>
      </c>
      <c r="J3" s="1223" t="inlineStr">
        <is>
          <t>Bldg SF</t>
        </is>
      </c>
      <c r="K3" s="1223" t="inlineStr">
        <is>
          <t>Year</t>
        </is>
      </c>
      <c r="L3" s="1223" t="inlineStr">
        <is>
          <t>Gross Rental Income</t>
        </is>
      </c>
      <c r="M3" s="1223" t="inlineStr">
        <is>
          <t>Other Income</t>
        </is>
      </c>
      <c r="N3" s="1223" t="inlineStr">
        <is>
          <t>EGI</t>
        </is>
      </c>
      <c r="O3" s="1223" t="inlineStr">
        <is>
          <t>Insurance</t>
        </is>
      </c>
      <c r="P3" s="1223" t="inlineStr">
        <is>
          <t>Mgmt/Admin</t>
        </is>
      </c>
      <c r="Q3" s="1223" t="inlineStr">
        <is>
          <t>Plumbing R&amp;M</t>
        </is>
      </c>
      <c r="R3" s="1223" t="inlineStr">
        <is>
          <t>Electrical R&amp;M</t>
        </is>
      </c>
      <c r="S3" s="1223" t="inlineStr">
        <is>
          <t>Exterior R&amp;M</t>
        </is>
      </c>
      <c r="T3" s="1223" t="inlineStr">
        <is>
          <t>Fire/Life Safety R&amp;M</t>
        </is>
      </c>
      <c r="U3" s="1223" t="inlineStr">
        <is>
          <t>HVAC R&amp;M</t>
        </is>
      </c>
      <c r="V3" s="1223" t="inlineStr">
        <is>
          <t>Interior Unit R&amp;M</t>
        </is>
      </c>
      <c r="W3" s="1223" t="inlineStr">
        <is>
          <t>Interior Common R&amp;M</t>
        </is>
      </c>
      <c r="X3" s="1223" t="inlineStr">
        <is>
          <t>General Maint &amp; Repairs</t>
        </is>
      </c>
      <c r="Y3" s="1223" t="inlineStr">
        <is>
          <t>Total R&amp;M</t>
        </is>
      </c>
      <c r="Z3" s="1223" t="inlineStr">
        <is>
          <t>Trash</t>
        </is>
      </c>
      <c r="AA3" s="1223" t="inlineStr">
        <is>
          <t>Landscape</t>
        </is>
      </c>
      <c r="AB3" s="1223" t="inlineStr">
        <is>
          <t>Snow Removal</t>
        </is>
      </c>
      <c r="AC3" s="1223" t="inlineStr">
        <is>
          <t>Total Contract Svcs</t>
        </is>
      </c>
      <c r="AD3" s="1223" t="inlineStr">
        <is>
          <t>Water &amp; Sewer</t>
        </is>
      </c>
      <c r="AE3" s="1223" t="inlineStr">
        <is>
          <t>Electric</t>
        </is>
      </c>
      <c r="AF3" s="1223" t="inlineStr">
        <is>
          <t>Total Utilities</t>
        </is>
      </c>
      <c r="AG3" s="1223" t="inlineStr">
        <is>
          <t>Other/Admin (Misc)</t>
        </is>
      </c>
      <c r="AH3" s="1223" t="inlineStr">
        <is>
          <t>Total OPX excl RE Taxes</t>
        </is>
      </c>
      <c r="AI3" s="1223" t="inlineStr">
        <is>
          <t>Real Estate Taxes</t>
        </is>
      </c>
      <c r="AJ3" s="1223" t="inlineStr">
        <is>
          <t>Total OPX incl RE Taxes</t>
        </is>
      </c>
      <c r="AK3" s="1223" t="inlineStr">
        <is>
          <t>NOI</t>
        </is>
      </c>
      <c r="AL3" s="1223" t="inlineStr">
        <is>
          <t>CapEx (non-op)</t>
        </is>
      </c>
      <c r="AM3" s="1224" t="inlineStr">
        <is>
          <t>Notes</t>
        </is>
      </c>
      <c r="AN3" s="1122" t="inlineStr">
        <is>
          <t>Score (internal)</t>
        </is>
      </c>
      <c r="AO3" t="inlineStr">
        <is>
          <t>TieBreak (internal)</t>
        </is>
      </c>
      <c r="AR3" s="972" t="inlineStr">
        <is>
          <t>Occ Description (auto)</t>
        </is>
      </c>
    </row>
    <row r="4" ht="18" customHeight="1">
      <c r="A4" s="702" t="inlineStr">
        <is>
          <t>P001</t>
        </is>
      </c>
      <c r="B4" s="695" t="n">
        <v>407</v>
      </c>
      <c r="C4" s="703" t="inlineStr">
        <is>
          <t>R0157664</t>
        </is>
      </c>
      <c r="D4" s="694" t="inlineStr">
        <is>
          <t>6045 E. 76th Avenue</t>
        </is>
      </c>
      <c r="E4" s="702" t="inlineStr">
        <is>
          <t>Commerce City</t>
        </is>
      </c>
      <c r="F4" s="702" t="inlineStr">
        <is>
          <t>CO</t>
        </is>
      </c>
      <c r="G4" s="702" t="inlineStr">
        <is>
          <t>Light Industrial</t>
        </is>
      </c>
      <c r="H4" s="694" t="inlineStr">
        <is>
          <t>Distribution Warehouse</t>
        </is>
      </c>
      <c r="I4" s="704" t="n">
        <v>1988</v>
      </c>
      <c r="J4" s="704" t="n">
        <v>21000</v>
      </c>
      <c r="K4" s="704" t="n">
        <v>2021</v>
      </c>
      <c r="L4" s="705" t="n">
        <v>282764.52</v>
      </c>
      <c r="M4" s="705" t="n">
        <v>6372</v>
      </c>
      <c r="N4" s="1135" t="n">
        <v>289136.52</v>
      </c>
      <c r="O4" s="705" t="n">
        <v>4893</v>
      </c>
      <c r="P4" s="705" t="n">
        <v>0</v>
      </c>
      <c r="Q4" s="705" t="n">
        <v>1144</v>
      </c>
      <c r="R4" s="705" t="n">
        <v>0</v>
      </c>
      <c r="S4" s="705" t="n">
        <v>198.75</v>
      </c>
      <c r="T4" s="705" t="n">
        <v>0</v>
      </c>
      <c r="U4" s="705" t="n">
        <v>280</v>
      </c>
      <c r="V4" s="705" t="n">
        <v>846</v>
      </c>
      <c r="W4" s="705" t="n">
        <v>2923</v>
      </c>
      <c r="X4" s="1135" t="n">
        <v>0</v>
      </c>
      <c r="Y4" s="705" t="n">
        <v>5391.75</v>
      </c>
      <c r="Z4" s="705" t="n">
        <v>6710.19</v>
      </c>
      <c r="AA4" s="705" t="n">
        <v>3875</v>
      </c>
      <c r="AB4" s="705" t="n">
        <v>870</v>
      </c>
      <c r="AC4" s="1135" t="n">
        <v>11455.19</v>
      </c>
      <c r="AD4" s="705" t="n">
        <v>3344.39</v>
      </c>
      <c r="AE4" s="705" t="n">
        <v>648.33</v>
      </c>
      <c r="AF4" s="1135" t="n">
        <v>3992.72</v>
      </c>
      <c r="AG4" s="705" t="n">
        <v>762.49</v>
      </c>
      <c r="AH4" s="1136" t="n">
        <v>26515.14999999999</v>
      </c>
      <c r="AI4" s="1136" t="n">
        <v>48263.72</v>
      </c>
      <c r="AJ4" s="1137" t="n">
        <v>74778.87</v>
      </c>
      <c r="AK4" s="1135" t="n">
        <v>214357.65</v>
      </c>
      <c r="AL4" s="705" t="n">
        <v>2642.04</v>
      </c>
      <c r="AM4" s="694" t="inlineStr">
        <is>
          <t>2021: other income = damages $2,392 + misc $3,863 + interest $117</t>
        </is>
      </c>
      <c r="AN4">
        <f>IF(AND($B4=Subj_OccCode,Subj_BldgSF&gt;0,ABS($J4-Subj_BldgSF)&lt;=Subj_BldgSF*Subj_SizeTol),ABS($J4-Subj_BldgSF),NA())</f>
        <v/>
      </c>
      <c r="AO4">
        <f>IF(ISNA(AN4),NA(),AN4+ROW()/10000000)</f>
        <v/>
      </c>
      <c r="AR4" s="1132">
        <f>IF(B4="","",IFERROR(INDEX(OCC_TABLE_DESC,MATCH(B4,OCC_TABLE_CODE,0)),"Unrecognized code"))</f>
        <v/>
      </c>
    </row>
    <row r="5" ht="18" customHeight="1">
      <c r="A5" s="702" t="inlineStr">
        <is>
          <t>P001</t>
        </is>
      </c>
      <c r="B5" s="695" t="n">
        <v>407</v>
      </c>
      <c r="C5" s="703" t="inlineStr">
        <is>
          <t>R0157664</t>
        </is>
      </c>
      <c r="D5" s="694" t="inlineStr">
        <is>
          <t>6045 E. 76th Avenue</t>
        </is>
      </c>
      <c r="E5" s="702" t="inlineStr">
        <is>
          <t>Commerce City</t>
        </is>
      </c>
      <c r="F5" s="702" t="inlineStr">
        <is>
          <t>CO</t>
        </is>
      </c>
      <c r="G5" s="702" t="inlineStr">
        <is>
          <t>Light Industrial</t>
        </is>
      </c>
      <c r="H5" s="694" t="inlineStr">
        <is>
          <t>Distribution Warehouse</t>
        </is>
      </c>
      <c r="I5" s="704" t="n">
        <v>1988</v>
      </c>
      <c r="J5" s="704" t="n">
        <v>21000</v>
      </c>
      <c r="K5" s="704" t="n">
        <v>2022</v>
      </c>
      <c r="L5" s="705" t="n">
        <v>255992.67</v>
      </c>
      <c r="M5" s="705" t="n">
        <v>3000</v>
      </c>
      <c r="N5" s="1135" t="n">
        <v>258992.67</v>
      </c>
      <c r="O5" s="705" t="n">
        <v>5276</v>
      </c>
      <c r="P5" s="705" t="n">
        <v>0</v>
      </c>
      <c r="Q5" s="705" t="n">
        <v>4115</v>
      </c>
      <c r="R5" s="705" t="n">
        <v>611</v>
      </c>
      <c r="S5" s="705" t="n">
        <v>2333.33</v>
      </c>
      <c r="T5" s="705" t="n">
        <v>0</v>
      </c>
      <c r="U5" s="705" t="n">
        <v>0</v>
      </c>
      <c r="V5" s="705" t="n">
        <v>0</v>
      </c>
      <c r="W5" s="705" t="n">
        <v>780</v>
      </c>
      <c r="X5" s="1135" t="n">
        <v>0</v>
      </c>
      <c r="Y5" s="705" t="n">
        <v>7839.33</v>
      </c>
      <c r="Z5" s="705" t="n">
        <v>8303.969999999999</v>
      </c>
      <c r="AA5" s="705" t="n">
        <v>4280</v>
      </c>
      <c r="AB5" s="705" t="n">
        <v>0</v>
      </c>
      <c r="AC5" s="1135" t="n">
        <v>12583.97</v>
      </c>
      <c r="AD5" s="705" t="n">
        <v>3043.11</v>
      </c>
      <c r="AE5" s="705" t="n">
        <v>887.54</v>
      </c>
      <c r="AF5" s="1135" t="n">
        <v>3930.65</v>
      </c>
      <c r="AG5" s="705" t="n">
        <v>658.98</v>
      </c>
      <c r="AH5" s="1136" t="n">
        <v>30288.93000000001</v>
      </c>
      <c r="AI5" s="1136" t="n">
        <v>66104.78</v>
      </c>
      <c r="AJ5" s="1137" t="n">
        <v>96393.71000000001</v>
      </c>
      <c r="AK5" s="1135" t="n">
        <v>162598.96</v>
      </c>
      <c r="AL5" s="705" t="n">
        <v>5791.72</v>
      </c>
      <c r="AM5" s="694" t="inlineStr">
        <is>
          <t>2022: other income = damages $500 + misc $2,500; CapEx unit interior</t>
        </is>
      </c>
      <c r="AN5">
        <f>IF(AND($B5=Subj_OccCode,Subj_BldgSF&gt;0,ABS($J5-Subj_BldgSF)&lt;=Subj_BldgSF*Subj_SizeTol),ABS($J5-Subj_BldgSF),NA())</f>
        <v/>
      </c>
      <c r="AO5">
        <f>IF(ISNA(AN5),NA(),AN5+ROW()/10000000)</f>
        <v/>
      </c>
      <c r="AR5" s="1132">
        <f>IF(B5="","",IFERROR(INDEX(OCC_TABLE_DESC,MATCH(B5,OCC_TABLE_CODE,0)),"Unrecognized code"))</f>
        <v/>
      </c>
    </row>
    <row r="6" ht="18" customHeight="1">
      <c r="A6" s="702" t="inlineStr">
        <is>
          <t>P001</t>
        </is>
      </c>
      <c r="B6" s="695" t="n">
        <v>407</v>
      </c>
      <c r="C6" s="703" t="inlineStr">
        <is>
          <t>R0157664</t>
        </is>
      </c>
      <c r="D6" s="694" t="inlineStr">
        <is>
          <t>6045 E. 76th Avenue</t>
        </is>
      </c>
      <c r="E6" s="702" t="inlineStr">
        <is>
          <t>Commerce City</t>
        </is>
      </c>
      <c r="F6" s="702" t="inlineStr">
        <is>
          <t>CO</t>
        </is>
      </c>
      <c r="G6" s="702" t="inlineStr">
        <is>
          <t>Light Industrial</t>
        </is>
      </c>
      <c r="H6" s="694" t="inlineStr">
        <is>
          <t>Distribution Warehouse</t>
        </is>
      </c>
      <c r="I6" s="704" t="n">
        <v>1988</v>
      </c>
      <c r="J6" s="704" t="n">
        <v>21000</v>
      </c>
      <c r="K6" s="704" t="n">
        <v>2023</v>
      </c>
      <c r="L6" s="705" t="n">
        <v>256200</v>
      </c>
      <c r="M6" s="705" t="n">
        <v>0</v>
      </c>
      <c r="N6" s="1135" t="n">
        <v>256200</v>
      </c>
      <c r="O6" s="705" t="n">
        <v>5867.85</v>
      </c>
      <c r="P6" s="705" t="n">
        <v>800</v>
      </c>
      <c r="Q6" s="705" t="n">
        <v>1094.49</v>
      </c>
      <c r="R6" s="705" t="n">
        <v>990</v>
      </c>
      <c r="S6" s="705" t="n">
        <v>0</v>
      </c>
      <c r="T6" s="705" t="n">
        <v>3870.75</v>
      </c>
      <c r="U6" s="705" t="n">
        <v>480</v>
      </c>
      <c r="V6" s="705" t="n">
        <v>618</v>
      </c>
      <c r="W6" s="705" t="n">
        <v>0</v>
      </c>
      <c r="X6" s="1135" t="n">
        <v>480</v>
      </c>
      <c r="Y6" s="705" t="n">
        <v>7533.24</v>
      </c>
      <c r="Z6" s="705" t="n">
        <v>9561.9</v>
      </c>
      <c r="AA6" s="705" t="n">
        <v>2200</v>
      </c>
      <c r="AB6" s="705" t="n">
        <v>2800</v>
      </c>
      <c r="AC6" s="1135" t="n">
        <v>14561.9</v>
      </c>
      <c r="AD6" s="705" t="n">
        <v>7111.97</v>
      </c>
      <c r="AE6" s="705" t="n">
        <v>760.15</v>
      </c>
      <c r="AF6" s="1135" t="n">
        <v>7872.12</v>
      </c>
      <c r="AG6" s="705" t="n">
        <v>597.59</v>
      </c>
      <c r="AH6" s="1136" t="n">
        <v>31952.69999999999</v>
      </c>
      <c r="AI6" s="1136" t="n">
        <v>59985.48</v>
      </c>
      <c r="AJ6" s="1137" t="n">
        <v>91938.17999999999</v>
      </c>
      <c r="AK6" s="1135" t="n">
        <v>164261.82</v>
      </c>
      <c r="AL6" s="705" t="n">
        <v>0</v>
      </c>
      <c r="AM6" s="702" t="n"/>
      <c r="AN6">
        <f>IF(AND($B6=Subj_OccCode,Subj_BldgSF&gt;0,ABS($J6-Subj_BldgSF)&lt;=Subj_BldgSF*Subj_SizeTol),ABS($J6-Subj_BldgSF),NA())</f>
        <v/>
      </c>
      <c r="AO6">
        <f>IF(ISNA(AN6),NA(),AN6+ROW()/10000000)</f>
        <v/>
      </c>
      <c r="AR6" s="1132">
        <f>IF(B6="","",IFERROR(INDEX(OCC_TABLE_DESC,MATCH(B6,OCC_TABLE_CODE,0)),"Unrecognized code"))</f>
        <v/>
      </c>
    </row>
    <row r="7" ht="18" customHeight="1">
      <c r="A7" s="702" t="inlineStr">
        <is>
          <t>P001</t>
        </is>
      </c>
      <c r="B7" s="695" t="n">
        <v>407</v>
      </c>
      <c r="C7" s="703" t="inlineStr">
        <is>
          <t>R0157664</t>
        </is>
      </c>
      <c r="D7" s="694" t="inlineStr">
        <is>
          <t>6045 E. 76th Avenue</t>
        </is>
      </c>
      <c r="E7" s="702" t="inlineStr">
        <is>
          <t>Commerce City</t>
        </is>
      </c>
      <c r="F7" s="702" t="inlineStr">
        <is>
          <t>CO</t>
        </is>
      </c>
      <c r="G7" s="702" t="inlineStr">
        <is>
          <t>Light Industrial</t>
        </is>
      </c>
      <c r="H7" s="694" t="inlineStr">
        <is>
          <t>Distribution Warehouse</t>
        </is>
      </c>
      <c r="I7" s="704" t="n">
        <v>1988</v>
      </c>
      <c r="J7" s="704" t="n">
        <v>21000</v>
      </c>
      <c r="K7" s="704" t="n">
        <v>2024</v>
      </c>
      <c r="L7" s="705" t="n">
        <v>229531</v>
      </c>
      <c r="M7" s="705" t="n">
        <v>0</v>
      </c>
      <c r="N7" s="1135" t="n">
        <v>229531</v>
      </c>
      <c r="O7" s="705" t="n">
        <v>1834.57</v>
      </c>
      <c r="P7" s="705" t="n">
        <v>1570</v>
      </c>
      <c r="Q7" s="705" t="n">
        <v>0</v>
      </c>
      <c r="R7" s="705" t="n">
        <v>0</v>
      </c>
      <c r="S7" s="705" t="n">
        <v>8000</v>
      </c>
      <c r="T7" s="705" t="n">
        <v>8299.799999999999</v>
      </c>
      <c r="U7" s="705" t="n">
        <v>0</v>
      </c>
      <c r="V7" s="705" t="n">
        <v>175</v>
      </c>
      <c r="W7" s="705" t="n">
        <v>0</v>
      </c>
      <c r="X7" s="1135" t="n">
        <v>819.88</v>
      </c>
      <c r="Y7" s="705" t="n">
        <v>17294.68</v>
      </c>
      <c r="Z7" s="705" t="n">
        <v>8500.75</v>
      </c>
      <c r="AA7" s="705" t="n">
        <v>3350</v>
      </c>
      <c r="AB7" s="705" t="n">
        <v>1050</v>
      </c>
      <c r="AC7" s="1135" t="n">
        <v>12900.75</v>
      </c>
      <c r="AD7" s="705" t="n">
        <v>3438.85</v>
      </c>
      <c r="AE7" s="705" t="n">
        <v>712.77</v>
      </c>
      <c r="AF7" s="1135" t="n">
        <v>4151.62</v>
      </c>
      <c r="AG7" s="705" t="n">
        <v>600.11</v>
      </c>
      <c r="AH7" s="1136" t="n">
        <v>38151.7</v>
      </c>
      <c r="AI7" s="1136" t="n">
        <v>69401.60000000001</v>
      </c>
      <c r="AJ7" s="1137" t="n">
        <v>107553.3</v>
      </c>
      <c r="AK7" s="1135" t="n">
        <v>121977.7</v>
      </c>
      <c r="AL7" s="705" t="n">
        <v>0</v>
      </c>
      <c r="AM7" s="702" t="n"/>
      <c r="AN7">
        <f>IF(AND($B7=Subj_OccCode,Subj_BldgSF&gt;0,ABS($J7-Subj_BldgSF)&lt;=Subj_BldgSF*Subj_SizeTol),ABS($J7-Subj_BldgSF),NA())</f>
        <v/>
      </c>
      <c r="AO7">
        <f>IF(ISNA(AN7),NA(),AN7+ROW()/10000000)</f>
        <v/>
      </c>
      <c r="AR7" s="1132">
        <f>IF(B7="","",IFERROR(INDEX(OCC_TABLE_DESC,MATCH(B7,OCC_TABLE_CODE,0)),"Unrecognized code"))</f>
        <v/>
      </c>
    </row>
    <row r="8" ht="18" customHeight="1">
      <c r="A8" s="702" t="inlineStr">
        <is>
          <t>P002</t>
        </is>
      </c>
      <c r="B8" s="695" t="n">
        <v>344</v>
      </c>
      <c r="C8" s="703" t="inlineStr">
        <is>
          <t>Unknown</t>
        </is>
      </c>
      <c r="D8" s="694" t="inlineStr">
        <is>
          <t>13659 E. 104th Ave</t>
        </is>
      </c>
      <c r="E8" s="702" t="inlineStr">
        <is>
          <t>Adams County</t>
        </is>
      </c>
      <c r="F8" s="702" t="inlineStr">
        <is>
          <t>CO</t>
        </is>
      </c>
      <c r="G8" s="702" t="inlineStr">
        <is>
          <t>Office/Commercial</t>
        </is>
      </c>
      <c r="H8" s="694"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1135" t="n">
        <v>24750</v>
      </c>
      <c r="Z8" s="702" t="n"/>
      <c r="AA8" s="705" t="n">
        <v>13331</v>
      </c>
      <c r="AB8" s="702" t="n"/>
      <c r="AC8" s="1135" t="n">
        <v>13331</v>
      </c>
      <c r="AD8" s="702" t="n"/>
      <c r="AE8" s="702" t="n"/>
      <c r="AF8" s="1135" t="n">
        <v>3990</v>
      </c>
      <c r="AG8" s="705" t="n">
        <v>11264</v>
      </c>
      <c r="AH8" s="1136" t="n">
        <v>75327</v>
      </c>
      <c r="AI8" s="1136" t="n">
        <v>51707</v>
      </c>
      <c r="AJ8" s="1136" t="n">
        <v>127034</v>
      </c>
      <c r="AK8" s="1136" t="n">
        <v>131774</v>
      </c>
      <c r="AL8" s="702" t="n"/>
      <c r="AM8" s="694"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1132">
        <f>IF(B8="","",IFERROR(INDEX(OCC_TABLE_DESC,MATCH(B8,OCC_TABLE_CODE,0)),"Unrecognized code"))</f>
        <v/>
      </c>
    </row>
    <row r="9" ht="18" customHeight="1">
      <c r="A9" s="702" t="inlineStr">
        <is>
          <t>P002</t>
        </is>
      </c>
      <c r="B9" s="695" t="n">
        <v>344</v>
      </c>
      <c r="C9" s="703" t="inlineStr">
        <is>
          <t>Unknown</t>
        </is>
      </c>
      <c r="D9" s="694" t="inlineStr">
        <is>
          <t>13659 E. 104th Ave</t>
        </is>
      </c>
      <c r="E9" s="702" t="inlineStr">
        <is>
          <t>Adams County</t>
        </is>
      </c>
      <c r="F9" s="702" t="inlineStr">
        <is>
          <t>CO</t>
        </is>
      </c>
      <c r="G9" s="702" t="inlineStr">
        <is>
          <t>Office/Commercial</t>
        </is>
      </c>
      <c r="H9" s="694"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1135" t="n">
        <v>37394</v>
      </c>
      <c r="Z9" s="702" t="n"/>
      <c r="AA9" s="705" t="n">
        <v>11888</v>
      </c>
      <c r="AB9" s="702" t="n"/>
      <c r="AC9" s="1135" t="n">
        <v>11888</v>
      </c>
      <c r="AD9" s="702" t="n"/>
      <c r="AE9" s="702" t="n"/>
      <c r="AF9" s="1135" t="n">
        <v>5290</v>
      </c>
      <c r="AG9" s="705" t="n">
        <v>13341</v>
      </c>
      <c r="AH9" s="1136" t="n">
        <v>93583</v>
      </c>
      <c r="AI9" s="1136" t="n">
        <v>44649</v>
      </c>
      <c r="AJ9" s="1136" t="n">
        <v>138232</v>
      </c>
      <c r="AK9" s="1136" t="n">
        <v>126727</v>
      </c>
      <c r="AL9" s="702" t="n"/>
      <c r="AM9" s="694" t="inlineStr">
        <is>
          <t>Insurance $7,442; Mgmt fee $13,020 + asset mgmt $5,208; Prof svcs $13,341; Utilities: gas/elec $1,091 + water/sewer $4,199</t>
        </is>
      </c>
      <c r="AN9">
        <f>IF(AND($B9=Subj_OccCode,Subj_BldgSF&gt;0,ABS($J9-Subj_BldgSF)&lt;=Subj_BldgSF*Subj_SizeTol),ABS($J9-Subj_BldgSF),NA())</f>
        <v/>
      </c>
      <c r="AO9">
        <f>IF(ISNA(AN9),NA(),AN9+ROW()/10000000)</f>
        <v/>
      </c>
      <c r="AR9" s="1132">
        <f>IF(B9="","",IFERROR(INDEX(OCC_TABLE_DESC,MATCH(B9,OCC_TABLE_CODE,0)),"Unrecognized code"))</f>
        <v/>
      </c>
    </row>
    <row r="10" ht="18" customHeight="1">
      <c r="A10" s="702" t="inlineStr">
        <is>
          <t>P003</t>
        </is>
      </c>
      <c r="B10" s="695" t="n">
        <v>344</v>
      </c>
      <c r="C10" s="703" t="inlineStr">
        <is>
          <t>R0024063</t>
        </is>
      </c>
      <c r="D10" s="694" t="inlineStr">
        <is>
          <t>Park Centre - Wells Fargo Bldg</t>
        </is>
      </c>
      <c r="E10" s="702" t="inlineStr">
        <is>
          <t>Westminster</t>
        </is>
      </c>
      <c r="F10" s="702" t="inlineStr">
        <is>
          <t>CO</t>
        </is>
      </c>
      <c r="G10" s="702" t="inlineStr">
        <is>
          <t>Office</t>
        </is>
      </c>
      <c r="H10" s="694"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1138" t="n"/>
      <c r="Z10" s="702" t="n"/>
      <c r="AA10" s="702" t="n"/>
      <c r="AB10" s="702" t="n"/>
      <c r="AC10" s="1138" t="n"/>
      <c r="AD10" s="702" t="n"/>
      <c r="AE10" s="702" t="n"/>
      <c r="AF10" s="1138" t="n"/>
      <c r="AG10" s="702" t="n"/>
      <c r="AH10" s="1136" t="n">
        <v>453480</v>
      </c>
      <c r="AI10" s="1136" t="n">
        <v>184874</v>
      </c>
      <c r="AJ10" s="1136" t="n">
        <v>638354</v>
      </c>
      <c r="AK10" s="1136" t="n">
        <v>473149</v>
      </c>
      <c r="AL10" s="702" t="n"/>
      <c r="AM10" s="694" t="inlineStr">
        <is>
          <t>Westfield managed; recoveries $49,658 + other $43,917 = $93,575; OpEx BT per PROFORMA REVISED.xlsx</t>
        </is>
      </c>
      <c r="AN10">
        <f>IF(AND($B10=Subj_OccCode,Subj_BldgSF&gt;0,ABS($J10-Subj_BldgSF)&lt;=Subj_BldgSF*Subj_SizeTol),ABS($J10-Subj_BldgSF),NA())</f>
        <v/>
      </c>
      <c r="AO10">
        <f>IF(ISNA(AN10),NA(),AN10+ROW()/10000000)</f>
        <v/>
      </c>
      <c r="AR10" s="1132">
        <f>IF(B10="","",IFERROR(INDEX(OCC_TABLE_DESC,MATCH(B10,OCC_TABLE_CODE,0)),"Unrecognized code"))</f>
        <v/>
      </c>
    </row>
    <row r="11" ht="18" customHeight="1">
      <c r="A11" s="702" t="inlineStr">
        <is>
          <t>P003</t>
        </is>
      </c>
      <c r="B11" s="695" t="n">
        <v>344</v>
      </c>
      <c r="C11" s="703" t="inlineStr">
        <is>
          <t>R0024063</t>
        </is>
      </c>
      <c r="D11" s="694" t="inlineStr">
        <is>
          <t>Park Centre - Wells Fargo Bldg</t>
        </is>
      </c>
      <c r="E11" s="702" t="inlineStr">
        <is>
          <t>Westminster</t>
        </is>
      </c>
      <c r="F11" s="702" t="inlineStr">
        <is>
          <t>CO</t>
        </is>
      </c>
      <c r="G11" s="702" t="inlineStr">
        <is>
          <t>Office</t>
        </is>
      </c>
      <c r="H11" s="694"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1138" t="n"/>
      <c r="Z11" s="702" t="n"/>
      <c r="AA11" s="702" t="n"/>
      <c r="AB11" s="702" t="n"/>
      <c r="AC11" s="1138" t="n"/>
      <c r="AD11" s="702" t="n"/>
      <c r="AE11" s="702" t="n"/>
      <c r="AF11" s="1138" t="n"/>
      <c r="AG11" s="702" t="n"/>
      <c r="AH11" s="1136" t="n">
        <v>488239</v>
      </c>
      <c r="AI11" s="1136" t="n">
        <v>179568</v>
      </c>
      <c r="AJ11" s="1136" t="n">
        <v>667807</v>
      </c>
      <c r="AK11" s="1136" t="n">
        <v>354195</v>
      </c>
      <c r="AL11" s="702" t="n"/>
      <c r="AM11" s="694"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1132">
        <f>IF(B11="","",IFERROR(INDEX(OCC_TABLE_DESC,MATCH(B11,OCC_TABLE_CODE,0)),"Unrecognized code"))</f>
        <v/>
      </c>
    </row>
    <row r="12" ht="18" customHeight="1">
      <c r="A12" s="702" t="inlineStr">
        <is>
          <t>P004</t>
        </is>
      </c>
      <c r="B12" s="695" t="n">
        <v>412</v>
      </c>
      <c r="C12" s="703" t="inlineStr">
        <is>
          <t>R0050221</t>
        </is>
      </c>
      <c r="D12" s="694" t="inlineStr">
        <is>
          <t>8860 Federal Blvd</t>
        </is>
      </c>
      <c r="E12" s="702" t="inlineStr">
        <is>
          <t>Adams County</t>
        </is>
      </c>
      <c r="F12" s="702" t="inlineStr">
        <is>
          <t>CO</t>
        </is>
      </c>
      <c r="G12" s="702" t="inlineStr">
        <is>
          <t>Retail</t>
        </is>
      </c>
      <c r="H12" s="694"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1138" t="n"/>
      <c r="Z12" s="702" t="n"/>
      <c r="AA12" s="702" t="n"/>
      <c r="AB12" s="702" t="n"/>
      <c r="AC12" s="1138" t="n"/>
      <c r="AD12" s="702" t="n"/>
      <c r="AE12" s="702" t="n"/>
      <c r="AF12" s="1138" t="n"/>
      <c r="AG12" s="702" t="n"/>
      <c r="AH12" s="1139" t="n"/>
      <c r="AI12" s="1136" t="n">
        <v>74000</v>
      </c>
      <c r="AJ12" s="1136" t="n">
        <v>269935</v>
      </c>
      <c r="AK12" s="1136" t="n">
        <v>300842</v>
      </c>
      <c r="AL12" s="702" t="n"/>
      <c r="AM12" s="694" t="inlineStr">
        <is>
          <t>RE Tax estimated ~$74k (2023 not detailed); Total OpEx per actuals submission; NOI confirmed</t>
        </is>
      </c>
      <c r="AN12">
        <f>IF(AND($B12=Subj_OccCode,Subj_BldgSF&gt;0,ABS($J12-Subj_BldgSF)&lt;=Subj_BldgSF*Subj_SizeTol),ABS($J12-Subj_BldgSF),NA())</f>
        <v/>
      </c>
      <c r="AO12">
        <f>IF(ISNA(AN12),NA(),AN12+ROW()/10000000)</f>
        <v/>
      </c>
      <c r="AR12" s="1132">
        <f>IF(B12="","",IFERROR(INDEX(OCC_TABLE_DESC,MATCH(B12,OCC_TABLE_CODE,0)),"Unrecognized code"))</f>
        <v/>
      </c>
    </row>
    <row r="13" ht="18" customHeight="1">
      <c r="A13" s="702" t="inlineStr">
        <is>
          <t>P004</t>
        </is>
      </c>
      <c r="B13" s="695" t="n">
        <v>412</v>
      </c>
      <c r="C13" s="703" t="inlineStr">
        <is>
          <t>R0050221</t>
        </is>
      </c>
      <c r="D13" s="694" t="inlineStr">
        <is>
          <t>8860 Federal Blvd</t>
        </is>
      </c>
      <c r="E13" s="702" t="inlineStr">
        <is>
          <t>Adams County</t>
        </is>
      </c>
      <c r="F13" s="702" t="inlineStr">
        <is>
          <t>CO</t>
        </is>
      </c>
      <c r="G13" s="702" t="inlineStr">
        <is>
          <t>Retail</t>
        </is>
      </c>
      <c r="H13" s="694"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1135" t="n">
        <v>28919</v>
      </c>
      <c r="Z13" s="705" t="n">
        <v>17561</v>
      </c>
      <c r="AA13" s="705" t="n">
        <v>2002</v>
      </c>
      <c r="AB13" s="705" t="n">
        <v>3485</v>
      </c>
      <c r="AC13" s="1135" t="n">
        <v>23048</v>
      </c>
      <c r="AD13" s="705" t="n">
        <v>12892</v>
      </c>
      <c r="AE13" s="705" t="n">
        <v>7120</v>
      </c>
      <c r="AF13" s="1135" t="n">
        <v>20012</v>
      </c>
      <c r="AG13" s="705" t="n">
        <v>10978</v>
      </c>
      <c r="AH13" s="1136" t="n">
        <v>159331</v>
      </c>
      <c r="AI13" s="1136" t="n">
        <v>105466</v>
      </c>
      <c r="AJ13" s="1136" t="n">
        <v>264797</v>
      </c>
      <c r="AK13" s="1136" t="n">
        <v>323022</v>
      </c>
      <c r="AL13" s="702" t="n"/>
      <c r="AM13" s="694"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1132">
        <f>IF(B13="","",IFERROR(INDEX(OCC_TABLE_DESC,MATCH(B13,OCC_TABLE_CODE,0)),"Unrecognized code"))</f>
        <v/>
      </c>
    </row>
    <row r="14" ht="18" customHeight="1">
      <c r="A14" s="702" t="inlineStr">
        <is>
          <t>P005</t>
        </is>
      </c>
      <c r="B14" s="695" t="n">
        <v>344</v>
      </c>
      <c r="C14" s="703" t="inlineStr">
        <is>
          <t>R0050977</t>
        </is>
      </c>
      <c r="D14" s="694" t="inlineStr">
        <is>
          <t>9351 Grant St (Horizon Terrace)</t>
        </is>
      </c>
      <c r="E14" s="702" t="inlineStr">
        <is>
          <t>Thornton</t>
        </is>
      </c>
      <c r="F14" s="702" t="inlineStr">
        <is>
          <t>CO</t>
        </is>
      </c>
      <c r="G14" s="702" t="inlineStr">
        <is>
          <t>Office</t>
        </is>
      </c>
      <c r="H14" s="694"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1135" t="n">
        <v>144543</v>
      </c>
      <c r="Z14" s="702" t="n"/>
      <c r="AA14" s="705" t="n">
        <v>108773</v>
      </c>
      <c r="AB14" s="705" t="n">
        <v>65183</v>
      </c>
      <c r="AC14" s="1135" t="n">
        <v>273332</v>
      </c>
      <c r="AD14" s="705" t="n">
        <v>14762</v>
      </c>
      <c r="AE14" s="705" t="n">
        <v>225588</v>
      </c>
      <c r="AF14" s="1135" t="n">
        <v>240350</v>
      </c>
      <c r="AG14" s="705" t="n">
        <v>32925</v>
      </c>
      <c r="AH14" s="1136" t="n">
        <v>845814</v>
      </c>
      <c r="AI14" s="1136" t="n">
        <v>372013</v>
      </c>
      <c r="AJ14" s="1136" t="n">
        <v>1217827</v>
      </c>
      <c r="AK14" s="1136" t="n">
        <v>1021407</v>
      </c>
      <c r="AL14" s="702" t="n"/>
      <c r="AM14" s="694"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1132">
        <f>IF(B14="","",IFERROR(INDEX(OCC_TABLE_DESC,MATCH(B14,OCC_TABLE_CODE,0)),"Unrecognized code"))</f>
        <v/>
      </c>
    </row>
    <row r="15" ht="18" customHeight="1">
      <c r="A15" s="702" t="inlineStr">
        <is>
          <t>P005</t>
        </is>
      </c>
      <c r="B15" s="695" t="n">
        <v>344</v>
      </c>
      <c r="C15" s="703" t="inlineStr">
        <is>
          <t>R0050977</t>
        </is>
      </c>
      <c r="D15" s="694" t="inlineStr">
        <is>
          <t>9351 Grant St (Horizon Terrace)</t>
        </is>
      </c>
      <c r="E15" s="702" t="inlineStr">
        <is>
          <t>Thornton</t>
        </is>
      </c>
      <c r="F15" s="702" t="inlineStr">
        <is>
          <t>CO</t>
        </is>
      </c>
      <c r="G15" s="702" t="inlineStr">
        <is>
          <t>Office</t>
        </is>
      </c>
      <c r="H15" s="694"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1135" t="n">
        <v>150462</v>
      </c>
      <c r="Z15" s="702" t="n"/>
      <c r="AA15" s="705" t="n">
        <v>109178</v>
      </c>
      <c r="AB15" s="702" t="n"/>
      <c r="AC15" s="1135" t="n">
        <v>262640</v>
      </c>
      <c r="AD15" s="702" t="n"/>
      <c r="AE15" s="702" t="n"/>
      <c r="AF15" s="1135" t="n">
        <v>232174</v>
      </c>
      <c r="AG15" s="705" t="n">
        <v>37416</v>
      </c>
      <c r="AH15" s="1136" t="n">
        <v>856390</v>
      </c>
      <c r="AI15" s="1136" t="n">
        <v>413583</v>
      </c>
      <c r="AJ15" s="1136" t="n">
        <v>1269973</v>
      </c>
      <c r="AK15" s="1136" t="n">
        <v>1052180</v>
      </c>
      <c r="AL15" s="702" t="n"/>
      <c r="AM15" s="694"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1132">
        <f>IF(B15="","",IFERROR(INDEX(OCC_TABLE_DESC,MATCH(B15,OCC_TABLE_CODE,0)),"Unrecognized code"))</f>
        <v/>
      </c>
    </row>
    <row r="16" ht="18" customHeight="1">
      <c r="A16" s="702" t="inlineStr">
        <is>
          <t>P006</t>
        </is>
      </c>
      <c r="B16" s="695" t="n">
        <v>210</v>
      </c>
      <c r="C16" s="703" t="inlineStr">
        <is>
          <t>R0062937</t>
        </is>
      </c>
      <c r="D16" s="694" t="inlineStr">
        <is>
          <t>8670 Wolff Ct (Sheridan Park 8)</t>
        </is>
      </c>
      <c r="E16" s="702" t="inlineStr">
        <is>
          <t>Westminster</t>
        </is>
      </c>
      <c r="F16" s="702" t="inlineStr">
        <is>
          <t>CO</t>
        </is>
      </c>
      <c r="G16" s="702" t="inlineStr">
        <is>
          <t>Office/Flex</t>
        </is>
      </c>
      <c r="H16" s="694"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1138" t="n"/>
      <c r="Z16" s="702" t="n"/>
      <c r="AA16" s="702" t="n"/>
      <c r="AB16" s="702" t="n"/>
      <c r="AC16" s="1135" t="n">
        <v>133689</v>
      </c>
      <c r="AD16" s="702" t="n"/>
      <c r="AE16" s="702" t="n"/>
      <c r="AF16" s="1135" t="n">
        <v>116321</v>
      </c>
      <c r="AG16" s="702" t="n"/>
      <c r="AH16" s="1136" t="n">
        <v>275286</v>
      </c>
      <c r="AI16" s="1136" t="n">
        <v>88705</v>
      </c>
      <c r="AJ16" s="1136" t="n">
        <v>363991</v>
      </c>
      <c r="AK16" s="1139" t="n"/>
      <c r="AL16" s="702" t="n"/>
      <c r="AM16" s="694" t="inlineStr">
        <is>
          <t>Income not available; expense-only from DYCO CAM history; CAM in contract total</t>
        </is>
      </c>
      <c r="AN16">
        <f>IF(AND($B16=Subj_OccCode,Subj_BldgSF&gt;0,ABS($J16-Subj_BldgSF)&lt;=Subj_BldgSF*Subj_SizeTol),ABS($J16-Subj_BldgSF),NA())</f>
        <v/>
      </c>
      <c r="AO16">
        <f>IF(ISNA(AN16),NA(),AN16+ROW()/10000000)</f>
        <v/>
      </c>
      <c r="AR16" s="1132">
        <f>IF(B16="","",IFERROR(INDEX(OCC_TABLE_DESC,MATCH(B16,OCC_TABLE_CODE,0)),"Unrecognized code"))</f>
        <v/>
      </c>
    </row>
    <row r="17" ht="18" customHeight="1">
      <c r="A17" s="702" t="inlineStr">
        <is>
          <t>P006</t>
        </is>
      </c>
      <c r="B17" s="695" t="n">
        <v>210</v>
      </c>
      <c r="C17" s="703" t="inlineStr">
        <is>
          <t>R0062937</t>
        </is>
      </c>
      <c r="D17" s="694" t="inlineStr">
        <is>
          <t>8670 Wolff Ct (Sheridan Park 8)</t>
        </is>
      </c>
      <c r="E17" s="702" t="inlineStr">
        <is>
          <t>Westminster</t>
        </is>
      </c>
      <c r="F17" s="702" t="inlineStr">
        <is>
          <t>CO</t>
        </is>
      </c>
      <c r="G17" s="702" t="inlineStr">
        <is>
          <t>Office/Flex</t>
        </is>
      </c>
      <c r="H17" s="694"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1138" t="n"/>
      <c r="Z17" s="702" t="n"/>
      <c r="AA17" s="702" t="n"/>
      <c r="AB17" s="702" t="n"/>
      <c r="AC17" s="1135" t="n">
        <v>104519</v>
      </c>
      <c r="AD17" s="702" t="n"/>
      <c r="AE17" s="702" t="n"/>
      <c r="AF17" s="1135" t="n">
        <v>108857</v>
      </c>
      <c r="AG17" s="702" t="n"/>
      <c r="AH17" s="1136" t="n">
        <v>238202</v>
      </c>
      <c r="AI17" s="1136" t="n">
        <v>84200</v>
      </c>
      <c r="AJ17" s="1136" t="n">
        <v>322402</v>
      </c>
      <c r="AK17" s="1139" t="n"/>
      <c r="AL17" s="702" t="n"/>
      <c r="AM17" s="694" t="inlineStr">
        <is>
          <t>Income not available; expense-only from DYCO CAM history</t>
        </is>
      </c>
      <c r="AN17">
        <f>IF(AND($B17=Subj_OccCode,Subj_BldgSF&gt;0,ABS($J17-Subj_BldgSF)&lt;=Subj_BldgSF*Subj_SizeTol),ABS($J17-Subj_BldgSF),NA())</f>
        <v/>
      </c>
      <c r="AO17">
        <f>IF(ISNA(AN17),NA(),AN17+ROW()/10000000)</f>
        <v/>
      </c>
      <c r="AR17" s="1132">
        <f>IF(B17="","",IFERROR(INDEX(OCC_TABLE_DESC,MATCH(B17,OCC_TABLE_CODE,0)),"Unrecognized code"))</f>
        <v/>
      </c>
    </row>
    <row r="18" ht="18" customHeight="1">
      <c r="A18" s="702" t="inlineStr">
        <is>
          <t>P006</t>
        </is>
      </c>
      <c r="B18" s="695" t="n">
        <v>210</v>
      </c>
      <c r="C18" s="703" t="inlineStr">
        <is>
          <t>R0062937</t>
        </is>
      </c>
      <c r="D18" s="694" t="inlineStr">
        <is>
          <t>8670 Wolff Ct (Sheridan Park 8)</t>
        </is>
      </c>
      <c r="E18" s="702" t="inlineStr">
        <is>
          <t>Westminster</t>
        </is>
      </c>
      <c r="F18" s="702" t="inlineStr">
        <is>
          <t>CO</t>
        </is>
      </c>
      <c r="G18" s="702" t="inlineStr">
        <is>
          <t>Office/Flex</t>
        </is>
      </c>
      <c r="H18" s="694"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1138" t="n"/>
      <c r="Z18" s="702" t="n"/>
      <c r="AA18" s="702" t="n"/>
      <c r="AB18" s="702" t="n"/>
      <c r="AC18" s="1135" t="n">
        <v>112201</v>
      </c>
      <c r="AD18" s="702" t="n"/>
      <c r="AE18" s="702" t="n"/>
      <c r="AF18" s="1135" t="n">
        <v>111968</v>
      </c>
      <c r="AG18" s="702" t="n"/>
      <c r="AH18" s="1136" t="n">
        <v>252988</v>
      </c>
      <c r="AI18" s="1136" t="n">
        <v>137142</v>
      </c>
      <c r="AJ18" s="1136" t="n">
        <v>390130</v>
      </c>
      <c r="AK18" s="1139" t="n"/>
      <c r="AL18" s="702" t="n"/>
      <c r="AM18" s="694"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1132">
        <f>IF(B18="","",IFERROR(INDEX(OCC_TABLE_DESC,MATCH(B18,OCC_TABLE_CODE,0)),"Unrecognized code"))</f>
        <v/>
      </c>
    </row>
    <row r="19" ht="18" customHeight="1">
      <c r="A19" s="702" t="inlineStr">
        <is>
          <t>P006</t>
        </is>
      </c>
      <c r="B19" s="695" t="n">
        <v>210</v>
      </c>
      <c r="C19" s="703" t="inlineStr">
        <is>
          <t>R0062937</t>
        </is>
      </c>
      <c r="D19" s="694" t="inlineStr">
        <is>
          <t>8670 Wolff Ct (Sheridan Park 8)</t>
        </is>
      </c>
      <c r="E19" s="702" t="inlineStr">
        <is>
          <t>Westminster</t>
        </is>
      </c>
      <c r="F19" s="702" t="inlineStr">
        <is>
          <t>CO</t>
        </is>
      </c>
      <c r="G19" s="702" t="inlineStr">
        <is>
          <t>Office/Flex</t>
        </is>
      </c>
      <c r="H19" s="694"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1138" t="n"/>
      <c r="Z19" s="702" t="n"/>
      <c r="AA19" s="702" t="n"/>
      <c r="AB19" s="702" t="n"/>
      <c r="AC19" s="1135" t="n">
        <v>116495</v>
      </c>
      <c r="AD19" s="702" t="n"/>
      <c r="AE19" s="702" t="n"/>
      <c r="AF19" s="1135" t="n">
        <v>111903</v>
      </c>
      <c r="AG19" s="702" t="n"/>
      <c r="AH19" s="1136" t="n">
        <v>255052</v>
      </c>
      <c r="AI19" s="1136" t="n">
        <v>131777</v>
      </c>
      <c r="AJ19" s="1136" t="n">
        <v>386829</v>
      </c>
      <c r="AK19" s="1139" t="n"/>
      <c r="AL19" s="702" t="n"/>
      <c r="AM19" s="694" t="inlineStr">
        <is>
          <t>Income not available; 2023 YTD annualized per DYCO</t>
        </is>
      </c>
      <c r="AN19">
        <f>IF(AND($B19=Subj_OccCode,Subj_BldgSF&gt;0,ABS($J19-Subj_BldgSF)&lt;=Subj_BldgSF*Subj_SizeTol),ABS($J19-Subj_BldgSF),NA())</f>
        <v/>
      </c>
      <c r="AO19">
        <f>IF(ISNA(AN19),NA(),AN19+ROW()/10000000)</f>
        <v/>
      </c>
      <c r="AR19" s="1132">
        <f>IF(B19="","",IFERROR(INDEX(OCC_TABLE_DESC,MATCH(B19,OCC_TABLE_CODE,0)),"Unrecognized code"))</f>
        <v/>
      </c>
    </row>
    <row r="20" ht="18" customHeight="1">
      <c r="A20" s="702" t="inlineStr">
        <is>
          <t>P006</t>
        </is>
      </c>
      <c r="B20" s="695" t="n">
        <v>210</v>
      </c>
      <c r="C20" s="703" t="inlineStr">
        <is>
          <t>R0062937</t>
        </is>
      </c>
      <c r="D20" s="694" t="inlineStr">
        <is>
          <t>8670 Wolff Ct (Sheridan Park 8)</t>
        </is>
      </c>
      <c r="E20" s="702" t="inlineStr">
        <is>
          <t>Westminster</t>
        </is>
      </c>
      <c r="F20" s="702" t="inlineStr">
        <is>
          <t>CO</t>
        </is>
      </c>
      <c r="G20" s="702" t="inlineStr">
        <is>
          <t>Office/Flex</t>
        </is>
      </c>
      <c r="H20" s="694"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1138" t="n"/>
      <c r="Z20" s="702" t="n"/>
      <c r="AA20" s="702" t="n"/>
      <c r="AB20" s="702" t="n"/>
      <c r="AC20" s="1135" t="n">
        <v>139794</v>
      </c>
      <c r="AD20" s="702" t="n"/>
      <c r="AE20" s="702" t="n"/>
      <c r="AF20" s="1135" t="n">
        <v>134284</v>
      </c>
      <c r="AG20" s="702" t="n"/>
      <c r="AH20" s="1136" t="n">
        <v>304332</v>
      </c>
      <c r="AI20" s="1136" t="n">
        <v>131777</v>
      </c>
      <c r="AJ20" s="1136" t="n">
        <v>436109</v>
      </c>
      <c r="AK20" s="1139" t="n"/>
      <c r="AL20" s="702" t="n"/>
      <c r="AM20" s="694" t="inlineStr">
        <is>
          <t>Income not available; 2024 actuals per DYCO CAM history</t>
        </is>
      </c>
      <c r="AN20">
        <f>IF(AND($B20=Subj_OccCode,Subj_BldgSF&gt;0,ABS($J20-Subj_BldgSF)&lt;=Subj_BldgSF*Subj_SizeTol),ABS($J20-Subj_BldgSF),NA())</f>
        <v/>
      </c>
      <c r="AO20">
        <f>IF(ISNA(AN20),NA(),AN20+ROW()/10000000)</f>
        <v/>
      </c>
      <c r="AR20" s="1132">
        <f>IF(B20="","",IFERROR(INDEX(OCC_TABLE_DESC,MATCH(B20,OCC_TABLE_CODE,0)),"Unrecognized code"))</f>
        <v/>
      </c>
    </row>
    <row r="21" ht="18" customHeight="1">
      <c r="A21" s="702" t="inlineStr">
        <is>
          <t>P007</t>
        </is>
      </c>
      <c r="B21" s="695" t="n">
        <v>341</v>
      </c>
      <c r="C21" s="703" t="inlineStr">
        <is>
          <t>R0062944</t>
        </is>
      </c>
      <c r="D21" s="694" t="inlineStr">
        <is>
          <t>8787 (medical office complex)</t>
        </is>
      </c>
      <c r="E21" s="702" t="inlineStr">
        <is>
          <t>Adams County</t>
        </is>
      </c>
      <c r="F21" s="702" t="inlineStr">
        <is>
          <t>CO</t>
        </is>
      </c>
      <c r="G21" s="702" t="inlineStr">
        <is>
          <t>Medical Office</t>
        </is>
      </c>
      <c r="H21" s="694"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1135" t="n">
        <v>26521</v>
      </c>
      <c r="Z21" s="705" t="n">
        <v>2032</v>
      </c>
      <c r="AA21" s="705" t="n">
        <v>11685</v>
      </c>
      <c r="AB21" s="705" t="n">
        <v>6338</v>
      </c>
      <c r="AC21" s="1135" t="n">
        <v>20055</v>
      </c>
      <c r="AD21" s="705" t="n">
        <v>7660</v>
      </c>
      <c r="AE21" s="705" t="n">
        <v>37676</v>
      </c>
      <c r="AF21" s="1135" t="n">
        <v>45336</v>
      </c>
      <c r="AG21" s="705" t="n">
        <v>18144</v>
      </c>
      <c r="AH21" s="1136" t="n">
        <v>151355</v>
      </c>
      <c r="AI21" s="1136" t="n">
        <v>53397</v>
      </c>
      <c r="AJ21" s="1136" t="n">
        <v>204752</v>
      </c>
      <c r="AK21" s="1136" t="n">
        <v>189057</v>
      </c>
      <c r="AL21" s="702" t="n"/>
      <c r="AM21" s="694"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1132">
        <f>IF(B21="","",IFERROR(INDEX(OCC_TABLE_DESC,MATCH(B21,OCC_TABLE_CODE,0)),"Unrecognized code"))</f>
        <v/>
      </c>
    </row>
    <row r="22" ht="18" customHeight="1">
      <c r="A22" s="702" t="inlineStr">
        <is>
          <t>P007</t>
        </is>
      </c>
      <c r="B22" s="695" t="n">
        <v>341</v>
      </c>
      <c r="C22" s="703" t="inlineStr">
        <is>
          <t>R0062944</t>
        </is>
      </c>
      <c r="D22" s="694" t="inlineStr">
        <is>
          <t>8787 (medical office complex)</t>
        </is>
      </c>
      <c r="E22" s="702" t="inlineStr">
        <is>
          <t>Adams County</t>
        </is>
      </c>
      <c r="F22" s="702" t="inlineStr">
        <is>
          <t>CO</t>
        </is>
      </c>
      <c r="G22" s="702" t="inlineStr">
        <is>
          <t>Medical Office</t>
        </is>
      </c>
      <c r="H22" s="694"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1135" t="n">
        <v>25835</v>
      </c>
      <c r="Z22" s="705" t="n">
        <v>1958</v>
      </c>
      <c r="AA22" s="705" t="n">
        <v>15696</v>
      </c>
      <c r="AB22" s="705" t="n">
        <v>5885</v>
      </c>
      <c r="AC22" s="1135" t="n">
        <v>23539</v>
      </c>
      <c r="AD22" s="705" t="n">
        <v>6421</v>
      </c>
      <c r="AE22" s="705" t="n">
        <v>33074</v>
      </c>
      <c r="AF22" s="1135" t="n">
        <v>39495</v>
      </c>
      <c r="AG22" s="705" t="n">
        <v>16022</v>
      </c>
      <c r="AH22" s="1136" t="n">
        <v>170540</v>
      </c>
      <c r="AI22" s="1136" t="n">
        <v>63200</v>
      </c>
      <c r="AJ22" s="1136" t="n">
        <v>233740</v>
      </c>
      <c r="AK22" s="1136" t="n">
        <v>156757</v>
      </c>
      <c r="AL22" s="702" t="n"/>
      <c r="AM22" s="694"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1132">
        <f>IF(B22="","",IFERROR(INDEX(OCC_TABLE_DESC,MATCH(B22,OCC_TABLE_CODE,0)),"Unrecognized code"))</f>
        <v/>
      </c>
    </row>
    <row r="23" ht="18" customHeight="1">
      <c r="A23" s="702" t="inlineStr">
        <is>
          <t>P008</t>
        </is>
      </c>
      <c r="B23" s="695" t="n">
        <v>210</v>
      </c>
      <c r="C23" s="703" t="inlineStr">
        <is>
          <t>R0070622</t>
        </is>
      </c>
      <c r="D23" s="694" t="inlineStr">
        <is>
          <t>460-550 E. 76th Ave (WPC Corporate)</t>
        </is>
      </c>
      <c r="E23" s="702" t="inlineStr">
        <is>
          <t>Adams County</t>
        </is>
      </c>
      <c r="F23" s="702" t="inlineStr">
        <is>
          <t>CO</t>
        </is>
      </c>
      <c r="G23" s="702" t="inlineStr">
        <is>
          <t>Industrial</t>
        </is>
      </c>
      <c r="H23" s="694"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1138" t="n"/>
      <c r="Z23" s="702" t="n"/>
      <c r="AA23" s="702" t="n"/>
      <c r="AB23" s="702" t="n"/>
      <c r="AC23" s="1138" t="n"/>
      <c r="AD23" s="702" t="n"/>
      <c r="AE23" s="702" t="n"/>
      <c r="AF23" s="1138" t="n"/>
      <c r="AG23" s="702" t="n"/>
      <c r="AH23" s="1139" t="n"/>
      <c r="AI23" s="1139" t="n"/>
      <c r="AJ23" s="1136" t="n">
        <v>1338440</v>
      </c>
      <c r="AK23" s="1136" t="n">
        <v>1412098</v>
      </c>
      <c r="AL23" s="702" t="n"/>
      <c r="AM23" s="694"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1132">
        <f>IF(B23="","",IFERROR(INDEX(OCC_TABLE_DESC,MATCH(B23,OCC_TABLE_CODE,0)),"Unrecognized code"))</f>
        <v/>
      </c>
    </row>
    <row r="24" ht="18" customHeight="1">
      <c r="A24" s="702" t="inlineStr">
        <is>
          <t>P009</t>
        </is>
      </c>
      <c r="B24" s="695" t="n">
        <v>407</v>
      </c>
      <c r="C24" s="703" t="inlineStr">
        <is>
          <t>R0075212</t>
        </is>
      </c>
      <c r="D24" s="694" t="inlineStr">
        <is>
          <t>10500 Havana Court</t>
        </is>
      </c>
      <c r="E24" s="702" t="inlineStr">
        <is>
          <t>Adams County</t>
        </is>
      </c>
      <c r="F24" s="702" t="inlineStr">
        <is>
          <t>CO</t>
        </is>
      </c>
      <c r="G24" s="702" t="inlineStr">
        <is>
          <t>Industrial</t>
        </is>
      </c>
      <c r="H24" s="694"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1135" t="n">
        <v>12804</v>
      </c>
      <c r="Z24" s="702" t="n"/>
      <c r="AA24" s="705" t="n">
        <v>6910</v>
      </c>
      <c r="AB24" s="705" t="n">
        <v>1800</v>
      </c>
      <c r="AC24" s="1135" t="n">
        <v>8710</v>
      </c>
      <c r="AD24" s="705" t="n">
        <v>2209</v>
      </c>
      <c r="AE24" s="705" t="n">
        <v>1956</v>
      </c>
      <c r="AF24" s="1135" t="n">
        <v>4165</v>
      </c>
      <c r="AG24" s="705" t="n">
        <v>8397</v>
      </c>
      <c r="AH24" s="1136" t="n">
        <v>127005</v>
      </c>
      <c r="AI24" s="1136" t="n">
        <v>60552</v>
      </c>
      <c r="AJ24" s="1136" t="n">
        <v>187557</v>
      </c>
      <c r="AK24" s="1136" t="n">
        <v>265550</v>
      </c>
      <c r="AL24" s="702" t="n"/>
      <c r="AM24" s="694"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1132">
        <f>IF(B24="","",IFERROR(INDEX(OCC_TABLE_DESC,MATCH(B24,OCC_TABLE_CODE,0)),"Unrecognized code"))</f>
        <v/>
      </c>
    </row>
    <row r="25" ht="18" customHeight="1">
      <c r="A25" s="702" t="inlineStr">
        <is>
          <t>P009</t>
        </is>
      </c>
      <c r="B25" s="695" t="n">
        <v>407</v>
      </c>
      <c r="C25" s="703" t="inlineStr">
        <is>
          <t>R0075212</t>
        </is>
      </c>
      <c r="D25" s="694" t="inlineStr">
        <is>
          <t>10500 Havana Court</t>
        </is>
      </c>
      <c r="E25" s="702" t="inlineStr">
        <is>
          <t>Adams County</t>
        </is>
      </c>
      <c r="F25" s="702" t="inlineStr">
        <is>
          <t>CO</t>
        </is>
      </c>
      <c r="G25" s="702" t="inlineStr">
        <is>
          <t>Industrial</t>
        </is>
      </c>
      <c r="H25" s="694"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1135" t="n">
        <v>9601</v>
      </c>
      <c r="Z25" s="702" t="n"/>
      <c r="AA25" s="705" t="n">
        <v>3045</v>
      </c>
      <c r="AB25" s="705" t="n">
        <v>1960</v>
      </c>
      <c r="AC25" s="1135" t="n">
        <v>5005</v>
      </c>
      <c r="AD25" s="705" t="n">
        <v>3555</v>
      </c>
      <c r="AE25" s="705" t="n">
        <v>1567</v>
      </c>
      <c r="AF25" s="1135" t="n">
        <v>5122</v>
      </c>
      <c r="AG25" s="705" t="n">
        <v>10035</v>
      </c>
      <c r="AH25" s="1136" t="n">
        <v>69350</v>
      </c>
      <c r="AI25" s="1136" t="n">
        <v>101114</v>
      </c>
      <c r="AJ25" s="1136" t="n">
        <v>170464</v>
      </c>
      <c r="AK25" s="1136" t="n">
        <v>290993</v>
      </c>
      <c r="AL25" s="702" t="n"/>
      <c r="AM25" s="694"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1132">
        <f>IF(B25="","",IFERROR(INDEX(OCC_TABLE_DESC,MATCH(B25,OCC_TABLE_CODE,0)),"Unrecognized code"))</f>
        <v/>
      </c>
    </row>
    <row r="26" ht="18" customHeight="1">
      <c r="A26" s="702" t="inlineStr">
        <is>
          <t>P010</t>
        </is>
      </c>
      <c r="B26" s="695" t="n">
        <v>210</v>
      </c>
      <c r="C26" s="703" t="inlineStr">
        <is>
          <t>R0098225</t>
        </is>
      </c>
      <c r="D26" s="694" t="inlineStr">
        <is>
          <t>Broadway Business Center (7040B Broadway)</t>
        </is>
      </c>
      <c r="E26" s="702" t="inlineStr">
        <is>
          <t>Denver</t>
        </is>
      </c>
      <c r="F26" s="702" t="inlineStr">
        <is>
          <t>CO</t>
        </is>
      </c>
      <c r="G26" s="702" t="inlineStr">
        <is>
          <t>Flex/Industrial</t>
        </is>
      </c>
      <c r="H26" s="694"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1135" t="n">
        <v>66445</v>
      </c>
      <c r="Z26" s="705" t="n">
        <v>49021</v>
      </c>
      <c r="AA26" s="705" t="n">
        <v>22802</v>
      </c>
      <c r="AB26" s="705" t="n">
        <v>58641</v>
      </c>
      <c r="AC26" s="1135" t="n">
        <v>130464</v>
      </c>
      <c r="AD26" s="705" t="n">
        <v>53517</v>
      </c>
      <c r="AE26" s="702" t="n"/>
      <c r="AF26" s="1135" t="n">
        <v>75845</v>
      </c>
      <c r="AG26" s="702" t="n"/>
      <c r="AH26" s="1136" t="n">
        <v>484485</v>
      </c>
      <c r="AI26" s="1136" t="n">
        <v>229515</v>
      </c>
      <c r="AJ26" s="1136" t="n">
        <v>714000</v>
      </c>
      <c r="AK26" s="1136" t="n">
        <v>533000</v>
      </c>
      <c r="AL26" s="702" t="n"/>
      <c r="AM26" s="694"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1132">
        <f>IF(B26="","",IFERROR(INDEX(OCC_TABLE_DESC,MATCH(B26,OCC_TABLE_CODE,0)),"Unrecognized code"))</f>
        <v/>
      </c>
    </row>
    <row r="27" ht="18" customHeight="1">
      <c r="A27" s="702" t="inlineStr">
        <is>
          <t>P010</t>
        </is>
      </c>
      <c r="B27" s="695" t="n">
        <v>210</v>
      </c>
      <c r="C27" s="703" t="inlineStr">
        <is>
          <t>R0098225</t>
        </is>
      </c>
      <c r="D27" s="694" t="inlineStr">
        <is>
          <t>Broadway Business Center (7040B Broadway)</t>
        </is>
      </c>
      <c r="E27" s="702" t="inlineStr">
        <is>
          <t>Denver</t>
        </is>
      </c>
      <c r="F27" s="702" t="inlineStr">
        <is>
          <t>CO</t>
        </is>
      </c>
      <c r="G27" s="702" t="inlineStr">
        <is>
          <t>Flex/Industrial</t>
        </is>
      </c>
      <c r="H27" s="694"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1135" t="n">
        <v>75128</v>
      </c>
      <c r="Z27" s="705" t="n">
        <v>58998</v>
      </c>
      <c r="AA27" s="705" t="n">
        <v>18144</v>
      </c>
      <c r="AB27" s="705" t="n">
        <v>52328</v>
      </c>
      <c r="AC27" s="1135" t="n">
        <v>129470</v>
      </c>
      <c r="AD27" s="705" t="n">
        <v>87196</v>
      </c>
      <c r="AE27" s="702" t="n"/>
      <c r="AF27" s="1135" t="n">
        <v>100191</v>
      </c>
      <c r="AG27" s="702" t="n"/>
      <c r="AH27" s="1136" t="n">
        <v>502686</v>
      </c>
      <c r="AI27" s="1136" t="n">
        <v>544314</v>
      </c>
      <c r="AJ27" s="1136" t="n">
        <v>1047000</v>
      </c>
      <c r="AK27" s="1136" t="n">
        <v>640000</v>
      </c>
      <c r="AL27" s="702" t="n"/>
      <c r="AM27" s="694"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1132">
        <f>IF(B27="","",IFERROR(INDEX(OCC_TABLE_DESC,MATCH(B27,OCC_TABLE_CODE,0)),"Unrecognized code"))</f>
        <v/>
      </c>
    </row>
    <row r="28" ht="18" customHeight="1">
      <c r="A28" s="702" t="inlineStr">
        <is>
          <t>P011</t>
        </is>
      </c>
      <c r="B28" s="695" t="n">
        <v>210</v>
      </c>
      <c r="C28" s="703" t="inlineStr">
        <is>
          <t>R0103767</t>
        </is>
      </c>
      <c r="D28" s="694" t="inlineStr">
        <is>
          <t>5650 Washington St (Washington Business Park)</t>
        </is>
      </c>
      <c r="E28" s="702" t="inlineStr">
        <is>
          <t>Adams County</t>
        </is>
      </c>
      <c r="F28" s="702" t="inlineStr">
        <is>
          <t>CO</t>
        </is>
      </c>
      <c r="G28" s="702" t="inlineStr">
        <is>
          <t>Industrial/Flex</t>
        </is>
      </c>
      <c r="H28" s="694"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1135" t="n">
        <v>71762</v>
      </c>
      <c r="Z28" s="702" t="n"/>
      <c r="AA28" s="705" t="n">
        <v>6528</v>
      </c>
      <c r="AB28" s="702" t="n"/>
      <c r="AC28" s="1135" t="n">
        <v>6528</v>
      </c>
      <c r="AD28" s="705" t="n">
        <v>4858</v>
      </c>
      <c r="AE28" s="705" t="n">
        <v>525</v>
      </c>
      <c r="AF28" s="1135" t="n">
        <v>5383</v>
      </c>
      <c r="AG28" s="702" t="n"/>
      <c r="AH28" s="1136" t="n">
        <v>209625</v>
      </c>
      <c r="AI28" s="1136" t="n">
        <v>64792</v>
      </c>
      <c r="AJ28" s="1136" t="n">
        <v>274417</v>
      </c>
      <c r="AK28" s="1136" t="n">
        <v>227649</v>
      </c>
      <c r="AL28" s="702" t="n"/>
      <c r="AM28" s="694"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1132">
        <f>IF(B28="","",IFERROR(INDEX(OCC_TABLE_DESC,MATCH(B28,OCC_TABLE_CODE,0)),"Unrecognized code"))</f>
        <v/>
      </c>
    </row>
    <row r="29" ht="18" customHeight="1">
      <c r="A29" s="702" t="inlineStr">
        <is>
          <t>P011</t>
        </is>
      </c>
      <c r="B29" s="695" t="n">
        <v>210</v>
      </c>
      <c r="C29" s="703" t="inlineStr">
        <is>
          <t>R0103767</t>
        </is>
      </c>
      <c r="D29" s="694" t="inlineStr">
        <is>
          <t>5650 Washington St (Washington Business Park)</t>
        </is>
      </c>
      <c r="E29" s="702" t="inlineStr">
        <is>
          <t>Adams County</t>
        </is>
      </c>
      <c r="F29" s="702" t="inlineStr">
        <is>
          <t>CO</t>
        </is>
      </c>
      <c r="G29" s="702" t="inlineStr">
        <is>
          <t>Industrial/Flex</t>
        </is>
      </c>
      <c r="H29" s="694"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1135" t="n">
        <v>83293</v>
      </c>
      <c r="Z29" s="702" t="n"/>
      <c r="AA29" s="705" t="n">
        <v>6029</v>
      </c>
      <c r="AB29" s="702" t="n"/>
      <c r="AC29" s="1135" t="n">
        <v>6029</v>
      </c>
      <c r="AD29" s="705" t="n">
        <v>6487</v>
      </c>
      <c r="AE29" s="702" t="n"/>
      <c r="AF29" s="1135" t="n">
        <v>6487</v>
      </c>
      <c r="AG29" s="702" t="n"/>
      <c r="AH29" s="1136" t="n">
        <v>141304</v>
      </c>
      <c r="AI29" s="1136" t="n">
        <v>63133</v>
      </c>
      <c r="AJ29" s="1136" t="n">
        <v>204437</v>
      </c>
      <c r="AK29" s="1136" t="n">
        <v>328030</v>
      </c>
      <c r="AL29" s="702" t="n"/>
      <c r="AM29" s="694"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1132">
        <f>IF(B29="","",IFERROR(INDEX(OCC_TABLE_DESC,MATCH(B29,OCC_TABLE_CODE,0)),"Unrecognized code"))</f>
        <v/>
      </c>
    </row>
    <row r="30" ht="18" customHeight="1">
      <c r="A30" s="702" t="inlineStr">
        <is>
          <t>P011</t>
        </is>
      </c>
      <c r="B30" s="695" t="n">
        <v>210</v>
      </c>
      <c r="C30" s="703" t="inlineStr">
        <is>
          <t>R0103767</t>
        </is>
      </c>
      <c r="D30" s="694" t="inlineStr">
        <is>
          <t>5650 Washington St (Washington Business Park)</t>
        </is>
      </c>
      <c r="E30" s="702" t="inlineStr">
        <is>
          <t>Adams County</t>
        </is>
      </c>
      <c r="F30" s="702" t="inlineStr">
        <is>
          <t>CO</t>
        </is>
      </c>
      <c r="G30" s="702" t="inlineStr">
        <is>
          <t>Industrial/Flex</t>
        </is>
      </c>
      <c r="H30" s="694"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1135" t="n">
        <v>32385</v>
      </c>
      <c r="Z30" s="702" t="n"/>
      <c r="AA30" s="705" t="n">
        <v>4814</v>
      </c>
      <c r="AB30" s="702" t="n"/>
      <c r="AC30" s="1135" t="n">
        <v>4814</v>
      </c>
      <c r="AD30" s="705" t="n">
        <v>5690</v>
      </c>
      <c r="AE30" s="702" t="n"/>
      <c r="AF30" s="1135" t="n">
        <v>5690</v>
      </c>
      <c r="AG30" s="702" t="n"/>
      <c r="AH30" s="1139" t="n"/>
      <c r="AI30" s="1139" t="n"/>
      <c r="AJ30" s="1136" t="n">
        <v>331645</v>
      </c>
      <c r="AK30" s="1136" t="n">
        <v>185389</v>
      </c>
      <c r="AL30" s="702" t="n"/>
      <c r="AM30" s="694"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1132">
        <f>IF(B30="","",IFERROR(INDEX(OCC_TABLE_DESC,MATCH(B30,OCC_TABLE_CODE,0)),"Unrecognized code"))</f>
        <v/>
      </c>
    </row>
    <row r="31" ht="18" customHeight="1">
      <c r="A31" s="702" t="inlineStr">
        <is>
          <t>P012</t>
        </is>
      </c>
      <c r="B31" s="695" t="n">
        <v>344</v>
      </c>
      <c r="C31" s="703" t="inlineStr">
        <is>
          <t>R0124385</t>
        </is>
      </c>
      <c r="D31" s="694" t="inlineStr">
        <is>
          <t>Unknown (Tax District 555)</t>
        </is>
      </c>
      <c r="E31" s="702" t="inlineStr">
        <is>
          <t>Adams County</t>
        </is>
      </c>
      <c r="F31" s="702" t="inlineStr">
        <is>
          <t>CO</t>
        </is>
      </c>
      <c r="G31" s="702" t="inlineStr">
        <is>
          <t>Office</t>
        </is>
      </c>
      <c r="H31" s="694"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1138" t="n"/>
      <c r="Z31" s="702" t="n"/>
      <c r="AA31" s="702" t="n"/>
      <c r="AB31" s="702" t="n"/>
      <c r="AC31" s="1138" t="n"/>
      <c r="AD31" s="702" t="n"/>
      <c r="AE31" s="702" t="n"/>
      <c r="AF31" s="1138" t="n"/>
      <c r="AG31" s="702" t="n"/>
      <c r="AH31" s="1136" t="n">
        <v>108096</v>
      </c>
      <c r="AI31" s="1136" t="n">
        <v>45179</v>
      </c>
      <c r="AJ31" s="1136" t="n">
        <v>153275</v>
      </c>
      <c r="AK31" s="1136" t="n">
        <v>167644</v>
      </c>
      <c r="AL31" s="702" t="n"/>
      <c r="AM31" s="694" t="inlineStr">
        <is>
          <t>Limited line-item detail; totals from PROFORMA BASIS FOR OFFER.xlsx actuals section</t>
        </is>
      </c>
      <c r="AN31">
        <f>IF(AND($B31=Subj_OccCode,Subj_BldgSF&gt;0,ABS($J31-Subj_BldgSF)&lt;=Subj_BldgSF*Subj_SizeTol),ABS($J31-Subj_BldgSF),NA())</f>
        <v/>
      </c>
      <c r="AO31">
        <f>IF(ISNA(AN31),NA(),AN31+ROW()/10000000)</f>
        <v/>
      </c>
      <c r="AR31" s="1132">
        <f>IF(B31="","",IFERROR(INDEX(OCC_TABLE_DESC,MATCH(B31,OCC_TABLE_CODE,0)),"Unrecognized code"))</f>
        <v/>
      </c>
    </row>
    <row r="32" ht="18" customHeight="1">
      <c r="A32" s="702" t="inlineStr">
        <is>
          <t>P012</t>
        </is>
      </c>
      <c r="B32" s="695" t="n">
        <v>344</v>
      </c>
      <c r="C32" s="703" t="inlineStr">
        <is>
          <t>R0124385</t>
        </is>
      </c>
      <c r="D32" s="694" t="inlineStr">
        <is>
          <t>Unknown (Tax District 555)</t>
        </is>
      </c>
      <c r="E32" s="702" t="inlineStr">
        <is>
          <t>Adams County</t>
        </is>
      </c>
      <c r="F32" s="702" t="inlineStr">
        <is>
          <t>CO</t>
        </is>
      </c>
      <c r="G32" s="702" t="inlineStr">
        <is>
          <t>Office</t>
        </is>
      </c>
      <c r="H32" s="694"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1138" t="n"/>
      <c r="Z32" s="702" t="n"/>
      <c r="AA32" s="702" t="n"/>
      <c r="AB32" s="702" t="n"/>
      <c r="AC32" s="1138" t="n"/>
      <c r="AD32" s="702" t="n"/>
      <c r="AE32" s="702" t="n"/>
      <c r="AF32" s="1138" t="n"/>
      <c r="AG32" s="702" t="n"/>
      <c r="AH32" s="1136" t="n">
        <v>127491</v>
      </c>
      <c r="AI32" s="1136" t="n">
        <v>43698</v>
      </c>
      <c r="AJ32" s="1136" t="n">
        <v>185189</v>
      </c>
      <c r="AK32" s="1136" t="n">
        <v>171065</v>
      </c>
      <c r="AL32" s="702" t="n"/>
      <c r="AM32" s="694" t="inlineStr">
        <is>
          <t>CapEx $14,000 non-recurring excluded from OPX; limited line-item detail</t>
        </is>
      </c>
      <c r="AN32">
        <f>IF(AND($B32=Subj_OccCode,Subj_BldgSF&gt;0,ABS($J32-Subj_BldgSF)&lt;=Subj_BldgSF*Subj_SizeTol),ABS($J32-Subj_BldgSF),NA())</f>
        <v/>
      </c>
      <c r="AO32">
        <f>IF(ISNA(AN32),NA(),AN32+ROW()/10000000)</f>
        <v/>
      </c>
      <c r="AR32" s="1132">
        <f>IF(B32="","",IFERROR(INDEX(OCC_TABLE_DESC,MATCH(B32,OCC_TABLE_CODE,0)),"Unrecognized code"))</f>
        <v/>
      </c>
    </row>
    <row r="33" ht="18" customHeight="1">
      <c r="A33" s="702" t="inlineStr">
        <is>
          <t>P013</t>
        </is>
      </c>
      <c r="B33" s="695" t="n">
        <v>353</v>
      </c>
      <c r="C33" s="703" t="inlineStr">
        <is>
          <t>R0169176</t>
        </is>
      </c>
      <c r="D33" s="694" t="inlineStr">
        <is>
          <t>Unknown (new const., opened Oct 2023)</t>
        </is>
      </c>
      <c r="E33" s="702" t="inlineStr">
        <is>
          <t>Adams County</t>
        </is>
      </c>
      <c r="F33" s="702" t="inlineStr">
        <is>
          <t>CO</t>
        </is>
      </c>
      <c r="G33" s="702" t="inlineStr">
        <is>
          <t>Retail/Office</t>
        </is>
      </c>
      <c r="H33" s="694"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1135" t="n">
        <v>50972</v>
      </c>
      <c r="Z33" s="702" t="n"/>
      <c r="AA33" s="705" t="n">
        <v>7543</v>
      </c>
      <c r="AB33" s="702" t="n"/>
      <c r="AC33" s="1135" t="n">
        <v>7543</v>
      </c>
      <c r="AD33" s="705" t="n">
        <v>4602</v>
      </c>
      <c r="AE33" s="705" t="n">
        <v>51467</v>
      </c>
      <c r="AF33" s="1135" t="n">
        <v>56069</v>
      </c>
      <c r="AG33" s="702" t="n"/>
      <c r="AH33" s="1136" t="n">
        <v>157946</v>
      </c>
      <c r="AI33" s="1136" t="n">
        <v>125577</v>
      </c>
      <c r="AJ33" s="1136" t="n">
        <v>283523</v>
      </c>
      <c r="AK33" s="1136" t="n">
        <v>241009</v>
      </c>
      <c r="AL33" s="702" t="n"/>
      <c r="AM33" s="694"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1132">
        <f>IF(B33="","",IFERROR(INDEX(OCC_TABLE_DESC,MATCH(B33,OCC_TABLE_CODE,0)),"Unrecognized code"))</f>
        <v/>
      </c>
    </row>
    <row r="34" ht="18" customHeight="1">
      <c r="A34" s="702" t="inlineStr">
        <is>
          <t>P013</t>
        </is>
      </c>
      <c r="B34" s="695" t="n">
        <v>353</v>
      </c>
      <c r="C34" s="703" t="inlineStr">
        <is>
          <t>R0169176</t>
        </is>
      </c>
      <c r="D34" s="694" t="inlineStr">
        <is>
          <t>Unknown (new const., opened Oct 2023)</t>
        </is>
      </c>
      <c r="E34" s="702" t="inlineStr">
        <is>
          <t>Adams County</t>
        </is>
      </c>
      <c r="F34" s="702" t="inlineStr">
        <is>
          <t>CO</t>
        </is>
      </c>
      <c r="G34" s="702" t="inlineStr">
        <is>
          <t>Retail/Office</t>
        </is>
      </c>
      <c r="H34" s="694"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1135" t="n">
        <v>36931</v>
      </c>
      <c r="Z34" s="702" t="n"/>
      <c r="AA34" s="705" t="n">
        <v>27159</v>
      </c>
      <c r="AB34" s="702" t="n"/>
      <c r="AC34" s="1135" t="n">
        <v>27159</v>
      </c>
      <c r="AD34" s="705" t="n">
        <v>5043</v>
      </c>
      <c r="AE34" s="705" t="n">
        <v>54230</v>
      </c>
      <c r="AF34" s="1135" t="n">
        <v>59273</v>
      </c>
      <c r="AG34" s="702" t="n"/>
      <c r="AH34" s="1136" t="n">
        <v>162518</v>
      </c>
      <c r="AI34" s="1136" t="n">
        <v>156074</v>
      </c>
      <c r="AJ34" s="1136" t="n">
        <v>318592</v>
      </c>
      <c r="AK34" s="1136" t="n">
        <v>278464</v>
      </c>
      <c r="AL34" s="702" t="n"/>
      <c r="AM34" s="694"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1132">
        <f>IF(B34="","",IFERROR(INDEX(OCC_TABLE_DESC,MATCH(B34,OCC_TABLE_CODE,0)),"Unrecognized code"))</f>
        <v/>
      </c>
    </row>
    <row r="35" ht="18" customHeight="1">
      <c r="A35" s="702" t="inlineStr">
        <is>
          <t>P014</t>
        </is>
      </c>
      <c r="B35" s="695" t="n">
        <v>407</v>
      </c>
      <c r="C35" s="703" t="inlineStr">
        <is>
          <t>R0198530</t>
        </is>
      </c>
      <c r="D35" s="694" t="inlineStr">
        <is>
          <t>Amazon DEN7 Distribution Center</t>
        </is>
      </c>
      <c r="E35" s="702" t="inlineStr">
        <is>
          <t>Aurora</t>
        </is>
      </c>
      <c r="F35" s="702" t="inlineStr">
        <is>
          <t>CO</t>
        </is>
      </c>
      <c r="G35" s="702" t="inlineStr">
        <is>
          <t>Industrial/Distribution</t>
        </is>
      </c>
      <c r="H35" s="694"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1138" t="n"/>
      <c r="Z35" s="702" t="n"/>
      <c r="AA35" s="702" t="n"/>
      <c r="AB35" s="702" t="n"/>
      <c r="AC35" s="1135" t="n">
        <v>22360</v>
      </c>
      <c r="AD35" s="702" t="n"/>
      <c r="AE35" s="702" t="n"/>
      <c r="AF35" s="1135" t="n">
        <v>1107</v>
      </c>
      <c r="AG35" s="702" t="n"/>
      <c r="AH35" s="1136" t="n">
        <v>197351</v>
      </c>
      <c r="AI35" s="1136" t="n">
        <v>1617282</v>
      </c>
      <c r="AJ35" s="1136" t="n">
        <v>1814633</v>
      </c>
      <c r="AK35" s="1139" t="n"/>
      <c r="AL35" s="702" t="n"/>
      <c r="AM35" s="694"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1132">
        <f>IF(B35="","",IFERROR(INDEX(OCC_TABLE_DESC,MATCH(B35,OCC_TABLE_CODE,0)),"Unrecognized code"))</f>
        <v/>
      </c>
    </row>
    <row r="36" ht="18" customHeight="1">
      <c r="A36" s="702" t="inlineStr">
        <is>
          <t>P014</t>
        </is>
      </c>
      <c r="B36" s="695" t="n">
        <v>407</v>
      </c>
      <c r="C36" s="703" t="inlineStr">
        <is>
          <t>R0198530</t>
        </is>
      </c>
      <c r="D36" s="694" t="inlineStr">
        <is>
          <t>Amazon DEN7 Distribution Center</t>
        </is>
      </c>
      <c r="E36" s="702" t="inlineStr">
        <is>
          <t>Aurora</t>
        </is>
      </c>
      <c r="F36" s="702" t="inlineStr">
        <is>
          <t>CO</t>
        </is>
      </c>
      <c r="G36" s="702" t="inlineStr">
        <is>
          <t>Industrial/Distribution</t>
        </is>
      </c>
      <c r="H36" s="694"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1138" t="n"/>
      <c r="Z36" s="702" t="n"/>
      <c r="AA36" s="702" t="n"/>
      <c r="AB36" s="705" t="n">
        <v>2110</v>
      </c>
      <c r="AC36" s="1135" t="n">
        <v>17455</v>
      </c>
      <c r="AD36" s="702" t="n"/>
      <c r="AE36" s="702" t="n"/>
      <c r="AF36" s="1135" t="n">
        <v>2024</v>
      </c>
      <c r="AG36" s="702" t="n"/>
      <c r="AH36" s="1136" t="n">
        <v>154693</v>
      </c>
      <c r="AI36" s="1136" t="n">
        <v>2161856</v>
      </c>
      <c r="AJ36" s="1136" t="n">
        <v>2316549</v>
      </c>
      <c r="AK36" s="1139" t="n"/>
      <c r="AL36" s="702" t="n"/>
      <c r="AM36" s="694"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1132">
        <f>IF(B36="","",IFERROR(INDEX(OCC_TABLE_DESC,MATCH(B36,OCC_TABLE_CODE,0)),"Unrecognized code"))</f>
        <v/>
      </c>
    </row>
    <row r="37">
      <c r="A37" s="703" t="inlineStr">
        <is>
          <t>P015</t>
        </is>
      </c>
      <c r="B37" s="695" t="n">
        <v>407</v>
      </c>
      <c r="C37" s="703" t="inlineStr">
        <is>
          <t>R0180894</t>
        </is>
      </c>
      <c r="D37" s="1195" t="inlineStr">
        <is>
          <t>1910 N Gun Club Rd</t>
        </is>
      </c>
      <c r="E37" s="703" t="inlineStr">
        <is>
          <t>Aurora</t>
        </is>
      </c>
      <c r="F37" s="703" t="inlineStr">
        <is>
          <t>CO</t>
        </is>
      </c>
      <c r="G37" s="703" t="inlineStr">
        <is>
          <t>Industrial</t>
        </is>
      </c>
      <c r="H37" s="1195"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1195" t="inlineStr">
        <is>
          <t>Actual accrual; security $159,500 in Other</t>
        </is>
      </c>
      <c r="AN37">
        <f>IF(AND($B37=Subj_OccCode,Subj_BldgSF&gt;0,ABS($J37-Subj_BldgSF)&lt;=Subj_BldgSF*Subj_SizeTol),ABS($J37-Subj_BldgSF),NA())</f>
        <v/>
      </c>
      <c r="AO37">
        <f>IF(ISNA(AN37),NA(),AN37+ROW()/10000000)</f>
        <v/>
      </c>
      <c r="AR37" s="1132">
        <f>IF(B37="","",IFERROR(INDEX(OCC_TABLE_DESC,MATCH(B37,OCC_TABLE_CODE,0)),"Unrecognized code"))</f>
        <v/>
      </c>
    </row>
    <row r="38">
      <c r="A38" s="703" t="inlineStr">
        <is>
          <t>P015</t>
        </is>
      </c>
      <c r="B38" s="695" t="n">
        <v>407</v>
      </c>
      <c r="C38" s="703" t="inlineStr">
        <is>
          <t>R0180894</t>
        </is>
      </c>
      <c r="D38" s="1195" t="inlineStr">
        <is>
          <t>1910 N Gun Club Rd</t>
        </is>
      </c>
      <c r="E38" s="703" t="inlineStr">
        <is>
          <t>Aurora</t>
        </is>
      </c>
      <c r="F38" s="703" t="inlineStr">
        <is>
          <t>CO</t>
        </is>
      </c>
      <c r="G38" s="703" t="inlineStr">
        <is>
          <t>Industrial</t>
        </is>
      </c>
      <c r="H38" s="1195"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1195" t="inlineStr">
        <is>
          <t>Actual accrual; security $132,552 in Other</t>
        </is>
      </c>
      <c r="AN38">
        <f>IF(AND($B38=Subj_OccCode,Subj_BldgSF&gt;0,ABS($J38-Subj_BldgSF)&lt;=Subj_BldgSF*Subj_SizeTol),ABS($J38-Subj_BldgSF),NA())</f>
        <v/>
      </c>
      <c r="AO38">
        <f>IF(ISNA(AN38),NA(),AN38+ROW()/10000000)</f>
        <v/>
      </c>
      <c r="AR38" s="1132">
        <f>IF(B38="","",IFERROR(INDEX(OCC_TABLE_DESC,MATCH(B38,OCC_TABLE_CODE,0)),"Unrecognized code"))</f>
        <v/>
      </c>
    </row>
    <row r="39">
      <c r="A39" s="703" t="inlineStr">
        <is>
          <t>P016</t>
        </is>
      </c>
      <c r="B39" s="695" t="n">
        <v>584</v>
      </c>
      <c r="C39" s="703" t="inlineStr">
        <is>
          <t>R0212546/R0212547</t>
        </is>
      </c>
      <c r="D39" s="1195" t="inlineStr">
        <is>
          <t>2780 N Tower Rd</t>
        </is>
      </c>
      <c r="E39" s="703" t="inlineStr">
        <is>
          <t>Aurora</t>
        </is>
      </c>
      <c r="F39" s="703" t="inlineStr">
        <is>
          <t>CO</t>
        </is>
      </c>
      <c r="G39" s="703" t="inlineStr">
        <is>
          <t>Industrial</t>
        </is>
      </c>
      <c r="H39" s="1195"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1195" t="inlineStr">
        <is>
          <t>County proforma only; limited line-item detail available</t>
        </is>
      </c>
      <c r="AN39">
        <f>IF(AND($B39=Subj_OccCode,Subj_BldgSF&gt;0,ABS($J39-Subj_BldgSF)&lt;=Subj_BldgSF*Subj_SizeTol),ABS($J39-Subj_BldgSF),NA())</f>
        <v/>
      </c>
      <c r="AO39">
        <f>IF(ISNA(AN39),NA(),AN39+ROW()/10000000)</f>
        <v/>
      </c>
      <c r="AR39" s="1132">
        <f>IF(B39="","",IFERROR(INDEX(OCC_TABLE_DESC,MATCH(B39,OCC_TABLE_CODE,0)),"Unrecognized code"))</f>
        <v/>
      </c>
    </row>
    <row r="40">
      <c r="A40" s="703" t="inlineStr">
        <is>
          <t>P017</t>
        </is>
      </c>
      <c r="B40" s="695" t="n">
        <v>210</v>
      </c>
      <c r="C40" s="703" t="inlineStr">
        <is>
          <t>R0098098</t>
        </is>
      </c>
      <c r="D40" s="1195" t="inlineStr">
        <is>
          <t>1445 E 68th Ave</t>
        </is>
      </c>
      <c r="E40" s="703" t="inlineStr">
        <is>
          <t>Denver</t>
        </is>
      </c>
      <c r="F40" s="703" t="inlineStr">
        <is>
          <t>CO</t>
        </is>
      </c>
      <c r="G40" s="703" t="inlineStr">
        <is>
          <t>Industrial</t>
        </is>
      </c>
      <c r="H40" s="1195"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1195" t="inlineStr">
        <is>
          <t>County proforma 2024; YOC 1972/2006/2023 additions</t>
        </is>
      </c>
      <c r="AN40">
        <f>IF(AND($B40=Subj_OccCode,Subj_BldgSF&gt;0,ABS($J40-Subj_BldgSF)&lt;=Subj_BldgSF*Subj_SizeTol),ABS($J40-Subj_BldgSF),NA())</f>
        <v/>
      </c>
      <c r="AO40">
        <f>IF(ISNA(AN40),NA(),AN40+ROW()/10000000)</f>
        <v/>
      </c>
      <c r="AR40" s="1132">
        <f>IF(B40="","",IFERROR(INDEX(OCC_TABLE_DESC,MATCH(B40,OCC_TABLE_CODE,0)),"Unrecognized code"))</f>
        <v/>
      </c>
    </row>
    <row r="41">
      <c r="A41" s="703" t="inlineStr">
        <is>
          <t>P018</t>
        </is>
      </c>
      <c r="B41" s="695" t="n">
        <v>406</v>
      </c>
      <c r="C41" s="703" t="inlineStr">
        <is>
          <t>R0103783</t>
        </is>
      </c>
      <c r="D41" s="1195" t="inlineStr">
        <is>
          <t>2031 E 58th Ave</t>
        </is>
      </c>
      <c r="E41" s="703" t="inlineStr">
        <is>
          <t>Denver</t>
        </is>
      </c>
      <c r="F41" s="703" t="inlineStr">
        <is>
          <t>CO</t>
        </is>
      </c>
      <c r="G41" s="703" t="inlineStr">
        <is>
          <t>Industrial</t>
        </is>
      </c>
      <c r="H41" s="1195"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1195" t="inlineStr">
        <is>
          <t>NNN billed charges; EGI = base rent + NNN pass-throughs</t>
        </is>
      </c>
      <c r="AN41">
        <f>IF(AND($B41=Subj_OccCode,Subj_BldgSF&gt;0,ABS($J41-Subj_BldgSF)&lt;=Subj_BldgSF*Subj_SizeTol),ABS($J41-Subj_BldgSF),NA())</f>
        <v/>
      </c>
      <c r="AO41">
        <f>IF(ISNA(AN41),NA(),AN41+ROW()/10000000)</f>
        <v/>
      </c>
      <c r="AR41" s="1132">
        <f>IF(B41="","",IFERROR(INDEX(OCC_TABLE_DESC,MATCH(B41,OCC_TABLE_CODE,0)),"Unrecognized code"))</f>
        <v/>
      </c>
    </row>
    <row r="42">
      <c r="A42" s="703" t="inlineStr">
        <is>
          <t>P018</t>
        </is>
      </c>
      <c r="B42" s="695" t="n">
        <v>406</v>
      </c>
      <c r="C42" s="703" t="inlineStr">
        <is>
          <t>R0103783</t>
        </is>
      </c>
      <c r="D42" s="1195" t="inlineStr">
        <is>
          <t>2031 E 58th Ave</t>
        </is>
      </c>
      <c r="E42" s="703" t="inlineStr">
        <is>
          <t>Denver</t>
        </is>
      </c>
      <c r="F42" s="703" t="inlineStr">
        <is>
          <t>CO</t>
        </is>
      </c>
      <c r="G42" s="703" t="inlineStr">
        <is>
          <t>Industrial</t>
        </is>
      </c>
      <c r="H42" s="1195"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1195" t="inlineStr">
        <is>
          <t>NNN billed charges; EGI = base rent + NNN pass-throughs</t>
        </is>
      </c>
      <c r="AN42">
        <f>IF(AND($B42=Subj_OccCode,Subj_BldgSF&gt;0,ABS($J42-Subj_BldgSF)&lt;=Subj_BldgSF*Subj_SizeTol),ABS($J42-Subj_BldgSF),NA())</f>
        <v/>
      </c>
      <c r="AO42">
        <f>IF(ISNA(AN42),NA(),AN42+ROW()/10000000)</f>
        <v/>
      </c>
      <c r="AR42" s="1132">
        <f>IF(B42="","",IFERROR(INDEX(OCC_TABLE_DESC,MATCH(B42,OCC_TABLE_CODE,0)),"Unrecognized code"))</f>
        <v/>
      </c>
    </row>
    <row r="43">
      <c r="A43" s="703" t="inlineStr">
        <is>
          <t>P019</t>
        </is>
      </c>
      <c r="B43" s="695" t="n">
        <v>407</v>
      </c>
      <c r="C43" s="703" t="inlineStr">
        <is>
          <t>R0210402/R0210403</t>
        </is>
      </c>
      <c r="D43" s="1195" t="inlineStr">
        <is>
          <t>17190 E 85th Ave</t>
        </is>
      </c>
      <c r="E43" s="703" t="inlineStr">
        <is>
          <t>Commerce City</t>
        </is>
      </c>
      <c r="F43" s="703" t="inlineStr">
        <is>
          <t>CO</t>
        </is>
      </c>
      <c r="G43" s="703" t="inlineStr">
        <is>
          <t>Industrial</t>
        </is>
      </c>
      <c r="H43" s="1195"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1195" t="inlineStr">
        <is>
          <t>Petitioner proforma 2024/25; limited line-item detail</t>
        </is>
      </c>
      <c r="AN43">
        <f>IF(AND($B43=Subj_OccCode,Subj_BldgSF&gt;0,ABS($J43-Subj_BldgSF)&lt;=Subj_BldgSF*Subj_SizeTol),ABS($J43-Subj_BldgSF),NA())</f>
        <v/>
      </c>
      <c r="AO43">
        <f>IF(ISNA(AN43),NA(),AN43+ROW()/10000000)</f>
        <v/>
      </c>
      <c r="AR43" s="1132">
        <f>IF(B43="","",IFERROR(INDEX(OCC_TABLE_DESC,MATCH(B43,OCC_TABLE_CODE,0)),"Unrecognized code"))</f>
        <v/>
      </c>
    </row>
    <row r="44">
      <c r="A44" s="703" t="inlineStr">
        <is>
          <t>P020</t>
        </is>
      </c>
      <c r="B44" s="695" t="n">
        <v>584</v>
      </c>
      <c r="C44" s="703" t="inlineStr">
        <is>
          <t>R0209679</t>
        </is>
      </c>
      <c r="D44" s="1195" t="inlineStr">
        <is>
          <t>17501 E 84th Ave</t>
        </is>
      </c>
      <c r="E44" s="703" t="inlineStr">
        <is>
          <t>Commerce City</t>
        </is>
      </c>
      <c r="F44" s="703" t="inlineStr">
        <is>
          <t>CO</t>
        </is>
      </c>
      <c r="G44" s="703" t="inlineStr">
        <is>
          <t>Industrial</t>
        </is>
      </c>
      <c r="H44" s="1195"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1195" t="inlineStr">
        <is>
          <t>Actual accrual; 2023 NOI inflated ~$2.8M by prior-yr RE tax adj; security in Other</t>
        </is>
      </c>
      <c r="AN44">
        <f>IF(AND($B44=Subj_OccCode,Subj_BldgSF&gt;0,ABS($J44-Subj_BldgSF)&lt;=Subj_BldgSF*Subj_SizeTol),ABS($J44-Subj_BldgSF),NA())</f>
        <v/>
      </c>
      <c r="AO44">
        <f>IF(ISNA(AN44),NA(),AN44+ROW()/10000000)</f>
        <v/>
      </c>
      <c r="AR44" s="1132">
        <f>IF(B44="","",IFERROR(INDEX(OCC_TABLE_DESC,MATCH(B44,OCC_TABLE_CODE,0)),"Unrecognized code"))</f>
        <v/>
      </c>
    </row>
    <row r="45">
      <c r="A45" s="703" t="inlineStr">
        <is>
          <t>P020</t>
        </is>
      </c>
      <c r="B45" s="695" t="n">
        <v>584</v>
      </c>
      <c r="C45" s="703" t="inlineStr">
        <is>
          <t>R0209679</t>
        </is>
      </c>
      <c r="D45" s="1195" t="inlineStr">
        <is>
          <t>17501 E 84th Ave</t>
        </is>
      </c>
      <c r="E45" s="703" t="inlineStr">
        <is>
          <t>Commerce City</t>
        </is>
      </c>
      <c r="F45" s="703" t="inlineStr">
        <is>
          <t>CO</t>
        </is>
      </c>
      <c r="G45" s="703" t="inlineStr">
        <is>
          <t>Industrial</t>
        </is>
      </c>
      <c r="H45" s="1195"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1195" t="inlineStr">
        <is>
          <t>Actual accrual; security $30,799 in Other</t>
        </is>
      </c>
      <c r="AN45">
        <f>IF(AND($B45=Subj_OccCode,Subj_BldgSF&gt;0,ABS($J45-Subj_BldgSF)&lt;=Subj_BldgSF*Subj_SizeTol),ABS($J45-Subj_BldgSF),NA())</f>
        <v/>
      </c>
      <c r="AO45">
        <f>IF(ISNA(AN45),NA(),AN45+ROW()/10000000)</f>
        <v/>
      </c>
      <c r="AR45" s="1132">
        <f>IF(B45="","",IFERROR(INDEX(OCC_TABLE_DESC,MATCH(B45,OCC_TABLE_CODE,0)),"Unrecognized code"))</f>
        <v/>
      </c>
    </row>
    <row r="46">
      <c r="A46" s="703" t="inlineStr">
        <is>
          <t>P021</t>
        </is>
      </c>
      <c r="B46" s="695" t="n">
        <v>210</v>
      </c>
      <c r="C46" s="703" t="inlineStr">
        <is>
          <t>R0091931</t>
        </is>
      </c>
      <c r="D46" s="1195" t="inlineStr">
        <is>
          <t>6300 E. 58th Ave</t>
        </is>
      </c>
      <c r="E46" s="703" t="inlineStr">
        <is>
          <t>Commerce City</t>
        </is>
      </c>
      <c r="F46" s="703" t="inlineStr">
        <is>
          <t>CO</t>
        </is>
      </c>
      <c r="G46" s="703" t="inlineStr">
        <is>
          <t>Industrial</t>
        </is>
      </c>
      <c r="H46" s="1195"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1195" t="inlineStr">
        <is>
          <t>Actual accrual; parking sweep in Trash; admin fees in Mgmt</t>
        </is>
      </c>
      <c r="AN46">
        <f>IF(AND($B46=Subj_OccCode,Subj_BldgSF&gt;0,ABS($J46-Subj_BldgSF)&lt;=Subj_BldgSF*Subj_SizeTol),ABS($J46-Subj_BldgSF),NA())</f>
        <v/>
      </c>
      <c r="AO46">
        <f>IF(ISNA(AN46),NA(),AN46+ROW()/10000000)</f>
        <v/>
      </c>
      <c r="AR46" s="1132">
        <f>IF(B46="","",IFERROR(INDEX(OCC_TABLE_DESC,MATCH(B46,OCC_TABLE_CODE,0)),"Unrecognized code"))</f>
        <v/>
      </c>
    </row>
    <row r="47">
      <c r="A47" s="703" t="inlineStr">
        <is>
          <t>P021</t>
        </is>
      </c>
      <c r="B47" s="695" t="n">
        <v>210</v>
      </c>
      <c r="C47" s="703" t="inlineStr">
        <is>
          <t>R0091931</t>
        </is>
      </c>
      <c r="D47" s="1195" t="inlineStr">
        <is>
          <t>6300 E. 58th Ave</t>
        </is>
      </c>
      <c r="E47" s="703" t="inlineStr">
        <is>
          <t>Commerce City</t>
        </is>
      </c>
      <c r="F47" s="703" t="inlineStr">
        <is>
          <t>CO</t>
        </is>
      </c>
      <c r="G47" s="703" t="inlineStr">
        <is>
          <t>Industrial</t>
        </is>
      </c>
      <c r="H47" s="1195"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1195" t="inlineStr">
        <is>
          <t>Actual accrual; snow $14,953 also listed under ext R&amp;M; security/admin in ext maint</t>
        </is>
      </c>
      <c r="AN47">
        <f>IF(AND($B47=Subj_OccCode,Subj_BldgSF&gt;0,ABS($J47-Subj_BldgSF)&lt;=Subj_BldgSF*Subj_SizeTol),ABS($J47-Subj_BldgSF),NA())</f>
        <v/>
      </c>
      <c r="AO47">
        <f>IF(ISNA(AN47),NA(),AN47+ROW()/10000000)</f>
        <v/>
      </c>
      <c r="AR47" s="1132">
        <f>IF(B47="","",IFERROR(INDEX(OCC_TABLE_DESC,MATCH(B47,OCC_TABLE_CODE,0)),"Unrecognized code"))</f>
        <v/>
      </c>
    </row>
    <row r="48">
      <c r="A48" s="703" t="inlineStr">
        <is>
          <t>P022</t>
        </is>
      </c>
      <c r="B48" s="695" t="n">
        <v>210</v>
      </c>
      <c r="C48" s="703" t="inlineStr">
        <is>
          <t>R0111559</t>
        </is>
      </c>
      <c r="D48" s="1195" t="inlineStr">
        <is>
          <t>3590 N. Himalaya Rd (Bldg 6)</t>
        </is>
      </c>
      <c r="E48" s="703" t="inlineStr">
        <is>
          <t>Aurora</t>
        </is>
      </c>
      <c r="F48" s="703" t="inlineStr">
        <is>
          <t>CO</t>
        </is>
      </c>
      <c r="G48" s="703" t="inlineStr">
        <is>
          <t>Industrial</t>
        </is>
      </c>
      <c r="H48" s="1195"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1195" t="inlineStr">
        <is>
          <t>2024 only – 2023 was transitional vacancy year; SF not confirmed; approx figures</t>
        </is>
      </c>
      <c r="AN48">
        <f>IF(AND($B48=Subj_OccCode,Subj_BldgSF&gt;0,ABS($J48-Subj_BldgSF)&lt;=Subj_BldgSF*Subj_SizeTol),ABS($J48-Subj_BldgSF),NA())</f>
        <v/>
      </c>
      <c r="AO48">
        <f>IF(ISNA(AN48),NA(),AN48+ROW()/10000000)</f>
        <v/>
      </c>
      <c r="AR48" s="1132">
        <f>IF(B48="","",IFERROR(INDEX(OCC_TABLE_DESC,MATCH(B48,OCC_TABLE_CODE,0)),"Unrecognized code"))</f>
        <v/>
      </c>
    </row>
    <row r="49">
      <c r="A49" s="703" t="inlineStr">
        <is>
          <t>P023</t>
        </is>
      </c>
      <c r="B49" s="695" t="n">
        <v>407</v>
      </c>
      <c r="C49" s="703" t="inlineStr">
        <is>
          <t>R0191098</t>
        </is>
      </c>
      <c r="D49" s="1195" t="inlineStr">
        <is>
          <t>19754 E. 35th Dr (Bldg 4)</t>
        </is>
      </c>
      <c r="E49" s="703" t="inlineStr">
        <is>
          <t>Aurora</t>
        </is>
      </c>
      <c r="F49" s="703" t="inlineStr">
        <is>
          <t>CO</t>
        </is>
      </c>
      <c r="G49" s="703" t="inlineStr">
        <is>
          <t>Industrial</t>
        </is>
      </c>
      <c r="H49" s="1195"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1195" t="inlineStr">
        <is>
          <t>NNN; tenant pays most R&amp;M directly; Quality Custom Distribution lease thru 12/31/2029</t>
        </is>
      </c>
      <c r="AN49">
        <f>IF(AND($B49=Subj_OccCode,Subj_BldgSF&gt;0,ABS($J49-Subj_BldgSF)&lt;=Subj_BldgSF*Subj_SizeTol),ABS($J49-Subj_BldgSF),NA())</f>
        <v/>
      </c>
      <c r="AO49">
        <f>IF(ISNA(AN49),NA(),AN49+ROW()/10000000)</f>
        <v/>
      </c>
      <c r="AR49" s="1132">
        <f>IF(B49="","",IFERROR(INDEX(OCC_TABLE_DESC,MATCH(B49,OCC_TABLE_CODE,0)),"Unrecognized code"))</f>
        <v/>
      </c>
    </row>
    <row r="50">
      <c r="A50" s="703" t="inlineStr">
        <is>
          <t>P023</t>
        </is>
      </c>
      <c r="B50" s="695" t="n">
        <v>407</v>
      </c>
      <c r="C50" s="703" t="inlineStr">
        <is>
          <t>R0191098</t>
        </is>
      </c>
      <c r="D50" s="1195" t="inlineStr">
        <is>
          <t>19754 E. 35th Dr (Bldg 4)</t>
        </is>
      </c>
      <c r="E50" s="703" t="inlineStr">
        <is>
          <t>Aurora</t>
        </is>
      </c>
      <c r="F50" s="703" t="inlineStr">
        <is>
          <t>CO</t>
        </is>
      </c>
      <c r="G50" s="703" t="inlineStr">
        <is>
          <t>Industrial</t>
        </is>
      </c>
      <c r="H50" s="1195"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1195" t="inlineStr">
        <is>
          <t>NNN; tenant pays most R&amp;M directly</t>
        </is>
      </c>
      <c r="AN50">
        <f>IF(AND($B50=Subj_OccCode,Subj_BldgSF&gt;0,ABS($J50-Subj_BldgSF)&lt;=Subj_BldgSF*Subj_SizeTol),ABS($J50-Subj_BldgSF),NA())</f>
        <v/>
      </c>
      <c r="AO50">
        <f>IF(ISNA(AN50),NA(),AN50+ROW()/10000000)</f>
        <v/>
      </c>
      <c r="AR50" s="1132">
        <f>IF(B50="","",IFERROR(INDEX(OCC_TABLE_DESC,MATCH(B50,OCC_TABLE_CODE,0)),"Unrecognized code"))</f>
        <v/>
      </c>
    </row>
    <row r="51">
      <c r="A51" s="703" t="inlineStr">
        <is>
          <t>P024</t>
        </is>
      </c>
      <c r="B51" s="695" t="n">
        <v>407</v>
      </c>
      <c r="C51" s="703" t="inlineStr">
        <is>
          <t>R0111560</t>
        </is>
      </c>
      <c r="D51" s="1195" t="inlineStr">
        <is>
          <t>20320 E. 36th Dr (Bldg 7)</t>
        </is>
      </c>
      <c r="E51" s="703" t="inlineStr">
        <is>
          <t>Aurora</t>
        </is>
      </c>
      <c r="F51" s="703" t="inlineStr">
        <is>
          <t>CO</t>
        </is>
      </c>
      <c r="G51" s="703" t="inlineStr">
        <is>
          <t>Industrial</t>
        </is>
      </c>
      <c r="H51" s="1195"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1195" t="inlineStr">
        <is>
          <t>FedEx NNN thru 4/30/2024; tenant pays nearly all expenses; 2024 excluded (lease expiry vacancy)</t>
        </is>
      </c>
      <c r="AN51">
        <f>IF(AND($B51=Subj_OccCode,Subj_BldgSF&gt;0,ABS($J51-Subj_BldgSF)&lt;=Subj_BldgSF*Subj_SizeTol),ABS($J51-Subj_BldgSF),NA())</f>
        <v/>
      </c>
      <c r="AO51">
        <f>IF(ISNA(AN51),NA(),AN51+ROW()/10000000)</f>
        <v/>
      </c>
      <c r="AR51" s="1132">
        <f>IF(B51="","",IFERROR(INDEX(OCC_TABLE_DESC,MATCH(B51,OCC_TABLE_CODE,0)),"Unrecognized code"))</f>
        <v/>
      </c>
    </row>
    <row r="52">
      <c r="A52" s="703" t="inlineStr">
        <is>
          <t>P025</t>
        </is>
      </c>
      <c r="B52" s="695" t="n">
        <v>210</v>
      </c>
      <c r="C52" s="703" t="inlineStr">
        <is>
          <t>R0191099</t>
        </is>
      </c>
      <c r="D52" s="1195" t="inlineStr">
        <is>
          <t>3559 N. Himalaya Rd (Bldg 5)</t>
        </is>
      </c>
      <c r="E52" s="703" t="inlineStr">
        <is>
          <t>Aurora</t>
        </is>
      </c>
      <c r="F52" s="703" t="inlineStr">
        <is>
          <t>CO</t>
        </is>
      </c>
      <c r="G52" s="703" t="inlineStr">
        <is>
          <t>Industrial</t>
        </is>
      </c>
      <c r="H52" s="1195"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1195" t="inlineStr">
        <is>
          <t>Multi-tenant NNN; limited expense detail available; approx figures</t>
        </is>
      </c>
      <c r="AN52">
        <f>IF(AND($B52=Subj_OccCode,Subj_BldgSF&gt;0,ABS($J52-Subj_BldgSF)&lt;=Subj_BldgSF*Subj_SizeTol),ABS($J52-Subj_BldgSF),NA())</f>
        <v/>
      </c>
      <c r="AO52">
        <f>IF(ISNA(AN52),NA(),AN52+ROW()/10000000)</f>
        <v/>
      </c>
      <c r="AR52" s="1132">
        <f>IF(B52="","",IFERROR(INDEX(OCC_TABLE_DESC,MATCH(B52,OCC_TABLE_CODE,0)),"Unrecognized code"))</f>
        <v/>
      </c>
    </row>
    <row r="53">
      <c r="A53" s="703" t="inlineStr">
        <is>
          <t>P025</t>
        </is>
      </c>
      <c r="B53" s="695" t="n">
        <v>210</v>
      </c>
      <c r="C53" s="703" t="inlineStr">
        <is>
          <t>R0191099</t>
        </is>
      </c>
      <c r="D53" s="1195" t="inlineStr">
        <is>
          <t>3559 N. Himalaya Rd (Bldg 5)</t>
        </is>
      </c>
      <c r="E53" s="703" t="inlineStr">
        <is>
          <t>Aurora</t>
        </is>
      </c>
      <c r="F53" s="703" t="inlineStr">
        <is>
          <t>CO</t>
        </is>
      </c>
      <c r="G53" s="703" t="inlineStr">
        <is>
          <t>Industrial</t>
        </is>
      </c>
      <c r="H53" s="1195"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1195" t="inlineStr">
        <is>
          <t>Multi-tenant NNN; limited expense detail available; approx figures</t>
        </is>
      </c>
      <c r="AN53">
        <f>IF(AND($B53=Subj_OccCode,Subj_BldgSF&gt;0,ABS($J53-Subj_BldgSF)&lt;=Subj_BldgSF*Subj_SizeTol),ABS($J53-Subj_BldgSF),NA())</f>
        <v/>
      </c>
      <c r="AO53">
        <f>IF(ISNA(AN53),NA(),AN53+ROW()/10000000)</f>
        <v/>
      </c>
      <c r="AR53" s="1132">
        <f>IF(B53="","",IFERROR(INDEX(OCC_TABLE_DESC,MATCH(B53,OCC_TABLE_CODE,0)),"Unrecognized code"))</f>
        <v/>
      </c>
    </row>
    <row r="54">
      <c r="A54" s="703" t="inlineStr">
        <is>
          <t>P026</t>
        </is>
      </c>
      <c r="B54" s="695" t="n">
        <v>406</v>
      </c>
      <c r="C54" s="703" t="inlineStr">
        <is>
          <t>R0092667</t>
        </is>
      </c>
      <c r="D54" s="1195" t="inlineStr">
        <is>
          <t>4901 Locust St</t>
        </is>
      </c>
      <c r="E54" s="703" t="inlineStr">
        <is>
          <t>Commerce City</t>
        </is>
      </c>
      <c r="F54" s="703" t="inlineStr">
        <is>
          <t>CO</t>
        </is>
      </c>
      <c r="G54" s="703" t="inlineStr">
        <is>
          <t>Industrial</t>
        </is>
      </c>
      <c r="H54" s="1195"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1195" t="inlineStr">
        <is>
          <t>Newmark stabilized proforma 6/30/2024; cap rate 7.00%; not actual historical</t>
        </is>
      </c>
      <c r="AN54">
        <f>IF(AND($B54=Subj_OccCode,Subj_BldgSF&gt;0,ABS($J54-Subj_BldgSF)&lt;=Subj_BldgSF*Subj_SizeTol),ABS($J54-Subj_BldgSF),NA())</f>
        <v/>
      </c>
      <c r="AO54">
        <f>IF(ISNA(AN54),NA(),AN54+ROW()/10000000)</f>
        <v/>
      </c>
      <c r="AR54" s="1132">
        <f>IF(B54="","",IFERROR(INDEX(OCC_TABLE_DESC,MATCH(B54,OCC_TABLE_CODE,0)),"Unrecognized code"))</f>
        <v/>
      </c>
    </row>
    <row r="55">
      <c r="A55" s="703" t="inlineStr">
        <is>
          <t>P022</t>
        </is>
      </c>
      <c r="B55" s="695" t="n">
        <v>210</v>
      </c>
      <c r="C55" s="703" t="inlineStr">
        <is>
          <t>R0111559</t>
        </is>
      </c>
      <c r="D55" s="1195" t="inlineStr">
        <is>
          <t>3590 N. Himalaya Rd (Bldg 6)</t>
        </is>
      </c>
      <c r="E55" s="703" t="inlineStr">
        <is>
          <t>Aurora</t>
        </is>
      </c>
      <c r="F55" s="703" t="inlineStr">
        <is>
          <t>CO</t>
        </is>
      </c>
      <c r="G55" s="703" t="inlineStr">
        <is>
          <t>Industrial</t>
        </is>
      </c>
      <c r="H55" s="1195"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1195" t="inlineStr">
        <is>
          <t>NNN landlord expenses only; from AXG Whse Expenses PSF.xlsx</t>
        </is>
      </c>
      <c r="AN55">
        <f>IF(AND($B55=Subj_OccCode,Subj_BldgSF&gt;0,ABS($J55-Subj_BldgSF)&lt;=Subj_BldgSF*Subj_SizeTol),ABS($J55-Subj_BldgSF),NA())</f>
        <v/>
      </c>
      <c r="AO55">
        <f>IF(ISNA(AN55),NA(),AN55+ROW()/10000000)</f>
        <v/>
      </c>
      <c r="AR55" s="1132">
        <f>IF(B55="","",IFERROR(INDEX(OCC_TABLE_DESC,MATCH(B55,OCC_TABLE_CODE,0)),"Unrecognized code"))</f>
        <v/>
      </c>
    </row>
    <row r="56">
      <c r="A56" s="703" t="inlineStr">
        <is>
          <t>P022</t>
        </is>
      </c>
      <c r="B56" s="695" t="n">
        <v>210</v>
      </c>
      <c r="C56" s="703" t="inlineStr">
        <is>
          <t>R0111559</t>
        </is>
      </c>
      <c r="D56" s="1195" t="inlineStr">
        <is>
          <t>3590 N. Himalaya Rd (Bldg 6)</t>
        </is>
      </c>
      <c r="E56" s="703" t="inlineStr">
        <is>
          <t>Aurora</t>
        </is>
      </c>
      <c r="F56" s="703" t="inlineStr">
        <is>
          <t>CO</t>
        </is>
      </c>
      <c r="G56" s="703" t="inlineStr">
        <is>
          <t>Industrial</t>
        </is>
      </c>
      <c r="H56" s="1195"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1195" t="inlineStr">
        <is>
          <t>NNN landlord expenses only; from AXG Whse Expenses PSF.xlsx</t>
        </is>
      </c>
      <c r="AN56">
        <f>IF(AND($B56=Subj_OccCode,Subj_BldgSF&gt;0,ABS($J56-Subj_BldgSF)&lt;=Subj_BldgSF*Subj_SizeTol),ABS($J56-Subj_BldgSF),NA())</f>
        <v/>
      </c>
      <c r="AO56">
        <f>IF(ISNA(AN56),NA(),AN56+ROW()/10000000)</f>
        <v/>
      </c>
      <c r="AR56" s="1132">
        <f>IF(B56="","",IFERROR(INDEX(OCC_TABLE_DESC,MATCH(B56,OCC_TABLE_CODE,0)),"Unrecognized code"))</f>
        <v/>
      </c>
    </row>
    <row r="57">
      <c r="A57" s="703" t="inlineStr">
        <is>
          <t>P024</t>
        </is>
      </c>
      <c r="B57" s="695" t="n">
        <v>407</v>
      </c>
      <c r="C57" s="703" t="inlineStr">
        <is>
          <t>R0111560</t>
        </is>
      </c>
      <c r="D57" s="1195" t="inlineStr">
        <is>
          <t>20320 E. 36th Dr (Bldg 7)</t>
        </is>
      </c>
      <c r="E57" s="703" t="inlineStr">
        <is>
          <t>Aurora</t>
        </is>
      </c>
      <c r="F57" s="703" t="inlineStr">
        <is>
          <t>CO</t>
        </is>
      </c>
      <c r="G57" s="703" t="inlineStr">
        <is>
          <t>Industrial</t>
        </is>
      </c>
      <c r="H57" s="1195"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1195" t="inlineStr">
        <is>
          <t>NNN landlord expenses only; from AXG Whse Expenses PSF.xlsx</t>
        </is>
      </c>
      <c r="AN57">
        <f>IF(AND($B57=Subj_OccCode,Subj_BldgSF&gt;0,ABS($J57-Subj_BldgSF)&lt;=Subj_BldgSF*Subj_SizeTol),ABS($J57-Subj_BldgSF),NA())</f>
        <v/>
      </c>
      <c r="AO57">
        <f>IF(ISNA(AN57),NA(),AN57+ROW()/10000000)</f>
        <v/>
      </c>
      <c r="AR57" s="1132">
        <f>IF(B57="","",IFERROR(INDEX(OCC_TABLE_DESC,MATCH(B57,OCC_TABLE_CODE,0)),"Unrecognized code"))</f>
        <v/>
      </c>
    </row>
    <row r="58">
      <c r="A58" s="703" t="inlineStr">
        <is>
          <t>P024</t>
        </is>
      </c>
      <c r="B58" s="695" t="n">
        <v>407</v>
      </c>
      <c r="C58" s="703" t="inlineStr">
        <is>
          <t>R0111560</t>
        </is>
      </c>
      <c r="D58" s="1195" t="inlineStr">
        <is>
          <t>20320 E. 36th Dr (Bldg 7)</t>
        </is>
      </c>
      <c r="E58" s="703" t="inlineStr">
        <is>
          <t>Aurora</t>
        </is>
      </c>
      <c r="F58" s="703" t="inlineStr">
        <is>
          <t>CO</t>
        </is>
      </c>
      <c r="G58" s="703" t="inlineStr">
        <is>
          <t>Industrial</t>
        </is>
      </c>
      <c r="H58" s="1195"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1195" t="inlineStr">
        <is>
          <t>NNN landlord expenses only; from AXG Whse Expenses PSF.xlsx</t>
        </is>
      </c>
      <c r="AN58">
        <f>IF(AND($B58=Subj_OccCode,Subj_BldgSF&gt;0,ABS($J58-Subj_BldgSF)&lt;=Subj_BldgSF*Subj_SizeTol),ABS($J58-Subj_BldgSF),NA())</f>
        <v/>
      </c>
      <c r="AO58">
        <f>IF(ISNA(AN58),NA(),AN58+ROW()/10000000)</f>
        <v/>
      </c>
      <c r="AR58" s="1132">
        <f>IF(B58="","",IFERROR(INDEX(OCC_TABLE_DESC,MATCH(B58,OCC_TABLE_CODE,0)),"Unrecognized code"))</f>
        <v/>
      </c>
    </row>
    <row r="59">
      <c r="A59" s="703" t="inlineStr">
        <is>
          <t>P025</t>
        </is>
      </c>
      <c r="B59" s="695" t="n">
        <v>210</v>
      </c>
      <c r="C59" s="703" t="inlineStr">
        <is>
          <t>R0191099</t>
        </is>
      </c>
      <c r="D59" s="1195" t="inlineStr">
        <is>
          <t>3559 N. Himalaya Rd (Bldg 5)</t>
        </is>
      </c>
      <c r="E59" s="703" t="inlineStr">
        <is>
          <t>Aurora</t>
        </is>
      </c>
      <c r="F59" s="703" t="inlineStr">
        <is>
          <t>CO</t>
        </is>
      </c>
      <c r="G59" s="703" t="inlineStr">
        <is>
          <t>Industrial</t>
        </is>
      </c>
      <c r="H59" s="1195"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1195" t="inlineStr">
        <is>
          <t>NNN landlord expenses only; from AXG Whse Expenses PSF.xlsx</t>
        </is>
      </c>
      <c r="AN59">
        <f>IF(AND($B59=Subj_OccCode,Subj_BldgSF&gt;0,ABS($J59-Subj_BldgSF)&lt;=Subj_BldgSF*Subj_SizeTol),ABS($J59-Subj_BldgSF),NA())</f>
        <v/>
      </c>
      <c r="AO59">
        <f>IF(ISNA(AN59),NA(),AN59+ROW()/10000000)</f>
        <v/>
      </c>
      <c r="AR59" s="1132">
        <f>IF(B59="","",IFERROR(INDEX(OCC_TABLE_DESC,MATCH(B59,OCC_TABLE_CODE,0)),"Unrecognized code"))</f>
        <v/>
      </c>
    </row>
    <row r="60">
      <c r="A60" s="703" t="inlineStr">
        <is>
          <t>P025</t>
        </is>
      </c>
      <c r="B60" s="695" t="n">
        <v>210</v>
      </c>
      <c r="C60" s="703" t="inlineStr">
        <is>
          <t>R0191099</t>
        </is>
      </c>
      <c r="D60" s="1195" t="inlineStr">
        <is>
          <t>3559 N. Himalaya Rd (Bldg 5)</t>
        </is>
      </c>
      <c r="E60" s="703" t="inlineStr">
        <is>
          <t>Aurora</t>
        </is>
      </c>
      <c r="F60" s="703" t="inlineStr">
        <is>
          <t>CO</t>
        </is>
      </c>
      <c r="G60" s="703" t="inlineStr">
        <is>
          <t>Industrial</t>
        </is>
      </c>
      <c r="H60" s="1195"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1195" t="inlineStr">
        <is>
          <t>NNN landlord expenses only; from AXG Whse Expenses PSF.xlsx</t>
        </is>
      </c>
      <c r="AN60">
        <f>IF(AND($B60=Subj_OccCode,Subj_BldgSF&gt;0,ABS($J60-Subj_BldgSF)&lt;=Subj_BldgSF*Subj_SizeTol),ABS($J60-Subj_BldgSF),NA())</f>
        <v/>
      </c>
      <c r="AO60">
        <f>IF(ISNA(AN60),NA(),AN60+ROW()/10000000)</f>
        <v/>
      </c>
      <c r="AR60" s="1132">
        <f>IF(B60="","",IFERROR(INDEX(OCC_TABLE_DESC,MATCH(B60,OCC_TABLE_CODE,0)),"Unrecognized code"))</f>
        <v/>
      </c>
    </row>
    <row r="61">
      <c r="A61" s="703" t="inlineStr">
        <is>
          <t>P027</t>
        </is>
      </c>
      <c r="B61" s="695" t="n">
        <v>407</v>
      </c>
      <c r="C61" s="703" t="inlineStr">
        <is>
          <t>R0132030</t>
        </is>
      </c>
      <c r="D61" s="1195" t="inlineStr">
        <is>
          <t>Majestic Commercenter (R0132030)</t>
        </is>
      </c>
      <c r="E61" s="703" t="inlineStr">
        <is>
          <t>Commerce City</t>
        </is>
      </c>
      <c r="F61" s="703" t="inlineStr">
        <is>
          <t>CO</t>
        </is>
      </c>
      <c r="G61" s="703" t="inlineStr">
        <is>
          <t>Industrial</t>
        </is>
      </c>
      <c r="H61" s="1195"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1195" t="inlineStr">
        <is>
          <t>NNN landlord expenses only; from AXG Whse Expenses PSF.xlsx (R0132030)</t>
        </is>
      </c>
      <c r="AN61">
        <f>IF(AND($B61=Subj_OccCode,Subj_BldgSF&gt;0,ABS($J61-Subj_BldgSF)&lt;=Subj_BldgSF*Subj_SizeTol),ABS($J61-Subj_BldgSF),NA())</f>
        <v/>
      </c>
      <c r="AO61">
        <f>IF(ISNA(AN61),NA(),AN61+ROW()/10000000)</f>
        <v/>
      </c>
      <c r="AR61" s="1132">
        <f>IF(B61="","",IFERROR(INDEX(OCC_TABLE_DESC,MATCH(B61,OCC_TABLE_CODE,0)),"Unrecognized code"))</f>
        <v/>
      </c>
    </row>
    <row r="62">
      <c r="A62" s="703" t="inlineStr">
        <is>
          <t>P027</t>
        </is>
      </c>
      <c r="B62" s="695" t="n">
        <v>407</v>
      </c>
      <c r="C62" s="703" t="inlineStr">
        <is>
          <t>R0132030</t>
        </is>
      </c>
      <c r="D62" s="1195" t="inlineStr">
        <is>
          <t>Majestic Commercenter (R0132030)</t>
        </is>
      </c>
      <c r="E62" s="703" t="inlineStr">
        <is>
          <t>Commerce City</t>
        </is>
      </c>
      <c r="F62" s="703" t="inlineStr">
        <is>
          <t>CO</t>
        </is>
      </c>
      <c r="G62" s="703" t="inlineStr">
        <is>
          <t>Industrial</t>
        </is>
      </c>
      <c r="H62" s="1195"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1195" t="inlineStr">
        <is>
          <t>NNN landlord expenses only; from AXG Whse Expenses PSF.xlsx (R0132030)</t>
        </is>
      </c>
      <c r="AN62">
        <f>IF(AND($B62=Subj_OccCode,Subj_BldgSF&gt;0,ABS($J62-Subj_BldgSF)&lt;=Subj_BldgSF*Subj_SizeTol),ABS($J62-Subj_BldgSF),NA())</f>
        <v/>
      </c>
      <c r="AO62">
        <f>IF(ISNA(AN62),NA(),AN62+ROW()/10000000)</f>
        <v/>
      </c>
      <c r="AR62" s="1132">
        <f>IF(B62="","",IFERROR(INDEX(OCC_TABLE_DESC,MATCH(B62,OCC_TABLE_CODE,0)),"Unrecognized code"))</f>
        <v/>
      </c>
    </row>
    <row r="63">
      <c r="A63" s="703" t="inlineStr">
        <is>
          <t>P028</t>
        </is>
      </c>
      <c r="B63" s="695" t="n">
        <v>407</v>
      </c>
      <c r="C63" s="703" t="inlineStr">
        <is>
          <t>R0084040</t>
        </is>
      </c>
      <c r="D63" s="1195" t="inlineStr">
        <is>
          <t>Majestic Commercenter (R0084040)</t>
        </is>
      </c>
      <c r="E63" s="703" t="inlineStr">
        <is>
          <t>Commerce City</t>
        </is>
      </c>
      <c r="F63" s="703" t="inlineStr">
        <is>
          <t>CO</t>
        </is>
      </c>
      <c r="G63" s="703" t="inlineStr">
        <is>
          <t>Industrial</t>
        </is>
      </c>
      <c r="H63" s="1195"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1195" t="inlineStr">
        <is>
          <t>NNN landlord expenses only; from AXG Whse Expenses PSF.xlsx (R0084040)</t>
        </is>
      </c>
      <c r="AN63">
        <f>IF(AND($B63=Subj_OccCode,Subj_BldgSF&gt;0,ABS($J63-Subj_BldgSF)&lt;=Subj_BldgSF*Subj_SizeTol),ABS($J63-Subj_BldgSF),NA())</f>
        <v/>
      </c>
      <c r="AO63">
        <f>IF(ISNA(AN63),NA(),AN63+ROW()/10000000)</f>
        <v/>
      </c>
      <c r="AR63" s="1132">
        <f>IF(B63="","",IFERROR(INDEX(OCC_TABLE_DESC,MATCH(B63,OCC_TABLE_CODE,0)),"Unrecognized code"))</f>
        <v/>
      </c>
    </row>
    <row r="64">
      <c r="A64" s="703" t="inlineStr">
        <is>
          <t>P028</t>
        </is>
      </c>
      <c r="B64" s="695" t="n">
        <v>407</v>
      </c>
      <c r="C64" s="703" t="inlineStr">
        <is>
          <t>R0084040</t>
        </is>
      </c>
      <c r="D64" s="1195" t="inlineStr">
        <is>
          <t>Majestic Commercenter (R0084040)</t>
        </is>
      </c>
      <c r="E64" s="703" t="inlineStr">
        <is>
          <t>Commerce City</t>
        </is>
      </c>
      <c r="F64" s="703" t="inlineStr">
        <is>
          <t>CO</t>
        </is>
      </c>
      <c r="G64" s="703" t="inlineStr">
        <is>
          <t>Industrial</t>
        </is>
      </c>
      <c r="H64" s="1195"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1195" t="inlineStr">
        <is>
          <t>NNN landlord expenses only; from AXG Whse Expenses PSF.xlsx (R0084040)</t>
        </is>
      </c>
      <c r="AN64">
        <f>IF(AND($B64=Subj_OccCode,Subj_BldgSF&gt;0,ABS($J64-Subj_BldgSF)&lt;=Subj_BldgSF*Subj_SizeTol),ABS($J64-Subj_BldgSF),NA())</f>
        <v/>
      </c>
      <c r="AO64">
        <f>IF(ISNA(AN64),NA(),AN64+ROW()/10000000)</f>
        <v/>
      </c>
      <c r="AR64" s="1132">
        <f>IF(B64="","",IFERROR(INDEX(OCC_TABLE_DESC,MATCH(B64,OCC_TABLE_CODE,0)),"Unrecognized code"))</f>
        <v/>
      </c>
    </row>
    <row r="65">
      <c r="A65" s="703" t="inlineStr">
        <is>
          <t>P029</t>
        </is>
      </c>
      <c r="B65" s="695" t="n">
        <v>407</v>
      </c>
      <c r="C65" s="703" t="inlineStr">
        <is>
          <t>R0084041</t>
        </is>
      </c>
      <c r="D65" s="1195" t="inlineStr">
        <is>
          <t>Majestic Commercenter (R0084041)</t>
        </is>
      </c>
      <c r="E65" s="703" t="inlineStr">
        <is>
          <t>Commerce City</t>
        </is>
      </c>
      <c r="F65" s="703" t="inlineStr">
        <is>
          <t>CO</t>
        </is>
      </c>
      <c r="G65" s="703" t="inlineStr">
        <is>
          <t>Industrial</t>
        </is>
      </c>
      <c r="H65" s="1195"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1195" t="inlineStr">
        <is>
          <t>NNN landlord expenses only; from AXG Whse Expenses PSF.xlsx (R0084041)</t>
        </is>
      </c>
      <c r="AN65">
        <f>IF(AND($B65=Subj_OccCode,Subj_BldgSF&gt;0,ABS($J65-Subj_BldgSF)&lt;=Subj_BldgSF*Subj_SizeTol),ABS($J65-Subj_BldgSF),NA())</f>
        <v/>
      </c>
      <c r="AO65">
        <f>IF(ISNA(AN65),NA(),AN65+ROW()/10000000)</f>
        <v/>
      </c>
      <c r="AR65" s="1132">
        <f>IF(B65="","",IFERROR(INDEX(OCC_TABLE_DESC,MATCH(B65,OCC_TABLE_CODE,0)),"Unrecognized code"))</f>
        <v/>
      </c>
    </row>
    <row r="66">
      <c r="A66" s="703" t="inlineStr">
        <is>
          <t>P029</t>
        </is>
      </c>
      <c r="B66" s="695" t="n">
        <v>407</v>
      </c>
      <c r="C66" s="703" t="inlineStr">
        <is>
          <t>R0084041</t>
        </is>
      </c>
      <c r="D66" s="1195" t="inlineStr">
        <is>
          <t>Majestic Commercenter (R0084041)</t>
        </is>
      </c>
      <c r="E66" s="703" t="inlineStr">
        <is>
          <t>Commerce City</t>
        </is>
      </c>
      <c r="F66" s="703" t="inlineStr">
        <is>
          <t>CO</t>
        </is>
      </c>
      <c r="G66" s="703" t="inlineStr">
        <is>
          <t>Industrial</t>
        </is>
      </c>
      <c r="H66" s="1195"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1195" t="inlineStr">
        <is>
          <t>NNN landlord expenses only; from AXG Whse Expenses PSF.xlsx (R0084041)</t>
        </is>
      </c>
      <c r="AN66">
        <f>IF(AND($B66=Subj_OccCode,Subj_BldgSF&gt;0,ABS($J66-Subj_BldgSF)&lt;=Subj_BldgSF*Subj_SizeTol),ABS($J66-Subj_BldgSF),NA())</f>
        <v/>
      </c>
      <c r="AO66">
        <f>IF(ISNA(AN66),NA(),AN66+ROW()/10000000)</f>
        <v/>
      </c>
      <c r="AR66" s="1132">
        <f>IF(B66="","",IFERROR(INDEX(OCC_TABLE_DESC,MATCH(B66,OCC_TABLE_CODE,0)),"Unrecognized code"))</f>
        <v/>
      </c>
    </row>
    <row r="67">
      <c r="A67" s="703" t="inlineStr">
        <is>
          <t>P030</t>
        </is>
      </c>
      <c r="B67" s="695" t="n">
        <v>584</v>
      </c>
      <c r="C67" s="703" t="inlineStr">
        <is>
          <t>R0217015</t>
        </is>
      </c>
      <c r="D67" s="1195" t="inlineStr">
        <is>
          <t>Majestic Commercenter (R0217015)</t>
        </is>
      </c>
      <c r="E67" s="703" t="inlineStr">
        <is>
          <t>Commerce City</t>
        </is>
      </c>
      <c r="F67" s="703" t="inlineStr">
        <is>
          <t>CO</t>
        </is>
      </c>
      <c r="G67" s="703" t="inlineStr">
        <is>
          <t>Industrial</t>
        </is>
      </c>
      <c r="H67" s="1195"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1195" t="inlineStr">
        <is>
          <t>NNN landlord expenses only; from AXG Whse Expenses PSF.xlsx (R0217015)</t>
        </is>
      </c>
      <c r="AN67">
        <f>IF(AND($B67=Subj_OccCode,Subj_BldgSF&gt;0,ABS($J67-Subj_BldgSF)&lt;=Subj_BldgSF*Subj_SizeTol),ABS($J67-Subj_BldgSF),NA())</f>
        <v/>
      </c>
      <c r="AO67">
        <f>IF(ISNA(AN67),NA(),AN67+ROW()/10000000)</f>
        <v/>
      </c>
      <c r="AR67" s="1132">
        <f>IF(B67="","",IFERROR(INDEX(OCC_TABLE_DESC,MATCH(B67,OCC_TABLE_CODE,0)),"Unrecognized code"))</f>
        <v/>
      </c>
    </row>
    <row r="68">
      <c r="A68" s="703" t="inlineStr">
        <is>
          <t>P031</t>
        </is>
      </c>
      <c r="B68" s="695" t="n">
        <v>407</v>
      </c>
      <c r="C68" s="703" t="inlineStr">
        <is>
          <t>R0111562</t>
        </is>
      </c>
      <c r="D68" s="1195" t="inlineStr">
        <is>
          <t>Majestic Commercenter (R0111562)</t>
        </is>
      </c>
      <c r="E68" s="703" t="inlineStr">
        <is>
          <t>Commerce City</t>
        </is>
      </c>
      <c r="F68" s="703" t="inlineStr">
        <is>
          <t>CO</t>
        </is>
      </c>
      <c r="G68" s="703" t="inlineStr">
        <is>
          <t>Industrial</t>
        </is>
      </c>
      <c r="H68" s="1195"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1195" t="inlineStr">
        <is>
          <t>NNN landlord expenses only; from AXG Whse Expenses PSF.xlsx (R0111562)</t>
        </is>
      </c>
      <c r="AN68">
        <f>IF(AND($B68=Subj_OccCode,Subj_BldgSF&gt;0,ABS($J68-Subj_BldgSF)&lt;=Subj_BldgSF*Subj_SizeTol),ABS($J68-Subj_BldgSF),NA())</f>
        <v/>
      </c>
      <c r="AO68">
        <f>IF(ISNA(AN68),NA(),AN68+ROW()/10000000)</f>
        <v/>
      </c>
      <c r="AR68" s="1132">
        <f>IF(B68="","",IFERROR(INDEX(OCC_TABLE_DESC,MATCH(B68,OCC_TABLE_CODE,0)),"Unrecognized code"))</f>
        <v/>
      </c>
    </row>
    <row r="69">
      <c r="A69" s="703" t="inlineStr">
        <is>
          <t>P031</t>
        </is>
      </c>
      <c r="B69" s="695" t="n">
        <v>407</v>
      </c>
      <c r="C69" s="703" t="inlineStr">
        <is>
          <t>R0111562</t>
        </is>
      </c>
      <c r="D69" s="1195" t="inlineStr">
        <is>
          <t>Majestic Commercenter (R0111562)</t>
        </is>
      </c>
      <c r="E69" s="703" t="inlineStr">
        <is>
          <t>Commerce City</t>
        </is>
      </c>
      <c r="F69" s="703" t="inlineStr">
        <is>
          <t>CO</t>
        </is>
      </c>
      <c r="G69" s="703" t="inlineStr">
        <is>
          <t>Industrial</t>
        </is>
      </c>
      <c r="H69" s="1195"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1195" t="inlineStr">
        <is>
          <t>NNN landlord expenses only; from AXG Whse Expenses PSF.xlsx (R0111562)</t>
        </is>
      </c>
      <c r="AN69">
        <f>IF(AND($B69=Subj_OccCode,Subj_BldgSF&gt;0,ABS($J69-Subj_BldgSF)&lt;=Subj_BldgSF*Subj_SizeTol),ABS($J69-Subj_BldgSF),NA())</f>
        <v/>
      </c>
      <c r="AO69">
        <f>IF(ISNA(AN69),NA(),AN69+ROW()/10000000)</f>
        <v/>
      </c>
      <c r="AR69" s="1132">
        <f>IF(B69="","",IFERROR(INDEX(OCC_TABLE_DESC,MATCH(B69,OCC_TABLE_CODE,0)),"Unrecognized code"))</f>
        <v/>
      </c>
    </row>
    <row r="70">
      <c r="A70" s="703" t="inlineStr">
        <is>
          <t>P032</t>
        </is>
      </c>
      <c r="B70" s="695" t="n">
        <v>407</v>
      </c>
      <c r="C70" s="703" t="inlineStr">
        <is>
          <t>R0118875</t>
        </is>
      </c>
      <c r="D70" s="1195" t="inlineStr">
        <is>
          <t>Majestic Commercenter (R0118875)</t>
        </is>
      </c>
      <c r="E70" s="703" t="inlineStr">
        <is>
          <t>Commerce City</t>
        </is>
      </c>
      <c r="F70" s="703" t="inlineStr">
        <is>
          <t>CO</t>
        </is>
      </c>
      <c r="G70" s="703" t="inlineStr">
        <is>
          <t>Industrial</t>
        </is>
      </c>
      <c r="H70" s="1195"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1195" t="inlineStr">
        <is>
          <t>NNN landlord expenses only; from AXG Whse Expenses PSF.xlsx (R0118875)</t>
        </is>
      </c>
      <c r="AN70">
        <f>IF(AND($B70=Subj_OccCode,Subj_BldgSF&gt;0,ABS($J70-Subj_BldgSF)&lt;=Subj_BldgSF*Subj_SizeTol),ABS($J70-Subj_BldgSF),NA())</f>
        <v/>
      </c>
      <c r="AO70">
        <f>IF(ISNA(AN70),NA(),AN70+ROW()/10000000)</f>
        <v/>
      </c>
      <c r="AR70" s="1132">
        <f>IF(B70="","",IFERROR(INDEX(OCC_TABLE_DESC,MATCH(B70,OCC_TABLE_CODE,0)),"Unrecognized code"))</f>
        <v/>
      </c>
    </row>
    <row r="71">
      <c r="A71" s="703" t="inlineStr">
        <is>
          <t>P032</t>
        </is>
      </c>
      <c r="B71" s="695" t="n">
        <v>407</v>
      </c>
      <c r="C71" s="703" t="inlineStr">
        <is>
          <t>R0118875</t>
        </is>
      </c>
      <c r="D71" s="1195" t="inlineStr">
        <is>
          <t>Majestic Commercenter (R0118875)</t>
        </is>
      </c>
      <c r="E71" s="703" t="inlineStr">
        <is>
          <t>Commerce City</t>
        </is>
      </c>
      <c r="F71" s="703" t="inlineStr">
        <is>
          <t>CO</t>
        </is>
      </c>
      <c r="G71" s="703" t="inlineStr">
        <is>
          <t>Industrial</t>
        </is>
      </c>
      <c r="H71" s="1195"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1195" t="inlineStr">
        <is>
          <t>NNN landlord expenses only; from AXG Whse Expenses PSF.xlsx (R0118875)</t>
        </is>
      </c>
      <c r="AN71">
        <f>IF(AND($B71=Subj_OccCode,Subj_BldgSF&gt;0,ABS($J71-Subj_BldgSF)&lt;=Subj_BldgSF*Subj_SizeTol),ABS($J71-Subj_BldgSF),NA())</f>
        <v/>
      </c>
      <c r="AO71">
        <f>IF(ISNA(AN71),NA(),AN71+ROW()/10000000)</f>
        <v/>
      </c>
      <c r="AR71" s="1132">
        <f>IF(B71="","",IFERROR(INDEX(OCC_TABLE_DESC,MATCH(B71,OCC_TABLE_CODE,0)),"Unrecognized code"))</f>
        <v/>
      </c>
    </row>
    <row r="72">
      <c r="A72" s="703" t="inlineStr">
        <is>
          <t>P033</t>
        </is>
      </c>
      <c r="B72" s="695" t="n">
        <v>407</v>
      </c>
      <c r="C72" s="703" t="inlineStr">
        <is>
          <t>R0132031</t>
        </is>
      </c>
      <c r="D72" s="1195" t="inlineStr">
        <is>
          <t>Majestic Commercenter (R0132031)</t>
        </is>
      </c>
      <c r="E72" s="703" t="inlineStr">
        <is>
          <t>Commerce City</t>
        </is>
      </c>
      <c r="F72" s="703" t="inlineStr">
        <is>
          <t>CO</t>
        </is>
      </c>
      <c r="G72" s="703" t="inlineStr">
        <is>
          <t>Industrial</t>
        </is>
      </c>
      <c r="H72" s="1195"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1195" t="inlineStr">
        <is>
          <t>NNN landlord expenses only; from AXG Whse Expenses PSF.xlsx (R0132031)</t>
        </is>
      </c>
      <c r="AN72">
        <f>IF(AND($B72=Subj_OccCode,Subj_BldgSF&gt;0,ABS($J72-Subj_BldgSF)&lt;=Subj_BldgSF*Subj_SizeTol),ABS($J72-Subj_BldgSF),NA())</f>
        <v/>
      </c>
      <c r="AO72">
        <f>IF(ISNA(AN72),NA(),AN72+ROW()/10000000)</f>
        <v/>
      </c>
      <c r="AR72" s="1132">
        <f>IF(B72="","",IFERROR(INDEX(OCC_TABLE_DESC,MATCH(B72,OCC_TABLE_CODE,0)),"Unrecognized code"))</f>
        <v/>
      </c>
    </row>
    <row r="73">
      <c r="A73" s="703" t="inlineStr">
        <is>
          <t>P033</t>
        </is>
      </c>
      <c r="B73" s="695" t="n">
        <v>407</v>
      </c>
      <c r="C73" s="703" t="inlineStr">
        <is>
          <t>R0132031</t>
        </is>
      </c>
      <c r="D73" s="1195" t="inlineStr">
        <is>
          <t>Majestic Commercenter (R0132031)</t>
        </is>
      </c>
      <c r="E73" s="703" t="inlineStr">
        <is>
          <t>Commerce City</t>
        </is>
      </c>
      <c r="F73" s="703" t="inlineStr">
        <is>
          <t>CO</t>
        </is>
      </c>
      <c r="G73" s="703" t="inlineStr">
        <is>
          <t>Industrial</t>
        </is>
      </c>
      <c r="H73" s="1195"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1195" t="inlineStr">
        <is>
          <t>NNN landlord expenses only; from AXG Whse Expenses PSF.xlsx (R0132031)</t>
        </is>
      </c>
      <c r="AN73">
        <f>IF(AND($B73=Subj_OccCode,Subj_BldgSF&gt;0,ABS($J73-Subj_BldgSF)&lt;=Subj_BldgSF*Subj_SizeTol),ABS($J73-Subj_BldgSF),NA())</f>
        <v/>
      </c>
      <c r="AO73">
        <f>IF(ISNA(AN73),NA(),AN73+ROW()/10000000)</f>
        <v/>
      </c>
      <c r="AR73" s="1132">
        <f>IF(B73="","",IFERROR(INDEX(OCC_TABLE_DESC,MATCH(B73,OCC_TABLE_CODE,0)),"Unrecognized code"))</f>
        <v/>
      </c>
    </row>
    <row r="74">
      <c r="A74" s="703" t="inlineStr">
        <is>
          <t>P034</t>
        </is>
      </c>
      <c r="B74" s="695" t="n">
        <v>407</v>
      </c>
      <c r="C74" s="703" t="inlineStr">
        <is>
          <t>R0172865</t>
        </is>
      </c>
      <c r="D74" s="1195" t="inlineStr">
        <is>
          <t>Majestic Commercenter (R0172865)</t>
        </is>
      </c>
      <c r="E74" s="703" t="inlineStr">
        <is>
          <t>Commerce City</t>
        </is>
      </c>
      <c r="F74" s="703" t="inlineStr">
        <is>
          <t>CO</t>
        </is>
      </c>
      <c r="G74" s="703" t="inlineStr">
        <is>
          <t>Industrial</t>
        </is>
      </c>
      <c r="H74" s="1195"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1195" t="inlineStr">
        <is>
          <t>NNN landlord expenses only; from AXG Whse Expenses PSF.xlsx (R0172865)</t>
        </is>
      </c>
      <c r="AN74">
        <f>IF(AND($B74=Subj_OccCode,Subj_BldgSF&gt;0,ABS($J74-Subj_BldgSF)&lt;=Subj_BldgSF*Subj_SizeTol),ABS($J74-Subj_BldgSF),NA())</f>
        <v/>
      </c>
      <c r="AO74">
        <f>IF(ISNA(AN74),NA(),AN74+ROW()/10000000)</f>
        <v/>
      </c>
      <c r="AR74" s="1132">
        <f>IF(B74="","",IFERROR(INDEX(OCC_TABLE_DESC,MATCH(B74,OCC_TABLE_CODE,0)),"Unrecognized code"))</f>
        <v/>
      </c>
    </row>
    <row r="75">
      <c r="A75" s="703" t="inlineStr">
        <is>
          <t>P034</t>
        </is>
      </c>
      <c r="B75" s="695" t="n">
        <v>407</v>
      </c>
      <c r="C75" s="703" t="inlineStr">
        <is>
          <t>R0172865</t>
        </is>
      </c>
      <c r="D75" s="1195" t="inlineStr">
        <is>
          <t>Majestic Commercenter (R0172865)</t>
        </is>
      </c>
      <c r="E75" s="703" t="inlineStr">
        <is>
          <t>Commerce City</t>
        </is>
      </c>
      <c r="F75" s="703" t="inlineStr">
        <is>
          <t>CO</t>
        </is>
      </c>
      <c r="G75" s="703" t="inlineStr">
        <is>
          <t>Industrial</t>
        </is>
      </c>
      <c r="H75" s="1195"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1195" t="inlineStr">
        <is>
          <t>NNN landlord expenses only; from AXG Whse Expenses PSF.xlsx (R0172865)</t>
        </is>
      </c>
      <c r="AN75">
        <f>IF(AND($B75=Subj_OccCode,Subj_BldgSF&gt;0,ABS($J75-Subj_BldgSF)&lt;=Subj_BldgSF*Subj_SizeTol),ABS($J75-Subj_BldgSF),NA())</f>
        <v/>
      </c>
      <c r="AO75">
        <f>IF(ISNA(AN75),NA(),AN75+ROW()/10000000)</f>
        <v/>
      </c>
      <c r="AR75" s="1132">
        <f>IF(B75="","",IFERROR(INDEX(OCC_TABLE_DESC,MATCH(B75,OCC_TABLE_CODE,0)),"Unrecognized code"))</f>
        <v/>
      </c>
    </row>
    <row r="76">
      <c r="A76" s="703" t="inlineStr">
        <is>
          <t>P035</t>
        </is>
      </c>
      <c r="B76" s="695" t="n">
        <v>407</v>
      </c>
      <c r="C76" s="703" t="inlineStr">
        <is>
          <t>R0172867</t>
        </is>
      </c>
      <c r="D76" s="1195" t="inlineStr">
        <is>
          <t>Majestic Commercenter (R0172867)</t>
        </is>
      </c>
      <c r="E76" s="703" t="inlineStr">
        <is>
          <t>Commerce City</t>
        </is>
      </c>
      <c r="F76" s="703" t="inlineStr">
        <is>
          <t>CO</t>
        </is>
      </c>
      <c r="G76" s="703" t="inlineStr">
        <is>
          <t>Industrial</t>
        </is>
      </c>
      <c r="H76" s="1195"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1195" t="inlineStr">
        <is>
          <t>NNN landlord expenses only; from AXG Whse Expenses PSF.xlsx (R0172867)</t>
        </is>
      </c>
      <c r="AN76">
        <f>IF(AND($B76=Subj_OccCode,Subj_BldgSF&gt;0,ABS($J76-Subj_BldgSF)&lt;=Subj_BldgSF*Subj_SizeTol),ABS($J76-Subj_BldgSF),NA())</f>
        <v/>
      </c>
      <c r="AO76">
        <f>IF(ISNA(AN76),NA(),AN76+ROW()/10000000)</f>
        <v/>
      </c>
      <c r="AR76" s="1132">
        <f>IF(B76="","",IFERROR(INDEX(OCC_TABLE_DESC,MATCH(B76,OCC_TABLE_CODE,0)),"Unrecognized code"))</f>
        <v/>
      </c>
    </row>
    <row r="77">
      <c r="A77" s="703" t="inlineStr">
        <is>
          <t>P035</t>
        </is>
      </c>
      <c r="B77" s="695" t="n">
        <v>407</v>
      </c>
      <c r="C77" s="703" t="inlineStr">
        <is>
          <t>R0172867</t>
        </is>
      </c>
      <c r="D77" s="1195" t="inlineStr">
        <is>
          <t>Majestic Commercenter (R0172867)</t>
        </is>
      </c>
      <c r="E77" s="703" t="inlineStr">
        <is>
          <t>Commerce City</t>
        </is>
      </c>
      <c r="F77" s="703" t="inlineStr">
        <is>
          <t>CO</t>
        </is>
      </c>
      <c r="G77" s="703" t="inlineStr">
        <is>
          <t>Industrial</t>
        </is>
      </c>
      <c r="H77" s="1195"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1195" t="inlineStr">
        <is>
          <t>NNN landlord expenses only; from AXG Whse Expenses PSF.xlsx (R0172867)</t>
        </is>
      </c>
      <c r="AN77">
        <f>IF(AND($B77=Subj_OccCode,Subj_BldgSF&gt;0,ABS($J77-Subj_BldgSF)&lt;=Subj_BldgSF*Subj_SizeTol),ABS($J77-Subj_BldgSF),NA())</f>
        <v/>
      </c>
      <c r="AO77">
        <f>IF(ISNA(AN77),NA(),AN77+ROW()/10000000)</f>
        <v/>
      </c>
      <c r="AR77" s="1132">
        <f>IF(B77="","",IFERROR(INDEX(OCC_TABLE_DESC,MATCH(B77,OCC_TABLE_CODE,0)),"Unrecognized code"))</f>
        <v/>
      </c>
    </row>
    <row r="78">
      <c r="A78" s="703" t="inlineStr">
        <is>
          <t>P036</t>
        </is>
      </c>
      <c r="B78" s="695" t="n">
        <v>407</v>
      </c>
      <c r="C78" s="703" t="inlineStr">
        <is>
          <t>R0172868</t>
        </is>
      </c>
      <c r="D78" s="1195" t="inlineStr">
        <is>
          <t>Majestic Commercenter (R0172868)</t>
        </is>
      </c>
      <c r="E78" s="703" t="inlineStr">
        <is>
          <t>Commerce City</t>
        </is>
      </c>
      <c r="F78" s="703" t="inlineStr">
        <is>
          <t>CO</t>
        </is>
      </c>
      <c r="G78" s="703" t="inlineStr">
        <is>
          <t>Industrial</t>
        </is>
      </c>
      <c r="H78" s="1195"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1195" t="inlineStr">
        <is>
          <t>NNN landlord expenses only; from AXG Whse Expenses PSF.xlsx (R0172868)</t>
        </is>
      </c>
      <c r="AN78">
        <f>IF(AND($B78=Subj_OccCode,Subj_BldgSF&gt;0,ABS($J78-Subj_BldgSF)&lt;=Subj_BldgSF*Subj_SizeTol),ABS($J78-Subj_BldgSF),NA())</f>
        <v/>
      </c>
      <c r="AO78">
        <f>IF(ISNA(AN78),NA(),AN78+ROW()/10000000)</f>
        <v/>
      </c>
      <c r="AR78" s="1132">
        <f>IF(B78="","",IFERROR(INDEX(OCC_TABLE_DESC,MATCH(B78,OCC_TABLE_CODE,0)),"Unrecognized code"))</f>
        <v/>
      </c>
    </row>
    <row r="79">
      <c r="A79" s="703" t="inlineStr">
        <is>
          <t>P036</t>
        </is>
      </c>
      <c r="B79" s="695" t="n">
        <v>407</v>
      </c>
      <c r="C79" s="703" t="inlineStr">
        <is>
          <t>R0172868</t>
        </is>
      </c>
      <c r="D79" s="1195" t="inlineStr">
        <is>
          <t>Majestic Commercenter (R0172868)</t>
        </is>
      </c>
      <c r="E79" s="703" t="inlineStr">
        <is>
          <t>Commerce City</t>
        </is>
      </c>
      <c r="F79" s="703" t="inlineStr">
        <is>
          <t>CO</t>
        </is>
      </c>
      <c r="G79" s="703" t="inlineStr">
        <is>
          <t>Industrial</t>
        </is>
      </c>
      <c r="H79" s="1195"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1195" t="inlineStr">
        <is>
          <t>NNN landlord expenses only; from AXG Whse Expenses PSF.xlsx (R0172868)</t>
        </is>
      </c>
      <c r="AN79">
        <f>IF(AND($B79=Subj_OccCode,Subj_BldgSF&gt;0,ABS($J79-Subj_BldgSF)&lt;=Subj_BldgSF*Subj_SizeTol),ABS($J79-Subj_BldgSF),NA())</f>
        <v/>
      </c>
      <c r="AO79">
        <f>IF(ISNA(AN79),NA(),AN79+ROW()/10000000)</f>
        <v/>
      </c>
      <c r="AR79" s="1132">
        <f>IF(B79="","",IFERROR(INDEX(OCC_TABLE_DESC,MATCH(B79,OCC_TABLE_CODE,0)),"Unrecognized code"))</f>
        <v/>
      </c>
    </row>
    <row r="80">
      <c r="A80" s="703" t="inlineStr">
        <is>
          <t>P037</t>
        </is>
      </c>
      <c r="B80" s="695" t="n">
        <v>407</v>
      </c>
      <c r="C80" s="703" t="inlineStr">
        <is>
          <t>R0145680</t>
        </is>
      </c>
      <c r="D80" s="1195" t="inlineStr">
        <is>
          <t>Majestic Commercenter (R0145680)</t>
        </is>
      </c>
      <c r="E80" s="703" t="inlineStr">
        <is>
          <t>Commerce City</t>
        </is>
      </c>
      <c r="F80" s="703" t="inlineStr">
        <is>
          <t>CO</t>
        </is>
      </c>
      <c r="G80" s="703" t="inlineStr">
        <is>
          <t>Industrial</t>
        </is>
      </c>
      <c r="H80" s="1195"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1195" t="inlineStr">
        <is>
          <t>NNN landlord expenses only; from AXG Whse Expenses PSF.xlsx (R0145680)</t>
        </is>
      </c>
      <c r="AN80">
        <f>IF(AND($B80=Subj_OccCode,Subj_BldgSF&gt;0,ABS($J80-Subj_BldgSF)&lt;=Subj_BldgSF*Subj_SizeTol),ABS($J80-Subj_BldgSF),NA())</f>
        <v/>
      </c>
      <c r="AO80">
        <f>IF(ISNA(AN80),NA(),AN80+ROW()/10000000)</f>
        <v/>
      </c>
      <c r="AR80" s="1132">
        <f>IF(B80="","",IFERROR(INDEX(OCC_TABLE_DESC,MATCH(B80,OCC_TABLE_CODE,0)),"Unrecognized code"))</f>
        <v/>
      </c>
    </row>
    <row r="81">
      <c r="A81" s="703" t="inlineStr">
        <is>
          <t>P037</t>
        </is>
      </c>
      <c r="B81" s="695" t="n">
        <v>407</v>
      </c>
      <c r="C81" s="703" t="inlineStr">
        <is>
          <t>R0145680</t>
        </is>
      </c>
      <c r="D81" s="1195" t="inlineStr">
        <is>
          <t>Majestic Commercenter (R0145680)</t>
        </is>
      </c>
      <c r="E81" s="703" t="inlineStr">
        <is>
          <t>Commerce City</t>
        </is>
      </c>
      <c r="F81" s="703" t="inlineStr">
        <is>
          <t>CO</t>
        </is>
      </c>
      <c r="G81" s="703" t="inlineStr">
        <is>
          <t>Industrial</t>
        </is>
      </c>
      <c r="H81" s="1195"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1195" t="inlineStr">
        <is>
          <t>NNN landlord expenses only; from AXG Whse Expenses PSF.xlsx (R0145680)</t>
        </is>
      </c>
      <c r="AN81">
        <f>IF(AND($B81=Subj_OccCode,Subj_BldgSF&gt;0,ABS($J81-Subj_BldgSF)&lt;=Subj_BldgSF*Subj_SizeTol),ABS($J81-Subj_BldgSF),NA())</f>
        <v/>
      </c>
      <c r="AO81">
        <f>IF(ISNA(AN81),NA(),AN81+ROW()/10000000)</f>
        <v/>
      </c>
      <c r="AR81" s="1132">
        <f>IF(B81="","",IFERROR(INDEX(OCC_TABLE_DESC,MATCH(B81,OCC_TABLE_CODE,0)),"Unrecognized code"))</f>
        <v/>
      </c>
    </row>
    <row r="82">
      <c r="A82" s="703" t="inlineStr">
        <is>
          <t>P038</t>
        </is>
      </c>
      <c r="B82" s="695" t="n">
        <v>584</v>
      </c>
      <c r="C82" s="703" t="inlineStr">
        <is>
          <t>R0181787</t>
        </is>
      </c>
      <c r="D82" s="1195" t="inlineStr">
        <is>
          <t>Majestic Commercenter (R0181787)</t>
        </is>
      </c>
      <c r="E82" s="703" t="inlineStr">
        <is>
          <t>Commerce City</t>
        </is>
      </c>
      <c r="F82" s="703" t="inlineStr">
        <is>
          <t>CO</t>
        </is>
      </c>
      <c r="G82" s="703" t="inlineStr">
        <is>
          <t>Industrial</t>
        </is>
      </c>
      <c r="H82" s="1195"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1195" t="inlineStr">
        <is>
          <t>NNN landlord expenses only; from AXG Whse Expenses PSF.xlsx (R0181787)</t>
        </is>
      </c>
      <c r="AN82">
        <f>IF(AND($B82=Subj_OccCode,Subj_BldgSF&gt;0,ABS($J82-Subj_BldgSF)&lt;=Subj_BldgSF*Subj_SizeTol),ABS($J82-Subj_BldgSF),NA())</f>
        <v/>
      </c>
      <c r="AO82">
        <f>IF(ISNA(AN82),NA(),AN82+ROW()/10000000)</f>
        <v/>
      </c>
      <c r="AR82" s="1132">
        <f>IF(B82="","",IFERROR(INDEX(OCC_TABLE_DESC,MATCH(B82,OCC_TABLE_CODE,0)),"Unrecognized code"))</f>
        <v/>
      </c>
    </row>
    <row r="83">
      <c r="A83" s="703" t="inlineStr">
        <is>
          <t>P038</t>
        </is>
      </c>
      <c r="B83" s="695" t="n">
        <v>584</v>
      </c>
      <c r="C83" s="703" t="inlineStr">
        <is>
          <t>R0181787</t>
        </is>
      </c>
      <c r="D83" s="1195" t="inlineStr">
        <is>
          <t>Majestic Commercenter (R0181787)</t>
        </is>
      </c>
      <c r="E83" s="703" t="inlineStr">
        <is>
          <t>Commerce City</t>
        </is>
      </c>
      <c r="F83" s="703" t="inlineStr">
        <is>
          <t>CO</t>
        </is>
      </c>
      <c r="G83" s="703" t="inlineStr">
        <is>
          <t>Industrial</t>
        </is>
      </c>
      <c r="H83" s="1195"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1195" t="inlineStr">
        <is>
          <t>NNN landlord expenses only; from AXG Whse Expenses PSF.xlsx (R0181787)</t>
        </is>
      </c>
      <c r="AN83">
        <f>IF(AND($B83=Subj_OccCode,Subj_BldgSF&gt;0,ABS($J83-Subj_BldgSF)&lt;=Subj_BldgSF*Subj_SizeTol),ABS($J83-Subj_BldgSF),NA())</f>
        <v/>
      </c>
      <c r="AO83">
        <f>IF(ISNA(AN83),NA(),AN83+ROW()/10000000)</f>
        <v/>
      </c>
      <c r="AR83" s="1132">
        <f>IF(B83="","",IFERROR(INDEX(OCC_TABLE_DESC,MATCH(B83,OCC_TABLE_CODE,0)),"Unrecognized code"))</f>
        <v/>
      </c>
    </row>
    <row r="84">
      <c r="A84" s="703" t="inlineStr">
        <is>
          <t>P039</t>
        </is>
      </c>
      <c r="B84" s="695" t="n">
        <v>584</v>
      </c>
      <c r="C84" s="703" t="inlineStr">
        <is>
          <t>R0191101</t>
        </is>
      </c>
      <c r="D84" s="1195" t="inlineStr">
        <is>
          <t>Majestic Commercenter (R0191101)</t>
        </is>
      </c>
      <c r="E84" s="703" t="inlineStr">
        <is>
          <t>Commerce City</t>
        </is>
      </c>
      <c r="F84" s="703" t="inlineStr">
        <is>
          <t>CO</t>
        </is>
      </c>
      <c r="G84" s="703" t="inlineStr">
        <is>
          <t>Industrial</t>
        </is>
      </c>
      <c r="H84" s="1195"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1195" t="inlineStr">
        <is>
          <t>NNN landlord expenses only; from AXG Whse Expenses PSF.xlsx (R0191101)</t>
        </is>
      </c>
      <c r="AN84">
        <f>IF(AND($B84=Subj_OccCode,Subj_BldgSF&gt;0,ABS($J84-Subj_BldgSF)&lt;=Subj_BldgSF*Subj_SizeTol),ABS($J84-Subj_BldgSF),NA())</f>
        <v/>
      </c>
      <c r="AO84">
        <f>IF(ISNA(AN84),NA(),AN84+ROW()/10000000)</f>
        <v/>
      </c>
      <c r="AR84" s="1132">
        <f>IF(B84="","",IFERROR(INDEX(OCC_TABLE_DESC,MATCH(B84,OCC_TABLE_CODE,0)),"Unrecognized code"))</f>
        <v/>
      </c>
    </row>
    <row r="85">
      <c r="A85" s="703" t="inlineStr">
        <is>
          <t>P039</t>
        </is>
      </c>
      <c r="B85" s="695" t="n">
        <v>584</v>
      </c>
      <c r="C85" s="703" t="inlineStr">
        <is>
          <t>R0191101</t>
        </is>
      </c>
      <c r="D85" s="1195" t="inlineStr">
        <is>
          <t>Majestic Commercenter (R0191101)</t>
        </is>
      </c>
      <c r="E85" s="703" t="inlineStr">
        <is>
          <t>Commerce City</t>
        </is>
      </c>
      <c r="F85" s="703" t="inlineStr">
        <is>
          <t>CO</t>
        </is>
      </c>
      <c r="G85" s="703" t="inlineStr">
        <is>
          <t>Industrial</t>
        </is>
      </c>
      <c r="H85" s="1195"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1195" t="inlineStr">
        <is>
          <t>NNN landlord expenses only; from AXG Whse Expenses PSF.xlsx (R0191101)</t>
        </is>
      </c>
      <c r="AN85">
        <f>IF(AND($B85=Subj_OccCode,Subj_BldgSF&gt;0,ABS($J85-Subj_BldgSF)&lt;=Subj_BldgSF*Subj_SizeTol),ABS($J85-Subj_BldgSF),NA())</f>
        <v/>
      </c>
      <c r="AO85">
        <f>IF(ISNA(AN85),NA(),AN85+ROW()/10000000)</f>
        <v/>
      </c>
      <c r="AR85" s="1132">
        <f>IF(B85="","",IFERROR(INDEX(OCC_TABLE_DESC,MATCH(B85,OCC_TABLE_CODE,0)),"Unrecognized code"))</f>
        <v/>
      </c>
    </row>
    <row r="86">
      <c r="A86" s="703" t="inlineStr">
        <is>
          <t>P040</t>
        </is>
      </c>
      <c r="B86" s="695" t="n">
        <v>407</v>
      </c>
      <c r="C86" s="703" t="inlineStr">
        <is>
          <t>R0202874</t>
        </is>
      </c>
      <c r="D86" s="1195" t="inlineStr">
        <is>
          <t>900 E 128th Ave</t>
        </is>
      </c>
      <c r="E86" s="703" t="inlineStr">
        <is>
          <t>Henderson</t>
        </is>
      </c>
      <c r="F86" s="703" t="inlineStr">
        <is>
          <t>CO</t>
        </is>
      </c>
      <c r="G86" s="703" t="inlineStr">
        <is>
          <t>Industrial</t>
        </is>
      </c>
      <c r="H86" s="1195"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1195" t="inlineStr">
        <is>
          <t>Amazon AMZL Site 51812; SF not extracted; RE Tax not broken out in 2021</t>
        </is>
      </c>
      <c r="AN86">
        <f>IF(AND($B86=Subj_OccCode,Subj_BldgSF&gt;0,ABS($J86-Subj_BldgSF)&lt;=Subj_BldgSF*Subj_SizeTol),ABS($J86-Subj_BldgSF),NA())</f>
        <v/>
      </c>
      <c r="AO86">
        <f>IF(ISNA(AN86),NA(),AN86+ROW()/10000000)</f>
        <v/>
      </c>
      <c r="AR86" s="1132">
        <f>IF(B86="","",IFERROR(INDEX(OCC_TABLE_DESC,MATCH(B86,OCC_TABLE_CODE,0)),"Unrecognized code"))</f>
        <v/>
      </c>
    </row>
    <row r="87">
      <c r="A87" s="703" t="inlineStr">
        <is>
          <t>P040</t>
        </is>
      </c>
      <c r="B87" s="695" t="n">
        <v>407</v>
      </c>
      <c r="C87" s="703" t="inlineStr">
        <is>
          <t>R0202874</t>
        </is>
      </c>
      <c r="D87" s="1195" t="inlineStr">
        <is>
          <t>900 E 128th Ave</t>
        </is>
      </c>
      <c r="E87" s="703" t="inlineStr">
        <is>
          <t>Henderson</t>
        </is>
      </c>
      <c r="F87" s="703" t="inlineStr">
        <is>
          <t>CO</t>
        </is>
      </c>
      <c r="G87" s="703" t="inlineStr">
        <is>
          <t>Industrial</t>
        </is>
      </c>
      <c r="H87" s="1195"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1195" t="inlineStr">
        <is>
          <t>Amazon AMZL Site 51812; 2022 dominated by RE Tax $1.08M; asset mgmt fee $70k</t>
        </is>
      </c>
      <c r="AN87">
        <f>IF(AND($B87=Subj_OccCode,Subj_BldgSF&gt;0,ABS($J87-Subj_BldgSF)&lt;=Subj_BldgSF*Subj_SizeTol),ABS($J87-Subj_BldgSF),NA())</f>
        <v/>
      </c>
      <c r="AO87">
        <f>IF(ISNA(AN87),NA(),AN87+ROW()/10000000)</f>
        <v/>
      </c>
      <c r="AR87" s="1132">
        <f>IF(B87="","",IFERROR(INDEX(OCC_TABLE_DESC,MATCH(B87,OCC_TABLE_CODE,0)),"Unrecognized code"))</f>
        <v/>
      </c>
    </row>
    <row r="88">
      <c r="A88" s="703" t="inlineStr">
        <is>
          <t>P041</t>
        </is>
      </c>
      <c r="B88" s="695" t="n">
        <v>386</v>
      </c>
      <c r="C88" s="703" t="inlineStr">
        <is>
          <t>R0189384</t>
        </is>
      </c>
      <c r="D88" s="1195" t="inlineStr">
        <is>
          <t>1101 Colorado Blvd</t>
        </is>
      </c>
      <c r="E88" s="703" t="inlineStr">
        <is>
          <t>Thornton</t>
        </is>
      </c>
      <c r="F88" s="703" t="inlineStr">
        <is>
          <t>CO</t>
        </is>
      </c>
      <c r="G88" s="703" t="inlineStr">
        <is>
          <t>Self-Storage</t>
        </is>
      </c>
      <c r="H88" s="1195"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1195" t="inlineStr">
        <is>
          <t>Actual SS P&amp;L; mgmt=off-site+on-site combined; admin+adv in Other</t>
        </is>
      </c>
      <c r="AN88">
        <f>IF(AND($B88=Subj_OccCode,Subj_BldgSF&gt;0,ABS($J88-Subj_BldgSF)&lt;=Subj_BldgSF*Subj_SizeTol),ABS($J88-Subj_BldgSF),NA())</f>
        <v/>
      </c>
      <c r="AO88">
        <f>IF(ISNA(AN88),NA(),AN88+ROW()/10000000)</f>
        <v/>
      </c>
      <c r="AR88" s="1132">
        <f>IF(B88="","",IFERROR(INDEX(OCC_TABLE_DESC,MATCH(B88,OCC_TABLE_CODE,0)),"Unrecognized code"))</f>
        <v/>
      </c>
    </row>
    <row r="89">
      <c r="A89" s="703" t="inlineStr">
        <is>
          <t>P041</t>
        </is>
      </c>
      <c r="B89" s="695" t="n">
        <v>386</v>
      </c>
      <c r="C89" s="703" t="inlineStr">
        <is>
          <t>R0189384</t>
        </is>
      </c>
      <c r="D89" s="1195" t="inlineStr">
        <is>
          <t>1101 Colorado Blvd</t>
        </is>
      </c>
      <c r="E89" s="703" t="inlineStr">
        <is>
          <t>Thornton</t>
        </is>
      </c>
      <c r="F89" s="703" t="inlineStr">
        <is>
          <t>CO</t>
        </is>
      </c>
      <c r="G89" s="703" t="inlineStr">
        <is>
          <t>Self-Storage</t>
        </is>
      </c>
      <c r="H89" s="1195"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1195" t="inlineStr">
        <is>
          <t>Actual SS P&amp;L; mgmt=off-site+on-site combined; admin+adv in Other</t>
        </is>
      </c>
      <c r="AN89">
        <f>IF(AND($B89=Subj_OccCode,Subj_BldgSF&gt;0,ABS($J89-Subj_BldgSF)&lt;=Subj_BldgSF*Subj_SizeTol),ABS($J89-Subj_BldgSF),NA())</f>
        <v/>
      </c>
      <c r="AO89">
        <f>IF(ISNA(AN89),NA(),AN89+ROW()/10000000)</f>
        <v/>
      </c>
      <c r="AR89" s="1132">
        <f>IF(B89="","",IFERROR(INDEX(OCC_TABLE_DESC,MATCH(B89,OCC_TABLE_CODE,0)),"Unrecognized code"))</f>
        <v/>
      </c>
    </row>
    <row r="90">
      <c r="A90" s="703" t="inlineStr">
        <is>
          <t>P041</t>
        </is>
      </c>
      <c r="B90" s="695" t="n">
        <v>386</v>
      </c>
      <c r="C90" s="703" t="inlineStr">
        <is>
          <t>R0189384</t>
        </is>
      </c>
      <c r="D90" s="1195" t="inlineStr">
        <is>
          <t>1101 Colorado Blvd</t>
        </is>
      </c>
      <c r="E90" s="703" t="inlineStr">
        <is>
          <t>Thornton</t>
        </is>
      </c>
      <c r="F90" s="703" t="inlineStr">
        <is>
          <t>CO</t>
        </is>
      </c>
      <c r="G90" s="703" t="inlineStr">
        <is>
          <t>Self-Storage</t>
        </is>
      </c>
      <c r="H90" s="1195"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1195" t="inlineStr">
        <is>
          <t>Actual SS P&amp;L; mgmt=off-site+on-site combined; admin+adv in Other</t>
        </is>
      </c>
      <c r="AN90">
        <f>IF(AND($B90=Subj_OccCode,Subj_BldgSF&gt;0,ABS($J90-Subj_BldgSF)&lt;=Subj_BldgSF*Subj_SizeTol),ABS($J90-Subj_BldgSF),NA())</f>
        <v/>
      </c>
      <c r="AO90">
        <f>IF(ISNA(AN90),NA(),AN90+ROW()/10000000)</f>
        <v/>
      </c>
      <c r="AR90" s="1132">
        <f>IF(B90="","",IFERROR(INDEX(OCC_TABLE_DESC,MATCH(B90,OCC_TABLE_CODE,0)),"Unrecognized code"))</f>
        <v/>
      </c>
    </row>
    <row r="91">
      <c r="A91" s="703" t="inlineStr">
        <is>
          <t>P042</t>
        </is>
      </c>
      <c r="B91" s="695" t="n">
        <v>386</v>
      </c>
      <c r="C91" s="703" t="inlineStr">
        <is>
          <t>R0126235</t>
        </is>
      </c>
      <c r="D91" s="1195" t="inlineStr">
        <is>
          <t>15024 Laroy Drive</t>
        </is>
      </c>
      <c r="E91" s="703" t="inlineStr">
        <is>
          <t>Northglenn</t>
        </is>
      </c>
      <c r="F91" s="703" t="inlineStr">
        <is>
          <t>CO</t>
        </is>
      </c>
      <c r="G91" s="703" t="inlineStr">
        <is>
          <t>Self-Storage</t>
        </is>
      </c>
      <c r="H91" s="1195"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1195" t="inlineStr">
        <is>
          <t>Actual SS P&amp;L; mgmt=off-site+on-site combined</t>
        </is>
      </c>
      <c r="AN91">
        <f>IF(AND($B91=Subj_OccCode,Subj_BldgSF&gt;0,ABS($J91-Subj_BldgSF)&lt;=Subj_BldgSF*Subj_SizeTol),ABS($J91-Subj_BldgSF),NA())</f>
        <v/>
      </c>
      <c r="AO91">
        <f>IF(ISNA(AN91),NA(),AN91+ROW()/10000000)</f>
        <v/>
      </c>
      <c r="AR91" s="1132">
        <f>IF(B91="","",IFERROR(INDEX(OCC_TABLE_DESC,MATCH(B91,OCC_TABLE_CODE,0)),"Unrecognized code"))</f>
        <v/>
      </c>
    </row>
    <row r="92">
      <c r="A92" s="703" t="inlineStr">
        <is>
          <t>P042</t>
        </is>
      </c>
      <c r="B92" s="695" t="n">
        <v>386</v>
      </c>
      <c r="C92" s="703" t="inlineStr">
        <is>
          <t>R0126235</t>
        </is>
      </c>
      <c r="D92" s="1195" t="inlineStr">
        <is>
          <t>15024 Laroy Drive</t>
        </is>
      </c>
      <c r="E92" s="703" t="inlineStr">
        <is>
          <t>Northglenn</t>
        </is>
      </c>
      <c r="F92" s="703" t="inlineStr">
        <is>
          <t>CO</t>
        </is>
      </c>
      <c r="G92" s="703" t="inlineStr">
        <is>
          <t>Self-Storage</t>
        </is>
      </c>
      <c r="H92" s="1195"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1195" t="inlineStr">
        <is>
          <t>Actual SS P&amp;L; mgmt=off-site+on-site combined</t>
        </is>
      </c>
      <c r="AN92">
        <f>IF(AND($B92=Subj_OccCode,Subj_BldgSF&gt;0,ABS($J92-Subj_BldgSF)&lt;=Subj_BldgSF*Subj_SizeTol),ABS($J92-Subj_BldgSF),NA())</f>
        <v/>
      </c>
      <c r="AO92">
        <f>IF(ISNA(AN92),NA(),AN92+ROW()/10000000)</f>
        <v/>
      </c>
      <c r="AR92" s="1132">
        <f>IF(B92="","",IFERROR(INDEX(OCC_TABLE_DESC,MATCH(B92,OCC_TABLE_CODE,0)),"Unrecognized code"))</f>
        <v/>
      </c>
    </row>
    <row r="93">
      <c r="A93" s="703" t="inlineStr">
        <is>
          <t>P042</t>
        </is>
      </c>
      <c r="B93" s="695" t="n">
        <v>386</v>
      </c>
      <c r="C93" s="703" t="inlineStr">
        <is>
          <t>R0126235</t>
        </is>
      </c>
      <c r="D93" s="1195" t="inlineStr">
        <is>
          <t>15024 Laroy Drive</t>
        </is>
      </c>
      <c r="E93" s="703" t="inlineStr">
        <is>
          <t>Northglenn</t>
        </is>
      </c>
      <c r="F93" s="703" t="inlineStr">
        <is>
          <t>CO</t>
        </is>
      </c>
      <c r="G93" s="703" t="inlineStr">
        <is>
          <t>Self-Storage</t>
        </is>
      </c>
      <c r="H93" s="1195"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1195" t="inlineStr">
        <is>
          <t>Actual SS P&amp;L; mgmt=off-site+on-site combined</t>
        </is>
      </c>
      <c r="AN93">
        <f>IF(AND($B93=Subj_OccCode,Subj_BldgSF&gt;0,ABS($J93-Subj_BldgSF)&lt;=Subj_BldgSF*Subj_SizeTol),ABS($J93-Subj_BldgSF),NA())</f>
        <v/>
      </c>
      <c r="AO93">
        <f>IF(ISNA(AN93),NA(),AN93+ROW()/10000000)</f>
        <v/>
      </c>
      <c r="AR93" s="1132">
        <f>IF(B93="","",IFERROR(INDEX(OCC_TABLE_DESC,MATCH(B93,OCC_TABLE_CODE,0)),"Unrecognized code"))</f>
        <v/>
      </c>
    </row>
    <row r="94">
      <c r="A94" s="703" t="inlineStr">
        <is>
          <t>P043</t>
        </is>
      </c>
      <c r="B94" s="695" t="n">
        <v>386</v>
      </c>
      <c r="C94" s="703" t="inlineStr">
        <is>
          <t>R0126234</t>
        </is>
      </c>
      <c r="D94" s="1195" t="inlineStr">
        <is>
          <t>715 W 112th Ave</t>
        </is>
      </c>
      <c r="E94" s="703" t="inlineStr">
        <is>
          <t>Northglenn</t>
        </is>
      </c>
      <c r="F94" s="703" t="inlineStr">
        <is>
          <t>CO</t>
        </is>
      </c>
      <c r="G94" s="703" t="inlineStr">
        <is>
          <t>Self-Storage</t>
        </is>
      </c>
      <c r="H94" s="1195"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1195" t="inlineStr">
        <is>
          <t>Actual SS P&amp;L; mgmt=off-site+on-site combined</t>
        </is>
      </c>
      <c r="AN94">
        <f>IF(AND($B94=Subj_OccCode,Subj_BldgSF&gt;0,ABS($J94-Subj_BldgSF)&lt;=Subj_BldgSF*Subj_SizeTol),ABS($J94-Subj_BldgSF),NA())</f>
        <v/>
      </c>
      <c r="AO94">
        <f>IF(ISNA(AN94),NA(),AN94+ROW()/10000000)</f>
        <v/>
      </c>
      <c r="AR94" s="1132">
        <f>IF(B94="","",IFERROR(INDEX(OCC_TABLE_DESC,MATCH(B94,OCC_TABLE_CODE,0)),"Unrecognized code"))</f>
        <v/>
      </c>
    </row>
    <row r="95">
      <c r="A95" s="703" t="inlineStr">
        <is>
          <t>P043</t>
        </is>
      </c>
      <c r="B95" s="695" t="n">
        <v>386</v>
      </c>
      <c r="C95" s="703" t="inlineStr">
        <is>
          <t>R0126234</t>
        </is>
      </c>
      <c r="D95" s="1195" t="inlineStr">
        <is>
          <t>715 W 112th Ave</t>
        </is>
      </c>
      <c r="E95" s="703" t="inlineStr">
        <is>
          <t>Northglenn</t>
        </is>
      </c>
      <c r="F95" s="703" t="inlineStr">
        <is>
          <t>CO</t>
        </is>
      </c>
      <c r="G95" s="703" t="inlineStr">
        <is>
          <t>Self-Storage</t>
        </is>
      </c>
      <c r="H95" s="1195"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1195" t="inlineStr">
        <is>
          <t>Actual SS P&amp;L; mgmt=off-site+on-site combined</t>
        </is>
      </c>
      <c r="AN95">
        <f>IF(AND($B95=Subj_OccCode,Subj_BldgSF&gt;0,ABS($J95-Subj_BldgSF)&lt;=Subj_BldgSF*Subj_SizeTol),ABS($J95-Subj_BldgSF),NA())</f>
        <v/>
      </c>
      <c r="AO95">
        <f>IF(ISNA(AN95),NA(),AN95+ROW()/10000000)</f>
        <v/>
      </c>
      <c r="AR95" s="1132">
        <f>IF(B95="","",IFERROR(INDEX(OCC_TABLE_DESC,MATCH(B95,OCC_TABLE_CODE,0)),"Unrecognized code"))</f>
        <v/>
      </c>
    </row>
    <row r="96">
      <c r="A96" s="703" t="inlineStr">
        <is>
          <t>P043</t>
        </is>
      </c>
      <c r="B96" s="695" t="n">
        <v>386</v>
      </c>
      <c r="C96" s="703" t="inlineStr">
        <is>
          <t>R0126234</t>
        </is>
      </c>
      <c r="D96" s="1195" t="inlineStr">
        <is>
          <t>715 W 112th Ave</t>
        </is>
      </c>
      <c r="E96" s="703" t="inlineStr">
        <is>
          <t>Northglenn</t>
        </is>
      </c>
      <c r="F96" s="703" t="inlineStr">
        <is>
          <t>CO</t>
        </is>
      </c>
      <c r="G96" s="703" t="inlineStr">
        <is>
          <t>Self-Storage</t>
        </is>
      </c>
      <c r="H96" s="1195"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1195" t="inlineStr">
        <is>
          <t>Actual SS P&amp;L; mgmt=off-site+on-site combined</t>
        </is>
      </c>
      <c r="AN96">
        <f>IF(AND($B96=Subj_OccCode,Subj_BldgSF&gt;0,ABS($J96-Subj_BldgSF)&lt;=Subj_BldgSF*Subj_SizeTol),ABS($J96-Subj_BldgSF),NA())</f>
        <v/>
      </c>
      <c r="AO96">
        <f>IF(ISNA(AN96),NA(),AN96+ROW()/10000000)</f>
        <v/>
      </c>
      <c r="AR96" s="1132">
        <f>IF(B96="","",IFERROR(INDEX(OCC_TABLE_DESC,MATCH(B96,OCC_TABLE_CODE,0)),"Unrecognized code"))</f>
        <v/>
      </c>
    </row>
    <row r="97">
      <c r="A97" s="703" t="inlineStr">
        <is>
          <t>P044</t>
        </is>
      </c>
      <c r="B97" s="695" t="n">
        <v>386</v>
      </c>
      <c r="C97" s="703" t="inlineStr">
        <is>
          <t>R0027089/R0178319</t>
        </is>
      </c>
      <c r="D97" s="1195" t="inlineStr">
        <is>
          <t>2290 E 120th Ave</t>
        </is>
      </c>
      <c r="E97" s="703" t="inlineStr">
        <is>
          <t>Thornton</t>
        </is>
      </c>
      <c r="F97" s="703" t="inlineStr">
        <is>
          <t>CO</t>
        </is>
      </c>
      <c r="G97" s="703" t="inlineStr">
        <is>
          <t>Self-Storage</t>
        </is>
      </c>
      <c r="H97" s="1195"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1195" t="inlineStr">
        <is>
          <t>Actual SS P&amp;L; combined parcels R0027089+R0178319; mgmt=off-site+on-site</t>
        </is>
      </c>
      <c r="AN97">
        <f>IF(AND($B97=Subj_OccCode,Subj_BldgSF&gt;0,ABS($J97-Subj_BldgSF)&lt;=Subj_BldgSF*Subj_SizeTol),ABS($J97-Subj_BldgSF),NA())</f>
        <v/>
      </c>
      <c r="AO97">
        <f>IF(ISNA(AN97),NA(),AN97+ROW()/10000000)</f>
        <v/>
      </c>
      <c r="AR97" s="1132">
        <f>IF(B97="","",IFERROR(INDEX(OCC_TABLE_DESC,MATCH(B97,OCC_TABLE_CODE,0)),"Unrecognized code"))</f>
        <v/>
      </c>
    </row>
    <row r="98">
      <c r="A98" s="703" t="inlineStr">
        <is>
          <t>P044</t>
        </is>
      </c>
      <c r="B98" s="695" t="n">
        <v>386</v>
      </c>
      <c r="C98" s="703" t="inlineStr">
        <is>
          <t>R0027089/R0178319</t>
        </is>
      </c>
      <c r="D98" s="1195" t="inlineStr">
        <is>
          <t>2290 E 120th Ave</t>
        </is>
      </c>
      <c r="E98" s="703" t="inlineStr">
        <is>
          <t>Thornton</t>
        </is>
      </c>
      <c r="F98" s="703" t="inlineStr">
        <is>
          <t>CO</t>
        </is>
      </c>
      <c r="G98" s="703" t="inlineStr">
        <is>
          <t>Self-Storage</t>
        </is>
      </c>
      <c r="H98" s="1195"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1195" t="inlineStr">
        <is>
          <t>Actual SS P&amp;L; combined parcels R0027089+R0178319; mgmt=off-site+on-site</t>
        </is>
      </c>
      <c r="AN98">
        <f>IF(AND($B98=Subj_OccCode,Subj_BldgSF&gt;0,ABS($J98-Subj_BldgSF)&lt;=Subj_BldgSF*Subj_SizeTol),ABS($J98-Subj_BldgSF),NA())</f>
        <v/>
      </c>
      <c r="AO98">
        <f>IF(ISNA(AN98),NA(),AN98+ROW()/10000000)</f>
        <v/>
      </c>
      <c r="AR98" s="1132">
        <f>IF(B98="","",IFERROR(INDEX(OCC_TABLE_DESC,MATCH(B98,OCC_TABLE_CODE,0)),"Unrecognized code"))</f>
        <v/>
      </c>
    </row>
    <row r="99">
      <c r="A99" s="703" t="inlineStr">
        <is>
          <t>P044</t>
        </is>
      </c>
      <c r="B99" s="695" t="n">
        <v>386</v>
      </c>
      <c r="C99" s="703" t="inlineStr">
        <is>
          <t>R0027089/R0178319</t>
        </is>
      </c>
      <c r="D99" s="1195" t="inlineStr">
        <is>
          <t>2290 E 120th Ave</t>
        </is>
      </c>
      <c r="E99" s="703" t="inlineStr">
        <is>
          <t>Thornton</t>
        </is>
      </c>
      <c r="F99" s="703" t="inlineStr">
        <is>
          <t>CO</t>
        </is>
      </c>
      <c r="G99" s="703" t="inlineStr">
        <is>
          <t>Self-Storage</t>
        </is>
      </c>
      <c r="H99" s="1195"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1195" t="inlineStr">
        <is>
          <t>Actual SS P&amp;L; combined parcels R0027089+R0178319; mgmt=off-site+on-site</t>
        </is>
      </c>
      <c r="AN99">
        <f>IF(AND($B99=Subj_OccCode,Subj_BldgSF&gt;0,ABS($J99-Subj_BldgSF)&lt;=Subj_BldgSF*Subj_SizeTol),ABS($J99-Subj_BldgSF),NA())</f>
        <v/>
      </c>
      <c r="AO99">
        <f>IF(ISNA(AN99),NA(),AN99+ROW()/10000000)</f>
        <v/>
      </c>
      <c r="AR99" s="1132">
        <f>IF(B99="","",IFERROR(INDEX(OCC_TABLE_DESC,MATCH(B99,OCC_TABLE_CODE,0)),"Unrecognized code"))</f>
        <v/>
      </c>
    </row>
    <row r="100">
      <c r="A100" s="703" t="inlineStr">
        <is>
          <t>P045</t>
        </is>
      </c>
      <c r="B100" s="695" t="n">
        <v>386</v>
      </c>
      <c r="C100" s="703" t="inlineStr">
        <is>
          <t>R0043569</t>
        </is>
      </c>
      <c r="D100" s="1195" t="inlineStr">
        <is>
          <t>40131 Quivas St</t>
        </is>
      </c>
      <c r="E100" s="703" t="inlineStr">
        <is>
          <t>Thornton</t>
        </is>
      </c>
      <c r="F100" s="703" t="inlineStr">
        <is>
          <t>CO</t>
        </is>
      </c>
      <c r="G100" s="703" t="inlineStr">
        <is>
          <t>Self-Storage</t>
        </is>
      </c>
      <c r="H100" s="1195"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1195" t="inlineStr">
        <is>
          <t>Actual FY2024 P&amp;L; mgmt=off-site $42,964+on-site $51,011; RE Tax est from matrix</t>
        </is>
      </c>
      <c r="AN100">
        <f>IF(AND($B100=Subj_OccCode,Subj_BldgSF&gt;0,ABS($J100-Subj_BldgSF)&lt;=Subj_BldgSF*Subj_SizeTol),ABS($J100-Subj_BldgSF),NA())</f>
        <v/>
      </c>
      <c r="AO100">
        <f>IF(ISNA(AN100),NA(),AN100+ROW()/10000000)</f>
        <v/>
      </c>
      <c r="AR100" s="1132">
        <f>IF(B100="","",IFERROR(INDEX(OCC_TABLE_DESC,MATCH(B100,OCC_TABLE_CODE,0)),"Unrecognized code"))</f>
        <v/>
      </c>
    </row>
    <row r="101">
      <c r="A101" s="703" t="inlineStr">
        <is>
          <t>P046</t>
        </is>
      </c>
      <c r="B101" s="695" t="n">
        <v>386</v>
      </c>
      <c r="C101" s="703" t="inlineStr">
        <is>
          <t>R0193009</t>
        </is>
      </c>
      <c r="D101" s="1195" t="inlineStr">
        <is>
          <t>Address unknown – see R0193009</t>
        </is>
      </c>
      <c r="E101" s="703" t="inlineStr">
        <is>
          <t>Adams County</t>
        </is>
      </c>
      <c r="F101" s="703" t="inlineStr">
        <is>
          <t>CO</t>
        </is>
      </c>
      <c r="G101" s="703" t="inlineStr">
        <is>
          <t>Self-Storage</t>
        </is>
      </c>
      <c r="H101" s="1195"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1195" t="inlineStr">
        <is>
          <t>AXG SS Expense Matrix; year not specified (~2022/23); R0193009</t>
        </is>
      </c>
      <c r="AN101">
        <f>IF(AND($B101=Subj_OccCode,Subj_BldgSF&gt;0,ABS($J101-Subj_BldgSF)&lt;=Subj_BldgSF*Subj_SizeTol),ABS($J101-Subj_BldgSF),NA())</f>
        <v/>
      </c>
      <c r="AO101">
        <f>IF(ISNA(AN101),NA(),AN101+ROW()/10000000)</f>
        <v/>
      </c>
      <c r="AR101" s="1132">
        <f>IF(B101="","",IFERROR(INDEX(OCC_TABLE_DESC,MATCH(B101,OCC_TABLE_CODE,0)),"Unrecognized code"))</f>
        <v/>
      </c>
    </row>
    <row r="102">
      <c r="A102" s="703" t="inlineStr">
        <is>
          <t>P047</t>
        </is>
      </c>
      <c r="B102" s="695" t="n">
        <v>386</v>
      </c>
      <c r="C102" s="703" t="inlineStr">
        <is>
          <t>R0099616</t>
        </is>
      </c>
      <c r="D102" s="1195" t="inlineStr">
        <is>
          <t>Address unknown – see R0099616</t>
        </is>
      </c>
      <c r="E102" s="703" t="inlineStr">
        <is>
          <t>Adams County</t>
        </is>
      </c>
      <c r="F102" s="703" t="inlineStr">
        <is>
          <t>CO</t>
        </is>
      </c>
      <c r="G102" s="703" t="inlineStr">
        <is>
          <t>Self-Storage</t>
        </is>
      </c>
      <c r="H102" s="1195"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1195" t="inlineStr">
        <is>
          <t>AXG SS Expense Matrix; year not specified (~2022/23); R0099616</t>
        </is>
      </c>
      <c r="AN102">
        <f>IF(AND($B102=Subj_OccCode,Subj_BldgSF&gt;0,ABS($J102-Subj_BldgSF)&lt;=Subj_BldgSF*Subj_SizeTol),ABS($J102-Subj_BldgSF),NA())</f>
        <v/>
      </c>
      <c r="AO102">
        <f>IF(ISNA(AN102),NA(),AN102+ROW()/10000000)</f>
        <v/>
      </c>
      <c r="AR102" s="1132">
        <f>IF(B102="","",IFERROR(INDEX(OCC_TABLE_DESC,MATCH(B102,OCC_TABLE_CODE,0)),"Unrecognized code"))</f>
        <v/>
      </c>
    </row>
    <row r="103">
      <c r="A103" s="703" t="inlineStr">
        <is>
          <t>P048</t>
        </is>
      </c>
      <c r="B103" s="695" t="n">
        <v>386</v>
      </c>
      <c r="C103" s="703" t="inlineStr">
        <is>
          <t>R0098019</t>
        </is>
      </c>
      <c r="D103" s="1195" t="inlineStr">
        <is>
          <t>Address unknown – see R0098019</t>
        </is>
      </c>
      <c r="E103" s="703" t="inlineStr">
        <is>
          <t>Adams County</t>
        </is>
      </c>
      <c r="F103" s="703" t="inlineStr">
        <is>
          <t>CO</t>
        </is>
      </c>
      <c r="G103" s="703" t="inlineStr">
        <is>
          <t>Self-Storage</t>
        </is>
      </c>
      <c r="H103" s="1195"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1195" t="inlineStr">
        <is>
          <t>AXG SS Expense Matrix; year not specified (~2022/23); R0098019</t>
        </is>
      </c>
      <c r="AN103">
        <f>IF(AND($B103=Subj_OccCode,Subj_BldgSF&gt;0,ABS($J103-Subj_BldgSF)&lt;=Subj_BldgSF*Subj_SizeTol),ABS($J103-Subj_BldgSF),NA())</f>
        <v/>
      </c>
      <c r="AO103">
        <f>IF(ISNA(AN103),NA(),AN103+ROW()/10000000)</f>
        <v/>
      </c>
      <c r="AR103" s="1132">
        <f>IF(B103="","",IFERROR(INDEX(OCC_TABLE_DESC,MATCH(B103,OCC_TABLE_CODE,0)),"Unrecognized code"))</f>
        <v/>
      </c>
    </row>
    <row r="104">
      <c r="A104" s="703" t="inlineStr">
        <is>
          <t>P049</t>
        </is>
      </c>
      <c r="B104" s="695" t="n">
        <v>386</v>
      </c>
      <c r="C104" s="703" t="inlineStr">
        <is>
          <t>R0102989</t>
        </is>
      </c>
      <c r="D104" s="1195" t="inlineStr">
        <is>
          <t>Address unknown – see R0102989</t>
        </is>
      </c>
      <c r="E104" s="703" t="inlineStr">
        <is>
          <t>Adams County</t>
        </is>
      </c>
      <c r="F104" s="703" t="inlineStr">
        <is>
          <t>CO</t>
        </is>
      </c>
      <c r="G104" s="703" t="inlineStr">
        <is>
          <t>Self-Storage</t>
        </is>
      </c>
      <c r="H104" s="1195"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1195" t="inlineStr">
        <is>
          <t>AXG SS Expense Matrix; year not specified (~2022/23); R0102989</t>
        </is>
      </c>
      <c r="AN104">
        <f>IF(AND($B104=Subj_OccCode,Subj_BldgSF&gt;0,ABS($J104-Subj_BldgSF)&lt;=Subj_BldgSF*Subj_SizeTol),ABS($J104-Subj_BldgSF),NA())</f>
        <v/>
      </c>
      <c r="AO104">
        <f>IF(ISNA(AN104),NA(),AN104+ROW()/10000000)</f>
        <v/>
      </c>
      <c r="AR104" s="1132">
        <f>IF(B104="","",IFERROR(INDEX(OCC_TABLE_DESC,MATCH(B104,OCC_TABLE_CODE,0)),"Unrecognized code"))</f>
        <v/>
      </c>
    </row>
    <row r="105">
      <c r="A105" s="703" t="inlineStr">
        <is>
          <t>P050</t>
        </is>
      </c>
      <c r="B105" s="695" t="n">
        <v>386</v>
      </c>
      <c r="C105" s="703" t="inlineStr">
        <is>
          <t>R0085523</t>
        </is>
      </c>
      <c r="D105" s="1195" t="inlineStr">
        <is>
          <t>Address unknown – see R0085523</t>
        </is>
      </c>
      <c r="E105" s="703" t="inlineStr">
        <is>
          <t>Adams County</t>
        </is>
      </c>
      <c r="F105" s="703" t="inlineStr">
        <is>
          <t>CO</t>
        </is>
      </c>
      <c r="G105" s="703" t="inlineStr">
        <is>
          <t>Self-Storage</t>
        </is>
      </c>
      <c r="H105" s="1195"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1195" t="inlineStr">
        <is>
          <t>AXG SS Expense Matrix; year not specified (~2022/23); R0085523</t>
        </is>
      </c>
      <c r="AN105">
        <f>IF(AND($B105=Subj_OccCode,Subj_BldgSF&gt;0,ABS($J105-Subj_BldgSF)&lt;=Subj_BldgSF*Subj_SizeTol),ABS($J105-Subj_BldgSF),NA())</f>
        <v/>
      </c>
      <c r="AO105">
        <f>IF(ISNA(AN105),NA(),AN105+ROW()/10000000)</f>
        <v/>
      </c>
      <c r="AR105" s="1132">
        <f>IF(B105="","",IFERROR(INDEX(OCC_TABLE_DESC,MATCH(B105,OCC_TABLE_CODE,0)),"Unrecognized code"))</f>
        <v/>
      </c>
    </row>
    <row r="106">
      <c r="A106" s="703" t="inlineStr">
        <is>
          <t>P051</t>
        </is>
      </c>
      <c r="B106" s="695" t="n">
        <v>386</v>
      </c>
      <c r="C106" s="703" t="inlineStr">
        <is>
          <t>R0174860</t>
        </is>
      </c>
      <c r="D106" s="1195" t="inlineStr">
        <is>
          <t>Address unknown – see R0174860</t>
        </is>
      </c>
      <c r="E106" s="703" t="inlineStr">
        <is>
          <t>Adams County</t>
        </is>
      </c>
      <c r="F106" s="703" t="inlineStr">
        <is>
          <t>CO</t>
        </is>
      </c>
      <c r="G106" s="703" t="inlineStr">
        <is>
          <t>Self-Storage</t>
        </is>
      </c>
      <c r="H106" s="1195"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1195" t="inlineStr">
        <is>
          <t>AXG SS Expense Matrix; year not specified (~2022/23); R0174860</t>
        </is>
      </c>
      <c r="AN106">
        <f>IF(AND($B106=Subj_OccCode,Subj_BldgSF&gt;0,ABS($J106-Subj_BldgSF)&lt;=Subj_BldgSF*Subj_SizeTol),ABS($J106-Subj_BldgSF),NA())</f>
        <v/>
      </c>
      <c r="AO106">
        <f>IF(ISNA(AN106),NA(),AN106+ROW()/10000000)</f>
        <v/>
      </c>
      <c r="AR106" s="1132">
        <f>IF(B106="","",IFERROR(INDEX(OCC_TABLE_DESC,MATCH(B106,OCC_TABLE_CODE,0)),"Unrecognized code"))</f>
        <v/>
      </c>
    </row>
    <row r="107">
      <c r="A107" s="703" t="inlineStr">
        <is>
          <t>P052</t>
        </is>
      </c>
      <c r="B107" s="695" t="n">
        <v>386</v>
      </c>
      <c r="C107" s="703" t="inlineStr">
        <is>
          <t>R0161412</t>
        </is>
      </c>
      <c r="D107" s="1195" t="inlineStr">
        <is>
          <t>Address unknown – see R0161412</t>
        </is>
      </c>
      <c r="E107" s="703" t="inlineStr">
        <is>
          <t>Adams County</t>
        </is>
      </c>
      <c r="F107" s="703" t="inlineStr">
        <is>
          <t>CO</t>
        </is>
      </c>
      <c r="G107" s="703" t="inlineStr">
        <is>
          <t>Self-Storage</t>
        </is>
      </c>
      <c r="H107" s="1195"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1195" t="inlineStr">
        <is>
          <t>AXG SS Expense Matrix; year not specified (~2022/23); R0161412</t>
        </is>
      </c>
      <c r="AN107">
        <f>IF(AND($B107=Subj_OccCode,Subj_BldgSF&gt;0,ABS($J107-Subj_BldgSF)&lt;=Subj_BldgSF*Subj_SizeTol),ABS($J107-Subj_BldgSF),NA())</f>
        <v/>
      </c>
      <c r="AO107">
        <f>IF(ISNA(AN107),NA(),AN107+ROW()/10000000)</f>
        <v/>
      </c>
      <c r="AR107" s="1132">
        <f>IF(B107="","",IFERROR(INDEX(OCC_TABLE_DESC,MATCH(B107,OCC_TABLE_CODE,0)),"Unrecognized code"))</f>
        <v/>
      </c>
    </row>
    <row r="108">
      <c r="A108" s="703" t="inlineStr">
        <is>
          <t>P053</t>
        </is>
      </c>
      <c r="B108" s="695" t="n">
        <v>386</v>
      </c>
      <c r="C108" s="703" t="inlineStr">
        <is>
          <t>R0169115</t>
        </is>
      </c>
      <c r="D108" s="1195" t="inlineStr">
        <is>
          <t>Address unknown – see R0169115</t>
        </is>
      </c>
      <c r="E108" s="703" t="inlineStr">
        <is>
          <t>Adams County</t>
        </is>
      </c>
      <c r="F108" s="703" t="inlineStr">
        <is>
          <t>CO</t>
        </is>
      </c>
      <c r="G108" s="703" t="inlineStr">
        <is>
          <t>Self-Storage</t>
        </is>
      </c>
      <c r="H108" s="1195"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1195" t="inlineStr">
        <is>
          <t>AXG SS Expense Matrix; year not specified (~2022/23); R0169115</t>
        </is>
      </c>
      <c r="AN108">
        <f>IF(AND($B108=Subj_OccCode,Subj_BldgSF&gt;0,ABS($J108-Subj_BldgSF)&lt;=Subj_BldgSF*Subj_SizeTol),ABS($J108-Subj_BldgSF),NA())</f>
        <v/>
      </c>
      <c r="AO108">
        <f>IF(ISNA(AN108),NA(),AN108+ROW()/10000000)</f>
        <v/>
      </c>
      <c r="AR108" s="1132">
        <f>IF(B108="","",IFERROR(INDEX(OCC_TABLE_DESC,MATCH(B108,OCC_TABLE_CODE,0)),"Unrecognized code"))</f>
        <v/>
      </c>
    </row>
    <row r="109">
      <c r="A109" s="703" t="inlineStr">
        <is>
          <t>P016</t>
        </is>
      </c>
      <c r="B109" s="695" t="n">
        <v>584</v>
      </c>
      <c r="C109" s="703" t="inlineStr">
        <is>
          <t>R0212546/R0212547</t>
        </is>
      </c>
      <c r="D109" s="1195" t="inlineStr">
        <is>
          <t>2780 N Tower Rd</t>
        </is>
      </c>
      <c r="E109" s="703" t="inlineStr">
        <is>
          <t>Aurora</t>
        </is>
      </c>
      <c r="F109" s="703" t="inlineStr">
        <is>
          <t>CO</t>
        </is>
      </c>
      <c r="G109" s="703" t="inlineStr">
        <is>
          <t>Industrial</t>
        </is>
      </c>
      <c r="H109" s="1195"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1195"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c r="AR109" s="1132">
        <f>IF(B109="","",IFERROR(INDEX(OCC_TABLE_DESC,MATCH(B109,OCC_TABLE_CODE,0)),"Unrecognized code"))</f>
        <v/>
      </c>
    </row>
    <row r="110">
      <c r="A110" s="703" t="inlineStr">
        <is>
          <t>P016</t>
        </is>
      </c>
      <c r="B110" s="695" t="n">
        <v>584</v>
      </c>
      <c r="C110" s="703" t="inlineStr">
        <is>
          <t>R0212546/R0212547</t>
        </is>
      </c>
      <c r="D110" s="1195" t="inlineStr">
        <is>
          <t>2780 N Tower Rd</t>
        </is>
      </c>
      <c r="E110" s="703" t="inlineStr">
        <is>
          <t>Aurora</t>
        </is>
      </c>
      <c r="F110" s="703" t="inlineStr">
        <is>
          <t>CO</t>
        </is>
      </c>
      <c r="G110" s="703" t="inlineStr">
        <is>
          <t>Industrial</t>
        </is>
      </c>
      <c r="H110" s="1195"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1195"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c r="AR110" s="1132">
        <f>IF(B110="","",IFERROR(INDEX(OCC_TABLE_DESC,MATCH(B110,OCC_TABLE_CODE,0)),"Unrecognized code"))</f>
        <v/>
      </c>
    </row>
    <row r="111">
      <c r="A111" s="703" t="inlineStr">
        <is>
          <t>P034</t>
        </is>
      </c>
      <c r="B111" s="695" t="n">
        <v>407</v>
      </c>
      <c r="C111" s="703" t="inlineStr">
        <is>
          <t>R0172865</t>
        </is>
      </c>
      <c r="D111" s="1195" t="inlineStr">
        <is>
          <t>Majestic Commercenter (R0172865)</t>
        </is>
      </c>
      <c r="E111" s="703" t="inlineStr">
        <is>
          <t>Commerce City</t>
        </is>
      </c>
      <c r="F111" s="703" t="inlineStr">
        <is>
          <t>CO</t>
        </is>
      </c>
      <c r="G111" s="703" t="inlineStr">
        <is>
          <t>Industrial</t>
        </is>
      </c>
      <c r="H111" s="1195"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1195" t="inlineStr">
        <is>
          <t>2024 actual 12-month P&amp;L; NOI est. per expense ratio; from 08_2025 Review</t>
        </is>
      </c>
      <c r="AN111">
        <f>IF(AND($B111=Subj_OccCode,Subj_BldgSF&gt;0,ABS($J111-Subj_BldgSF)&lt;=Subj_BldgSF*Subj_SizeTol),ABS($J111-Subj_BldgSF),NA())</f>
        <v/>
      </c>
      <c r="AO111">
        <f>IF(ISNA(AN111),NA(),AN111+ROW()/10000000)</f>
        <v/>
      </c>
      <c r="AR111" s="1132">
        <f>IF(B111="","",IFERROR(INDEX(OCC_TABLE_DESC,MATCH(B111,OCC_TABLE_CODE,0)),"Unrecognized code"))</f>
        <v/>
      </c>
    </row>
    <row r="112">
      <c r="A112" s="703" t="inlineStr">
        <is>
          <t>P036</t>
        </is>
      </c>
      <c r="B112" s="695" t="n">
        <v>407</v>
      </c>
      <c r="C112" s="703" t="inlineStr">
        <is>
          <t>R0172868</t>
        </is>
      </c>
      <c r="D112" s="1195" t="inlineStr">
        <is>
          <t>Majestic Commercenter (R0172868)</t>
        </is>
      </c>
      <c r="E112" s="703" t="inlineStr">
        <is>
          <t>Commerce City</t>
        </is>
      </c>
      <c r="F112" s="703" t="inlineStr">
        <is>
          <t>CO</t>
        </is>
      </c>
      <c r="G112" s="703" t="inlineStr">
        <is>
          <t>Industrial</t>
        </is>
      </c>
      <c r="H112" s="1195"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1195" t="inlineStr">
        <is>
          <t>2024 actual 12-month P&amp;L; from 08_2025 Review</t>
        </is>
      </c>
      <c r="AN112">
        <f>IF(AND($B112=Subj_OccCode,Subj_BldgSF&gt;0,ABS($J112-Subj_BldgSF)&lt;=Subj_BldgSF*Subj_SizeTol),ABS($J112-Subj_BldgSF),NA())</f>
        <v/>
      </c>
      <c r="AO112">
        <f>IF(ISNA(AN112),NA(),AN112+ROW()/10000000)</f>
        <v/>
      </c>
      <c r="AR112" s="1132">
        <f>IF(B112="","",IFERROR(INDEX(OCC_TABLE_DESC,MATCH(B112,OCC_TABLE_CODE,0)),"Unrecognized code"))</f>
        <v/>
      </c>
    </row>
    <row r="113">
      <c r="A113" s="703" t="inlineStr">
        <is>
          <t>P054</t>
        </is>
      </c>
      <c r="B113" s="695" t="n">
        <v>210</v>
      </c>
      <c r="C113" s="703" t="inlineStr">
        <is>
          <t>R0180551</t>
        </is>
      </c>
      <c r="D113" s="1195" t="inlineStr">
        <is>
          <t>1953 N Gun Club Rd</t>
        </is>
      </c>
      <c r="E113" s="703" t="inlineStr">
        <is>
          <t>Aurora</t>
        </is>
      </c>
      <c r="F113" s="703" t="inlineStr">
        <is>
          <t>CO</t>
        </is>
      </c>
      <c r="G113" s="703" t="inlineStr">
        <is>
          <t>Industrial</t>
        </is>
      </c>
      <c r="H113" s="1195"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1195" t="inlineStr">
        <is>
          <t>Actual accrual; base rent $880k; recovery $1.59M; prior-yr adj included</t>
        </is>
      </c>
      <c r="AN113">
        <f>IF(AND($B113=Subj_OccCode,Subj_BldgSF&gt;0,ABS($J113-Subj_BldgSF)&lt;=Subj_BldgSF*Subj_SizeTol),ABS($J113-Subj_BldgSF),NA())</f>
        <v/>
      </c>
      <c r="AO113">
        <f>IF(ISNA(AN113),NA(),AN113+ROW()/10000000)</f>
        <v/>
      </c>
      <c r="AR113" s="1132">
        <f>IF(B113="","",IFERROR(INDEX(OCC_TABLE_DESC,MATCH(B113,OCC_TABLE_CODE,0)),"Unrecognized code"))</f>
        <v/>
      </c>
    </row>
    <row r="114">
      <c r="A114" s="703" t="inlineStr">
        <is>
          <t>P054</t>
        </is>
      </c>
      <c r="B114" s="695" t="n">
        <v>210</v>
      </c>
      <c r="C114" s="703" t="inlineStr">
        <is>
          <t>R0180551</t>
        </is>
      </c>
      <c r="D114" s="1195" t="inlineStr">
        <is>
          <t>1953 N Gun Club Rd</t>
        </is>
      </c>
      <c r="E114" s="703" t="inlineStr">
        <is>
          <t>Aurora</t>
        </is>
      </c>
      <c r="F114" s="703" t="inlineStr">
        <is>
          <t>CO</t>
        </is>
      </c>
      <c r="G114" s="703" t="inlineStr">
        <is>
          <t>Industrial</t>
        </is>
      </c>
      <c r="H114" s="1195"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1195" t="inlineStr">
        <is>
          <t>Actual accrual; base rent $1.09M stepped; recovery $1.62M</t>
        </is>
      </c>
      <c r="AN114">
        <f>IF(AND($B114=Subj_OccCode,Subj_BldgSF&gt;0,ABS($J114-Subj_BldgSF)&lt;=Subj_BldgSF*Subj_SizeTol),ABS($J114-Subj_BldgSF),NA())</f>
        <v/>
      </c>
      <c r="AO114">
        <f>IF(ISNA(AN114),NA(),AN114+ROW()/10000000)</f>
        <v/>
      </c>
      <c r="AR114" s="1132">
        <f>IF(B114="","",IFERROR(INDEX(OCC_TABLE_DESC,MATCH(B114,OCC_TABLE_CODE,0)),"Unrecognized code"))</f>
        <v/>
      </c>
    </row>
    <row r="115">
      <c r="A115" s="703" t="inlineStr">
        <is>
          <t>P055</t>
        </is>
      </c>
      <c r="B115" s="695" t="n">
        <v>407</v>
      </c>
      <c r="C115" s="703" t="inlineStr">
        <is>
          <t>R0211072/R0211073/R0211074</t>
        </is>
      </c>
      <c r="D115" s="1195" t="inlineStr">
        <is>
          <t>Park 76 Distribution Center</t>
        </is>
      </c>
      <c r="E115" s="703" t="inlineStr">
        <is>
          <t>Aurora</t>
        </is>
      </c>
      <c r="F115" s="703" t="inlineStr">
        <is>
          <t>CO</t>
        </is>
      </c>
      <c r="G115" s="703" t="inlineStr">
        <is>
          <t>Industrial</t>
        </is>
      </c>
      <c r="H115" s="1195"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1195" t="inlineStr">
        <is>
          <t>3-bldg campus; actual accrual; base rent $1.87M; recovery $992k; prior-yr tax credit ($186k) netted</t>
        </is>
      </c>
      <c r="AN115">
        <f>IF(AND($B115=Subj_OccCode,Subj_BldgSF&gt;0,ABS($J115-Subj_BldgSF)&lt;=Subj_BldgSF*Subj_SizeTol),ABS($J115-Subj_BldgSF),NA())</f>
        <v/>
      </c>
      <c r="AO115">
        <f>IF(ISNA(AN115),NA(),AN115+ROW()/10000000)</f>
        <v/>
      </c>
      <c r="AR115" s="1132">
        <f>IF(B115="","",IFERROR(INDEX(OCC_TABLE_DESC,MATCH(B115,OCC_TABLE_CODE,0)),"Unrecognized code"))</f>
        <v/>
      </c>
    </row>
    <row r="116">
      <c r="A116" s="703" t="inlineStr">
        <is>
          <t>P055</t>
        </is>
      </c>
      <c r="B116" s="695" t="n">
        <v>407</v>
      </c>
      <c r="C116" s="703" t="inlineStr">
        <is>
          <t>R0211072/R0211073/R0211074</t>
        </is>
      </c>
      <c r="D116" s="1195" t="inlineStr">
        <is>
          <t>Park 76 Distribution Center</t>
        </is>
      </c>
      <c r="E116" s="703" t="inlineStr">
        <is>
          <t>Aurora</t>
        </is>
      </c>
      <c r="F116" s="703" t="inlineStr">
        <is>
          <t>CO</t>
        </is>
      </c>
      <c r="G116" s="703" t="inlineStr">
        <is>
          <t>Industrial</t>
        </is>
      </c>
      <c r="H116" s="1195"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1195" t="inlineStr">
        <is>
          <t>3-bldg campus; actual accrual; near-stabilized; base rent $2.08M; recovery $1.23M</t>
        </is>
      </c>
      <c r="AN116">
        <f>IF(AND($B116=Subj_OccCode,Subj_BldgSF&gt;0,ABS($J116-Subj_BldgSF)&lt;=Subj_BldgSF*Subj_SizeTol),ABS($J116-Subj_BldgSF),NA())</f>
        <v/>
      </c>
      <c r="AO116">
        <f>IF(ISNA(AN116),NA(),AN116+ROW()/10000000)</f>
        <v/>
      </c>
      <c r="AR116" s="1132">
        <f>IF(B116="","",IFERROR(INDEX(OCC_TABLE_DESC,MATCH(B116,OCC_TABLE_CODE,0)),"Unrecognized code"))</f>
        <v/>
      </c>
    </row>
    <row r="117">
      <c r="A117" s="703" t="inlineStr">
        <is>
          <t>P056</t>
        </is>
      </c>
      <c r="B117" s="695" t="n">
        <v>407</v>
      </c>
      <c r="C117" s="703" t="inlineStr">
        <is>
          <t>R0210485</t>
        </is>
      </c>
      <c r="D117" s="1195" t="inlineStr">
        <is>
          <t>1101 E 126th Ave (Bldg A)</t>
        </is>
      </c>
      <c r="E117" s="703" t="inlineStr">
        <is>
          <t>Thornton</t>
        </is>
      </c>
      <c r="F117" s="703" t="inlineStr">
        <is>
          <t>CO</t>
        </is>
      </c>
      <c r="G117" s="703" t="inlineStr">
        <is>
          <t>Industrial</t>
        </is>
      </c>
      <c r="H117" s="1195"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1195" t="inlineStr">
        <is>
          <t>New (YOC ~2022); 2024 near-stabilized; 2023 excluded (lease-up, negative NOI)</t>
        </is>
      </c>
      <c r="AN117">
        <f>IF(AND($B117=Subj_OccCode,Subj_BldgSF&gt;0,ABS($J117-Subj_BldgSF)&lt;=Subj_BldgSF*Subj_SizeTol),ABS($J117-Subj_BldgSF),NA())</f>
        <v/>
      </c>
      <c r="AO117">
        <f>IF(ISNA(AN117),NA(),AN117+ROW()/10000000)</f>
        <v/>
      </c>
      <c r="AR117" s="1132">
        <f>IF(B117="","",IFERROR(INDEX(OCC_TABLE_DESC,MATCH(B117,OCC_TABLE_CODE,0)),"Unrecognized code"))</f>
        <v/>
      </c>
    </row>
    <row r="118">
      <c r="A118" s="703" t="inlineStr">
        <is>
          <t>P057</t>
        </is>
      </c>
      <c r="B118" s="695" t="n">
        <v>407</v>
      </c>
      <c r="C118" s="703" t="inlineStr">
        <is>
          <t>R0210486</t>
        </is>
      </c>
      <c r="D118" s="1195" t="inlineStr">
        <is>
          <t>12625 Lafayette St (Bldg B)</t>
        </is>
      </c>
      <c r="E118" s="703" t="inlineStr">
        <is>
          <t>Thornton</t>
        </is>
      </c>
      <c r="F118" s="703" t="inlineStr">
        <is>
          <t>CO</t>
        </is>
      </c>
      <c r="G118" s="703" t="inlineStr">
        <is>
          <t>Industrial</t>
        </is>
      </c>
      <c r="H118" s="1195"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1195" t="inlineStr">
        <is>
          <t>New (YOC ~2022); 2024 near-stabilized; 2023 excluded (lease-up, negative NOI)</t>
        </is>
      </c>
      <c r="AN118">
        <f>IF(AND($B118=Subj_OccCode,Subj_BldgSF&gt;0,ABS($J118-Subj_BldgSF)&lt;=Subj_BldgSF*Subj_SizeTol),ABS($J118-Subj_BldgSF),NA())</f>
        <v/>
      </c>
      <c r="AO118">
        <f>IF(ISNA(AN118),NA(),AN118+ROW()/10000000)</f>
        <v/>
      </c>
      <c r="AR118" s="1132">
        <f>IF(B118="","",IFERROR(INDEX(OCC_TABLE_DESC,MATCH(B118,OCC_TABLE_CODE,0)),"Unrecognized code"))</f>
        <v/>
      </c>
    </row>
    <row r="119">
      <c r="A119" s="703" t="inlineStr">
        <is>
          <t>P058</t>
        </is>
      </c>
      <c r="B119" s="695" t="n">
        <v>407</v>
      </c>
      <c r="C119" s="703" t="inlineStr">
        <is>
          <t>R0091934</t>
        </is>
      </c>
      <c r="D119" s="1195" t="inlineStr">
        <is>
          <t>350 Park Industrial (5759)</t>
        </is>
      </c>
      <c r="E119" s="703" t="inlineStr">
        <is>
          <t>Aurora</t>
        </is>
      </c>
      <c r="F119" s="703" t="inlineStr">
        <is>
          <t>CO</t>
        </is>
      </c>
      <c r="G119" s="703" t="inlineStr">
        <is>
          <t>Industrial</t>
        </is>
      </c>
      <c r="H119" s="1195"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1195" t="inlineStr">
        <is>
          <t>Actual accrual; 3 tenants; multi-tenant industrial</t>
        </is>
      </c>
      <c r="AN119">
        <f>IF(AND($B119=Subj_OccCode,Subj_BldgSF&gt;0,ABS($J119-Subj_BldgSF)&lt;=Subj_BldgSF*Subj_SizeTol),ABS($J119-Subj_BldgSF),NA())</f>
        <v/>
      </c>
      <c r="AO119">
        <f>IF(ISNA(AN119),NA(),AN119+ROW()/10000000)</f>
        <v/>
      </c>
      <c r="AR119" s="1132">
        <f>IF(B119="","",IFERROR(INDEX(OCC_TABLE_DESC,MATCH(B119,OCC_TABLE_CODE,0)),"Unrecognized code"))</f>
        <v/>
      </c>
    </row>
    <row r="120">
      <c r="A120" s="703" t="inlineStr">
        <is>
          <t>P058</t>
        </is>
      </c>
      <c r="B120" s="695" t="n">
        <v>407</v>
      </c>
      <c r="C120" s="703" t="inlineStr">
        <is>
          <t>R0091934</t>
        </is>
      </c>
      <c r="D120" s="1195" t="inlineStr">
        <is>
          <t>350 Park Industrial (5759)</t>
        </is>
      </c>
      <c r="E120" s="703" t="inlineStr">
        <is>
          <t>Aurora</t>
        </is>
      </c>
      <c r="F120" s="703" t="inlineStr">
        <is>
          <t>CO</t>
        </is>
      </c>
      <c r="G120" s="703" t="inlineStr">
        <is>
          <t>Industrial</t>
        </is>
      </c>
      <c r="H120" s="1195"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1195" t="inlineStr">
        <is>
          <t>Actual accrual; 3 tenants</t>
        </is>
      </c>
      <c r="AN120">
        <f>IF(AND($B120=Subj_OccCode,Subj_BldgSF&gt;0,ABS($J120-Subj_BldgSF)&lt;=Subj_BldgSF*Subj_SizeTol),ABS($J120-Subj_BldgSF),NA())</f>
        <v/>
      </c>
      <c r="AO120">
        <f>IF(ISNA(AN120),NA(),AN120+ROW()/10000000)</f>
        <v/>
      </c>
      <c r="AR120" s="1132">
        <f>IF(B120="","",IFERROR(INDEX(OCC_TABLE_DESC,MATCH(B120,OCC_TABLE_CODE,0)),"Unrecognized code"))</f>
        <v/>
      </c>
    </row>
    <row r="121">
      <c r="A121" s="703" t="inlineStr">
        <is>
          <t>P059</t>
        </is>
      </c>
      <c r="B121" s="695" t="n">
        <v>407</v>
      </c>
      <c r="C121" s="703" t="inlineStr">
        <is>
          <t>R0093111</t>
        </is>
      </c>
      <c r="D121" s="1195" t="inlineStr">
        <is>
          <t>Industrial Property (R0093111)</t>
        </is>
      </c>
      <c r="E121" s="703" t="inlineStr">
        <is>
          <t>Aurora</t>
        </is>
      </c>
      <c r="F121" s="703" t="inlineStr">
        <is>
          <t>CO</t>
        </is>
      </c>
      <c r="G121" s="703" t="inlineStr">
        <is>
          <t>Industrial</t>
        </is>
      </c>
      <c r="H121" s="1195"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1195" t="inlineStr">
        <is>
          <t>Actual; RE tax heavy due to NNN recovery; SF not confirmed</t>
        </is>
      </c>
      <c r="AN121">
        <f>IF(AND($B121=Subj_OccCode,Subj_BldgSF&gt;0,ABS($J121-Subj_BldgSF)&lt;=Subj_BldgSF*Subj_SizeTol),ABS($J121-Subj_BldgSF),NA())</f>
        <v/>
      </c>
      <c r="AO121">
        <f>IF(ISNA(AN121),NA(),AN121+ROW()/10000000)</f>
        <v/>
      </c>
      <c r="AR121" s="1132">
        <f>IF(B121="","",IFERROR(INDEX(OCC_TABLE_DESC,MATCH(B121,OCC_TABLE_CODE,0)),"Unrecognized code"))</f>
        <v/>
      </c>
    </row>
    <row r="122">
      <c r="A122" s="703" t="inlineStr">
        <is>
          <t>P059</t>
        </is>
      </c>
      <c r="B122" s="695" t="n">
        <v>407</v>
      </c>
      <c r="C122" s="703" t="inlineStr">
        <is>
          <t>R0093111</t>
        </is>
      </c>
      <c r="D122" s="1195" t="inlineStr">
        <is>
          <t>Industrial Property (R0093111)</t>
        </is>
      </c>
      <c r="E122" s="703" t="inlineStr">
        <is>
          <t>Aurora</t>
        </is>
      </c>
      <c r="F122" s="703" t="inlineStr">
        <is>
          <t>CO</t>
        </is>
      </c>
      <c r="G122" s="703" t="inlineStr">
        <is>
          <t>Industrial</t>
        </is>
      </c>
      <c r="H122" s="1195"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1195" t="inlineStr">
        <is>
          <t>2024 summary data; limited line-item detail; SF not confirmed</t>
        </is>
      </c>
      <c r="AN122">
        <f>IF(AND($B122=Subj_OccCode,Subj_BldgSF&gt;0,ABS($J122-Subj_BldgSF)&lt;=Subj_BldgSF*Subj_SizeTol),ABS($J122-Subj_BldgSF),NA())</f>
        <v/>
      </c>
      <c r="AO122">
        <f>IF(ISNA(AN122),NA(),AN122+ROW()/10000000)</f>
        <v/>
      </c>
      <c r="AR122" s="1132">
        <f>IF(B122="","",IFERROR(INDEX(OCC_TABLE_DESC,MATCH(B122,OCC_TABLE_CODE,0)),"Unrecognized code"))</f>
        <v/>
      </c>
    </row>
    <row r="123">
      <c r="A123" s="703" t="inlineStr">
        <is>
          <t>P060</t>
        </is>
      </c>
      <c r="B123" s="695" t="n">
        <v>407</v>
      </c>
      <c r="C123" s="703" t="inlineStr">
        <is>
          <t>R0100104</t>
        </is>
      </c>
      <c r="D123" s="1195" t="inlineStr">
        <is>
          <t>312 Kew West</t>
        </is>
      </c>
      <c r="E123" s="703" t="inlineStr">
        <is>
          <t>Aurora</t>
        </is>
      </c>
      <c r="F123" s="703" t="inlineStr">
        <is>
          <t>CO</t>
        </is>
      </c>
      <c r="G123" s="703" t="inlineStr">
        <is>
          <t>Industrial</t>
        </is>
      </c>
      <c r="H123" s="1195"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1195" t="inlineStr">
        <is>
          <t>Actual accrual; SF not confirmed</t>
        </is>
      </c>
      <c r="AN123">
        <f>IF(AND($B123=Subj_OccCode,Subj_BldgSF&gt;0,ABS($J123-Subj_BldgSF)&lt;=Subj_BldgSF*Subj_SizeTol),ABS($J123-Subj_BldgSF),NA())</f>
        <v/>
      </c>
      <c r="AO123">
        <f>IF(ISNA(AN123),NA(),AN123+ROW()/10000000)</f>
        <v/>
      </c>
      <c r="AR123" s="1132">
        <f>IF(B123="","",IFERROR(INDEX(OCC_TABLE_DESC,MATCH(B123,OCC_TABLE_CODE,0)),"Unrecognized code"))</f>
        <v/>
      </c>
    </row>
    <row r="124">
      <c r="A124" s="703" t="inlineStr">
        <is>
          <t>P060</t>
        </is>
      </c>
      <c r="B124" s="695" t="n">
        <v>407</v>
      </c>
      <c r="C124" s="703" t="inlineStr">
        <is>
          <t>R0100104</t>
        </is>
      </c>
      <c r="D124" s="1195" t="inlineStr">
        <is>
          <t>312 Kew West</t>
        </is>
      </c>
      <c r="E124" s="703" t="inlineStr">
        <is>
          <t>Aurora</t>
        </is>
      </c>
      <c r="F124" s="703" t="inlineStr">
        <is>
          <t>CO</t>
        </is>
      </c>
      <c r="G124" s="703" t="inlineStr">
        <is>
          <t>Industrial</t>
        </is>
      </c>
      <c r="H124" s="1195"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1195" t="inlineStr">
        <is>
          <t>Actual accrual; SF not confirmed</t>
        </is>
      </c>
      <c r="AN124">
        <f>IF(AND($B124=Subj_OccCode,Subj_BldgSF&gt;0,ABS($J124-Subj_BldgSF)&lt;=Subj_BldgSF*Subj_SizeTol),ABS($J124-Subj_BldgSF),NA())</f>
        <v/>
      </c>
      <c r="AO124">
        <f>IF(ISNA(AN124),NA(),AN124+ROW()/10000000)</f>
        <v/>
      </c>
      <c r="AR124" s="1132">
        <f>IF(B124="","",IFERROR(INDEX(OCC_TABLE_DESC,MATCH(B124,OCC_TABLE_CODE,0)),"Unrecognized code"))</f>
        <v/>
      </c>
    </row>
    <row r="125">
      <c r="A125" s="703" t="inlineStr">
        <is>
          <t>P061</t>
        </is>
      </c>
      <c r="B125" s="695" t="n">
        <v>584</v>
      </c>
      <c r="C125" s="703" t="inlineStr">
        <is>
          <t>R0083935</t>
        </is>
      </c>
      <c r="D125" s="1195" t="inlineStr">
        <is>
          <t>20101 E 36th Ave</t>
        </is>
      </c>
      <c r="E125" s="703" t="inlineStr">
        <is>
          <t>Aurora</t>
        </is>
      </c>
      <c r="F125" s="703" t="inlineStr">
        <is>
          <t>CO</t>
        </is>
      </c>
      <c r="G125" s="703" t="inlineStr">
        <is>
          <t>Industrial</t>
        </is>
      </c>
      <c r="H125" s="1195"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1195"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1132">
        <f>IF(B125="","",IFERROR(INDEX(OCC_TABLE_DESC,MATCH(B125,OCC_TABLE_CODE,0)),"Unrecognized code"))</f>
        <v/>
      </c>
    </row>
    <row r="126">
      <c r="A126" s="703" t="inlineStr">
        <is>
          <t>P062</t>
        </is>
      </c>
      <c r="B126" s="695" t="n">
        <v>407</v>
      </c>
      <c r="C126" s="703" t="inlineStr">
        <is>
          <t>R0200721</t>
        </is>
      </c>
      <c r="D126" s="1195" t="inlineStr">
        <is>
          <t>3420 N Lisbon St</t>
        </is>
      </c>
      <c r="E126" s="703" t="inlineStr">
        <is>
          <t>Aurora</t>
        </is>
      </c>
      <c r="F126" s="703" t="inlineStr">
        <is>
          <t>CO</t>
        </is>
      </c>
      <c r="G126" s="703" t="inlineStr">
        <is>
          <t>Industrial</t>
        </is>
      </c>
      <c r="H126" s="1195"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1195" t="inlineStr">
        <is>
          <t>NNN absolute; tenant pays all opex; owner income = rent only; $7.52/SF</t>
        </is>
      </c>
      <c r="AN126">
        <f>IF(AND($B126=Subj_OccCode,Subj_BldgSF&gt;0,ABS($J126-Subj_BldgSF)&lt;=Subj_BldgSF*Subj_SizeTol),ABS($J126-Subj_BldgSF),NA())</f>
        <v/>
      </c>
      <c r="AO126">
        <f>IF(ISNA(AN126),NA(),AN126+ROW()/10000000)</f>
        <v/>
      </c>
      <c r="AR126" s="1132">
        <f>IF(B126="","",IFERROR(INDEX(OCC_TABLE_DESC,MATCH(B126,OCC_TABLE_CODE,0)),"Unrecognized code"))</f>
        <v/>
      </c>
    </row>
    <row r="127">
      <c r="A127" s="703" t="inlineStr">
        <is>
          <t>P062</t>
        </is>
      </c>
      <c r="B127" s="695" t="n">
        <v>407</v>
      </c>
      <c r="C127" s="703" t="inlineStr">
        <is>
          <t>R0200721</t>
        </is>
      </c>
      <c r="D127" s="1195" t="inlineStr">
        <is>
          <t>3420 N Lisbon St</t>
        </is>
      </c>
      <c r="E127" s="703" t="inlineStr">
        <is>
          <t>Aurora</t>
        </is>
      </c>
      <c r="F127" s="703" t="inlineStr">
        <is>
          <t>CO</t>
        </is>
      </c>
      <c r="G127" s="703" t="inlineStr">
        <is>
          <t>Industrial</t>
        </is>
      </c>
      <c r="H127" s="1195"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1195" t="inlineStr">
        <is>
          <t>NNN absolute; tenant pays all opex; owner income = rent only; $7.75/SF</t>
        </is>
      </c>
      <c r="AN127">
        <f>IF(AND($B127=Subj_OccCode,Subj_BldgSF&gt;0,ABS($J127-Subj_BldgSF)&lt;=Subj_BldgSF*Subj_SizeTol),ABS($J127-Subj_BldgSF),NA())</f>
        <v/>
      </c>
      <c r="AO127">
        <f>IF(ISNA(AN127),NA(),AN127+ROW()/10000000)</f>
        <v/>
      </c>
      <c r="AR127" s="1132">
        <f>IF(B127="","",IFERROR(INDEX(OCC_TABLE_DESC,MATCH(B127,OCC_TABLE_CODE,0)),"Unrecognized code"))</f>
        <v/>
      </c>
    </row>
    <row r="128">
      <c r="A128" s="703" t="inlineStr">
        <is>
          <t>P063</t>
        </is>
      </c>
      <c r="B128" s="695" t="n">
        <v>344</v>
      </c>
      <c r="C128" s="703" t="inlineStr">
        <is>
          <t>R0040581</t>
        </is>
      </c>
      <c r="D128" s="1195" t="inlineStr">
        <is>
          <t>2090 E 104th Ave</t>
        </is>
      </c>
      <c r="E128" s="703" t="inlineStr">
        <is>
          <t>Thornton</t>
        </is>
      </c>
      <c r="F128" s="703" t="inlineStr">
        <is>
          <t>CO</t>
        </is>
      </c>
      <c r="G128" s="703" t="inlineStr">
        <is>
          <t>Office</t>
        </is>
      </c>
      <c r="H128" s="1195"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1195" t="inlineStr">
        <is>
          <t>Office; expenses only; GRI est. ~$228k at $11.56/SF 100% occ</t>
        </is>
      </c>
      <c r="AN128">
        <f>IF(AND($B128=Subj_OccCode,Subj_BldgSF&gt;0,ABS($J128-Subj_BldgSF)&lt;=Subj_BldgSF*Subj_SizeTol),ABS($J128-Subj_BldgSF),NA())</f>
        <v/>
      </c>
      <c r="AO128">
        <f>IF(ISNA(AN128),NA(),AN128+ROW()/10000000)</f>
        <v/>
      </c>
      <c r="AR128" s="1132">
        <f>IF(B128="","",IFERROR(INDEX(OCC_TABLE_DESC,MATCH(B128,OCC_TABLE_CODE,0)),"Unrecognized code"))</f>
        <v/>
      </c>
    </row>
    <row r="129">
      <c r="A129" s="703" t="inlineStr">
        <is>
          <t>P063</t>
        </is>
      </c>
      <c r="B129" s="695" t="n">
        <v>344</v>
      </c>
      <c r="C129" s="703" t="inlineStr">
        <is>
          <t>R0040581</t>
        </is>
      </c>
      <c r="D129" s="1195" t="inlineStr">
        <is>
          <t>2090 E 104th Ave</t>
        </is>
      </c>
      <c r="E129" s="703" t="inlineStr">
        <is>
          <t>Thornton</t>
        </is>
      </c>
      <c r="F129" s="703" t="inlineStr">
        <is>
          <t>CO</t>
        </is>
      </c>
      <c r="G129" s="703" t="inlineStr">
        <is>
          <t>Office</t>
        </is>
      </c>
      <c r="H129" s="1195"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1195" t="inlineStr">
        <is>
          <t>Office; expenses only; GRI est. ~$228k</t>
        </is>
      </c>
      <c r="AN129">
        <f>IF(AND($B129=Subj_OccCode,Subj_BldgSF&gt;0,ABS($J129-Subj_BldgSF)&lt;=Subj_BldgSF*Subj_SizeTol),ABS($J129-Subj_BldgSF),NA())</f>
        <v/>
      </c>
      <c r="AO129">
        <f>IF(ISNA(AN129),NA(),AN129+ROW()/10000000)</f>
        <v/>
      </c>
      <c r="AR129" s="1132">
        <f>IF(B129="","",IFERROR(INDEX(OCC_TABLE_DESC,MATCH(B129,OCC_TABLE_CODE,0)),"Unrecognized code"))</f>
        <v/>
      </c>
    </row>
    <row r="130">
      <c r="A130" s="703" t="inlineStr">
        <is>
          <t>P064</t>
        </is>
      </c>
      <c r="B130" s="695" t="n">
        <v>344</v>
      </c>
      <c r="C130" s="703" t="inlineStr">
        <is>
          <t>R0050977</t>
        </is>
      </c>
      <c r="D130" s="1195" t="inlineStr">
        <is>
          <t>9351 Grant St</t>
        </is>
      </c>
      <c r="E130" s="703" t="inlineStr">
        <is>
          <t>Thornton</t>
        </is>
      </c>
      <c r="F130" s="703" t="inlineStr">
        <is>
          <t>CO</t>
        </is>
      </c>
      <c r="G130" s="703" t="inlineStr">
        <is>
          <t>Office</t>
        </is>
      </c>
      <c r="H130" s="1195"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1195" t="inlineStr">
        <is>
          <t>Actual P&amp;L; Crown RE Group; RE Tax + Ins combined in $497,852 line; large office property</t>
        </is>
      </c>
      <c r="AN130">
        <f>IF(AND($B130=Subj_OccCode,Subj_BldgSF&gt;0,ABS($J130-Subj_BldgSF)&lt;=Subj_BldgSF*Subj_SizeTol),ABS($J130-Subj_BldgSF),NA())</f>
        <v/>
      </c>
      <c r="AO130">
        <f>IF(ISNA(AN130),NA(),AN130+ROW()/10000000)</f>
        <v/>
      </c>
      <c r="AR130" s="1132">
        <f>IF(B130="","",IFERROR(INDEX(OCC_TABLE_DESC,MATCH(B130,OCC_TABLE_CODE,0)),"Unrecognized code"))</f>
        <v/>
      </c>
    </row>
    <row r="131">
      <c r="A131" s="703" t="inlineStr">
        <is>
          <t>P065</t>
        </is>
      </c>
      <c r="B131" s="695" t="n">
        <v>344</v>
      </c>
      <c r="C131" s="703" t="inlineStr">
        <is>
          <t>R0069041</t>
        </is>
      </c>
      <c r="D131" s="1195" t="inlineStr">
        <is>
          <t>7475 Dakin St (Turnpike Tower)</t>
        </is>
      </c>
      <c r="E131" s="703" t="inlineStr">
        <is>
          <t>Denver</t>
        </is>
      </c>
      <c r="F131" s="703" t="inlineStr">
        <is>
          <t>CO</t>
        </is>
      </c>
      <c r="G131" s="703" t="inlineStr">
        <is>
          <t>Office</t>
        </is>
      </c>
      <c r="H131" s="1195"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1195" t="inlineStr">
        <is>
          <t>Actual; 87.7% occ; NNN/Modified leases; RE Tax heavy; approx figures</t>
        </is>
      </c>
      <c r="AN131">
        <f>IF(AND($B131=Subj_OccCode,Subj_BldgSF&gt;0,ABS($J131-Subj_BldgSF)&lt;=Subj_BldgSF*Subj_SizeTol),ABS($J131-Subj_BldgSF),NA())</f>
        <v/>
      </c>
      <c r="AO131">
        <f>IF(ISNA(AN131),NA(),AN131+ROW()/10000000)</f>
        <v/>
      </c>
      <c r="AR131" s="1132">
        <f>IF(B131="","",IFERROR(INDEX(OCC_TABLE_DESC,MATCH(B131,OCC_TABLE_CODE,0)),"Unrecognized code"))</f>
        <v/>
      </c>
    </row>
    <row r="132">
      <c r="A132" s="703" t="inlineStr">
        <is>
          <t>P065</t>
        </is>
      </c>
      <c r="B132" s="695" t="n">
        <v>344</v>
      </c>
      <c r="C132" s="703" t="inlineStr">
        <is>
          <t>R0069041</t>
        </is>
      </c>
      <c r="D132" s="1195" t="inlineStr">
        <is>
          <t>7475 Dakin St (Turnpike Tower)</t>
        </is>
      </c>
      <c r="E132" s="703" t="inlineStr">
        <is>
          <t>Denver</t>
        </is>
      </c>
      <c r="F132" s="703" t="inlineStr">
        <is>
          <t>CO</t>
        </is>
      </c>
      <c r="G132" s="703" t="inlineStr">
        <is>
          <t>Office</t>
        </is>
      </c>
      <c r="H132" s="1195"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1195" t="inlineStr">
        <is>
          <t>Actual 2024; approx figures; RE Tax est. ~$262k</t>
        </is>
      </c>
      <c r="AN132">
        <f>IF(AND($B132=Subj_OccCode,Subj_BldgSF&gt;0,ABS($J132-Subj_BldgSF)&lt;=Subj_BldgSF*Subj_SizeTol),ABS($J132-Subj_BldgSF),NA())</f>
        <v/>
      </c>
      <c r="AO132">
        <f>IF(ISNA(AN132),NA(),AN132+ROW()/10000000)</f>
        <v/>
      </c>
      <c r="AR132" s="1132">
        <f>IF(B132="","",IFERROR(INDEX(OCC_TABLE_DESC,MATCH(B132,OCC_TABLE_CODE,0)),"Unrecognized code"))</f>
        <v/>
      </c>
    </row>
    <row r="133">
      <c r="A133" s="703" t="inlineStr">
        <is>
          <t>P066</t>
        </is>
      </c>
      <c r="B133" s="695" t="n">
        <v>344</v>
      </c>
      <c r="C133" s="703" t="inlineStr">
        <is>
          <t>R0079409</t>
        </is>
      </c>
      <c r="D133" s="1195" t="inlineStr">
        <is>
          <t>6401 E 72nd Ave</t>
        </is>
      </c>
      <c r="E133" s="703" t="inlineStr">
        <is>
          <t>Commerce City</t>
        </is>
      </c>
      <c r="F133" s="703" t="inlineStr">
        <is>
          <t>CO</t>
        </is>
      </c>
      <c r="G133" s="703" t="inlineStr">
        <is>
          <t>Office</t>
        </is>
      </c>
      <c r="H133" s="1195"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1195" t="inlineStr">
        <is>
          <t>Actual 2023; 9 tenants small multi-tenant office; approx total OPX/NOI</t>
        </is>
      </c>
      <c r="AN133">
        <f>IF(AND($B133=Subj_OccCode,Subj_BldgSF&gt;0,ABS($J133-Subj_BldgSF)&lt;=Subj_BldgSF*Subj_SizeTol),ABS($J133-Subj_BldgSF),NA())</f>
        <v/>
      </c>
      <c r="AO133">
        <f>IF(ISNA(AN133),NA(),AN133+ROW()/10000000)</f>
        <v/>
      </c>
      <c r="AR133" s="1132">
        <f>IF(B133="","",IFERROR(INDEX(OCC_TABLE_DESC,MATCH(B133,OCC_TABLE_CODE,0)),"Unrecognized code"))</f>
        <v/>
      </c>
    </row>
    <row r="134">
      <c r="A134" s="703" t="inlineStr">
        <is>
          <t>P067</t>
        </is>
      </c>
      <c r="B134" s="695" t="n">
        <v>344</v>
      </c>
      <c r="C134" s="703" t="inlineStr">
        <is>
          <t>R0189338</t>
        </is>
      </c>
      <c r="D134" s="1195" t="inlineStr">
        <is>
          <t>203 Telluride St</t>
        </is>
      </c>
      <c r="E134" s="703" t="inlineStr">
        <is>
          <t>Aurora</t>
        </is>
      </c>
      <c r="F134" s="703" t="inlineStr">
        <is>
          <t>CO</t>
        </is>
      </c>
      <c r="G134" s="703" t="inlineStr">
        <is>
          <t>Office</t>
        </is>
      </c>
      <c r="H134" s="1195"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1195" t="inlineStr">
        <is>
          <t>Actual 2023; SF not stated; approx total OPX</t>
        </is>
      </c>
      <c r="AN134">
        <f>IF(AND($B134=Subj_OccCode,Subj_BldgSF&gt;0,ABS($J134-Subj_BldgSF)&lt;=Subj_BldgSF*Subj_SizeTol),ABS($J134-Subj_BldgSF),NA())</f>
        <v/>
      </c>
      <c r="AO134">
        <f>IF(ISNA(AN134),NA(),AN134+ROW()/10000000)</f>
        <v/>
      </c>
      <c r="AR134" s="1132">
        <f>IF(B134="","",IFERROR(INDEX(OCC_TABLE_DESC,MATCH(B134,OCC_TABLE_CODE,0)),"Unrecognized code"))</f>
        <v/>
      </c>
    </row>
    <row r="135">
      <c r="A135" s="703" t="inlineStr">
        <is>
          <t>P067</t>
        </is>
      </c>
      <c r="B135" s="695" t="n">
        <v>344</v>
      </c>
      <c r="C135" s="703" t="inlineStr">
        <is>
          <t>R0189338</t>
        </is>
      </c>
      <c r="D135" s="1195" t="inlineStr">
        <is>
          <t>203 Telluride St</t>
        </is>
      </c>
      <c r="E135" s="703" t="inlineStr">
        <is>
          <t>Aurora</t>
        </is>
      </c>
      <c r="F135" s="703" t="inlineStr">
        <is>
          <t>CO</t>
        </is>
      </c>
      <c r="G135" s="703" t="inlineStr">
        <is>
          <t>Office</t>
        </is>
      </c>
      <c r="H135" s="1195"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1195" t="inlineStr">
        <is>
          <t>Actual 2024; SF not stated</t>
        </is>
      </c>
      <c r="AN135">
        <f>IF(AND($B135=Subj_OccCode,Subj_BldgSF&gt;0,ABS($J135-Subj_BldgSF)&lt;=Subj_BldgSF*Subj_SizeTol),ABS($J135-Subj_BldgSF),NA())</f>
        <v/>
      </c>
      <c r="AO135">
        <f>IF(ISNA(AN135),NA(),AN135+ROW()/10000000)</f>
        <v/>
      </c>
      <c r="AR135" s="1132">
        <f>IF(B135="","",IFERROR(INDEX(OCC_TABLE_DESC,MATCH(B135,OCC_TABLE_CODE,0)),"Unrecognized code"))</f>
        <v/>
      </c>
    </row>
    <row r="136">
      <c r="A136" s="703" t="inlineStr">
        <is>
          <t>P068</t>
        </is>
      </c>
      <c r="B136" s="695" t="n">
        <v>344</v>
      </c>
      <c r="C136" s="703" t="inlineStr">
        <is>
          <t>R0193830</t>
        </is>
      </c>
      <c r="D136" s="1195" t="inlineStr">
        <is>
          <t>Justice Center Office Plaza</t>
        </is>
      </c>
      <c r="E136" s="703" t="inlineStr">
        <is>
          <t>Denver</t>
        </is>
      </c>
      <c r="F136" s="703" t="inlineStr">
        <is>
          <t>CO</t>
        </is>
      </c>
      <c r="G136" s="703" t="inlineStr">
        <is>
          <t>Office</t>
        </is>
      </c>
      <c r="H136" s="1195"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1195" t="inlineStr">
        <is>
          <t>Actual accrual; govt tenants; 100% occ NNN; special assessments in Other</t>
        </is>
      </c>
      <c r="AN136">
        <f>IF(AND($B136=Subj_OccCode,Subj_BldgSF&gt;0,ABS($J136-Subj_BldgSF)&lt;=Subj_BldgSF*Subj_SizeTol),ABS($J136-Subj_BldgSF),NA())</f>
        <v/>
      </c>
      <c r="AO136">
        <f>IF(ISNA(AN136),NA(),AN136+ROW()/10000000)</f>
        <v/>
      </c>
      <c r="AR136" s="1132">
        <f>IF(B136="","",IFERROR(INDEX(OCC_TABLE_DESC,MATCH(B136,OCC_TABLE_CODE,0)),"Unrecognized code"))</f>
        <v/>
      </c>
    </row>
    <row r="137">
      <c r="A137" s="703" t="inlineStr">
        <is>
          <t>P068</t>
        </is>
      </c>
      <c r="B137" s="695" t="n">
        <v>344</v>
      </c>
      <c r="C137" s="703" t="inlineStr">
        <is>
          <t>R0193830</t>
        </is>
      </c>
      <c r="D137" s="1195" t="inlineStr">
        <is>
          <t>Justice Center Office Plaza</t>
        </is>
      </c>
      <c r="E137" s="703" t="inlineStr">
        <is>
          <t>Denver</t>
        </is>
      </c>
      <c r="F137" s="703" t="inlineStr">
        <is>
          <t>CO</t>
        </is>
      </c>
      <c r="G137" s="703" t="inlineStr">
        <is>
          <t>Office</t>
        </is>
      </c>
      <c r="H137" s="1195"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1195" t="inlineStr">
        <is>
          <t>Actual accrual; govt tenants; 100% occ NNN; special assessments in Other</t>
        </is>
      </c>
      <c r="AN137">
        <f>IF(AND($B137=Subj_OccCode,Subj_BldgSF&gt;0,ABS($J137-Subj_BldgSF)&lt;=Subj_BldgSF*Subj_SizeTol),ABS($J137-Subj_BldgSF),NA())</f>
        <v/>
      </c>
      <c r="AO137">
        <f>IF(ISNA(AN137),NA(),AN137+ROW()/10000000)</f>
        <v/>
      </c>
      <c r="AR137" s="1132">
        <f>IF(B137="","",IFERROR(INDEX(OCC_TABLE_DESC,MATCH(B137,OCC_TABLE_CODE,0)),"Unrecognized code"))</f>
        <v/>
      </c>
    </row>
    <row r="138">
      <c r="A138" s="703" t="inlineStr">
        <is>
          <t>P069</t>
        </is>
      </c>
      <c r="B138" s="695" t="n">
        <v>210</v>
      </c>
      <c r="C138" s="703" t="inlineStr">
        <is>
          <t>R0098223</t>
        </is>
      </c>
      <c r="D138" s="1195" t="inlineStr">
        <is>
          <t>Washington Commerce Center</t>
        </is>
      </c>
      <c r="E138" s="703" t="inlineStr">
        <is>
          <t>Commerce City</t>
        </is>
      </c>
      <c r="F138" s="703" t="inlineStr">
        <is>
          <t>CO</t>
        </is>
      </c>
      <c r="G138" s="703" t="inlineStr">
        <is>
          <t>Office/Industrial</t>
        </is>
      </c>
      <c r="H138" s="1195"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1195" t="inlineStr">
        <is>
          <t>Actual; tenants pay RE tax; high R&amp;M 2023 ($127k major maint); SF est.</t>
        </is>
      </c>
      <c r="AN138">
        <f>IF(AND($B138=Subj_OccCode,Subj_BldgSF&gt;0,ABS($J138-Subj_BldgSF)&lt;=Subj_BldgSF*Subj_SizeTol),ABS($J138-Subj_BldgSF),NA())</f>
        <v/>
      </c>
      <c r="AO138">
        <f>IF(ISNA(AN138),NA(),AN138+ROW()/10000000)</f>
        <v/>
      </c>
      <c r="AR138" s="1132">
        <f>IF(B138="","",IFERROR(INDEX(OCC_TABLE_DESC,MATCH(B138,OCC_TABLE_CODE,0)),"Unrecognized code"))</f>
        <v/>
      </c>
    </row>
    <row r="139">
      <c r="A139" s="703" t="inlineStr">
        <is>
          <t>P069</t>
        </is>
      </c>
      <c r="B139" s="695" t="n">
        <v>210</v>
      </c>
      <c r="C139" s="703" t="inlineStr">
        <is>
          <t>R0098223</t>
        </is>
      </c>
      <c r="D139" s="1195" t="inlineStr">
        <is>
          <t>Washington Commerce Center</t>
        </is>
      </c>
      <c r="E139" s="703" t="inlineStr">
        <is>
          <t>Commerce City</t>
        </is>
      </c>
      <c r="F139" s="703" t="inlineStr">
        <is>
          <t>CO</t>
        </is>
      </c>
      <c r="G139" s="703" t="inlineStr">
        <is>
          <t>Office/Industrial</t>
        </is>
      </c>
      <c r="H139" s="1195"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1195" t="inlineStr">
        <is>
          <t>Actual; tenants pay RE tax; lower R&amp;M 2024; SF est.</t>
        </is>
      </c>
      <c r="AN139">
        <f>IF(AND($B139=Subj_OccCode,Subj_BldgSF&gt;0,ABS($J139-Subj_BldgSF)&lt;=Subj_BldgSF*Subj_SizeTol),ABS($J139-Subj_BldgSF),NA())</f>
        <v/>
      </c>
      <c r="AO139">
        <f>IF(ISNA(AN139),NA(),AN139+ROW()/10000000)</f>
        <v/>
      </c>
      <c r="AR139" s="1132">
        <f>IF(B139="","",IFERROR(INDEX(OCC_TABLE_DESC,MATCH(B139,OCC_TABLE_CODE,0)),"Unrecognized code"))</f>
        <v/>
      </c>
    </row>
    <row r="140">
      <c r="A140" s="703" t="inlineStr">
        <is>
          <t>P070</t>
        </is>
      </c>
      <c r="B140" s="695" t="n">
        <v>210</v>
      </c>
      <c r="C140" s="703" t="inlineStr">
        <is>
          <t>R0084242</t>
        </is>
      </c>
      <c r="D140" s="1195" t="inlineStr">
        <is>
          <t>Upland Dist Ctr I (Bldg 1)</t>
        </is>
      </c>
      <c r="E140" s="703" t="inlineStr">
        <is>
          <t>Aurora</t>
        </is>
      </c>
      <c r="F140" s="703" t="inlineStr">
        <is>
          <t>CO</t>
        </is>
      </c>
      <c r="G140" s="703" t="inlineStr">
        <is>
          <t>Industrial</t>
        </is>
      </c>
      <c r="H140" s="1195"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1195" t="inlineStr">
        <is>
          <t>Link Logistics actual accrual; security $3,096 in contract; mgmt non-billable</t>
        </is>
      </c>
      <c r="AN140">
        <f>IF(AND($B140=Subj_OccCode,Subj_BldgSF&gt;0,ABS($J140-Subj_BldgSF)&lt;=Subj_BldgSF*Subj_SizeTol),ABS($J140-Subj_BldgSF),NA())</f>
        <v/>
      </c>
      <c r="AO140">
        <f>IF(ISNA(AN140),NA(),AN140+ROW()/10000000)</f>
        <v/>
      </c>
      <c r="AR140" s="1132">
        <f>IF(B140="","",IFERROR(INDEX(OCC_TABLE_DESC,MATCH(B140,OCC_TABLE_CODE,0)),"Unrecognized code"))</f>
        <v/>
      </c>
    </row>
    <row r="141">
      <c r="A141" s="703" t="inlineStr">
        <is>
          <t>P070</t>
        </is>
      </c>
      <c r="B141" s="695" t="n">
        <v>210</v>
      </c>
      <c r="C141" s="703" t="inlineStr">
        <is>
          <t>R0084242</t>
        </is>
      </c>
      <c r="D141" s="1195" t="inlineStr">
        <is>
          <t>Upland Dist Ctr I (Bldg 1)</t>
        </is>
      </c>
      <c r="E141" s="703" t="inlineStr">
        <is>
          <t>Aurora</t>
        </is>
      </c>
      <c r="F141" s="703" t="inlineStr">
        <is>
          <t>CO</t>
        </is>
      </c>
      <c r="G141" s="703" t="inlineStr">
        <is>
          <t>Industrial</t>
        </is>
      </c>
      <c r="H141" s="1195"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1195" t="inlineStr">
        <is>
          <t>Link Logistics actual accrual; security $3,871 in contract; mgmt non-billable</t>
        </is>
      </c>
      <c r="AN141">
        <f>IF(AND($B141=Subj_OccCode,Subj_BldgSF&gt;0,ABS($J141-Subj_BldgSF)&lt;=Subj_BldgSF*Subj_SizeTol),ABS($J141-Subj_BldgSF),NA())</f>
        <v/>
      </c>
      <c r="AO141">
        <f>IF(ISNA(AN141),NA(),AN141+ROW()/10000000)</f>
        <v/>
      </c>
      <c r="AR141" s="1132">
        <f>IF(B141="","",IFERROR(INDEX(OCC_TABLE_DESC,MATCH(B141,OCC_TABLE_CODE,0)),"Unrecognized code"))</f>
        <v/>
      </c>
    </row>
    <row r="142">
      <c r="A142" s="703" t="inlineStr">
        <is>
          <t>P071</t>
        </is>
      </c>
      <c r="B142" s="695" t="n">
        <v>210</v>
      </c>
      <c r="C142" s="703" t="inlineStr">
        <is>
          <t>R0084243</t>
        </is>
      </c>
      <c r="D142" s="1195" t="inlineStr">
        <is>
          <t>Upland Dist Ctr I (Bldg 2)</t>
        </is>
      </c>
      <c r="E142" s="703" t="inlineStr">
        <is>
          <t>Aurora</t>
        </is>
      </c>
      <c r="F142" s="703" t="inlineStr">
        <is>
          <t>CO</t>
        </is>
      </c>
      <c r="G142" s="703" t="inlineStr">
        <is>
          <t>Industrial</t>
        </is>
      </c>
      <c r="H142" s="1195"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1195" t="inlineStr">
        <is>
          <t>Link Logistics actual accrual</t>
        </is>
      </c>
      <c r="AN142">
        <f>IF(AND($B142=Subj_OccCode,Subj_BldgSF&gt;0,ABS($J142-Subj_BldgSF)&lt;=Subj_BldgSF*Subj_SizeTol),ABS($J142-Subj_BldgSF),NA())</f>
        <v/>
      </c>
      <c r="AO142">
        <f>IF(ISNA(AN142),NA(),AN142+ROW()/10000000)</f>
        <v/>
      </c>
      <c r="AR142" s="1132">
        <f>IF(B142="","",IFERROR(INDEX(OCC_TABLE_DESC,MATCH(B142,OCC_TABLE_CODE,0)),"Unrecognized code"))</f>
        <v/>
      </c>
    </row>
    <row r="143">
      <c r="A143" s="703" t="inlineStr">
        <is>
          <t>P071</t>
        </is>
      </c>
      <c r="B143" s="695" t="n">
        <v>210</v>
      </c>
      <c r="C143" s="703" t="inlineStr">
        <is>
          <t>R0084243</t>
        </is>
      </c>
      <c r="D143" s="1195" t="inlineStr">
        <is>
          <t>Upland Dist Ctr I (Bldg 2)</t>
        </is>
      </c>
      <c r="E143" s="703" t="inlineStr">
        <is>
          <t>Aurora</t>
        </is>
      </c>
      <c r="F143" s="703" t="inlineStr">
        <is>
          <t>CO</t>
        </is>
      </c>
      <c r="G143" s="703" t="inlineStr">
        <is>
          <t>Industrial</t>
        </is>
      </c>
      <c r="H143" s="1195"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1195" t="inlineStr">
        <is>
          <t>Link Logistics actual accrual</t>
        </is>
      </c>
      <c r="AN143">
        <f>IF(AND($B143=Subj_OccCode,Subj_BldgSF&gt;0,ABS($J143-Subj_BldgSF)&lt;=Subj_BldgSF*Subj_SizeTol),ABS($J143-Subj_BldgSF),NA())</f>
        <v/>
      </c>
      <c r="AO143">
        <f>IF(ISNA(AN143),NA(),AN143+ROW()/10000000)</f>
        <v/>
      </c>
      <c r="AR143" s="1132">
        <f>IF(B143="","",IFERROR(INDEX(OCC_TABLE_DESC,MATCH(B143,OCC_TABLE_CODE,0)),"Unrecognized code"))</f>
        <v/>
      </c>
    </row>
    <row r="144">
      <c r="A144" s="703" t="inlineStr">
        <is>
          <t>P072</t>
        </is>
      </c>
      <c r="B144" s="695" t="n">
        <v>210</v>
      </c>
      <c r="C144" s="703" t="inlineStr">
        <is>
          <t>R0084244</t>
        </is>
      </c>
      <c r="D144" s="1195" t="inlineStr">
        <is>
          <t>Upland Dist Ctr I (Bldg 3)</t>
        </is>
      </c>
      <c r="E144" s="703" t="inlineStr">
        <is>
          <t>Aurora</t>
        </is>
      </c>
      <c r="F144" s="703" t="inlineStr">
        <is>
          <t>CO</t>
        </is>
      </c>
      <c r="G144" s="703" t="inlineStr">
        <is>
          <t>Industrial</t>
        </is>
      </c>
      <c r="H144" s="1195"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1195" t="inlineStr">
        <is>
          <t>Link Logistics 2023 only; large warehouse; notable free rent ($111k) and lease-up period</t>
        </is>
      </c>
      <c r="AN144">
        <f>IF(AND($B144=Subj_OccCode,Subj_BldgSF&gt;0,ABS($J144-Subj_BldgSF)&lt;=Subj_BldgSF*Subj_SizeTol),ABS($J144-Subj_BldgSF),NA())</f>
        <v/>
      </c>
      <c r="AO144">
        <f>IF(ISNA(AN144),NA(),AN144+ROW()/10000000)</f>
        <v/>
      </c>
      <c r="AR144" s="1132">
        <f>IF(B144="","",IFERROR(INDEX(OCC_TABLE_DESC,MATCH(B144,OCC_TABLE_CODE,0)),"Unrecognized code"))</f>
        <v/>
      </c>
    </row>
    <row r="145">
      <c r="A145" s="703" t="inlineStr">
        <is>
          <t>P073</t>
        </is>
      </c>
      <c r="B145" s="695" t="n">
        <v>210</v>
      </c>
      <c r="C145" s="703" t="inlineStr">
        <is>
          <t>R0084247</t>
        </is>
      </c>
      <c r="D145" s="1195" t="inlineStr">
        <is>
          <t>13802 E 33rd Place</t>
        </is>
      </c>
      <c r="E145" s="703" t="inlineStr">
        <is>
          <t>Aurora</t>
        </is>
      </c>
      <c r="F145" s="703" t="inlineStr">
        <is>
          <t>CO</t>
        </is>
      </c>
      <c r="G145" s="703" t="inlineStr">
        <is>
          <t>Industrial</t>
        </is>
      </c>
      <c r="H145" s="1195"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1195" t="inlineStr">
        <is>
          <t>Link Logistics actual accrual</t>
        </is>
      </c>
      <c r="AN145">
        <f>IF(AND($B145=Subj_OccCode,Subj_BldgSF&gt;0,ABS($J145-Subj_BldgSF)&lt;=Subj_BldgSF*Subj_SizeTol),ABS($J145-Subj_BldgSF),NA())</f>
        <v/>
      </c>
      <c r="AO145">
        <f>IF(ISNA(AN145),NA(),AN145+ROW()/10000000)</f>
        <v/>
      </c>
      <c r="AR145" s="1132">
        <f>IF(B145="","",IFERROR(INDEX(OCC_TABLE_DESC,MATCH(B145,OCC_TABLE_CODE,0)),"Unrecognized code"))</f>
        <v/>
      </c>
    </row>
    <row r="146">
      <c r="A146" s="703" t="inlineStr">
        <is>
          <t>P073</t>
        </is>
      </c>
      <c r="B146" s="695" t="n">
        <v>210</v>
      </c>
      <c r="C146" s="703" t="inlineStr">
        <is>
          <t>R0084247</t>
        </is>
      </c>
      <c r="D146" s="1195" t="inlineStr">
        <is>
          <t>13802 E 33rd Place</t>
        </is>
      </c>
      <c r="E146" s="703" t="inlineStr">
        <is>
          <t>Aurora</t>
        </is>
      </c>
      <c r="F146" s="703" t="inlineStr">
        <is>
          <t>CO</t>
        </is>
      </c>
      <c r="G146" s="703" t="inlineStr">
        <is>
          <t>Industrial</t>
        </is>
      </c>
      <c r="H146" s="1195"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1195" t="inlineStr">
        <is>
          <t>Link Logistics actual accrual</t>
        </is>
      </c>
      <c r="AN146">
        <f>IF(AND($B146=Subj_OccCode,Subj_BldgSF&gt;0,ABS($J146-Subj_BldgSF)&lt;=Subj_BldgSF*Subj_SizeTol),ABS($J146-Subj_BldgSF),NA())</f>
        <v/>
      </c>
      <c r="AO146">
        <f>IF(ISNA(AN146),NA(),AN146+ROW()/10000000)</f>
        <v/>
      </c>
      <c r="AR146" s="1132">
        <f>IF(B146="","",IFERROR(INDEX(OCC_TABLE_DESC,MATCH(B146,OCC_TABLE_CODE,0)),"Unrecognized code"))</f>
        <v/>
      </c>
    </row>
    <row r="147">
      <c r="A147" s="703" t="inlineStr">
        <is>
          <t>P074</t>
        </is>
      </c>
      <c r="B147" s="695" t="n">
        <v>210</v>
      </c>
      <c r="C147" s="703" t="inlineStr">
        <is>
          <t>R0084248</t>
        </is>
      </c>
      <c r="D147" s="1195" t="inlineStr">
        <is>
          <t>14002 E 33rd Place</t>
        </is>
      </c>
      <c r="E147" s="703" t="inlineStr">
        <is>
          <t>Aurora</t>
        </is>
      </c>
      <c r="F147" s="703" t="inlineStr">
        <is>
          <t>CO</t>
        </is>
      </c>
      <c r="G147" s="703" t="inlineStr">
        <is>
          <t>Industrial</t>
        </is>
      </c>
      <c r="H147" s="1195"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1195" t="inlineStr">
        <is>
          <t>Link Logistics actual; 2023 RE tax net $53k refund; 2024 normal rate</t>
        </is>
      </c>
      <c r="AN147">
        <f>IF(AND($B147=Subj_OccCode,Subj_BldgSF&gt;0,ABS($J147-Subj_BldgSF)&lt;=Subj_BldgSF*Subj_SizeTol),ABS($J147-Subj_BldgSF),NA())</f>
        <v/>
      </c>
      <c r="AO147">
        <f>IF(ISNA(AN147),NA(),AN147+ROW()/10000000)</f>
        <v/>
      </c>
      <c r="AR147" s="1132">
        <f>IF(B147="","",IFERROR(INDEX(OCC_TABLE_DESC,MATCH(B147,OCC_TABLE_CODE,0)),"Unrecognized code"))</f>
        <v/>
      </c>
    </row>
    <row r="148">
      <c r="A148" s="703" t="inlineStr">
        <is>
          <t>P074</t>
        </is>
      </c>
      <c r="B148" s="695" t="n">
        <v>210</v>
      </c>
      <c r="C148" s="703" t="inlineStr">
        <is>
          <t>R0084248</t>
        </is>
      </c>
      <c r="D148" s="1195" t="inlineStr">
        <is>
          <t>14002 E 33rd Place</t>
        </is>
      </c>
      <c r="E148" s="703" t="inlineStr">
        <is>
          <t>Aurora</t>
        </is>
      </c>
      <c r="F148" s="703" t="inlineStr">
        <is>
          <t>CO</t>
        </is>
      </c>
      <c r="G148" s="703" t="inlineStr">
        <is>
          <t>Industrial</t>
        </is>
      </c>
      <c r="H148" s="1195"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1195" t="inlineStr">
        <is>
          <t>Link Logistics actual; 2023 RE tax net $53k refund; 2024 normal rate</t>
        </is>
      </c>
      <c r="AN148">
        <f>IF(AND($B148=Subj_OccCode,Subj_BldgSF&gt;0,ABS($J148-Subj_BldgSF)&lt;=Subj_BldgSF*Subj_SizeTol),ABS($J148-Subj_BldgSF),NA())</f>
        <v/>
      </c>
      <c r="AO148">
        <f>IF(ISNA(AN148),NA(),AN148+ROW()/10000000)</f>
        <v/>
      </c>
      <c r="AR148" s="1132">
        <f>IF(B148="","",IFERROR(INDEX(OCC_TABLE_DESC,MATCH(B148,OCC_TABLE_CODE,0)),"Unrecognized code"))</f>
        <v/>
      </c>
    </row>
    <row r="149">
      <c r="A149" s="703" t="inlineStr">
        <is>
          <t>P075</t>
        </is>
      </c>
      <c r="B149" s="695" t="n">
        <v>210</v>
      </c>
      <c r="C149" s="703" t="inlineStr">
        <is>
          <t>R0084250</t>
        </is>
      </c>
      <c r="D149" s="1195" t="inlineStr">
        <is>
          <t>3250 Abilene Street</t>
        </is>
      </c>
      <c r="E149" s="703" t="inlineStr">
        <is>
          <t>Aurora</t>
        </is>
      </c>
      <c r="F149" s="703" t="inlineStr">
        <is>
          <t>CO</t>
        </is>
      </c>
      <c r="G149" s="703" t="inlineStr">
        <is>
          <t>Industrial</t>
        </is>
      </c>
      <c r="H149" s="1195"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1195"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1132">
        <f>IF(B149="","",IFERROR(INDEX(OCC_TABLE_DESC,MATCH(B149,OCC_TABLE_CODE,0)),"Unrecognized code"))</f>
        <v/>
      </c>
    </row>
    <row r="150">
      <c r="A150" s="703" t="inlineStr">
        <is>
          <t>P075</t>
        </is>
      </c>
      <c r="B150" s="695" t="n">
        <v>210</v>
      </c>
      <c r="C150" s="703" t="inlineStr">
        <is>
          <t>R0084250</t>
        </is>
      </c>
      <c r="D150" s="1195" t="inlineStr">
        <is>
          <t>3250 Abilene Street</t>
        </is>
      </c>
      <c r="E150" s="703" t="inlineStr">
        <is>
          <t>Aurora</t>
        </is>
      </c>
      <c r="F150" s="703" t="inlineStr">
        <is>
          <t>CO</t>
        </is>
      </c>
      <c r="G150" s="703" t="inlineStr">
        <is>
          <t>Industrial</t>
        </is>
      </c>
      <c r="H150" s="1195"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1195" t="inlineStr">
        <is>
          <t>Link Logistics actual; 2023 stable; 2024 ins inflated by $25k deductible</t>
        </is>
      </c>
      <c r="AN150">
        <f>IF(AND($B150=Subj_OccCode,Subj_BldgSF&gt;0,ABS($J150-Subj_BldgSF)&lt;=Subj_BldgSF*Subj_SizeTol),ABS($J150-Subj_BldgSF),NA())</f>
        <v/>
      </c>
      <c r="AO150">
        <f>IF(ISNA(AN150),NA(),AN150+ROW()/10000000)</f>
        <v/>
      </c>
      <c r="AR150" s="1132">
        <f>IF(B150="","",IFERROR(INDEX(OCC_TABLE_DESC,MATCH(B150,OCC_TABLE_CODE,0)),"Unrecognized code"))</f>
        <v/>
      </c>
    </row>
    <row r="151">
      <c r="A151" s="703" t="inlineStr">
        <is>
          <t>P076</t>
        </is>
      </c>
      <c r="B151" s="695" t="n">
        <v>210</v>
      </c>
      <c r="C151" s="703" t="inlineStr">
        <is>
          <t>R0084253</t>
        </is>
      </c>
      <c r="D151" s="1195" t="inlineStr">
        <is>
          <t>14509 E 33rd Place</t>
        </is>
      </c>
      <c r="E151" s="703" t="inlineStr">
        <is>
          <t>Aurora</t>
        </is>
      </c>
      <c r="F151" s="703" t="inlineStr">
        <is>
          <t>CO</t>
        </is>
      </c>
      <c r="G151" s="703" t="inlineStr">
        <is>
          <t>Industrial</t>
        </is>
      </c>
      <c r="H151" s="1195"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1195" t="inlineStr">
        <is>
          <t>Link Logistics actual; 2023 security includes one-time $54k</t>
        </is>
      </c>
      <c r="AN151">
        <f>IF(AND($B151=Subj_OccCode,Subj_BldgSF&gt;0,ABS($J151-Subj_BldgSF)&lt;=Subj_BldgSF*Subj_SizeTol),ABS($J151-Subj_BldgSF),NA())</f>
        <v/>
      </c>
      <c r="AO151">
        <f>IF(ISNA(AN151),NA(),AN151+ROW()/10000000)</f>
        <v/>
      </c>
      <c r="AR151" s="1132">
        <f>IF(B151="","",IFERROR(INDEX(OCC_TABLE_DESC,MATCH(B151,OCC_TABLE_CODE,0)),"Unrecognized code"))</f>
        <v/>
      </c>
    </row>
    <row r="152">
      <c r="A152" s="703" t="inlineStr">
        <is>
          <t>P076</t>
        </is>
      </c>
      <c r="B152" s="695" t="n">
        <v>210</v>
      </c>
      <c r="C152" s="703" t="inlineStr">
        <is>
          <t>R0084253</t>
        </is>
      </c>
      <c r="D152" s="1195" t="inlineStr">
        <is>
          <t>14509 E 33rd Place</t>
        </is>
      </c>
      <c r="E152" s="703" t="inlineStr">
        <is>
          <t>Aurora</t>
        </is>
      </c>
      <c r="F152" s="703" t="inlineStr">
        <is>
          <t>CO</t>
        </is>
      </c>
      <c r="G152" s="703" t="inlineStr">
        <is>
          <t>Industrial</t>
        </is>
      </c>
      <c r="H152" s="1195"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1195" t="inlineStr">
        <is>
          <t>Link Logistics actual; 2023 security includes one-time $54k</t>
        </is>
      </c>
      <c r="AN152">
        <f>IF(AND($B152=Subj_OccCode,Subj_BldgSF&gt;0,ABS($J152-Subj_BldgSF)&lt;=Subj_BldgSF*Subj_SizeTol),ABS($J152-Subj_BldgSF),NA())</f>
        <v/>
      </c>
      <c r="AO152">
        <f>IF(ISNA(AN152),NA(),AN152+ROW()/10000000)</f>
        <v/>
      </c>
      <c r="AR152" s="1132">
        <f>IF(B152="","",IFERROR(INDEX(OCC_TABLE_DESC,MATCH(B152,OCC_TABLE_CODE,0)),"Unrecognized code"))</f>
        <v/>
      </c>
    </row>
    <row r="153">
      <c r="A153" s="703" t="inlineStr">
        <is>
          <t>P077</t>
        </is>
      </c>
      <c r="B153" s="695" t="n">
        <v>210</v>
      </c>
      <c r="C153" s="703" t="inlineStr">
        <is>
          <t>R0084253</t>
        </is>
      </c>
      <c r="D153" s="1195" t="inlineStr">
        <is>
          <t>14704 E 33rd Place</t>
        </is>
      </c>
      <c r="E153" s="703" t="inlineStr">
        <is>
          <t>Aurora</t>
        </is>
      </c>
      <c r="F153" s="703" t="inlineStr">
        <is>
          <t>CO</t>
        </is>
      </c>
      <c r="G153" s="703" t="inlineStr">
        <is>
          <t>Industrial</t>
        </is>
      </c>
      <c r="H153" s="1195"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1195" t="inlineStr">
        <is>
          <t>Link Logistics 2024; partial vacancy (elec/gas $124k); NOI understated excl vacancy costs</t>
        </is>
      </c>
      <c r="AN153">
        <f>IF(AND($B153=Subj_OccCode,Subj_BldgSF&gt;0,ABS($J153-Subj_BldgSF)&lt;=Subj_BldgSF*Subj_SizeTol),ABS($J153-Subj_BldgSF),NA())</f>
        <v/>
      </c>
      <c r="AO153">
        <f>IF(ISNA(AN153),NA(),AN153+ROW()/10000000)</f>
        <v/>
      </c>
      <c r="AR153" s="1132">
        <f>IF(B153="","",IFERROR(INDEX(OCC_TABLE_DESC,MATCH(B153,OCC_TABLE_CODE,0)),"Unrecognized code"))</f>
        <v/>
      </c>
    </row>
    <row r="154">
      <c r="A154" s="703" t="inlineStr">
        <is>
          <t>P078</t>
        </is>
      </c>
      <c r="B154" s="695" t="n">
        <v>210</v>
      </c>
      <c r="C154" s="703" t="inlineStr">
        <is>
          <t>R0084253</t>
        </is>
      </c>
      <c r="D154" s="1195" t="inlineStr">
        <is>
          <t>14705 E 33rd Place</t>
        </is>
      </c>
      <c r="E154" s="703" t="inlineStr">
        <is>
          <t>Aurora</t>
        </is>
      </c>
      <c r="F154" s="703" t="inlineStr">
        <is>
          <t>CO</t>
        </is>
      </c>
      <c r="G154" s="703" t="inlineStr">
        <is>
          <t>Industrial</t>
        </is>
      </c>
      <c r="H154" s="1195"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1195" t="inlineStr">
        <is>
          <t>Link Logistics 2024; partial free rent ($38k); lease-up period</t>
        </is>
      </c>
      <c r="AN154">
        <f>IF(AND($B154=Subj_OccCode,Subj_BldgSF&gt;0,ABS($J154-Subj_BldgSF)&lt;=Subj_BldgSF*Subj_SizeTol),ABS($J154-Subj_BldgSF),NA())</f>
        <v/>
      </c>
      <c r="AO154">
        <f>IF(ISNA(AN154),NA(),AN154+ROW()/10000000)</f>
        <v/>
      </c>
      <c r="AR154" s="1132">
        <f>IF(B154="","",IFERROR(INDEX(OCC_TABLE_DESC,MATCH(B154,OCC_TABLE_CODE,0)),"Unrecognized code"))</f>
        <v/>
      </c>
    </row>
    <row r="155">
      <c r="A155" s="703" t="inlineStr">
        <is>
          <t>P079</t>
        </is>
      </c>
      <c r="B155" s="695" t="n">
        <v>584</v>
      </c>
      <c r="C155" s="703" t="inlineStr">
        <is>
          <t>R0086214</t>
        </is>
      </c>
      <c r="D155" s="1195" t="inlineStr">
        <is>
          <t>Aurora Warehouse (Polar)</t>
        </is>
      </c>
      <c r="E155" s="703" t="inlineStr">
        <is>
          <t>Aurora</t>
        </is>
      </c>
      <c r="F155" s="703" t="inlineStr">
        <is>
          <t>CO</t>
        </is>
      </c>
      <c r="G155" s="703" t="inlineStr">
        <is>
          <t>Industrial</t>
        </is>
      </c>
      <c r="H155" s="1195"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1195" t="inlineStr">
        <is>
          <t>Link Logistics; very large – RE tax $2.2-2.4M; minimal CAM (near-absolute NNN); SF not confirmed</t>
        </is>
      </c>
      <c r="AN155">
        <f>IF(AND($B155=Subj_OccCode,Subj_BldgSF&gt;0,ABS($J155-Subj_BldgSF)&lt;=Subj_BldgSF*Subj_SizeTol),ABS($J155-Subj_BldgSF),NA())</f>
        <v/>
      </c>
      <c r="AO155">
        <f>IF(ISNA(AN155),NA(),AN155+ROW()/10000000)</f>
        <v/>
      </c>
      <c r="AR155" s="1132">
        <f>IF(B155="","",IFERROR(INDEX(OCC_TABLE_DESC,MATCH(B155,OCC_TABLE_CODE,0)),"Unrecognized code"))</f>
        <v/>
      </c>
    </row>
    <row r="156">
      <c r="A156" s="703" t="inlineStr">
        <is>
          <t>P079</t>
        </is>
      </c>
      <c r="B156" s="695" t="n">
        <v>584</v>
      </c>
      <c r="C156" s="703" t="inlineStr">
        <is>
          <t>R0086214</t>
        </is>
      </c>
      <c r="D156" s="1195" t="inlineStr">
        <is>
          <t>Aurora Warehouse (Polar)</t>
        </is>
      </c>
      <c r="E156" s="703" t="inlineStr">
        <is>
          <t>Aurora</t>
        </is>
      </c>
      <c r="F156" s="703" t="inlineStr">
        <is>
          <t>CO</t>
        </is>
      </c>
      <c r="G156" s="703" t="inlineStr">
        <is>
          <t>Industrial</t>
        </is>
      </c>
      <c r="H156" s="1195"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1195" t="inlineStr">
        <is>
          <t>Link Logistics; very large – RE tax $2.2-2.4M; minimal CAM (near-absolute NNN); SF not confirmed</t>
        </is>
      </c>
      <c r="AN156">
        <f>IF(AND($B156=Subj_OccCode,Subj_BldgSF&gt;0,ABS($J156-Subj_BldgSF)&lt;=Subj_BldgSF*Subj_SizeTol),ABS($J156-Subj_BldgSF),NA())</f>
        <v/>
      </c>
      <c r="AO156">
        <f>IF(ISNA(AN156),NA(),AN156+ROW()/10000000)</f>
        <v/>
      </c>
      <c r="AR156" s="1132">
        <f>IF(B156="","",IFERROR(INDEX(OCC_TABLE_DESC,MATCH(B156,OCC_TABLE_CODE,0)),"Unrecognized code"))</f>
        <v/>
      </c>
    </row>
    <row r="157">
      <c r="A157" s="703" t="inlineStr">
        <is>
          <t>P080</t>
        </is>
      </c>
      <c r="B157" s="695" t="n">
        <v>407</v>
      </c>
      <c r="C157" s="703" t="inlineStr">
        <is>
          <t>R0194277</t>
        </is>
      </c>
      <c r="D157" s="1195" t="inlineStr">
        <is>
          <t>8251 Quintero St</t>
        </is>
      </c>
      <c r="E157" s="703" t="inlineStr">
        <is>
          <t>Commerce City</t>
        </is>
      </c>
      <c r="F157" s="703" t="inlineStr">
        <is>
          <t>CO</t>
        </is>
      </c>
      <c r="G157" s="703" t="inlineStr">
        <is>
          <t>Industrial</t>
        </is>
      </c>
      <c r="H157" s="1195"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1195" t="inlineStr">
        <is>
          <t>Becknell Industrial; 2024 EGI/OPX inflated by $967k PY RE tax true-up; normalized NOI ~$2.86M</t>
        </is>
      </c>
      <c r="AN157">
        <f>IF(AND($B157=Subj_OccCode,Subj_BldgSF&gt;0,ABS($J157-Subj_BldgSF)&lt;=Subj_BldgSF*Subj_SizeTol),ABS($J157-Subj_BldgSF),NA())</f>
        <v/>
      </c>
      <c r="AO157">
        <f>IF(ISNA(AN157),NA(),AN157+ROW()/10000000)</f>
        <v/>
      </c>
      <c r="AR157" s="1132">
        <f>IF(B157="","",IFERROR(INDEX(OCC_TABLE_DESC,MATCH(B157,OCC_TABLE_CODE,0)),"Unrecognized code"))</f>
        <v/>
      </c>
    </row>
    <row r="158">
      <c r="A158" s="703" t="inlineStr">
        <is>
          <t>P080</t>
        </is>
      </c>
      <c r="B158" s="695" t="n">
        <v>407</v>
      </c>
      <c r="C158" s="703" t="inlineStr">
        <is>
          <t>R0194277</t>
        </is>
      </c>
      <c r="D158" s="1195" t="inlineStr">
        <is>
          <t>8251 Quintero St</t>
        </is>
      </c>
      <c r="E158" s="703" t="inlineStr">
        <is>
          <t>Commerce City</t>
        </is>
      </c>
      <c r="F158" s="703" t="inlineStr">
        <is>
          <t>CO</t>
        </is>
      </c>
      <c r="G158" s="703" t="inlineStr">
        <is>
          <t>Industrial</t>
        </is>
      </c>
      <c r="H158" s="1195"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1195" t="inlineStr">
        <is>
          <t>Becknell Industrial; actual accrual</t>
        </is>
      </c>
      <c r="AN158">
        <f>IF(AND($B158=Subj_OccCode,Subj_BldgSF&gt;0,ABS($J158-Subj_BldgSF)&lt;=Subj_BldgSF*Subj_SizeTol),ABS($J158-Subj_BldgSF),NA())</f>
        <v/>
      </c>
      <c r="AO158">
        <f>IF(ISNA(AN158),NA(),AN158+ROW()/10000000)</f>
        <v/>
      </c>
      <c r="AR158" s="1132">
        <f>IF(B158="","",IFERROR(INDEX(OCC_TABLE_DESC,MATCH(B158,OCC_TABLE_CODE,0)),"Unrecognized code"))</f>
        <v/>
      </c>
    </row>
    <row r="159">
      <c r="A159" s="703" t="inlineStr">
        <is>
          <t>P081</t>
        </is>
      </c>
      <c r="B159" s="695" t="n">
        <v>407</v>
      </c>
      <c r="C159" s="703" t="inlineStr">
        <is>
          <t>R0198176</t>
        </is>
      </c>
      <c r="D159" s="1195" t="inlineStr">
        <is>
          <t>21800 E 19th Ave</t>
        </is>
      </c>
      <c r="E159" s="703" t="inlineStr">
        <is>
          <t>Aurora</t>
        </is>
      </c>
      <c r="F159" s="703" t="inlineStr">
        <is>
          <t>CO</t>
        </is>
      </c>
      <c r="G159" s="703" t="inlineStr">
        <is>
          <t>Industrial</t>
        </is>
      </c>
      <c r="H159" s="1195"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1195" t="inlineStr">
        <is>
          <t>Becknell; absolute NNN – tenant pays RE taxes directly; opex = CAM only</t>
        </is>
      </c>
      <c r="AN159">
        <f>IF(AND($B159=Subj_OccCode,Subj_BldgSF&gt;0,ABS($J159-Subj_BldgSF)&lt;=Subj_BldgSF*Subj_SizeTol),ABS($J159-Subj_BldgSF),NA())</f>
        <v/>
      </c>
      <c r="AO159">
        <f>IF(ISNA(AN159),NA(),AN159+ROW()/10000000)</f>
        <v/>
      </c>
      <c r="AR159" s="1132">
        <f>IF(B159="","",IFERROR(INDEX(OCC_TABLE_DESC,MATCH(B159,OCC_TABLE_CODE,0)),"Unrecognized code"))</f>
        <v/>
      </c>
    </row>
    <row r="160">
      <c r="A160" s="703" t="inlineStr">
        <is>
          <t>P081</t>
        </is>
      </c>
      <c r="B160" s="695" t="n">
        <v>407</v>
      </c>
      <c r="C160" s="703" t="inlineStr">
        <is>
          <t>R0198176</t>
        </is>
      </c>
      <c r="D160" s="1195" t="inlineStr">
        <is>
          <t>21800 E 19th Ave</t>
        </is>
      </c>
      <c r="E160" s="703" t="inlineStr">
        <is>
          <t>Aurora</t>
        </is>
      </c>
      <c r="F160" s="703" t="inlineStr">
        <is>
          <t>CO</t>
        </is>
      </c>
      <c r="G160" s="703" t="inlineStr">
        <is>
          <t>Industrial</t>
        </is>
      </c>
      <c r="H160" s="1195"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1195" t="inlineStr">
        <is>
          <t>Becknell; absolute NNN – tenant pays RE taxes directly; opex = CAM only</t>
        </is>
      </c>
      <c r="AN160">
        <f>IF(AND($B160=Subj_OccCode,Subj_BldgSF&gt;0,ABS($J160-Subj_BldgSF)&lt;=Subj_BldgSF*Subj_SizeTol),ABS($J160-Subj_BldgSF),NA())</f>
        <v/>
      </c>
      <c r="AO160">
        <f>IF(ISNA(AN160),NA(),AN160+ROW()/10000000)</f>
        <v/>
      </c>
      <c r="AR160" s="1132">
        <f>IF(B160="","",IFERROR(INDEX(OCC_TABLE_DESC,MATCH(B160,OCC_TABLE_CODE,0)),"Unrecognized code"))</f>
        <v/>
      </c>
    </row>
    <row r="161">
      <c r="A161" s="703" t="inlineStr">
        <is>
          <t>P082</t>
        </is>
      </c>
      <c r="B161" s="695" t="n">
        <v>407</v>
      </c>
      <c r="C161" s="703" t="inlineStr">
        <is>
          <t>R0201311</t>
        </is>
      </c>
      <c r="D161" s="1195" t="inlineStr">
        <is>
          <t>Ascent Commerce Center Bldg I</t>
        </is>
      </c>
      <c r="E161" s="703" t="inlineStr">
        <is>
          <t>Aurora</t>
        </is>
      </c>
      <c r="F161" s="703" t="inlineStr">
        <is>
          <t>CO</t>
        </is>
      </c>
      <c r="G161" s="703" t="inlineStr">
        <is>
          <t>Industrial</t>
        </is>
      </c>
      <c r="H161" s="1195"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1195" t="inlineStr">
        <is>
          <t>Ambrose; Q4 2024 ONLY (Oct–Dec, 3 months); lease-up/stabilizing; DO NOT use for annual PSF</t>
        </is>
      </c>
      <c r="AN161">
        <f>IF(AND($B161=Subj_OccCode,Subj_BldgSF&gt;0,ABS($J161-Subj_BldgSF)&lt;=Subj_BldgSF*Subj_SizeTol),ABS($J161-Subj_BldgSF),NA())</f>
        <v/>
      </c>
      <c r="AO161">
        <f>IF(ISNA(AN161),NA(),AN161+ROW()/10000000)</f>
        <v/>
      </c>
      <c r="AR161" s="1132">
        <f>IF(B161="","",IFERROR(INDEX(OCC_TABLE_DESC,MATCH(B161,OCC_TABLE_CODE,0)),"Unrecognized code"))</f>
        <v/>
      </c>
    </row>
    <row r="162">
      <c r="A162" s="703" t="inlineStr">
        <is>
          <t>P083</t>
        </is>
      </c>
      <c r="B162" s="695" t="n">
        <v>407</v>
      </c>
      <c r="C162" s="703" t="inlineStr">
        <is>
          <t>R0201311</t>
        </is>
      </c>
      <c r="D162" s="1195" t="inlineStr">
        <is>
          <t>Ascent Commerce Center Bldg II</t>
        </is>
      </c>
      <c r="E162" s="703" t="inlineStr">
        <is>
          <t>Aurora</t>
        </is>
      </c>
      <c r="F162" s="703" t="inlineStr">
        <is>
          <t>CO</t>
        </is>
      </c>
      <c r="G162" s="703" t="inlineStr">
        <is>
          <t>Industrial</t>
        </is>
      </c>
      <c r="H162" s="1195"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1195" t="inlineStr">
        <is>
          <t>Ambrose; Q4 2024 ONLY (Oct–Dec, 3 months); lease-up/stabilizing; DO NOT use for annual PSF</t>
        </is>
      </c>
      <c r="AN162">
        <f>IF(AND($B162=Subj_OccCode,Subj_BldgSF&gt;0,ABS($J162-Subj_BldgSF)&lt;=Subj_BldgSF*Subj_SizeTol),ABS($J162-Subj_BldgSF),NA())</f>
        <v/>
      </c>
      <c r="AO162">
        <f>IF(ISNA(AN162),NA(),AN162+ROW()/10000000)</f>
        <v/>
      </c>
      <c r="AR162" s="1132">
        <f>IF(B162="","",IFERROR(INDEX(OCC_TABLE_DESC,MATCH(B162,OCC_TABLE_CODE,0)),"Unrecognized code"))</f>
        <v/>
      </c>
    </row>
    <row r="163">
      <c r="A163" s="703" t="inlineStr">
        <is>
          <t>P084</t>
        </is>
      </c>
      <c r="B163" s="695" t="n">
        <v>407</v>
      </c>
      <c r="C163" s="703" t="inlineStr">
        <is>
          <t>R0201311</t>
        </is>
      </c>
      <c r="D163" s="1195" t="inlineStr">
        <is>
          <t>Ascent Commerce Center Bldg III</t>
        </is>
      </c>
      <c r="E163" s="703" t="inlineStr">
        <is>
          <t>Aurora</t>
        </is>
      </c>
      <c r="F163" s="703" t="inlineStr">
        <is>
          <t>CO</t>
        </is>
      </c>
      <c r="G163" s="703" t="inlineStr">
        <is>
          <t>Industrial</t>
        </is>
      </c>
      <c r="H163" s="1195"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1195" t="inlineStr">
        <is>
          <t>Ambrose; Q4 2024 ONLY (Oct–Dec, 3 months); lease-up/stabilizing; DO NOT use for annual PSF</t>
        </is>
      </c>
      <c r="AN163">
        <f>IF(AND($B163=Subj_OccCode,Subj_BldgSF&gt;0,ABS($J163-Subj_BldgSF)&lt;=Subj_BldgSF*Subj_SizeTol),ABS($J163-Subj_BldgSF),NA())</f>
        <v/>
      </c>
      <c r="AO163">
        <f>IF(ISNA(AN163),NA(),AN163+ROW()/10000000)</f>
        <v/>
      </c>
      <c r="AR163" s="1132">
        <f>IF(B163="","",IFERROR(INDEX(OCC_TABLE_DESC,MATCH(B163,OCC_TABLE_CODE,0)),"Unrecognized code"))</f>
        <v/>
      </c>
    </row>
    <row r="164">
      <c r="A164" s="703" t="inlineStr">
        <is>
          <t>P085</t>
        </is>
      </c>
      <c r="B164" s="695" t="n">
        <v>210</v>
      </c>
      <c r="C164" s="703" t="inlineStr">
        <is>
          <t>R0093018</t>
        </is>
      </c>
      <c r="D164" s="1195" t="inlineStr">
        <is>
          <t>3350 Peoria St</t>
        </is>
      </c>
      <c r="E164" s="703" t="inlineStr">
        <is>
          <t>Denver</t>
        </is>
      </c>
      <c r="F164" s="703" t="inlineStr">
        <is>
          <t>CO</t>
        </is>
      </c>
      <c r="G164" s="703" t="inlineStr">
        <is>
          <t>Industrial</t>
        </is>
      </c>
      <c r="H164" s="1195"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1195"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1132">
        <f>IF(B164="","",IFERROR(INDEX(OCC_TABLE_DESC,MATCH(B164,OCC_TABLE_CODE,0)),"Unrecognized code"))</f>
        <v/>
      </c>
    </row>
    <row r="165">
      <c r="A165" s="703" t="inlineStr">
        <is>
          <t>P086</t>
        </is>
      </c>
      <c r="B165" s="695" t="n">
        <v>406</v>
      </c>
      <c r="C165" s="703" t="inlineStr">
        <is>
          <t>R0210684</t>
        </is>
      </c>
      <c r="D165" s="1195" t="inlineStr">
        <is>
          <t>14200 E Moncrieff Place</t>
        </is>
      </c>
      <c r="E165" s="703" t="inlineStr">
        <is>
          <t>Aurora</t>
        </is>
      </c>
      <c r="F165" s="703" t="inlineStr">
        <is>
          <t>CO</t>
        </is>
      </c>
      <c r="G165" s="703" t="inlineStr">
        <is>
          <t>Industrial</t>
        </is>
      </c>
      <c r="H165" s="1195"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1195" t="inlineStr">
        <is>
          <t>Owner P&amp;L 2023; large industrial 233,808 SF; 1980 YOC; landscape $12,324/snow $32,256 in CAM</t>
        </is>
      </c>
      <c r="AN165">
        <f>IF(AND($B165=Subj_OccCode,Subj_BldgSF&gt;0,ABS($J165-Subj_BldgSF)&lt;=Subj_BldgSF*Subj_SizeTol),ABS($J165-Subj_BldgSF),NA())</f>
        <v/>
      </c>
      <c r="AO165">
        <f>IF(ISNA(AN165),NA(),AN165+ROW()/10000000)</f>
        <v/>
      </c>
      <c r="AR165" s="1132">
        <f>IF(B165="","",IFERROR(INDEX(OCC_TABLE_DESC,MATCH(B165,OCC_TABLE_CODE,0)),"Unrecognized code"))</f>
        <v/>
      </c>
    </row>
    <row r="166">
      <c r="A166" s="703" t="inlineStr">
        <is>
          <t>P086</t>
        </is>
      </c>
      <c r="B166" s="695" t="n">
        <v>406</v>
      </c>
      <c r="C166" s="703" t="inlineStr">
        <is>
          <t>R0210684</t>
        </is>
      </c>
      <c r="D166" s="1195" t="inlineStr">
        <is>
          <t>14200 E Moncrieff Place</t>
        </is>
      </c>
      <c r="E166" s="703" t="inlineStr">
        <is>
          <t>Aurora</t>
        </is>
      </c>
      <c r="F166" s="703" t="inlineStr">
        <is>
          <t>CO</t>
        </is>
      </c>
      <c r="G166" s="703" t="inlineStr">
        <is>
          <t>Industrial</t>
        </is>
      </c>
      <c r="H166" s="1195"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1195" t="inlineStr">
        <is>
          <t>Owner P&amp;L 2024; total OPX only – line items not fully detailed for 2024</t>
        </is>
      </c>
      <c r="AN166">
        <f>IF(AND($B166=Subj_OccCode,Subj_BldgSF&gt;0,ABS($J166-Subj_BldgSF)&lt;=Subj_BldgSF*Subj_SizeTol),ABS($J166-Subj_BldgSF),NA())</f>
        <v/>
      </c>
      <c r="AO166">
        <f>IF(ISNA(AN166),NA(),AN166+ROW()/10000000)</f>
        <v/>
      </c>
      <c r="AR166" s="1132">
        <f>IF(B166="","",IFERROR(INDEX(OCC_TABLE_DESC,MATCH(B166,OCC_TABLE_CODE,0)),"Unrecognized code"))</f>
        <v/>
      </c>
    </row>
    <row r="167">
      <c r="A167" s="703" t="inlineStr">
        <is>
          <t>P087</t>
        </is>
      </c>
      <c r="B167" s="695" t="n">
        <v>407</v>
      </c>
      <c r="C167" s="703" t="inlineStr">
        <is>
          <t>R0102985</t>
        </is>
      </c>
      <c r="D167" s="1195" t="inlineStr">
        <is>
          <t>5861 Tennyson St</t>
        </is>
      </c>
      <c r="E167" s="703" t="inlineStr">
        <is>
          <t>Arvada</t>
        </is>
      </c>
      <c r="F167" s="703" t="inlineStr">
        <is>
          <t>CO</t>
        </is>
      </c>
      <c r="G167" s="703" t="inlineStr">
        <is>
          <t>Industrial</t>
        </is>
      </c>
      <c r="H167" s="1195"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1195" t="inlineStr">
        <is>
          <t>NNN; landlord expenses only; tenant pays RE taxes; 2023</t>
        </is>
      </c>
      <c r="AN167">
        <f>IF(AND($B167=Subj_OccCode,Subj_BldgSF&gt;0,ABS($J167-Subj_BldgSF)&lt;=Subj_BldgSF*Subj_SizeTol),ABS($J167-Subj_BldgSF),NA())</f>
        <v/>
      </c>
      <c r="AO167">
        <f>IF(ISNA(AN167),NA(),AN167+ROW()/10000000)</f>
        <v/>
      </c>
      <c r="AR167" s="1132">
        <f>IF(B167="","",IFERROR(INDEX(OCC_TABLE_DESC,MATCH(B167,OCC_TABLE_CODE,0)),"Unrecognized code"))</f>
        <v/>
      </c>
    </row>
    <row r="168">
      <c r="A168" s="703" t="inlineStr">
        <is>
          <t>P087</t>
        </is>
      </c>
      <c r="B168" s="695" t="n">
        <v>407</v>
      </c>
      <c r="C168" s="703" t="inlineStr">
        <is>
          <t>R0102985</t>
        </is>
      </c>
      <c r="D168" s="1195" t="inlineStr">
        <is>
          <t>5861 Tennyson St</t>
        </is>
      </c>
      <c r="E168" s="703" t="inlineStr">
        <is>
          <t>Arvada</t>
        </is>
      </c>
      <c r="F168" s="703" t="inlineStr">
        <is>
          <t>CO</t>
        </is>
      </c>
      <c r="G168" s="703" t="inlineStr">
        <is>
          <t>Industrial</t>
        </is>
      </c>
      <c r="H168" s="1195"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1195" t="inlineStr">
        <is>
          <t>NNN; landlord expenses only; tenant pays RE taxes; 2024</t>
        </is>
      </c>
      <c r="AN168">
        <f>IF(AND($B168=Subj_OccCode,Subj_BldgSF&gt;0,ABS($J168-Subj_BldgSF)&lt;=Subj_BldgSF*Subj_SizeTol),ABS($J168-Subj_BldgSF),NA())</f>
        <v/>
      </c>
      <c r="AO168">
        <f>IF(ISNA(AN168),NA(),AN168+ROW()/10000000)</f>
        <v/>
      </c>
      <c r="AR168" s="1132">
        <f>IF(B168="","",IFERROR(INDEX(OCC_TABLE_DESC,MATCH(B168,OCC_TABLE_CODE,0)),"Unrecognized code"))</f>
        <v/>
      </c>
    </row>
    <row r="169">
      <c r="A169" s="703" t="inlineStr">
        <is>
          <t>P088</t>
        </is>
      </c>
      <c r="B169" s="695" t="n">
        <v>210</v>
      </c>
      <c r="C169" s="703" t="inlineStr">
        <is>
          <t>R0090973</t>
        </is>
      </c>
      <c r="D169" s="1195" t="inlineStr">
        <is>
          <t>3975 E 56th Ave</t>
        </is>
      </c>
      <c r="E169" s="703" t="inlineStr">
        <is>
          <t>Commerce City</t>
        </is>
      </c>
      <c r="F169" s="703" t="inlineStr">
        <is>
          <t>CO</t>
        </is>
      </c>
      <c r="G169" s="703" t="inlineStr">
        <is>
          <t>Industrial</t>
        </is>
      </c>
      <c r="H169" s="1195"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1195" t="inlineStr">
        <is>
          <t>Sand Creek Business Park; owner P&amp;L 2024; limited line-item detail</t>
        </is>
      </c>
      <c r="AN169">
        <f>IF(AND($B169=Subj_OccCode,Subj_BldgSF&gt;0,ABS($J169-Subj_BldgSF)&lt;=Subj_BldgSF*Subj_SizeTol),ABS($J169-Subj_BldgSF),NA())</f>
        <v/>
      </c>
      <c r="AO169">
        <f>IF(ISNA(AN169),NA(),AN169+ROW()/10000000)</f>
        <v/>
      </c>
      <c r="AR169" s="1132">
        <f>IF(B169="","",IFERROR(INDEX(OCC_TABLE_DESC,MATCH(B169,OCC_TABLE_CODE,0)),"Unrecognized code"))</f>
        <v/>
      </c>
    </row>
    <row r="170">
      <c r="A170" s="703" t="inlineStr">
        <is>
          <t>P089</t>
        </is>
      </c>
      <c r="B170" s="695" t="n">
        <v>407</v>
      </c>
      <c r="C170" s="703" t="inlineStr">
        <is>
          <t>R0180951</t>
        </is>
      </c>
      <c r="D170" s="1195" t="inlineStr">
        <is>
          <t>(Address TBD – R0180951)</t>
        </is>
      </c>
      <c r="E170" s="703" t="inlineStr">
        <is>
          <t>Adams County</t>
        </is>
      </c>
      <c r="F170" s="703" t="inlineStr">
        <is>
          <t>CO</t>
        </is>
      </c>
      <c r="G170" s="703" t="inlineStr">
        <is>
          <t>Industrial</t>
        </is>
      </c>
      <c r="H170" s="1195"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1195"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1132">
        <f>IF(B170="","",IFERROR(INDEX(OCC_TABLE_DESC,MATCH(B170,OCC_TABLE_CODE,0)),"Unrecognized code"))</f>
        <v/>
      </c>
    </row>
    <row r="171">
      <c r="A171" s="703" t="inlineStr">
        <is>
          <t>P089</t>
        </is>
      </c>
      <c r="B171" s="695" t="n">
        <v>407</v>
      </c>
      <c r="C171" s="703" t="inlineStr">
        <is>
          <t>R0180951</t>
        </is>
      </c>
      <c r="D171" s="1195" t="inlineStr">
        <is>
          <t>(Address TBD – R0180951)</t>
        </is>
      </c>
      <c r="E171" s="703" t="inlineStr">
        <is>
          <t>Adams County</t>
        </is>
      </c>
      <c r="F171" s="703" t="inlineStr">
        <is>
          <t>CO</t>
        </is>
      </c>
      <c r="G171" s="703" t="inlineStr">
        <is>
          <t>Industrial</t>
        </is>
      </c>
      <c r="H171" s="1195"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1195"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1132">
        <f>IF(B171="","",IFERROR(INDEX(OCC_TABLE_DESC,MATCH(B171,OCC_TABLE_CODE,0)),"Unrecognized code"))</f>
        <v/>
      </c>
    </row>
    <row r="172">
      <c r="A172" s="703" t="inlineStr">
        <is>
          <t>P090</t>
        </is>
      </c>
      <c r="B172" s="695" t="n">
        <v>407</v>
      </c>
      <c r="C172" s="703" t="inlineStr">
        <is>
          <t>R0110351</t>
        </is>
      </c>
      <c r="D172" s="1195" t="inlineStr">
        <is>
          <t>(Address TBD – R0110351)</t>
        </is>
      </c>
      <c r="E172" s="703" t="inlineStr">
        <is>
          <t>Adams County</t>
        </is>
      </c>
      <c r="F172" s="703" t="inlineStr">
        <is>
          <t>CO</t>
        </is>
      </c>
      <c r="G172" s="703" t="inlineStr">
        <is>
          <t>Industrial</t>
        </is>
      </c>
      <c r="H172" s="1195"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1195"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1132">
        <f>IF(B172="","",IFERROR(INDEX(OCC_TABLE_DESC,MATCH(B172,OCC_TABLE_CODE,0)),"Unrecognized code"))</f>
        <v/>
      </c>
    </row>
    <row r="173">
      <c r="A173" s="703" t="inlineStr">
        <is>
          <t>P090</t>
        </is>
      </c>
      <c r="B173" s="695" t="n">
        <v>407</v>
      </c>
      <c r="C173" s="703" t="inlineStr">
        <is>
          <t>R0110351</t>
        </is>
      </c>
      <c r="D173" s="1195" t="inlineStr">
        <is>
          <t>(Address TBD – R0110351)</t>
        </is>
      </c>
      <c r="E173" s="703" t="inlineStr">
        <is>
          <t>Adams County</t>
        </is>
      </c>
      <c r="F173" s="703" t="inlineStr">
        <is>
          <t>CO</t>
        </is>
      </c>
      <c r="G173" s="703" t="inlineStr">
        <is>
          <t>Industrial</t>
        </is>
      </c>
      <c r="H173" s="1195"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1195" t="inlineStr">
        <is>
          <t>NNN; landlord expenses only from WH Expenses 2026; 2024: RE Tax $331,811/Ins $25,578/CAM $21,372</t>
        </is>
      </c>
      <c r="AN173">
        <f>IF(AND($B173=Subj_OccCode,Subj_BldgSF&gt;0,ABS($J173-Subj_BldgSF)&lt;=Subj_BldgSF*Subj_SizeTol),ABS($J173-Subj_BldgSF),NA())</f>
        <v/>
      </c>
      <c r="AO173">
        <f>IF(ISNA(AN173),NA(),AN173+ROW()/10000000)</f>
        <v/>
      </c>
      <c r="AR173" s="1132">
        <f>IF(B173="","",IFERROR(INDEX(OCC_TABLE_DESC,MATCH(B173,OCC_TABLE_CODE,0)),"Unrecognized code"))</f>
        <v/>
      </c>
    </row>
    <row r="174">
      <c r="A174" s="703" t="inlineStr">
        <is>
          <t>P091</t>
        </is>
      </c>
      <c r="B174" s="695" t="n">
        <v>584</v>
      </c>
      <c r="C174" s="703" t="inlineStr">
        <is>
          <t>R0198530</t>
        </is>
      </c>
      <c r="D174" s="1195" t="inlineStr">
        <is>
          <t>(Address TBD – R0198530)</t>
        </is>
      </c>
      <c r="E174" s="703" t="inlineStr">
        <is>
          <t>Adams County</t>
        </is>
      </c>
      <c r="F174" s="703" t="inlineStr">
        <is>
          <t>CO</t>
        </is>
      </c>
      <c r="G174" s="703" t="inlineStr">
        <is>
          <t>Industrial</t>
        </is>
      </c>
      <c r="H174" s="1195"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1195" t="inlineStr">
        <is>
          <t>Mega-warehouse 555,867 SF; NNN; landlord only: RE Tax $2,160,792/Ins $86,084/Mgmt $64,029; 2019 YOC</t>
        </is>
      </c>
      <c r="AN174">
        <f>IF(AND($B174=Subj_OccCode,Subj_BldgSF&gt;0,ABS($J174-Subj_BldgSF)&lt;=Subj_BldgSF*Subj_SizeTol),ABS($J174-Subj_BldgSF),NA())</f>
        <v/>
      </c>
      <c r="AO174">
        <f>IF(ISNA(AN174),NA(),AN174+ROW()/10000000)</f>
        <v/>
      </c>
      <c r="AR174" s="1132">
        <f>IF(B174="","",IFERROR(INDEX(OCC_TABLE_DESC,MATCH(B174,OCC_TABLE_CODE,0)),"Unrecognized code"))</f>
        <v/>
      </c>
    </row>
    <row r="175">
      <c r="A175" s="703" t="inlineStr">
        <is>
          <t>P092</t>
        </is>
      </c>
      <c r="B175" s="695" t="n">
        <v>447</v>
      </c>
      <c r="C175" s="703" t="inlineStr">
        <is>
          <t>R0180834</t>
        </is>
      </c>
      <c r="D175" s="1195" t="inlineStr">
        <is>
          <t>(Address TBD – R0180834)</t>
        </is>
      </c>
      <c r="E175" s="703" t="inlineStr">
        <is>
          <t>Adams County</t>
        </is>
      </c>
      <c r="F175" s="703" t="inlineStr">
        <is>
          <t>CO</t>
        </is>
      </c>
      <c r="G175" s="703" t="inlineStr">
        <is>
          <t>Industrial</t>
        </is>
      </c>
      <c r="H175" s="1195"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1195" t="inlineStr">
        <is>
          <t>Cold storage/mega-WH 550,031 SF; NNN; landlord only: RE Tax $2,118,655/Ins $77,117/Mgmt $138,053; 2012 YOC</t>
        </is>
      </c>
      <c r="AN175">
        <f>IF(AND($B175=Subj_OccCode,Subj_BldgSF&gt;0,ABS($J175-Subj_BldgSF)&lt;=Subj_BldgSF*Subj_SizeTol),ABS($J175-Subj_BldgSF),NA())</f>
        <v/>
      </c>
      <c r="AO175">
        <f>IF(ISNA(AN175),NA(),AN175+ROW()/10000000)</f>
        <v/>
      </c>
      <c r="AR175" s="1132">
        <f>IF(B175="","",IFERROR(INDEX(OCC_TABLE_DESC,MATCH(B175,OCC_TABLE_CODE,0)),"Unrecognized code"))</f>
        <v/>
      </c>
    </row>
    <row r="176">
      <c r="A176" s="703" t="inlineStr">
        <is>
          <t>P093</t>
        </is>
      </c>
      <c r="B176" s="695" t="n">
        <v>407</v>
      </c>
      <c r="C176" s="703" t="inlineStr">
        <is>
          <t>R0114792</t>
        </is>
      </c>
      <c r="D176" s="1195" t="inlineStr">
        <is>
          <t>(Address TBD – R0114792)</t>
        </is>
      </c>
      <c r="E176" s="703" t="inlineStr">
        <is>
          <t>Adams County</t>
        </is>
      </c>
      <c r="F176" s="703" t="inlineStr">
        <is>
          <t>CO</t>
        </is>
      </c>
      <c r="G176" s="703" t="inlineStr">
        <is>
          <t>Industrial</t>
        </is>
      </c>
      <c r="H176" s="1195"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1195" t="inlineStr">
        <is>
          <t>NNN; landlord only: RE Tax $201,248/Ins $9,589/Mgmt $23,542; 1998 YOC</t>
        </is>
      </c>
      <c r="AN176">
        <f>IF(AND($B176=Subj_OccCode,Subj_BldgSF&gt;0,ABS($J176-Subj_BldgSF)&lt;=Subj_BldgSF*Subj_SizeTol),ABS($J176-Subj_BldgSF),NA())</f>
        <v/>
      </c>
      <c r="AO176">
        <f>IF(ISNA(AN176),NA(),AN176+ROW()/10000000)</f>
        <v/>
      </c>
      <c r="AR176" s="1132">
        <f>IF(B176="","",IFERROR(INDEX(OCC_TABLE_DESC,MATCH(B176,OCC_TABLE_CODE,0)),"Unrecognized code"))</f>
        <v/>
      </c>
    </row>
    <row r="177">
      <c r="A177" s="703" t="inlineStr">
        <is>
          <t>P093</t>
        </is>
      </c>
      <c r="B177" s="695" t="n">
        <v>407</v>
      </c>
      <c r="C177" s="703" t="inlineStr">
        <is>
          <t>R0114792</t>
        </is>
      </c>
      <c r="D177" s="1195" t="inlineStr">
        <is>
          <t>(Address TBD – R0114792)</t>
        </is>
      </c>
      <c r="E177" s="703" t="inlineStr">
        <is>
          <t>Adams County</t>
        </is>
      </c>
      <c r="F177" s="703" t="inlineStr">
        <is>
          <t>CO</t>
        </is>
      </c>
      <c r="G177" s="703" t="inlineStr">
        <is>
          <t>Industrial</t>
        </is>
      </c>
      <c r="H177" s="1195"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1195" t="inlineStr">
        <is>
          <t>NNN; landlord only: RE Tax $244,551/Ins $7,536/Mgmt $23,889</t>
        </is>
      </c>
      <c r="AN177">
        <f>IF(AND($B177=Subj_OccCode,Subj_BldgSF&gt;0,ABS($J177-Subj_BldgSF)&lt;=Subj_BldgSF*Subj_SizeTol),ABS($J177-Subj_BldgSF),NA())</f>
        <v/>
      </c>
      <c r="AO177">
        <f>IF(ISNA(AN177),NA(),AN177+ROW()/10000000)</f>
        <v/>
      </c>
      <c r="AR177" s="1132">
        <f>IF(B177="","",IFERROR(INDEX(OCC_TABLE_DESC,MATCH(B177,OCC_TABLE_CODE,0)),"Unrecognized code"))</f>
        <v/>
      </c>
    </row>
    <row r="178">
      <c r="A178" s="703" t="inlineStr">
        <is>
          <t>P027</t>
        </is>
      </c>
      <c r="B178" s="695" t="n">
        <v>407</v>
      </c>
      <c r="C178" s="703" t="inlineStr">
        <is>
          <t>R0132030</t>
        </is>
      </c>
      <c r="D178" s="1195" t="inlineStr">
        <is>
          <t>(R0132030)</t>
        </is>
      </c>
      <c r="E178" s="703" t="inlineStr">
        <is>
          <t>Adams County</t>
        </is>
      </c>
      <c r="F178" s="703" t="inlineStr">
        <is>
          <t>CO</t>
        </is>
      </c>
      <c r="G178" s="703" t="inlineStr">
        <is>
          <t>Industrial</t>
        </is>
      </c>
      <c r="H178" s="1195"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1195" t="inlineStr">
        <is>
          <t>NNN; WH Expenses 2026 landlord data: RE Tax $440,287/Ins $26,308/Utils $64,237/Mgmt $48,882/CAM $80,298</t>
        </is>
      </c>
      <c r="AN178">
        <f>IF(AND($B178=Subj_OccCode,Subj_BldgSF&gt;0,ABS($J178-Subj_BldgSF)&lt;=Subj_BldgSF*Subj_SizeTol),ABS($J178-Subj_BldgSF),NA())</f>
        <v/>
      </c>
      <c r="AO178">
        <f>IF(ISNA(AN178),NA(),AN178+ROW()/10000000)</f>
        <v/>
      </c>
      <c r="AR178" s="1132">
        <f>IF(B178="","",IFERROR(INDEX(OCC_TABLE_DESC,MATCH(B178,OCC_TABLE_CODE,0)),"Unrecognized code"))</f>
        <v/>
      </c>
    </row>
    <row r="179">
      <c r="A179" s="703" t="inlineStr">
        <is>
          <t>P028</t>
        </is>
      </c>
      <c r="B179" s="695" t="n">
        <v>407</v>
      </c>
      <c r="C179" s="703" t="inlineStr">
        <is>
          <t>R0084040</t>
        </is>
      </c>
      <c r="D179" s="1195" t="inlineStr">
        <is>
          <t>(R0084040)</t>
        </is>
      </c>
      <c r="E179" s="703" t="inlineStr">
        <is>
          <t>Adams County</t>
        </is>
      </c>
      <c r="F179" s="703" t="inlineStr">
        <is>
          <t>CO</t>
        </is>
      </c>
      <c r="G179" s="703" t="inlineStr">
        <is>
          <t>Industrial</t>
        </is>
      </c>
      <c r="H179" s="1195"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1195"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1132">
        <f>IF(B179="","",IFERROR(INDEX(OCC_TABLE_DESC,MATCH(B179,OCC_TABLE_CODE,0)),"Unrecognized code"))</f>
        <v/>
      </c>
    </row>
    <row r="180">
      <c r="A180" s="703" t="inlineStr">
        <is>
          <t>P034</t>
        </is>
      </c>
      <c r="B180" s="695" t="n">
        <v>407</v>
      </c>
      <c r="C180" s="703" t="inlineStr">
        <is>
          <t>R0172865</t>
        </is>
      </c>
      <c r="D180" s="1195" t="inlineStr">
        <is>
          <t>(R0172865)</t>
        </is>
      </c>
      <c r="E180" s="703" t="inlineStr">
        <is>
          <t>Adams County</t>
        </is>
      </c>
      <c r="F180" s="703" t="inlineStr">
        <is>
          <t>CO</t>
        </is>
      </c>
      <c r="G180" s="703" t="inlineStr">
        <is>
          <t>Industrial</t>
        </is>
      </c>
      <c r="H180" s="1195"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1195"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1132">
        <f>IF(B180="","",IFERROR(INDEX(OCC_TABLE_DESC,MATCH(B180,OCC_TABLE_CODE,0)),"Unrecognized code"))</f>
        <v/>
      </c>
    </row>
    <row r="181">
      <c r="A181" s="703" t="inlineStr">
        <is>
          <t>P036</t>
        </is>
      </c>
      <c r="B181" s="695" t="n">
        <v>407</v>
      </c>
      <c r="C181" s="703" t="inlineStr">
        <is>
          <t>R0172868</t>
        </is>
      </c>
      <c r="D181" s="1195" t="inlineStr">
        <is>
          <t>(R0172868)</t>
        </is>
      </c>
      <c r="E181" s="703" t="inlineStr">
        <is>
          <t>Adams County</t>
        </is>
      </c>
      <c r="F181" s="703" t="inlineStr">
        <is>
          <t>CO</t>
        </is>
      </c>
      <c r="G181" s="703" t="inlineStr">
        <is>
          <t>Industrial</t>
        </is>
      </c>
      <c r="H181" s="1195"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1195" t="inlineStr">
        <is>
          <t>NNN; WH Expenses 2026 landlord data: RE Tax $608,209/Ins $30,594/Mgmt $36,085/CAM $95,792</t>
        </is>
      </c>
      <c r="AN181">
        <f>IF(AND($B181=Subj_OccCode,Subj_BldgSF&gt;0,ABS($J181-Subj_BldgSF)&lt;=Subj_BldgSF*Subj_SizeTol),ABS($J181-Subj_BldgSF),NA())</f>
        <v/>
      </c>
      <c r="AO181">
        <f>IF(ISNA(AN181),NA(),AN181+ROW()/10000000)</f>
        <v/>
      </c>
      <c r="AR181" s="1132">
        <f>IF(B181="","",IFERROR(INDEX(OCC_TABLE_DESC,MATCH(B181,OCC_TABLE_CODE,0)),"Unrecognized code"))</f>
        <v/>
      </c>
    </row>
    <row r="182">
      <c r="A182" s="703" t="inlineStr">
        <is>
          <t>P061</t>
        </is>
      </c>
      <c r="B182" s="695" t="n">
        <v>584</v>
      </c>
      <c r="C182" s="703" t="inlineStr">
        <is>
          <t>R0083935</t>
        </is>
      </c>
      <c r="D182" s="1195" t="inlineStr">
        <is>
          <t>(R0083935)</t>
        </is>
      </c>
      <c r="E182" s="703" t="inlineStr">
        <is>
          <t>Adams County</t>
        </is>
      </c>
      <c r="F182" s="703" t="inlineStr">
        <is>
          <t>CO</t>
        </is>
      </c>
      <c r="G182" s="703" t="inlineStr">
        <is>
          <t>Industrial</t>
        </is>
      </c>
      <c r="H182" s="1195"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1195"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1132">
        <f>IF(B182="","",IFERROR(INDEX(OCC_TABLE_DESC,MATCH(B182,OCC_TABLE_CODE,0)),"Unrecognized code"))</f>
        <v/>
      </c>
    </row>
    <row r="183">
      <c r="A183" s="703" t="inlineStr">
        <is>
          <t>P069</t>
        </is>
      </c>
      <c r="B183" s="695" t="n">
        <v>210</v>
      </c>
      <c r="C183" s="703" t="inlineStr">
        <is>
          <t>R0098223</t>
        </is>
      </c>
      <c r="D183" s="1195" t="inlineStr">
        <is>
          <t>(R0098223)</t>
        </is>
      </c>
      <c r="E183" s="703" t="inlineStr">
        <is>
          <t>Adams County</t>
        </is>
      </c>
      <c r="F183" s="703" t="inlineStr">
        <is>
          <t>CO</t>
        </is>
      </c>
      <c r="G183" s="703" t="inlineStr">
        <is>
          <t>Industrial</t>
        </is>
      </c>
      <c r="H183" s="1195"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1195"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1132">
        <f>IF(B183="","",IFERROR(INDEX(OCC_TABLE_DESC,MATCH(B183,OCC_TABLE_CODE,0)),"Unrecognized code"))</f>
        <v/>
      </c>
    </row>
    <row r="184">
      <c r="A184" s="703" t="inlineStr">
        <is>
          <t>P069</t>
        </is>
      </c>
      <c r="B184" s="695" t="n">
        <v>210</v>
      </c>
      <c r="C184" s="703" t="inlineStr">
        <is>
          <t>R0098223</t>
        </is>
      </c>
      <c r="D184" s="1195" t="inlineStr">
        <is>
          <t>(R0098223)</t>
        </is>
      </c>
      <c r="E184" s="703" t="inlineStr">
        <is>
          <t>Adams County</t>
        </is>
      </c>
      <c r="F184" s="703" t="inlineStr">
        <is>
          <t>CO</t>
        </is>
      </c>
      <c r="G184" s="703" t="inlineStr">
        <is>
          <t>Industrial</t>
        </is>
      </c>
      <c r="H184" s="1195"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1195" t="inlineStr">
        <is>
          <t>New 2024 row from WH Expenses 2026; NOI $1,005,999</t>
        </is>
      </c>
      <c r="AN184">
        <f>IF(AND($B184=Subj_OccCode,Subj_BldgSF&gt;0,ABS($J184-Subj_BldgSF)&lt;=Subj_BldgSF*Subj_SizeTol),ABS($J184-Subj_BldgSF),NA())</f>
        <v/>
      </c>
      <c r="AO184">
        <f>IF(ISNA(AN184),NA(),AN184+ROW()/10000000)</f>
        <v/>
      </c>
      <c r="AR184" s="1132">
        <f>IF(B184="","",IFERROR(INDEX(OCC_TABLE_DESC,MATCH(B184,OCC_TABLE_CODE,0)),"Unrecognized code"))</f>
        <v/>
      </c>
    </row>
    <row r="185">
      <c r="A185" s="703" t="inlineStr">
        <is>
          <t>P094</t>
        </is>
      </c>
      <c r="B185" s="695" t="n">
        <v>407</v>
      </c>
      <c r="C185" s="703" t="inlineStr">
        <is>
          <t>R0104122</t>
        </is>
      </c>
      <c r="D185" s="1195" t="inlineStr">
        <is>
          <t>550 W 53rd Pl</t>
        </is>
      </c>
      <c r="E185" s="703" t="inlineStr">
        <is>
          <t>Denver</t>
        </is>
      </c>
      <c r="F185" s="703" t="inlineStr">
        <is>
          <t>CO</t>
        </is>
      </c>
      <c r="G185" s="703" t="inlineStr">
        <is>
          <t>Industrial</t>
        </is>
      </c>
      <c r="H185" s="1195"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1195"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1132">
        <f>IF(B185="","",IFERROR(INDEX(OCC_TABLE_DESC,MATCH(B185,OCC_TABLE_CODE,0)),"Unrecognized code"))</f>
        <v/>
      </c>
    </row>
    <row r="186">
      <c r="A186" s="703" t="inlineStr">
        <is>
          <t>P095</t>
        </is>
      </c>
      <c r="B186" s="695" t="n">
        <v>386</v>
      </c>
      <c r="C186" s="703" t="inlineStr">
        <is>
          <t>R0086010</t>
        </is>
      </c>
      <c r="D186" s="1195" t="inlineStr">
        <is>
          <t>15413 E 18th Ave</t>
        </is>
      </c>
      <c r="E186" s="703" t="inlineStr">
        <is>
          <t>Aurora</t>
        </is>
      </c>
      <c r="F186" s="703" t="inlineStr">
        <is>
          <t>CO</t>
        </is>
      </c>
      <c r="G186" s="703" t="inlineStr">
        <is>
          <t>Self-Storage</t>
        </is>
      </c>
      <c r="H186" s="1195"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1195"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1132">
        <f>IF(B186="","",IFERROR(INDEX(OCC_TABLE_DESC,MATCH(B186,OCC_TABLE_CODE,0)),"Unrecognized code"))</f>
        <v/>
      </c>
    </row>
    <row r="187">
      <c r="A187" s="703" t="inlineStr">
        <is>
          <t>P096</t>
        </is>
      </c>
      <c r="B187" s="695" t="n">
        <v>407</v>
      </c>
      <c r="C187" s="703" t="inlineStr">
        <is>
          <t>R0083917</t>
        </is>
      </c>
      <c r="D187" s="1195" t="inlineStr">
        <is>
          <t>14701 E 38th Ave</t>
        </is>
      </c>
      <c r="E187" s="703" t="inlineStr">
        <is>
          <t>Aurora</t>
        </is>
      </c>
      <c r="F187" s="703" t="inlineStr">
        <is>
          <t>CO</t>
        </is>
      </c>
      <c r="G187" s="703" t="inlineStr">
        <is>
          <t>Industrial</t>
        </is>
      </c>
      <c r="H187" s="1195"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1195"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1132">
        <f>IF(B187="","",IFERROR(INDEX(OCC_TABLE_DESC,MATCH(B187,OCC_TABLE_CODE,0)),"Unrecognized code"))</f>
        <v/>
      </c>
    </row>
    <row r="188">
      <c r="A188" s="703" t="inlineStr">
        <is>
          <t>P097</t>
        </is>
      </c>
      <c r="B188" s="695" t="n">
        <v>210</v>
      </c>
      <c r="C188" s="703" t="inlineStr">
        <is>
          <t>R0137586</t>
        </is>
      </c>
      <c r="D188" s="1195" t="inlineStr">
        <is>
          <t>7273-7285 E 96th Ave</t>
        </is>
      </c>
      <c r="E188" s="703" t="inlineStr">
        <is>
          <t>Commerce City</t>
        </is>
      </c>
      <c r="F188" s="703" t="inlineStr">
        <is>
          <t>CO</t>
        </is>
      </c>
      <c r="G188" s="703" t="inlineStr">
        <is>
          <t>Industrial</t>
        </is>
      </c>
      <c r="H188" s="1195"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1195"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1132">
        <f>IF(B188="","",IFERROR(INDEX(OCC_TABLE_DESC,MATCH(B188,OCC_TABLE_CODE,0)),"Unrecognized code"))</f>
        <v/>
      </c>
    </row>
    <row r="189">
      <c r="A189" s="703" t="inlineStr">
        <is>
          <t>P098</t>
        </is>
      </c>
      <c r="B189" s="695" t="n">
        <v>210</v>
      </c>
      <c r="C189" s="703" t="inlineStr">
        <is>
          <t>R0187010</t>
        </is>
      </c>
      <c r="D189" s="1195" t="inlineStr">
        <is>
          <t>8020 Steele St</t>
        </is>
      </c>
      <c r="E189" s="703" t="inlineStr">
        <is>
          <t>Denver</t>
        </is>
      </c>
      <c r="F189" s="703" t="inlineStr">
        <is>
          <t>CO</t>
        </is>
      </c>
      <c r="G189" s="703" t="inlineStr">
        <is>
          <t>Industrial</t>
        </is>
      </c>
      <c r="H189" s="1195"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1195"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1132">
        <f>IF(B189="","",IFERROR(INDEX(OCC_TABLE_DESC,MATCH(B189,OCC_TABLE_CODE,0)),"Unrecognized code"))</f>
        <v/>
      </c>
    </row>
    <row r="190">
      <c r="A190" s="703" t="inlineStr">
        <is>
          <t>P099</t>
        </is>
      </c>
      <c r="B190" s="695" t="n">
        <v>210</v>
      </c>
      <c r="C190" s="703" t="inlineStr">
        <is>
          <t>R0111914</t>
        </is>
      </c>
      <c r="D190" s="1195" t="inlineStr">
        <is>
          <t>1963 Jasper St</t>
        </is>
      </c>
      <c r="E190" s="703" t="inlineStr">
        <is>
          <t>Aurora</t>
        </is>
      </c>
      <c r="F190" s="703" t="inlineStr">
        <is>
          <t>CO</t>
        </is>
      </c>
      <c r="G190" s="703" t="inlineStr">
        <is>
          <t>Industrial</t>
        </is>
      </c>
      <c r="H190" s="1195"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1195"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1132">
        <f>IF(B190="","",IFERROR(INDEX(OCC_TABLE_DESC,MATCH(B190,OCC_TABLE_CODE,0)),"Unrecognized code"))</f>
        <v/>
      </c>
    </row>
    <row r="191">
      <c r="A191" s="703" t="inlineStr">
        <is>
          <t>P100</t>
        </is>
      </c>
      <c r="B191" s="695" t="n">
        <v>1332</v>
      </c>
      <c r="C191" s="703" t="inlineStr">
        <is>
          <t>R0111965</t>
        </is>
      </c>
      <c r="D191" s="1195" t="inlineStr">
        <is>
          <t>12101 Grant St</t>
        </is>
      </c>
      <c r="E191" s="703" t="inlineStr">
        <is>
          <t>Thornton</t>
        </is>
      </c>
      <c r="F191" s="703" t="inlineStr">
        <is>
          <t>CO</t>
        </is>
      </c>
      <c r="G191" s="703" t="inlineStr">
        <is>
          <t>Hospitality</t>
        </is>
      </c>
      <c r="H191" s="1195"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1195"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1132">
        <f>IF(B191="","",IFERROR(INDEX(OCC_TABLE_DESC,MATCH(B191,OCC_TABLE_CODE,0)),"Unrecognized code"))</f>
        <v/>
      </c>
    </row>
    <row r="192">
      <c r="A192" s="703" t="inlineStr">
        <is>
          <t>P101</t>
        </is>
      </c>
      <c r="B192" s="695" t="n">
        <v>332</v>
      </c>
      <c r="C192" s="703" t="inlineStr">
        <is>
          <t>R0202410</t>
        </is>
      </c>
      <c r="D192" s="1195" t="inlineStr">
        <is>
          <t>2556 Oswego St</t>
        </is>
      </c>
      <c r="E192" s="703" t="inlineStr">
        <is>
          <t>Aurora</t>
        </is>
      </c>
      <c r="F192" s="703" t="inlineStr">
        <is>
          <t>CO</t>
        </is>
      </c>
      <c r="G192" s="703" t="inlineStr">
        <is>
          <t>Hospitality</t>
        </is>
      </c>
      <c r="H192" s="1195"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1195"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1132">
        <f>IF(B192="","",IFERROR(INDEX(OCC_TABLE_DESC,MATCH(B192,OCC_TABLE_CODE,0)),"Unrecognized code"))</f>
        <v/>
      </c>
    </row>
    <row r="193">
      <c r="A193" s="703" t="inlineStr">
        <is>
          <t>P102</t>
        </is>
      </c>
      <c r="B193" s="695" t="n">
        <v>332</v>
      </c>
      <c r="C193" s="703" t="inlineStr">
        <is>
          <t>R0024498</t>
        </is>
      </c>
      <c r="D193" s="1195" t="inlineStr">
        <is>
          <t>83 E 120th Ave</t>
        </is>
      </c>
      <c r="E193" s="703" t="inlineStr">
        <is>
          <t>Thornton</t>
        </is>
      </c>
      <c r="F193" s="703" t="inlineStr">
        <is>
          <t>CO</t>
        </is>
      </c>
      <c r="G193" s="703" t="inlineStr">
        <is>
          <t>Hospitality</t>
        </is>
      </c>
      <c r="H193" s="1195"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1195"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1132">
        <f>IF(B193="","",IFERROR(INDEX(OCC_TABLE_DESC,MATCH(B193,OCC_TABLE_CODE,0)),"Unrecognized code"))</f>
        <v/>
      </c>
    </row>
    <row r="194">
      <c r="A194" s="703" t="inlineStr">
        <is>
          <t>P103</t>
        </is>
      </c>
      <c r="B194" s="695" t="n">
        <v>407</v>
      </c>
      <c r="C194" s="703" t="inlineStr">
        <is>
          <t>R0075212</t>
        </is>
      </c>
      <c r="D194" s="1195" t="inlineStr">
        <is>
          <t>10500 Havana Ct</t>
        </is>
      </c>
      <c r="E194" s="703" t="inlineStr">
        <is>
          <t>Commerce City</t>
        </is>
      </c>
      <c r="F194" s="703" t="inlineStr">
        <is>
          <t>CO</t>
        </is>
      </c>
      <c r="G194" s="703" t="inlineStr">
        <is>
          <t>Industrial</t>
        </is>
      </c>
      <c r="H194" s="1195"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1195" t="inlineStr">
        <is>
          <t>I&amp;E Survey 2024; NNN lease; owner-reported; 30,000 SF; no NOI computed (no EGI reported)</t>
        </is>
      </c>
      <c r="AN194">
        <f>IF(AND($B194=Subj_OccCode,Subj_BldgSF&gt;0,ABS($J194-Subj_BldgSF)&lt;=Subj_BldgSF*Subj_SizeTol),ABS($J194-Subj_BldgSF),NA())</f>
        <v/>
      </c>
      <c r="AO194">
        <f>IF(ISNA(AN194),NA(),AN194+ROW()/10000000)</f>
        <v/>
      </c>
      <c r="AR194" s="1132">
        <f>IF(B194="","",IFERROR(INDEX(OCC_TABLE_DESC,MATCH(B194,OCC_TABLE_CODE,0)),"Unrecognized code"))</f>
        <v/>
      </c>
    </row>
    <row r="195">
      <c r="A195" s="703" t="inlineStr">
        <is>
          <t>P089</t>
        </is>
      </c>
      <c r="B195" s="695" t="n">
        <v>407</v>
      </c>
      <c r="C195" s="703" t="inlineStr">
        <is>
          <t>R0180951</t>
        </is>
      </c>
      <c r="D195" s="1195" t="inlineStr">
        <is>
          <t>21200 E 36th Dr</t>
        </is>
      </c>
      <c r="E195" s="703" t="inlineStr">
        <is>
          <t>Aurora</t>
        </is>
      </c>
      <c r="F195" s="703" t="inlineStr">
        <is>
          <t>CO</t>
        </is>
      </c>
      <c r="G195" s="703" t="inlineStr">
        <is>
          <t>Industrial</t>
        </is>
      </c>
      <c r="H195" s="1195"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1195"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1132">
        <f>IF(B195="","",IFERROR(INDEX(OCC_TABLE_DESC,MATCH(B195,OCC_TABLE_CODE,0)),"Unrecognized code"))</f>
        <v/>
      </c>
    </row>
    <row r="196">
      <c r="A196" t="inlineStr">
        <is>
          <t>P104</t>
        </is>
      </c>
      <c r="B196" s="695" t="n">
        <v>210</v>
      </c>
      <c r="C196" t="inlineStr">
        <is>
          <t>R0226379</t>
        </is>
      </c>
      <c r="D196" s="1158" t="inlineStr">
        <is>
          <t>26100 E 68th Ave</t>
        </is>
      </c>
      <c r="E196" t="inlineStr">
        <is>
          <t>Aurora</t>
        </is>
      </c>
      <c r="F196" t="inlineStr">
        <is>
          <t>CO</t>
        </is>
      </c>
      <c r="G196" t="inlineStr">
        <is>
          <t>Industrial</t>
        </is>
      </c>
      <c r="H196" s="1158"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s="1158"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1132">
        <f>IF(B196="","",IFERROR(INDEX(OCC_TABLE_DESC,MATCH(B196,OCC_TABLE_CODE,0)),"Unrecognized code"))</f>
        <v/>
      </c>
    </row>
    <row r="197">
      <c r="A197" t="inlineStr">
        <is>
          <t>P104</t>
        </is>
      </c>
      <c r="B197" s="695" t="n">
        <v>210</v>
      </c>
      <c r="C197" t="inlineStr">
        <is>
          <t>R0226379</t>
        </is>
      </c>
      <c r="D197" s="1158" t="inlineStr">
        <is>
          <t>26100 E 68th Ave</t>
        </is>
      </c>
      <c r="E197" t="inlineStr">
        <is>
          <t>Aurora</t>
        </is>
      </c>
      <c r="F197" t="inlineStr">
        <is>
          <t>CO</t>
        </is>
      </c>
      <c r="G197" t="inlineStr">
        <is>
          <t>Industrial</t>
        </is>
      </c>
      <c r="H197" s="1158"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s="1158"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1132">
        <f>IF(B197="","",IFERROR(INDEX(OCC_TABLE_DESC,MATCH(B197,OCC_TABLE_CODE,0)),"Unrecognized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dataValidation>
    <dataValidation sqref="E4:E197" showDropDown="0" showInputMessage="0" showErrorMessage="0" allowBlank="1" type="list">
      <formula1>"Adams County,Arvada,Aurora,Commerce City,Denver,Henderson,Northglenn,Thornton,Westminster"</formula1>
    </dataValidation>
    <dataValidation sqref="F4:F197" showDropDown="0" showInputMessage="0" showErrorMessage="0" allowBlank="1" type="list">
      <formula1>"CO,Other"</formula1>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5.xml><?xml version="1.0" encoding="utf-8"?>
<worksheet xmlns="http://schemas.openxmlformats.org/spreadsheetml/2006/main">
  <sheetPr>
    <tabColor rgb="00D97706"/>
    <outlinePr summaryBelow="1" summaryRight="1"/>
    <pageSetUpPr/>
  </sheetPr>
  <dimension ref="A1:AM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4" customWidth="1" min="13" max="13"/>
    <col width="11.28515625" customWidth="1" min="14" max="14"/>
    <col width="11" customWidth="1" min="15" max="15"/>
    <col width="13" customWidth="1" min="16" max="16"/>
    <col width="13" customWidth="1" min="17" max="17"/>
    <col width="16" customWidth="1" min="18" max="18"/>
    <col width="13" customWidth="1" min="19" max="19"/>
    <col width="22" customWidth="1" min="20" max="20"/>
    <col width="10" customWidth="1" min="21" max="21"/>
    <col width="19" customWidth="1" min="22" max="22"/>
    <col width="21" customWidth="1" min="23" max="23"/>
    <col width="25" customWidth="1" min="24" max="24"/>
    <col width="11" customWidth="1" min="25" max="25"/>
    <col width="7" customWidth="1" min="26" max="26"/>
    <col width="11" customWidth="1" min="27" max="27"/>
    <col width="13" customWidth="1" min="28" max="28"/>
    <col width="21" customWidth="1" min="29" max="29"/>
    <col width="15" customWidth="1" min="30" max="30"/>
    <col width="10" customWidth="1" min="31" max="31"/>
    <col width="17" customWidth="1" min="32" max="32"/>
    <col width="20" customWidth="1" min="33" max="33"/>
    <col width="25" customWidth="1" min="34" max="34"/>
    <col width="19" customWidth="1" min="35" max="35"/>
    <col width="25" customWidth="1" min="36" max="36"/>
    <col width="11" customWidth="1" min="37" max="37"/>
    <col width="16" customWidth="1" min="38" max="38"/>
    <col width="52" customWidth="1" min="39" max="39"/>
  </cols>
  <sheetData>
    <row r="1" ht="20.1" customHeight="1">
      <c r="A1" s="1140" t="inlineStr">
        <is>
          <t>COMMERCIAL PROPERTY EXPENSE DATABASE - PSF SUMMARY  ($/SF)</t>
        </is>
      </c>
    </row>
    <row r="2" ht="14.1" customHeight="1">
      <c r="A2" s="1227" t="inlineStr">
        <is>
          <t>Figures in $/SF of building area  |  Rows with no BldgSF show raw dollar amounts flagged [NO SF]  |  Text/ID fields copied from Expense Database</t>
        </is>
      </c>
    </row>
    <row r="3" ht="32.1" customHeight="1">
      <c r="A3" s="1141" t="inlineStr">
        <is>
          <t>Prop ID</t>
        </is>
      </c>
      <c r="B3" s="1131" t="inlineStr">
        <is>
          <t>Occ Code</t>
        </is>
      </c>
      <c r="C3" s="1141" t="inlineStr">
        <is>
          <t>Account #</t>
        </is>
      </c>
      <c r="D3" s="1196" t="inlineStr">
        <is>
          <t>Address</t>
        </is>
      </c>
      <c r="E3" s="1141" t="inlineStr">
        <is>
          <t>City</t>
        </is>
      </c>
      <c r="F3" s="1141" t="inlineStr">
        <is>
          <t>State</t>
        </is>
      </c>
      <c r="G3" s="1141" t="inlineStr">
        <is>
          <t>Prop Type</t>
        </is>
      </c>
      <c r="H3" s="1196" t="inlineStr">
        <is>
          <t>Subtype</t>
        </is>
      </c>
      <c r="I3" s="1141" t="inlineStr">
        <is>
          <t>Year Built</t>
        </is>
      </c>
      <c r="J3" s="1141" t="inlineStr">
        <is>
          <t>Bldg SF</t>
        </is>
      </c>
      <c r="K3" s="1141" t="inlineStr">
        <is>
          <t>Year</t>
        </is>
      </c>
      <c r="L3" s="1141" t="inlineStr">
        <is>
          <t>Gross Rental Income</t>
        </is>
      </c>
      <c r="M3" s="1141" t="inlineStr">
        <is>
          <t>Other Income</t>
        </is>
      </c>
      <c r="N3" s="1141" t="inlineStr">
        <is>
          <t>EGI</t>
        </is>
      </c>
      <c r="O3" s="1141" t="inlineStr">
        <is>
          <t>Insurance</t>
        </is>
      </c>
      <c r="P3" s="1141" t="inlineStr">
        <is>
          <t>Mgmt/Admin</t>
        </is>
      </c>
      <c r="Q3" s="1141" t="inlineStr">
        <is>
          <t>Plumbing R&amp;M</t>
        </is>
      </c>
      <c r="R3" s="1141" t="inlineStr">
        <is>
          <t>Electrical R&amp;M</t>
        </is>
      </c>
      <c r="S3" s="1141" t="inlineStr">
        <is>
          <t>Exterior R&amp;M</t>
        </is>
      </c>
      <c r="T3" s="1141" t="inlineStr">
        <is>
          <t>Fire/Life Safety R&amp;M</t>
        </is>
      </c>
      <c r="U3" s="1141" t="inlineStr">
        <is>
          <t>HVAC R&amp;M</t>
        </is>
      </c>
      <c r="V3" s="1141" t="inlineStr">
        <is>
          <t>Interior Unit R&amp;M</t>
        </is>
      </c>
      <c r="W3" s="1141" t="inlineStr">
        <is>
          <t>Interior Common R&amp;M</t>
        </is>
      </c>
      <c r="X3" s="1141" t="inlineStr">
        <is>
          <t>General Maint &amp; Repairs</t>
        </is>
      </c>
      <c r="Y3" s="1141" t="inlineStr">
        <is>
          <t>Total R&amp;M</t>
        </is>
      </c>
      <c r="Z3" s="1141" t="inlineStr">
        <is>
          <t>Trash</t>
        </is>
      </c>
      <c r="AA3" s="1141" t="inlineStr">
        <is>
          <t>Landscape</t>
        </is>
      </c>
      <c r="AB3" s="1141" t="inlineStr">
        <is>
          <t>Snow Removal</t>
        </is>
      </c>
      <c r="AC3" s="1141" t="inlineStr">
        <is>
          <t>Total Contract Svcs</t>
        </is>
      </c>
      <c r="AD3" s="1141" t="inlineStr">
        <is>
          <t>Water &amp; Sewer</t>
        </is>
      </c>
      <c r="AE3" s="1141" t="inlineStr">
        <is>
          <t>Electric</t>
        </is>
      </c>
      <c r="AF3" s="1141" t="inlineStr">
        <is>
          <t>Total Utilities</t>
        </is>
      </c>
      <c r="AG3" s="1141" t="inlineStr">
        <is>
          <t>Other/Admin (Misc)</t>
        </is>
      </c>
      <c r="AH3" s="1141" t="inlineStr">
        <is>
          <t>Total OPX excl RE Taxes</t>
        </is>
      </c>
      <c r="AI3" s="1141" t="inlineStr">
        <is>
          <t>Real Estate Taxes</t>
        </is>
      </c>
      <c r="AJ3" s="1141" t="inlineStr">
        <is>
          <t>Total OPX incl RE Taxes</t>
        </is>
      </c>
      <c r="AK3" s="1141" t="inlineStr">
        <is>
          <t>NOI</t>
        </is>
      </c>
      <c r="AL3" s="1141" t="inlineStr">
        <is>
          <t>CapEx (non-op)</t>
        </is>
      </c>
      <c r="AM3" s="1196" t="inlineStr">
        <is>
          <t>Notes</t>
        </is>
      </c>
    </row>
    <row r="4" ht="14.1" customHeight="1">
      <c r="A4" s="1228" t="inlineStr">
        <is>
          <t>P001</t>
        </is>
      </c>
      <c r="B4" s="695" t="n">
        <v>407</v>
      </c>
      <c r="C4" s="1228" t="inlineStr">
        <is>
          <t>R0157664</t>
        </is>
      </c>
      <c r="D4" s="1229" t="inlineStr">
        <is>
          <t>6045 E. 76th Avenue</t>
        </is>
      </c>
      <c r="E4" s="1228" t="inlineStr">
        <is>
          <t>Commerce City</t>
        </is>
      </c>
      <c r="F4" s="1228" t="inlineStr">
        <is>
          <t>CO</t>
        </is>
      </c>
      <c r="G4" s="1228" t="inlineStr">
        <is>
          <t>Light Industrial</t>
        </is>
      </c>
      <c r="H4" s="1229" t="inlineStr">
        <is>
          <t>Distribution Warehouse</t>
        </is>
      </c>
      <c r="I4" s="1230" t="n">
        <v>1988</v>
      </c>
      <c r="J4" s="1230" t="n">
        <v>21000</v>
      </c>
      <c r="K4" s="1230" t="n">
        <v>2021</v>
      </c>
      <c r="L4" s="1231" t="n">
        <v>13.465</v>
      </c>
      <c r="M4" s="1231" t="n">
        <v>0.3034</v>
      </c>
      <c r="N4" s="1231" t="n">
        <v>13.7684</v>
      </c>
      <c r="O4" s="1231" t="n">
        <v>0.233</v>
      </c>
      <c r="P4" s="1231" t="n">
        <v>0</v>
      </c>
      <c r="Q4" s="1231" t="n">
        <v>0.0545</v>
      </c>
      <c r="R4" s="1231" t="n">
        <v>0</v>
      </c>
      <c r="S4" s="1231" t="n">
        <v>0.0095</v>
      </c>
      <c r="T4" s="1231" t="n">
        <v>0</v>
      </c>
      <c r="U4" s="1231" t="n">
        <v>0.0133</v>
      </c>
      <c r="V4" s="1231" t="n">
        <v>0.0403</v>
      </c>
      <c r="W4" s="1231" t="n">
        <v>0.1392</v>
      </c>
      <c r="X4" s="1231" t="n">
        <v>0</v>
      </c>
      <c r="Y4" s="1231" t="n">
        <v>0.2567</v>
      </c>
      <c r="Z4" s="1231" t="n">
        <v>0.3195</v>
      </c>
      <c r="AA4" s="1231" t="n">
        <v>0.1845</v>
      </c>
      <c r="AB4" s="1231" t="n">
        <v>0.0414</v>
      </c>
      <c r="AC4" s="1231" t="n">
        <v>0.5455</v>
      </c>
      <c r="AD4" s="1231" t="n">
        <v>0.1593</v>
      </c>
      <c r="AE4" s="1231" t="n">
        <v>0.0309</v>
      </c>
      <c r="AF4" s="1231" t="n">
        <v>0.1901</v>
      </c>
      <c r="AG4" s="1231" t="n">
        <v>0.0363</v>
      </c>
      <c r="AH4" s="1231" t="n">
        <v>1.2626</v>
      </c>
      <c r="AI4" s="1231" t="n">
        <v>2.2983</v>
      </c>
      <c r="AJ4" s="1231" t="n">
        <v>3.5609</v>
      </c>
      <c r="AK4" s="1231" t="n">
        <v>10.2075</v>
      </c>
      <c r="AL4" s="1231" t="n">
        <v>0.1258</v>
      </c>
      <c r="AM4" s="1229" t="inlineStr">
        <is>
          <t>2021: other income = damages $2,392 + misc $3,863 + interest $117</t>
        </is>
      </c>
    </row>
    <row r="5" ht="14.1" customHeight="1">
      <c r="A5" s="696" t="inlineStr">
        <is>
          <t>P001</t>
        </is>
      </c>
      <c r="B5" s="695" t="n">
        <v>407</v>
      </c>
      <c r="C5" s="696" t="inlineStr">
        <is>
          <t>R0157664</t>
        </is>
      </c>
      <c r="D5" s="1195" t="inlineStr">
        <is>
          <t>6045 E. 76th Avenue</t>
        </is>
      </c>
      <c r="E5" s="696" t="inlineStr">
        <is>
          <t>Commerce City</t>
        </is>
      </c>
      <c r="F5" s="696" t="inlineStr">
        <is>
          <t>CO</t>
        </is>
      </c>
      <c r="G5" s="696" t="inlineStr">
        <is>
          <t>Light Industrial</t>
        </is>
      </c>
      <c r="H5" s="1195"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1195" t="inlineStr">
        <is>
          <t>2022: other income = damages $500 + misc $2,500; CapEx unit interior</t>
        </is>
      </c>
    </row>
    <row r="6" ht="14.1" customHeight="1">
      <c r="A6" s="1228" t="inlineStr">
        <is>
          <t>P001</t>
        </is>
      </c>
      <c r="B6" s="695" t="n">
        <v>407</v>
      </c>
      <c r="C6" s="1228" t="inlineStr">
        <is>
          <t>R0157664</t>
        </is>
      </c>
      <c r="D6" s="1229" t="inlineStr">
        <is>
          <t>6045 E. 76th Avenue</t>
        </is>
      </c>
      <c r="E6" s="1228" t="inlineStr">
        <is>
          <t>Commerce City</t>
        </is>
      </c>
      <c r="F6" s="1228" t="inlineStr">
        <is>
          <t>CO</t>
        </is>
      </c>
      <c r="G6" s="1228" t="inlineStr">
        <is>
          <t>Light Industrial</t>
        </is>
      </c>
      <c r="H6" s="1229" t="inlineStr">
        <is>
          <t>Distribution Warehouse</t>
        </is>
      </c>
      <c r="I6" s="1230" t="n">
        <v>1988</v>
      </c>
      <c r="J6" s="1230" t="n">
        <v>21000</v>
      </c>
      <c r="K6" s="1230" t="n">
        <v>2023</v>
      </c>
      <c r="L6" s="1231" t="n">
        <v>12.2</v>
      </c>
      <c r="M6" s="1231" t="n">
        <v>0</v>
      </c>
      <c r="N6" s="1231" t="n">
        <v>12.2</v>
      </c>
      <c r="O6" s="1231" t="n">
        <v>0.2794</v>
      </c>
      <c r="P6" s="1231" t="n">
        <v>0.0381</v>
      </c>
      <c r="Q6" s="1231" t="n">
        <v>0.0521</v>
      </c>
      <c r="R6" s="1231" t="n">
        <v>0.0471</v>
      </c>
      <c r="S6" s="1231" t="n">
        <v>0</v>
      </c>
      <c r="T6" s="1231" t="n">
        <v>0.1843</v>
      </c>
      <c r="U6" s="1231" t="n">
        <v>0.0229</v>
      </c>
      <c r="V6" s="1231" t="n">
        <v>0.0294</v>
      </c>
      <c r="W6" s="1231" t="n">
        <v>0</v>
      </c>
      <c r="X6" s="1231" t="n">
        <v>0.0229</v>
      </c>
      <c r="Y6" s="1231" t="n">
        <v>0.3587</v>
      </c>
      <c r="Z6" s="1231" t="n">
        <v>0.4553</v>
      </c>
      <c r="AA6" s="1231" t="n">
        <v>0.1048</v>
      </c>
      <c r="AB6" s="1231" t="n">
        <v>0.1333</v>
      </c>
      <c r="AC6" s="1231" t="n">
        <v>0.6934</v>
      </c>
      <c r="AD6" s="1231" t="n">
        <v>0.3387</v>
      </c>
      <c r="AE6" s="1231" t="n">
        <v>0.0362</v>
      </c>
      <c r="AF6" s="1231" t="n">
        <v>0.3749</v>
      </c>
      <c r="AG6" s="1231" t="n">
        <v>0.0285</v>
      </c>
      <c r="AH6" s="1231" t="n">
        <v>1.5216</v>
      </c>
      <c r="AI6" s="1231" t="n">
        <v>2.8565</v>
      </c>
      <c r="AJ6" s="1231" t="n">
        <v>4.378</v>
      </c>
      <c r="AK6" s="1231" t="n">
        <v>7.822</v>
      </c>
      <c r="AL6" s="1231" t="n">
        <v>0</v>
      </c>
      <c r="AM6" s="1232" t="n"/>
    </row>
    <row r="7" ht="14.1" customHeight="1">
      <c r="A7" s="696" t="inlineStr">
        <is>
          <t>P001</t>
        </is>
      </c>
      <c r="B7" s="695" t="n">
        <v>407</v>
      </c>
      <c r="C7" s="696" t="inlineStr">
        <is>
          <t>R0157664</t>
        </is>
      </c>
      <c r="D7" s="1195" t="inlineStr">
        <is>
          <t>6045 E. 76th Avenue</t>
        </is>
      </c>
      <c r="E7" s="696" t="inlineStr">
        <is>
          <t>Commerce City</t>
        </is>
      </c>
      <c r="F7" s="696" t="inlineStr">
        <is>
          <t>CO</t>
        </is>
      </c>
      <c r="G7" s="696" t="inlineStr">
        <is>
          <t>Light Industrial</t>
        </is>
      </c>
      <c r="H7" s="1195"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1142" t="inlineStr">
        <is>
          <t>P002</t>
        </is>
      </c>
      <c r="B8" s="695" t="n">
        <v>344</v>
      </c>
      <c r="C8" s="1142" t="inlineStr">
        <is>
          <t>Unknown</t>
        </is>
      </c>
      <c r="D8" s="1198" t="inlineStr">
        <is>
          <t>13659 E. 104th Ave</t>
        </is>
      </c>
      <c r="E8" s="1142" t="inlineStr">
        <is>
          <t>Adams County</t>
        </is>
      </c>
      <c r="F8" s="1142" t="inlineStr">
        <is>
          <t>CO</t>
        </is>
      </c>
      <c r="G8" s="1142" t="inlineStr">
        <is>
          <t>Office/Commercial</t>
        </is>
      </c>
      <c r="H8" s="1198" t="inlineStr">
        <is>
          <t>Multi-tenant</t>
        </is>
      </c>
      <c r="I8" s="1143" t="n"/>
      <c r="J8" s="1143" t="n"/>
      <c r="K8" s="1143" t="n">
        <v>2023</v>
      </c>
      <c r="L8" s="1142" t="n"/>
      <c r="M8" s="1142" t="n"/>
      <c r="N8" s="1144" t="n">
        <v>258808</v>
      </c>
      <c r="O8" s="1144" t="n">
        <v>3292</v>
      </c>
      <c r="P8" s="1144" t="n">
        <v>18539</v>
      </c>
      <c r="Q8" s="1142" t="n"/>
      <c r="R8" s="1142" t="n"/>
      <c r="S8" s="1142" t="n"/>
      <c r="T8" s="1142" t="n"/>
      <c r="U8" s="1142" t="n"/>
      <c r="V8" s="1142" t="n"/>
      <c r="W8" s="1142" t="n"/>
      <c r="X8" s="1144" t="n">
        <v>24750</v>
      </c>
      <c r="Y8" s="1144" t="n">
        <v>24750</v>
      </c>
      <c r="Z8" s="1142" t="n"/>
      <c r="AA8" s="1144" t="n">
        <v>13331</v>
      </c>
      <c r="AB8" s="1142" t="n"/>
      <c r="AC8" s="1144" t="n">
        <v>13331</v>
      </c>
      <c r="AD8" s="1142" t="n"/>
      <c r="AE8" s="1142" t="n"/>
      <c r="AF8" s="1144" t="n">
        <v>3990</v>
      </c>
      <c r="AG8" s="1144" t="n">
        <v>11264</v>
      </c>
      <c r="AH8" s="1144" t="n">
        <v>75327</v>
      </c>
      <c r="AI8" s="1144" t="n">
        <v>51707</v>
      </c>
      <c r="AJ8" s="1144" t="n">
        <v>127034</v>
      </c>
      <c r="AK8" s="1144" t="n">
        <v>131774</v>
      </c>
      <c r="AL8" s="1142" t="n"/>
      <c r="AM8" s="1198" t="inlineStr">
        <is>
          <t>[NO SF] Insurance: $3,292; Mgmt fee $13,242 + asset mgmt $5,297; Professional svcs $11,264; actuals from BAA operating statement</t>
        </is>
      </c>
    </row>
    <row r="9" ht="14.1" customHeight="1">
      <c r="A9" s="1142" t="inlineStr">
        <is>
          <t>P002</t>
        </is>
      </c>
      <c r="B9" s="695" t="n">
        <v>344</v>
      </c>
      <c r="C9" s="1142" t="inlineStr">
        <is>
          <t>Unknown</t>
        </is>
      </c>
      <c r="D9" s="1198" t="inlineStr">
        <is>
          <t>13659 E. 104th Ave</t>
        </is>
      </c>
      <c r="E9" s="1142" t="inlineStr">
        <is>
          <t>Adams County</t>
        </is>
      </c>
      <c r="F9" s="1142" t="inlineStr">
        <is>
          <t>CO</t>
        </is>
      </c>
      <c r="G9" s="1142" t="inlineStr">
        <is>
          <t>Office/Commercial</t>
        </is>
      </c>
      <c r="H9" s="1198" t="inlineStr">
        <is>
          <t>Multi-tenant</t>
        </is>
      </c>
      <c r="I9" s="1143" t="n"/>
      <c r="J9" s="1143" t="n"/>
      <c r="K9" s="1143" t="n">
        <v>2024</v>
      </c>
      <c r="L9" s="1142" t="n"/>
      <c r="M9" s="1142" t="n"/>
      <c r="N9" s="1144" t="n">
        <v>264959</v>
      </c>
      <c r="O9" s="1144" t="n">
        <v>7442</v>
      </c>
      <c r="P9" s="1144" t="n">
        <v>18228</v>
      </c>
      <c r="Q9" s="1142" t="n"/>
      <c r="R9" s="1142" t="n"/>
      <c r="S9" s="1142" t="n"/>
      <c r="T9" s="1142" t="n"/>
      <c r="U9" s="1142" t="n"/>
      <c r="V9" s="1142" t="n"/>
      <c r="W9" s="1142" t="n"/>
      <c r="X9" s="1144" t="n">
        <v>37394</v>
      </c>
      <c r="Y9" s="1144" t="n">
        <v>37394</v>
      </c>
      <c r="Z9" s="1142" t="n"/>
      <c r="AA9" s="1144" t="n">
        <v>11888</v>
      </c>
      <c r="AB9" s="1142" t="n"/>
      <c r="AC9" s="1144" t="n">
        <v>11888</v>
      </c>
      <c r="AD9" s="1142" t="n"/>
      <c r="AE9" s="1142" t="n"/>
      <c r="AF9" s="1144" t="n">
        <v>5290</v>
      </c>
      <c r="AG9" s="1144" t="n">
        <v>13341</v>
      </c>
      <c r="AH9" s="1144" t="n">
        <v>93583</v>
      </c>
      <c r="AI9" s="1144" t="n">
        <v>44649</v>
      </c>
      <c r="AJ9" s="1144" t="n">
        <v>138232</v>
      </c>
      <c r="AK9" s="1144" t="n">
        <v>126727</v>
      </c>
      <c r="AL9" s="1142" t="n"/>
      <c r="AM9" s="1198" t="inlineStr">
        <is>
          <t>[NO SF] Insurance $7,442; Mgmt fee $13,020 + asset mgmt $5,208; Prof svcs $13,341; Utilities: gas/elec $1,091 + water/sewer $4,199</t>
        </is>
      </c>
    </row>
    <row r="10" ht="14.1" customHeight="1">
      <c r="A10" s="1142" t="inlineStr">
        <is>
          <t>P003</t>
        </is>
      </c>
      <c r="B10" s="695" t="n">
        <v>344</v>
      </c>
      <c r="C10" s="1142" t="inlineStr">
        <is>
          <t>R0024063</t>
        </is>
      </c>
      <c r="D10" s="1198" t="inlineStr">
        <is>
          <t>Park Centre - Wells Fargo Bldg</t>
        </is>
      </c>
      <c r="E10" s="1142" t="inlineStr">
        <is>
          <t>Westminster</t>
        </is>
      </c>
      <c r="F10" s="1142" t="inlineStr">
        <is>
          <t>CO</t>
        </is>
      </c>
      <c r="G10" s="1142" t="inlineStr">
        <is>
          <t>Office</t>
        </is>
      </c>
      <c r="H10" s="1198" t="inlineStr">
        <is>
          <t>Class B Multi-tenant</t>
        </is>
      </c>
      <c r="I10" s="1143" t="n"/>
      <c r="J10" s="1143" t="n">
        <v>49479</v>
      </c>
      <c r="K10" s="1143" t="n">
        <v>2023</v>
      </c>
      <c r="L10" s="1146" t="n">
        <v>20.5729</v>
      </c>
      <c r="M10" s="1146" t="n">
        <v>1.8912</v>
      </c>
      <c r="N10" s="1146" t="n">
        <v>22.4641</v>
      </c>
      <c r="O10" s="1142" t="n"/>
      <c r="P10" s="1142" t="n"/>
      <c r="Q10" s="1142" t="n"/>
      <c r="R10" s="1142" t="n"/>
      <c r="S10" s="1142" t="n"/>
      <c r="T10" s="1142" t="n"/>
      <c r="U10" s="1142" t="n"/>
      <c r="V10" s="1142" t="n"/>
      <c r="W10" s="1142" t="n"/>
      <c r="X10" s="1142" t="n"/>
      <c r="Y10" s="1142" t="n"/>
      <c r="Z10" s="1142" t="n"/>
      <c r="AA10" s="1142" t="n"/>
      <c r="AB10" s="1142" t="n"/>
      <c r="AC10" s="1142" t="n"/>
      <c r="AD10" s="1142" t="n"/>
      <c r="AE10" s="1142" t="n"/>
      <c r="AF10" s="1142" t="n"/>
      <c r="AG10" s="1142" t="n"/>
      <c r="AH10" s="1146" t="n">
        <v>9.165100000000001</v>
      </c>
      <c r="AI10" s="1146" t="n">
        <v>3.7364</v>
      </c>
      <c r="AJ10" s="1146" t="n">
        <v>12.9015</v>
      </c>
      <c r="AK10" s="1146" t="n">
        <v>9.5626</v>
      </c>
      <c r="AL10" s="1142" t="n"/>
      <c r="AM10" s="1198" t="inlineStr">
        <is>
          <t>Westfield managed; recoveries $49,658 + other $43,917 = $93,575; OpEx BT per PROFORMA REVISED.xlsx</t>
        </is>
      </c>
    </row>
    <row r="11" ht="14.1" customHeight="1">
      <c r="A11" s="1142" t="inlineStr">
        <is>
          <t>P003</t>
        </is>
      </c>
      <c r="B11" s="695" t="n">
        <v>344</v>
      </c>
      <c r="C11" s="1142" t="inlineStr">
        <is>
          <t>R0024063</t>
        </is>
      </c>
      <c r="D11" s="1198" t="inlineStr">
        <is>
          <t>Park Centre - Wells Fargo Bldg</t>
        </is>
      </c>
      <c r="E11" s="1142" t="inlineStr">
        <is>
          <t>Westminster</t>
        </is>
      </c>
      <c r="F11" s="1142" t="inlineStr">
        <is>
          <t>CO</t>
        </is>
      </c>
      <c r="G11" s="1142" t="inlineStr">
        <is>
          <t>Office</t>
        </is>
      </c>
      <c r="H11" s="1198" t="inlineStr">
        <is>
          <t>Class B Multi-tenant</t>
        </is>
      </c>
      <c r="I11" s="1143" t="n"/>
      <c r="J11" s="1143" t="n">
        <v>49479</v>
      </c>
      <c r="K11" s="1143" t="n">
        <v>2024</v>
      </c>
      <c r="L11" s="1146" t="n">
        <v>19.0796</v>
      </c>
      <c r="M11" s="1146" t="n">
        <v>1.5757</v>
      </c>
      <c r="N11" s="1146" t="n">
        <v>20.6553</v>
      </c>
      <c r="O11" s="1142" t="n"/>
      <c r="P11" s="1142" t="n"/>
      <c r="Q11" s="1142" t="n"/>
      <c r="R11" s="1142" t="n"/>
      <c r="S11" s="1142" t="n"/>
      <c r="T11" s="1142" t="n"/>
      <c r="U11" s="1142" t="n"/>
      <c r="V11" s="1142" t="n"/>
      <c r="W11" s="1142" t="n"/>
      <c r="X11" s="1142" t="n"/>
      <c r="Y11" s="1142" t="n"/>
      <c r="Z11" s="1142" t="n"/>
      <c r="AA11" s="1142" t="n"/>
      <c r="AB11" s="1142" t="n"/>
      <c r="AC11" s="1142" t="n"/>
      <c r="AD11" s="1142" t="n"/>
      <c r="AE11" s="1142" t="n"/>
      <c r="AF11" s="1142" t="n"/>
      <c r="AG11" s="1142" t="n"/>
      <c r="AH11" s="1146" t="n">
        <v>9.867599999999999</v>
      </c>
      <c r="AI11" s="1146" t="n">
        <v>3.6292</v>
      </c>
      <c r="AJ11" s="1146" t="n">
        <v>13.4968</v>
      </c>
      <c r="AK11" s="1146" t="n">
        <v>7.1585</v>
      </c>
      <c r="AL11" s="1142" t="n"/>
      <c r="AM11" s="1198" t="inlineStr">
        <is>
          <t>Recoveries $21,696 + other $56,266; OpEx BT per PROFORMA REVISED.xlsx; NOI decline reflects higher vacancy</t>
        </is>
      </c>
    </row>
    <row r="12" ht="14.1" customHeight="1">
      <c r="A12" s="1228" t="inlineStr">
        <is>
          <t>P004</t>
        </is>
      </c>
      <c r="B12" s="695" t="n">
        <v>412</v>
      </c>
      <c r="C12" s="1228" t="inlineStr">
        <is>
          <t>R0050221</t>
        </is>
      </c>
      <c r="D12" s="1229" t="inlineStr">
        <is>
          <t>8860 Federal Blvd</t>
        </is>
      </c>
      <c r="E12" s="1228" t="inlineStr">
        <is>
          <t>Adams County</t>
        </is>
      </c>
      <c r="F12" s="1228" t="inlineStr">
        <is>
          <t>CO</t>
        </is>
      </c>
      <c r="G12" s="1228" t="inlineStr">
        <is>
          <t>Retail</t>
        </is>
      </c>
      <c r="H12" s="1229" t="inlineStr">
        <is>
          <t>Strip/Multi-tenant</t>
        </is>
      </c>
      <c r="I12" s="1230" t="n"/>
      <c r="J12" s="1230" t="n">
        <v>65850</v>
      </c>
      <c r="K12" s="1230" t="n">
        <v>2023</v>
      </c>
      <c r="L12" s="1228" t="n"/>
      <c r="M12" s="1228" t="n"/>
      <c r="N12" s="1231" t="n">
        <v>8.6678</v>
      </c>
      <c r="O12" s="1228" t="n"/>
      <c r="P12" s="1228" t="n"/>
      <c r="Q12" s="1228" t="n"/>
      <c r="R12" s="1228" t="n"/>
      <c r="S12" s="1228" t="n"/>
      <c r="T12" s="1228" t="n"/>
      <c r="U12" s="1228" t="n"/>
      <c r="V12" s="1228" t="n"/>
      <c r="W12" s="1228" t="n"/>
      <c r="X12" s="1228" t="n"/>
      <c r="Y12" s="1228" t="n"/>
      <c r="Z12" s="1228" t="n"/>
      <c r="AA12" s="1228" t="n"/>
      <c r="AB12" s="1228" t="n"/>
      <c r="AC12" s="1228" t="n"/>
      <c r="AD12" s="1228" t="n"/>
      <c r="AE12" s="1228" t="n"/>
      <c r="AF12" s="1228" t="n"/>
      <c r="AG12" s="1228" t="n"/>
      <c r="AH12" s="1228" t="n"/>
      <c r="AI12" s="1231" t="n">
        <v>1.1238</v>
      </c>
      <c r="AJ12" s="1231" t="n">
        <v>4.0992</v>
      </c>
      <c r="AK12" s="1231" t="n">
        <v>4.5686</v>
      </c>
      <c r="AL12" s="1228" t="n"/>
      <c r="AM12" s="1229" t="inlineStr">
        <is>
          <t>RE Tax estimated ~$74k (2023 not detailed); Total OpEx per actuals submission; NOI confirmed</t>
        </is>
      </c>
    </row>
    <row r="13" ht="14.1" customHeight="1">
      <c r="A13" s="696" t="inlineStr">
        <is>
          <t>P004</t>
        </is>
      </c>
      <c r="B13" s="695" t="n">
        <v>412</v>
      </c>
      <c r="C13" s="696" t="inlineStr">
        <is>
          <t>R0050221</t>
        </is>
      </c>
      <c r="D13" s="1195" t="inlineStr">
        <is>
          <t>8860 Federal Blvd</t>
        </is>
      </c>
      <c r="E13" s="696" t="inlineStr">
        <is>
          <t>Adams County</t>
        </is>
      </c>
      <c r="F13" s="696" t="inlineStr">
        <is>
          <t>CO</t>
        </is>
      </c>
      <c r="G13" s="696" t="inlineStr">
        <is>
          <t>Retail</t>
        </is>
      </c>
      <c r="H13" s="1195"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1195" t="inlineStr">
        <is>
          <t>Detailed 2024 actuals; R&amp;M includes CAM component $261; insurance unusually high at $51,223; drainage/lighting included in Other</t>
        </is>
      </c>
    </row>
    <row r="14" ht="14.1" customHeight="1">
      <c r="A14" s="1142" t="inlineStr">
        <is>
          <t>P005</t>
        </is>
      </c>
      <c r="B14" s="695" t="n">
        <v>344</v>
      </c>
      <c r="C14" s="1142" t="inlineStr">
        <is>
          <t>R0050977</t>
        </is>
      </c>
      <c r="D14" s="1198" t="inlineStr">
        <is>
          <t>9351 Grant St (Horizon Terrace)</t>
        </is>
      </c>
      <c r="E14" s="1142" t="inlineStr">
        <is>
          <t>Thornton</t>
        </is>
      </c>
      <c r="F14" s="1142" t="inlineStr">
        <is>
          <t>CO</t>
        </is>
      </c>
      <c r="G14" s="1142" t="inlineStr">
        <is>
          <t>Office</t>
        </is>
      </c>
      <c r="H14" s="1198" t="inlineStr">
        <is>
          <t>Class B Multi-story</t>
        </is>
      </c>
      <c r="I14" s="1143" t="n"/>
      <c r="J14" s="1143" t="n">
        <v>91646</v>
      </c>
      <c r="K14" s="1143" t="n">
        <v>2023</v>
      </c>
      <c r="L14" s="1146" t="n">
        <v>21.9536</v>
      </c>
      <c r="M14" s="1146" t="n">
        <v>2.4799</v>
      </c>
      <c r="N14" s="1146" t="n">
        <v>24.4335</v>
      </c>
      <c r="O14" s="1146" t="n">
        <v>0.2665</v>
      </c>
      <c r="P14" s="1146" t="n">
        <v>1.4405</v>
      </c>
      <c r="Q14" s="1142" t="n"/>
      <c r="R14" s="1142" t="n"/>
      <c r="S14" s="1142" t="n"/>
      <c r="T14" s="1142" t="n"/>
      <c r="U14" s="1142" t="n"/>
      <c r="V14" s="1142" t="n"/>
      <c r="W14" s="1142" t="n"/>
      <c r="X14" s="1146" t="n">
        <v>1.5772</v>
      </c>
      <c r="Y14" s="1146" t="n">
        <v>1.5772</v>
      </c>
      <c r="Z14" s="1142" t="n"/>
      <c r="AA14" s="1146" t="n">
        <v>1.1869</v>
      </c>
      <c r="AB14" s="1146" t="n">
        <v>0.7112000000000001</v>
      </c>
      <c r="AC14" s="1146" t="n">
        <v>2.9825</v>
      </c>
      <c r="AD14" s="1146" t="n">
        <v>0.1611</v>
      </c>
      <c r="AE14" s="1146" t="n">
        <v>2.4615</v>
      </c>
      <c r="AF14" s="1146" t="n">
        <v>2.6226</v>
      </c>
      <c r="AG14" s="1146" t="n">
        <v>0.3593</v>
      </c>
      <c r="AH14" s="1146" t="n">
        <v>9.229100000000001</v>
      </c>
      <c r="AI14" s="1146" t="n">
        <v>4.0592</v>
      </c>
      <c r="AJ14" s="1146" t="n">
        <v>13.2884</v>
      </c>
      <c r="AK14" s="1146" t="n">
        <v>11.1451</v>
      </c>
      <c r="AL14" s="1142" t="n"/>
      <c r="AM14" s="1198" t="inlineStr">
        <is>
          <t>Full-service office: janitorial $164,559 in contract total; security/life safety $29,726 in Other; landscape incl snow $65,183; 2023 actuals confirmed</t>
        </is>
      </c>
    </row>
    <row r="15" ht="14.1" customHeight="1">
      <c r="A15" s="1142" t="inlineStr">
        <is>
          <t>P005</t>
        </is>
      </c>
      <c r="B15" s="695" t="n">
        <v>344</v>
      </c>
      <c r="C15" s="1142" t="inlineStr">
        <is>
          <t>R0050977</t>
        </is>
      </c>
      <c r="D15" s="1198" t="inlineStr">
        <is>
          <t>9351 Grant St (Horizon Terrace)</t>
        </is>
      </c>
      <c r="E15" s="1142" t="inlineStr">
        <is>
          <t>Thornton</t>
        </is>
      </c>
      <c r="F15" s="1142" t="inlineStr">
        <is>
          <t>CO</t>
        </is>
      </c>
      <c r="G15" s="1142" t="inlineStr">
        <is>
          <t>Office</t>
        </is>
      </c>
      <c r="H15" s="1198" t="inlineStr">
        <is>
          <t>Class B Multi-story</t>
        </is>
      </c>
      <c r="I15" s="1143" t="n"/>
      <c r="J15" s="1143" t="n">
        <v>91646</v>
      </c>
      <c r="K15" s="1143" t="n">
        <v>2024</v>
      </c>
      <c r="L15" s="1146" t="n">
        <v>22.3966</v>
      </c>
      <c r="M15" s="1146" t="n">
        <v>2.9417</v>
      </c>
      <c r="N15" s="1146" t="n">
        <v>25.3383</v>
      </c>
      <c r="O15" s="1146" t="n">
        <v>0.2648</v>
      </c>
      <c r="P15" s="1146" t="n">
        <v>1.6305</v>
      </c>
      <c r="Q15" s="1142" t="n"/>
      <c r="R15" s="1142" t="n"/>
      <c r="S15" s="1142" t="n"/>
      <c r="T15" s="1142" t="n"/>
      <c r="U15" s="1142" t="n"/>
      <c r="V15" s="1142" t="n"/>
      <c r="W15" s="1142" t="n"/>
      <c r="X15" s="1146" t="n">
        <v>1.6418</v>
      </c>
      <c r="Y15" s="1146" t="n">
        <v>1.6418</v>
      </c>
      <c r="Z15" s="1142" t="n"/>
      <c r="AA15" s="1146" t="n">
        <v>1.1913</v>
      </c>
      <c r="AB15" s="1142" t="n"/>
      <c r="AC15" s="1146" t="n">
        <v>2.8658</v>
      </c>
      <c r="AD15" s="1142" t="n"/>
      <c r="AE15" s="1142" t="n"/>
      <c r="AF15" s="1146" t="n">
        <v>2.5334</v>
      </c>
      <c r="AG15" s="1146" t="n">
        <v>0.4083</v>
      </c>
      <c r="AH15" s="1146" t="n">
        <v>9.3445</v>
      </c>
      <c r="AI15" s="1146" t="n">
        <v>4.5128</v>
      </c>
      <c r="AJ15" s="1146" t="n">
        <v>13.8574</v>
      </c>
      <c r="AK15" s="1146" t="n">
        <v>11.4809</v>
      </c>
      <c r="AL15" s="1142" t="n"/>
      <c r="AM15" s="1198" t="inlineStr">
        <is>
          <t>2024 actuals; janitorial $153,462 in contract total; security $32,603 in Other; sales/use tax $4,813 in Other</t>
        </is>
      </c>
    </row>
    <row r="16" ht="14.1" customHeight="1">
      <c r="A16" s="1142" t="inlineStr">
        <is>
          <t>P006</t>
        </is>
      </c>
      <c r="B16" s="695" t="n">
        <v>210</v>
      </c>
      <c r="C16" s="1142" t="inlineStr">
        <is>
          <t>R0062937</t>
        </is>
      </c>
      <c r="D16" s="1198" t="inlineStr">
        <is>
          <t>8670 Wolff Ct (Sheridan Park 8)</t>
        </is>
      </c>
      <c r="E16" s="1142" t="inlineStr">
        <is>
          <t>Westminster</t>
        </is>
      </c>
      <c r="F16" s="1142" t="inlineStr">
        <is>
          <t>CO</t>
        </is>
      </c>
      <c r="G16" s="1142" t="inlineStr">
        <is>
          <t>Office/Flex</t>
        </is>
      </c>
      <c r="H16" s="1198" t="inlineStr">
        <is>
          <t>Multi-tenant</t>
        </is>
      </c>
      <c r="I16" s="1143" t="n"/>
      <c r="J16" s="1143" t="n">
        <v>37078</v>
      </c>
      <c r="K16" s="1143" t="n">
        <v>2020</v>
      </c>
      <c r="L16" s="1142" t="n"/>
      <c r="M16" s="1142" t="n"/>
      <c r="N16" s="1142" t="n"/>
      <c r="O16" s="1146" t="n">
        <v>0.1558</v>
      </c>
      <c r="P16" s="1146" t="n">
        <v>0.5259</v>
      </c>
      <c r="Q16" s="1142" t="n"/>
      <c r="R16" s="1142" t="n"/>
      <c r="S16" s="1142" t="n"/>
      <c r="T16" s="1142" t="n"/>
      <c r="U16" s="1142" t="n"/>
      <c r="V16" s="1142" t="n"/>
      <c r="W16" s="1142" t="n"/>
      <c r="X16" s="1142" t="n"/>
      <c r="Y16" s="1142" t="n"/>
      <c r="Z16" s="1142" t="n"/>
      <c r="AA16" s="1142" t="n"/>
      <c r="AB16" s="1142" t="n"/>
      <c r="AC16" s="1146" t="n">
        <v>3.6056</v>
      </c>
      <c r="AD16" s="1142" t="n"/>
      <c r="AE16" s="1142" t="n"/>
      <c r="AF16" s="1146" t="n">
        <v>3.1372</v>
      </c>
      <c r="AG16" s="1142" t="n"/>
      <c r="AH16" s="1146" t="n">
        <v>7.4245</v>
      </c>
      <c r="AI16" s="1146" t="n">
        <v>2.3924</v>
      </c>
      <c r="AJ16" s="1146" t="n">
        <v>9.8169</v>
      </c>
      <c r="AK16" s="1142" t="n"/>
      <c r="AL16" s="1142" t="n"/>
      <c r="AM16" s="1198" t="inlineStr">
        <is>
          <t>Income not available; expense-only from DYCO CAM history; CAM in contract total</t>
        </is>
      </c>
    </row>
    <row r="17" ht="14.1" customHeight="1">
      <c r="A17" s="1142" t="inlineStr">
        <is>
          <t>P006</t>
        </is>
      </c>
      <c r="B17" s="695" t="n">
        <v>210</v>
      </c>
      <c r="C17" s="1142" t="inlineStr">
        <is>
          <t>R0062937</t>
        </is>
      </c>
      <c r="D17" s="1198" t="inlineStr">
        <is>
          <t>8670 Wolff Ct (Sheridan Park 8)</t>
        </is>
      </c>
      <c r="E17" s="1142" t="inlineStr">
        <is>
          <t>Westminster</t>
        </is>
      </c>
      <c r="F17" s="1142" t="inlineStr">
        <is>
          <t>CO</t>
        </is>
      </c>
      <c r="G17" s="1142" t="inlineStr">
        <is>
          <t>Office/Flex</t>
        </is>
      </c>
      <c r="H17" s="1198" t="inlineStr">
        <is>
          <t>Multi-tenant</t>
        </is>
      </c>
      <c r="I17" s="1143" t="n"/>
      <c r="J17" s="1143" t="n">
        <v>37078</v>
      </c>
      <c r="K17" s="1143" t="n">
        <v>2021</v>
      </c>
      <c r="L17" s="1142" t="n"/>
      <c r="M17" s="1142" t="n"/>
      <c r="N17" s="1142" t="n"/>
      <c r="O17" s="1146" t="n">
        <v>0.1841</v>
      </c>
      <c r="P17" s="1146" t="n">
        <v>0.4855</v>
      </c>
      <c r="Q17" s="1142" t="n"/>
      <c r="R17" s="1142" t="n"/>
      <c r="S17" s="1142" t="n"/>
      <c r="T17" s="1142" t="n"/>
      <c r="U17" s="1142" t="n"/>
      <c r="V17" s="1142" t="n"/>
      <c r="W17" s="1142" t="n"/>
      <c r="X17" s="1142" t="n"/>
      <c r="Y17" s="1142" t="n"/>
      <c r="Z17" s="1142" t="n"/>
      <c r="AA17" s="1142" t="n"/>
      <c r="AB17" s="1142" t="n"/>
      <c r="AC17" s="1146" t="n">
        <v>2.8189</v>
      </c>
      <c r="AD17" s="1142" t="n"/>
      <c r="AE17" s="1142" t="n"/>
      <c r="AF17" s="1146" t="n">
        <v>2.9359</v>
      </c>
      <c r="AG17" s="1142" t="n"/>
      <c r="AH17" s="1146" t="n">
        <v>6.4243</v>
      </c>
      <c r="AI17" s="1146" t="n">
        <v>2.2709</v>
      </c>
      <c r="AJ17" s="1146" t="n">
        <v>8.6952</v>
      </c>
      <c r="AK17" s="1142" t="n"/>
      <c r="AL17" s="1142" t="n"/>
      <c r="AM17" s="1198" t="inlineStr">
        <is>
          <t>Income not available; expense-only from DYCO CAM history</t>
        </is>
      </c>
    </row>
    <row r="18" ht="14.1" customHeight="1">
      <c r="A18" s="1142" t="inlineStr">
        <is>
          <t>P006</t>
        </is>
      </c>
      <c r="B18" s="695" t="n">
        <v>210</v>
      </c>
      <c r="C18" s="1142" t="inlineStr">
        <is>
          <t>R0062937</t>
        </is>
      </c>
      <c r="D18" s="1198" t="inlineStr">
        <is>
          <t>8670 Wolff Ct (Sheridan Park 8)</t>
        </is>
      </c>
      <c r="E18" s="1142" t="inlineStr">
        <is>
          <t>Westminster</t>
        </is>
      </c>
      <c r="F18" s="1142" t="inlineStr">
        <is>
          <t>CO</t>
        </is>
      </c>
      <c r="G18" s="1142" t="inlineStr">
        <is>
          <t>Office/Flex</t>
        </is>
      </c>
      <c r="H18" s="1198" t="inlineStr">
        <is>
          <t>Multi-tenant</t>
        </is>
      </c>
      <c r="I18" s="1143" t="n"/>
      <c r="J18" s="1143" t="n">
        <v>37078</v>
      </c>
      <c r="K18" s="1143" t="n">
        <v>2022</v>
      </c>
      <c r="L18" s="1142" t="n"/>
      <c r="M18" s="1142" t="n"/>
      <c r="N18" s="1142" t="n"/>
      <c r="O18" s="1146" t="n">
        <v>0.2122</v>
      </c>
      <c r="P18" s="1146" t="n">
        <v>0.5651</v>
      </c>
      <c r="Q18" s="1142" t="n"/>
      <c r="R18" s="1142" t="n"/>
      <c r="S18" s="1142" t="n"/>
      <c r="T18" s="1142" t="n"/>
      <c r="U18" s="1142" t="n"/>
      <c r="V18" s="1142" t="n"/>
      <c r="W18" s="1142" t="n"/>
      <c r="X18" s="1142" t="n"/>
      <c r="Y18" s="1142" t="n"/>
      <c r="Z18" s="1142" t="n"/>
      <c r="AA18" s="1142" t="n"/>
      <c r="AB18" s="1142" t="n"/>
      <c r="AC18" s="1146" t="n">
        <v>3.0261</v>
      </c>
      <c r="AD18" s="1142" t="n"/>
      <c r="AE18" s="1142" t="n"/>
      <c r="AF18" s="1146" t="n">
        <v>3.0198</v>
      </c>
      <c r="AG18" s="1142" t="n"/>
      <c r="AH18" s="1146" t="n">
        <v>6.8231</v>
      </c>
      <c r="AI18" s="1146" t="n">
        <v>3.6987</v>
      </c>
      <c r="AJ18" s="1146" t="n">
        <v>10.5219</v>
      </c>
      <c r="AK18" s="1142" t="n"/>
      <c r="AL18" s="1142" t="n"/>
      <c r="AM18" s="1198" t="inlineStr">
        <is>
          <t>Income not available; expense-only from DYCO CAM history; RE Tax jumped from $84k to $137k (reval year)</t>
        </is>
      </c>
    </row>
    <row r="19" ht="14.1" customHeight="1">
      <c r="A19" s="1142" t="inlineStr">
        <is>
          <t>P006</t>
        </is>
      </c>
      <c r="B19" s="695" t="n">
        <v>210</v>
      </c>
      <c r="C19" s="1142" t="inlineStr">
        <is>
          <t>R0062937</t>
        </is>
      </c>
      <c r="D19" s="1198" t="inlineStr">
        <is>
          <t>8670 Wolff Ct (Sheridan Park 8)</t>
        </is>
      </c>
      <c r="E19" s="1142" t="inlineStr">
        <is>
          <t>Westminster</t>
        </is>
      </c>
      <c r="F19" s="1142" t="inlineStr">
        <is>
          <t>CO</t>
        </is>
      </c>
      <c r="G19" s="1142" t="inlineStr">
        <is>
          <t>Office/Flex</t>
        </is>
      </c>
      <c r="H19" s="1198" t="inlineStr">
        <is>
          <t>Multi-tenant</t>
        </is>
      </c>
      <c r="I19" s="1143" t="n"/>
      <c r="J19" s="1143" t="n">
        <v>37078</v>
      </c>
      <c r="K19" s="1143" t="n">
        <v>2023</v>
      </c>
      <c r="L19" s="1142" t="n"/>
      <c r="M19" s="1142" t="n"/>
      <c r="N19" s="1142" t="n"/>
      <c r="O19" s="1146" t="n">
        <v>0.2334</v>
      </c>
      <c r="P19" s="1146" t="n">
        <v>0.4855</v>
      </c>
      <c r="Q19" s="1142" t="n"/>
      <c r="R19" s="1142" t="n"/>
      <c r="S19" s="1142" t="n"/>
      <c r="T19" s="1142" t="n"/>
      <c r="U19" s="1142" t="n"/>
      <c r="V19" s="1142" t="n"/>
      <c r="W19" s="1142" t="n"/>
      <c r="X19" s="1142" t="n"/>
      <c r="Y19" s="1142" t="n"/>
      <c r="Z19" s="1142" t="n"/>
      <c r="AA19" s="1142" t="n"/>
      <c r="AB19" s="1142" t="n"/>
      <c r="AC19" s="1146" t="n">
        <v>3.1419</v>
      </c>
      <c r="AD19" s="1142" t="n"/>
      <c r="AE19" s="1142" t="n"/>
      <c r="AF19" s="1146" t="n">
        <v>3.018</v>
      </c>
      <c r="AG19" s="1142" t="n"/>
      <c r="AH19" s="1146" t="n">
        <v>6.8788</v>
      </c>
      <c r="AI19" s="1146" t="n">
        <v>3.554</v>
      </c>
      <c r="AJ19" s="1146" t="n">
        <v>10.4328</v>
      </c>
      <c r="AK19" s="1142" t="n"/>
      <c r="AL19" s="1142" t="n"/>
      <c r="AM19" s="1198" t="inlineStr">
        <is>
          <t>Income not available; 2023 YTD annualized per DYCO</t>
        </is>
      </c>
    </row>
    <row r="20" ht="14.1" customHeight="1">
      <c r="A20" s="1142" t="inlineStr">
        <is>
          <t>P006</t>
        </is>
      </c>
      <c r="B20" s="695" t="n">
        <v>210</v>
      </c>
      <c r="C20" s="1142" t="inlineStr">
        <is>
          <t>R0062937</t>
        </is>
      </c>
      <c r="D20" s="1198" t="inlineStr">
        <is>
          <t>8670 Wolff Ct (Sheridan Park 8)</t>
        </is>
      </c>
      <c r="E20" s="1142" t="inlineStr">
        <is>
          <t>Westminster</t>
        </is>
      </c>
      <c r="F20" s="1142" t="inlineStr">
        <is>
          <t>CO</t>
        </is>
      </c>
      <c r="G20" s="1142" t="inlineStr">
        <is>
          <t>Office/Flex</t>
        </is>
      </c>
      <c r="H20" s="1198" t="inlineStr">
        <is>
          <t>Multi-tenant</t>
        </is>
      </c>
      <c r="I20" s="1143" t="n"/>
      <c r="J20" s="1143" t="n">
        <v>37078</v>
      </c>
      <c r="K20" s="1143" t="n">
        <v>2024</v>
      </c>
      <c r="L20" s="1142" t="n"/>
      <c r="M20" s="1142" t="n"/>
      <c r="N20" s="1142" t="n"/>
      <c r="O20" s="1146" t="n">
        <v>0.2334</v>
      </c>
      <c r="P20" s="1146" t="n">
        <v>0.5826</v>
      </c>
      <c r="Q20" s="1142" t="n"/>
      <c r="R20" s="1142" t="n"/>
      <c r="S20" s="1142" t="n"/>
      <c r="T20" s="1142" t="n"/>
      <c r="U20" s="1142" t="n"/>
      <c r="V20" s="1142" t="n"/>
      <c r="W20" s="1142" t="n"/>
      <c r="X20" s="1142" t="n"/>
      <c r="Y20" s="1142" t="n"/>
      <c r="Z20" s="1142" t="n"/>
      <c r="AA20" s="1142" t="n"/>
      <c r="AB20" s="1142" t="n"/>
      <c r="AC20" s="1146" t="n">
        <v>3.7703</v>
      </c>
      <c r="AD20" s="1142" t="n"/>
      <c r="AE20" s="1142" t="n"/>
      <c r="AF20" s="1146" t="n">
        <v>3.6217</v>
      </c>
      <c r="AG20" s="1142" t="n"/>
      <c r="AH20" s="1146" t="n">
        <v>8.2079</v>
      </c>
      <c r="AI20" s="1146" t="n">
        <v>3.554</v>
      </c>
      <c r="AJ20" s="1146" t="n">
        <v>11.7619</v>
      </c>
      <c r="AK20" s="1142" t="n"/>
      <c r="AL20" s="1142" t="n"/>
      <c r="AM20" s="1198" t="inlineStr">
        <is>
          <t>Income not available; 2024 actuals per DYCO CAM history</t>
        </is>
      </c>
    </row>
    <row r="21" ht="14.1" customHeight="1">
      <c r="A21" s="1142" t="inlineStr">
        <is>
          <t>P007</t>
        </is>
      </c>
      <c r="B21" s="695" t="n">
        <v>341</v>
      </c>
      <c r="C21" s="1142" t="inlineStr">
        <is>
          <t>R0062944</t>
        </is>
      </c>
      <c r="D21" s="1198" t="inlineStr">
        <is>
          <t>8787 (medical office complex)</t>
        </is>
      </c>
      <c r="E21" s="1142" t="inlineStr">
        <is>
          <t>Adams County</t>
        </is>
      </c>
      <c r="F21" s="1142" t="inlineStr">
        <is>
          <t>CO</t>
        </is>
      </c>
      <c r="G21" s="1142" t="inlineStr">
        <is>
          <t>Medical Office</t>
        </is>
      </c>
      <c r="H21" s="1198" t="inlineStr">
        <is>
          <t>Multi-tenant</t>
        </is>
      </c>
      <c r="I21" s="1143" t="n"/>
      <c r="J21" s="1143" t="n">
        <v>19430</v>
      </c>
      <c r="K21" s="1143" t="n">
        <v>2023</v>
      </c>
      <c r="L21" s="1142" t="n"/>
      <c r="M21" s="1142" t="n"/>
      <c r="N21" s="1146" t="n">
        <v>20.2681</v>
      </c>
      <c r="O21" s="1146" t="n">
        <v>0.4882</v>
      </c>
      <c r="P21" s="1146" t="n">
        <v>0.525</v>
      </c>
      <c r="Q21" s="1142" t="n"/>
      <c r="R21" s="1142" t="n"/>
      <c r="S21" s="1142" t="n"/>
      <c r="T21" s="1142" t="n"/>
      <c r="U21" s="1146" t="n">
        <v>1.1125</v>
      </c>
      <c r="V21" s="1142" t="n"/>
      <c r="W21" s="1142" t="n"/>
      <c r="X21" s="1146" t="n">
        <v>1.365</v>
      </c>
      <c r="Y21" s="1146" t="n">
        <v>1.365</v>
      </c>
      <c r="Z21" s="1146" t="n">
        <v>0.1046</v>
      </c>
      <c r="AA21" s="1146" t="n">
        <v>0.6014</v>
      </c>
      <c r="AB21" s="1146" t="n">
        <v>0.3262</v>
      </c>
      <c r="AC21" s="1146" t="n">
        <v>1.0322</v>
      </c>
      <c r="AD21" s="1146" t="n">
        <v>0.3942</v>
      </c>
      <c r="AE21" s="1146" t="n">
        <v>1.9391</v>
      </c>
      <c r="AF21" s="1146" t="n">
        <v>2.3333</v>
      </c>
      <c r="AG21" s="1146" t="n">
        <v>0.9338</v>
      </c>
      <c r="AH21" s="1146" t="n">
        <v>7.7898</v>
      </c>
      <c r="AI21" s="1146" t="n">
        <v>2.7482</v>
      </c>
      <c r="AJ21" s="1146" t="n">
        <v>10.5379</v>
      </c>
      <c r="AK21" s="1146" t="n">
        <v>9.7302</v>
      </c>
      <c r="AL21" s="1142" t="n"/>
      <c r="AM21" s="1198" t="inlineStr">
        <is>
          <t>HVAC maint $21,615 included in R&amp;M; janitorial $16,418 in Other; professional svcs $1,726 in Other; 2023 actuals</t>
        </is>
      </c>
    </row>
    <row r="22" ht="14.1" customHeight="1">
      <c r="A22" s="1142" t="inlineStr">
        <is>
          <t>P007</t>
        </is>
      </c>
      <c r="B22" s="695" t="n">
        <v>341</v>
      </c>
      <c r="C22" s="1142" t="inlineStr">
        <is>
          <t>R0062944</t>
        </is>
      </c>
      <c r="D22" s="1198" t="inlineStr">
        <is>
          <t>8787 (medical office complex)</t>
        </is>
      </c>
      <c r="E22" s="1142" t="inlineStr">
        <is>
          <t>Adams County</t>
        </is>
      </c>
      <c r="F22" s="1142" t="inlineStr">
        <is>
          <t>CO</t>
        </is>
      </c>
      <c r="G22" s="1142" t="inlineStr">
        <is>
          <t>Medical Office</t>
        </is>
      </c>
      <c r="H22" s="1198" t="inlineStr">
        <is>
          <t>Multi-tenant</t>
        </is>
      </c>
      <c r="I22" s="1143" t="n"/>
      <c r="J22" s="1143" t="n">
        <v>19430</v>
      </c>
      <c r="K22" s="1143" t="n">
        <v>2024</v>
      </c>
      <c r="L22" s="1142" t="n"/>
      <c r="M22" s="1142" t="n"/>
      <c r="N22" s="1146" t="n">
        <v>20.0976</v>
      </c>
      <c r="O22" s="1146" t="n">
        <v>0.7185</v>
      </c>
      <c r="P22" s="1146" t="n">
        <v>1.9878</v>
      </c>
      <c r="Q22" s="1142" t="n"/>
      <c r="R22" s="1142" t="n"/>
      <c r="S22" s="1142" t="n"/>
      <c r="T22" s="1142" t="n"/>
      <c r="U22" s="1146" t="n">
        <v>0.6725</v>
      </c>
      <c r="V22" s="1142" t="n"/>
      <c r="W22" s="1142" t="n"/>
      <c r="X22" s="1146" t="n">
        <v>1.3296</v>
      </c>
      <c r="Y22" s="1146" t="n">
        <v>1.3296</v>
      </c>
      <c r="Z22" s="1146" t="n">
        <v>0.1008</v>
      </c>
      <c r="AA22" s="1146" t="n">
        <v>0.8078</v>
      </c>
      <c r="AB22" s="1146" t="n">
        <v>0.3029</v>
      </c>
      <c r="AC22" s="1146" t="n">
        <v>1.2115</v>
      </c>
      <c r="AD22" s="1146" t="n">
        <v>0.3305</v>
      </c>
      <c r="AE22" s="1146" t="n">
        <v>1.7022</v>
      </c>
      <c r="AF22" s="1146" t="n">
        <v>2.0327</v>
      </c>
      <c r="AG22" s="1146" t="n">
        <v>0.8246</v>
      </c>
      <c r="AH22" s="1146" t="n">
        <v>8.777100000000001</v>
      </c>
      <c r="AI22" s="1146" t="n">
        <v>3.2527</v>
      </c>
      <c r="AJ22" s="1146" t="n">
        <v>12.0299</v>
      </c>
      <c r="AK22" s="1146" t="n">
        <v>8.0678</v>
      </c>
      <c r="AL22" s="1142" t="n"/>
      <c r="AM22" s="1198" t="inlineStr">
        <is>
          <t>Mgmt = CAM portion $10,600 + non-CAM $28,022; janitorial $16,022 in Other; HVAC $13,067 in R&amp;M; 2024 actuals</t>
        </is>
      </c>
    </row>
    <row r="23" ht="14.1" customHeight="1">
      <c r="A23" s="696" t="inlineStr">
        <is>
          <t>P008</t>
        </is>
      </c>
      <c r="B23" s="695" t="n">
        <v>210</v>
      </c>
      <c r="C23" s="696" t="inlineStr">
        <is>
          <t>R0070622</t>
        </is>
      </c>
      <c r="D23" s="1195" t="inlineStr">
        <is>
          <t>460-550 E. 76th Ave (WPC Corporate)</t>
        </is>
      </c>
      <c r="E23" s="696" t="inlineStr">
        <is>
          <t>Adams County</t>
        </is>
      </c>
      <c r="F23" s="696" t="inlineStr">
        <is>
          <t>CO</t>
        </is>
      </c>
      <c r="G23" s="696" t="inlineStr">
        <is>
          <t>Industrial</t>
        </is>
      </c>
      <c r="H23" s="1195"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1195" t="inlineStr">
        <is>
          <t>2024 only; total OPX derived (EGI - NOI); limited line-item detail from scanned actuals; large multi-tenant industrial complex</t>
        </is>
      </c>
    </row>
    <row r="24" ht="14.1" customHeight="1">
      <c r="A24" s="1228" t="inlineStr">
        <is>
          <t>P009</t>
        </is>
      </c>
      <c r="B24" s="695" t="n">
        <v>407</v>
      </c>
      <c r="C24" s="1228" t="inlineStr">
        <is>
          <t>R0075212</t>
        </is>
      </c>
      <c r="D24" s="1229" t="inlineStr">
        <is>
          <t>10500 Havana Court</t>
        </is>
      </c>
      <c r="E24" s="1228" t="inlineStr">
        <is>
          <t>Adams County</t>
        </is>
      </c>
      <c r="F24" s="1228" t="inlineStr">
        <is>
          <t>CO</t>
        </is>
      </c>
      <c r="G24" s="1228" t="inlineStr">
        <is>
          <t>Industrial</t>
        </is>
      </c>
      <c r="H24" s="1229" t="inlineStr">
        <is>
          <t>NNN Single-tenant</t>
        </is>
      </c>
      <c r="I24" s="1230" t="n"/>
      <c r="J24" s="1230" t="n"/>
      <c r="K24" s="1230" t="n">
        <v>2023</v>
      </c>
      <c r="L24" s="1228" t="n"/>
      <c r="M24" s="1228" t="n"/>
      <c r="N24" s="1233" t="n">
        <v>332759</v>
      </c>
      <c r="O24" s="1233" t="n">
        <v>22784</v>
      </c>
      <c r="P24" s="1233" t="n">
        <v>4000</v>
      </c>
      <c r="Q24" s="1228" t="n"/>
      <c r="R24" s="1228" t="n"/>
      <c r="S24" s="1228" t="n"/>
      <c r="T24" s="1228" t="n"/>
      <c r="U24" s="1228" t="n"/>
      <c r="V24" s="1228" t="n"/>
      <c r="W24" s="1228" t="n"/>
      <c r="X24" s="1233" t="n">
        <v>12804</v>
      </c>
      <c r="Y24" s="1233" t="n">
        <v>12804</v>
      </c>
      <c r="Z24" s="1228" t="n"/>
      <c r="AA24" s="1233" t="n">
        <v>6910</v>
      </c>
      <c r="AB24" s="1233" t="n">
        <v>1800</v>
      </c>
      <c r="AC24" s="1233" t="n">
        <v>8710</v>
      </c>
      <c r="AD24" s="1233" t="n">
        <v>2209</v>
      </c>
      <c r="AE24" s="1233" t="n">
        <v>1956</v>
      </c>
      <c r="AF24" s="1233" t="n">
        <v>4165</v>
      </c>
      <c r="AG24" s="1233" t="n">
        <v>8397</v>
      </c>
      <c r="AH24" s="1233" t="n">
        <v>127005</v>
      </c>
      <c r="AI24" s="1233" t="n">
        <v>60552</v>
      </c>
      <c r="AJ24" s="1233" t="n">
        <v>187557</v>
      </c>
      <c r="AK24" s="1233" t="n">
        <v>265550</v>
      </c>
      <c r="AL24" s="1228" t="n"/>
      <c r="AM24" s="1229"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1195" t="inlineStr">
        <is>
          <t>10500 Havana Court</t>
        </is>
      </c>
      <c r="E25" s="696" t="inlineStr">
        <is>
          <t>Adams County</t>
        </is>
      </c>
      <c r="F25" s="696" t="inlineStr">
        <is>
          <t>CO</t>
        </is>
      </c>
      <c r="G25" s="696" t="inlineStr">
        <is>
          <t>Industrial</t>
        </is>
      </c>
      <c r="H25" s="1195"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1195" t="inlineStr">
        <is>
          <t>[NO SF] NNN; depreciation ($52,109) and mortgage interest ($58,574) excluded from NOI; Other includes acctg, dues, inspections; 2024 actuals</t>
        </is>
      </c>
    </row>
    <row r="26" ht="14.1" customHeight="1">
      <c r="A26" s="1228" t="inlineStr">
        <is>
          <t>P010</t>
        </is>
      </c>
      <c r="B26" s="695" t="n">
        <v>210</v>
      </c>
      <c r="C26" s="1228" t="inlineStr">
        <is>
          <t>R0098225</t>
        </is>
      </c>
      <c r="D26" s="1229" t="inlineStr">
        <is>
          <t>Broadway Business Center (7040B Broadway)</t>
        </is>
      </c>
      <c r="E26" s="1228" t="inlineStr">
        <is>
          <t>Denver</t>
        </is>
      </c>
      <c r="F26" s="1228" t="inlineStr">
        <is>
          <t>CO</t>
        </is>
      </c>
      <c r="G26" s="1228" t="inlineStr">
        <is>
          <t>Flex/Industrial</t>
        </is>
      </c>
      <c r="H26" s="1229" t="inlineStr">
        <is>
          <t>Multi-tenant CAM</t>
        </is>
      </c>
      <c r="I26" s="1230" t="n"/>
      <c r="J26" s="1230" t="n">
        <v>105000</v>
      </c>
      <c r="K26" s="1230" t="n">
        <v>2023</v>
      </c>
      <c r="L26" s="1231" t="n">
        <v>7.0284</v>
      </c>
      <c r="M26" s="1231" t="n">
        <v>4.8451</v>
      </c>
      <c r="N26" s="1231" t="n">
        <v>11.8736</v>
      </c>
      <c r="O26" s="1231" t="n">
        <v>0.4657</v>
      </c>
      <c r="P26" s="1231" t="n">
        <v>0.9933999999999999</v>
      </c>
      <c r="Q26" s="1228" t="n"/>
      <c r="R26" s="1228" t="n"/>
      <c r="S26" s="1228" t="n"/>
      <c r="T26" s="1228" t="n"/>
      <c r="U26" s="1228" t="n"/>
      <c r="V26" s="1228" t="n"/>
      <c r="W26" s="1228" t="n"/>
      <c r="X26" s="1231" t="n">
        <v>0.6328</v>
      </c>
      <c r="Y26" s="1231" t="n">
        <v>0.6328</v>
      </c>
      <c r="Z26" s="1231" t="n">
        <v>0.4669</v>
      </c>
      <c r="AA26" s="1231" t="n">
        <v>0.2172</v>
      </c>
      <c r="AB26" s="1231" t="n">
        <v>0.5585</v>
      </c>
      <c r="AC26" s="1231" t="n">
        <v>1.2425</v>
      </c>
      <c r="AD26" s="1231" t="n">
        <v>0.5097</v>
      </c>
      <c r="AE26" s="1228" t="n"/>
      <c r="AF26" s="1231" t="n">
        <v>0.7223000000000001</v>
      </c>
      <c r="AG26" s="1228" t="n"/>
      <c r="AH26" s="1231" t="n">
        <v>4.6141</v>
      </c>
      <c r="AI26" s="1231" t="n">
        <v>2.1859</v>
      </c>
      <c r="AJ26" s="1231" t="n">
        <v>6.8</v>
      </c>
      <c r="AK26" s="1231" t="n">
        <v>5.0762</v>
      </c>
      <c r="AL26" s="1228" t="n"/>
      <c r="AM26" s="1229"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1195" t="inlineStr">
        <is>
          <t>Broadway Business Center (7040B Broadway)</t>
        </is>
      </c>
      <c r="E27" s="696" t="inlineStr">
        <is>
          <t>Denver</t>
        </is>
      </c>
      <c r="F27" s="696" t="inlineStr">
        <is>
          <t>CO</t>
        </is>
      </c>
      <c r="G27" s="696" t="inlineStr">
        <is>
          <t>Flex/Industrial</t>
        </is>
      </c>
      <c r="H27" s="1195"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1195" t="inlineStr">
        <is>
          <t>2024 RE Tax inflated by $111,314 prior-yr catchup; normalized tax ~$425k; parking lot $52,328 in snow/contract; NOI estimated</t>
        </is>
      </c>
    </row>
    <row r="28" ht="14.1" customHeight="1">
      <c r="A28" s="1228" t="inlineStr">
        <is>
          <t>P011</t>
        </is>
      </c>
      <c r="B28" s="695" t="n">
        <v>210</v>
      </c>
      <c r="C28" s="1228" t="inlineStr">
        <is>
          <t>R0103767</t>
        </is>
      </c>
      <c r="D28" s="1229" t="inlineStr">
        <is>
          <t>5650 Washington St (Washington Business Park)</t>
        </is>
      </c>
      <c r="E28" s="1228" t="inlineStr">
        <is>
          <t>Adams County</t>
        </is>
      </c>
      <c r="F28" s="1228" t="inlineStr">
        <is>
          <t>CO</t>
        </is>
      </c>
      <c r="G28" s="1228" t="inlineStr">
        <is>
          <t>Industrial/Flex</t>
        </is>
      </c>
      <c r="H28" s="1229" t="inlineStr">
        <is>
          <t>Multi-tenant</t>
        </is>
      </c>
      <c r="I28" s="1230" t="n"/>
      <c r="J28" s="1230" t="n"/>
      <c r="K28" s="1230" t="n">
        <v>2022</v>
      </c>
      <c r="L28" s="1228" t="n"/>
      <c r="M28" s="1228" t="n"/>
      <c r="N28" s="1233" t="n">
        <v>502006</v>
      </c>
      <c r="O28" s="1233" t="n">
        <v>16872</v>
      </c>
      <c r="P28" s="1233" t="n">
        <v>54025</v>
      </c>
      <c r="Q28" s="1228" t="n"/>
      <c r="R28" s="1228" t="n"/>
      <c r="S28" s="1228" t="n"/>
      <c r="T28" s="1228" t="n"/>
      <c r="U28" s="1228" t="n"/>
      <c r="V28" s="1228" t="n"/>
      <c r="W28" s="1228" t="n"/>
      <c r="X28" s="1233" t="n">
        <v>71762</v>
      </c>
      <c r="Y28" s="1233" t="n">
        <v>71762</v>
      </c>
      <c r="Z28" s="1228" t="n"/>
      <c r="AA28" s="1233" t="n">
        <v>6528</v>
      </c>
      <c r="AB28" s="1228" t="n"/>
      <c r="AC28" s="1233" t="n">
        <v>6528</v>
      </c>
      <c r="AD28" s="1233" t="n">
        <v>4858</v>
      </c>
      <c r="AE28" s="1233" t="n">
        <v>525</v>
      </c>
      <c r="AF28" s="1233" t="n">
        <v>5383</v>
      </c>
      <c r="AG28" s="1228" t="n"/>
      <c r="AH28" s="1233" t="n">
        <v>209625</v>
      </c>
      <c r="AI28" s="1233" t="n">
        <v>64792</v>
      </c>
      <c r="AJ28" s="1233" t="n">
        <v>274417</v>
      </c>
      <c r="AK28" s="1233" t="n">
        <v>227649</v>
      </c>
      <c r="AL28" s="1228" t="n"/>
      <c r="AM28" s="1229"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1195" t="inlineStr">
        <is>
          <t>5650 Washington St (Washington Business Park)</t>
        </is>
      </c>
      <c r="E29" s="696" t="inlineStr">
        <is>
          <t>Adams County</t>
        </is>
      </c>
      <c r="F29" s="696" t="inlineStr">
        <is>
          <t>CO</t>
        </is>
      </c>
      <c r="G29" s="696" t="inlineStr">
        <is>
          <t>Industrial/Flex</t>
        </is>
      </c>
      <c r="H29" s="1195"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1195" t="inlineStr">
        <is>
          <t>[NO SF] No mgmt fee in 2023; R&amp;M higher due to building repairs; gas negligible per statement; 2023 actuals</t>
        </is>
      </c>
    </row>
    <row r="30" ht="14.1" customHeight="1">
      <c r="A30" s="1228" t="inlineStr">
        <is>
          <t>P011</t>
        </is>
      </c>
      <c r="B30" s="695" t="n">
        <v>210</v>
      </c>
      <c r="C30" s="1228" t="inlineStr">
        <is>
          <t>R0103767</t>
        </is>
      </c>
      <c r="D30" s="1229" t="inlineStr">
        <is>
          <t>5650 Washington St (Washington Business Park)</t>
        </is>
      </c>
      <c r="E30" s="1228" t="inlineStr">
        <is>
          <t>Adams County</t>
        </is>
      </c>
      <c r="F30" s="1228" t="inlineStr">
        <is>
          <t>CO</t>
        </is>
      </c>
      <c r="G30" s="1228" t="inlineStr">
        <is>
          <t>Industrial/Flex</t>
        </is>
      </c>
      <c r="H30" s="1229" t="inlineStr">
        <is>
          <t>Multi-tenant</t>
        </is>
      </c>
      <c r="I30" s="1230" t="n"/>
      <c r="J30" s="1230" t="n"/>
      <c r="K30" s="1230" t="n">
        <v>2024</v>
      </c>
      <c r="L30" s="1228" t="n"/>
      <c r="M30" s="1228" t="n"/>
      <c r="N30" s="1233" t="n">
        <v>517234</v>
      </c>
      <c r="O30" s="1233" t="n">
        <v>20795</v>
      </c>
      <c r="P30" s="1228" t="n"/>
      <c r="Q30" s="1228" t="n"/>
      <c r="R30" s="1228" t="n"/>
      <c r="S30" s="1228" t="n"/>
      <c r="T30" s="1228" t="n"/>
      <c r="U30" s="1228" t="n"/>
      <c r="V30" s="1228" t="n"/>
      <c r="W30" s="1228" t="n"/>
      <c r="X30" s="1233" t="n">
        <v>32385</v>
      </c>
      <c r="Y30" s="1233" t="n">
        <v>32385</v>
      </c>
      <c r="Z30" s="1228" t="n"/>
      <c r="AA30" s="1233" t="n">
        <v>4814</v>
      </c>
      <c r="AB30" s="1228" t="n"/>
      <c r="AC30" s="1233" t="n">
        <v>4814</v>
      </c>
      <c r="AD30" s="1233" t="n">
        <v>5690</v>
      </c>
      <c r="AE30" s="1228" t="n"/>
      <c r="AF30" s="1233" t="n">
        <v>5690</v>
      </c>
      <c r="AG30" s="1228" t="n"/>
      <c r="AH30" s="1228" t="n"/>
      <c r="AI30" s="1228" t="n"/>
      <c r="AJ30" s="1233" t="n">
        <v>331645</v>
      </c>
      <c r="AK30" s="1233" t="n">
        <v>185389</v>
      </c>
      <c r="AL30" s="1228" t="n"/>
      <c r="AM30" s="1229" t="inlineStr">
        <is>
          <t>[NO SF] RE Tax not separately identified in 2024 column of operating stmt; total OPX from actuals; NOI confirmed</t>
        </is>
      </c>
    </row>
    <row r="31" ht="14.1" customHeight="1">
      <c r="A31" s="1142" t="inlineStr">
        <is>
          <t>P012</t>
        </is>
      </c>
      <c r="B31" s="695" t="n">
        <v>344</v>
      </c>
      <c r="C31" s="1142" t="inlineStr">
        <is>
          <t>R0124385</t>
        </is>
      </c>
      <c r="D31" s="1198" t="inlineStr">
        <is>
          <t>Unknown (Tax District 555)</t>
        </is>
      </c>
      <c r="E31" s="1142" t="inlineStr">
        <is>
          <t>Adams County</t>
        </is>
      </c>
      <c r="F31" s="1142" t="inlineStr">
        <is>
          <t>CO</t>
        </is>
      </c>
      <c r="G31" s="1142" t="inlineStr">
        <is>
          <t>Office</t>
        </is>
      </c>
      <c r="H31" s="1198" t="inlineStr">
        <is>
          <t>Multi-tenant</t>
        </is>
      </c>
      <c r="I31" s="1143" t="n"/>
      <c r="J31" s="1143" t="n">
        <v>20170</v>
      </c>
      <c r="K31" s="1143" t="n">
        <v>2023</v>
      </c>
      <c r="L31" s="1142" t="n"/>
      <c r="M31" s="1142" t="n"/>
      <c r="N31" s="1146" t="n">
        <v>13.6708</v>
      </c>
      <c r="O31" s="1142" t="n"/>
      <c r="P31" s="1142" t="n"/>
      <c r="Q31" s="1142" t="n"/>
      <c r="R31" s="1142" t="n"/>
      <c r="S31" s="1142" t="n"/>
      <c r="T31" s="1142" t="n"/>
      <c r="U31" s="1142" t="n"/>
      <c r="V31" s="1142" t="n"/>
      <c r="W31" s="1142" t="n"/>
      <c r="X31" s="1142" t="n"/>
      <c r="Y31" s="1142" t="n"/>
      <c r="Z31" s="1142" t="n"/>
      <c r="AA31" s="1142" t="n"/>
      <c r="AB31" s="1142" t="n"/>
      <c r="AC31" s="1142" t="n"/>
      <c r="AD31" s="1142" t="n"/>
      <c r="AE31" s="1142" t="n"/>
      <c r="AF31" s="1142" t="n"/>
      <c r="AG31" s="1142" t="n"/>
      <c r="AH31" s="1146" t="n">
        <v>5.3592</v>
      </c>
      <c r="AI31" s="1146" t="n">
        <v>2.2399</v>
      </c>
      <c r="AJ31" s="1146" t="n">
        <v>7.5992</v>
      </c>
      <c r="AK31" s="1146" t="n">
        <v>8.3116</v>
      </c>
      <c r="AL31" s="1142" t="n"/>
      <c r="AM31" s="1198" t="inlineStr">
        <is>
          <t>Limited line-item detail; totals from PROFORMA BASIS FOR OFFER.xlsx actuals section</t>
        </is>
      </c>
    </row>
    <row r="32" ht="14.1" customHeight="1">
      <c r="A32" s="1142" t="inlineStr">
        <is>
          <t>P012</t>
        </is>
      </c>
      <c r="B32" s="695" t="n">
        <v>344</v>
      </c>
      <c r="C32" s="1142" t="inlineStr">
        <is>
          <t>R0124385</t>
        </is>
      </c>
      <c r="D32" s="1198" t="inlineStr">
        <is>
          <t>Unknown (Tax District 555)</t>
        </is>
      </c>
      <c r="E32" s="1142" t="inlineStr">
        <is>
          <t>Adams County</t>
        </is>
      </c>
      <c r="F32" s="1142" t="inlineStr">
        <is>
          <t>CO</t>
        </is>
      </c>
      <c r="G32" s="1142" t="inlineStr">
        <is>
          <t>Office</t>
        </is>
      </c>
      <c r="H32" s="1198" t="inlineStr">
        <is>
          <t>Multi-tenant</t>
        </is>
      </c>
      <c r="I32" s="1143" t="n"/>
      <c r="J32" s="1143" t="n">
        <v>20170</v>
      </c>
      <c r="K32" s="1143" t="n">
        <v>2024</v>
      </c>
      <c r="L32" s="1142" t="n"/>
      <c r="M32" s="1142" t="n"/>
      <c r="N32" s="1146" t="n">
        <v>14.802</v>
      </c>
      <c r="O32" s="1142" t="n"/>
      <c r="P32" s="1142" t="n"/>
      <c r="Q32" s="1142" t="n"/>
      <c r="R32" s="1142" t="n"/>
      <c r="S32" s="1142" t="n"/>
      <c r="T32" s="1142" t="n"/>
      <c r="U32" s="1142" t="n"/>
      <c r="V32" s="1142" t="n"/>
      <c r="W32" s="1142" t="n"/>
      <c r="X32" s="1142" t="n"/>
      <c r="Y32" s="1142" t="n"/>
      <c r="Z32" s="1142" t="n"/>
      <c r="AA32" s="1142" t="n"/>
      <c r="AB32" s="1142" t="n"/>
      <c r="AC32" s="1142" t="n"/>
      <c r="AD32" s="1142" t="n"/>
      <c r="AE32" s="1142" t="n"/>
      <c r="AF32" s="1142" t="n"/>
      <c r="AG32" s="1142" t="n"/>
      <c r="AH32" s="1146" t="n">
        <v>6.3208</v>
      </c>
      <c r="AI32" s="1146" t="n">
        <v>2.1665</v>
      </c>
      <c r="AJ32" s="1146" t="n">
        <v>9.1814</v>
      </c>
      <c r="AK32" s="1146" t="n">
        <v>8.481199999999999</v>
      </c>
      <c r="AL32" s="1142" t="n"/>
      <c r="AM32" s="1198" t="inlineStr">
        <is>
          <t>CapEx $14,000 non-recurring excluded from OPX; limited line-item detail</t>
        </is>
      </c>
    </row>
    <row r="33" ht="14.1" customHeight="1">
      <c r="A33" s="1142" t="inlineStr">
        <is>
          <t>P013</t>
        </is>
      </c>
      <c r="B33" s="695" t="n">
        <v>353</v>
      </c>
      <c r="C33" s="1142" t="inlineStr">
        <is>
          <t>R0169176</t>
        </is>
      </c>
      <c r="D33" s="1198" t="inlineStr">
        <is>
          <t>Unknown (new const., opened Oct 2023)</t>
        </is>
      </c>
      <c r="E33" s="1142" t="inlineStr">
        <is>
          <t>Adams County</t>
        </is>
      </c>
      <c r="F33" s="1142" t="inlineStr">
        <is>
          <t>CO</t>
        </is>
      </c>
      <c r="G33" s="1142" t="inlineStr">
        <is>
          <t>Retail/Office</t>
        </is>
      </c>
      <c r="H33" s="1198" t="inlineStr">
        <is>
          <t>Multi-tenant</t>
        </is>
      </c>
      <c r="I33" s="1143" t="n">
        <v>2023</v>
      </c>
      <c r="J33" s="1143" t="n"/>
      <c r="K33" s="1143" t="n">
        <v>2023</v>
      </c>
      <c r="L33" s="1144" t="n">
        <v>270793</v>
      </c>
      <c r="M33" s="1144" t="n">
        <v>258323</v>
      </c>
      <c r="N33" s="1144" t="n">
        <v>524533</v>
      </c>
      <c r="O33" s="1144" t="n">
        <v>16865</v>
      </c>
      <c r="P33" s="1144" t="n">
        <v>26496</v>
      </c>
      <c r="Q33" s="1142" t="n"/>
      <c r="R33" s="1142" t="n"/>
      <c r="S33" s="1142" t="n"/>
      <c r="T33" s="1142" t="n"/>
      <c r="U33" s="1142" t="n"/>
      <c r="V33" s="1142" t="n"/>
      <c r="W33" s="1142" t="n"/>
      <c r="X33" s="1144" t="n">
        <v>50972</v>
      </c>
      <c r="Y33" s="1144" t="n">
        <v>50972</v>
      </c>
      <c r="Z33" s="1142" t="n"/>
      <c r="AA33" s="1144" t="n">
        <v>7543</v>
      </c>
      <c r="AB33" s="1142" t="n"/>
      <c r="AC33" s="1144" t="n">
        <v>7543</v>
      </c>
      <c r="AD33" s="1144" t="n">
        <v>4602</v>
      </c>
      <c r="AE33" s="1144" t="n">
        <v>51467</v>
      </c>
      <c r="AF33" s="1144" t="n">
        <v>56069</v>
      </c>
      <c r="AG33" s="1142" t="n"/>
      <c r="AH33" s="1144" t="n">
        <v>157946</v>
      </c>
      <c r="AI33" s="1144" t="n">
        <v>125577</v>
      </c>
      <c r="AJ33" s="1144" t="n">
        <v>283523</v>
      </c>
      <c r="AK33" s="1144" t="n">
        <v>241009</v>
      </c>
      <c r="AL33" s="1142" t="n"/>
      <c r="AM33" s="1198" t="inlineStr">
        <is>
          <t>[NO SF] 2023 partial year (opened Oct 2023); RE Tax high for new construction; gas $3,877 + elec $47,590 in utilities</t>
        </is>
      </c>
    </row>
    <row r="34" ht="14.1" customHeight="1">
      <c r="A34" s="1142" t="inlineStr">
        <is>
          <t>P013</t>
        </is>
      </c>
      <c r="B34" s="695" t="n">
        <v>353</v>
      </c>
      <c r="C34" s="1142" t="inlineStr">
        <is>
          <t>R0169176</t>
        </is>
      </c>
      <c r="D34" s="1198" t="inlineStr">
        <is>
          <t>Unknown (new const., opened Oct 2023)</t>
        </is>
      </c>
      <c r="E34" s="1142" t="inlineStr">
        <is>
          <t>Adams County</t>
        </is>
      </c>
      <c r="F34" s="1142" t="inlineStr">
        <is>
          <t>CO</t>
        </is>
      </c>
      <c r="G34" s="1142" t="inlineStr">
        <is>
          <t>Retail/Office</t>
        </is>
      </c>
      <c r="H34" s="1198" t="inlineStr">
        <is>
          <t>Multi-tenant</t>
        </is>
      </c>
      <c r="I34" s="1143" t="n">
        <v>2023</v>
      </c>
      <c r="J34" s="1143" t="n"/>
      <c r="K34" s="1143" t="n">
        <v>2024</v>
      </c>
      <c r="L34" s="1144" t="n">
        <v>260040</v>
      </c>
      <c r="M34" s="1144" t="n">
        <v>337015</v>
      </c>
      <c r="N34" s="1144" t="n">
        <v>597056</v>
      </c>
      <c r="O34" s="1144" t="n">
        <v>12437</v>
      </c>
      <c r="P34" s="1144" t="n">
        <v>26717</v>
      </c>
      <c r="Q34" s="1142" t="n"/>
      <c r="R34" s="1142" t="n"/>
      <c r="S34" s="1142" t="n"/>
      <c r="T34" s="1142" t="n"/>
      <c r="U34" s="1142" t="n"/>
      <c r="V34" s="1142" t="n"/>
      <c r="W34" s="1142" t="n"/>
      <c r="X34" s="1144" t="n">
        <v>36931</v>
      </c>
      <c r="Y34" s="1144" t="n">
        <v>36931</v>
      </c>
      <c r="Z34" s="1142" t="n"/>
      <c r="AA34" s="1144" t="n">
        <v>27159</v>
      </c>
      <c r="AB34" s="1142" t="n"/>
      <c r="AC34" s="1144" t="n">
        <v>27159</v>
      </c>
      <c r="AD34" s="1144" t="n">
        <v>5043</v>
      </c>
      <c r="AE34" s="1144" t="n">
        <v>54230</v>
      </c>
      <c r="AF34" s="1144" t="n">
        <v>59273</v>
      </c>
      <c r="AG34" s="1142" t="n"/>
      <c r="AH34" s="1144" t="n">
        <v>162518</v>
      </c>
      <c r="AI34" s="1144" t="n">
        <v>156074</v>
      </c>
      <c r="AJ34" s="1144" t="n">
        <v>318592</v>
      </c>
      <c r="AK34" s="1144" t="n">
        <v>278464</v>
      </c>
      <c r="AL34" s="1142" t="n"/>
      <c r="AM34" s="119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1195" t="inlineStr">
        <is>
          <t>Amazon DEN7 Distribution Center</t>
        </is>
      </c>
      <c r="E35" s="696" t="inlineStr">
        <is>
          <t>Aurora</t>
        </is>
      </c>
      <c r="F35" s="696" t="inlineStr">
        <is>
          <t>CO</t>
        </is>
      </c>
      <c r="G35" s="696" t="inlineStr">
        <is>
          <t>Industrial/Distribution</t>
        </is>
      </c>
      <c r="H35" s="1195"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1195" t="inlineStr">
        <is>
          <t>NNN ? expenses = LL CAM billed to Amazon tenant; RE Tax $1.617M dominates; base rent $3.12M; 2023 CAM reconciliation</t>
        </is>
      </c>
    </row>
    <row r="36" ht="14.1" customHeight="1">
      <c r="A36" s="1228" t="inlineStr">
        <is>
          <t>P014</t>
        </is>
      </c>
      <c r="B36" s="695" t="n">
        <v>407</v>
      </c>
      <c r="C36" s="1228" t="inlineStr">
        <is>
          <t>R0198530</t>
        </is>
      </c>
      <c r="D36" s="1229" t="inlineStr">
        <is>
          <t>Amazon DEN7 Distribution Center</t>
        </is>
      </c>
      <c r="E36" s="1228" t="inlineStr">
        <is>
          <t>Aurora</t>
        </is>
      </c>
      <c r="F36" s="1228" t="inlineStr">
        <is>
          <t>CO</t>
        </is>
      </c>
      <c r="G36" s="1228" t="inlineStr">
        <is>
          <t>Industrial/Distribution</t>
        </is>
      </c>
      <c r="H36" s="1229" t="inlineStr">
        <is>
          <t>Single-tenant NNN</t>
        </is>
      </c>
      <c r="I36" s="1230" t="n"/>
      <c r="J36" s="1230" t="n">
        <v>555840</v>
      </c>
      <c r="K36" s="1230" t="n">
        <v>2024</v>
      </c>
      <c r="L36" s="1231" t="n">
        <v>5.7597</v>
      </c>
      <c r="M36" s="1228" t="n"/>
      <c r="N36" s="1231" t="n">
        <v>5.7597</v>
      </c>
      <c r="O36" s="1231" t="n">
        <v>0.1616</v>
      </c>
      <c r="P36" s="1231" t="n">
        <v>0.1152</v>
      </c>
      <c r="Q36" s="1228" t="n"/>
      <c r="R36" s="1228" t="n"/>
      <c r="S36" s="1228" t="n"/>
      <c r="T36" s="1228" t="n"/>
      <c r="U36" s="1228" t="n"/>
      <c r="V36" s="1228" t="n"/>
      <c r="W36" s="1228" t="n"/>
      <c r="X36" s="1228" t="n"/>
      <c r="Y36" s="1228" t="n"/>
      <c r="Z36" s="1228" t="n"/>
      <c r="AA36" s="1228" t="n"/>
      <c r="AB36" s="1231" t="n">
        <v>0.0038</v>
      </c>
      <c r="AC36" s="1231" t="n">
        <v>0.0314</v>
      </c>
      <c r="AD36" s="1228" t="n"/>
      <c r="AE36" s="1228" t="n"/>
      <c r="AF36" s="1231" t="n">
        <v>0.0036</v>
      </c>
      <c r="AG36" s="1228" t="n"/>
      <c r="AH36" s="1231" t="n">
        <v>0.2783</v>
      </c>
      <c r="AI36" s="1231" t="n">
        <v>3.8893</v>
      </c>
      <c r="AJ36" s="1231" t="n">
        <v>4.1677</v>
      </c>
      <c r="AK36" s="1228" t="n"/>
      <c r="AL36" s="1228" t="n"/>
      <c r="AM36" s="1229" t="inlineStr">
        <is>
          <t>NNN; RE Tax $2.162M = $3.89/SF reflecting Adams County assessment increase (+34% YOY); 2024 CAM reconciliation</t>
        </is>
      </c>
    </row>
    <row r="37" ht="14.1" customHeight="1">
      <c r="A37" s="696" t="inlineStr">
        <is>
          <t>P015</t>
        </is>
      </c>
      <c r="B37" s="695" t="n">
        <v>407</v>
      </c>
      <c r="C37" s="696" t="inlineStr">
        <is>
          <t>R0180894</t>
        </is>
      </c>
      <c r="D37" s="1195" t="inlineStr">
        <is>
          <t>1910 N Gun Club Rd</t>
        </is>
      </c>
      <c r="E37" s="696" t="inlineStr">
        <is>
          <t>Aurora</t>
        </is>
      </c>
      <c r="F37" s="696" t="inlineStr">
        <is>
          <t>CO</t>
        </is>
      </c>
      <c r="G37" s="696" t="inlineStr">
        <is>
          <t>Industrial</t>
        </is>
      </c>
      <c r="H37" s="1195"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1195" t="inlineStr">
        <is>
          <t>Actual accrual; security $159,500 in Other</t>
        </is>
      </c>
    </row>
    <row r="38" ht="14.1" customHeight="1">
      <c r="A38" s="1228" t="inlineStr">
        <is>
          <t>P015</t>
        </is>
      </c>
      <c r="B38" s="695" t="n">
        <v>407</v>
      </c>
      <c r="C38" s="1228" t="inlineStr">
        <is>
          <t>R0180894</t>
        </is>
      </c>
      <c r="D38" s="1229" t="inlineStr">
        <is>
          <t>1910 N Gun Club Rd</t>
        </is>
      </c>
      <c r="E38" s="1228" t="inlineStr">
        <is>
          <t>Aurora</t>
        </is>
      </c>
      <c r="F38" s="1228" t="inlineStr">
        <is>
          <t>CO</t>
        </is>
      </c>
      <c r="G38" s="1228" t="inlineStr">
        <is>
          <t>Industrial</t>
        </is>
      </c>
      <c r="H38" s="1229" t="inlineStr">
        <is>
          <t>Distribution Warehouse Multi-Tenant NNN</t>
        </is>
      </c>
      <c r="I38" s="1230" t="n">
        <v>2019</v>
      </c>
      <c r="J38" s="1230" t="n">
        <v>163386</v>
      </c>
      <c r="K38" s="1230" t="n">
        <v>2024</v>
      </c>
      <c r="L38" s="1231" t="n">
        <v>13.1836</v>
      </c>
      <c r="M38" s="1228" t="n"/>
      <c r="N38" s="1231" t="n">
        <v>13.1836</v>
      </c>
      <c r="O38" s="1231" t="n">
        <v>0.2943</v>
      </c>
      <c r="P38" s="1231" t="n">
        <v>0.4581</v>
      </c>
      <c r="Q38" s="1228" t="n"/>
      <c r="R38" s="1228" t="n"/>
      <c r="S38" s="1228" t="n"/>
      <c r="T38" s="1228" t="n"/>
      <c r="U38" s="1228" t="n"/>
      <c r="V38" s="1228" t="n"/>
      <c r="W38" s="1228" t="n"/>
      <c r="X38" s="1228" t="n"/>
      <c r="Y38" s="1231" t="n">
        <v>0.0322</v>
      </c>
      <c r="Z38" s="1228" t="n"/>
      <c r="AA38" s="1231" t="n">
        <v>0.0822</v>
      </c>
      <c r="AB38" s="1231" t="n">
        <v>0.2856</v>
      </c>
      <c r="AC38" s="1228" t="n"/>
      <c r="AD38" s="1228" t="n"/>
      <c r="AE38" s="1228" t="n"/>
      <c r="AF38" s="1231" t="n">
        <v>0.3299</v>
      </c>
      <c r="AG38" s="1231" t="n">
        <v>0.8113</v>
      </c>
      <c r="AH38" s="1231" t="n">
        <v>2.4145</v>
      </c>
      <c r="AI38" s="1231" t="n">
        <v>5.5843</v>
      </c>
      <c r="AJ38" s="1231" t="n">
        <v>7.9988</v>
      </c>
      <c r="AK38" s="1231" t="n">
        <v>5.1848</v>
      </c>
      <c r="AL38" s="1228" t="n"/>
      <c r="AM38" s="1229" t="inlineStr">
        <is>
          <t>Actual accrual; security $132,552 in Other</t>
        </is>
      </c>
    </row>
    <row r="39" ht="14.1" customHeight="1">
      <c r="A39" s="696" t="inlineStr">
        <is>
          <t>P016</t>
        </is>
      </c>
      <c r="B39" s="695" t="n">
        <v>584</v>
      </c>
      <c r="C39" s="696" t="inlineStr">
        <is>
          <t>R0212546/R0212547</t>
        </is>
      </c>
      <c r="D39" s="1195" t="inlineStr">
        <is>
          <t>2780 N Tower Rd</t>
        </is>
      </c>
      <c r="E39" s="696" t="inlineStr">
        <is>
          <t>Aurora</t>
        </is>
      </c>
      <c r="F39" s="696" t="inlineStr">
        <is>
          <t>CO</t>
        </is>
      </c>
      <c r="G39" s="696" t="inlineStr">
        <is>
          <t>Industrial</t>
        </is>
      </c>
      <c r="H39" s="1195"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1195" t="inlineStr">
        <is>
          <t>County proforma only; limited line-item detail available</t>
        </is>
      </c>
    </row>
    <row r="40" ht="14.1" customHeight="1">
      <c r="A40" s="1228" t="inlineStr">
        <is>
          <t>P017</t>
        </is>
      </c>
      <c r="B40" s="695" t="n">
        <v>210</v>
      </c>
      <c r="C40" s="1228" t="inlineStr">
        <is>
          <t>R0098098</t>
        </is>
      </c>
      <c r="D40" s="1229" t="inlineStr">
        <is>
          <t>1445 E 68th Ave</t>
        </is>
      </c>
      <c r="E40" s="1228" t="inlineStr">
        <is>
          <t>Denver</t>
        </is>
      </c>
      <c r="F40" s="1228" t="inlineStr">
        <is>
          <t>CO</t>
        </is>
      </c>
      <c r="G40" s="1228" t="inlineStr">
        <is>
          <t>Industrial</t>
        </is>
      </c>
      <c r="H40" s="1229" t="inlineStr">
        <is>
          <t>Industrial Office Mix</t>
        </is>
      </c>
      <c r="I40" s="1230" t="n">
        <v>1972</v>
      </c>
      <c r="J40" s="1230" t="n">
        <v>63348</v>
      </c>
      <c r="K40" s="1230" t="n">
        <v>2024</v>
      </c>
      <c r="L40" s="1228" t="n"/>
      <c r="M40" s="1228" t="n"/>
      <c r="N40" s="1228" t="n"/>
      <c r="O40" s="1228" t="n"/>
      <c r="P40" s="1228" t="n"/>
      <c r="Q40" s="1228" t="n"/>
      <c r="R40" s="1228" t="n"/>
      <c r="S40" s="1228" t="n"/>
      <c r="T40" s="1228" t="n"/>
      <c r="U40" s="1228" t="n"/>
      <c r="V40" s="1228" t="n"/>
      <c r="W40" s="1228" t="n"/>
      <c r="X40" s="1228" t="n"/>
      <c r="Y40" s="1228" t="n"/>
      <c r="Z40" s="1228" t="n"/>
      <c r="AA40" s="1228" t="n"/>
      <c r="AB40" s="1228" t="n"/>
      <c r="AC40" s="1228" t="n"/>
      <c r="AD40" s="1228" t="n"/>
      <c r="AE40" s="1228" t="n"/>
      <c r="AF40" s="1228" t="n"/>
      <c r="AG40" s="1228" t="n"/>
      <c r="AH40" s="1228" t="n"/>
      <c r="AI40" s="1228" t="n"/>
      <c r="AJ40" s="1228" t="n"/>
      <c r="AK40" s="1228" t="n"/>
      <c r="AL40" s="1228" t="n"/>
      <c r="AM40" s="1229" t="inlineStr">
        <is>
          <t>County proforma 2024; YOC 1972/2006/2023 additions</t>
        </is>
      </c>
    </row>
    <row r="41" ht="14.1" customHeight="1">
      <c r="A41" s="696" t="inlineStr">
        <is>
          <t>P018</t>
        </is>
      </c>
      <c r="B41" s="695" t="n">
        <v>406</v>
      </c>
      <c r="C41" s="696" t="inlineStr">
        <is>
          <t>R0103783</t>
        </is>
      </c>
      <c r="D41" s="1195" t="inlineStr">
        <is>
          <t>2031 E 58th Ave</t>
        </is>
      </c>
      <c r="E41" s="696" t="inlineStr">
        <is>
          <t>Denver</t>
        </is>
      </c>
      <c r="F41" s="696" t="inlineStr">
        <is>
          <t>CO</t>
        </is>
      </c>
      <c r="G41" s="696" t="inlineStr">
        <is>
          <t>Industrial</t>
        </is>
      </c>
      <c r="H41" s="1195"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1195" t="inlineStr">
        <is>
          <t>NNN billed charges; EGI = base rent + NNN pass-throughs</t>
        </is>
      </c>
    </row>
    <row r="42" ht="14.1" customHeight="1">
      <c r="A42" s="1228" t="inlineStr">
        <is>
          <t>P018</t>
        </is>
      </c>
      <c r="B42" s="695" t="n">
        <v>406</v>
      </c>
      <c r="C42" s="1228" t="inlineStr">
        <is>
          <t>R0103783</t>
        </is>
      </c>
      <c r="D42" s="1229" t="inlineStr">
        <is>
          <t>2031 E 58th Ave</t>
        </is>
      </c>
      <c r="E42" s="1228" t="inlineStr">
        <is>
          <t>Denver</t>
        </is>
      </c>
      <c r="F42" s="1228" t="inlineStr">
        <is>
          <t>CO</t>
        </is>
      </c>
      <c r="G42" s="1228" t="inlineStr">
        <is>
          <t>Industrial</t>
        </is>
      </c>
      <c r="H42" s="1229" t="inlineStr">
        <is>
          <t>Storage Warehouse / Mod Office NNN</t>
        </is>
      </c>
      <c r="I42" s="1230" t="n">
        <v>2004</v>
      </c>
      <c r="J42" s="1230" t="n">
        <v>18720</v>
      </c>
      <c r="K42" s="1230" t="n">
        <v>2023</v>
      </c>
      <c r="L42" s="1231" t="n">
        <v>13.0298</v>
      </c>
      <c r="M42" s="1228" t="n"/>
      <c r="N42" s="1231" t="n">
        <v>15.7619</v>
      </c>
      <c r="O42" s="1231" t="n">
        <v>0.2061</v>
      </c>
      <c r="P42" s="1228" t="n"/>
      <c r="Q42" s="1228" t="n"/>
      <c r="R42" s="1228" t="n"/>
      <c r="S42" s="1228" t="n"/>
      <c r="T42" s="1228" t="n"/>
      <c r="U42" s="1228" t="n"/>
      <c r="V42" s="1228" t="n"/>
      <c r="W42" s="1228" t="n"/>
      <c r="X42" s="1228" t="n"/>
      <c r="Y42" s="1228" t="n"/>
      <c r="Z42" s="1228" t="n"/>
      <c r="AA42" s="1228" t="n"/>
      <c r="AB42" s="1228" t="n"/>
      <c r="AC42" s="1231" t="n">
        <v>0.1296</v>
      </c>
      <c r="AD42" s="1228" t="n"/>
      <c r="AE42" s="1228" t="n"/>
      <c r="AF42" s="1228" t="n"/>
      <c r="AG42" s="1228" t="n"/>
      <c r="AH42" s="1231" t="n">
        <v>0.3357</v>
      </c>
      <c r="AI42" s="1231" t="n">
        <v>2.3964</v>
      </c>
      <c r="AJ42" s="1231" t="n">
        <v>2.7321</v>
      </c>
      <c r="AK42" s="1231" t="n">
        <v>13.0298</v>
      </c>
      <c r="AL42" s="1228" t="n"/>
      <c r="AM42" s="1229" t="inlineStr">
        <is>
          <t>NNN billed charges; EGI = base rent + NNN pass-throughs</t>
        </is>
      </c>
    </row>
    <row r="43" ht="14.1" customHeight="1">
      <c r="A43" s="696" t="inlineStr">
        <is>
          <t>P019</t>
        </is>
      </c>
      <c r="B43" s="695" t="n">
        <v>407</v>
      </c>
      <c r="C43" s="696" t="inlineStr">
        <is>
          <t>R0210402/R0210403</t>
        </is>
      </c>
      <c r="D43" s="1195" t="inlineStr">
        <is>
          <t>17190 E 85th Ave</t>
        </is>
      </c>
      <c r="E43" s="696" t="inlineStr">
        <is>
          <t>Commerce City</t>
        </is>
      </c>
      <c r="F43" s="696" t="inlineStr">
        <is>
          <t>CO</t>
        </is>
      </c>
      <c r="G43" s="696" t="inlineStr">
        <is>
          <t>Industrial</t>
        </is>
      </c>
      <c r="H43" s="1195"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1195" t="inlineStr">
        <is>
          <t>Petitioner proforma 2024/25; limited line-item detail</t>
        </is>
      </c>
    </row>
    <row r="44" ht="14.1" customHeight="1">
      <c r="A44" s="1228" t="inlineStr">
        <is>
          <t>P020</t>
        </is>
      </c>
      <c r="B44" s="695" t="n">
        <v>584</v>
      </c>
      <c r="C44" s="1228" t="inlineStr">
        <is>
          <t>R0209679</t>
        </is>
      </c>
      <c r="D44" s="1229" t="inlineStr">
        <is>
          <t>17501 E 84th Ave</t>
        </is>
      </c>
      <c r="E44" s="1228" t="inlineStr">
        <is>
          <t>Commerce City</t>
        </is>
      </c>
      <c r="F44" s="1228" t="inlineStr">
        <is>
          <t>CO</t>
        </is>
      </c>
      <c r="G44" s="1228" t="inlineStr">
        <is>
          <t>Industrial</t>
        </is>
      </c>
      <c r="H44" s="1229" t="inlineStr">
        <is>
          <t>Mega Warehouse / Distribution Center NNN (Lowe's)</t>
        </is>
      </c>
      <c r="I44" s="1230" t="n">
        <v>2021</v>
      </c>
      <c r="J44" s="1230" t="n">
        <v>999780</v>
      </c>
      <c r="K44" s="1230" t="n">
        <v>2023</v>
      </c>
      <c r="L44" s="1231" t="n">
        <v>12.3992</v>
      </c>
      <c r="M44" s="1228" t="n"/>
      <c r="N44" s="1231" t="n">
        <v>12.3992</v>
      </c>
      <c r="O44" s="1231" t="n">
        <v>0.1505</v>
      </c>
      <c r="P44" s="1231" t="n">
        <v>0.1005</v>
      </c>
      <c r="Q44" s="1228" t="n"/>
      <c r="R44" s="1228" t="n"/>
      <c r="S44" s="1228" t="n"/>
      <c r="T44" s="1228" t="n"/>
      <c r="U44" s="1228" t="n"/>
      <c r="V44" s="1228" t="n"/>
      <c r="W44" s="1228" t="n"/>
      <c r="X44" s="1228" t="n"/>
      <c r="Y44" s="1231" t="n">
        <v>0.0533</v>
      </c>
      <c r="Z44" s="1228" t="n"/>
      <c r="AA44" s="1231" t="n">
        <v>0.0508</v>
      </c>
      <c r="AB44" s="1231" t="n">
        <v>0.1178</v>
      </c>
      <c r="AC44" s="1228" t="n"/>
      <c r="AD44" s="1228" t="n"/>
      <c r="AE44" s="1228" t="n"/>
      <c r="AF44" s="1228" t="n"/>
      <c r="AG44" s="1231" t="n">
        <v>0.008399999999999999</v>
      </c>
      <c r="AH44" s="1231" t="n">
        <v>1.355</v>
      </c>
      <c r="AI44" s="1231" t="n">
        <v>4.9234</v>
      </c>
      <c r="AJ44" s="1231" t="n">
        <v>8.2796</v>
      </c>
      <c r="AK44" s="1231" t="n">
        <v>4.1196</v>
      </c>
      <c r="AL44" s="1228" t="n"/>
      <c r="AM44" s="1229" t="inlineStr">
        <is>
          <t>Actual accrual; 2023 NOI inflated ~$2.8M by prior-yr RE tax adj; security in Other</t>
        </is>
      </c>
    </row>
    <row r="45" ht="14.1" customHeight="1">
      <c r="A45" s="696" t="inlineStr">
        <is>
          <t>P020</t>
        </is>
      </c>
      <c r="B45" s="695" t="n">
        <v>584</v>
      </c>
      <c r="C45" s="696" t="inlineStr">
        <is>
          <t>R0209679</t>
        </is>
      </c>
      <c r="D45" s="1195" t="inlineStr">
        <is>
          <t>17501 E 84th Ave</t>
        </is>
      </c>
      <c r="E45" s="696" t="inlineStr">
        <is>
          <t>Commerce City</t>
        </is>
      </c>
      <c r="F45" s="696" t="inlineStr">
        <is>
          <t>CO</t>
        </is>
      </c>
      <c r="G45" s="696" t="inlineStr">
        <is>
          <t>Industrial</t>
        </is>
      </c>
      <c r="H45" s="1195"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1195" t="inlineStr">
        <is>
          <t>Actual accrual; security $30,799 in Other</t>
        </is>
      </c>
    </row>
    <row r="46" ht="14.1" customHeight="1">
      <c r="A46" s="1228" t="inlineStr">
        <is>
          <t>P021</t>
        </is>
      </c>
      <c r="B46" s="695" t="n">
        <v>210</v>
      </c>
      <c r="C46" s="1228" t="inlineStr">
        <is>
          <t>R0091931</t>
        </is>
      </c>
      <c r="D46" s="1229" t="inlineStr">
        <is>
          <t>6300 E. 58th Ave</t>
        </is>
      </c>
      <c r="E46" s="1228" t="inlineStr">
        <is>
          <t>Commerce City</t>
        </is>
      </c>
      <c r="F46" s="1228" t="inlineStr">
        <is>
          <t>CO</t>
        </is>
      </c>
      <c r="G46" s="1228" t="inlineStr">
        <is>
          <t>Industrial</t>
        </is>
      </c>
      <c r="H46" s="1229" t="inlineStr">
        <is>
          <t>Multi-Tenant Industrial/Flex</t>
        </is>
      </c>
      <c r="I46" s="1230" t="n">
        <v>1999</v>
      </c>
      <c r="J46" s="1230" t="n">
        <v>90000</v>
      </c>
      <c r="K46" s="1230" t="n">
        <v>2023</v>
      </c>
      <c r="L46" s="1231" t="n">
        <v>10.5459</v>
      </c>
      <c r="M46" s="1228" t="n"/>
      <c r="N46" s="1231" t="n">
        <v>13.7594</v>
      </c>
      <c r="O46" s="1231" t="n">
        <v>0.176</v>
      </c>
      <c r="P46" s="1231" t="n">
        <v>0.516</v>
      </c>
      <c r="Q46" s="1231" t="n">
        <v>0.0441</v>
      </c>
      <c r="R46" s="1228" t="n"/>
      <c r="S46" s="1231" t="n">
        <v>0.3032</v>
      </c>
      <c r="T46" s="1231" t="n">
        <v>0.0731</v>
      </c>
      <c r="U46" s="1228" t="n"/>
      <c r="V46" s="1228" t="n"/>
      <c r="W46" s="1228" t="n"/>
      <c r="X46" s="1231" t="n">
        <v>0.2579</v>
      </c>
      <c r="Y46" s="1231" t="n">
        <v>0.6783</v>
      </c>
      <c r="Z46" s="1231" t="n">
        <v>0.0103</v>
      </c>
      <c r="AA46" s="1231" t="n">
        <v>0.0531</v>
      </c>
      <c r="AB46" s="1231" t="n">
        <v>0.1252</v>
      </c>
      <c r="AC46" s="1231" t="n">
        <v>0.1886</v>
      </c>
      <c r="AD46" s="1231" t="n">
        <v>0.1574</v>
      </c>
      <c r="AE46" s="1231" t="n">
        <v>0.0621</v>
      </c>
      <c r="AF46" s="1231" t="n">
        <v>0.2196</v>
      </c>
      <c r="AG46" s="1228" t="n"/>
      <c r="AH46" s="1231" t="n">
        <v>1.8054</v>
      </c>
      <c r="AI46" s="1231" t="n">
        <v>3.1511</v>
      </c>
      <c r="AJ46" s="1231" t="n">
        <v>4.9565</v>
      </c>
      <c r="AK46" s="1231" t="n">
        <v>8.802899999999999</v>
      </c>
      <c r="AL46" s="1228" t="n"/>
      <c r="AM46" s="1229" t="inlineStr">
        <is>
          <t>Actual accrual; parking sweep in Trash; admin fees in Mgmt</t>
        </is>
      </c>
    </row>
    <row r="47" ht="14.1" customHeight="1">
      <c r="A47" s="696" t="inlineStr">
        <is>
          <t>P021</t>
        </is>
      </c>
      <c r="B47" s="695" t="n">
        <v>210</v>
      </c>
      <c r="C47" s="696" t="inlineStr">
        <is>
          <t>R0091931</t>
        </is>
      </c>
      <c r="D47" s="1195" t="inlineStr">
        <is>
          <t>6300 E. 58th Ave</t>
        </is>
      </c>
      <c r="E47" s="696" t="inlineStr">
        <is>
          <t>Commerce City</t>
        </is>
      </c>
      <c r="F47" s="696" t="inlineStr">
        <is>
          <t>CO</t>
        </is>
      </c>
      <c r="G47" s="696" t="inlineStr">
        <is>
          <t>Industrial</t>
        </is>
      </c>
      <c r="H47" s="1195"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1195" t="inlineStr">
        <is>
          <t>Actual accrual; snow $14,953 also listed under ext R&amp;M; security/admin in ext maint</t>
        </is>
      </c>
    </row>
    <row r="48" ht="14.1" customHeight="1">
      <c r="A48" s="1228" t="inlineStr">
        <is>
          <t>P022</t>
        </is>
      </c>
      <c r="B48" s="695" t="n">
        <v>210</v>
      </c>
      <c r="C48" s="1228" t="inlineStr">
        <is>
          <t>R0111559</t>
        </is>
      </c>
      <c r="D48" s="1229" t="inlineStr">
        <is>
          <t>3590 N. Himalaya Rd (Bldg 6)</t>
        </is>
      </c>
      <c r="E48" s="1228" t="inlineStr">
        <is>
          <t>Aurora</t>
        </is>
      </c>
      <c r="F48" s="1228" t="inlineStr">
        <is>
          <t>CO</t>
        </is>
      </c>
      <c r="G48" s="1228" t="inlineStr">
        <is>
          <t>Industrial</t>
        </is>
      </c>
      <c r="H48" s="1229" t="inlineStr">
        <is>
          <t>Multi-Tenant Industrial/Flex NNN</t>
        </is>
      </c>
      <c r="I48" s="1230" t="n"/>
      <c r="J48" s="1230" t="n"/>
      <c r="K48" s="1230" t="n">
        <v>2024</v>
      </c>
      <c r="L48" s="1233" t="n">
        <v>548918</v>
      </c>
      <c r="M48" s="1228" t="n"/>
      <c r="N48" s="1233" t="n">
        <v>766859</v>
      </c>
      <c r="O48" s="1233" t="n">
        <v>23025</v>
      </c>
      <c r="P48" s="1228" t="n"/>
      <c r="Q48" s="1228" t="n"/>
      <c r="R48" s="1228" t="n"/>
      <c r="S48" s="1228" t="n"/>
      <c r="T48" s="1228" t="n"/>
      <c r="U48" s="1228" t="n"/>
      <c r="V48" s="1228" t="n"/>
      <c r="W48" s="1228" t="n"/>
      <c r="X48" s="1228" t="n"/>
      <c r="Y48" s="1228" t="n"/>
      <c r="Z48" s="1228" t="n"/>
      <c r="AA48" s="1228" t="n"/>
      <c r="AB48" s="1228" t="n"/>
      <c r="AC48" s="1228" t="n"/>
      <c r="AD48" s="1233" t="n">
        <v>7986</v>
      </c>
      <c r="AE48" s="1233" t="n">
        <v>33669</v>
      </c>
      <c r="AF48" s="1233" t="n">
        <v>41655</v>
      </c>
      <c r="AG48" s="1228" t="n"/>
      <c r="AH48" s="1228" t="n"/>
      <c r="AI48" s="1233" t="n">
        <v>129107</v>
      </c>
      <c r="AJ48" s="1233" t="n">
        <v>250157</v>
      </c>
      <c r="AK48" s="1233" t="n">
        <v>374789</v>
      </c>
      <c r="AL48" s="1228" t="n"/>
      <c r="AM48" s="1229" t="inlineStr">
        <is>
          <t>[NO SF] 2024 only – 2023 was transitional vacancy year; SF not confirmed; approx figures</t>
        </is>
      </c>
    </row>
    <row r="49" ht="14.1" customHeight="1">
      <c r="A49" s="696" t="inlineStr">
        <is>
          <t>P023</t>
        </is>
      </c>
      <c r="B49" s="695" t="n">
        <v>407</v>
      </c>
      <c r="C49" s="696" t="inlineStr">
        <is>
          <t>R0191098</t>
        </is>
      </c>
      <c r="D49" s="1195" t="inlineStr">
        <is>
          <t>19754 E. 35th Dr (Bldg 4)</t>
        </is>
      </c>
      <c r="E49" s="696" t="inlineStr">
        <is>
          <t>Aurora</t>
        </is>
      </c>
      <c r="F49" s="696" t="inlineStr">
        <is>
          <t>CO</t>
        </is>
      </c>
      <c r="G49" s="696" t="inlineStr">
        <is>
          <t>Industrial</t>
        </is>
      </c>
      <c r="H49" s="1195"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1195" t="inlineStr">
        <is>
          <t>NNN; tenant pays most R&amp;M directly; Quality Custom Distribution lease thru 12/31/2029</t>
        </is>
      </c>
    </row>
    <row r="50" ht="14.1" customHeight="1">
      <c r="A50" s="1228" t="inlineStr">
        <is>
          <t>P023</t>
        </is>
      </c>
      <c r="B50" s="695" t="n">
        <v>407</v>
      </c>
      <c r="C50" s="1228" t="inlineStr">
        <is>
          <t>R0191098</t>
        </is>
      </c>
      <c r="D50" s="1229" t="inlineStr">
        <is>
          <t>19754 E. 35th Dr (Bldg 4)</t>
        </is>
      </c>
      <c r="E50" s="1228" t="inlineStr">
        <is>
          <t>Aurora</t>
        </is>
      </c>
      <c r="F50" s="1228" t="inlineStr">
        <is>
          <t>CO</t>
        </is>
      </c>
      <c r="G50" s="1228" t="inlineStr">
        <is>
          <t>Industrial</t>
        </is>
      </c>
      <c r="H50" s="1229" t="inlineStr">
        <is>
          <t>Single-Tenant Industrial NNN</t>
        </is>
      </c>
      <c r="I50" s="1230" t="n"/>
      <c r="J50" s="1230" t="n">
        <v>155033</v>
      </c>
      <c r="K50" s="1230" t="n">
        <v>2024</v>
      </c>
      <c r="L50" s="1231" t="n">
        <v>6.5223</v>
      </c>
      <c r="M50" s="1228" t="n"/>
      <c r="N50" s="1231" t="n">
        <v>6.5223</v>
      </c>
      <c r="O50" s="1231" t="n">
        <v>0.183</v>
      </c>
      <c r="P50" s="1231" t="n">
        <v>0.1894</v>
      </c>
      <c r="Q50" s="1228" t="n"/>
      <c r="R50" s="1228" t="n"/>
      <c r="S50" s="1228" t="n"/>
      <c r="T50" s="1228" t="n"/>
      <c r="U50" s="1228" t="n"/>
      <c r="V50" s="1228" t="n"/>
      <c r="W50" s="1228" t="n"/>
      <c r="X50" s="1228" t="n"/>
      <c r="Y50" s="1228" t="n"/>
      <c r="Z50" s="1228" t="n"/>
      <c r="AA50" s="1228" t="n"/>
      <c r="AB50" s="1228" t="n"/>
      <c r="AC50" s="1228" t="n"/>
      <c r="AD50" s="1231" t="n">
        <v>0.2365</v>
      </c>
      <c r="AE50" s="1231" t="n">
        <v>0.1764</v>
      </c>
      <c r="AF50" s="1231" t="n">
        <v>0.4129</v>
      </c>
      <c r="AG50" s="1228" t="n"/>
      <c r="AH50" s="1231" t="n">
        <v>1.7082</v>
      </c>
      <c r="AI50" s="1231" t="n">
        <v>0.7799</v>
      </c>
      <c r="AJ50" s="1231" t="n">
        <v>2.4881</v>
      </c>
      <c r="AK50" s="1231" t="n">
        <v>4.0342</v>
      </c>
      <c r="AL50" s="1228" t="n"/>
      <c r="AM50" s="1229" t="inlineStr">
        <is>
          <t>NNN; tenant pays most R&amp;M directly</t>
        </is>
      </c>
    </row>
    <row r="51" ht="14.1" customHeight="1">
      <c r="A51" s="696" t="inlineStr">
        <is>
          <t>P024</t>
        </is>
      </c>
      <c r="B51" s="695" t="n">
        <v>407</v>
      </c>
      <c r="C51" s="696" t="inlineStr">
        <is>
          <t>R0111560</t>
        </is>
      </c>
      <c r="D51" s="1195" t="inlineStr">
        <is>
          <t>20320 E. 36th Dr (Bldg 7)</t>
        </is>
      </c>
      <c r="E51" s="696" t="inlineStr">
        <is>
          <t>Aurora</t>
        </is>
      </c>
      <c r="F51" s="696" t="inlineStr">
        <is>
          <t>CO</t>
        </is>
      </c>
      <c r="G51" s="696" t="inlineStr">
        <is>
          <t>Industrial</t>
        </is>
      </c>
      <c r="H51" s="1195"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1195" t="inlineStr">
        <is>
          <t>FedEx NNN thru 4/30/2024; tenant pays nearly all expenses; 2024 excluded (lease expiry vacancy)</t>
        </is>
      </c>
    </row>
    <row r="52" ht="14.1" customHeight="1">
      <c r="A52" s="1228" t="inlineStr">
        <is>
          <t>P025</t>
        </is>
      </c>
      <c r="B52" s="695" t="n">
        <v>210</v>
      </c>
      <c r="C52" s="1228" t="inlineStr">
        <is>
          <t>R0191099</t>
        </is>
      </c>
      <c r="D52" s="1229" t="inlineStr">
        <is>
          <t>3559 N. Himalaya Rd (Bldg 5)</t>
        </is>
      </c>
      <c r="E52" s="1228" t="inlineStr">
        <is>
          <t>Aurora</t>
        </is>
      </c>
      <c r="F52" s="1228" t="inlineStr">
        <is>
          <t>CO</t>
        </is>
      </c>
      <c r="G52" s="1228" t="inlineStr">
        <is>
          <t>Industrial</t>
        </is>
      </c>
      <c r="H52" s="1229" t="inlineStr">
        <is>
          <t>Multi-Tenant Industrial NNN</t>
        </is>
      </c>
      <c r="I52" s="1230" t="n"/>
      <c r="J52" s="1230" t="n">
        <v>159047</v>
      </c>
      <c r="K52" s="1230" t="n">
        <v>2023</v>
      </c>
      <c r="L52" s="1228" t="n"/>
      <c r="M52" s="1228" t="n"/>
      <c r="N52" s="1231" t="n">
        <v>13.4944</v>
      </c>
      <c r="O52" s="1228" t="n"/>
      <c r="P52" s="1231" t="n">
        <v>0.0367</v>
      </c>
      <c r="Q52" s="1228" t="n"/>
      <c r="R52" s="1228" t="n"/>
      <c r="S52" s="1228" t="n"/>
      <c r="T52" s="1228" t="n"/>
      <c r="U52" s="1228" t="n"/>
      <c r="V52" s="1228" t="n"/>
      <c r="W52" s="1228" t="n"/>
      <c r="X52" s="1228" t="n"/>
      <c r="Y52" s="1228" t="n"/>
      <c r="Z52" s="1228" t="n"/>
      <c r="AA52" s="1228" t="n"/>
      <c r="AB52" s="1231" t="n">
        <v>0.0177</v>
      </c>
      <c r="AC52" s="1228" t="n"/>
      <c r="AD52" s="1228" t="n"/>
      <c r="AE52" s="1228" t="n"/>
      <c r="AF52" s="1228" t="n"/>
      <c r="AG52" s="1228" t="n"/>
      <c r="AH52" s="1228" t="n"/>
      <c r="AI52" s="1228" t="n"/>
      <c r="AJ52" s="1231" t="n">
        <v>6.3824</v>
      </c>
      <c r="AK52" s="1231" t="n">
        <v>7.112</v>
      </c>
      <c r="AL52" s="1228" t="n"/>
      <c r="AM52" s="1229" t="inlineStr">
        <is>
          <t>Multi-tenant NNN; limited expense detail available; approx figures</t>
        </is>
      </c>
    </row>
    <row r="53" ht="14.1" customHeight="1">
      <c r="A53" s="696" t="inlineStr">
        <is>
          <t>P025</t>
        </is>
      </c>
      <c r="B53" s="695" t="n">
        <v>210</v>
      </c>
      <c r="C53" s="696" t="inlineStr">
        <is>
          <t>R0191099</t>
        </is>
      </c>
      <c r="D53" s="1195" t="inlineStr">
        <is>
          <t>3559 N. Himalaya Rd (Bldg 5)</t>
        </is>
      </c>
      <c r="E53" s="696" t="inlineStr">
        <is>
          <t>Aurora</t>
        </is>
      </c>
      <c r="F53" s="696" t="inlineStr">
        <is>
          <t>CO</t>
        </is>
      </c>
      <c r="G53" s="696" t="inlineStr">
        <is>
          <t>Industrial</t>
        </is>
      </c>
      <c r="H53" s="1195"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1195" t="inlineStr">
        <is>
          <t>Multi-tenant NNN; limited expense detail available; approx figures</t>
        </is>
      </c>
    </row>
    <row r="54" ht="14.1" customHeight="1">
      <c r="A54" s="1228" t="inlineStr">
        <is>
          <t>P026</t>
        </is>
      </c>
      <c r="B54" s="695" t="n">
        <v>406</v>
      </c>
      <c r="C54" s="1228" t="inlineStr">
        <is>
          <t>R0092667</t>
        </is>
      </c>
      <c r="D54" s="1229" t="inlineStr">
        <is>
          <t>4901 Locust St</t>
        </is>
      </c>
      <c r="E54" s="1228" t="inlineStr">
        <is>
          <t>Commerce City</t>
        </is>
      </c>
      <c r="F54" s="1228" t="inlineStr">
        <is>
          <t>CO</t>
        </is>
      </c>
      <c r="G54" s="1228" t="inlineStr">
        <is>
          <t>Industrial</t>
        </is>
      </c>
      <c r="H54" s="1229" t="inlineStr">
        <is>
          <t>Industrial Warehouse</t>
        </is>
      </c>
      <c r="I54" s="1230" t="n"/>
      <c r="J54" s="1230" t="n">
        <v>29512</v>
      </c>
      <c r="K54" s="1230" t="n">
        <v>2024</v>
      </c>
      <c r="L54" s="1228" t="n"/>
      <c r="M54" s="1228" t="n"/>
      <c r="N54" s="1231" t="n">
        <v>14.2131</v>
      </c>
      <c r="O54" s="1231" t="n">
        <v>0.15</v>
      </c>
      <c r="P54" s="1231" t="n">
        <v>0.3553</v>
      </c>
      <c r="Q54" s="1228" t="n"/>
      <c r="R54" s="1228" t="n"/>
      <c r="S54" s="1228" t="n"/>
      <c r="T54" s="1228" t="n"/>
      <c r="U54" s="1228" t="n"/>
      <c r="V54" s="1228" t="n"/>
      <c r="W54" s="1228" t="n"/>
      <c r="X54" s="1231" t="n">
        <v>0.55</v>
      </c>
      <c r="Y54" s="1231" t="n">
        <v>0.55</v>
      </c>
      <c r="Z54" s="1228" t="n"/>
      <c r="AA54" s="1228" t="n"/>
      <c r="AB54" s="1228" t="n"/>
      <c r="AC54" s="1228" t="n"/>
      <c r="AD54" s="1228" t="n"/>
      <c r="AE54" s="1228" t="n"/>
      <c r="AF54" s="1231" t="n">
        <v>0.25</v>
      </c>
      <c r="AG54" s="1231" t="n">
        <v>0.5</v>
      </c>
      <c r="AH54" s="1231" t="n">
        <v>2.0053</v>
      </c>
      <c r="AI54" s="1231" t="n">
        <v>3.315</v>
      </c>
      <c r="AJ54" s="1231" t="n">
        <v>5.3203</v>
      </c>
      <c r="AK54" s="1231" t="n">
        <v>8.892799999999999</v>
      </c>
      <c r="AL54" s="1231" t="n">
        <v>0.2</v>
      </c>
      <c r="AM54" s="1229" t="inlineStr">
        <is>
          <t>Newmark stabilized proforma 6/30/2024; cap rate 7.00%; not actual historical</t>
        </is>
      </c>
    </row>
    <row r="55" ht="14.1" customHeight="1">
      <c r="A55" s="696" t="inlineStr">
        <is>
          <t>P022</t>
        </is>
      </c>
      <c r="B55" s="695" t="n">
        <v>210</v>
      </c>
      <c r="C55" s="696" t="inlineStr">
        <is>
          <t>R0111559</t>
        </is>
      </c>
      <c r="D55" s="1195" t="inlineStr">
        <is>
          <t>3590 N. Himalaya Rd (Bldg 6)</t>
        </is>
      </c>
      <c r="E55" s="696" t="inlineStr">
        <is>
          <t>Aurora</t>
        </is>
      </c>
      <c r="F55" s="696" t="inlineStr">
        <is>
          <t>CO</t>
        </is>
      </c>
      <c r="G55" s="696" t="inlineStr">
        <is>
          <t>Industrial</t>
        </is>
      </c>
      <c r="H55" s="1195"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1195" t="inlineStr">
        <is>
          <t>NNN landlord expenses only; from AXG Whse Expenses PSF.xlsx</t>
        </is>
      </c>
    </row>
    <row r="56" ht="14.1" customHeight="1">
      <c r="A56" s="1228" t="inlineStr">
        <is>
          <t>P022</t>
        </is>
      </c>
      <c r="B56" s="695" t="n">
        <v>210</v>
      </c>
      <c r="C56" s="1228" t="inlineStr">
        <is>
          <t>R0111559</t>
        </is>
      </c>
      <c r="D56" s="1229" t="inlineStr">
        <is>
          <t>3590 N. Himalaya Rd (Bldg 6)</t>
        </is>
      </c>
      <c r="E56" s="1228" t="inlineStr">
        <is>
          <t>Aurora</t>
        </is>
      </c>
      <c r="F56" s="1228" t="inlineStr">
        <is>
          <t>CO</t>
        </is>
      </c>
      <c r="G56" s="1228" t="inlineStr">
        <is>
          <t>Industrial</t>
        </is>
      </c>
      <c r="H56" s="1229" t="inlineStr">
        <is>
          <t>Multi-Tenant Industrial/Flex NNN</t>
        </is>
      </c>
      <c r="I56" s="1230" t="n">
        <v>1998</v>
      </c>
      <c r="J56" s="1230" t="n">
        <v>123603</v>
      </c>
      <c r="K56" s="1230" t="n">
        <v>2022</v>
      </c>
      <c r="L56" s="1228" t="n"/>
      <c r="M56" s="1228" t="n"/>
      <c r="N56" s="1228" t="n"/>
      <c r="O56" s="1231" t="n">
        <v>0.0893</v>
      </c>
      <c r="P56" s="1231" t="n">
        <v>0.3221</v>
      </c>
      <c r="Q56" s="1228" t="n"/>
      <c r="R56" s="1228" t="n"/>
      <c r="S56" s="1228" t="n"/>
      <c r="T56" s="1228" t="n"/>
      <c r="U56" s="1228" t="n"/>
      <c r="V56" s="1228" t="n"/>
      <c r="W56" s="1228" t="n"/>
      <c r="X56" s="1228" t="n"/>
      <c r="Y56" s="1228" t="n"/>
      <c r="Z56" s="1228" t="n"/>
      <c r="AA56" s="1228" t="n"/>
      <c r="AB56" s="1228" t="n"/>
      <c r="AC56" s="1231" t="n">
        <v>0.7439</v>
      </c>
      <c r="AD56" s="1228" t="n"/>
      <c r="AE56" s="1228" t="n"/>
      <c r="AF56" s="1231" t="n">
        <v>0.3112</v>
      </c>
      <c r="AG56" s="1228" t="n"/>
      <c r="AH56" s="1231" t="n">
        <v>1.4664</v>
      </c>
      <c r="AI56" s="1231" t="n">
        <v>2.5796</v>
      </c>
      <c r="AJ56" s="1231" t="n">
        <v>4.046</v>
      </c>
      <c r="AK56" s="1228" t="n"/>
      <c r="AL56" s="1228" t="n"/>
      <c r="AM56" s="1229" t="inlineStr">
        <is>
          <t>NNN landlord expenses only; from AXG Whse Expenses PSF.xlsx</t>
        </is>
      </c>
    </row>
    <row r="57" ht="14.1" customHeight="1">
      <c r="A57" s="696" t="inlineStr">
        <is>
          <t>P024</t>
        </is>
      </c>
      <c r="B57" s="695" t="n">
        <v>407</v>
      </c>
      <c r="C57" s="696" t="inlineStr">
        <is>
          <t>R0111560</t>
        </is>
      </c>
      <c r="D57" s="1195" t="inlineStr">
        <is>
          <t>20320 E. 36th Dr (Bldg 7)</t>
        </is>
      </c>
      <c r="E57" s="696" t="inlineStr">
        <is>
          <t>Aurora</t>
        </is>
      </c>
      <c r="F57" s="696" t="inlineStr">
        <is>
          <t>CO</t>
        </is>
      </c>
      <c r="G57" s="696" t="inlineStr">
        <is>
          <t>Industrial</t>
        </is>
      </c>
      <c r="H57" s="1195"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1195" t="inlineStr">
        <is>
          <t>NNN landlord expenses only; from AXG Whse Expenses PSF.xlsx</t>
        </is>
      </c>
    </row>
    <row r="58" ht="14.1" customHeight="1">
      <c r="A58" s="1228" t="inlineStr">
        <is>
          <t>P024</t>
        </is>
      </c>
      <c r="B58" s="695" t="n">
        <v>407</v>
      </c>
      <c r="C58" s="1228" t="inlineStr">
        <is>
          <t>R0111560</t>
        </is>
      </c>
      <c r="D58" s="1229" t="inlineStr">
        <is>
          <t>20320 E. 36th Dr (Bldg 7)</t>
        </is>
      </c>
      <c r="E58" s="1228" t="inlineStr">
        <is>
          <t>Aurora</t>
        </is>
      </c>
      <c r="F58" s="1228" t="inlineStr">
        <is>
          <t>CO</t>
        </is>
      </c>
      <c r="G58" s="1228" t="inlineStr">
        <is>
          <t>Industrial</t>
        </is>
      </c>
      <c r="H58" s="1229" t="inlineStr">
        <is>
          <t>Single-Tenant Industrial NNN</t>
        </is>
      </c>
      <c r="I58" s="1230" t="n">
        <v>1998</v>
      </c>
      <c r="J58" s="1230" t="n">
        <v>199962</v>
      </c>
      <c r="K58" s="1230" t="n">
        <v>2020</v>
      </c>
      <c r="L58" s="1228" t="n"/>
      <c r="M58" s="1228" t="n"/>
      <c r="N58" s="1228" t="n"/>
      <c r="O58" s="1231" t="n">
        <v>0.0484</v>
      </c>
      <c r="P58" s="1231" t="n">
        <v>0.1332</v>
      </c>
      <c r="Q58" s="1228" t="n"/>
      <c r="R58" s="1228" t="n"/>
      <c r="S58" s="1228" t="n"/>
      <c r="T58" s="1228" t="n"/>
      <c r="U58" s="1228" t="n"/>
      <c r="V58" s="1228" t="n"/>
      <c r="W58" s="1228" t="n"/>
      <c r="X58" s="1228" t="n"/>
      <c r="Y58" s="1228" t="n"/>
      <c r="Z58" s="1228" t="n"/>
      <c r="AA58" s="1228" t="n"/>
      <c r="AB58" s="1228" t="n"/>
      <c r="AC58" s="1231" t="n">
        <v>0.7242</v>
      </c>
      <c r="AD58" s="1228" t="n"/>
      <c r="AE58" s="1228" t="n"/>
      <c r="AF58" s="1228" t="n"/>
      <c r="AG58" s="1228" t="n"/>
      <c r="AH58" s="1231" t="n">
        <v>0.9058</v>
      </c>
      <c r="AI58" s="1231" t="n">
        <v>2.0784</v>
      </c>
      <c r="AJ58" s="1231" t="n">
        <v>2.9841</v>
      </c>
      <c r="AK58" s="1228" t="n"/>
      <c r="AL58" s="1228" t="n"/>
      <c r="AM58" s="1229" t="inlineStr">
        <is>
          <t>NNN landlord expenses only; from AXG Whse Expenses PSF.xlsx</t>
        </is>
      </c>
    </row>
    <row r="59" ht="14.1" customHeight="1">
      <c r="A59" s="696" t="inlineStr">
        <is>
          <t>P025</t>
        </is>
      </c>
      <c r="B59" s="695" t="n">
        <v>210</v>
      </c>
      <c r="C59" s="696" t="inlineStr">
        <is>
          <t>R0191099</t>
        </is>
      </c>
      <c r="D59" s="1195" t="inlineStr">
        <is>
          <t>3559 N. Himalaya Rd (Bldg 5)</t>
        </is>
      </c>
      <c r="E59" s="696" t="inlineStr">
        <is>
          <t>Aurora</t>
        </is>
      </c>
      <c r="F59" s="696" t="inlineStr">
        <is>
          <t>CO</t>
        </is>
      </c>
      <c r="G59" s="696" t="inlineStr">
        <is>
          <t>Industrial</t>
        </is>
      </c>
      <c r="H59" s="1195"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1195" t="inlineStr">
        <is>
          <t>NNN landlord expenses only; from AXG Whse Expenses PSF.xlsx</t>
        </is>
      </c>
    </row>
    <row r="60" ht="14.1" customHeight="1">
      <c r="A60" s="1228" t="inlineStr">
        <is>
          <t>P025</t>
        </is>
      </c>
      <c r="B60" s="695" t="n">
        <v>210</v>
      </c>
      <c r="C60" s="1228" t="inlineStr">
        <is>
          <t>R0191099</t>
        </is>
      </c>
      <c r="D60" s="1229" t="inlineStr">
        <is>
          <t>3559 N. Himalaya Rd (Bldg 5)</t>
        </is>
      </c>
      <c r="E60" s="1228" t="inlineStr">
        <is>
          <t>Aurora</t>
        </is>
      </c>
      <c r="F60" s="1228" t="inlineStr">
        <is>
          <t>CO</t>
        </is>
      </c>
      <c r="G60" s="1228" t="inlineStr">
        <is>
          <t>Industrial</t>
        </is>
      </c>
      <c r="H60" s="1229" t="inlineStr">
        <is>
          <t>Multi-Tenant Industrial NNN</t>
        </is>
      </c>
      <c r="I60" s="1230" t="n">
        <v>2017</v>
      </c>
      <c r="J60" s="1230" t="n">
        <v>159047</v>
      </c>
      <c r="K60" s="1230" t="n">
        <v>2022</v>
      </c>
      <c r="L60" s="1228" t="n"/>
      <c r="M60" s="1228" t="n"/>
      <c r="N60" s="1228" t="n"/>
      <c r="O60" s="1231" t="n">
        <v>0.1017</v>
      </c>
      <c r="P60" s="1231" t="n">
        <v>0.3102</v>
      </c>
      <c r="Q60" s="1228" t="n"/>
      <c r="R60" s="1228" t="n"/>
      <c r="S60" s="1228" t="n"/>
      <c r="T60" s="1228" t="n"/>
      <c r="U60" s="1228" t="n"/>
      <c r="V60" s="1228" t="n"/>
      <c r="W60" s="1228" t="n"/>
      <c r="X60" s="1228" t="n"/>
      <c r="Y60" s="1228" t="n"/>
      <c r="Z60" s="1228" t="n"/>
      <c r="AA60" s="1228" t="n"/>
      <c r="AB60" s="1228" t="n"/>
      <c r="AC60" s="1231" t="n">
        <v>0.3353</v>
      </c>
      <c r="AD60" s="1228" t="n"/>
      <c r="AE60" s="1228" t="n"/>
      <c r="AF60" s="1231" t="n">
        <v>0.3232</v>
      </c>
      <c r="AG60" s="1228" t="n"/>
      <c r="AH60" s="1231" t="n">
        <v>1.0704</v>
      </c>
      <c r="AI60" s="1231" t="n">
        <v>2.9479</v>
      </c>
      <c r="AJ60" s="1231" t="n">
        <v>4.0183</v>
      </c>
      <c r="AK60" s="1228" t="n"/>
      <c r="AL60" s="1228" t="n"/>
      <c r="AM60" s="1229" t="inlineStr">
        <is>
          <t>NNN landlord expenses only; from AXG Whse Expenses PSF.xlsx</t>
        </is>
      </c>
    </row>
    <row r="61" ht="14.1" customHeight="1">
      <c r="A61" s="696" t="inlineStr">
        <is>
          <t>P027</t>
        </is>
      </c>
      <c r="B61" s="695" t="n">
        <v>407</v>
      </c>
      <c r="C61" s="696" t="inlineStr">
        <is>
          <t>R0132030</t>
        </is>
      </c>
      <c r="D61" s="1195" t="inlineStr">
        <is>
          <t>Majestic Commercenter (R0132030)</t>
        </is>
      </c>
      <c r="E61" s="696" t="inlineStr">
        <is>
          <t>Commerce City</t>
        </is>
      </c>
      <c r="F61" s="696" t="inlineStr">
        <is>
          <t>CO</t>
        </is>
      </c>
      <c r="G61" s="696" t="inlineStr">
        <is>
          <t>Industrial</t>
        </is>
      </c>
      <c r="H61" s="1195"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1195" t="inlineStr">
        <is>
          <t>NNN landlord expenses only; from AXG Whse Expenses PSF.xlsx (R0132030)</t>
        </is>
      </c>
    </row>
    <row r="62" ht="14.1" customHeight="1">
      <c r="A62" s="1228" t="inlineStr">
        <is>
          <t>P027</t>
        </is>
      </c>
      <c r="B62" s="695" t="n">
        <v>407</v>
      </c>
      <c r="C62" s="1228" t="inlineStr">
        <is>
          <t>R0132030</t>
        </is>
      </c>
      <c r="D62" s="1229" t="inlineStr">
        <is>
          <t>Majestic Commercenter (R0132030)</t>
        </is>
      </c>
      <c r="E62" s="1228" t="inlineStr">
        <is>
          <t>Commerce City</t>
        </is>
      </c>
      <c r="F62" s="1228" t="inlineStr">
        <is>
          <t>CO</t>
        </is>
      </c>
      <c r="G62" s="1228" t="inlineStr">
        <is>
          <t>Industrial</t>
        </is>
      </c>
      <c r="H62" s="1229" t="inlineStr">
        <is>
          <t>Warehouse NNN</t>
        </is>
      </c>
      <c r="I62" s="1230" t="n">
        <v>2001</v>
      </c>
      <c r="J62" s="1230" t="n">
        <v>200094</v>
      </c>
      <c r="K62" s="1230" t="n">
        <v>2022</v>
      </c>
      <c r="L62" s="1228" t="n"/>
      <c r="M62" s="1228" t="n"/>
      <c r="N62" s="1228" t="n"/>
      <c r="O62" s="1231" t="n">
        <v>0.0761</v>
      </c>
      <c r="P62" s="1231" t="n">
        <v>0.2474</v>
      </c>
      <c r="Q62" s="1228" t="n"/>
      <c r="R62" s="1228" t="n"/>
      <c r="S62" s="1228" t="n"/>
      <c r="T62" s="1228" t="n"/>
      <c r="U62" s="1228" t="n"/>
      <c r="V62" s="1228" t="n"/>
      <c r="W62" s="1228" t="n"/>
      <c r="X62" s="1228" t="n"/>
      <c r="Y62" s="1228" t="n"/>
      <c r="Z62" s="1228" t="n"/>
      <c r="AA62" s="1228" t="n"/>
      <c r="AB62" s="1228" t="n"/>
      <c r="AC62" s="1231" t="n">
        <v>0.49</v>
      </c>
      <c r="AD62" s="1228" t="n"/>
      <c r="AE62" s="1228" t="n"/>
      <c r="AF62" s="1231" t="n">
        <v>0.3539</v>
      </c>
      <c r="AG62" s="1228" t="n"/>
      <c r="AH62" s="1231" t="n">
        <v>1.1674</v>
      </c>
      <c r="AI62" s="1231" t="n">
        <v>2.2575</v>
      </c>
      <c r="AJ62" s="1231" t="n">
        <v>3.4249</v>
      </c>
      <c r="AK62" s="1228" t="n"/>
      <c r="AL62" s="1228" t="n"/>
      <c r="AM62" s="1229" t="inlineStr">
        <is>
          <t>NNN landlord expenses only; from AXG Whse Expenses PSF.xlsx (R0132030)</t>
        </is>
      </c>
    </row>
    <row r="63" ht="14.1" customHeight="1">
      <c r="A63" s="696" t="inlineStr">
        <is>
          <t>P028</t>
        </is>
      </c>
      <c r="B63" s="695" t="n">
        <v>407</v>
      </c>
      <c r="C63" s="696" t="inlineStr">
        <is>
          <t>R0084040</t>
        </is>
      </c>
      <c r="D63" s="1195" t="inlineStr">
        <is>
          <t>Majestic Commercenter (R0084040)</t>
        </is>
      </c>
      <c r="E63" s="696" t="inlineStr">
        <is>
          <t>Commerce City</t>
        </is>
      </c>
      <c r="F63" s="696" t="inlineStr">
        <is>
          <t>CO</t>
        </is>
      </c>
      <c r="G63" s="696" t="inlineStr">
        <is>
          <t>Industrial</t>
        </is>
      </c>
      <c r="H63" s="1195"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1195" t="inlineStr">
        <is>
          <t>NNN landlord expenses only; from AXG Whse Expenses PSF.xlsx (R0084040)</t>
        </is>
      </c>
    </row>
    <row r="64" ht="14.1" customHeight="1">
      <c r="A64" s="1228" t="inlineStr">
        <is>
          <t>P028</t>
        </is>
      </c>
      <c r="B64" s="695" t="n">
        <v>407</v>
      </c>
      <c r="C64" s="1228" t="inlineStr">
        <is>
          <t>R0084040</t>
        </is>
      </c>
      <c r="D64" s="1229" t="inlineStr">
        <is>
          <t>Majestic Commercenter (R0084040)</t>
        </is>
      </c>
      <c r="E64" s="1228" t="inlineStr">
        <is>
          <t>Commerce City</t>
        </is>
      </c>
      <c r="F64" s="1228" t="inlineStr">
        <is>
          <t>CO</t>
        </is>
      </c>
      <c r="G64" s="1228" t="inlineStr">
        <is>
          <t>Industrial</t>
        </is>
      </c>
      <c r="H64" s="1229" t="inlineStr">
        <is>
          <t>Warehouse NNN</t>
        </is>
      </c>
      <c r="I64" s="1230" t="n">
        <v>1997</v>
      </c>
      <c r="J64" s="1230" t="n">
        <v>177736</v>
      </c>
      <c r="K64" s="1230" t="n">
        <v>2022</v>
      </c>
      <c r="L64" s="1228" t="n"/>
      <c r="M64" s="1228" t="n"/>
      <c r="N64" s="1228" t="n"/>
      <c r="O64" s="1231" t="n">
        <v>0.07829999999999999</v>
      </c>
      <c r="P64" s="1231" t="n">
        <v>0.3114</v>
      </c>
      <c r="Q64" s="1228" t="n"/>
      <c r="R64" s="1228" t="n"/>
      <c r="S64" s="1228" t="n"/>
      <c r="T64" s="1228" t="n"/>
      <c r="U64" s="1228" t="n"/>
      <c r="V64" s="1228" t="n"/>
      <c r="W64" s="1228" t="n"/>
      <c r="X64" s="1228" t="n"/>
      <c r="Y64" s="1228" t="n"/>
      <c r="Z64" s="1228" t="n"/>
      <c r="AA64" s="1228" t="n"/>
      <c r="AB64" s="1228" t="n"/>
      <c r="AC64" s="1231" t="n">
        <v>0.6591</v>
      </c>
      <c r="AD64" s="1228" t="n"/>
      <c r="AE64" s="1228" t="n"/>
      <c r="AF64" s="1231" t="n">
        <v>0.3559</v>
      </c>
      <c r="AG64" s="1228" t="n"/>
      <c r="AH64" s="1231" t="n">
        <v>1.4047</v>
      </c>
      <c r="AI64" s="1231" t="n">
        <v>2.8511</v>
      </c>
      <c r="AJ64" s="1231" t="n">
        <v>4.2558</v>
      </c>
      <c r="AK64" s="1228" t="n"/>
      <c r="AL64" s="1228" t="n"/>
      <c r="AM64" s="1229" t="inlineStr">
        <is>
          <t>NNN landlord expenses only; from AXG Whse Expenses PSF.xlsx (R0084040)</t>
        </is>
      </c>
    </row>
    <row r="65" ht="14.1" customHeight="1">
      <c r="A65" s="696" t="inlineStr">
        <is>
          <t>P029</t>
        </is>
      </c>
      <c r="B65" s="695" t="n">
        <v>407</v>
      </c>
      <c r="C65" s="696" t="inlineStr">
        <is>
          <t>R0084041</t>
        </is>
      </c>
      <c r="D65" s="1195" t="inlineStr">
        <is>
          <t>Majestic Commercenter (R0084041)</t>
        </is>
      </c>
      <c r="E65" s="696" t="inlineStr">
        <is>
          <t>Commerce City</t>
        </is>
      </c>
      <c r="F65" s="696" t="inlineStr">
        <is>
          <t>CO</t>
        </is>
      </c>
      <c r="G65" s="696" t="inlineStr">
        <is>
          <t>Industrial</t>
        </is>
      </c>
      <c r="H65" s="1195"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1195" t="inlineStr">
        <is>
          <t>NNN landlord expenses only; from AXG Whse Expenses PSF.xlsx (R0084041)</t>
        </is>
      </c>
    </row>
    <row r="66" ht="14.1" customHeight="1">
      <c r="A66" s="1228" t="inlineStr">
        <is>
          <t>P029</t>
        </is>
      </c>
      <c r="B66" s="695" t="n">
        <v>407</v>
      </c>
      <c r="C66" s="1228" t="inlineStr">
        <is>
          <t>R0084041</t>
        </is>
      </c>
      <c r="D66" s="1229" t="inlineStr">
        <is>
          <t>Majestic Commercenter (R0084041)</t>
        </is>
      </c>
      <c r="E66" s="1228" t="inlineStr">
        <is>
          <t>Commerce City</t>
        </is>
      </c>
      <c r="F66" s="1228" t="inlineStr">
        <is>
          <t>CO</t>
        </is>
      </c>
      <c r="G66" s="1228" t="inlineStr">
        <is>
          <t>Industrial</t>
        </is>
      </c>
      <c r="H66" s="1229" t="inlineStr">
        <is>
          <t>Warehouse NNN</t>
        </is>
      </c>
      <c r="I66" s="1230" t="n">
        <v>1997</v>
      </c>
      <c r="J66" s="1230" t="n">
        <v>200371</v>
      </c>
      <c r="K66" s="1230" t="n">
        <v>2022</v>
      </c>
      <c r="L66" s="1228" t="n"/>
      <c r="M66" s="1228" t="n"/>
      <c r="N66" s="1228" t="n"/>
      <c r="O66" s="1231" t="n">
        <v>0.073</v>
      </c>
      <c r="P66" s="1231" t="n">
        <v>0.1496</v>
      </c>
      <c r="Q66" s="1228" t="n"/>
      <c r="R66" s="1228" t="n"/>
      <c r="S66" s="1228" t="n"/>
      <c r="T66" s="1228" t="n"/>
      <c r="U66" s="1228" t="n"/>
      <c r="V66" s="1228" t="n"/>
      <c r="W66" s="1228" t="n"/>
      <c r="X66" s="1228" t="n"/>
      <c r="Y66" s="1228" t="n"/>
      <c r="Z66" s="1228" t="n"/>
      <c r="AA66" s="1228" t="n"/>
      <c r="AB66" s="1228" t="n"/>
      <c r="AC66" s="1231" t="n">
        <v>0.5187</v>
      </c>
      <c r="AD66" s="1228" t="n"/>
      <c r="AE66" s="1228" t="n"/>
      <c r="AF66" s="1228" t="n"/>
      <c r="AG66" s="1228" t="n"/>
      <c r="AH66" s="1231" t="n">
        <v>0.7413</v>
      </c>
      <c r="AI66" s="1231" t="n">
        <v>2.5893</v>
      </c>
      <c r="AJ66" s="1231" t="n">
        <v>3.3306</v>
      </c>
      <c r="AK66" s="1228" t="n"/>
      <c r="AL66" s="1228" t="n"/>
      <c r="AM66" s="1229" t="inlineStr">
        <is>
          <t>NNN landlord expenses only; from AXG Whse Expenses PSF.xlsx (R0084041)</t>
        </is>
      </c>
    </row>
    <row r="67" ht="14.1" customHeight="1">
      <c r="A67" s="696" t="inlineStr">
        <is>
          <t>P030</t>
        </is>
      </c>
      <c r="B67" s="695" t="n">
        <v>584</v>
      </c>
      <c r="C67" s="696" t="inlineStr">
        <is>
          <t>R0217015</t>
        </is>
      </c>
      <c r="D67" s="1195" t="inlineStr">
        <is>
          <t>Majestic Commercenter (R0217015)</t>
        </is>
      </c>
      <c r="E67" s="696" t="inlineStr">
        <is>
          <t>Commerce City</t>
        </is>
      </c>
      <c r="F67" s="696" t="inlineStr">
        <is>
          <t>CO</t>
        </is>
      </c>
      <c r="G67" s="696" t="inlineStr">
        <is>
          <t>Industrial</t>
        </is>
      </c>
      <c r="H67" s="1195"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1195" t="inlineStr">
        <is>
          <t>NNN landlord expenses only; from AXG Whse Expenses PSF.xlsx (R0217015)</t>
        </is>
      </c>
    </row>
    <row r="68" ht="14.1" customHeight="1">
      <c r="A68" s="1228" t="inlineStr">
        <is>
          <t>P031</t>
        </is>
      </c>
      <c r="B68" s="695" t="n">
        <v>407</v>
      </c>
      <c r="C68" s="1228" t="inlineStr">
        <is>
          <t>R0111562</t>
        </is>
      </c>
      <c r="D68" s="1229" t="inlineStr">
        <is>
          <t>Majestic Commercenter (R0111562)</t>
        </is>
      </c>
      <c r="E68" s="1228" t="inlineStr">
        <is>
          <t>Commerce City</t>
        </is>
      </c>
      <c r="F68" s="1228" t="inlineStr">
        <is>
          <t>CO</t>
        </is>
      </c>
      <c r="G68" s="1228" t="inlineStr">
        <is>
          <t>Industrial</t>
        </is>
      </c>
      <c r="H68" s="1229" t="inlineStr">
        <is>
          <t>Warehouse NNN</t>
        </is>
      </c>
      <c r="I68" s="1230" t="n">
        <v>2000</v>
      </c>
      <c r="J68" s="1230" t="n">
        <v>149175</v>
      </c>
      <c r="K68" s="1230" t="n">
        <v>2019</v>
      </c>
      <c r="L68" s="1228" t="n"/>
      <c r="M68" s="1228" t="n"/>
      <c r="N68" s="1228" t="n"/>
      <c r="O68" s="1231" t="n">
        <v>0.0437</v>
      </c>
      <c r="P68" s="1231" t="n">
        <v>0.1522</v>
      </c>
      <c r="Q68" s="1228" t="n"/>
      <c r="R68" s="1228" t="n"/>
      <c r="S68" s="1228" t="n"/>
      <c r="T68" s="1228" t="n"/>
      <c r="U68" s="1228" t="n"/>
      <c r="V68" s="1228" t="n"/>
      <c r="W68" s="1228" t="n"/>
      <c r="X68" s="1228" t="n"/>
      <c r="Y68" s="1228" t="n"/>
      <c r="Z68" s="1228" t="n"/>
      <c r="AA68" s="1228" t="n"/>
      <c r="AB68" s="1228" t="n"/>
      <c r="AC68" s="1231" t="n">
        <v>0.6822</v>
      </c>
      <c r="AD68" s="1228" t="n"/>
      <c r="AE68" s="1228" t="n"/>
      <c r="AF68" s="1228" t="n"/>
      <c r="AG68" s="1228" t="n"/>
      <c r="AH68" s="1231" t="n">
        <v>0.8781</v>
      </c>
      <c r="AI68" s="1231" t="n">
        <v>1.8902</v>
      </c>
      <c r="AJ68" s="1231" t="n">
        <v>2.7683</v>
      </c>
      <c r="AK68" s="1228" t="n"/>
      <c r="AL68" s="1228" t="n"/>
      <c r="AM68" s="1229" t="inlineStr">
        <is>
          <t>NNN landlord expenses only; from AXG Whse Expenses PSF.xlsx (R0111562)</t>
        </is>
      </c>
    </row>
    <row r="69" ht="14.1" customHeight="1">
      <c r="A69" s="696" t="inlineStr">
        <is>
          <t>P031</t>
        </is>
      </c>
      <c r="B69" s="695" t="n">
        <v>407</v>
      </c>
      <c r="C69" s="696" t="inlineStr">
        <is>
          <t>R0111562</t>
        </is>
      </c>
      <c r="D69" s="1195" t="inlineStr">
        <is>
          <t>Majestic Commercenter (R0111562)</t>
        </is>
      </c>
      <c r="E69" s="696" t="inlineStr">
        <is>
          <t>Commerce City</t>
        </is>
      </c>
      <c r="F69" s="696" t="inlineStr">
        <is>
          <t>CO</t>
        </is>
      </c>
      <c r="G69" s="696" t="inlineStr">
        <is>
          <t>Industrial</t>
        </is>
      </c>
      <c r="H69" s="1195"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1195" t="inlineStr">
        <is>
          <t>NNN landlord expenses only; from AXG Whse Expenses PSF.xlsx (R0111562)</t>
        </is>
      </c>
    </row>
    <row r="70" ht="14.1" customHeight="1">
      <c r="A70" s="1228" t="inlineStr">
        <is>
          <t>P032</t>
        </is>
      </c>
      <c r="B70" s="695" t="n">
        <v>407</v>
      </c>
      <c r="C70" s="1228" t="inlineStr">
        <is>
          <t>R0118875</t>
        </is>
      </c>
      <c r="D70" s="1229" t="inlineStr">
        <is>
          <t>Majestic Commercenter (R0118875)</t>
        </is>
      </c>
      <c r="E70" s="1228" t="inlineStr">
        <is>
          <t>Commerce City</t>
        </is>
      </c>
      <c r="F70" s="1228" t="inlineStr">
        <is>
          <t>CO</t>
        </is>
      </c>
      <c r="G70" s="1228" t="inlineStr">
        <is>
          <t>Industrial</t>
        </is>
      </c>
      <c r="H70" s="1229" t="inlineStr">
        <is>
          <t>Warehouse NNN</t>
        </is>
      </c>
      <c r="I70" s="1230" t="n">
        <v>1999</v>
      </c>
      <c r="J70" s="1230" t="n">
        <v>279640</v>
      </c>
      <c r="K70" s="1230" t="n">
        <v>2021</v>
      </c>
      <c r="L70" s="1228" t="n"/>
      <c r="M70" s="1228" t="n"/>
      <c r="N70" s="1228" t="n"/>
      <c r="O70" s="1231" t="n">
        <v>0.0881</v>
      </c>
      <c r="P70" s="1231" t="n">
        <v>0.2248</v>
      </c>
      <c r="Q70" s="1228" t="n"/>
      <c r="R70" s="1228" t="n"/>
      <c r="S70" s="1228" t="n"/>
      <c r="T70" s="1228" t="n"/>
      <c r="U70" s="1228" t="n"/>
      <c r="V70" s="1228" t="n"/>
      <c r="W70" s="1228" t="n"/>
      <c r="X70" s="1228" t="n"/>
      <c r="Y70" s="1228" t="n"/>
      <c r="Z70" s="1228" t="n"/>
      <c r="AA70" s="1228" t="n"/>
      <c r="AB70" s="1228" t="n"/>
      <c r="AC70" s="1231" t="n">
        <v>0.3589</v>
      </c>
      <c r="AD70" s="1228" t="n"/>
      <c r="AE70" s="1228" t="n"/>
      <c r="AF70" s="1228" t="n"/>
      <c r="AG70" s="1228" t="n"/>
      <c r="AH70" s="1231" t="n">
        <v>0.6718</v>
      </c>
      <c r="AI70" s="1231" t="n">
        <v>2.2918</v>
      </c>
      <c r="AJ70" s="1231" t="n">
        <v>2.9636</v>
      </c>
      <c r="AK70" s="1228" t="n"/>
      <c r="AL70" s="1228" t="n"/>
      <c r="AM70" s="1229" t="inlineStr">
        <is>
          <t>NNN landlord expenses only; from AXG Whse Expenses PSF.xlsx (R0118875)</t>
        </is>
      </c>
    </row>
    <row r="71" ht="14.1" customHeight="1">
      <c r="A71" s="696" t="inlineStr">
        <is>
          <t>P032</t>
        </is>
      </c>
      <c r="B71" s="695" t="n">
        <v>407</v>
      </c>
      <c r="C71" s="696" t="inlineStr">
        <is>
          <t>R0118875</t>
        </is>
      </c>
      <c r="D71" s="1195" t="inlineStr">
        <is>
          <t>Majestic Commercenter (R0118875)</t>
        </is>
      </c>
      <c r="E71" s="696" t="inlineStr">
        <is>
          <t>Commerce City</t>
        </is>
      </c>
      <c r="F71" s="696" t="inlineStr">
        <is>
          <t>CO</t>
        </is>
      </c>
      <c r="G71" s="696" t="inlineStr">
        <is>
          <t>Industrial</t>
        </is>
      </c>
      <c r="H71" s="1195"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1195" t="inlineStr">
        <is>
          <t>NNN landlord expenses only; from AXG Whse Expenses PSF.xlsx (R0118875)</t>
        </is>
      </c>
    </row>
    <row r="72" ht="14.1" customHeight="1">
      <c r="A72" s="1228" t="inlineStr">
        <is>
          <t>P033</t>
        </is>
      </c>
      <c r="B72" s="695" t="n">
        <v>407</v>
      </c>
      <c r="C72" s="1228" t="inlineStr">
        <is>
          <t>R0132031</t>
        </is>
      </c>
      <c r="D72" s="1229" t="inlineStr">
        <is>
          <t>Majestic Commercenter (R0132031)</t>
        </is>
      </c>
      <c r="E72" s="1228" t="inlineStr">
        <is>
          <t>Commerce City</t>
        </is>
      </c>
      <c r="F72" s="1228" t="inlineStr">
        <is>
          <t>CO</t>
        </is>
      </c>
      <c r="G72" s="1228" t="inlineStr">
        <is>
          <t>Industrial</t>
        </is>
      </c>
      <c r="H72" s="1229" t="inlineStr">
        <is>
          <t>Warehouse NNN</t>
        </is>
      </c>
      <c r="I72" s="1230" t="n">
        <v>2002</v>
      </c>
      <c r="J72" s="1230" t="n">
        <v>280098</v>
      </c>
      <c r="K72" s="1230" t="n">
        <v>2021</v>
      </c>
      <c r="L72" s="1228" t="n"/>
      <c r="M72" s="1228" t="n"/>
      <c r="N72" s="1228" t="n"/>
      <c r="O72" s="1231" t="n">
        <v>0.0713</v>
      </c>
      <c r="P72" s="1231" t="n">
        <v>0.231</v>
      </c>
      <c r="Q72" s="1228" t="n"/>
      <c r="R72" s="1228" t="n"/>
      <c r="S72" s="1228" t="n"/>
      <c r="T72" s="1228" t="n"/>
      <c r="U72" s="1228" t="n"/>
      <c r="V72" s="1228" t="n"/>
      <c r="W72" s="1228" t="n"/>
      <c r="X72" s="1228" t="n"/>
      <c r="Y72" s="1228" t="n"/>
      <c r="Z72" s="1228" t="n"/>
      <c r="AA72" s="1228" t="n"/>
      <c r="AB72" s="1228" t="n"/>
      <c r="AC72" s="1231" t="n">
        <v>0.2633</v>
      </c>
      <c r="AD72" s="1228" t="n"/>
      <c r="AE72" s="1228" t="n"/>
      <c r="AF72" s="1231" t="n">
        <v>0.3067</v>
      </c>
      <c r="AG72" s="1228" t="n"/>
      <c r="AH72" s="1231" t="n">
        <v>0.8723</v>
      </c>
      <c r="AI72" s="1231" t="n">
        <v>2.2816</v>
      </c>
      <c r="AJ72" s="1231" t="n">
        <v>3.1539</v>
      </c>
      <c r="AK72" s="1228" t="n"/>
      <c r="AL72" s="1228" t="n"/>
      <c r="AM72" s="1229" t="inlineStr">
        <is>
          <t>NNN landlord expenses only; from AXG Whse Expenses PSF.xlsx (R0132031)</t>
        </is>
      </c>
    </row>
    <row r="73" ht="14.1" customHeight="1">
      <c r="A73" s="696" t="inlineStr">
        <is>
          <t>P033</t>
        </is>
      </c>
      <c r="B73" s="695" t="n">
        <v>407</v>
      </c>
      <c r="C73" s="696" t="inlineStr">
        <is>
          <t>R0132031</t>
        </is>
      </c>
      <c r="D73" s="1195" t="inlineStr">
        <is>
          <t>Majestic Commercenter (R0132031)</t>
        </is>
      </c>
      <c r="E73" s="696" t="inlineStr">
        <is>
          <t>Commerce City</t>
        </is>
      </c>
      <c r="F73" s="696" t="inlineStr">
        <is>
          <t>CO</t>
        </is>
      </c>
      <c r="G73" s="696" t="inlineStr">
        <is>
          <t>Industrial</t>
        </is>
      </c>
      <c r="H73" s="1195"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1195" t="inlineStr">
        <is>
          <t>NNN landlord expenses only; from AXG Whse Expenses PSF.xlsx (R0132031)</t>
        </is>
      </c>
    </row>
    <row r="74" ht="14.1" customHeight="1">
      <c r="A74" s="1228" t="inlineStr">
        <is>
          <t>P034</t>
        </is>
      </c>
      <c r="B74" s="695" t="n">
        <v>407</v>
      </c>
      <c r="C74" s="1228" t="inlineStr">
        <is>
          <t>R0172865</t>
        </is>
      </c>
      <c r="D74" s="1229" t="inlineStr">
        <is>
          <t>Majestic Commercenter (R0172865)</t>
        </is>
      </c>
      <c r="E74" s="1228" t="inlineStr">
        <is>
          <t>Commerce City</t>
        </is>
      </c>
      <c r="F74" s="1228" t="inlineStr">
        <is>
          <t>CO</t>
        </is>
      </c>
      <c r="G74" s="1228" t="inlineStr">
        <is>
          <t>Industrial</t>
        </is>
      </c>
      <c r="H74" s="1229" t="inlineStr">
        <is>
          <t>Warehouse NNN</t>
        </is>
      </c>
      <c r="I74" s="1230" t="n">
        <v>2008</v>
      </c>
      <c r="J74" s="1230" t="n">
        <v>215461</v>
      </c>
      <c r="K74" s="1230" t="n">
        <v>2021</v>
      </c>
      <c r="L74" s="1228" t="n"/>
      <c r="M74" s="1228" t="n"/>
      <c r="N74" s="1228" t="n"/>
      <c r="O74" s="1231" t="n">
        <v>0.0809</v>
      </c>
      <c r="P74" s="1231" t="n">
        <v>0.3054</v>
      </c>
      <c r="Q74" s="1228" t="n"/>
      <c r="R74" s="1228" t="n"/>
      <c r="S74" s="1228" t="n"/>
      <c r="T74" s="1228" t="n"/>
      <c r="U74" s="1228" t="n"/>
      <c r="V74" s="1228" t="n"/>
      <c r="W74" s="1228" t="n"/>
      <c r="X74" s="1228" t="n"/>
      <c r="Y74" s="1228" t="n"/>
      <c r="Z74" s="1228" t="n"/>
      <c r="AA74" s="1228" t="n"/>
      <c r="AB74" s="1228" t="n"/>
      <c r="AC74" s="1231" t="n">
        <v>0.4686</v>
      </c>
      <c r="AD74" s="1228" t="n"/>
      <c r="AE74" s="1228" t="n"/>
      <c r="AF74" s="1231" t="n">
        <v>0.3395</v>
      </c>
      <c r="AG74" s="1228" t="n"/>
      <c r="AH74" s="1231" t="n">
        <v>1.1944</v>
      </c>
      <c r="AI74" s="1231" t="n">
        <v>2.8499</v>
      </c>
      <c r="AJ74" s="1231" t="n">
        <v>4.0443</v>
      </c>
      <c r="AK74" s="1228" t="n"/>
      <c r="AL74" s="1228" t="n"/>
      <c r="AM74" s="1229" t="inlineStr">
        <is>
          <t>NNN landlord expenses only; from AXG Whse Expenses PSF.xlsx (R0172865)</t>
        </is>
      </c>
    </row>
    <row r="75" ht="14.1" customHeight="1">
      <c r="A75" s="696" t="inlineStr">
        <is>
          <t>P034</t>
        </is>
      </c>
      <c r="B75" s="695" t="n">
        <v>407</v>
      </c>
      <c r="C75" s="696" t="inlineStr">
        <is>
          <t>R0172865</t>
        </is>
      </c>
      <c r="D75" s="1195" t="inlineStr">
        <is>
          <t>Majestic Commercenter (R0172865)</t>
        </is>
      </c>
      <c r="E75" s="696" t="inlineStr">
        <is>
          <t>Commerce City</t>
        </is>
      </c>
      <c r="F75" s="696" t="inlineStr">
        <is>
          <t>CO</t>
        </is>
      </c>
      <c r="G75" s="696" t="inlineStr">
        <is>
          <t>Industrial</t>
        </is>
      </c>
      <c r="H75" s="1195"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1195" t="inlineStr">
        <is>
          <t>NNN landlord expenses only; from AXG Whse Expenses PSF.xlsx (R0172865)</t>
        </is>
      </c>
    </row>
    <row r="76" ht="14.1" customHeight="1">
      <c r="A76" s="1228" t="inlineStr">
        <is>
          <t>P035</t>
        </is>
      </c>
      <c r="B76" s="695" t="n">
        <v>407</v>
      </c>
      <c r="C76" s="1228" t="inlineStr">
        <is>
          <t>R0172867</t>
        </is>
      </c>
      <c r="D76" s="1229" t="inlineStr">
        <is>
          <t>Majestic Commercenter (R0172867)</t>
        </is>
      </c>
      <c r="E76" s="1228" t="inlineStr">
        <is>
          <t>Commerce City</t>
        </is>
      </c>
      <c r="F76" s="1228" t="inlineStr">
        <is>
          <t>CO</t>
        </is>
      </c>
      <c r="G76" s="1228" t="inlineStr">
        <is>
          <t>Industrial</t>
        </is>
      </c>
      <c r="H76" s="1229" t="inlineStr">
        <is>
          <t>Warehouse NNN</t>
        </is>
      </c>
      <c r="I76" s="1230" t="n">
        <v>2007</v>
      </c>
      <c r="J76" s="1230" t="n">
        <v>215560</v>
      </c>
      <c r="K76" s="1230" t="n">
        <v>2021</v>
      </c>
      <c r="L76" s="1228" t="n"/>
      <c r="M76" s="1228" t="n"/>
      <c r="N76" s="1228" t="n"/>
      <c r="O76" s="1231" t="n">
        <v>0.0975</v>
      </c>
      <c r="P76" s="1231" t="n">
        <v>0.2429</v>
      </c>
      <c r="Q76" s="1228" t="n"/>
      <c r="R76" s="1228" t="n"/>
      <c r="S76" s="1228" t="n"/>
      <c r="T76" s="1228" t="n"/>
      <c r="U76" s="1228" t="n"/>
      <c r="V76" s="1228" t="n"/>
      <c r="W76" s="1228" t="n"/>
      <c r="X76" s="1228" t="n"/>
      <c r="Y76" s="1228" t="n"/>
      <c r="Z76" s="1228" t="n"/>
      <c r="AA76" s="1228" t="n"/>
      <c r="AB76" s="1228" t="n"/>
      <c r="AC76" s="1231" t="n">
        <v>0.2979</v>
      </c>
      <c r="AD76" s="1228" t="n"/>
      <c r="AE76" s="1228" t="n"/>
      <c r="AF76" s="1231" t="n">
        <v>0.3114</v>
      </c>
      <c r="AG76" s="1228" t="n"/>
      <c r="AH76" s="1231" t="n">
        <v>0.9497</v>
      </c>
      <c r="AI76" s="1231" t="n">
        <v>2.4921</v>
      </c>
      <c r="AJ76" s="1231" t="n">
        <v>3.4419</v>
      </c>
      <c r="AK76" s="1228" t="n"/>
      <c r="AL76" s="1228" t="n"/>
      <c r="AM76" s="1229" t="inlineStr">
        <is>
          <t>NNN landlord expenses only; from AXG Whse Expenses PSF.xlsx (R0172867)</t>
        </is>
      </c>
    </row>
    <row r="77" ht="14.1" customHeight="1">
      <c r="A77" s="696" t="inlineStr">
        <is>
          <t>P035</t>
        </is>
      </c>
      <c r="B77" s="695" t="n">
        <v>407</v>
      </c>
      <c r="C77" s="696" t="inlineStr">
        <is>
          <t>R0172867</t>
        </is>
      </c>
      <c r="D77" s="1195" t="inlineStr">
        <is>
          <t>Majestic Commercenter (R0172867)</t>
        </is>
      </c>
      <c r="E77" s="696" t="inlineStr">
        <is>
          <t>Commerce City</t>
        </is>
      </c>
      <c r="F77" s="696" t="inlineStr">
        <is>
          <t>CO</t>
        </is>
      </c>
      <c r="G77" s="696" t="inlineStr">
        <is>
          <t>Industrial</t>
        </is>
      </c>
      <c r="H77" s="1195"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1195" t="inlineStr">
        <is>
          <t>NNN landlord expenses only; from AXG Whse Expenses PSF.xlsx (R0172867)</t>
        </is>
      </c>
    </row>
    <row r="78" ht="14.1" customHeight="1">
      <c r="A78" s="1228" t="inlineStr">
        <is>
          <t>P036</t>
        </is>
      </c>
      <c r="B78" s="695" t="n">
        <v>407</v>
      </c>
      <c r="C78" s="1228" t="inlineStr">
        <is>
          <t>R0172868</t>
        </is>
      </c>
      <c r="D78" s="1229" t="inlineStr">
        <is>
          <t>Majestic Commercenter (R0172868)</t>
        </is>
      </c>
      <c r="E78" s="1228" t="inlineStr">
        <is>
          <t>Commerce City</t>
        </is>
      </c>
      <c r="F78" s="1228" t="inlineStr">
        <is>
          <t>CO</t>
        </is>
      </c>
      <c r="G78" s="1228" t="inlineStr">
        <is>
          <t>Industrial</t>
        </is>
      </c>
      <c r="H78" s="1229" t="inlineStr">
        <is>
          <t>Warehouse NNN</t>
        </is>
      </c>
      <c r="I78" s="1230" t="n">
        <v>2007</v>
      </c>
      <c r="J78" s="1230" t="n">
        <v>202091</v>
      </c>
      <c r="K78" s="1230" t="n">
        <v>2021</v>
      </c>
      <c r="L78" s="1228" t="n"/>
      <c r="M78" s="1228" t="n"/>
      <c r="N78" s="1228" t="n"/>
      <c r="O78" s="1231" t="n">
        <v>0.0863</v>
      </c>
      <c r="P78" s="1231" t="n">
        <v>0.1541</v>
      </c>
      <c r="Q78" s="1228" t="n"/>
      <c r="R78" s="1228" t="n"/>
      <c r="S78" s="1228" t="n"/>
      <c r="T78" s="1228" t="n"/>
      <c r="U78" s="1228" t="n"/>
      <c r="V78" s="1228" t="n"/>
      <c r="W78" s="1228" t="n"/>
      <c r="X78" s="1228" t="n"/>
      <c r="Y78" s="1228" t="n"/>
      <c r="Z78" s="1228" t="n"/>
      <c r="AA78" s="1228" t="n"/>
      <c r="AB78" s="1228" t="n"/>
      <c r="AC78" s="1231" t="n">
        <v>0.4114</v>
      </c>
      <c r="AD78" s="1228" t="n"/>
      <c r="AE78" s="1228" t="n"/>
      <c r="AF78" s="1228" t="n"/>
      <c r="AG78" s="1228" t="n"/>
      <c r="AH78" s="1231" t="n">
        <v>0.6518</v>
      </c>
      <c r="AI78" s="1231" t="n">
        <v>2.4692</v>
      </c>
      <c r="AJ78" s="1231" t="n">
        <v>3.121</v>
      </c>
      <c r="AK78" s="1228" t="n"/>
      <c r="AL78" s="1228" t="n"/>
      <c r="AM78" s="1229" t="inlineStr">
        <is>
          <t>NNN landlord expenses only; from AXG Whse Expenses PSF.xlsx (R0172868)</t>
        </is>
      </c>
    </row>
    <row r="79" ht="14.1" customHeight="1">
      <c r="A79" s="696" t="inlineStr">
        <is>
          <t>P036</t>
        </is>
      </c>
      <c r="B79" s="695" t="n">
        <v>407</v>
      </c>
      <c r="C79" s="696" t="inlineStr">
        <is>
          <t>R0172868</t>
        </is>
      </c>
      <c r="D79" s="1195" t="inlineStr">
        <is>
          <t>Majestic Commercenter (R0172868)</t>
        </is>
      </c>
      <c r="E79" s="696" t="inlineStr">
        <is>
          <t>Commerce City</t>
        </is>
      </c>
      <c r="F79" s="696" t="inlineStr">
        <is>
          <t>CO</t>
        </is>
      </c>
      <c r="G79" s="696" t="inlineStr">
        <is>
          <t>Industrial</t>
        </is>
      </c>
      <c r="H79" s="1195"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1195" t="inlineStr">
        <is>
          <t>NNN landlord expenses only; from AXG Whse Expenses PSF.xlsx (R0172868)</t>
        </is>
      </c>
    </row>
    <row r="80" ht="14.1" customHeight="1">
      <c r="A80" s="1228" t="inlineStr">
        <is>
          <t>P037</t>
        </is>
      </c>
      <c r="B80" s="695" t="n">
        <v>407</v>
      </c>
      <c r="C80" s="1228" t="inlineStr">
        <is>
          <t>R0145680</t>
        </is>
      </c>
      <c r="D80" s="1229" t="inlineStr">
        <is>
          <t>Majestic Commercenter (R0145680)</t>
        </is>
      </c>
      <c r="E80" s="1228" t="inlineStr">
        <is>
          <t>Commerce City</t>
        </is>
      </c>
      <c r="F80" s="1228" t="inlineStr">
        <is>
          <t>CO</t>
        </is>
      </c>
      <c r="G80" s="1228" t="inlineStr">
        <is>
          <t>Industrial</t>
        </is>
      </c>
      <c r="H80" s="1229" t="inlineStr">
        <is>
          <t>Warehouse NNN</t>
        </is>
      </c>
      <c r="I80" s="1230" t="n">
        <v>2001</v>
      </c>
      <c r="J80" s="1230" t="n">
        <v>150027</v>
      </c>
      <c r="K80" s="1230" t="n">
        <v>2021</v>
      </c>
      <c r="L80" s="1228" t="n"/>
      <c r="M80" s="1228" t="n"/>
      <c r="N80" s="1228" t="n"/>
      <c r="O80" s="1231" t="n">
        <v>0.0779</v>
      </c>
      <c r="P80" s="1231" t="n">
        <v>0.2768</v>
      </c>
      <c r="Q80" s="1228" t="n"/>
      <c r="R80" s="1228" t="n"/>
      <c r="S80" s="1228" t="n"/>
      <c r="T80" s="1228" t="n"/>
      <c r="U80" s="1228" t="n"/>
      <c r="V80" s="1228" t="n"/>
      <c r="W80" s="1228" t="n"/>
      <c r="X80" s="1228" t="n"/>
      <c r="Y80" s="1228" t="n"/>
      <c r="Z80" s="1228" t="n"/>
      <c r="AA80" s="1228" t="n"/>
      <c r="AB80" s="1228" t="n"/>
      <c r="AC80" s="1231" t="n">
        <v>0.3322</v>
      </c>
      <c r="AD80" s="1228" t="n"/>
      <c r="AE80" s="1228" t="n"/>
      <c r="AF80" s="1228" t="n"/>
      <c r="AG80" s="1228" t="n"/>
      <c r="AH80" s="1231" t="n">
        <v>0.6868</v>
      </c>
      <c r="AI80" s="1231" t="n">
        <v>2.8525</v>
      </c>
      <c r="AJ80" s="1231" t="n">
        <v>3.5393</v>
      </c>
      <c r="AK80" s="1228" t="n"/>
      <c r="AL80" s="1228" t="n"/>
      <c r="AM80" s="1229" t="inlineStr">
        <is>
          <t>NNN landlord expenses only; from AXG Whse Expenses PSF.xlsx (R0145680)</t>
        </is>
      </c>
    </row>
    <row r="81" ht="14.1" customHeight="1">
      <c r="A81" s="696" t="inlineStr">
        <is>
          <t>P037</t>
        </is>
      </c>
      <c r="B81" s="695" t="n">
        <v>407</v>
      </c>
      <c r="C81" s="696" t="inlineStr">
        <is>
          <t>R0145680</t>
        </is>
      </c>
      <c r="D81" s="1195" t="inlineStr">
        <is>
          <t>Majestic Commercenter (R0145680)</t>
        </is>
      </c>
      <c r="E81" s="696" t="inlineStr">
        <is>
          <t>Commerce City</t>
        </is>
      </c>
      <c r="F81" s="696" t="inlineStr">
        <is>
          <t>CO</t>
        </is>
      </c>
      <c r="G81" s="696" t="inlineStr">
        <is>
          <t>Industrial</t>
        </is>
      </c>
      <c r="H81" s="1195"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1195" t="inlineStr">
        <is>
          <t>NNN landlord expenses only; from AXG Whse Expenses PSF.xlsx (R0145680)</t>
        </is>
      </c>
    </row>
    <row r="82" ht="14.1" customHeight="1">
      <c r="A82" s="1228" t="inlineStr">
        <is>
          <t>P038</t>
        </is>
      </c>
      <c r="B82" s="695" t="n">
        <v>584</v>
      </c>
      <c r="C82" s="1228" t="inlineStr">
        <is>
          <t>R0181787</t>
        </is>
      </c>
      <c r="D82" s="1229" t="inlineStr">
        <is>
          <t>Majestic Commercenter (R0181787)</t>
        </is>
      </c>
      <c r="E82" s="1228" t="inlineStr">
        <is>
          <t>Commerce City</t>
        </is>
      </c>
      <c r="F82" s="1228" t="inlineStr">
        <is>
          <t>CO</t>
        </is>
      </c>
      <c r="G82" s="1228" t="inlineStr">
        <is>
          <t>Industrial</t>
        </is>
      </c>
      <c r="H82" s="1229" t="inlineStr">
        <is>
          <t>Warehouse NNN</t>
        </is>
      </c>
      <c r="I82" s="1230" t="n">
        <v>2013</v>
      </c>
      <c r="J82" s="1230" t="n">
        <v>500358</v>
      </c>
      <c r="K82" s="1230" t="n">
        <v>2021</v>
      </c>
      <c r="L82" s="1228" t="n"/>
      <c r="M82" s="1228" t="n"/>
      <c r="N82" s="1228" t="n"/>
      <c r="O82" s="1231" t="n">
        <v>0.0743</v>
      </c>
      <c r="P82" s="1231" t="n">
        <v>0.2354</v>
      </c>
      <c r="Q82" s="1228" t="n"/>
      <c r="R82" s="1228" t="n"/>
      <c r="S82" s="1228" t="n"/>
      <c r="T82" s="1228" t="n"/>
      <c r="U82" s="1228" t="n"/>
      <c r="V82" s="1228" t="n"/>
      <c r="W82" s="1228" t="n"/>
      <c r="X82" s="1228" t="n"/>
      <c r="Y82" s="1228" t="n"/>
      <c r="Z82" s="1228" t="n"/>
      <c r="AA82" s="1228" t="n"/>
      <c r="AB82" s="1228" t="n"/>
      <c r="AC82" s="1231" t="n">
        <v>0.3128</v>
      </c>
      <c r="AD82" s="1228" t="n"/>
      <c r="AE82" s="1228" t="n"/>
      <c r="AF82" s="1231" t="n">
        <v>0.2341</v>
      </c>
      <c r="AG82" s="1228" t="n"/>
      <c r="AH82" s="1231" t="n">
        <v>0.8566</v>
      </c>
      <c r="AI82" s="1231" t="n">
        <v>2.2838</v>
      </c>
      <c r="AJ82" s="1231" t="n">
        <v>3.1403</v>
      </c>
      <c r="AK82" s="1228" t="n"/>
      <c r="AL82" s="1228" t="n"/>
      <c r="AM82" s="1229" t="inlineStr">
        <is>
          <t>NNN landlord expenses only; from AXG Whse Expenses PSF.xlsx (R0181787)</t>
        </is>
      </c>
    </row>
    <row r="83" ht="14.1" customHeight="1">
      <c r="A83" s="696" t="inlineStr">
        <is>
          <t>P038</t>
        </is>
      </c>
      <c r="B83" s="695" t="n">
        <v>584</v>
      </c>
      <c r="C83" s="696" t="inlineStr">
        <is>
          <t>R0181787</t>
        </is>
      </c>
      <c r="D83" s="1195" t="inlineStr">
        <is>
          <t>Majestic Commercenter (R0181787)</t>
        </is>
      </c>
      <c r="E83" s="696" t="inlineStr">
        <is>
          <t>Commerce City</t>
        </is>
      </c>
      <c r="F83" s="696" t="inlineStr">
        <is>
          <t>CO</t>
        </is>
      </c>
      <c r="G83" s="696" t="inlineStr">
        <is>
          <t>Industrial</t>
        </is>
      </c>
      <c r="H83" s="1195"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1195" t="inlineStr">
        <is>
          <t>NNN landlord expenses only; from AXG Whse Expenses PSF.xlsx (R0181787)</t>
        </is>
      </c>
    </row>
    <row r="84" ht="14.1" customHeight="1">
      <c r="A84" s="1228" t="inlineStr">
        <is>
          <t>P039</t>
        </is>
      </c>
      <c r="B84" s="695" t="n">
        <v>584</v>
      </c>
      <c r="C84" s="1228" t="inlineStr">
        <is>
          <t>R0191101</t>
        </is>
      </c>
      <c r="D84" s="1229" t="inlineStr">
        <is>
          <t>Majestic Commercenter (R0191101)</t>
        </is>
      </c>
      <c r="E84" s="1228" t="inlineStr">
        <is>
          <t>Commerce City</t>
        </is>
      </c>
      <c r="F84" s="1228" t="inlineStr">
        <is>
          <t>CO</t>
        </is>
      </c>
      <c r="G84" s="1228" t="inlineStr">
        <is>
          <t>Industrial</t>
        </is>
      </c>
      <c r="H84" s="1229" t="inlineStr">
        <is>
          <t>Warehouse NNN</t>
        </is>
      </c>
      <c r="I84" s="1230" t="n">
        <v>2017</v>
      </c>
      <c r="J84" s="1230" t="n">
        <v>522120</v>
      </c>
      <c r="K84" s="1230" t="n">
        <v>2021</v>
      </c>
      <c r="L84" s="1228" t="n"/>
      <c r="M84" s="1228" t="n"/>
      <c r="N84" s="1228" t="n"/>
      <c r="O84" s="1231" t="n">
        <v>0.0822</v>
      </c>
      <c r="P84" s="1231" t="n">
        <v>0.2582</v>
      </c>
      <c r="Q84" s="1228" t="n"/>
      <c r="R84" s="1228" t="n"/>
      <c r="S84" s="1228" t="n"/>
      <c r="T84" s="1228" t="n"/>
      <c r="U84" s="1228" t="n"/>
      <c r="V84" s="1228" t="n"/>
      <c r="W84" s="1228" t="n"/>
      <c r="X84" s="1228" t="n"/>
      <c r="Y84" s="1228" t="n"/>
      <c r="Z84" s="1228" t="n"/>
      <c r="AA84" s="1228" t="n"/>
      <c r="AB84" s="1228" t="n"/>
      <c r="AC84" s="1231" t="n">
        <v>0.2825</v>
      </c>
      <c r="AD84" s="1228" t="n"/>
      <c r="AE84" s="1228" t="n"/>
      <c r="AF84" s="1231" t="n">
        <v>0.1793</v>
      </c>
      <c r="AG84" s="1228" t="n"/>
      <c r="AH84" s="1231" t="n">
        <v>0.8022</v>
      </c>
      <c r="AI84" s="1231" t="n">
        <v>2.1785</v>
      </c>
      <c r="AJ84" s="1231" t="n">
        <v>2.9807</v>
      </c>
      <c r="AK84" s="1228" t="n"/>
      <c r="AL84" s="1228" t="n"/>
      <c r="AM84" s="1229" t="inlineStr">
        <is>
          <t>NNN landlord expenses only; from AXG Whse Expenses PSF.xlsx (R0191101)</t>
        </is>
      </c>
    </row>
    <row r="85" ht="14.1" customHeight="1">
      <c r="A85" s="696" t="inlineStr">
        <is>
          <t>P039</t>
        </is>
      </c>
      <c r="B85" s="695" t="n">
        <v>584</v>
      </c>
      <c r="C85" s="696" t="inlineStr">
        <is>
          <t>R0191101</t>
        </is>
      </c>
      <c r="D85" s="1195" t="inlineStr">
        <is>
          <t>Majestic Commercenter (R0191101)</t>
        </is>
      </c>
      <c r="E85" s="696" t="inlineStr">
        <is>
          <t>Commerce City</t>
        </is>
      </c>
      <c r="F85" s="696" t="inlineStr">
        <is>
          <t>CO</t>
        </is>
      </c>
      <c r="G85" s="696" t="inlineStr">
        <is>
          <t>Industrial</t>
        </is>
      </c>
      <c r="H85" s="1195"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1195" t="inlineStr">
        <is>
          <t>NNN landlord expenses only; from AXG Whse Expenses PSF.xlsx (R0191101)</t>
        </is>
      </c>
    </row>
    <row r="86" ht="14.1" customHeight="1">
      <c r="A86" s="1228" t="inlineStr">
        <is>
          <t>P040</t>
        </is>
      </c>
      <c r="B86" s="695" t="n">
        <v>407</v>
      </c>
      <c r="C86" s="1228" t="inlineStr">
        <is>
          <t>R0202874</t>
        </is>
      </c>
      <c r="D86" s="1229" t="inlineStr">
        <is>
          <t>900 E 128th Ave</t>
        </is>
      </c>
      <c r="E86" s="1228" t="inlineStr">
        <is>
          <t>Henderson</t>
        </is>
      </c>
      <c r="F86" s="1228" t="inlineStr">
        <is>
          <t>CO</t>
        </is>
      </c>
      <c r="G86" s="1228" t="inlineStr">
        <is>
          <t>Industrial</t>
        </is>
      </c>
      <c r="H86" s="1229" t="inlineStr">
        <is>
          <t>Last-Mile Distribution NNN</t>
        </is>
      </c>
      <c r="I86" s="1230" t="n"/>
      <c r="J86" s="1230" t="n"/>
      <c r="K86" s="1230" t="n">
        <v>2021</v>
      </c>
      <c r="L86" s="1233" t="n">
        <v>2633716</v>
      </c>
      <c r="M86" s="1228" t="n"/>
      <c r="N86" s="1233" t="n">
        <v>3256403</v>
      </c>
      <c r="O86" s="1233" t="n">
        <v>56624</v>
      </c>
      <c r="P86" s="1228" t="n"/>
      <c r="Q86" s="1233" t="n">
        <v>300</v>
      </c>
      <c r="R86" s="1228" t="n"/>
      <c r="S86" s="1228" t="n"/>
      <c r="T86" s="1228" t="n"/>
      <c r="U86" s="1228" t="n"/>
      <c r="V86" s="1228" t="n"/>
      <c r="W86" s="1228" t="n"/>
      <c r="X86" s="1233" t="n">
        <v>29535</v>
      </c>
      <c r="Y86" s="1233" t="n">
        <v>30138</v>
      </c>
      <c r="Z86" s="1228" t="n"/>
      <c r="AA86" s="1233" t="n">
        <v>54136</v>
      </c>
      <c r="AB86" s="1233" t="n">
        <v>127274</v>
      </c>
      <c r="AC86" s="1228" t="n"/>
      <c r="AD86" s="1228" t="n"/>
      <c r="AE86" s="1228" t="n"/>
      <c r="AF86" s="1233" t="n">
        <v>18748</v>
      </c>
      <c r="AG86" s="1228" t="n"/>
      <c r="AH86" s="1233" t="n">
        <v>731951</v>
      </c>
      <c r="AI86" s="1228" t="n"/>
      <c r="AJ86" s="1228" t="n"/>
      <c r="AK86" s="1233" t="n">
        <v>2524452</v>
      </c>
      <c r="AL86" s="1228" t="n"/>
      <c r="AM86" s="1229" t="inlineStr">
        <is>
          <t>[NO SF] Amazon AMZL Site 51812; SF not extracted; RE Tax not broken out in 2021</t>
        </is>
      </c>
    </row>
    <row r="87" ht="14.1" customHeight="1">
      <c r="A87" s="696" t="inlineStr">
        <is>
          <t>P040</t>
        </is>
      </c>
      <c r="B87" s="695" t="n">
        <v>407</v>
      </c>
      <c r="C87" s="696" t="inlineStr">
        <is>
          <t>R0202874</t>
        </is>
      </c>
      <c r="D87" s="1195" t="inlineStr">
        <is>
          <t>900 E 128th Ave</t>
        </is>
      </c>
      <c r="E87" s="696" t="inlineStr">
        <is>
          <t>Henderson</t>
        </is>
      </c>
      <c r="F87" s="696" t="inlineStr">
        <is>
          <t>CO</t>
        </is>
      </c>
      <c r="G87" s="696" t="inlineStr">
        <is>
          <t>Industrial</t>
        </is>
      </c>
      <c r="H87" s="1195"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1195" t="inlineStr">
        <is>
          <t>[NO SF] Amazon AMZL Site 51812; 2022 dominated by RE Tax $1.08M; asset mgmt fee $70k</t>
        </is>
      </c>
    </row>
    <row r="88" ht="14.1" customHeight="1">
      <c r="A88" s="1228" t="inlineStr">
        <is>
          <t>P041</t>
        </is>
      </c>
      <c r="B88" s="695" t="n">
        <v>386</v>
      </c>
      <c r="C88" s="1228" t="inlineStr">
        <is>
          <t>R0189384</t>
        </is>
      </c>
      <c r="D88" s="1229" t="inlineStr">
        <is>
          <t>1101 Colorado Blvd</t>
        </is>
      </c>
      <c r="E88" s="1228" t="inlineStr">
        <is>
          <t>Thornton</t>
        </is>
      </c>
      <c r="F88" s="1228" t="inlineStr">
        <is>
          <t>CO</t>
        </is>
      </c>
      <c r="G88" s="1228" t="inlineStr">
        <is>
          <t>Self-Storage</t>
        </is>
      </c>
      <c r="H88" s="1229" t="inlineStr">
        <is>
          <t>Climate-Controlled</t>
        </is>
      </c>
      <c r="I88" s="1230" t="n"/>
      <c r="J88" s="1230" t="n">
        <v>65766</v>
      </c>
      <c r="K88" s="1230" t="n">
        <v>2021</v>
      </c>
      <c r="L88" s="1228" t="n"/>
      <c r="M88" s="1228" t="n"/>
      <c r="N88" s="1231" t="n">
        <v>13.3807</v>
      </c>
      <c r="O88" s="1228" t="n"/>
      <c r="P88" s="1228" t="n"/>
      <c r="Q88" s="1228" t="n"/>
      <c r="R88" s="1228" t="n"/>
      <c r="S88" s="1228" t="n"/>
      <c r="T88" s="1228" t="n"/>
      <c r="U88" s="1228" t="n"/>
      <c r="V88" s="1228" t="n"/>
      <c r="W88" s="1228" t="n"/>
      <c r="X88" s="1228" t="n"/>
      <c r="Y88" s="1228" t="n"/>
      <c r="Z88" s="1228" t="n"/>
      <c r="AA88" s="1228" t="n"/>
      <c r="AB88" s="1228" t="n"/>
      <c r="AC88" s="1228" t="n"/>
      <c r="AD88" s="1228" t="n"/>
      <c r="AE88" s="1228" t="n"/>
      <c r="AF88" s="1228" t="n"/>
      <c r="AG88" s="1228" t="n"/>
      <c r="AH88" s="1228" t="n"/>
      <c r="AI88" s="1228" t="n"/>
      <c r="AJ88" s="1231" t="n">
        <v>6.3574</v>
      </c>
      <c r="AK88" s="1231" t="n">
        <v>7.0233</v>
      </c>
      <c r="AL88" s="1228" t="n"/>
      <c r="AM88" s="1229" t="inlineStr">
        <is>
          <t>Actual SS P&amp;L; mgmt=off-site+on-site combined; admin+adv in Other</t>
        </is>
      </c>
    </row>
    <row r="89" ht="14.1" customHeight="1">
      <c r="A89" s="1228" t="inlineStr">
        <is>
          <t>P041</t>
        </is>
      </c>
      <c r="B89" s="695" t="n">
        <v>386</v>
      </c>
      <c r="C89" s="1228" t="inlineStr">
        <is>
          <t>R0189384</t>
        </is>
      </c>
      <c r="D89" s="1229" t="inlineStr">
        <is>
          <t>1101 Colorado Blvd</t>
        </is>
      </c>
      <c r="E89" s="1228" t="inlineStr">
        <is>
          <t>Thornton</t>
        </is>
      </c>
      <c r="F89" s="1228" t="inlineStr">
        <is>
          <t>CO</t>
        </is>
      </c>
      <c r="G89" s="1228" t="inlineStr">
        <is>
          <t>Self-Storage</t>
        </is>
      </c>
      <c r="H89" s="1229" t="inlineStr">
        <is>
          <t>Climate-Controlled</t>
        </is>
      </c>
      <c r="I89" s="1230" t="n"/>
      <c r="J89" s="1230" t="n">
        <v>65766</v>
      </c>
      <c r="K89" s="1230" t="n">
        <v>2022</v>
      </c>
      <c r="L89" s="1228" t="n"/>
      <c r="M89" s="1228" t="n"/>
      <c r="N89" s="1231" t="n">
        <v>14.0623</v>
      </c>
      <c r="O89" s="1228" t="n"/>
      <c r="P89" s="1228" t="n"/>
      <c r="Q89" s="1228" t="n"/>
      <c r="R89" s="1228" t="n"/>
      <c r="S89" s="1228" t="n"/>
      <c r="T89" s="1228" t="n"/>
      <c r="U89" s="1228" t="n"/>
      <c r="V89" s="1228" t="n"/>
      <c r="W89" s="1228" t="n"/>
      <c r="X89" s="1228" t="n"/>
      <c r="Y89" s="1228" t="n"/>
      <c r="Z89" s="1228" t="n"/>
      <c r="AA89" s="1228" t="n"/>
      <c r="AB89" s="1228" t="n"/>
      <c r="AC89" s="1228" t="n"/>
      <c r="AD89" s="1228" t="n"/>
      <c r="AE89" s="1228" t="n"/>
      <c r="AF89" s="1228" t="n"/>
      <c r="AG89" s="1228" t="n"/>
      <c r="AH89" s="1228" t="n"/>
      <c r="AI89" s="1228" t="n"/>
      <c r="AJ89" s="1231" t="n">
        <v>6.9302</v>
      </c>
      <c r="AK89" s="1231" t="n">
        <v>7.1322</v>
      </c>
      <c r="AL89" s="1228" t="n"/>
      <c r="AM89" s="1229" t="inlineStr">
        <is>
          <t>Actual SS P&amp;L; mgmt=off-site+on-site combined; admin+adv in Other</t>
        </is>
      </c>
    </row>
    <row r="90" ht="14.1" customHeight="1">
      <c r="A90" s="1228" t="inlineStr">
        <is>
          <t>P041</t>
        </is>
      </c>
      <c r="B90" s="695" t="n">
        <v>386</v>
      </c>
      <c r="C90" s="1228" t="inlineStr">
        <is>
          <t>R0189384</t>
        </is>
      </c>
      <c r="D90" s="1229" t="inlineStr">
        <is>
          <t>1101 Colorado Blvd</t>
        </is>
      </c>
      <c r="E90" s="1228" t="inlineStr">
        <is>
          <t>Thornton</t>
        </is>
      </c>
      <c r="F90" s="1228" t="inlineStr">
        <is>
          <t>CO</t>
        </is>
      </c>
      <c r="G90" s="1228" t="inlineStr">
        <is>
          <t>Self-Storage</t>
        </is>
      </c>
      <c r="H90" s="1229" t="inlineStr">
        <is>
          <t>Climate-Controlled</t>
        </is>
      </c>
      <c r="I90" s="1230" t="n"/>
      <c r="J90" s="1230" t="n">
        <v>65766</v>
      </c>
      <c r="K90" s="1230" t="n">
        <v>2023</v>
      </c>
      <c r="L90" s="1228" t="n"/>
      <c r="M90" s="1228" t="n"/>
      <c r="N90" s="1231" t="n">
        <v>14.16</v>
      </c>
      <c r="O90" s="1231" t="n">
        <v>0.6306</v>
      </c>
      <c r="P90" s="1231" t="n">
        <v>1.5829</v>
      </c>
      <c r="Q90" s="1228" t="n"/>
      <c r="R90" s="1228" t="n"/>
      <c r="S90" s="1228" t="n"/>
      <c r="T90" s="1228" t="n"/>
      <c r="U90" s="1228" t="n"/>
      <c r="V90" s="1228" t="n"/>
      <c r="W90" s="1228" t="n"/>
      <c r="X90" s="1228" t="n"/>
      <c r="Y90" s="1231" t="n">
        <v>0.2367</v>
      </c>
      <c r="Z90" s="1228" t="n"/>
      <c r="AA90" s="1228" t="n"/>
      <c r="AB90" s="1228" t="n"/>
      <c r="AC90" s="1228" t="n"/>
      <c r="AD90" s="1228" t="n"/>
      <c r="AE90" s="1228" t="n"/>
      <c r="AF90" s="1231" t="n">
        <v>0.5644</v>
      </c>
      <c r="AG90" s="1228" t="n"/>
      <c r="AH90" s="1231" t="n">
        <v>4.479</v>
      </c>
      <c r="AI90" s="1231" t="n">
        <v>2.7358</v>
      </c>
      <c r="AJ90" s="1231" t="n">
        <v>7.2147</v>
      </c>
      <c r="AK90" s="1231" t="n">
        <v>7.1427</v>
      </c>
      <c r="AL90" s="1228" t="n"/>
      <c r="AM90" s="1229" t="inlineStr">
        <is>
          <t>Actual SS P&amp;L; mgmt=off-site+on-site combined; admin+adv in Other</t>
        </is>
      </c>
    </row>
    <row r="91" ht="14.1" customHeight="1">
      <c r="A91" s="1228" t="inlineStr">
        <is>
          <t>P042</t>
        </is>
      </c>
      <c r="B91" s="695" t="n">
        <v>386</v>
      </c>
      <c r="C91" s="1228" t="inlineStr">
        <is>
          <t>R0126235</t>
        </is>
      </c>
      <c r="D91" s="1229" t="inlineStr">
        <is>
          <t>15024 Laroy Drive</t>
        </is>
      </c>
      <c r="E91" s="1228" t="inlineStr">
        <is>
          <t>Northglenn</t>
        </is>
      </c>
      <c r="F91" s="1228" t="inlineStr">
        <is>
          <t>CO</t>
        </is>
      </c>
      <c r="G91" s="1228" t="inlineStr">
        <is>
          <t>Self-Storage</t>
        </is>
      </c>
      <c r="H91" s="1229" t="inlineStr">
        <is>
          <t>Climate-Controlled</t>
        </is>
      </c>
      <c r="I91" s="1230" t="n"/>
      <c r="J91" s="1230" t="n">
        <v>79950</v>
      </c>
      <c r="K91" s="1230" t="n">
        <v>2021</v>
      </c>
      <c r="L91" s="1228" t="n"/>
      <c r="M91" s="1228" t="n"/>
      <c r="N91" s="1231" t="n">
        <v>11.9617</v>
      </c>
      <c r="O91" s="1228" t="n"/>
      <c r="P91" s="1228" t="n"/>
      <c r="Q91" s="1228" t="n"/>
      <c r="R91" s="1228" t="n"/>
      <c r="S91" s="1228" t="n"/>
      <c r="T91" s="1228" t="n"/>
      <c r="U91" s="1228" t="n"/>
      <c r="V91" s="1228" t="n"/>
      <c r="W91" s="1228" t="n"/>
      <c r="X91" s="1228" t="n"/>
      <c r="Y91" s="1228" t="n"/>
      <c r="Z91" s="1228" t="n"/>
      <c r="AA91" s="1228" t="n"/>
      <c r="AB91" s="1228" t="n"/>
      <c r="AC91" s="1228" t="n"/>
      <c r="AD91" s="1228" t="n"/>
      <c r="AE91" s="1228" t="n"/>
      <c r="AF91" s="1228" t="n"/>
      <c r="AG91" s="1228" t="n"/>
      <c r="AH91" s="1228" t="n"/>
      <c r="AI91" s="1228" t="n"/>
      <c r="AJ91" s="1231" t="n">
        <v>6.0239</v>
      </c>
      <c r="AK91" s="1231" t="n">
        <v>6.4381</v>
      </c>
      <c r="AL91" s="1228" t="n"/>
      <c r="AM91" s="1229" t="inlineStr">
        <is>
          <t>Actual SS P&amp;L; mgmt=off-site+on-site combined</t>
        </is>
      </c>
    </row>
    <row r="92" ht="14.1" customHeight="1">
      <c r="A92" s="1228" t="inlineStr">
        <is>
          <t>P042</t>
        </is>
      </c>
      <c r="B92" s="695" t="n">
        <v>386</v>
      </c>
      <c r="C92" s="1228" t="inlineStr">
        <is>
          <t>R0126235</t>
        </is>
      </c>
      <c r="D92" s="1229" t="inlineStr">
        <is>
          <t>15024 Laroy Drive</t>
        </is>
      </c>
      <c r="E92" s="1228" t="inlineStr">
        <is>
          <t>Northglenn</t>
        </is>
      </c>
      <c r="F92" s="1228" t="inlineStr">
        <is>
          <t>CO</t>
        </is>
      </c>
      <c r="G92" s="1228" t="inlineStr">
        <is>
          <t>Self-Storage</t>
        </is>
      </c>
      <c r="H92" s="1229" t="inlineStr">
        <is>
          <t>Climate-Controlled</t>
        </is>
      </c>
      <c r="I92" s="1230" t="n"/>
      <c r="J92" s="1230" t="n">
        <v>79950</v>
      </c>
      <c r="K92" s="1230" t="n">
        <v>2022</v>
      </c>
      <c r="L92" s="1228" t="n"/>
      <c r="M92" s="1228" t="n"/>
      <c r="N92" s="1231" t="n">
        <v>12.7321</v>
      </c>
      <c r="O92" s="1228" t="n"/>
      <c r="P92" s="1228" t="n"/>
      <c r="Q92" s="1228" t="n"/>
      <c r="R92" s="1228" t="n"/>
      <c r="S92" s="1228" t="n"/>
      <c r="T92" s="1228" t="n"/>
      <c r="U92" s="1228" t="n"/>
      <c r="V92" s="1228" t="n"/>
      <c r="W92" s="1228" t="n"/>
      <c r="X92" s="1228" t="n"/>
      <c r="Y92" s="1228" t="n"/>
      <c r="Z92" s="1228" t="n"/>
      <c r="AA92" s="1228" t="n"/>
      <c r="AB92" s="1228" t="n"/>
      <c r="AC92" s="1228" t="n"/>
      <c r="AD92" s="1228" t="n"/>
      <c r="AE92" s="1228" t="n"/>
      <c r="AF92" s="1228" t="n"/>
      <c r="AG92" s="1228" t="n"/>
      <c r="AH92" s="1228" t="n"/>
      <c r="AI92" s="1228" t="n"/>
      <c r="AJ92" s="1231" t="n">
        <v>5.4064</v>
      </c>
      <c r="AK92" s="1231" t="n">
        <v>7.3257</v>
      </c>
      <c r="AL92" s="1228" t="n"/>
      <c r="AM92" s="1229" t="inlineStr">
        <is>
          <t>Actual SS P&amp;L; mgmt=off-site+on-site combined</t>
        </is>
      </c>
    </row>
    <row r="93" ht="14.1" customHeight="1">
      <c r="A93" s="1228" t="inlineStr">
        <is>
          <t>P042</t>
        </is>
      </c>
      <c r="B93" s="695" t="n">
        <v>386</v>
      </c>
      <c r="C93" s="1228" t="inlineStr">
        <is>
          <t>R0126235</t>
        </is>
      </c>
      <c r="D93" s="1229" t="inlineStr">
        <is>
          <t>15024 Laroy Drive</t>
        </is>
      </c>
      <c r="E93" s="1228" t="inlineStr">
        <is>
          <t>Northglenn</t>
        </is>
      </c>
      <c r="F93" s="1228" t="inlineStr">
        <is>
          <t>CO</t>
        </is>
      </c>
      <c r="G93" s="1228" t="inlineStr">
        <is>
          <t>Self-Storage</t>
        </is>
      </c>
      <c r="H93" s="1229" t="inlineStr">
        <is>
          <t>Climate-Controlled</t>
        </is>
      </c>
      <c r="I93" s="1230" t="n"/>
      <c r="J93" s="1230" t="n">
        <v>79950</v>
      </c>
      <c r="K93" s="1230" t="n">
        <v>2023</v>
      </c>
      <c r="L93" s="1228" t="n"/>
      <c r="M93" s="1228" t="n"/>
      <c r="N93" s="1231" t="n">
        <v>11.94</v>
      </c>
      <c r="O93" s="1231" t="n">
        <v>0.5105</v>
      </c>
      <c r="P93" s="1231" t="n">
        <v>1.3574</v>
      </c>
      <c r="Q93" s="1228" t="n"/>
      <c r="R93" s="1228" t="n"/>
      <c r="S93" s="1228" t="n"/>
      <c r="T93" s="1228" t="n"/>
      <c r="U93" s="1228" t="n"/>
      <c r="V93" s="1228" t="n"/>
      <c r="W93" s="1228" t="n"/>
      <c r="X93" s="1228" t="n"/>
      <c r="Y93" s="1231" t="n">
        <v>0.301</v>
      </c>
      <c r="Z93" s="1228" t="n"/>
      <c r="AA93" s="1228" t="n"/>
      <c r="AB93" s="1228" t="n"/>
      <c r="AC93" s="1228" t="n"/>
      <c r="AD93" s="1228" t="n"/>
      <c r="AE93" s="1228" t="n"/>
      <c r="AF93" s="1231" t="n">
        <v>0.2587</v>
      </c>
      <c r="AG93" s="1228" t="n"/>
      <c r="AH93" s="1231" t="n">
        <v>3.4355</v>
      </c>
      <c r="AI93" s="1231" t="n">
        <v>3.061</v>
      </c>
      <c r="AJ93" s="1231" t="n">
        <v>6.4964</v>
      </c>
      <c r="AK93" s="1231" t="n">
        <v>5.4436</v>
      </c>
      <c r="AL93" s="1228" t="n"/>
      <c r="AM93" s="1229" t="inlineStr">
        <is>
          <t>Actual SS P&amp;L; mgmt=off-site+on-site combined</t>
        </is>
      </c>
    </row>
    <row r="94" ht="14.1" customHeight="1">
      <c r="A94" s="1228" t="inlineStr">
        <is>
          <t>P043</t>
        </is>
      </c>
      <c r="B94" s="695" t="n">
        <v>386</v>
      </c>
      <c r="C94" s="1228" t="inlineStr">
        <is>
          <t>R0126234</t>
        </is>
      </c>
      <c r="D94" s="1229" t="inlineStr">
        <is>
          <t>715 W 112th Ave</t>
        </is>
      </c>
      <c r="E94" s="1228" t="inlineStr">
        <is>
          <t>Northglenn</t>
        </is>
      </c>
      <c r="F94" s="1228" t="inlineStr">
        <is>
          <t>CO</t>
        </is>
      </c>
      <c r="G94" s="1228" t="inlineStr">
        <is>
          <t>Self-Storage</t>
        </is>
      </c>
      <c r="H94" s="1229" t="inlineStr">
        <is>
          <t>Drive-Up/Drop-Off</t>
        </is>
      </c>
      <c r="I94" s="1230" t="n"/>
      <c r="J94" s="1230" t="n">
        <v>83756</v>
      </c>
      <c r="K94" s="1230" t="n">
        <v>2021</v>
      </c>
      <c r="L94" s="1228" t="n"/>
      <c r="M94" s="1228" t="n"/>
      <c r="N94" s="1231" t="n">
        <v>9.7278</v>
      </c>
      <c r="O94" s="1228" t="n"/>
      <c r="P94" s="1228" t="n"/>
      <c r="Q94" s="1228" t="n"/>
      <c r="R94" s="1228" t="n"/>
      <c r="S94" s="1228" t="n"/>
      <c r="T94" s="1228" t="n"/>
      <c r="U94" s="1228" t="n"/>
      <c r="V94" s="1228" t="n"/>
      <c r="W94" s="1228" t="n"/>
      <c r="X94" s="1228" t="n"/>
      <c r="Y94" s="1228" t="n"/>
      <c r="Z94" s="1228" t="n"/>
      <c r="AA94" s="1228" t="n"/>
      <c r="AB94" s="1228" t="n"/>
      <c r="AC94" s="1228" t="n"/>
      <c r="AD94" s="1228" t="n"/>
      <c r="AE94" s="1228" t="n"/>
      <c r="AF94" s="1228" t="n"/>
      <c r="AG94" s="1228" t="n"/>
      <c r="AH94" s="1228" t="n"/>
      <c r="AI94" s="1228" t="n"/>
      <c r="AJ94" s="1231" t="n">
        <v>5.2127</v>
      </c>
      <c r="AK94" s="1231" t="n">
        <v>4.5151</v>
      </c>
      <c r="AL94" s="1228" t="n"/>
      <c r="AM94" s="1229" t="inlineStr">
        <is>
          <t>Actual SS P&amp;L; mgmt=off-site+on-site combined</t>
        </is>
      </c>
    </row>
    <row r="95" ht="14.1" customHeight="1">
      <c r="A95" s="1228" t="inlineStr">
        <is>
          <t>P043</t>
        </is>
      </c>
      <c r="B95" s="695" t="n">
        <v>386</v>
      </c>
      <c r="C95" s="1228" t="inlineStr">
        <is>
          <t>R0126234</t>
        </is>
      </c>
      <c r="D95" s="1229" t="inlineStr">
        <is>
          <t>715 W 112th Ave</t>
        </is>
      </c>
      <c r="E95" s="1228" t="inlineStr">
        <is>
          <t>Northglenn</t>
        </is>
      </c>
      <c r="F95" s="1228" t="inlineStr">
        <is>
          <t>CO</t>
        </is>
      </c>
      <c r="G95" s="1228" t="inlineStr">
        <is>
          <t>Self-Storage</t>
        </is>
      </c>
      <c r="H95" s="1229" t="inlineStr">
        <is>
          <t>Drive-Up/Drop-Off</t>
        </is>
      </c>
      <c r="I95" s="1230" t="n"/>
      <c r="J95" s="1230" t="n">
        <v>83756</v>
      </c>
      <c r="K95" s="1230" t="n">
        <v>2022</v>
      </c>
      <c r="L95" s="1228" t="n"/>
      <c r="M95" s="1228" t="n"/>
      <c r="N95" s="1231" t="n">
        <v>11.7102</v>
      </c>
      <c r="O95" s="1228" t="n"/>
      <c r="P95" s="1228" t="n"/>
      <c r="Q95" s="1228" t="n"/>
      <c r="R95" s="1228" t="n"/>
      <c r="S95" s="1228" t="n"/>
      <c r="T95" s="1228" t="n"/>
      <c r="U95" s="1228" t="n"/>
      <c r="V95" s="1228" t="n"/>
      <c r="W95" s="1228" t="n"/>
      <c r="X95" s="1228" t="n"/>
      <c r="Y95" s="1228" t="n"/>
      <c r="Z95" s="1228" t="n"/>
      <c r="AA95" s="1228" t="n"/>
      <c r="AB95" s="1228" t="n"/>
      <c r="AC95" s="1228" t="n"/>
      <c r="AD95" s="1228" t="n"/>
      <c r="AE95" s="1228" t="n"/>
      <c r="AF95" s="1228" t="n"/>
      <c r="AG95" s="1228" t="n"/>
      <c r="AH95" s="1228" t="n"/>
      <c r="AI95" s="1228" t="n"/>
      <c r="AJ95" s="1231" t="n">
        <v>5.4426</v>
      </c>
      <c r="AK95" s="1231" t="n">
        <v>6.2675</v>
      </c>
      <c r="AL95" s="1228" t="n"/>
      <c r="AM95" s="1229" t="inlineStr">
        <is>
          <t>Actual SS P&amp;L; mgmt=off-site+on-site combined</t>
        </is>
      </c>
    </row>
    <row r="96" ht="14.1" customHeight="1">
      <c r="A96" s="1228" t="inlineStr">
        <is>
          <t>P043</t>
        </is>
      </c>
      <c r="B96" s="695" t="n">
        <v>386</v>
      </c>
      <c r="C96" s="1228" t="inlineStr">
        <is>
          <t>R0126234</t>
        </is>
      </c>
      <c r="D96" s="1229" t="inlineStr">
        <is>
          <t>715 W 112th Ave</t>
        </is>
      </c>
      <c r="E96" s="1228" t="inlineStr">
        <is>
          <t>Northglenn</t>
        </is>
      </c>
      <c r="F96" s="1228" t="inlineStr">
        <is>
          <t>CO</t>
        </is>
      </c>
      <c r="G96" s="1228" t="inlineStr">
        <is>
          <t>Self-Storage</t>
        </is>
      </c>
      <c r="H96" s="1229" t="inlineStr">
        <is>
          <t>Drive-Up/Drop-Off</t>
        </is>
      </c>
      <c r="I96" s="1230" t="n"/>
      <c r="J96" s="1230" t="n">
        <v>83756</v>
      </c>
      <c r="K96" s="1230" t="n">
        <v>2023</v>
      </c>
      <c r="L96" s="1228" t="n"/>
      <c r="M96" s="1228" t="n"/>
      <c r="N96" s="1231" t="n">
        <v>12.0821</v>
      </c>
      <c r="O96" s="1231" t="n">
        <v>0.5624</v>
      </c>
      <c r="P96" s="1231" t="n">
        <v>1.3342</v>
      </c>
      <c r="Q96" s="1228" t="n"/>
      <c r="R96" s="1228" t="n"/>
      <c r="S96" s="1228" t="n"/>
      <c r="T96" s="1228" t="n"/>
      <c r="U96" s="1228" t="n"/>
      <c r="V96" s="1228" t="n"/>
      <c r="W96" s="1228" t="n"/>
      <c r="X96" s="1228" t="n"/>
      <c r="Y96" s="1231" t="n">
        <v>0.1222</v>
      </c>
      <c r="Z96" s="1228" t="n"/>
      <c r="AA96" s="1228" t="n"/>
      <c r="AB96" s="1228" t="n"/>
      <c r="AC96" s="1228" t="n"/>
      <c r="AD96" s="1228" t="n"/>
      <c r="AE96" s="1228" t="n"/>
      <c r="AF96" s="1231" t="n">
        <v>0.1904</v>
      </c>
      <c r="AG96" s="1228" t="n"/>
      <c r="AH96" s="1231" t="n">
        <v>3.0787</v>
      </c>
      <c r="AI96" s="1231" t="n">
        <v>2.42</v>
      </c>
      <c r="AJ96" s="1231" t="n">
        <v>5.4986</v>
      </c>
      <c r="AK96" s="1231" t="n">
        <v>6.5859</v>
      </c>
      <c r="AL96" s="1228" t="n"/>
      <c r="AM96" s="1229" t="inlineStr">
        <is>
          <t>Actual SS P&amp;L; mgmt=off-site+on-site combined</t>
        </is>
      </c>
    </row>
    <row r="97" ht="14.1" customHeight="1">
      <c r="A97" s="1228" t="inlineStr">
        <is>
          <t>P044</t>
        </is>
      </c>
      <c r="B97" s="695" t="n">
        <v>386</v>
      </c>
      <c r="C97" s="1228" t="inlineStr">
        <is>
          <t>R0027089/R0178319</t>
        </is>
      </c>
      <c r="D97" s="1229" t="inlineStr">
        <is>
          <t>2290 E 120th Ave</t>
        </is>
      </c>
      <c r="E97" s="1228" t="inlineStr">
        <is>
          <t>Thornton</t>
        </is>
      </c>
      <c r="F97" s="1228" t="inlineStr">
        <is>
          <t>CO</t>
        </is>
      </c>
      <c r="G97" s="1228" t="inlineStr">
        <is>
          <t>Self-Storage</t>
        </is>
      </c>
      <c r="H97" s="1229" t="inlineStr">
        <is>
          <t>Drive-Up/Drop-Off</t>
        </is>
      </c>
      <c r="I97" s="1230" t="n"/>
      <c r="J97" s="1230" t="n">
        <v>71909</v>
      </c>
      <c r="K97" s="1230" t="n">
        <v>2021</v>
      </c>
      <c r="L97" s="1228" t="n"/>
      <c r="M97" s="1228" t="n"/>
      <c r="N97" s="1231" t="n">
        <v>11.6457</v>
      </c>
      <c r="O97" s="1228" t="n"/>
      <c r="P97" s="1228" t="n"/>
      <c r="Q97" s="1228" t="n"/>
      <c r="R97" s="1228" t="n"/>
      <c r="S97" s="1228" t="n"/>
      <c r="T97" s="1228" t="n"/>
      <c r="U97" s="1228" t="n"/>
      <c r="V97" s="1228" t="n"/>
      <c r="W97" s="1228" t="n"/>
      <c r="X97" s="1228" t="n"/>
      <c r="Y97" s="1228" t="n"/>
      <c r="Z97" s="1228" t="n"/>
      <c r="AA97" s="1228" t="n"/>
      <c r="AB97" s="1228" t="n"/>
      <c r="AC97" s="1228" t="n"/>
      <c r="AD97" s="1228" t="n"/>
      <c r="AE97" s="1228" t="n"/>
      <c r="AF97" s="1228" t="n"/>
      <c r="AG97" s="1228" t="n"/>
      <c r="AH97" s="1228" t="n"/>
      <c r="AI97" s="1228" t="n"/>
      <c r="AJ97" s="1231" t="n">
        <v>6.1981</v>
      </c>
      <c r="AK97" s="1231" t="n">
        <v>5.4476</v>
      </c>
      <c r="AL97" s="1228" t="n"/>
      <c r="AM97" s="1229" t="inlineStr">
        <is>
          <t>Actual SS P&amp;L; combined parcels R0027089+R0178319; mgmt=off-site+on-site</t>
        </is>
      </c>
    </row>
    <row r="98" ht="14.1" customHeight="1">
      <c r="A98" s="1228" t="inlineStr">
        <is>
          <t>P044</t>
        </is>
      </c>
      <c r="B98" s="695" t="n">
        <v>386</v>
      </c>
      <c r="C98" s="1228" t="inlineStr">
        <is>
          <t>R0027089/R0178319</t>
        </is>
      </c>
      <c r="D98" s="1229" t="inlineStr">
        <is>
          <t>2290 E 120th Ave</t>
        </is>
      </c>
      <c r="E98" s="1228" t="inlineStr">
        <is>
          <t>Thornton</t>
        </is>
      </c>
      <c r="F98" s="1228" t="inlineStr">
        <is>
          <t>CO</t>
        </is>
      </c>
      <c r="G98" s="1228" t="inlineStr">
        <is>
          <t>Self-Storage</t>
        </is>
      </c>
      <c r="H98" s="1229" t="inlineStr">
        <is>
          <t>Drive-Up/Drop-Off</t>
        </is>
      </c>
      <c r="I98" s="1230" t="n"/>
      <c r="J98" s="1230" t="n">
        <v>71909</v>
      </c>
      <c r="K98" s="1230" t="n">
        <v>2022</v>
      </c>
      <c r="L98" s="1228" t="n"/>
      <c r="M98" s="1228" t="n"/>
      <c r="N98" s="1231" t="n">
        <v>13.1494</v>
      </c>
      <c r="O98" s="1228" t="n"/>
      <c r="P98" s="1228" t="n"/>
      <c r="Q98" s="1228" t="n"/>
      <c r="R98" s="1228" t="n"/>
      <c r="S98" s="1228" t="n"/>
      <c r="T98" s="1228" t="n"/>
      <c r="U98" s="1228" t="n"/>
      <c r="V98" s="1228" t="n"/>
      <c r="W98" s="1228" t="n"/>
      <c r="X98" s="1228" t="n"/>
      <c r="Y98" s="1228" t="n"/>
      <c r="Z98" s="1228" t="n"/>
      <c r="AA98" s="1228" t="n"/>
      <c r="AB98" s="1228" t="n"/>
      <c r="AC98" s="1228" t="n"/>
      <c r="AD98" s="1228" t="n"/>
      <c r="AE98" s="1228" t="n"/>
      <c r="AF98" s="1228" t="n"/>
      <c r="AG98" s="1228" t="n"/>
      <c r="AH98" s="1228" t="n"/>
      <c r="AI98" s="1228" t="n"/>
      <c r="AJ98" s="1231" t="n">
        <v>6.1981</v>
      </c>
      <c r="AK98" s="1231" t="n">
        <v>6.4846</v>
      </c>
      <c r="AL98" s="1228" t="n"/>
      <c r="AM98" s="1229" t="inlineStr">
        <is>
          <t>Actual SS P&amp;L; combined parcels R0027089+R0178319; mgmt=off-site+on-site</t>
        </is>
      </c>
    </row>
    <row r="99" ht="14.1" customHeight="1">
      <c r="A99" s="1228" t="inlineStr">
        <is>
          <t>P044</t>
        </is>
      </c>
      <c r="B99" s="695" t="n">
        <v>386</v>
      </c>
      <c r="C99" s="1228" t="inlineStr">
        <is>
          <t>R0027089/R0178319</t>
        </is>
      </c>
      <c r="D99" s="1229" t="inlineStr">
        <is>
          <t>2290 E 120th Ave</t>
        </is>
      </c>
      <c r="E99" s="1228" t="inlineStr">
        <is>
          <t>Thornton</t>
        </is>
      </c>
      <c r="F99" s="1228" t="inlineStr">
        <is>
          <t>CO</t>
        </is>
      </c>
      <c r="G99" s="1228" t="inlineStr">
        <is>
          <t>Self-Storage</t>
        </is>
      </c>
      <c r="H99" s="1229" t="inlineStr">
        <is>
          <t>Drive-Up/Drop-Off</t>
        </is>
      </c>
      <c r="I99" s="1230" t="n"/>
      <c r="J99" s="1230" t="n">
        <v>71909</v>
      </c>
      <c r="K99" s="1230" t="n">
        <v>2023</v>
      </c>
      <c r="L99" s="1228" t="n"/>
      <c r="M99" s="1228" t="n"/>
      <c r="N99" s="1231" t="n">
        <v>13.6392</v>
      </c>
      <c r="O99" s="1231" t="n">
        <v>0.6036</v>
      </c>
      <c r="P99" s="1231" t="n">
        <v>1.9706</v>
      </c>
      <c r="Q99" s="1228" t="n"/>
      <c r="R99" s="1228" t="n"/>
      <c r="S99" s="1228" t="n"/>
      <c r="T99" s="1228" t="n"/>
      <c r="U99" s="1228" t="n"/>
      <c r="V99" s="1228" t="n"/>
      <c r="W99" s="1228" t="n"/>
      <c r="X99" s="1228" t="n"/>
      <c r="Y99" s="1231" t="n">
        <v>0.248</v>
      </c>
      <c r="Z99" s="1228" t="n"/>
      <c r="AA99" s="1228" t="n"/>
      <c r="AB99" s="1228" t="n"/>
      <c r="AC99" s="1228" t="n"/>
      <c r="AD99" s="1228" t="n"/>
      <c r="AE99" s="1228" t="n"/>
      <c r="AF99" s="1231" t="n">
        <v>0.298</v>
      </c>
      <c r="AG99" s="1228" t="n"/>
      <c r="AH99" s="1231" t="n">
        <v>4.1574</v>
      </c>
      <c r="AI99" s="1231" t="n">
        <v>2.5917</v>
      </c>
      <c r="AJ99" s="1231" t="n">
        <v>6.7491</v>
      </c>
      <c r="AK99" s="1231" t="n">
        <v>6.8462</v>
      </c>
      <c r="AL99" s="1228" t="n"/>
      <c r="AM99" s="1229" t="inlineStr">
        <is>
          <t>Actual SS P&amp;L; combined parcels R0027089+R0178319; mgmt=off-site+on-site</t>
        </is>
      </c>
    </row>
    <row r="100" ht="14.1" customHeight="1">
      <c r="A100" s="1228" t="inlineStr">
        <is>
          <t>P045</t>
        </is>
      </c>
      <c r="B100" s="695" t="n">
        <v>386</v>
      </c>
      <c r="C100" s="1228" t="inlineStr">
        <is>
          <t>R0043569</t>
        </is>
      </c>
      <c r="D100" s="1229" t="inlineStr">
        <is>
          <t>40131 Quivas St</t>
        </is>
      </c>
      <c r="E100" s="1228" t="inlineStr">
        <is>
          <t>Thornton</t>
        </is>
      </c>
      <c r="F100" s="1228" t="inlineStr">
        <is>
          <t>CO</t>
        </is>
      </c>
      <c r="G100" s="1228" t="inlineStr">
        <is>
          <t>Self-Storage</t>
        </is>
      </c>
      <c r="H100" s="1229" t="inlineStr">
        <is>
          <t>Drive-Up/Drop-Off</t>
        </is>
      </c>
      <c r="I100" s="1230" t="n"/>
      <c r="J100" s="1230" t="n">
        <v>41900</v>
      </c>
      <c r="K100" s="1230" t="n">
        <v>2024</v>
      </c>
      <c r="L100" s="1228" t="n"/>
      <c r="M100" s="1228" t="n"/>
      <c r="N100" s="1231" t="n">
        <v>17.1375</v>
      </c>
      <c r="O100" s="1231" t="n">
        <v>0.4543</v>
      </c>
      <c r="P100" s="1231" t="n">
        <v>2.2428</v>
      </c>
      <c r="Q100" s="1228" t="n"/>
      <c r="R100" s="1228" t="n"/>
      <c r="S100" s="1228" t="n"/>
      <c r="T100" s="1228" t="n"/>
      <c r="U100" s="1228" t="n"/>
      <c r="V100" s="1228" t="n"/>
      <c r="W100" s="1228" t="n"/>
      <c r="X100" s="1228" t="n"/>
      <c r="Y100" s="1231" t="n">
        <v>0.2809</v>
      </c>
      <c r="Z100" s="1228" t="n"/>
      <c r="AA100" s="1228" t="n"/>
      <c r="AB100" s="1228" t="n"/>
      <c r="AC100" s="1228" t="n"/>
      <c r="AD100" s="1228" t="n"/>
      <c r="AE100" s="1228" t="n"/>
      <c r="AF100" s="1231" t="n">
        <v>0.1293</v>
      </c>
      <c r="AG100" s="1228" t="n"/>
      <c r="AH100" s="1231" t="n">
        <v>4.9831</v>
      </c>
      <c r="AI100" s="1231" t="n">
        <v>4.213</v>
      </c>
      <c r="AJ100" s="1231" t="n">
        <v>9.196</v>
      </c>
      <c r="AK100" s="1231" t="n">
        <v>7.9414</v>
      </c>
      <c r="AL100" s="1228" t="n"/>
      <c r="AM100" s="1229" t="inlineStr">
        <is>
          <t>Actual FY2024 P&amp;L; mgmt=off-site $42,964+on-site $51,011; RE Tax est from matrix</t>
        </is>
      </c>
    </row>
    <row r="101" ht="14.1" customHeight="1">
      <c r="A101" s="1228" t="inlineStr">
        <is>
          <t>P046</t>
        </is>
      </c>
      <c r="B101" s="695" t="n">
        <v>386</v>
      </c>
      <c r="C101" s="1228" t="inlineStr">
        <is>
          <t>R0193009</t>
        </is>
      </c>
      <c r="D101" s="1229" t="inlineStr">
        <is>
          <t>Address unknown – see R0193009</t>
        </is>
      </c>
      <c r="E101" s="1228" t="inlineStr">
        <is>
          <t>Adams County</t>
        </is>
      </c>
      <c r="F101" s="1228" t="inlineStr">
        <is>
          <t>CO</t>
        </is>
      </c>
      <c r="G101" s="1228" t="inlineStr">
        <is>
          <t>Self-Storage</t>
        </is>
      </c>
      <c r="H101" s="1229" t="inlineStr">
        <is>
          <t>Climate-Controlled</t>
        </is>
      </c>
      <c r="I101" s="1230" t="n"/>
      <c r="J101" s="1230" t="n">
        <v>94736</v>
      </c>
      <c r="K101" s="1230" t="n"/>
      <c r="L101" s="1228" t="n"/>
      <c r="M101" s="1228" t="n"/>
      <c r="N101" s="1231" t="n">
        <v>16.7</v>
      </c>
      <c r="O101" s="1231" t="n">
        <v>0.4183</v>
      </c>
      <c r="P101" s="1231" t="n">
        <v>1.7666</v>
      </c>
      <c r="Q101" s="1228" t="n"/>
      <c r="R101" s="1228" t="n"/>
      <c r="S101" s="1228" t="n"/>
      <c r="T101" s="1228" t="n"/>
      <c r="U101" s="1228" t="n"/>
      <c r="V101" s="1228" t="n"/>
      <c r="W101" s="1228" t="n"/>
      <c r="X101" s="1228" t="n"/>
      <c r="Y101" s="1231" t="n">
        <v>0.4073</v>
      </c>
      <c r="Z101" s="1228" t="n"/>
      <c r="AA101" s="1228" t="n"/>
      <c r="AB101" s="1228" t="n"/>
      <c r="AC101" s="1228" t="n"/>
      <c r="AD101" s="1228" t="n"/>
      <c r="AE101" s="1228" t="n"/>
      <c r="AF101" s="1231" t="n">
        <v>0.207</v>
      </c>
      <c r="AG101" s="1228" t="n"/>
      <c r="AH101" s="1231" t="n">
        <v>3.6866</v>
      </c>
      <c r="AI101" s="1231" t="n">
        <v>4.474</v>
      </c>
      <c r="AJ101" s="1231" t="n">
        <v>8.160600000000001</v>
      </c>
      <c r="AK101" s="1231" t="n">
        <v>8.539400000000001</v>
      </c>
      <c r="AL101" s="1228" t="n"/>
      <c r="AM101" s="1229" t="inlineStr">
        <is>
          <t>AXG SS Expense Matrix; year not specified (~2022/23); R0193009</t>
        </is>
      </c>
    </row>
    <row r="102" ht="14.1" customHeight="1">
      <c r="A102" s="1228" t="inlineStr">
        <is>
          <t>P047</t>
        </is>
      </c>
      <c r="B102" s="695" t="n">
        <v>386</v>
      </c>
      <c r="C102" s="1228" t="inlineStr">
        <is>
          <t>R0099616</t>
        </is>
      </c>
      <c r="D102" s="1229" t="inlineStr">
        <is>
          <t>Address unknown – see R0099616</t>
        </is>
      </c>
      <c r="E102" s="1228" t="inlineStr">
        <is>
          <t>Adams County</t>
        </is>
      </c>
      <c r="F102" s="1228" t="inlineStr">
        <is>
          <t>CO</t>
        </is>
      </c>
      <c r="G102" s="1228" t="inlineStr">
        <is>
          <t>Self-Storage</t>
        </is>
      </c>
      <c r="H102" s="1229" t="inlineStr">
        <is>
          <t>Drive-Up/Drop-Off</t>
        </is>
      </c>
      <c r="I102" s="1230" t="n"/>
      <c r="J102" s="1230" t="n">
        <v>73500</v>
      </c>
      <c r="K102" s="1230" t="n"/>
      <c r="L102" s="1228" t="n"/>
      <c r="M102" s="1228" t="n"/>
      <c r="N102" s="1231" t="n">
        <v>11.3518</v>
      </c>
      <c r="O102" s="1231" t="n">
        <v>0.2504</v>
      </c>
      <c r="P102" s="1231" t="n">
        <v>0.8845</v>
      </c>
      <c r="Q102" s="1228" t="n"/>
      <c r="R102" s="1228" t="n"/>
      <c r="S102" s="1228" t="n"/>
      <c r="T102" s="1228" t="n"/>
      <c r="U102" s="1228" t="n"/>
      <c r="V102" s="1228" t="n"/>
      <c r="W102" s="1228" t="n"/>
      <c r="X102" s="1228" t="n"/>
      <c r="Y102" s="1231" t="n">
        <v>0.3368</v>
      </c>
      <c r="Z102" s="1228" t="n"/>
      <c r="AA102" s="1228" t="n"/>
      <c r="AB102" s="1228" t="n"/>
      <c r="AC102" s="1228" t="n"/>
      <c r="AD102" s="1228" t="n"/>
      <c r="AE102" s="1228" t="n"/>
      <c r="AF102" s="1231" t="n">
        <v>0.2348</v>
      </c>
      <c r="AG102" s="1228" t="n"/>
      <c r="AH102" s="1231" t="n">
        <v>2.7024</v>
      </c>
      <c r="AI102" s="1231" t="n">
        <v>2.144</v>
      </c>
      <c r="AJ102" s="1231" t="n">
        <v>4.8463</v>
      </c>
      <c r="AK102" s="1231" t="n">
        <v>6.5055</v>
      </c>
      <c r="AL102" s="1228" t="n"/>
      <c r="AM102" s="1229" t="inlineStr">
        <is>
          <t>AXG SS Expense Matrix; year not specified (~2022/23); R0099616</t>
        </is>
      </c>
    </row>
    <row r="103" ht="14.1" customHeight="1">
      <c r="A103" s="1228" t="inlineStr">
        <is>
          <t>P048</t>
        </is>
      </c>
      <c r="B103" s="695" t="n">
        <v>386</v>
      </c>
      <c r="C103" s="1228" t="inlineStr">
        <is>
          <t>R0098019</t>
        </is>
      </c>
      <c r="D103" s="1229" t="inlineStr">
        <is>
          <t>Address unknown – see R0098019</t>
        </is>
      </c>
      <c r="E103" s="1228" t="inlineStr">
        <is>
          <t>Adams County</t>
        </is>
      </c>
      <c r="F103" s="1228" t="inlineStr">
        <is>
          <t>CO</t>
        </is>
      </c>
      <c r="G103" s="1228" t="inlineStr">
        <is>
          <t>Self-Storage</t>
        </is>
      </c>
      <c r="H103" s="1229" t="inlineStr">
        <is>
          <t>Drive-Up/Drop-Off</t>
        </is>
      </c>
      <c r="I103" s="1230" t="n"/>
      <c r="J103" s="1230" t="n">
        <v>44975</v>
      </c>
      <c r="K103" s="1230" t="n"/>
      <c r="L103" s="1228" t="n"/>
      <c r="M103" s="1228" t="n"/>
      <c r="N103" s="1231" t="n">
        <v>13.0923</v>
      </c>
      <c r="O103" s="1231" t="n">
        <v>0.4933</v>
      </c>
      <c r="P103" s="1231" t="n">
        <v>0.8561</v>
      </c>
      <c r="Q103" s="1228" t="n"/>
      <c r="R103" s="1228" t="n"/>
      <c r="S103" s="1228" t="n"/>
      <c r="T103" s="1228" t="n"/>
      <c r="U103" s="1228" t="n"/>
      <c r="V103" s="1228" t="n"/>
      <c r="W103" s="1228" t="n"/>
      <c r="X103" s="1228" t="n"/>
      <c r="Y103" s="1231" t="n">
        <v>0.8597</v>
      </c>
      <c r="Z103" s="1228" t="n"/>
      <c r="AA103" s="1228" t="n"/>
      <c r="AB103" s="1228" t="n"/>
      <c r="AC103" s="1228" t="n"/>
      <c r="AD103" s="1228" t="n"/>
      <c r="AE103" s="1228" t="n"/>
      <c r="AF103" s="1231" t="n">
        <v>0.6947</v>
      </c>
      <c r="AG103" s="1228" t="n"/>
      <c r="AH103" s="1231" t="n">
        <v>3.1997</v>
      </c>
      <c r="AI103" s="1231" t="n">
        <v>2.8576</v>
      </c>
      <c r="AJ103" s="1231" t="n">
        <v>6.0573</v>
      </c>
      <c r="AK103" s="1231" t="n">
        <v>7.035</v>
      </c>
      <c r="AL103" s="1228" t="n"/>
      <c r="AM103" s="1229" t="inlineStr">
        <is>
          <t>AXG SS Expense Matrix; year not specified (~2022/23); R0098019</t>
        </is>
      </c>
    </row>
    <row r="104" ht="14.1" customHeight="1">
      <c r="A104" s="1228" t="inlineStr">
        <is>
          <t>P049</t>
        </is>
      </c>
      <c r="B104" s="695" t="n">
        <v>386</v>
      </c>
      <c r="C104" s="1228" t="inlineStr">
        <is>
          <t>R0102989</t>
        </is>
      </c>
      <c r="D104" s="1229" t="inlineStr">
        <is>
          <t>Address unknown – see R0102989</t>
        </is>
      </c>
      <c r="E104" s="1228" t="inlineStr">
        <is>
          <t>Adams County</t>
        </is>
      </c>
      <c r="F104" s="1228" t="inlineStr">
        <is>
          <t>CO</t>
        </is>
      </c>
      <c r="G104" s="1228" t="inlineStr">
        <is>
          <t>Self-Storage</t>
        </is>
      </c>
      <c r="H104" s="1229" t="inlineStr">
        <is>
          <t>Climate-Controlled</t>
        </is>
      </c>
      <c r="I104" s="1230" t="n"/>
      <c r="J104" s="1230" t="n">
        <v>94797</v>
      </c>
      <c r="K104" s="1230" t="n"/>
      <c r="L104" s="1228" t="n"/>
      <c r="M104" s="1228" t="n"/>
      <c r="N104" s="1231" t="n">
        <v>12.4952</v>
      </c>
      <c r="O104" s="1231" t="n">
        <v>0.2668</v>
      </c>
      <c r="P104" s="1231" t="n">
        <v>2.1805</v>
      </c>
      <c r="Q104" s="1228" t="n"/>
      <c r="R104" s="1228" t="n"/>
      <c r="S104" s="1228" t="n"/>
      <c r="T104" s="1228" t="n"/>
      <c r="U104" s="1228" t="n"/>
      <c r="V104" s="1228" t="n"/>
      <c r="W104" s="1228" t="n"/>
      <c r="X104" s="1228" t="n"/>
      <c r="Y104" s="1231" t="n">
        <v>0.3013</v>
      </c>
      <c r="Z104" s="1228" t="n"/>
      <c r="AA104" s="1228" t="n"/>
      <c r="AB104" s="1228" t="n"/>
      <c r="AC104" s="1228" t="n"/>
      <c r="AD104" s="1228" t="n"/>
      <c r="AE104" s="1228" t="n"/>
      <c r="AF104" s="1231" t="n">
        <v>0.5221</v>
      </c>
      <c r="AG104" s="1228" t="n"/>
      <c r="AH104" s="1231" t="n">
        <v>4.5787</v>
      </c>
      <c r="AI104" s="1231" t="n">
        <v>2.7378</v>
      </c>
      <c r="AJ104" s="1231" t="n">
        <v>7.3165</v>
      </c>
      <c r="AK104" s="1231" t="n">
        <v>5.1786</v>
      </c>
      <c r="AL104" s="1228" t="n"/>
      <c r="AM104" s="1229" t="inlineStr">
        <is>
          <t>AXG SS Expense Matrix; year not specified (~2022/23); R0102989</t>
        </is>
      </c>
    </row>
    <row r="105" ht="14.1" customHeight="1">
      <c r="A105" s="1228" t="inlineStr">
        <is>
          <t>P050</t>
        </is>
      </c>
      <c r="B105" s="695" t="n">
        <v>386</v>
      </c>
      <c r="C105" s="1228" t="inlineStr">
        <is>
          <t>R0085523</t>
        </is>
      </c>
      <c r="D105" s="1229" t="inlineStr">
        <is>
          <t>Address unknown – see R0085523</t>
        </is>
      </c>
      <c r="E105" s="1228" t="inlineStr">
        <is>
          <t>Adams County</t>
        </is>
      </c>
      <c r="F105" s="1228" t="inlineStr">
        <is>
          <t>CO</t>
        </is>
      </c>
      <c r="G105" s="1228" t="inlineStr">
        <is>
          <t>Self-Storage</t>
        </is>
      </c>
      <c r="H105" s="1229" t="inlineStr">
        <is>
          <t>Drive-Up/Drop-Off</t>
        </is>
      </c>
      <c r="I105" s="1230" t="n"/>
      <c r="J105" s="1230" t="n">
        <v>39525</v>
      </c>
      <c r="K105" s="1230" t="n"/>
      <c r="L105" s="1228" t="n"/>
      <c r="M105" s="1228" t="n"/>
      <c r="N105" s="1231" t="n">
        <v>13.7122</v>
      </c>
      <c r="O105" s="1231" t="n">
        <v>0.2102</v>
      </c>
      <c r="P105" s="1231" t="n">
        <v>2.3853</v>
      </c>
      <c r="Q105" s="1228" t="n"/>
      <c r="R105" s="1228" t="n"/>
      <c r="S105" s="1228" t="n"/>
      <c r="T105" s="1228" t="n"/>
      <c r="U105" s="1228" t="n"/>
      <c r="V105" s="1228" t="n"/>
      <c r="W105" s="1228" t="n"/>
      <c r="X105" s="1228" t="n"/>
      <c r="Y105" s="1231" t="n">
        <v>0.5387</v>
      </c>
      <c r="Z105" s="1228" t="n"/>
      <c r="AA105" s="1228" t="n"/>
      <c r="AB105" s="1228" t="n"/>
      <c r="AC105" s="1228" t="n"/>
      <c r="AD105" s="1228" t="n"/>
      <c r="AE105" s="1228" t="n"/>
      <c r="AF105" s="1231" t="n">
        <v>0.4172</v>
      </c>
      <c r="AG105" s="1228" t="n"/>
      <c r="AH105" s="1231" t="n">
        <v>3.7856</v>
      </c>
      <c r="AI105" s="1231" t="n">
        <v>5.2913</v>
      </c>
      <c r="AJ105" s="1231" t="n">
        <v>9.0769</v>
      </c>
      <c r="AK105" s="1231" t="n">
        <v>4.6352</v>
      </c>
      <c r="AL105" s="1228" t="n"/>
      <c r="AM105" s="1229" t="inlineStr">
        <is>
          <t>AXG SS Expense Matrix; year not specified (~2022/23); R0085523</t>
        </is>
      </c>
    </row>
    <row r="106" ht="14.1" customHeight="1">
      <c r="A106" s="1228" t="inlineStr">
        <is>
          <t>P051</t>
        </is>
      </c>
      <c r="B106" s="695" t="n">
        <v>386</v>
      </c>
      <c r="C106" s="1228" t="inlineStr">
        <is>
          <t>R0174860</t>
        </is>
      </c>
      <c r="D106" s="1229" t="inlineStr">
        <is>
          <t>Address unknown – see R0174860</t>
        </is>
      </c>
      <c r="E106" s="1228" t="inlineStr">
        <is>
          <t>Adams County</t>
        </is>
      </c>
      <c r="F106" s="1228" t="inlineStr">
        <is>
          <t>CO</t>
        </is>
      </c>
      <c r="G106" s="1228" t="inlineStr">
        <is>
          <t>Self-Storage</t>
        </is>
      </c>
      <c r="H106" s="1229" t="inlineStr">
        <is>
          <t>Drive-Up/Drop-Off (containers)</t>
        </is>
      </c>
      <c r="I106" s="1230" t="n"/>
      <c r="J106" s="1230" t="n">
        <v>45980</v>
      </c>
      <c r="K106" s="1230" t="n"/>
      <c r="L106" s="1228" t="n"/>
      <c r="M106" s="1228" t="n"/>
      <c r="N106" s="1231" t="n">
        <v>14.0604</v>
      </c>
      <c r="O106" s="1231" t="n">
        <v>0.1085</v>
      </c>
      <c r="P106" s="1231" t="n">
        <v>1.5224</v>
      </c>
      <c r="Q106" s="1228" t="n"/>
      <c r="R106" s="1228" t="n"/>
      <c r="S106" s="1228" t="n"/>
      <c r="T106" s="1228" t="n"/>
      <c r="U106" s="1228" t="n"/>
      <c r="V106" s="1228" t="n"/>
      <c r="W106" s="1228" t="n"/>
      <c r="X106" s="1228" t="n"/>
      <c r="Y106" s="1231" t="n">
        <v>0.261</v>
      </c>
      <c r="Z106" s="1228" t="n"/>
      <c r="AA106" s="1228" t="n"/>
      <c r="AB106" s="1228" t="n"/>
      <c r="AC106" s="1228" t="n"/>
      <c r="AD106" s="1228" t="n"/>
      <c r="AE106" s="1228" t="n"/>
      <c r="AF106" s="1231" t="n">
        <v>0.2604</v>
      </c>
      <c r="AG106" s="1228" t="n"/>
      <c r="AH106" s="1231" t="n">
        <v>3.1926</v>
      </c>
      <c r="AI106" s="1231" t="n">
        <v>1.806</v>
      </c>
      <c r="AJ106" s="1231" t="n">
        <v>4.9986</v>
      </c>
      <c r="AK106" s="1231" t="n">
        <v>9.0617</v>
      </c>
      <c r="AL106" s="1228" t="n"/>
      <c r="AM106" s="1229" t="inlineStr">
        <is>
          <t>AXG SS Expense Matrix; year not specified (~2022/23); R0174860</t>
        </is>
      </c>
    </row>
    <row r="107" ht="14.1" customHeight="1">
      <c r="A107" s="1228" t="inlineStr">
        <is>
          <t>P052</t>
        </is>
      </c>
      <c r="B107" s="695" t="n">
        <v>386</v>
      </c>
      <c r="C107" s="1228" t="inlineStr">
        <is>
          <t>R0161412</t>
        </is>
      </c>
      <c r="D107" s="1229" t="inlineStr">
        <is>
          <t>Address unknown – see R0161412</t>
        </is>
      </c>
      <c r="E107" s="1228" t="inlineStr">
        <is>
          <t>Adams County</t>
        </is>
      </c>
      <c r="F107" s="1228" t="inlineStr">
        <is>
          <t>CO</t>
        </is>
      </c>
      <c r="G107" s="1228" t="inlineStr">
        <is>
          <t>Self-Storage</t>
        </is>
      </c>
      <c r="H107" s="1229" t="inlineStr">
        <is>
          <t>Drive-Up/Drop-Off</t>
        </is>
      </c>
      <c r="I107" s="1230" t="n"/>
      <c r="J107" s="1230" t="n">
        <v>88043</v>
      </c>
      <c r="K107" s="1230" t="n"/>
      <c r="L107" s="1228" t="n"/>
      <c r="M107" s="1228" t="n"/>
      <c r="N107" s="1231" t="n">
        <v>13.7047</v>
      </c>
      <c r="O107" s="1231" t="n">
        <v>0.1417</v>
      </c>
      <c r="P107" s="1231" t="n">
        <v>2.0341</v>
      </c>
      <c r="Q107" s="1228" t="n"/>
      <c r="R107" s="1228" t="n"/>
      <c r="S107" s="1228" t="n"/>
      <c r="T107" s="1228" t="n"/>
      <c r="U107" s="1228" t="n"/>
      <c r="V107" s="1228" t="n"/>
      <c r="W107" s="1228" t="n"/>
      <c r="X107" s="1228" t="n"/>
      <c r="Y107" s="1231" t="n">
        <v>0.2303</v>
      </c>
      <c r="Z107" s="1228" t="n"/>
      <c r="AA107" s="1228" t="n"/>
      <c r="AB107" s="1228" t="n"/>
      <c r="AC107" s="1228" t="n"/>
      <c r="AD107" s="1228" t="n"/>
      <c r="AE107" s="1228" t="n"/>
      <c r="AF107" s="1231" t="n">
        <v>0.1926</v>
      </c>
      <c r="AG107" s="1228" t="n"/>
      <c r="AH107" s="1231" t="n">
        <v>3.2267</v>
      </c>
      <c r="AI107" s="1231" t="n">
        <v>4.424</v>
      </c>
      <c r="AJ107" s="1231" t="n">
        <v>7.6507</v>
      </c>
      <c r="AK107" s="1231" t="n">
        <v>6.054</v>
      </c>
      <c r="AL107" s="1228" t="n"/>
      <c r="AM107" s="1229" t="inlineStr">
        <is>
          <t>AXG SS Expense Matrix; year not specified (~2022/23); R0161412</t>
        </is>
      </c>
    </row>
    <row r="108" ht="14.1" customHeight="1">
      <c r="A108" s="1228" t="inlineStr">
        <is>
          <t>P053</t>
        </is>
      </c>
      <c r="B108" s="695" t="n">
        <v>386</v>
      </c>
      <c r="C108" s="1228" t="inlineStr">
        <is>
          <t>R0169115</t>
        </is>
      </c>
      <c r="D108" s="1229" t="inlineStr">
        <is>
          <t>Address unknown – see R0169115</t>
        </is>
      </c>
      <c r="E108" s="1228" t="inlineStr">
        <is>
          <t>Adams County</t>
        </is>
      </c>
      <c r="F108" s="1228" t="inlineStr">
        <is>
          <t>CO</t>
        </is>
      </c>
      <c r="G108" s="1228" t="inlineStr">
        <is>
          <t>Self-Storage</t>
        </is>
      </c>
      <c r="H108" s="1229" t="inlineStr">
        <is>
          <t>Drive-Up/Drop-Off</t>
        </is>
      </c>
      <c r="I108" s="1230" t="n"/>
      <c r="J108" s="1230" t="n">
        <v>41764</v>
      </c>
      <c r="K108" s="1230" t="n"/>
      <c r="L108" s="1228" t="n"/>
      <c r="M108" s="1228" t="n"/>
      <c r="N108" s="1231" t="n">
        <v>18.8527</v>
      </c>
      <c r="O108" s="1231" t="n">
        <v>0.2311</v>
      </c>
      <c r="P108" s="1231" t="n">
        <v>1.995</v>
      </c>
      <c r="Q108" s="1228" t="n"/>
      <c r="R108" s="1228" t="n"/>
      <c r="S108" s="1228" t="n"/>
      <c r="T108" s="1228" t="n"/>
      <c r="U108" s="1228" t="n"/>
      <c r="V108" s="1228" t="n"/>
      <c r="W108" s="1228" t="n"/>
      <c r="X108" s="1228" t="n"/>
      <c r="Y108" s="1231" t="n">
        <v>0.6139</v>
      </c>
      <c r="Z108" s="1228" t="n"/>
      <c r="AA108" s="1228" t="n"/>
      <c r="AB108" s="1228" t="n"/>
      <c r="AC108" s="1228" t="n"/>
      <c r="AD108" s="1228" t="n"/>
      <c r="AE108" s="1228" t="n"/>
      <c r="AF108" s="1231" t="n">
        <v>0.3821</v>
      </c>
      <c r="AG108" s="1228" t="n"/>
      <c r="AH108" s="1231" t="n">
        <v>4.6124</v>
      </c>
      <c r="AI108" s="1231" t="n">
        <v>4.8634</v>
      </c>
      <c r="AJ108" s="1231" t="n">
        <v>9.4758</v>
      </c>
      <c r="AK108" s="1231" t="n">
        <v>9.376899999999999</v>
      </c>
      <c r="AL108" s="1228" t="n"/>
      <c r="AM108" s="1229" t="inlineStr">
        <is>
          <t>AXG SS Expense Matrix; year not specified (~2022/23); R0169115</t>
        </is>
      </c>
    </row>
    <row r="109" ht="14.1" customHeight="1">
      <c r="A109" s="696" t="inlineStr">
        <is>
          <t>P016</t>
        </is>
      </c>
      <c r="B109" s="695" t="n">
        <v>584</v>
      </c>
      <c r="C109" s="696" t="inlineStr">
        <is>
          <t>R0212546/R0212547</t>
        </is>
      </c>
      <c r="D109" s="1195" t="inlineStr">
        <is>
          <t>2780 N Tower Rd</t>
        </is>
      </c>
      <c r="E109" s="696" t="inlineStr">
        <is>
          <t>Aurora</t>
        </is>
      </c>
      <c r="F109" s="696" t="inlineStr">
        <is>
          <t>CO</t>
        </is>
      </c>
      <c r="G109" s="696" t="inlineStr">
        <is>
          <t>Industrial</t>
        </is>
      </c>
      <c r="H109" s="1195"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1195" t="inlineStr">
        <is>
          <t>Absolute NNN; tenant pays ALL RE tax, ins, CAM; owner opex = admin only (excl D&amp;A $456k); supersedes proforma row</t>
        </is>
      </c>
    </row>
    <row r="110" ht="14.1" customHeight="1">
      <c r="A110" s="1228" t="inlineStr">
        <is>
          <t>P016</t>
        </is>
      </c>
      <c r="B110" s="695" t="n">
        <v>584</v>
      </c>
      <c r="C110" s="1228" t="inlineStr">
        <is>
          <t>R0212546/R0212547</t>
        </is>
      </c>
      <c r="D110" s="1229" t="inlineStr">
        <is>
          <t>2780 N Tower Rd</t>
        </is>
      </c>
      <c r="E110" s="1228" t="inlineStr">
        <is>
          <t>Aurora</t>
        </is>
      </c>
      <c r="F110" s="1228" t="inlineStr">
        <is>
          <t>CO</t>
        </is>
      </c>
      <c r="G110" s="1228" t="inlineStr">
        <is>
          <t>Industrial</t>
        </is>
      </c>
      <c r="H110" s="1229" t="inlineStr">
        <is>
          <t>Mega Warehouse NNN</t>
        </is>
      </c>
      <c r="I110" s="1230" t="n">
        <v>1983</v>
      </c>
      <c r="J110" s="1230" t="n">
        <v>377729</v>
      </c>
      <c r="K110" s="1230" t="n">
        <v>2024</v>
      </c>
      <c r="L110" s="1231" t="n">
        <v>8.067600000000001</v>
      </c>
      <c r="M110" s="1228" t="n"/>
      <c r="N110" s="1231" t="n">
        <v>8.067600000000001</v>
      </c>
      <c r="O110" s="1228" t="n"/>
      <c r="P110" s="1231" t="n">
        <v>0.0106</v>
      </c>
      <c r="Q110" s="1228" t="n"/>
      <c r="R110" s="1228" t="n"/>
      <c r="S110" s="1228" t="n"/>
      <c r="T110" s="1228" t="n"/>
      <c r="U110" s="1228" t="n"/>
      <c r="V110" s="1228" t="n"/>
      <c r="W110" s="1228" t="n"/>
      <c r="X110" s="1228" t="n"/>
      <c r="Y110" s="1228" t="n"/>
      <c r="Z110" s="1228" t="n"/>
      <c r="AA110" s="1228" t="n"/>
      <c r="AB110" s="1228" t="n"/>
      <c r="AC110" s="1228" t="n"/>
      <c r="AD110" s="1228" t="n"/>
      <c r="AE110" s="1228" t="n"/>
      <c r="AF110" s="1228" t="n"/>
      <c r="AG110" s="1231" t="n">
        <v>0.06850000000000001</v>
      </c>
      <c r="AH110" s="1231" t="n">
        <v>0.1558</v>
      </c>
      <c r="AI110" s="1231" t="n">
        <v>0</v>
      </c>
      <c r="AJ110" s="1231" t="n">
        <v>0.1558</v>
      </c>
      <c r="AK110" s="1231" t="n">
        <v>7.9118</v>
      </c>
      <c r="AL110" s="1228" t="n"/>
      <c r="AM110" s="1229" t="inlineStr">
        <is>
          <t>Absolute NNN; tenant pays ALL RE tax, ins, CAM; owner opex = admin only (excl D&amp;A $456k); supersedes proforma row</t>
        </is>
      </c>
    </row>
    <row r="111" ht="14.1" customHeight="1">
      <c r="A111" s="696" t="inlineStr">
        <is>
          <t>P034</t>
        </is>
      </c>
      <c r="B111" s="695" t="n">
        <v>407</v>
      </c>
      <c r="C111" s="696" t="inlineStr">
        <is>
          <t>R0172865</t>
        </is>
      </c>
      <c r="D111" s="1195" t="inlineStr">
        <is>
          <t>Majestic Commercenter (R0172865)</t>
        </is>
      </c>
      <c r="E111" s="696" t="inlineStr">
        <is>
          <t>Commerce City</t>
        </is>
      </c>
      <c r="F111" s="696" t="inlineStr">
        <is>
          <t>CO</t>
        </is>
      </c>
      <c r="G111" s="696" t="inlineStr">
        <is>
          <t>Industrial</t>
        </is>
      </c>
      <c r="H111" s="1195"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1195" t="inlineStr">
        <is>
          <t>2024 actual 12-month P&amp;L; NOI est. per expense ratio; from 08_2025 Review</t>
        </is>
      </c>
    </row>
    <row r="112" ht="14.1" customHeight="1">
      <c r="A112" s="1228" t="inlineStr">
        <is>
          <t>P036</t>
        </is>
      </c>
      <c r="B112" s="695" t="n">
        <v>407</v>
      </c>
      <c r="C112" s="1228" t="inlineStr">
        <is>
          <t>R0172868</t>
        </is>
      </c>
      <c r="D112" s="1229" t="inlineStr">
        <is>
          <t>Majestic Commercenter (R0172868)</t>
        </is>
      </c>
      <c r="E112" s="1228" t="inlineStr">
        <is>
          <t>Commerce City</t>
        </is>
      </c>
      <c r="F112" s="1228" t="inlineStr">
        <is>
          <t>CO</t>
        </is>
      </c>
      <c r="G112" s="1228" t="inlineStr">
        <is>
          <t>Industrial</t>
        </is>
      </c>
      <c r="H112" s="1229" t="inlineStr">
        <is>
          <t>Warehouse NNN</t>
        </is>
      </c>
      <c r="I112" s="1230" t="n">
        <v>2007</v>
      </c>
      <c r="J112" s="1230" t="n">
        <v>202091</v>
      </c>
      <c r="K112" s="1230" t="n">
        <v>2024</v>
      </c>
      <c r="L112" s="1228" t="n"/>
      <c r="M112" s="1228" t="n"/>
      <c r="N112" s="1231" t="n">
        <v>5.233</v>
      </c>
      <c r="O112" s="1228" t="n"/>
      <c r="P112" s="1228" t="n"/>
      <c r="Q112" s="1228" t="n"/>
      <c r="R112" s="1228" t="n"/>
      <c r="S112" s="1228" t="n"/>
      <c r="T112" s="1228" t="n"/>
      <c r="U112" s="1228" t="n"/>
      <c r="V112" s="1228" t="n"/>
      <c r="W112" s="1228" t="n"/>
      <c r="X112" s="1228" t="n"/>
      <c r="Y112" s="1228" t="n"/>
      <c r="Z112" s="1228" t="n"/>
      <c r="AA112" s="1228" t="n"/>
      <c r="AB112" s="1228" t="n"/>
      <c r="AC112" s="1228" t="n"/>
      <c r="AD112" s="1228" t="n"/>
      <c r="AE112" s="1228" t="n"/>
      <c r="AF112" s="1228" t="n"/>
      <c r="AG112" s="1228" t="n"/>
      <c r="AH112" s="1231" t="n">
        <v>3.5731</v>
      </c>
      <c r="AI112" s="1228" t="n"/>
      <c r="AJ112" s="1231" t="n">
        <v>3.5731</v>
      </c>
      <c r="AK112" s="1231" t="n">
        <v>1.6599</v>
      </c>
      <c r="AL112" s="1228" t="n"/>
      <c r="AM112" s="1229" t="inlineStr">
        <is>
          <t>2024 actual 12-month P&amp;L; from 08_2025 Review</t>
        </is>
      </c>
    </row>
    <row r="113" ht="14.1" customHeight="1">
      <c r="A113" s="696" t="inlineStr">
        <is>
          <t>P054</t>
        </is>
      </c>
      <c r="B113" s="695" t="n">
        <v>210</v>
      </c>
      <c r="C113" s="696" t="inlineStr">
        <is>
          <t>R0180551</t>
        </is>
      </c>
      <c r="D113" s="1195" t="inlineStr">
        <is>
          <t>1953 N Gun Club Rd</t>
        </is>
      </c>
      <c r="E113" s="696" t="inlineStr">
        <is>
          <t>Aurora</t>
        </is>
      </c>
      <c r="F113" s="696" t="inlineStr">
        <is>
          <t>CO</t>
        </is>
      </c>
      <c r="G113" s="696" t="inlineStr">
        <is>
          <t>Industrial</t>
        </is>
      </c>
      <c r="H113" s="1195"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1195" t="inlineStr">
        <is>
          <t>[NO SF] Actual accrual; base rent $880k; recovery $1.59M; prior-yr adj included</t>
        </is>
      </c>
    </row>
    <row r="114" ht="14.1" customHeight="1">
      <c r="A114" s="1228" t="inlineStr">
        <is>
          <t>P054</t>
        </is>
      </c>
      <c r="B114" s="695" t="n">
        <v>210</v>
      </c>
      <c r="C114" s="1228" t="inlineStr">
        <is>
          <t>R0180551</t>
        </is>
      </c>
      <c r="D114" s="1229" t="inlineStr">
        <is>
          <t>1953 N Gun Club Rd</t>
        </is>
      </c>
      <c r="E114" s="1228" t="inlineStr">
        <is>
          <t>Aurora</t>
        </is>
      </c>
      <c r="F114" s="1228" t="inlineStr">
        <is>
          <t>CO</t>
        </is>
      </c>
      <c r="G114" s="1228" t="inlineStr">
        <is>
          <t>Industrial</t>
        </is>
      </c>
      <c r="H114" s="1229" t="inlineStr">
        <is>
          <t>Multi-Tenant Industrial/Office NNN</t>
        </is>
      </c>
      <c r="I114" s="1230" t="n"/>
      <c r="J114" s="1230" t="n"/>
      <c r="K114" s="1230" t="n">
        <v>2024</v>
      </c>
      <c r="L114" s="1228" t="n"/>
      <c r="M114" s="1228" t="n"/>
      <c r="N114" s="1233" t="n">
        <v>2720117</v>
      </c>
      <c r="O114" s="1233" t="n">
        <v>53324</v>
      </c>
      <c r="P114" s="1233" t="n">
        <v>85426</v>
      </c>
      <c r="Q114" s="1228" t="n"/>
      <c r="R114" s="1228" t="n"/>
      <c r="S114" s="1233" t="n">
        <v>10052</v>
      </c>
      <c r="T114" s="1233" t="n">
        <v>12752</v>
      </c>
      <c r="U114" s="1228" t="n"/>
      <c r="V114" s="1228" t="n"/>
      <c r="W114" s="1228" t="n"/>
      <c r="X114" s="1233" t="n">
        <v>789</v>
      </c>
      <c r="Y114" s="1233" t="n">
        <v>23593</v>
      </c>
      <c r="Z114" s="1228" t="n"/>
      <c r="AA114" s="1233" t="n">
        <v>16126</v>
      </c>
      <c r="AB114" s="1233" t="n">
        <v>57314</v>
      </c>
      <c r="AC114" s="1233" t="n">
        <v>73440</v>
      </c>
      <c r="AD114" s="1233" t="n">
        <v>21725</v>
      </c>
      <c r="AE114" s="1228" t="n"/>
      <c r="AF114" s="1233" t="n">
        <v>21725</v>
      </c>
      <c r="AG114" s="1233" t="n">
        <v>2601</v>
      </c>
      <c r="AH114" s="1233" t="n">
        <v>265585</v>
      </c>
      <c r="AI114" s="1233" t="n">
        <v>1331347</v>
      </c>
      <c r="AJ114" s="1233" t="n">
        <v>1596932</v>
      </c>
      <c r="AK114" s="1233" t="n">
        <v>1123184</v>
      </c>
      <c r="AL114" s="1228" t="n"/>
      <c r="AM114" s="1229" t="inlineStr">
        <is>
          <t>[NO SF] Actual accrual; base rent $1.09M stepped; recovery $1.62M</t>
        </is>
      </c>
    </row>
    <row r="115" ht="14.1" customHeight="1">
      <c r="A115" s="696" t="inlineStr">
        <is>
          <t>P055</t>
        </is>
      </c>
      <c r="B115" s="695" t="n">
        <v>407</v>
      </c>
      <c r="C115" s="696" t="inlineStr">
        <is>
          <t>R0211072/R0211073/R0211074</t>
        </is>
      </c>
      <c r="D115" s="1195" t="inlineStr">
        <is>
          <t>Park 76 Distribution Center</t>
        </is>
      </c>
      <c r="E115" s="696" t="inlineStr">
        <is>
          <t>Aurora</t>
        </is>
      </c>
      <c r="F115" s="696" t="inlineStr">
        <is>
          <t>CO</t>
        </is>
      </c>
      <c r="G115" s="696" t="inlineStr">
        <is>
          <t>Industrial</t>
        </is>
      </c>
      <c r="H115" s="1195"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1195" t="inlineStr">
        <is>
          <t>[NO SF] 3-bldg campus; actual accrual; base rent $1.87M; recovery $992k; prior-yr tax credit ($186k) netted</t>
        </is>
      </c>
    </row>
    <row r="116" ht="14.1" customHeight="1">
      <c r="A116" s="1228" t="inlineStr">
        <is>
          <t>P055</t>
        </is>
      </c>
      <c r="B116" s="695" t="n">
        <v>407</v>
      </c>
      <c r="C116" s="1228" t="inlineStr">
        <is>
          <t>R0211072/R0211073/R0211074</t>
        </is>
      </c>
      <c r="D116" s="1229" t="inlineStr">
        <is>
          <t>Park 76 Distribution Center</t>
        </is>
      </c>
      <c r="E116" s="1228" t="inlineStr">
        <is>
          <t>Aurora</t>
        </is>
      </c>
      <c r="F116" s="1228" t="inlineStr">
        <is>
          <t>CO</t>
        </is>
      </c>
      <c r="G116" s="1228" t="inlineStr">
        <is>
          <t>Industrial</t>
        </is>
      </c>
      <c r="H116" s="1229" t="inlineStr">
        <is>
          <t>Industrial Warehouse NNN</t>
        </is>
      </c>
      <c r="I116" s="1230" t="n"/>
      <c r="J116" s="1230" t="n"/>
      <c r="K116" s="1230" t="n">
        <v>2024</v>
      </c>
      <c r="L116" s="1233" t="n">
        <v>2075908</v>
      </c>
      <c r="M116" s="1228" t="n"/>
      <c r="N116" s="1233" t="n">
        <v>3348615</v>
      </c>
      <c r="O116" s="1233" t="n">
        <v>35750</v>
      </c>
      <c r="P116" s="1233" t="n">
        <v>200286</v>
      </c>
      <c r="Q116" s="1228" t="n"/>
      <c r="R116" s="1228" t="n"/>
      <c r="S116" s="1233" t="n">
        <v>22119</v>
      </c>
      <c r="T116" s="1233" t="n">
        <v>33962</v>
      </c>
      <c r="U116" s="1228" t="n"/>
      <c r="V116" s="1228" t="n"/>
      <c r="W116" s="1228" t="n"/>
      <c r="X116" s="1233" t="n">
        <v>3333</v>
      </c>
      <c r="Y116" s="1233" t="n">
        <v>59414</v>
      </c>
      <c r="Z116" s="1228" t="n"/>
      <c r="AA116" s="1233" t="n">
        <v>26689</v>
      </c>
      <c r="AB116" s="1233" t="n">
        <v>56296</v>
      </c>
      <c r="AC116" s="1233" t="n">
        <v>82985</v>
      </c>
      <c r="AD116" s="1228" t="n"/>
      <c r="AE116" s="1228" t="n"/>
      <c r="AF116" s="1233" t="n">
        <v>34195</v>
      </c>
      <c r="AG116" s="1233" t="n">
        <v>4284</v>
      </c>
      <c r="AH116" s="1233" t="n">
        <v>341787</v>
      </c>
      <c r="AI116" s="1233" t="n">
        <v>989805</v>
      </c>
      <c r="AJ116" s="1233" t="n">
        <v>1331592</v>
      </c>
      <c r="AK116" s="1233" t="n">
        <v>2017023</v>
      </c>
      <c r="AL116" s="1228" t="n"/>
      <c r="AM116" s="1229" t="inlineStr">
        <is>
          <t>[NO SF] 3-bldg campus; actual accrual; near-stabilized; base rent $2.08M; recovery $1.23M</t>
        </is>
      </c>
    </row>
    <row r="117" ht="14.1" customHeight="1">
      <c r="A117" s="696" t="inlineStr">
        <is>
          <t>P056</t>
        </is>
      </c>
      <c r="B117" s="695" t="n">
        <v>407</v>
      </c>
      <c r="C117" s="696" t="inlineStr">
        <is>
          <t>R0210485</t>
        </is>
      </c>
      <c r="D117" s="1195" t="inlineStr">
        <is>
          <t>1101 E 126th Ave (Bldg A)</t>
        </is>
      </c>
      <c r="E117" s="696" t="inlineStr">
        <is>
          <t>Thornton</t>
        </is>
      </c>
      <c r="F117" s="696" t="inlineStr">
        <is>
          <t>CO</t>
        </is>
      </c>
      <c r="G117" s="696" t="inlineStr">
        <is>
          <t>Industrial</t>
        </is>
      </c>
      <c r="H117" s="1195"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1195" t="inlineStr">
        <is>
          <t>[NO SF] New (YOC ~2022); 2024 near-stabilized; 2023 excluded (lease-up, negative NOI)</t>
        </is>
      </c>
    </row>
    <row r="118" ht="14.1" customHeight="1">
      <c r="A118" s="1228" t="inlineStr">
        <is>
          <t>P057</t>
        </is>
      </c>
      <c r="B118" s="695" t="n">
        <v>407</v>
      </c>
      <c r="C118" s="1228" t="inlineStr">
        <is>
          <t>R0210486</t>
        </is>
      </c>
      <c r="D118" s="1229" t="inlineStr">
        <is>
          <t>12625 Lafayette St (Bldg B)</t>
        </is>
      </c>
      <c r="E118" s="1228" t="inlineStr">
        <is>
          <t>Thornton</t>
        </is>
      </c>
      <c r="F118" s="1228" t="inlineStr">
        <is>
          <t>CO</t>
        </is>
      </c>
      <c r="G118" s="1228" t="inlineStr">
        <is>
          <t>Industrial</t>
        </is>
      </c>
      <c r="H118" s="1229" t="inlineStr">
        <is>
          <t>Industrial Warehouse NNN</t>
        </is>
      </c>
      <c r="I118" s="1230" t="n">
        <v>2022</v>
      </c>
      <c r="J118" s="1230" t="n"/>
      <c r="K118" s="1230" t="n">
        <v>2024</v>
      </c>
      <c r="L118" s="1233" t="n">
        <v>898845</v>
      </c>
      <c r="M118" s="1228" t="n"/>
      <c r="N118" s="1233" t="n">
        <v>1373599</v>
      </c>
      <c r="O118" s="1233" t="n">
        <v>21888</v>
      </c>
      <c r="P118" s="1233" t="n">
        <v>72220</v>
      </c>
      <c r="Q118" s="1228" t="n"/>
      <c r="R118" s="1228" t="n"/>
      <c r="S118" s="1228" t="n"/>
      <c r="T118" s="1233" t="n">
        <v>8438</v>
      </c>
      <c r="U118" s="1228" t="n"/>
      <c r="V118" s="1228" t="n"/>
      <c r="W118" s="1228" t="n"/>
      <c r="X118" s="1233" t="n">
        <v>5773</v>
      </c>
      <c r="Y118" s="1233" t="n">
        <v>14211</v>
      </c>
      <c r="Z118" s="1228" t="n"/>
      <c r="AA118" s="1233" t="n">
        <v>21287</v>
      </c>
      <c r="AB118" s="1233" t="n">
        <v>29625</v>
      </c>
      <c r="AC118" s="1233" t="n">
        <v>50912</v>
      </c>
      <c r="AD118" s="1228" t="n"/>
      <c r="AE118" s="1228" t="n"/>
      <c r="AF118" s="1233" t="n">
        <v>51235</v>
      </c>
      <c r="AG118" s="1228" t="n"/>
      <c r="AH118" s="1233" t="n">
        <v>209004</v>
      </c>
      <c r="AI118" s="1233" t="n">
        <v>762465</v>
      </c>
      <c r="AJ118" s="1233" t="n">
        <v>971469</v>
      </c>
      <c r="AK118" s="1233" t="n">
        <v>402131</v>
      </c>
      <c r="AL118" s="1228" t="n"/>
      <c r="AM118" s="1229" t="inlineStr">
        <is>
          <t>[NO SF] New (YOC ~2022); 2024 near-stabilized; 2023 excluded (lease-up, negative NOI)</t>
        </is>
      </c>
    </row>
    <row r="119" ht="14.1" customHeight="1">
      <c r="A119" s="696" t="inlineStr">
        <is>
          <t>P058</t>
        </is>
      </c>
      <c r="B119" s="695" t="n">
        <v>407</v>
      </c>
      <c r="C119" s="696" t="inlineStr">
        <is>
          <t>R0091934</t>
        </is>
      </c>
      <c r="D119" s="1195" t="inlineStr">
        <is>
          <t>350 Park Industrial (5759)</t>
        </is>
      </c>
      <c r="E119" s="696" t="inlineStr">
        <is>
          <t>Aurora</t>
        </is>
      </c>
      <c r="F119" s="696" t="inlineStr">
        <is>
          <t>CO</t>
        </is>
      </c>
      <c r="G119" s="696" t="inlineStr">
        <is>
          <t>Industrial</t>
        </is>
      </c>
      <c r="H119" s="1195"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1195" t="inlineStr">
        <is>
          <t>Actual accrual; 3 tenants; multi-tenant industrial</t>
        </is>
      </c>
    </row>
    <row r="120" ht="14.1" customHeight="1">
      <c r="A120" s="1228" t="inlineStr">
        <is>
          <t>P058</t>
        </is>
      </c>
      <c r="B120" s="695" t="n">
        <v>407</v>
      </c>
      <c r="C120" s="1228" t="inlineStr">
        <is>
          <t>R0091934</t>
        </is>
      </c>
      <c r="D120" s="1229" t="inlineStr">
        <is>
          <t>350 Park Industrial (5759)</t>
        </is>
      </c>
      <c r="E120" s="1228" t="inlineStr">
        <is>
          <t>Aurora</t>
        </is>
      </c>
      <c r="F120" s="1228" t="inlineStr">
        <is>
          <t>CO</t>
        </is>
      </c>
      <c r="G120" s="1228" t="inlineStr">
        <is>
          <t>Industrial</t>
        </is>
      </c>
      <c r="H120" s="1229" t="inlineStr">
        <is>
          <t>Multi-Tenant Industrial 407</t>
        </is>
      </c>
      <c r="I120" s="1230" t="n">
        <v>1995</v>
      </c>
      <c r="J120" s="1230" t="n">
        <v>32600</v>
      </c>
      <c r="K120" s="1230" t="n">
        <v>2024</v>
      </c>
      <c r="L120" s="1231" t="n">
        <v>9.582700000000001</v>
      </c>
      <c r="M120" s="1228" t="n"/>
      <c r="N120" s="1231" t="n">
        <v>15.2757</v>
      </c>
      <c r="O120" s="1231" t="n">
        <v>0.1809</v>
      </c>
      <c r="P120" s="1231" t="n">
        <v>0.5698</v>
      </c>
      <c r="Q120" s="1231" t="n">
        <v>0.0384</v>
      </c>
      <c r="R120" s="1228" t="n"/>
      <c r="S120" s="1231" t="n">
        <v>0.2311</v>
      </c>
      <c r="T120" s="1231" t="n">
        <v>0.0375</v>
      </c>
      <c r="U120" s="1228" t="n"/>
      <c r="V120" s="1228" t="n"/>
      <c r="W120" s="1228" t="n"/>
      <c r="X120" s="1231" t="n">
        <v>0.223</v>
      </c>
      <c r="Y120" s="1231" t="n">
        <v>0.53</v>
      </c>
      <c r="Z120" s="1231" t="n">
        <v>0.0422</v>
      </c>
      <c r="AA120" s="1228" t="n"/>
      <c r="AB120" s="1228" t="n"/>
      <c r="AC120" s="1231" t="n">
        <v>0.0422</v>
      </c>
      <c r="AD120" s="1231" t="n">
        <v>0.2095</v>
      </c>
      <c r="AE120" s="1228" t="n"/>
      <c r="AF120" s="1231" t="n">
        <v>0.2095</v>
      </c>
      <c r="AG120" s="1231" t="n">
        <v>0.7716</v>
      </c>
      <c r="AH120" s="1231" t="n">
        <v>2.124</v>
      </c>
      <c r="AI120" s="1231" t="n">
        <v>3.247</v>
      </c>
      <c r="AJ120" s="1231" t="n">
        <v>5.279</v>
      </c>
      <c r="AK120" s="1231" t="n">
        <v>9.996700000000001</v>
      </c>
      <c r="AL120" s="1228" t="n"/>
      <c r="AM120" s="1229" t="inlineStr">
        <is>
          <t>Actual accrual; 3 tenants</t>
        </is>
      </c>
    </row>
    <row r="121" ht="14.1" customHeight="1">
      <c r="A121" s="696" t="inlineStr">
        <is>
          <t>P059</t>
        </is>
      </c>
      <c r="B121" s="695" t="n">
        <v>407</v>
      </c>
      <c r="C121" s="696" t="inlineStr">
        <is>
          <t>R0093111</t>
        </is>
      </c>
      <c r="D121" s="1195" t="inlineStr">
        <is>
          <t>Industrial Property (R0093111)</t>
        </is>
      </c>
      <c r="E121" s="696" t="inlineStr">
        <is>
          <t>Aurora</t>
        </is>
      </c>
      <c r="F121" s="696" t="inlineStr">
        <is>
          <t>CO</t>
        </is>
      </c>
      <c r="G121" s="696" t="inlineStr">
        <is>
          <t>Industrial</t>
        </is>
      </c>
      <c r="H121" s="1195"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1195" t="inlineStr">
        <is>
          <t>[NO SF] Actual; RE tax heavy due to NNN recovery; SF not confirmed</t>
        </is>
      </c>
    </row>
    <row r="122" ht="14.1" customHeight="1">
      <c r="A122" s="1228" t="inlineStr">
        <is>
          <t>P059</t>
        </is>
      </c>
      <c r="B122" s="695" t="n">
        <v>407</v>
      </c>
      <c r="C122" s="1228" t="inlineStr">
        <is>
          <t>R0093111</t>
        </is>
      </c>
      <c r="D122" s="1229" t="inlineStr">
        <is>
          <t>Industrial Property (R0093111)</t>
        </is>
      </c>
      <c r="E122" s="1228" t="inlineStr">
        <is>
          <t>Aurora</t>
        </is>
      </c>
      <c r="F122" s="1228" t="inlineStr">
        <is>
          <t>CO</t>
        </is>
      </c>
      <c r="G122" s="1228" t="inlineStr">
        <is>
          <t>Industrial</t>
        </is>
      </c>
      <c r="H122" s="1229" t="inlineStr">
        <is>
          <t>Multi-Tenant Industrial 407</t>
        </is>
      </c>
      <c r="I122" s="1230" t="n"/>
      <c r="J122" s="1230" t="n"/>
      <c r="K122" s="1230" t="n">
        <v>2024</v>
      </c>
      <c r="L122" s="1233" t="n">
        <v>343350</v>
      </c>
      <c r="M122" s="1228" t="n"/>
      <c r="N122" s="1233" t="n">
        <v>632272</v>
      </c>
      <c r="O122" s="1233" t="n">
        <v>9737</v>
      </c>
      <c r="P122" s="1228" t="n"/>
      <c r="Q122" s="1228" t="n"/>
      <c r="R122" s="1228" t="n"/>
      <c r="S122" s="1228" t="n"/>
      <c r="T122" s="1228" t="n"/>
      <c r="U122" s="1228" t="n"/>
      <c r="V122" s="1228" t="n"/>
      <c r="W122" s="1228" t="n"/>
      <c r="X122" s="1228" t="n"/>
      <c r="Y122" s="1228" t="n"/>
      <c r="Z122" s="1228" t="n"/>
      <c r="AA122" s="1228" t="n"/>
      <c r="AB122" s="1228" t="n"/>
      <c r="AC122" s="1228" t="n"/>
      <c r="AD122" s="1228" t="n"/>
      <c r="AE122" s="1228" t="n"/>
      <c r="AF122" s="1228" t="n"/>
      <c r="AG122" s="1228" t="n"/>
      <c r="AH122" s="1233" t="n">
        <v>119649</v>
      </c>
      <c r="AI122" s="1233" t="n">
        <v>159461</v>
      </c>
      <c r="AJ122" s="1233" t="n">
        <v>279110</v>
      </c>
      <c r="AK122" s="1233" t="n">
        <v>353163</v>
      </c>
      <c r="AL122" s="1228" t="n"/>
      <c r="AM122" s="1229" t="inlineStr">
        <is>
          <t>[NO SF] 2024 summary data; limited line-item detail; SF not confirmed</t>
        </is>
      </c>
    </row>
    <row r="123" ht="14.1" customHeight="1">
      <c r="A123" s="696" t="inlineStr">
        <is>
          <t>P060</t>
        </is>
      </c>
      <c r="B123" s="695" t="n">
        <v>407</v>
      </c>
      <c r="C123" s="696" t="inlineStr">
        <is>
          <t>R0100104</t>
        </is>
      </c>
      <c r="D123" s="1195" t="inlineStr">
        <is>
          <t>312 Kew West</t>
        </is>
      </c>
      <c r="E123" s="696" t="inlineStr">
        <is>
          <t>Aurora</t>
        </is>
      </c>
      <c r="F123" s="696" t="inlineStr">
        <is>
          <t>CO</t>
        </is>
      </c>
      <c r="G123" s="696" t="inlineStr">
        <is>
          <t>Industrial</t>
        </is>
      </c>
      <c r="H123" s="1195"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1195" t="inlineStr">
        <is>
          <t>[NO SF] Actual accrual; SF not confirmed</t>
        </is>
      </c>
    </row>
    <row r="124" ht="14.1" customHeight="1">
      <c r="A124" s="1228" t="inlineStr">
        <is>
          <t>P060</t>
        </is>
      </c>
      <c r="B124" s="695" t="n">
        <v>407</v>
      </c>
      <c r="C124" s="1228" t="inlineStr">
        <is>
          <t>R0100104</t>
        </is>
      </c>
      <c r="D124" s="1229" t="inlineStr">
        <is>
          <t>312 Kew West</t>
        </is>
      </c>
      <c r="E124" s="1228" t="inlineStr">
        <is>
          <t>Aurora</t>
        </is>
      </c>
      <c r="F124" s="1228" t="inlineStr">
        <is>
          <t>CO</t>
        </is>
      </c>
      <c r="G124" s="1228" t="inlineStr">
        <is>
          <t>Industrial</t>
        </is>
      </c>
      <c r="H124" s="1229" t="inlineStr">
        <is>
          <t>Multi-Tenant Industrial 407</t>
        </is>
      </c>
      <c r="I124" s="1230" t="n"/>
      <c r="J124" s="1230" t="n"/>
      <c r="K124" s="1230" t="n">
        <v>2024</v>
      </c>
      <c r="L124" s="1233" t="n">
        <v>239823</v>
      </c>
      <c r="M124" s="1228" t="n"/>
      <c r="N124" s="1233" t="n">
        <v>375845</v>
      </c>
      <c r="O124" s="1233" t="n">
        <v>7287</v>
      </c>
      <c r="P124" s="1233" t="n">
        <v>18575</v>
      </c>
      <c r="Q124" s="1233" t="n">
        <v>816</v>
      </c>
      <c r="R124" s="1228" t="n"/>
      <c r="S124" s="1233" t="n">
        <v>25607</v>
      </c>
      <c r="T124" s="1233" t="n">
        <v>7834</v>
      </c>
      <c r="U124" s="1228" t="n"/>
      <c r="V124" s="1228" t="n"/>
      <c r="W124" s="1228" t="n"/>
      <c r="X124" s="1233" t="n">
        <v>8752</v>
      </c>
      <c r="Y124" s="1233" t="n">
        <v>42009</v>
      </c>
      <c r="Z124" s="1233" t="n">
        <v>2982</v>
      </c>
      <c r="AA124" s="1233" t="n">
        <v>2720</v>
      </c>
      <c r="AB124" s="1233" t="n">
        <v>10994</v>
      </c>
      <c r="AC124" s="1233" t="n">
        <v>16696</v>
      </c>
      <c r="AD124" s="1233" t="n">
        <v>4502</v>
      </c>
      <c r="AE124" s="1228" t="n"/>
      <c r="AF124" s="1233" t="n">
        <v>4502</v>
      </c>
      <c r="AG124" s="1228" t="n"/>
      <c r="AH124" s="1233" t="n">
        <v>69570</v>
      </c>
      <c r="AI124" s="1233" t="n">
        <v>102524</v>
      </c>
      <c r="AJ124" s="1233" t="n">
        <v>172094</v>
      </c>
      <c r="AK124" s="1233" t="n">
        <v>203752</v>
      </c>
      <c r="AL124" s="1228" t="n"/>
      <c r="AM124" s="1229" t="inlineStr">
        <is>
          <t>[NO SF] Actual accrual; SF not confirmed</t>
        </is>
      </c>
    </row>
    <row r="125" ht="14.1" customHeight="1">
      <c r="A125" s="696" t="inlineStr">
        <is>
          <t>P061</t>
        </is>
      </c>
      <c r="B125" s="695" t="n">
        <v>584</v>
      </c>
      <c r="C125" s="696" t="inlineStr">
        <is>
          <t>R0083935</t>
        </is>
      </c>
      <c r="D125" s="1195" t="inlineStr">
        <is>
          <t>20101 E 36th Ave</t>
        </is>
      </c>
      <c r="E125" s="696" t="inlineStr">
        <is>
          <t>Aurora</t>
        </is>
      </c>
      <c r="F125" s="696" t="inlineStr">
        <is>
          <t>CO</t>
        </is>
      </c>
      <c r="G125" s="696" t="inlineStr">
        <is>
          <t>Industrial</t>
        </is>
      </c>
      <c r="H125" s="1195"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1195" t="inlineStr">
        <is>
          <t>NNN; partial data; CBRE income statement; tenant RK Industries; rent $4.47/SF NNN; RE tax recovery ~$860k</t>
        </is>
      </c>
    </row>
    <row r="126" ht="14.1" customHeight="1">
      <c r="A126" s="1228" t="inlineStr">
        <is>
          <t>P062</t>
        </is>
      </c>
      <c r="B126" s="695" t="n">
        <v>407</v>
      </c>
      <c r="C126" s="1228" t="inlineStr">
        <is>
          <t>R0200721</t>
        </is>
      </c>
      <c r="D126" s="1229" t="inlineStr">
        <is>
          <t>3420 N Lisbon St</t>
        </is>
      </c>
      <c r="E126" s="1228" t="inlineStr">
        <is>
          <t>Aurora</t>
        </is>
      </c>
      <c r="F126" s="1228" t="inlineStr">
        <is>
          <t>CO</t>
        </is>
      </c>
      <c r="G126" s="1228" t="inlineStr">
        <is>
          <t>Industrial</t>
        </is>
      </c>
      <c r="H126" s="1229" t="inlineStr">
        <is>
          <t>Single-Tenant Industrial NNN</t>
        </is>
      </c>
      <c r="I126" s="1230" t="n">
        <v>2019</v>
      </c>
      <c r="J126" s="1230" t="n">
        <v>36212</v>
      </c>
      <c r="K126" s="1230" t="n">
        <v>2023</v>
      </c>
      <c r="L126" s="1231" t="n">
        <v>7.519</v>
      </c>
      <c r="M126" s="1228" t="n"/>
      <c r="N126" s="1231" t="n">
        <v>7.519</v>
      </c>
      <c r="O126" s="1228" t="n"/>
      <c r="P126" s="1228" t="n"/>
      <c r="Q126" s="1228" t="n"/>
      <c r="R126" s="1228" t="n"/>
      <c r="S126" s="1228" t="n"/>
      <c r="T126" s="1228" t="n"/>
      <c r="U126" s="1228" t="n"/>
      <c r="V126" s="1228" t="n"/>
      <c r="W126" s="1228" t="n"/>
      <c r="X126" s="1228" t="n"/>
      <c r="Y126" s="1228" t="n"/>
      <c r="Z126" s="1228" t="n"/>
      <c r="AA126" s="1228" t="n"/>
      <c r="AB126" s="1228" t="n"/>
      <c r="AC126" s="1228" t="n"/>
      <c r="AD126" s="1228" t="n"/>
      <c r="AE126" s="1228" t="n"/>
      <c r="AF126" s="1228" t="n"/>
      <c r="AG126" s="1228" t="n"/>
      <c r="AH126" s="1228" t="n"/>
      <c r="AI126" s="1228" t="n"/>
      <c r="AJ126" s="1228" t="n"/>
      <c r="AK126" s="1228" t="n"/>
      <c r="AL126" s="1228" t="n"/>
      <c r="AM126" s="1229" t="inlineStr">
        <is>
          <t>NNN absolute; tenant pays all opex; owner income = rent only; $7.52/SF</t>
        </is>
      </c>
    </row>
    <row r="127" ht="14.1" customHeight="1">
      <c r="A127" s="696" t="inlineStr">
        <is>
          <t>P062</t>
        </is>
      </c>
      <c r="B127" s="695" t="n">
        <v>407</v>
      </c>
      <c r="C127" s="696" t="inlineStr">
        <is>
          <t>R0200721</t>
        </is>
      </c>
      <c r="D127" s="1195" t="inlineStr">
        <is>
          <t>3420 N Lisbon St</t>
        </is>
      </c>
      <c r="E127" s="696" t="inlineStr">
        <is>
          <t>Aurora</t>
        </is>
      </c>
      <c r="F127" s="696" t="inlineStr">
        <is>
          <t>CO</t>
        </is>
      </c>
      <c r="G127" s="696" t="inlineStr">
        <is>
          <t>Industrial</t>
        </is>
      </c>
      <c r="H127" s="1195"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1195" t="inlineStr">
        <is>
          <t>NNN absolute; tenant pays all opex; owner income = rent only; $7.75/SF</t>
        </is>
      </c>
    </row>
    <row r="128" ht="14.1" customHeight="1">
      <c r="A128" s="1142" t="inlineStr">
        <is>
          <t>P063</t>
        </is>
      </c>
      <c r="B128" s="695" t="n">
        <v>344</v>
      </c>
      <c r="C128" s="1142" t="inlineStr">
        <is>
          <t>R0040581</t>
        </is>
      </c>
      <c r="D128" s="1198" t="inlineStr">
        <is>
          <t>2090 E 104th Ave</t>
        </is>
      </c>
      <c r="E128" s="1142" t="inlineStr">
        <is>
          <t>Thornton</t>
        </is>
      </c>
      <c r="F128" s="1142" t="inlineStr">
        <is>
          <t>CO</t>
        </is>
      </c>
      <c r="G128" s="1142" t="inlineStr">
        <is>
          <t>Office</t>
        </is>
      </c>
      <c r="H128" s="1198" t="inlineStr">
        <is>
          <t>Multi-Tenant Office</t>
        </is>
      </c>
      <c r="I128" s="1143" t="n"/>
      <c r="J128" s="1143" t="n">
        <v>19764</v>
      </c>
      <c r="K128" s="1143" t="n">
        <v>2023</v>
      </c>
      <c r="L128" s="1142" t="n"/>
      <c r="M128" s="1142" t="n"/>
      <c r="N128" s="1142" t="n"/>
      <c r="O128" s="1146" t="n">
        <v>0.1585</v>
      </c>
      <c r="P128" s="1146" t="n">
        <v>0.4648</v>
      </c>
      <c r="Q128" s="1142" t="n"/>
      <c r="R128" s="1142" t="n"/>
      <c r="S128" s="1142" t="n"/>
      <c r="T128" s="1142" t="n"/>
      <c r="U128" s="1142" t="n"/>
      <c r="V128" s="1142" t="n"/>
      <c r="W128" s="1142" t="n"/>
      <c r="X128" s="1146" t="n">
        <v>2.4351</v>
      </c>
      <c r="Y128" s="1146" t="n">
        <v>2.4351</v>
      </c>
      <c r="Z128" s="1142" t="n"/>
      <c r="AA128" s="1146" t="n">
        <v>0.4976</v>
      </c>
      <c r="AB128" s="1142" t="n"/>
      <c r="AC128" s="1146" t="n">
        <v>0.4976</v>
      </c>
      <c r="AD128" s="1142" t="n"/>
      <c r="AE128" s="1142" t="n"/>
      <c r="AF128" s="1146" t="n">
        <v>1.8998</v>
      </c>
      <c r="AG128" s="1146" t="n">
        <v>0.4171</v>
      </c>
      <c r="AH128" s="1146" t="n">
        <v>6.7472</v>
      </c>
      <c r="AI128" s="1146" t="n">
        <v>2.0601</v>
      </c>
      <c r="AJ128" s="1146" t="n">
        <v>8.8073</v>
      </c>
      <c r="AK128" s="1146" t="n">
        <v>2.7531</v>
      </c>
      <c r="AL128" s="1142" t="n"/>
      <c r="AM128" s="1198" t="inlineStr">
        <is>
          <t>Office; expenses only; GRI est. ~$228k at $11.56/SF 100% occ</t>
        </is>
      </c>
    </row>
    <row r="129" ht="14.1" customHeight="1">
      <c r="A129" s="1142" t="inlineStr">
        <is>
          <t>P063</t>
        </is>
      </c>
      <c r="B129" s="695" t="n">
        <v>344</v>
      </c>
      <c r="C129" s="1142" t="inlineStr">
        <is>
          <t>R0040581</t>
        </is>
      </c>
      <c r="D129" s="1198" t="inlineStr">
        <is>
          <t>2090 E 104th Ave</t>
        </is>
      </c>
      <c r="E129" s="1142" t="inlineStr">
        <is>
          <t>Thornton</t>
        </is>
      </c>
      <c r="F129" s="1142" t="inlineStr">
        <is>
          <t>CO</t>
        </is>
      </c>
      <c r="G129" s="1142" t="inlineStr">
        <is>
          <t>Office</t>
        </is>
      </c>
      <c r="H129" s="1198" t="inlineStr">
        <is>
          <t>Multi-Tenant Office</t>
        </is>
      </c>
      <c r="I129" s="1143" t="n"/>
      <c r="J129" s="1143" t="n">
        <v>19764</v>
      </c>
      <c r="K129" s="1143" t="n">
        <v>2024</v>
      </c>
      <c r="L129" s="1142" t="n"/>
      <c r="M129" s="1142" t="n"/>
      <c r="N129" s="1142" t="n"/>
      <c r="O129" s="1146" t="n">
        <v>0.5652</v>
      </c>
      <c r="P129" s="1146" t="n">
        <v>0.4554</v>
      </c>
      <c r="Q129" s="1142" t="n"/>
      <c r="R129" s="1142" t="n"/>
      <c r="S129" s="1142" t="n"/>
      <c r="T129" s="1142" t="n"/>
      <c r="U129" s="1142" t="n"/>
      <c r="V129" s="1142" t="n"/>
      <c r="W129" s="1142" t="n"/>
      <c r="X129" s="1146" t="n">
        <v>2.4623</v>
      </c>
      <c r="Y129" s="1146" t="n">
        <v>2.4623</v>
      </c>
      <c r="Z129" s="1142" t="n"/>
      <c r="AA129" s="1146" t="n">
        <v>0.5888</v>
      </c>
      <c r="AB129" s="1142" t="n"/>
      <c r="AC129" s="1146" t="n">
        <v>0.5888</v>
      </c>
      <c r="AD129" s="1142" t="n"/>
      <c r="AE129" s="1142" t="n"/>
      <c r="AF129" s="1146" t="n">
        <v>2.4159</v>
      </c>
      <c r="AG129" s="1146" t="n">
        <v>0.3126</v>
      </c>
      <c r="AH129" s="1146" t="n">
        <v>6.8005</v>
      </c>
      <c r="AI129" s="1146" t="n">
        <v>2.0271</v>
      </c>
      <c r="AJ129" s="1146" t="n">
        <v>8.8276</v>
      </c>
      <c r="AK129" s="1146" t="n">
        <v>2.7328</v>
      </c>
      <c r="AL129" s="1142" t="n"/>
      <c r="AM129" s="1198" t="inlineStr">
        <is>
          <t>Office; expenses only; GRI est. ~$228k</t>
        </is>
      </c>
    </row>
    <row r="130" ht="14.1" customHeight="1">
      <c r="A130" s="1142" t="inlineStr">
        <is>
          <t>P064</t>
        </is>
      </c>
      <c r="B130" s="695" t="n">
        <v>344</v>
      </c>
      <c r="C130" s="1142" t="inlineStr">
        <is>
          <t>R0050977</t>
        </is>
      </c>
      <c r="D130" s="1198" t="inlineStr">
        <is>
          <t>9351 Grant St</t>
        </is>
      </c>
      <c r="E130" s="1142" t="inlineStr">
        <is>
          <t>Thornton</t>
        </is>
      </c>
      <c r="F130" s="1142" t="inlineStr">
        <is>
          <t>CO</t>
        </is>
      </c>
      <c r="G130" s="1142" t="inlineStr">
        <is>
          <t>Office</t>
        </is>
      </c>
      <c r="H130" s="1198" t="inlineStr">
        <is>
          <t>Multi-Tenant Office</t>
        </is>
      </c>
      <c r="I130" s="1143" t="n"/>
      <c r="J130" s="1143" t="n"/>
      <c r="K130" s="1143" t="n">
        <v>2023</v>
      </c>
      <c r="L130" s="1144" t="n">
        <v>2011958</v>
      </c>
      <c r="M130" s="1142" t="n"/>
      <c r="N130" s="1144" t="n">
        <v>2239234</v>
      </c>
      <c r="O130" s="1142" t="n"/>
      <c r="P130" s="1142" t="n"/>
      <c r="Q130" s="1142" t="n"/>
      <c r="R130" s="1142" t="n"/>
      <c r="S130" s="1142" t="n"/>
      <c r="T130" s="1142" t="n"/>
      <c r="U130" s="1142" t="n"/>
      <c r="V130" s="1142" t="n"/>
      <c r="W130" s="1142" t="n"/>
      <c r="X130" s="1144" t="n">
        <v>144543</v>
      </c>
      <c r="Y130" s="1144" t="n">
        <v>144543</v>
      </c>
      <c r="Z130" s="1142" t="n"/>
      <c r="AA130" s="1142" t="n"/>
      <c r="AB130" s="1142" t="n"/>
      <c r="AC130" s="1142" t="n"/>
      <c r="AD130" s="1142" t="n"/>
      <c r="AE130" s="1142" t="n"/>
      <c r="AF130" s="1144" t="n">
        <v>240350</v>
      </c>
      <c r="AG130" s="1144" t="n">
        <v>279549</v>
      </c>
      <c r="AH130" s="1144" t="n">
        <v>719555</v>
      </c>
      <c r="AI130" s="1144" t="n">
        <v>497852</v>
      </c>
      <c r="AJ130" s="1144" t="n">
        <v>1217407</v>
      </c>
      <c r="AK130" s="1144" t="n">
        <v>1021827</v>
      </c>
      <c r="AL130" s="1142" t="n"/>
      <c r="AM130" s="1198" t="inlineStr">
        <is>
          <t>[NO SF] Actual P&amp;L; Crown RE Group; RE Tax + Ins combined in $497,852 line; large office property</t>
        </is>
      </c>
    </row>
    <row r="131" ht="14.1" customHeight="1">
      <c r="A131" s="1142" t="inlineStr">
        <is>
          <t>P065</t>
        </is>
      </c>
      <c r="B131" s="695" t="n">
        <v>344</v>
      </c>
      <c r="C131" s="1142" t="inlineStr">
        <is>
          <t>R0069041</t>
        </is>
      </c>
      <c r="D131" s="1198" t="inlineStr">
        <is>
          <t>7475 Dakin St (Turnpike Tower)</t>
        </is>
      </c>
      <c r="E131" s="1142" t="inlineStr">
        <is>
          <t>Denver</t>
        </is>
      </c>
      <c r="F131" s="1142" t="inlineStr">
        <is>
          <t>CO</t>
        </is>
      </c>
      <c r="G131" s="1142" t="inlineStr">
        <is>
          <t>Office</t>
        </is>
      </c>
      <c r="H131" s="1198" t="inlineStr">
        <is>
          <t>Multi-Tenant Office</t>
        </is>
      </c>
      <c r="I131" s="1143" t="n"/>
      <c r="J131" s="1143" t="n">
        <v>114843</v>
      </c>
      <c r="K131" s="1143" t="n">
        <v>2023</v>
      </c>
      <c r="L131" s="1142" t="n"/>
      <c r="M131" s="1142" t="n"/>
      <c r="N131" s="1146" t="n">
        <v>5.3899</v>
      </c>
      <c r="O131" s="1142" t="n"/>
      <c r="P131" s="1142" t="n"/>
      <c r="Q131" s="1142" t="n"/>
      <c r="R131" s="1142" t="n"/>
      <c r="S131" s="1142" t="n"/>
      <c r="T131" s="1142" t="n"/>
      <c r="U131" s="1142" t="n"/>
      <c r="V131" s="1142" t="n"/>
      <c r="W131" s="1142" t="n"/>
      <c r="X131" s="1142" t="n"/>
      <c r="Y131" s="1142" t="n"/>
      <c r="Z131" s="1142" t="n"/>
      <c r="AA131" s="1146" t="n">
        <v>0.0873</v>
      </c>
      <c r="AB131" s="1142" t="n"/>
      <c r="AC131" s="1142" t="n"/>
      <c r="AD131" s="1142" t="n"/>
      <c r="AE131" s="1142" t="n"/>
      <c r="AF131" s="1142" t="n"/>
      <c r="AG131" s="1142" t="n"/>
      <c r="AH131" s="1146" t="n">
        <v>2.6434</v>
      </c>
      <c r="AI131" s="1146" t="n">
        <v>2.2851</v>
      </c>
      <c r="AJ131" s="1146" t="n">
        <v>4.9285</v>
      </c>
      <c r="AK131" s="1146" t="n">
        <v>0.4627</v>
      </c>
      <c r="AL131" s="1142" t="n"/>
      <c r="AM131" s="1198" t="inlineStr">
        <is>
          <t>Actual; 87.7% occ; NNN/Modified leases; RE Tax heavy; approx figures</t>
        </is>
      </c>
    </row>
    <row r="132" ht="14.1" customHeight="1">
      <c r="A132" s="1142" t="inlineStr">
        <is>
          <t>P065</t>
        </is>
      </c>
      <c r="B132" s="695" t="n">
        <v>344</v>
      </c>
      <c r="C132" s="1142" t="inlineStr">
        <is>
          <t>R0069041</t>
        </is>
      </c>
      <c r="D132" s="1198" t="inlineStr">
        <is>
          <t>7475 Dakin St (Turnpike Tower)</t>
        </is>
      </c>
      <c r="E132" s="1142" t="inlineStr">
        <is>
          <t>Denver</t>
        </is>
      </c>
      <c r="F132" s="1142" t="inlineStr">
        <is>
          <t>CO</t>
        </is>
      </c>
      <c r="G132" s="1142" t="inlineStr">
        <is>
          <t>Office</t>
        </is>
      </c>
      <c r="H132" s="1198" t="inlineStr">
        <is>
          <t>Multi-Tenant Office</t>
        </is>
      </c>
      <c r="I132" s="1143" t="n"/>
      <c r="J132" s="1143" t="n">
        <v>114843</v>
      </c>
      <c r="K132" s="1143" t="n">
        <v>2024</v>
      </c>
      <c r="L132" s="1142" t="n"/>
      <c r="M132" s="1142" t="n"/>
      <c r="N132" s="1146" t="n">
        <v>11.7878</v>
      </c>
      <c r="O132" s="1142" t="n"/>
      <c r="P132" s="1142" t="n"/>
      <c r="Q132" s="1142" t="n"/>
      <c r="R132" s="1142" t="n"/>
      <c r="S132" s="1142" t="n"/>
      <c r="T132" s="1142" t="n"/>
      <c r="U132" s="1142" t="n"/>
      <c r="V132" s="1142" t="n"/>
      <c r="W132" s="1142" t="n"/>
      <c r="X132" s="1142" t="n"/>
      <c r="Y132" s="1142" t="n"/>
      <c r="Z132" s="1142" t="n"/>
      <c r="AA132" s="1142" t="n"/>
      <c r="AB132" s="1142" t="n"/>
      <c r="AC132" s="1142" t="n"/>
      <c r="AD132" s="1142" t="n"/>
      <c r="AE132" s="1142" t="n"/>
      <c r="AF132" s="1142" t="n"/>
      <c r="AG132" s="1142" t="n"/>
      <c r="AH132" s="1146" t="n">
        <v>8.9252</v>
      </c>
      <c r="AI132" s="1142" t="n"/>
      <c r="AJ132" s="1146" t="n">
        <v>11.2066</v>
      </c>
      <c r="AK132" s="1146" t="n">
        <v>0.5806</v>
      </c>
      <c r="AL132" s="1142" t="n"/>
      <c r="AM132" s="1198" t="inlineStr">
        <is>
          <t>Actual 2024; approx figures; RE Tax est. ~$262k</t>
        </is>
      </c>
    </row>
    <row r="133" ht="14.1" customHeight="1">
      <c r="A133" s="1142" t="inlineStr">
        <is>
          <t>P066</t>
        </is>
      </c>
      <c r="B133" s="695" t="n">
        <v>344</v>
      </c>
      <c r="C133" s="1142" t="inlineStr">
        <is>
          <t>R0079409</t>
        </is>
      </c>
      <c r="D133" s="1198" t="inlineStr">
        <is>
          <t>6401 E 72nd Ave</t>
        </is>
      </c>
      <c r="E133" s="1142" t="inlineStr">
        <is>
          <t>Commerce City</t>
        </is>
      </c>
      <c r="F133" s="1142" t="inlineStr">
        <is>
          <t>CO</t>
        </is>
      </c>
      <c r="G133" s="1142" t="inlineStr">
        <is>
          <t>Office</t>
        </is>
      </c>
      <c r="H133" s="1198" t="inlineStr">
        <is>
          <t>Multi-Tenant Office</t>
        </is>
      </c>
      <c r="I133" s="1143" t="n"/>
      <c r="J133" s="1143" t="n">
        <v>8218</v>
      </c>
      <c r="K133" s="1143" t="n">
        <v>2023</v>
      </c>
      <c r="L133" s="1146" t="n">
        <v>11.7637</v>
      </c>
      <c r="M133" s="1142" t="n"/>
      <c r="N133" s="1146" t="n">
        <v>13.2835</v>
      </c>
      <c r="O133" s="1146" t="n">
        <v>0.2901</v>
      </c>
      <c r="P133" s="1146" t="n">
        <v>0.6571</v>
      </c>
      <c r="Q133" s="1142" t="n"/>
      <c r="R133" s="1142" t="n"/>
      <c r="S133" s="1142" t="n"/>
      <c r="T133" s="1142" t="n"/>
      <c r="U133" s="1142" t="n"/>
      <c r="V133" s="1142" t="n"/>
      <c r="W133" s="1142" t="n"/>
      <c r="X133" s="1146" t="n">
        <v>2.2109</v>
      </c>
      <c r="Y133" s="1146" t="n">
        <v>2.2109</v>
      </c>
      <c r="Z133" s="1142" t="n"/>
      <c r="AA133" s="1142" t="n"/>
      <c r="AB133" s="1142" t="n"/>
      <c r="AC133" s="1142" t="n"/>
      <c r="AD133" s="1142" t="n"/>
      <c r="AE133" s="1142" t="n"/>
      <c r="AF133" s="1146" t="n">
        <v>1.5784</v>
      </c>
      <c r="AG133" s="1146" t="n">
        <v>0.4882</v>
      </c>
      <c r="AH133" s="1146" t="n">
        <v>4.8338</v>
      </c>
      <c r="AI133" s="1146" t="n">
        <v>1.9805</v>
      </c>
      <c r="AJ133" s="1146" t="n">
        <v>6.8143</v>
      </c>
      <c r="AK133" s="1146" t="n">
        <v>6.4493</v>
      </c>
      <c r="AL133" s="1142" t="n"/>
      <c r="AM133" s="1198" t="inlineStr">
        <is>
          <t>Actual 2023; 9 tenants small multi-tenant office; approx total OPX/NOI</t>
        </is>
      </c>
    </row>
    <row r="134" ht="14.1" customHeight="1">
      <c r="A134" s="1142" t="inlineStr">
        <is>
          <t>P067</t>
        </is>
      </c>
      <c r="B134" s="695" t="n">
        <v>344</v>
      </c>
      <c r="C134" s="1142" t="inlineStr">
        <is>
          <t>R0189338</t>
        </is>
      </c>
      <c r="D134" s="1198" t="inlineStr">
        <is>
          <t>203 Telluride St</t>
        </is>
      </c>
      <c r="E134" s="1142" t="inlineStr">
        <is>
          <t>Aurora</t>
        </is>
      </c>
      <c r="F134" s="1142" t="inlineStr">
        <is>
          <t>CO</t>
        </is>
      </c>
      <c r="G134" s="1142" t="inlineStr">
        <is>
          <t>Office</t>
        </is>
      </c>
      <c r="H134" s="1198" t="inlineStr">
        <is>
          <t>Multi-Tenant Office</t>
        </is>
      </c>
      <c r="I134" s="1143" t="n"/>
      <c r="J134" s="1143" t="n"/>
      <c r="K134" s="1143" t="n">
        <v>2023</v>
      </c>
      <c r="L134" s="1144" t="n">
        <v>326779</v>
      </c>
      <c r="M134" s="1142" t="n"/>
      <c r="N134" s="1144" t="n">
        <v>315661</v>
      </c>
      <c r="O134" s="1142" t="n"/>
      <c r="P134" s="1142" t="n"/>
      <c r="Q134" s="1142" t="n"/>
      <c r="R134" s="1142" t="n"/>
      <c r="S134" s="1142" t="n"/>
      <c r="T134" s="1142" t="n"/>
      <c r="U134" s="1142" t="n"/>
      <c r="V134" s="1142" t="n"/>
      <c r="W134" s="1142" t="n"/>
      <c r="X134" s="1142" t="n"/>
      <c r="Y134" s="1142" t="n"/>
      <c r="Z134" s="1142" t="n"/>
      <c r="AA134" s="1144" t="n">
        <v>16009</v>
      </c>
      <c r="AB134" s="1142" t="n"/>
      <c r="AC134" s="1142" t="n"/>
      <c r="AD134" s="1142" t="n"/>
      <c r="AE134" s="1142" t="n"/>
      <c r="AF134" s="1142" t="n"/>
      <c r="AG134" s="1142" t="n"/>
      <c r="AH134" s="1144" t="n">
        <v>78034</v>
      </c>
      <c r="AI134" s="1144" t="n">
        <v>66966</v>
      </c>
      <c r="AJ134" s="1144" t="n">
        <v>145000</v>
      </c>
      <c r="AK134" s="1144" t="n">
        <v>170661</v>
      </c>
      <c r="AL134" s="1142" t="n"/>
      <c r="AM134" s="1198" t="inlineStr">
        <is>
          <t>[NO SF] Actual 2023; SF not stated; approx total OPX</t>
        </is>
      </c>
    </row>
    <row r="135" ht="14.1" customHeight="1">
      <c r="A135" s="1142" t="inlineStr">
        <is>
          <t>P067</t>
        </is>
      </c>
      <c r="B135" s="695" t="n">
        <v>344</v>
      </c>
      <c r="C135" s="1142" t="inlineStr">
        <is>
          <t>R0189338</t>
        </is>
      </c>
      <c r="D135" s="1198" t="inlineStr">
        <is>
          <t>203 Telluride St</t>
        </is>
      </c>
      <c r="E135" s="1142" t="inlineStr">
        <is>
          <t>Aurora</t>
        </is>
      </c>
      <c r="F135" s="1142" t="inlineStr">
        <is>
          <t>CO</t>
        </is>
      </c>
      <c r="G135" s="1142" t="inlineStr">
        <is>
          <t>Office</t>
        </is>
      </c>
      <c r="H135" s="1198" t="inlineStr">
        <is>
          <t>Multi-Tenant Office</t>
        </is>
      </c>
      <c r="I135" s="1143" t="n"/>
      <c r="J135" s="1143" t="n"/>
      <c r="K135" s="1143" t="n">
        <v>2024</v>
      </c>
      <c r="L135" s="1144" t="n">
        <v>357674</v>
      </c>
      <c r="M135" s="1142" t="n"/>
      <c r="N135" s="1144" t="n">
        <v>335977</v>
      </c>
      <c r="O135" s="1144" t="n">
        <v>9791</v>
      </c>
      <c r="P135" s="1144" t="n">
        <v>7884</v>
      </c>
      <c r="Q135" s="1142" t="n"/>
      <c r="R135" s="1142" t="n"/>
      <c r="S135" s="1142" t="n"/>
      <c r="T135" s="1142" t="n"/>
      <c r="U135" s="1142" t="n"/>
      <c r="V135" s="1142" t="n"/>
      <c r="W135" s="1142" t="n"/>
      <c r="X135" s="1144" t="n">
        <v>41510</v>
      </c>
      <c r="Y135" s="1144" t="n">
        <v>41510</v>
      </c>
      <c r="Z135" s="1142" t="n"/>
      <c r="AA135" s="1144" t="n">
        <v>12092</v>
      </c>
      <c r="AB135" s="1142" t="n"/>
      <c r="AC135" s="1142" t="n"/>
      <c r="AD135" s="1142" t="n"/>
      <c r="AE135" s="1142" t="n"/>
      <c r="AF135" s="1144" t="n">
        <v>9302</v>
      </c>
      <c r="AG135" s="1144" t="n">
        <v>10772</v>
      </c>
      <c r="AH135" s="1144" t="n">
        <v>109544</v>
      </c>
      <c r="AI135" s="1144" t="n">
        <v>68307</v>
      </c>
      <c r="AJ135" s="1144" t="n">
        <v>177851</v>
      </c>
      <c r="AK135" s="1144" t="n">
        <v>158126</v>
      </c>
      <c r="AL135" s="1142" t="n"/>
      <c r="AM135" s="1198" t="inlineStr">
        <is>
          <t>[NO SF] Actual 2024; SF not stated</t>
        </is>
      </c>
    </row>
    <row r="136" ht="14.1" customHeight="1">
      <c r="A136" s="1142" t="inlineStr">
        <is>
          <t>P068</t>
        </is>
      </c>
      <c r="B136" s="695" t="n">
        <v>344</v>
      </c>
      <c r="C136" s="1142" t="inlineStr">
        <is>
          <t>R0193830</t>
        </is>
      </c>
      <c r="D136" s="1198" t="inlineStr">
        <is>
          <t>Justice Center Office Plaza</t>
        </is>
      </c>
      <c r="E136" s="1142" t="inlineStr">
        <is>
          <t>Denver</t>
        </is>
      </c>
      <c r="F136" s="1142" t="inlineStr">
        <is>
          <t>CO</t>
        </is>
      </c>
      <c r="G136" s="1142" t="inlineStr">
        <is>
          <t>Office</t>
        </is>
      </c>
      <c r="H136" s="1198" t="inlineStr">
        <is>
          <t>Multi-Tenant Office NNN</t>
        </is>
      </c>
      <c r="I136" s="1143" t="n"/>
      <c r="J136" s="1143" t="n">
        <v>41979</v>
      </c>
      <c r="K136" s="1143" t="n">
        <v>2023</v>
      </c>
      <c r="L136" s="1146" t="n">
        <v>23.2395</v>
      </c>
      <c r="M136" s="1142" t="n"/>
      <c r="N136" s="1146" t="n">
        <v>32.1906</v>
      </c>
      <c r="O136" s="1146" t="n">
        <v>0.7301</v>
      </c>
      <c r="P136" s="1146" t="n">
        <v>2.0601</v>
      </c>
      <c r="Q136" s="1142" t="n"/>
      <c r="R136" s="1142" t="n"/>
      <c r="S136" s="1142" t="n"/>
      <c r="T136" s="1142" t="n"/>
      <c r="U136" s="1142" t="n"/>
      <c r="V136" s="1142" t="n"/>
      <c r="W136" s="1142" t="n"/>
      <c r="X136" s="1146" t="n">
        <v>3.2415</v>
      </c>
      <c r="Y136" s="1146" t="n">
        <v>3.2415</v>
      </c>
      <c r="Z136" s="1142" t="n"/>
      <c r="AA136" s="1142" t="n"/>
      <c r="AB136" s="1142" t="n"/>
      <c r="AC136" s="1142" t="n"/>
      <c r="AD136" s="1142" t="n"/>
      <c r="AE136" s="1142" t="n"/>
      <c r="AF136" s="1146" t="n">
        <v>3.4458</v>
      </c>
      <c r="AG136" s="1146" t="n">
        <v>0.5937</v>
      </c>
      <c r="AH136" s="1146" t="n">
        <v>10.0688</v>
      </c>
      <c r="AI136" s="1146" t="n">
        <v>2.0543</v>
      </c>
      <c r="AJ136" s="1146" t="n">
        <v>12.123</v>
      </c>
      <c r="AK136" s="1146" t="n">
        <v>20.0676</v>
      </c>
      <c r="AL136" s="1142" t="n"/>
      <c r="AM136" s="1198" t="inlineStr">
        <is>
          <t>Actual accrual; govt tenants; 100% occ NNN; special assessments in Other</t>
        </is>
      </c>
    </row>
    <row r="137" ht="14.1" customHeight="1">
      <c r="A137" s="1142" t="inlineStr">
        <is>
          <t>P068</t>
        </is>
      </c>
      <c r="B137" s="695" t="n">
        <v>344</v>
      </c>
      <c r="C137" s="1142" t="inlineStr">
        <is>
          <t>R0193830</t>
        </is>
      </c>
      <c r="D137" s="1198" t="inlineStr">
        <is>
          <t>Justice Center Office Plaza</t>
        </is>
      </c>
      <c r="E137" s="1142" t="inlineStr">
        <is>
          <t>Denver</t>
        </is>
      </c>
      <c r="F137" s="1142" t="inlineStr">
        <is>
          <t>CO</t>
        </is>
      </c>
      <c r="G137" s="1142" t="inlineStr">
        <is>
          <t>Office</t>
        </is>
      </c>
      <c r="H137" s="1198" t="inlineStr">
        <is>
          <t>Multi-Tenant Office NNN</t>
        </is>
      </c>
      <c r="I137" s="1143" t="n"/>
      <c r="J137" s="1143" t="n">
        <v>41979</v>
      </c>
      <c r="K137" s="1143" t="n">
        <v>2024</v>
      </c>
      <c r="L137" s="1146" t="n">
        <v>20.4556</v>
      </c>
      <c r="M137" s="1142" t="n"/>
      <c r="N137" s="1146" t="n">
        <v>33.188</v>
      </c>
      <c r="O137" s="1146" t="n">
        <v>0.8289</v>
      </c>
      <c r="P137" s="1146" t="n">
        <v>2.1306</v>
      </c>
      <c r="Q137" s="1142" t="n"/>
      <c r="R137" s="1142" t="n"/>
      <c r="S137" s="1142" t="n"/>
      <c r="T137" s="1142" t="n"/>
      <c r="U137" s="1142" t="n"/>
      <c r="V137" s="1142" t="n"/>
      <c r="W137" s="1142" t="n"/>
      <c r="X137" s="1146" t="n">
        <v>2.7757</v>
      </c>
      <c r="Y137" s="1146" t="n">
        <v>2.7757</v>
      </c>
      <c r="Z137" s="1142" t="n"/>
      <c r="AA137" s="1142" t="n"/>
      <c r="AB137" s="1142" t="n"/>
      <c r="AC137" s="1142" t="n"/>
      <c r="AD137" s="1142" t="n"/>
      <c r="AE137" s="1142" t="n"/>
      <c r="AF137" s="1146" t="n">
        <v>3.5734</v>
      </c>
      <c r="AG137" s="1146" t="n">
        <v>0.7077</v>
      </c>
      <c r="AH137" s="1146" t="n">
        <v>10.1354</v>
      </c>
      <c r="AI137" s="1146" t="n">
        <v>2.0662</v>
      </c>
      <c r="AJ137" s="1146" t="n">
        <v>12.2016</v>
      </c>
      <c r="AK137" s="1146" t="n">
        <v>20.9864</v>
      </c>
      <c r="AL137" s="1142" t="n"/>
      <c r="AM137" s="1198" t="inlineStr">
        <is>
          <t>Actual accrual; govt tenants; 100% occ NNN; special assessments in Other</t>
        </is>
      </c>
    </row>
    <row r="138" ht="14.1" customHeight="1">
      <c r="A138" s="1142" t="inlineStr">
        <is>
          <t>P069</t>
        </is>
      </c>
      <c r="B138" s="695" t="n">
        <v>210</v>
      </c>
      <c r="C138" s="1142" t="inlineStr">
        <is>
          <t>R0098223</t>
        </is>
      </c>
      <c r="D138" s="1198" t="inlineStr">
        <is>
          <t>Washington Commerce Center</t>
        </is>
      </c>
      <c r="E138" s="1142" t="inlineStr">
        <is>
          <t>Commerce City</t>
        </is>
      </c>
      <c r="F138" s="1142" t="inlineStr">
        <is>
          <t>CO</t>
        </is>
      </c>
      <c r="G138" s="1142" t="inlineStr">
        <is>
          <t>Office/Industrial</t>
        </is>
      </c>
      <c r="H138" s="1198" t="inlineStr">
        <is>
          <t>Multi-Tenant Office/Industrial</t>
        </is>
      </c>
      <c r="I138" s="1143" t="n"/>
      <c r="J138" s="1143" t="n">
        <v>278538</v>
      </c>
      <c r="K138" s="1143" t="n">
        <v>2023</v>
      </c>
      <c r="L138" s="1146" t="n">
        <v>5.8736</v>
      </c>
      <c r="M138" s="1142" t="n"/>
      <c r="N138" s="1146" t="n">
        <v>5.7822</v>
      </c>
      <c r="O138" s="1146" t="n">
        <v>0.0183</v>
      </c>
      <c r="P138" s="1146" t="n">
        <v>0.0788</v>
      </c>
      <c r="Q138" s="1142" t="n"/>
      <c r="R138" s="1142" t="n"/>
      <c r="S138" s="1142" t="n"/>
      <c r="T138" s="1142" t="n"/>
      <c r="U138" s="1142" t="n"/>
      <c r="V138" s="1142" t="n"/>
      <c r="W138" s="1142" t="n"/>
      <c r="X138" s="1146" t="n">
        <v>0.9203</v>
      </c>
      <c r="Y138" s="1146" t="n">
        <v>0.9203</v>
      </c>
      <c r="Z138" s="1142" t="n"/>
      <c r="AA138" s="1146" t="n">
        <v>0.2083</v>
      </c>
      <c r="AB138" s="1146" t="n">
        <v>0.0116</v>
      </c>
      <c r="AC138" s="1146" t="n">
        <v>0.2199</v>
      </c>
      <c r="AD138" s="1142" t="n"/>
      <c r="AE138" s="1142" t="n"/>
      <c r="AF138" s="1146" t="n">
        <v>0.1146</v>
      </c>
      <c r="AG138" s="1142" t="n"/>
      <c r="AH138" s="1146" t="n">
        <v>1.3485</v>
      </c>
      <c r="AI138" s="1146" t="n">
        <v>0</v>
      </c>
      <c r="AJ138" s="1146" t="n">
        <v>1.3485</v>
      </c>
      <c r="AK138" s="1146" t="n">
        <v>0.2751</v>
      </c>
      <c r="AL138" s="1142" t="n"/>
      <c r="AM138" s="1198" t="inlineStr">
        <is>
          <t>Actual; tenants pay RE tax; high R&amp;M 2023 ($127k major maint); SF est.</t>
        </is>
      </c>
    </row>
    <row r="139" ht="14.1" customHeight="1">
      <c r="A139" s="1142" t="inlineStr">
        <is>
          <t>P069</t>
        </is>
      </c>
      <c r="B139" s="695" t="n">
        <v>210</v>
      </c>
      <c r="C139" s="1142" t="inlineStr">
        <is>
          <t>R0098223</t>
        </is>
      </c>
      <c r="D139" s="1198" t="inlineStr">
        <is>
          <t>Washington Commerce Center</t>
        </is>
      </c>
      <c r="E139" s="1142" t="inlineStr">
        <is>
          <t>Commerce City</t>
        </is>
      </c>
      <c r="F139" s="1142" t="inlineStr">
        <is>
          <t>CO</t>
        </is>
      </c>
      <c r="G139" s="1142" t="inlineStr">
        <is>
          <t>Office/Industrial</t>
        </is>
      </c>
      <c r="H139" s="1198" t="inlineStr">
        <is>
          <t>Multi-Tenant Office/Industrial</t>
        </is>
      </c>
      <c r="I139" s="1143" t="n"/>
      <c r="J139" s="1143" t="n">
        <v>278538</v>
      </c>
      <c r="K139" s="1143" t="n">
        <v>2024</v>
      </c>
      <c r="L139" s="1146" t="n">
        <v>5.4604</v>
      </c>
      <c r="M139" s="1142" t="n"/>
      <c r="N139" s="1146" t="n">
        <v>5.4604</v>
      </c>
      <c r="O139" s="1146" t="n">
        <v>0.032</v>
      </c>
      <c r="P139" s="1146" t="n">
        <v>0.09180000000000001</v>
      </c>
      <c r="Q139" s="1142" t="n"/>
      <c r="R139" s="1142" t="n"/>
      <c r="S139" s="1142" t="n"/>
      <c r="T139" s="1142" t="n"/>
      <c r="U139" s="1142" t="n"/>
      <c r="V139" s="1142" t="n"/>
      <c r="W139" s="1142" t="n"/>
      <c r="X139" s="1146" t="n">
        <v>0.4497</v>
      </c>
      <c r="Y139" s="1146" t="n">
        <v>0.4497</v>
      </c>
      <c r="Z139" s="1142" t="n"/>
      <c r="AA139" s="1146" t="n">
        <v>0.2083</v>
      </c>
      <c r="AB139" s="1146" t="n">
        <v>0.0357</v>
      </c>
      <c r="AC139" s="1146" t="n">
        <v>0.2441</v>
      </c>
      <c r="AD139" s="1142" t="n"/>
      <c r="AE139" s="1142" t="n"/>
      <c r="AF139" s="1146" t="n">
        <v>0.1146</v>
      </c>
      <c r="AG139" s="1142" t="n"/>
      <c r="AH139" s="1146" t="n">
        <v>0.9322</v>
      </c>
      <c r="AI139" s="1146" t="n">
        <v>0</v>
      </c>
      <c r="AJ139" s="1146" t="n">
        <v>0.9322</v>
      </c>
      <c r="AK139" s="1146" t="n">
        <v>0.3374</v>
      </c>
      <c r="AL139" s="1142" t="n"/>
      <c r="AM139" s="1198" t="inlineStr">
        <is>
          <t>Actual; tenants pay RE tax; lower R&amp;M 2024; SF est.</t>
        </is>
      </c>
    </row>
    <row r="140" ht="14.1" customHeight="1">
      <c r="A140" s="1228" t="inlineStr">
        <is>
          <t>P070</t>
        </is>
      </c>
      <c r="B140" s="695" t="n">
        <v>210</v>
      </c>
      <c r="C140" s="1228" t="inlineStr">
        <is>
          <t>R0084242</t>
        </is>
      </c>
      <c r="D140" s="1229" t="inlineStr">
        <is>
          <t>Upland Dist Ctr I (Bldg 1)</t>
        </is>
      </c>
      <c r="E140" s="1228" t="inlineStr">
        <is>
          <t>Aurora</t>
        </is>
      </c>
      <c r="F140" s="1228" t="inlineStr">
        <is>
          <t>CO</t>
        </is>
      </c>
      <c r="G140" s="1228" t="inlineStr">
        <is>
          <t>Industrial</t>
        </is>
      </c>
      <c r="H140" s="1229" t="inlineStr">
        <is>
          <t>Multi-Tenant Industrial NNN</t>
        </is>
      </c>
      <c r="I140" s="1230" t="n"/>
      <c r="J140" s="1230" t="n"/>
      <c r="K140" s="1230" t="n">
        <v>2024</v>
      </c>
      <c r="L140" s="1233" t="n">
        <v>693913</v>
      </c>
      <c r="M140" s="1228" t="n"/>
      <c r="N140" s="1233" t="n">
        <v>1038740</v>
      </c>
      <c r="O140" s="1233" t="n">
        <v>10142</v>
      </c>
      <c r="P140" s="1233" t="n">
        <v>11589</v>
      </c>
      <c r="Q140" s="1228" t="n"/>
      <c r="R140" s="1228" t="n"/>
      <c r="S140" s="1233" t="n">
        <v>10801</v>
      </c>
      <c r="T140" s="1233" t="n">
        <v>2121</v>
      </c>
      <c r="U140" s="1228" t="n"/>
      <c r="V140" s="1228" t="n"/>
      <c r="W140" s="1228" t="n"/>
      <c r="X140" s="1233" t="n">
        <v>1602</v>
      </c>
      <c r="Y140" s="1233" t="n">
        <v>14524</v>
      </c>
      <c r="Z140" s="1228" t="n"/>
      <c r="AA140" s="1233" t="n">
        <v>10822</v>
      </c>
      <c r="AB140" s="1233" t="n">
        <v>32162</v>
      </c>
      <c r="AC140" s="1233" t="n">
        <v>3096</v>
      </c>
      <c r="AD140" s="1233" t="n">
        <v>10863</v>
      </c>
      <c r="AE140" s="1228" t="n"/>
      <c r="AF140" s="1233" t="n">
        <v>10863</v>
      </c>
      <c r="AG140" s="1228" t="n"/>
      <c r="AH140" s="1233" t="n">
        <v>103843</v>
      </c>
      <c r="AI140" s="1233" t="n">
        <v>285245</v>
      </c>
      <c r="AJ140" s="1233" t="n">
        <v>389088</v>
      </c>
      <c r="AK140" s="1233" t="n">
        <v>649652</v>
      </c>
      <c r="AL140" s="1228" t="n"/>
      <c r="AM140" s="1229" t="inlineStr">
        <is>
          <t>[NO SF] Link Logistics actual accrual; security $3,096 in contract; mgmt non-billable</t>
        </is>
      </c>
    </row>
    <row r="141" ht="14.1" customHeight="1">
      <c r="A141" s="696" t="inlineStr">
        <is>
          <t>P070</t>
        </is>
      </c>
      <c r="B141" s="695" t="n">
        <v>210</v>
      </c>
      <c r="C141" s="696" t="inlineStr">
        <is>
          <t>R0084242</t>
        </is>
      </c>
      <c r="D141" s="1195" t="inlineStr">
        <is>
          <t>Upland Dist Ctr I (Bldg 1)</t>
        </is>
      </c>
      <c r="E141" s="696" t="inlineStr">
        <is>
          <t>Aurora</t>
        </is>
      </c>
      <c r="F141" s="696" t="inlineStr">
        <is>
          <t>CO</t>
        </is>
      </c>
      <c r="G141" s="696" t="inlineStr">
        <is>
          <t>Industrial</t>
        </is>
      </c>
      <c r="H141" s="1195"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1195" t="inlineStr">
        <is>
          <t>[NO SF] Link Logistics actual accrual; security $3,871 in contract; mgmt non-billable</t>
        </is>
      </c>
    </row>
    <row r="142" ht="14.1" customHeight="1">
      <c r="A142" s="1228" t="inlineStr">
        <is>
          <t>P071</t>
        </is>
      </c>
      <c r="B142" s="695" t="n">
        <v>210</v>
      </c>
      <c r="C142" s="1228" t="inlineStr">
        <is>
          <t>R0084243</t>
        </is>
      </c>
      <c r="D142" s="1229" t="inlineStr">
        <is>
          <t>Upland Dist Ctr I (Bldg 2)</t>
        </is>
      </c>
      <c r="E142" s="1228" t="inlineStr">
        <is>
          <t>Aurora</t>
        </is>
      </c>
      <c r="F142" s="1228" t="inlineStr">
        <is>
          <t>CO</t>
        </is>
      </c>
      <c r="G142" s="1228" t="inlineStr">
        <is>
          <t>Industrial</t>
        </is>
      </c>
      <c r="H142" s="1229" t="inlineStr">
        <is>
          <t>Multi-Tenant Industrial NNN</t>
        </is>
      </c>
      <c r="I142" s="1230" t="n"/>
      <c r="J142" s="1230" t="n"/>
      <c r="K142" s="1230" t="n">
        <v>2024</v>
      </c>
      <c r="L142" s="1233" t="n">
        <v>559154</v>
      </c>
      <c r="M142" s="1228" t="n"/>
      <c r="N142" s="1233" t="n">
        <v>904777</v>
      </c>
      <c r="O142" s="1233" t="n">
        <v>9318</v>
      </c>
      <c r="P142" s="1233" t="n">
        <v>8966</v>
      </c>
      <c r="Q142" s="1228" t="n"/>
      <c r="R142" s="1228" t="n"/>
      <c r="S142" s="1233" t="n">
        <v>5962</v>
      </c>
      <c r="T142" s="1233" t="n">
        <v>2221</v>
      </c>
      <c r="U142" s="1233" t="n">
        <v>2465</v>
      </c>
      <c r="V142" s="1228" t="n"/>
      <c r="W142" s="1228" t="n"/>
      <c r="X142" s="1233" t="n">
        <v>1589</v>
      </c>
      <c r="Y142" s="1233" t="n">
        <v>12237</v>
      </c>
      <c r="Z142" s="1228" t="n"/>
      <c r="AA142" s="1233" t="n">
        <v>11302</v>
      </c>
      <c r="AB142" s="1233" t="n">
        <v>32413</v>
      </c>
      <c r="AC142" s="1233" t="n">
        <v>3096</v>
      </c>
      <c r="AD142" s="1233" t="n">
        <v>23773</v>
      </c>
      <c r="AE142" s="1228" t="n"/>
      <c r="AF142" s="1233" t="n">
        <v>23773</v>
      </c>
      <c r="AG142" s="1228" t="n"/>
      <c r="AH142" s="1233" t="n">
        <v>130296</v>
      </c>
      <c r="AI142" s="1233" t="n">
        <v>265848</v>
      </c>
      <c r="AJ142" s="1233" t="n">
        <v>396144</v>
      </c>
      <c r="AK142" s="1233" t="n">
        <v>508633</v>
      </c>
      <c r="AL142" s="1228" t="n"/>
      <c r="AM142" s="1229" t="inlineStr">
        <is>
          <t>[NO SF] Link Logistics actual accrual</t>
        </is>
      </c>
    </row>
    <row r="143" ht="14.1" customHeight="1">
      <c r="A143" s="696" t="inlineStr">
        <is>
          <t>P071</t>
        </is>
      </c>
      <c r="B143" s="695" t="n">
        <v>210</v>
      </c>
      <c r="C143" s="696" t="inlineStr">
        <is>
          <t>R0084243</t>
        </is>
      </c>
      <c r="D143" s="1195" t="inlineStr">
        <is>
          <t>Upland Dist Ctr I (Bldg 2)</t>
        </is>
      </c>
      <c r="E143" s="696" t="inlineStr">
        <is>
          <t>Aurora</t>
        </is>
      </c>
      <c r="F143" s="696" t="inlineStr">
        <is>
          <t>CO</t>
        </is>
      </c>
      <c r="G143" s="696" t="inlineStr">
        <is>
          <t>Industrial</t>
        </is>
      </c>
      <c r="H143" s="1195"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1195" t="inlineStr">
        <is>
          <t>[NO SF] Link Logistics actual accrual</t>
        </is>
      </c>
    </row>
    <row r="144" ht="14.1" customHeight="1">
      <c r="A144" s="1228" t="inlineStr">
        <is>
          <t>P072</t>
        </is>
      </c>
      <c r="B144" s="695" t="n">
        <v>210</v>
      </c>
      <c r="C144" s="1228" t="inlineStr">
        <is>
          <t>R0084244</t>
        </is>
      </c>
      <c r="D144" s="1229" t="inlineStr">
        <is>
          <t>Upland Dist Ctr I (Bldg 3)</t>
        </is>
      </c>
      <c r="E144" s="1228" t="inlineStr">
        <is>
          <t>Aurora</t>
        </is>
      </c>
      <c r="F144" s="1228" t="inlineStr">
        <is>
          <t>CO</t>
        </is>
      </c>
      <c r="G144" s="1228" t="inlineStr">
        <is>
          <t>Industrial</t>
        </is>
      </c>
      <c r="H144" s="1229" t="inlineStr">
        <is>
          <t>Multi-Tenant Industrial NNN</t>
        </is>
      </c>
      <c r="I144" s="1230" t="n"/>
      <c r="J144" s="1230" t="n"/>
      <c r="K144" s="1230" t="n">
        <v>2023</v>
      </c>
      <c r="L144" s="1233" t="n">
        <v>633240</v>
      </c>
      <c r="M144" s="1228" t="n"/>
      <c r="N144" s="1233" t="n">
        <v>1026818</v>
      </c>
      <c r="O144" s="1233" t="n">
        <v>6101</v>
      </c>
      <c r="P144" s="1233" t="n">
        <v>8518</v>
      </c>
      <c r="Q144" s="1228" t="n"/>
      <c r="R144" s="1228" t="n"/>
      <c r="S144" s="1233" t="n">
        <v>32990</v>
      </c>
      <c r="T144" s="1233" t="n">
        <v>1965</v>
      </c>
      <c r="U144" s="1228" t="n"/>
      <c r="V144" s="1228" t="n"/>
      <c r="W144" s="1228" t="n"/>
      <c r="X144" s="1233" t="n">
        <v>1498</v>
      </c>
      <c r="Y144" s="1233" t="n">
        <v>34453</v>
      </c>
      <c r="Z144" s="1228" t="n"/>
      <c r="AA144" s="1233" t="n">
        <v>11861</v>
      </c>
      <c r="AB144" s="1233" t="n">
        <v>15620</v>
      </c>
      <c r="AC144" s="1233" t="n">
        <v>3871</v>
      </c>
      <c r="AD144" s="1233" t="n">
        <v>5672</v>
      </c>
      <c r="AE144" s="1233" t="n">
        <v>3430</v>
      </c>
      <c r="AF144" s="1233" t="n">
        <v>9102</v>
      </c>
      <c r="AG144" s="1228" t="n"/>
      <c r="AH144" s="1233" t="n">
        <v>107544</v>
      </c>
      <c r="AI144" s="1233" t="n">
        <v>284308</v>
      </c>
      <c r="AJ144" s="1233" t="n">
        <v>391852</v>
      </c>
      <c r="AK144" s="1233" t="n">
        <v>634966</v>
      </c>
      <c r="AL144" s="1228" t="n"/>
      <c r="AM144" s="1229" t="inlineStr">
        <is>
          <t>[NO SF] Link Logistics 2023 only; large warehouse; notable free rent ($111k) and lease-up period</t>
        </is>
      </c>
    </row>
    <row r="145" ht="14.1" customHeight="1">
      <c r="A145" s="696" t="inlineStr">
        <is>
          <t>P073</t>
        </is>
      </c>
      <c r="B145" s="695" t="n">
        <v>210</v>
      </c>
      <c r="C145" s="696" t="inlineStr">
        <is>
          <t>R0084247</t>
        </is>
      </c>
      <c r="D145" s="1195" t="inlineStr">
        <is>
          <t>13802 E 33rd Place</t>
        </is>
      </c>
      <c r="E145" s="696" t="inlineStr">
        <is>
          <t>Aurora</t>
        </is>
      </c>
      <c r="F145" s="696" t="inlineStr">
        <is>
          <t>CO</t>
        </is>
      </c>
      <c r="G145" s="696" t="inlineStr">
        <is>
          <t>Industrial</t>
        </is>
      </c>
      <c r="H145" s="1195"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1195" t="inlineStr">
        <is>
          <t>[NO SF] Link Logistics actual accrual</t>
        </is>
      </c>
    </row>
    <row r="146" ht="14.1" customHeight="1">
      <c r="A146" s="1228" t="inlineStr">
        <is>
          <t>P073</t>
        </is>
      </c>
      <c r="B146" s="695" t="n">
        <v>210</v>
      </c>
      <c r="C146" s="1228" t="inlineStr">
        <is>
          <t>R0084247</t>
        </is>
      </c>
      <c r="D146" s="1229" t="inlineStr">
        <is>
          <t>13802 E 33rd Place</t>
        </is>
      </c>
      <c r="E146" s="1228" t="inlineStr">
        <is>
          <t>Aurora</t>
        </is>
      </c>
      <c r="F146" s="1228" t="inlineStr">
        <is>
          <t>CO</t>
        </is>
      </c>
      <c r="G146" s="1228" t="inlineStr">
        <is>
          <t>Industrial</t>
        </is>
      </c>
      <c r="H146" s="1229" t="inlineStr">
        <is>
          <t>Multi-Tenant Industrial NNN</t>
        </is>
      </c>
      <c r="I146" s="1230" t="n"/>
      <c r="J146" s="1230" t="n"/>
      <c r="K146" s="1230" t="n">
        <v>2023</v>
      </c>
      <c r="L146" s="1233" t="n">
        <v>394581</v>
      </c>
      <c r="M146" s="1228" t="n"/>
      <c r="N146" s="1233" t="n">
        <v>671481</v>
      </c>
      <c r="O146" s="1233" t="n">
        <v>6075</v>
      </c>
      <c r="P146" s="1233" t="n">
        <v>5987</v>
      </c>
      <c r="Q146" s="1228" t="n"/>
      <c r="R146" s="1228" t="n"/>
      <c r="S146" s="1233" t="n">
        <v>7762</v>
      </c>
      <c r="T146" s="1233" t="n">
        <v>1575</v>
      </c>
      <c r="U146" s="1228" t="n"/>
      <c r="V146" s="1228" t="n"/>
      <c r="W146" s="1228" t="n"/>
      <c r="X146" s="1233" t="n">
        <v>1452</v>
      </c>
      <c r="Y146" s="1233" t="n">
        <v>10789</v>
      </c>
      <c r="Z146" s="1228" t="n"/>
      <c r="AA146" s="1233" t="n">
        <v>11249</v>
      </c>
      <c r="AB146" s="1233" t="n">
        <v>12318</v>
      </c>
      <c r="AC146" s="1233" t="n">
        <v>6967</v>
      </c>
      <c r="AD146" s="1233" t="n">
        <v>11424</v>
      </c>
      <c r="AE146" s="1233" t="n">
        <v>1898</v>
      </c>
      <c r="AF146" s="1233" t="n">
        <v>13322</v>
      </c>
      <c r="AG146" s="1228" t="n"/>
      <c r="AH146" s="1233" t="n">
        <v>37127</v>
      </c>
      <c r="AI146" s="1233" t="n">
        <v>204497</v>
      </c>
      <c r="AJ146" s="1233" t="n">
        <v>241624</v>
      </c>
      <c r="AK146" s="1233" t="n">
        <v>429857</v>
      </c>
      <c r="AL146" s="1228" t="n"/>
      <c r="AM146" s="1229" t="inlineStr">
        <is>
          <t>[NO SF] Link Logistics actual accrual</t>
        </is>
      </c>
    </row>
    <row r="147" ht="14.1" customHeight="1">
      <c r="A147" s="696" t="inlineStr">
        <is>
          <t>P074</t>
        </is>
      </c>
      <c r="B147" s="695" t="n">
        <v>210</v>
      </c>
      <c r="C147" s="696" t="inlineStr">
        <is>
          <t>R0084248</t>
        </is>
      </c>
      <c r="D147" s="1195" t="inlineStr">
        <is>
          <t>14002 E 33rd Place</t>
        </is>
      </c>
      <c r="E147" s="696" t="inlineStr">
        <is>
          <t>Aurora</t>
        </is>
      </c>
      <c r="F147" s="696" t="inlineStr">
        <is>
          <t>CO</t>
        </is>
      </c>
      <c r="G147" s="696" t="inlineStr">
        <is>
          <t>Industrial</t>
        </is>
      </c>
      <c r="H147" s="1195"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1195" t="inlineStr">
        <is>
          <t>[NO SF] Link Logistics actual; 2023 RE tax net $53k refund; 2024 normal rate</t>
        </is>
      </c>
    </row>
    <row r="148" ht="14.1" customHeight="1">
      <c r="A148" s="1228" t="inlineStr">
        <is>
          <t>P074</t>
        </is>
      </c>
      <c r="B148" s="695" t="n">
        <v>210</v>
      </c>
      <c r="C148" s="1228" t="inlineStr">
        <is>
          <t>R0084248</t>
        </is>
      </c>
      <c r="D148" s="1229" t="inlineStr">
        <is>
          <t>14002 E 33rd Place</t>
        </is>
      </c>
      <c r="E148" s="1228" t="inlineStr">
        <is>
          <t>Aurora</t>
        </is>
      </c>
      <c r="F148" s="1228" t="inlineStr">
        <is>
          <t>CO</t>
        </is>
      </c>
      <c r="G148" s="1228" t="inlineStr">
        <is>
          <t>Industrial</t>
        </is>
      </c>
      <c r="H148" s="1229" t="inlineStr">
        <is>
          <t>Multi-Tenant Industrial NNN</t>
        </is>
      </c>
      <c r="I148" s="1230" t="n"/>
      <c r="J148" s="1230" t="n"/>
      <c r="K148" s="1230" t="n">
        <v>2023</v>
      </c>
      <c r="L148" s="1233" t="n">
        <v>345583</v>
      </c>
      <c r="M148" s="1228" t="n"/>
      <c r="N148" s="1233" t="n">
        <v>582999</v>
      </c>
      <c r="O148" s="1233" t="n">
        <v>6051</v>
      </c>
      <c r="P148" s="1233" t="n">
        <v>6115</v>
      </c>
      <c r="Q148" s="1228" t="n"/>
      <c r="R148" s="1228" t="n"/>
      <c r="S148" s="1233" t="n">
        <v>4932</v>
      </c>
      <c r="T148" s="1233" t="n">
        <v>1822</v>
      </c>
      <c r="U148" s="1228" t="n"/>
      <c r="V148" s="1228" t="n"/>
      <c r="W148" s="1228" t="n"/>
      <c r="X148" s="1233" t="n">
        <v>1452</v>
      </c>
      <c r="Y148" s="1233" t="n">
        <v>8206</v>
      </c>
      <c r="Z148" s="1228" t="n"/>
      <c r="AA148" s="1233" t="n">
        <v>6275</v>
      </c>
      <c r="AB148" s="1233" t="n">
        <v>13573</v>
      </c>
      <c r="AC148" s="1233" t="n">
        <v>6967</v>
      </c>
      <c r="AD148" s="1233" t="n">
        <v>11933</v>
      </c>
      <c r="AE148" s="1228" t="n"/>
      <c r="AF148" s="1233" t="n">
        <v>11933</v>
      </c>
      <c r="AG148" s="1228" t="n"/>
      <c r="AH148" s="1233" t="n">
        <v>71541</v>
      </c>
      <c r="AI148" s="1233" t="n">
        <v>162088</v>
      </c>
      <c r="AJ148" s="1233" t="n">
        <v>233629</v>
      </c>
      <c r="AK148" s="1233" t="n">
        <v>349370</v>
      </c>
      <c r="AL148" s="1228" t="n"/>
      <c r="AM148" s="1229" t="inlineStr">
        <is>
          <t>[NO SF] Link Logistics actual; 2023 RE tax net $53k refund; 2024 normal rate</t>
        </is>
      </c>
    </row>
    <row r="149" ht="14.1" customHeight="1">
      <c r="A149" s="696" t="inlineStr">
        <is>
          <t>P075</t>
        </is>
      </c>
      <c r="B149" s="695" t="n">
        <v>210</v>
      </c>
      <c r="C149" s="696" t="inlineStr">
        <is>
          <t>R0084250</t>
        </is>
      </c>
      <c r="D149" s="1195" t="inlineStr">
        <is>
          <t>3250 Abilene Street</t>
        </is>
      </c>
      <c r="E149" s="696" t="inlineStr">
        <is>
          <t>Aurora</t>
        </is>
      </c>
      <c r="F149" s="696" t="inlineStr">
        <is>
          <t>CO</t>
        </is>
      </c>
      <c r="G149" s="696" t="inlineStr">
        <is>
          <t>Industrial</t>
        </is>
      </c>
      <c r="H149" s="1195"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1195" t="inlineStr">
        <is>
          <t>[NO SF] Link Logistics actual; 2024 tenant turnover – NOI depressed; base rent $787k→$407k; 2024 ins inflated by $25k deductible</t>
        </is>
      </c>
    </row>
    <row r="150" ht="14.1" customHeight="1">
      <c r="A150" s="1228" t="inlineStr">
        <is>
          <t>P075</t>
        </is>
      </c>
      <c r="B150" s="695" t="n">
        <v>210</v>
      </c>
      <c r="C150" s="1228" t="inlineStr">
        <is>
          <t>R0084250</t>
        </is>
      </c>
      <c r="D150" s="1229" t="inlineStr">
        <is>
          <t>3250 Abilene Street</t>
        </is>
      </c>
      <c r="E150" s="1228" t="inlineStr">
        <is>
          <t>Aurora</t>
        </is>
      </c>
      <c r="F150" s="1228" t="inlineStr">
        <is>
          <t>CO</t>
        </is>
      </c>
      <c r="G150" s="1228" t="inlineStr">
        <is>
          <t>Industrial</t>
        </is>
      </c>
      <c r="H150" s="1229" t="inlineStr">
        <is>
          <t>Multi-Tenant Industrial NNN</t>
        </is>
      </c>
      <c r="I150" s="1230" t="n"/>
      <c r="J150" s="1230" t="n"/>
      <c r="K150" s="1230" t="n">
        <v>2023</v>
      </c>
      <c r="L150" s="1233" t="n">
        <v>787792</v>
      </c>
      <c r="M150" s="1228" t="n"/>
      <c r="N150" s="1233" t="n">
        <v>1333856</v>
      </c>
      <c r="O150" s="1233" t="n">
        <v>12351</v>
      </c>
      <c r="P150" s="1233" t="n">
        <v>13140</v>
      </c>
      <c r="Q150" s="1228" t="n"/>
      <c r="R150" s="1228" t="n"/>
      <c r="S150" s="1233" t="n">
        <v>10370</v>
      </c>
      <c r="T150" s="1233" t="n">
        <v>3061</v>
      </c>
      <c r="U150" s="1233" t="n">
        <v>0</v>
      </c>
      <c r="V150" s="1228" t="n"/>
      <c r="W150" s="1228" t="n"/>
      <c r="X150" s="1233" t="n">
        <v>1572</v>
      </c>
      <c r="Y150" s="1233" t="n">
        <v>15003</v>
      </c>
      <c r="Z150" s="1228" t="n"/>
      <c r="AA150" s="1233" t="n">
        <v>24879</v>
      </c>
      <c r="AB150" s="1233" t="n">
        <v>16871</v>
      </c>
      <c r="AC150" s="1233" t="n">
        <v>7678</v>
      </c>
      <c r="AD150" s="1233" t="n">
        <v>12785</v>
      </c>
      <c r="AE150" s="1228" t="n"/>
      <c r="AF150" s="1233" t="n">
        <v>12785</v>
      </c>
      <c r="AG150" s="1228" t="n"/>
      <c r="AH150" s="1233" t="n">
        <v>123031</v>
      </c>
      <c r="AI150" s="1233" t="n">
        <v>409295</v>
      </c>
      <c r="AJ150" s="1233" t="n">
        <v>532326</v>
      </c>
      <c r="AK150" s="1233" t="n">
        <v>801530</v>
      </c>
      <c r="AL150" s="1228" t="n"/>
      <c r="AM150" s="1229" t="inlineStr">
        <is>
          <t>[NO SF] Link Logistics actual; 2023 stable; 2024 ins inflated by $25k deductible</t>
        </is>
      </c>
    </row>
    <row r="151" ht="14.1" customHeight="1">
      <c r="A151" s="696" t="inlineStr">
        <is>
          <t>P076</t>
        </is>
      </c>
      <c r="B151" s="695" t="n">
        <v>210</v>
      </c>
      <c r="C151" s="696" t="inlineStr">
        <is>
          <t>R0084253</t>
        </is>
      </c>
      <c r="D151" s="1195" t="inlineStr">
        <is>
          <t>14509 E 33rd Place</t>
        </is>
      </c>
      <c r="E151" s="696" t="inlineStr">
        <is>
          <t>Aurora</t>
        </is>
      </c>
      <c r="F151" s="696" t="inlineStr">
        <is>
          <t>CO</t>
        </is>
      </c>
      <c r="G151" s="696" t="inlineStr">
        <is>
          <t>Industrial</t>
        </is>
      </c>
      <c r="H151" s="1195"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1195" t="inlineStr">
        <is>
          <t>[NO SF] Link Logistics actual; 2023 security includes one-time $54k</t>
        </is>
      </c>
    </row>
    <row r="152" ht="14.1" customHeight="1">
      <c r="A152" s="1228" t="inlineStr">
        <is>
          <t>P076</t>
        </is>
      </c>
      <c r="B152" s="695" t="n">
        <v>210</v>
      </c>
      <c r="C152" s="1228" t="inlineStr">
        <is>
          <t>R0084253</t>
        </is>
      </c>
      <c r="D152" s="1229" t="inlineStr">
        <is>
          <t>14509 E 33rd Place</t>
        </is>
      </c>
      <c r="E152" s="1228" t="inlineStr">
        <is>
          <t>Aurora</t>
        </is>
      </c>
      <c r="F152" s="1228" t="inlineStr">
        <is>
          <t>CO</t>
        </is>
      </c>
      <c r="G152" s="1228" t="inlineStr">
        <is>
          <t>Industrial</t>
        </is>
      </c>
      <c r="H152" s="1229" t="inlineStr">
        <is>
          <t>Multi-Tenant Industrial NNN</t>
        </is>
      </c>
      <c r="I152" s="1230" t="n"/>
      <c r="J152" s="1230" t="n"/>
      <c r="K152" s="1230" t="n">
        <v>2023</v>
      </c>
      <c r="L152" s="1233" t="n">
        <v>932587</v>
      </c>
      <c r="M152" s="1228" t="n"/>
      <c r="N152" s="1233" t="n">
        <v>1610926</v>
      </c>
      <c r="O152" s="1233" t="n">
        <v>12903</v>
      </c>
      <c r="P152" s="1233" t="n">
        <v>15271</v>
      </c>
      <c r="Q152" s="1228" t="n"/>
      <c r="R152" s="1228" t="n"/>
      <c r="S152" s="1233" t="n">
        <v>16438</v>
      </c>
      <c r="T152" s="1233" t="n">
        <v>17000</v>
      </c>
      <c r="U152" s="1228" t="n"/>
      <c r="V152" s="1228" t="n"/>
      <c r="W152" s="1228" t="n"/>
      <c r="X152" s="1233" t="n">
        <v>1572</v>
      </c>
      <c r="Y152" s="1233" t="n">
        <v>35010</v>
      </c>
      <c r="Z152" s="1228" t="n"/>
      <c r="AA152" s="1233" t="n">
        <v>11941</v>
      </c>
      <c r="AB152" s="1233" t="n">
        <v>21409</v>
      </c>
      <c r="AC152" s="1233" t="n">
        <v>54490</v>
      </c>
      <c r="AD152" s="1233" t="n">
        <v>34733</v>
      </c>
      <c r="AE152" s="1233" t="n">
        <v>1638</v>
      </c>
      <c r="AF152" s="1233" t="n">
        <v>36371</v>
      </c>
      <c r="AG152" s="1228" t="n"/>
      <c r="AH152" s="1233" t="n">
        <v>211012</v>
      </c>
      <c r="AI152" s="1233" t="n">
        <v>441491</v>
      </c>
      <c r="AJ152" s="1233" t="n">
        <v>652503</v>
      </c>
      <c r="AK152" s="1233" t="n">
        <v>958423</v>
      </c>
      <c r="AL152" s="1228" t="n"/>
      <c r="AM152" s="1229" t="inlineStr">
        <is>
          <t>[NO SF] Link Logistics actual; 2023 security includes one-time $54k</t>
        </is>
      </c>
    </row>
    <row r="153" ht="14.1" customHeight="1">
      <c r="A153" s="696" t="inlineStr">
        <is>
          <t>P077</t>
        </is>
      </c>
      <c r="B153" s="695" t="n">
        <v>210</v>
      </c>
      <c r="C153" s="696" t="inlineStr">
        <is>
          <t>R0084253</t>
        </is>
      </c>
      <c r="D153" s="1195" t="inlineStr">
        <is>
          <t>14704 E 33rd Place</t>
        </is>
      </c>
      <c r="E153" s="696" t="inlineStr">
        <is>
          <t>Aurora</t>
        </is>
      </c>
      <c r="F153" s="696" t="inlineStr">
        <is>
          <t>CO</t>
        </is>
      </c>
      <c r="G153" s="696" t="inlineStr">
        <is>
          <t>Industrial</t>
        </is>
      </c>
      <c r="H153" s="1195"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1195" t="inlineStr">
        <is>
          <t>[NO SF] Link Logistics 2024; partial vacancy (elec/gas $124k); NOI understated excl vacancy costs</t>
        </is>
      </c>
    </row>
    <row r="154" ht="14.1" customHeight="1">
      <c r="A154" s="1228" t="inlineStr">
        <is>
          <t>P078</t>
        </is>
      </c>
      <c r="B154" s="695" t="n">
        <v>210</v>
      </c>
      <c r="C154" s="1228" t="inlineStr">
        <is>
          <t>R0084253</t>
        </is>
      </c>
      <c r="D154" s="1229" t="inlineStr">
        <is>
          <t>14705 E 33rd Place</t>
        </is>
      </c>
      <c r="E154" s="1228" t="inlineStr">
        <is>
          <t>Aurora</t>
        </is>
      </c>
      <c r="F154" s="1228" t="inlineStr">
        <is>
          <t>CO</t>
        </is>
      </c>
      <c r="G154" s="1228" t="inlineStr">
        <is>
          <t>Industrial</t>
        </is>
      </c>
      <c r="H154" s="1229" t="inlineStr">
        <is>
          <t>Multi-Tenant Industrial NNN</t>
        </is>
      </c>
      <c r="I154" s="1230" t="n"/>
      <c r="J154" s="1230" t="n"/>
      <c r="K154" s="1230" t="n">
        <v>2024</v>
      </c>
      <c r="L154" s="1233" t="n">
        <v>436928</v>
      </c>
      <c r="M154" s="1228" t="n"/>
      <c r="N154" s="1233" t="n">
        <v>714461</v>
      </c>
      <c r="O154" s="1233" t="n">
        <v>6456</v>
      </c>
      <c r="P154" s="1233" t="n">
        <v>6962</v>
      </c>
      <c r="Q154" s="1228" t="n"/>
      <c r="R154" s="1228" t="n"/>
      <c r="S154" s="1233" t="n">
        <v>6889</v>
      </c>
      <c r="T154" s="1233" t="n">
        <v>1125</v>
      </c>
      <c r="U154" s="1233" t="n">
        <v>285</v>
      </c>
      <c r="V154" s="1228" t="n"/>
      <c r="W154" s="1228" t="n"/>
      <c r="X154" s="1233" t="n">
        <v>1546</v>
      </c>
      <c r="Y154" s="1233" t="n">
        <v>9845</v>
      </c>
      <c r="Z154" s="1228" t="n"/>
      <c r="AA154" s="1233" t="n">
        <v>6931</v>
      </c>
      <c r="AB154" s="1233" t="n">
        <v>27052</v>
      </c>
      <c r="AC154" s="1233" t="n">
        <v>5705</v>
      </c>
      <c r="AD154" s="1228" t="n"/>
      <c r="AE154" s="1233" t="n">
        <v>929</v>
      </c>
      <c r="AF154" s="1233" t="n">
        <v>929</v>
      </c>
      <c r="AG154" s="1228" t="n"/>
      <c r="AH154" s="1233" t="n">
        <v>77944</v>
      </c>
      <c r="AI154" s="1233" t="n">
        <v>188633</v>
      </c>
      <c r="AJ154" s="1233" t="n">
        <v>266577</v>
      </c>
      <c r="AK154" s="1233" t="n">
        <v>447884</v>
      </c>
      <c r="AL154" s="1228" t="n"/>
      <c r="AM154" s="1229" t="inlineStr">
        <is>
          <t>[NO SF] Link Logistics 2024; partial free rent ($38k); lease-up period</t>
        </is>
      </c>
    </row>
    <row r="155" ht="14.1" customHeight="1">
      <c r="A155" s="696" t="inlineStr">
        <is>
          <t>P079</t>
        </is>
      </c>
      <c r="B155" s="695" t="n">
        <v>584</v>
      </c>
      <c r="C155" s="696" t="inlineStr">
        <is>
          <t>R0086214</t>
        </is>
      </c>
      <c r="D155" s="1195" t="inlineStr">
        <is>
          <t>Aurora Warehouse (Polar)</t>
        </is>
      </c>
      <c r="E155" s="696" t="inlineStr">
        <is>
          <t>Aurora</t>
        </is>
      </c>
      <c r="F155" s="696" t="inlineStr">
        <is>
          <t>CO</t>
        </is>
      </c>
      <c r="G155" s="696" t="inlineStr">
        <is>
          <t>Industrial</t>
        </is>
      </c>
      <c r="H155" s="1195"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1195" t="inlineStr">
        <is>
          <t>[NO SF] Link Logistics; very large – RE tax $2.2-2.4M; minimal CAM (near-absolute NNN); SF not confirmed</t>
        </is>
      </c>
    </row>
    <row r="156" ht="14.1" customHeight="1">
      <c r="A156" s="1228" t="inlineStr">
        <is>
          <t>P079</t>
        </is>
      </c>
      <c r="B156" s="695" t="n">
        <v>584</v>
      </c>
      <c r="C156" s="1228" t="inlineStr">
        <is>
          <t>R0086214</t>
        </is>
      </c>
      <c r="D156" s="1229" t="inlineStr">
        <is>
          <t>Aurora Warehouse (Polar)</t>
        </is>
      </c>
      <c r="E156" s="1228" t="inlineStr">
        <is>
          <t>Aurora</t>
        </is>
      </c>
      <c r="F156" s="1228" t="inlineStr">
        <is>
          <t>CO</t>
        </is>
      </c>
      <c r="G156" s="1228" t="inlineStr">
        <is>
          <t>Industrial</t>
        </is>
      </c>
      <c r="H156" s="1229" t="inlineStr">
        <is>
          <t>Mega Warehouse NNN</t>
        </is>
      </c>
      <c r="I156" s="1230" t="n"/>
      <c r="J156" s="1230" t="n"/>
      <c r="K156" s="1230" t="n">
        <v>2023</v>
      </c>
      <c r="L156" s="1233" t="n">
        <v>3679986</v>
      </c>
      <c r="M156" s="1228" t="n"/>
      <c r="N156" s="1233" t="n">
        <v>6546351</v>
      </c>
      <c r="O156" s="1233" t="n">
        <v>60105</v>
      </c>
      <c r="P156" s="1233" t="n">
        <v>54144</v>
      </c>
      <c r="Q156" s="1228" t="n"/>
      <c r="R156" s="1228" t="n"/>
      <c r="S156" s="1228" t="n"/>
      <c r="T156" s="1228" t="n"/>
      <c r="U156" s="1228" t="n"/>
      <c r="V156" s="1228" t="n"/>
      <c r="W156" s="1228" t="n"/>
      <c r="X156" s="1233" t="n">
        <v>4184</v>
      </c>
      <c r="Y156" s="1233" t="n">
        <v>4184</v>
      </c>
      <c r="Z156" s="1228" t="n"/>
      <c r="AA156" s="1228" t="n"/>
      <c r="AB156" s="1228" t="n"/>
      <c r="AC156" s="1228" t="n"/>
      <c r="AD156" s="1228" t="n"/>
      <c r="AE156" s="1228" t="n"/>
      <c r="AF156" s="1228" t="n"/>
      <c r="AG156" s="1228" t="n"/>
      <c r="AH156" s="1233" t="n">
        <v>101213</v>
      </c>
      <c r="AI156" s="1233" t="n">
        <v>2175995</v>
      </c>
      <c r="AJ156" s="1233" t="n">
        <v>2277208</v>
      </c>
      <c r="AK156" s="1233" t="n">
        <v>4269143</v>
      </c>
      <c r="AL156" s="1228" t="n"/>
      <c r="AM156" s="1229" t="inlineStr">
        <is>
          <t>[NO SF] Link Logistics; very large – RE tax $2.2-2.4M; minimal CAM (near-absolute NNN); SF not confirmed</t>
        </is>
      </c>
    </row>
    <row r="157" ht="14.1" customHeight="1">
      <c r="A157" s="696" t="inlineStr">
        <is>
          <t>P080</t>
        </is>
      </c>
      <c r="B157" s="695" t="n">
        <v>407</v>
      </c>
      <c r="C157" s="696" t="inlineStr">
        <is>
          <t>R0194277</t>
        </is>
      </c>
      <c r="D157" s="1195" t="inlineStr">
        <is>
          <t>8251 Quintero St</t>
        </is>
      </c>
      <c r="E157" s="696" t="inlineStr">
        <is>
          <t>Commerce City</t>
        </is>
      </c>
      <c r="F157" s="696" t="inlineStr">
        <is>
          <t>CO</t>
        </is>
      </c>
      <c r="G157" s="696" t="inlineStr">
        <is>
          <t>Industrial</t>
        </is>
      </c>
      <c r="H157" s="1195"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1195" t="inlineStr">
        <is>
          <t>[NO SF] Becknell Industrial; 2024 EGI/OPX inflated by $967k PY RE tax true-up; normalized NOI ~$2.86M</t>
        </is>
      </c>
    </row>
    <row r="158" ht="14.1" customHeight="1">
      <c r="A158" s="1228" t="inlineStr">
        <is>
          <t>P080</t>
        </is>
      </c>
      <c r="B158" s="695" t="n">
        <v>407</v>
      </c>
      <c r="C158" s="1228" t="inlineStr">
        <is>
          <t>R0194277</t>
        </is>
      </c>
      <c r="D158" s="1229" t="inlineStr">
        <is>
          <t>8251 Quintero St</t>
        </is>
      </c>
      <c r="E158" s="1228" t="inlineStr">
        <is>
          <t>Commerce City</t>
        </is>
      </c>
      <c r="F158" s="1228" t="inlineStr">
        <is>
          <t>CO</t>
        </is>
      </c>
      <c r="G158" s="1228" t="inlineStr">
        <is>
          <t>Industrial</t>
        </is>
      </c>
      <c r="H158" s="1229" t="inlineStr">
        <is>
          <t>Industrial Warehouse NNN</t>
        </is>
      </c>
      <c r="I158" s="1230" t="n"/>
      <c r="J158" s="1230" t="n"/>
      <c r="K158" s="1230" t="n">
        <v>2023</v>
      </c>
      <c r="L158" s="1233" t="n">
        <v>2897673</v>
      </c>
      <c r="M158" s="1228" t="n"/>
      <c r="N158" s="1233" t="n">
        <v>5335437</v>
      </c>
      <c r="O158" s="1233" t="n">
        <v>29390</v>
      </c>
      <c r="P158" s="1233" t="n">
        <v>83488</v>
      </c>
      <c r="Q158" s="1228" t="n"/>
      <c r="R158" s="1228" t="n"/>
      <c r="S158" s="1233" t="n">
        <v>35137</v>
      </c>
      <c r="T158" s="1228" t="n"/>
      <c r="U158" s="1228" t="n"/>
      <c r="V158" s="1228" t="n"/>
      <c r="W158" s="1228" t="n"/>
      <c r="X158" s="1228" t="n"/>
      <c r="Y158" s="1233" t="n">
        <v>35137</v>
      </c>
      <c r="Z158" s="1228" t="n"/>
      <c r="AA158" s="1233" t="n">
        <v>33419</v>
      </c>
      <c r="AB158" s="1233" t="n">
        <v>151223</v>
      </c>
      <c r="AC158" s="1228" t="n"/>
      <c r="AD158" s="1233" t="n">
        <v>24034</v>
      </c>
      <c r="AE158" s="1228" t="n"/>
      <c r="AF158" s="1233" t="n">
        <v>24034</v>
      </c>
      <c r="AG158" s="1228" t="n"/>
      <c r="AH158" s="1233" t="n">
        <v>541522</v>
      </c>
      <c r="AI158" s="1233" t="n">
        <v>2045093</v>
      </c>
      <c r="AJ158" s="1233" t="n">
        <v>2586615</v>
      </c>
      <c r="AK158" s="1233" t="n">
        <v>2748822</v>
      </c>
      <c r="AL158" s="1228" t="n"/>
      <c r="AM158" s="1229" t="inlineStr">
        <is>
          <t>[NO SF] Becknell Industrial; actual accrual</t>
        </is>
      </c>
    </row>
    <row r="159" ht="14.1" customHeight="1">
      <c r="A159" s="696" t="inlineStr">
        <is>
          <t>P081</t>
        </is>
      </c>
      <c r="B159" s="695" t="n">
        <v>407</v>
      </c>
      <c r="C159" s="696" t="inlineStr">
        <is>
          <t>R0198176</t>
        </is>
      </c>
      <c r="D159" s="1195" t="inlineStr">
        <is>
          <t>21800 E 19th Ave</t>
        </is>
      </c>
      <c r="E159" s="696" t="inlineStr">
        <is>
          <t>Aurora</t>
        </is>
      </c>
      <c r="F159" s="696" t="inlineStr">
        <is>
          <t>CO</t>
        </is>
      </c>
      <c r="G159" s="696" t="inlineStr">
        <is>
          <t>Industrial</t>
        </is>
      </c>
      <c r="H159" s="1195"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1195" t="inlineStr">
        <is>
          <t>[NO SF] Becknell; absolute NNN – tenant pays RE taxes directly; opex = CAM only</t>
        </is>
      </c>
    </row>
    <row r="160" ht="14.1" customHeight="1">
      <c r="A160" s="1228" t="inlineStr">
        <is>
          <t>P081</t>
        </is>
      </c>
      <c r="B160" s="695" t="n">
        <v>407</v>
      </c>
      <c r="C160" s="1228" t="inlineStr">
        <is>
          <t>R0198176</t>
        </is>
      </c>
      <c r="D160" s="1229" t="inlineStr">
        <is>
          <t>21800 E 19th Ave</t>
        </is>
      </c>
      <c r="E160" s="1228" t="inlineStr">
        <is>
          <t>Aurora</t>
        </is>
      </c>
      <c r="F160" s="1228" t="inlineStr">
        <is>
          <t>CO</t>
        </is>
      </c>
      <c r="G160" s="1228" t="inlineStr">
        <is>
          <t>Industrial</t>
        </is>
      </c>
      <c r="H160" s="1229" t="inlineStr">
        <is>
          <t>Industrial Warehouse NNN</t>
        </is>
      </c>
      <c r="I160" s="1230" t="n"/>
      <c r="J160" s="1230" t="n"/>
      <c r="K160" s="1230" t="n">
        <v>2023</v>
      </c>
      <c r="L160" s="1233" t="n">
        <v>1458685</v>
      </c>
      <c r="M160" s="1228" t="n"/>
      <c r="N160" s="1233" t="n">
        <v>1647477</v>
      </c>
      <c r="O160" s="1233" t="n">
        <v>15865</v>
      </c>
      <c r="P160" s="1233" t="n">
        <v>43761</v>
      </c>
      <c r="Q160" s="1228" t="n"/>
      <c r="R160" s="1228" t="n"/>
      <c r="S160" s="1233" t="n">
        <v>12850</v>
      </c>
      <c r="T160" s="1228" t="n"/>
      <c r="U160" s="1228" t="n"/>
      <c r="V160" s="1228" t="n"/>
      <c r="W160" s="1228" t="n"/>
      <c r="X160" s="1228" t="n"/>
      <c r="Y160" s="1233" t="n">
        <v>12850</v>
      </c>
      <c r="Z160" s="1228" t="n"/>
      <c r="AA160" s="1233" t="n">
        <v>31555</v>
      </c>
      <c r="AB160" s="1233" t="n">
        <v>112261</v>
      </c>
      <c r="AC160" s="1228" t="n"/>
      <c r="AD160" s="1228" t="n"/>
      <c r="AE160" s="1228" t="n"/>
      <c r="AF160" s="1228" t="n"/>
      <c r="AG160" s="1228" t="n"/>
      <c r="AH160" s="1233" t="n">
        <v>238940</v>
      </c>
      <c r="AI160" s="1233" t="n">
        <v>0</v>
      </c>
      <c r="AJ160" s="1233" t="n">
        <v>238940</v>
      </c>
      <c r="AK160" s="1233" t="n">
        <v>1408537</v>
      </c>
      <c r="AL160" s="1228" t="n"/>
      <c r="AM160" s="1229" t="inlineStr">
        <is>
          <t>[NO SF] Becknell; absolute NNN – tenant pays RE taxes directly; opex = CAM only</t>
        </is>
      </c>
    </row>
    <row r="161" ht="14.1" customHeight="1">
      <c r="A161" s="696" t="inlineStr">
        <is>
          <t>P082</t>
        </is>
      </c>
      <c r="B161" s="695" t="n">
        <v>407</v>
      </c>
      <c r="C161" s="696" t="inlineStr">
        <is>
          <t>R0201311</t>
        </is>
      </c>
      <c r="D161" s="1195" t="inlineStr">
        <is>
          <t>Ascent Commerce Center Bldg I</t>
        </is>
      </c>
      <c r="E161" s="696" t="inlineStr">
        <is>
          <t>Aurora</t>
        </is>
      </c>
      <c r="F161" s="696" t="inlineStr">
        <is>
          <t>CO</t>
        </is>
      </c>
      <c r="G161" s="696" t="inlineStr">
        <is>
          <t>Industrial</t>
        </is>
      </c>
      <c r="H161" s="1195"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1195" t="inlineStr">
        <is>
          <t>[NO SF] Ambrose; Q4 2024 ONLY (Oct–Dec, 3 months); lease-up/stabilizing; DO NOT use for annual PSF</t>
        </is>
      </c>
    </row>
    <row r="162" ht="14.1" customHeight="1">
      <c r="A162" s="1228" t="inlineStr">
        <is>
          <t>P083</t>
        </is>
      </c>
      <c r="B162" s="695" t="n">
        <v>407</v>
      </c>
      <c r="C162" s="1228" t="inlineStr">
        <is>
          <t>R0201311</t>
        </is>
      </c>
      <c r="D162" s="1229" t="inlineStr">
        <is>
          <t>Ascent Commerce Center Bldg II</t>
        </is>
      </c>
      <c r="E162" s="1228" t="inlineStr">
        <is>
          <t>Aurora</t>
        </is>
      </c>
      <c r="F162" s="1228" t="inlineStr">
        <is>
          <t>CO</t>
        </is>
      </c>
      <c r="G162" s="1228" t="inlineStr">
        <is>
          <t>Industrial</t>
        </is>
      </c>
      <c r="H162" s="1229" t="inlineStr">
        <is>
          <t>Industrial Warehouse NNN</t>
        </is>
      </c>
      <c r="I162" s="1230" t="n"/>
      <c r="J162" s="1230" t="n"/>
      <c r="K162" s="1230" t="n">
        <v>2024</v>
      </c>
      <c r="L162" s="1233" t="n">
        <v>143974</v>
      </c>
      <c r="M162" s="1228" t="n"/>
      <c r="N162" s="1233" t="n">
        <v>314952</v>
      </c>
      <c r="O162" s="1233" t="n">
        <v>375</v>
      </c>
      <c r="P162" s="1233" t="n">
        <v>6224</v>
      </c>
      <c r="Q162" s="1228" t="n"/>
      <c r="R162" s="1228" t="n"/>
      <c r="S162" s="1233" t="n">
        <v>13434</v>
      </c>
      <c r="T162" s="1228" t="n"/>
      <c r="U162" s="1228" t="n"/>
      <c r="V162" s="1228" t="n"/>
      <c r="W162" s="1228" t="n"/>
      <c r="X162" s="1228" t="n"/>
      <c r="Y162" s="1233" t="n">
        <v>13434</v>
      </c>
      <c r="Z162" s="1228" t="n"/>
      <c r="AA162" s="1233" t="n">
        <v>1877</v>
      </c>
      <c r="AB162" s="1233" t="n">
        <v>25288</v>
      </c>
      <c r="AC162" s="1228" t="n"/>
      <c r="AD162" s="1233" t="n">
        <v>104</v>
      </c>
      <c r="AE162" s="1233" t="n">
        <v>11552</v>
      </c>
      <c r="AF162" s="1233" t="n">
        <v>11656</v>
      </c>
      <c r="AG162" s="1228" t="n"/>
      <c r="AH162" s="1233" t="n">
        <v>70908</v>
      </c>
      <c r="AI162" s="1233" t="n">
        <v>203797</v>
      </c>
      <c r="AJ162" s="1233" t="n">
        <v>274705</v>
      </c>
      <c r="AK162" s="1233" t="n">
        <v>22624</v>
      </c>
      <c r="AL162" s="1228" t="n"/>
      <c r="AM162" s="1229" t="inlineStr">
        <is>
          <t>[NO SF] Ambrose; Q4 2024 ONLY (Oct–Dec, 3 months); lease-up/stabilizing; DO NOT use for annual PSF</t>
        </is>
      </c>
    </row>
    <row r="163" ht="14.1" customHeight="1">
      <c r="A163" s="696" t="inlineStr">
        <is>
          <t>P084</t>
        </is>
      </c>
      <c r="B163" s="695" t="n">
        <v>407</v>
      </c>
      <c r="C163" s="696" t="inlineStr">
        <is>
          <t>R0201311</t>
        </is>
      </c>
      <c r="D163" s="1195" t="inlineStr">
        <is>
          <t>Ascent Commerce Center Bldg III</t>
        </is>
      </c>
      <c r="E163" s="696" t="inlineStr">
        <is>
          <t>Aurora</t>
        </is>
      </c>
      <c r="F163" s="696" t="inlineStr">
        <is>
          <t>CO</t>
        </is>
      </c>
      <c r="G163" s="696" t="inlineStr">
        <is>
          <t>Industrial</t>
        </is>
      </c>
      <c r="H163" s="1195"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1195" t="inlineStr">
        <is>
          <t>[NO SF] Ambrose; Q4 2024 ONLY (Oct–Dec, 3 months); lease-up/stabilizing; DO NOT use for annual PSF</t>
        </is>
      </c>
    </row>
    <row r="164" ht="14.1" customHeight="1">
      <c r="A164" s="1228" t="inlineStr">
        <is>
          <t>P085</t>
        </is>
      </c>
      <c r="B164" s="695" t="n">
        <v>210</v>
      </c>
      <c r="C164" s="1228" t="inlineStr">
        <is>
          <t>R0093018</t>
        </is>
      </c>
      <c r="D164" s="1229" t="inlineStr">
        <is>
          <t>3350 Peoria St</t>
        </is>
      </c>
      <c r="E164" s="1228" t="inlineStr">
        <is>
          <t>Denver</t>
        </is>
      </c>
      <c r="F164" s="1228" t="inlineStr">
        <is>
          <t>CO</t>
        </is>
      </c>
      <c r="G164" s="1228" t="inlineStr">
        <is>
          <t>Industrial</t>
        </is>
      </c>
      <c r="H164" s="1229" t="inlineStr">
        <is>
          <t>Office/Industrial Flex</t>
        </is>
      </c>
      <c r="I164" s="1230" t="n"/>
      <c r="J164" s="1230" t="n">
        <v>33057</v>
      </c>
      <c r="K164" s="1230" t="n">
        <v>2024</v>
      </c>
      <c r="L164" s="1228" t="n"/>
      <c r="M164" s="1228" t="n"/>
      <c r="N164" s="1231" t="n">
        <v>11.7474</v>
      </c>
      <c r="O164" s="1231" t="n">
        <v>0.8464</v>
      </c>
      <c r="P164" s="1231" t="n">
        <v>0.4718</v>
      </c>
      <c r="Q164" s="1228" t="n"/>
      <c r="R164" s="1228" t="n"/>
      <c r="S164" s="1228" t="n"/>
      <c r="T164" s="1228" t="n"/>
      <c r="U164" s="1231" t="n">
        <v>0.2489</v>
      </c>
      <c r="V164" s="1228" t="n"/>
      <c r="W164" s="1228" t="n"/>
      <c r="X164" s="1231" t="n">
        <v>2.7614</v>
      </c>
      <c r="Y164" s="1228" t="n"/>
      <c r="Z164" s="1228" t="n"/>
      <c r="AA164" s="1231" t="n">
        <v>0.1383</v>
      </c>
      <c r="AB164" s="1231" t="n">
        <v>0.07580000000000001</v>
      </c>
      <c r="AC164" s="1231" t="n">
        <v>1.6023</v>
      </c>
      <c r="AD164" s="1228" t="n"/>
      <c r="AE164" s="1228" t="n"/>
      <c r="AF164" s="1231" t="n">
        <v>1.6128</v>
      </c>
      <c r="AG164" s="1228" t="n"/>
      <c r="AH164" s="1231" t="n">
        <v>7.4837</v>
      </c>
      <c r="AI164" s="1228" t="n"/>
      <c r="AJ164" s="1231" t="n">
        <v>7.4837</v>
      </c>
      <c r="AK164" s="1231" t="n">
        <v>4.2637</v>
      </c>
      <c r="AL164" s="1228" t="n"/>
      <c r="AM164" s="1229"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1195" t="inlineStr">
        <is>
          <t>14200 E Moncrieff Place</t>
        </is>
      </c>
      <c r="E165" s="696" t="inlineStr">
        <is>
          <t>Aurora</t>
        </is>
      </c>
      <c r="F165" s="696" t="inlineStr">
        <is>
          <t>CO</t>
        </is>
      </c>
      <c r="G165" s="696" t="inlineStr">
        <is>
          <t>Industrial</t>
        </is>
      </c>
      <c r="H165" s="1195"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1195" t="inlineStr">
        <is>
          <t>Owner P&amp;L 2023; large industrial 233,808 SF; 1980 YOC; landscape $12,324/snow $32,256 in CAM</t>
        </is>
      </c>
    </row>
    <row r="166" ht="14.1" customHeight="1">
      <c r="A166" s="1228" t="inlineStr">
        <is>
          <t>P086</t>
        </is>
      </c>
      <c r="B166" s="695" t="n">
        <v>406</v>
      </c>
      <c r="C166" s="1228" t="inlineStr">
        <is>
          <t>R0210684</t>
        </is>
      </c>
      <c r="D166" s="1229" t="inlineStr">
        <is>
          <t>14200 E Moncrieff Place</t>
        </is>
      </c>
      <c r="E166" s="1228" t="inlineStr">
        <is>
          <t>Aurora</t>
        </is>
      </c>
      <c r="F166" s="1228" t="inlineStr">
        <is>
          <t>CO</t>
        </is>
      </c>
      <c r="G166" s="1228" t="inlineStr">
        <is>
          <t>Industrial</t>
        </is>
      </c>
      <c r="H166" s="1229" t="inlineStr">
        <is>
          <t>Industrial Warehouse</t>
        </is>
      </c>
      <c r="I166" s="1230" t="n">
        <v>1980</v>
      </c>
      <c r="J166" s="1230" t="n">
        <v>233808</v>
      </c>
      <c r="K166" s="1230" t="n">
        <v>2024</v>
      </c>
      <c r="L166" s="1228" t="n"/>
      <c r="M166" s="1228" t="n"/>
      <c r="N166" s="1231" t="n">
        <v>8.7334</v>
      </c>
      <c r="O166" s="1228" t="n"/>
      <c r="P166" s="1228" t="n"/>
      <c r="Q166" s="1228" t="n"/>
      <c r="R166" s="1228" t="n"/>
      <c r="S166" s="1228" t="n"/>
      <c r="T166" s="1228" t="n"/>
      <c r="U166" s="1228" t="n"/>
      <c r="V166" s="1228" t="n"/>
      <c r="W166" s="1228" t="n"/>
      <c r="X166" s="1228" t="n"/>
      <c r="Y166" s="1228" t="n"/>
      <c r="Z166" s="1228" t="n"/>
      <c r="AA166" s="1228" t="n"/>
      <c r="AB166" s="1228" t="n"/>
      <c r="AC166" s="1228" t="n"/>
      <c r="AD166" s="1228" t="n"/>
      <c r="AE166" s="1228" t="n"/>
      <c r="AF166" s="1228" t="n"/>
      <c r="AG166" s="1228" t="n"/>
      <c r="AH166" s="1228" t="n"/>
      <c r="AI166" s="1228" t="n"/>
      <c r="AJ166" s="1231" t="n">
        <v>3.5718</v>
      </c>
      <c r="AK166" s="1231" t="n">
        <v>5.1616</v>
      </c>
      <c r="AL166" s="1228" t="n"/>
      <c r="AM166" s="1229" t="inlineStr">
        <is>
          <t>Owner P&amp;L 2024; total OPX only – line items not fully detailed for 2024</t>
        </is>
      </c>
    </row>
    <row r="167" ht="14.1" customHeight="1">
      <c r="A167" s="696" t="inlineStr">
        <is>
          <t>P087</t>
        </is>
      </c>
      <c r="B167" s="695" t="n">
        <v>407</v>
      </c>
      <c r="C167" s="696" t="inlineStr">
        <is>
          <t>R0102985</t>
        </is>
      </c>
      <c r="D167" s="1195" t="inlineStr">
        <is>
          <t>5861 Tennyson St</t>
        </is>
      </c>
      <c r="E167" s="696" t="inlineStr">
        <is>
          <t>Arvada</t>
        </is>
      </c>
      <c r="F167" s="696" t="inlineStr">
        <is>
          <t>CO</t>
        </is>
      </c>
      <c r="G167" s="696" t="inlineStr">
        <is>
          <t>Industrial</t>
        </is>
      </c>
      <c r="H167" s="1195"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1195" t="inlineStr">
        <is>
          <t>NNN; landlord expenses only; tenant pays RE taxes; 2023</t>
        </is>
      </c>
    </row>
    <row r="168" ht="14.1" customHeight="1">
      <c r="A168" s="1228" t="inlineStr">
        <is>
          <t>P087</t>
        </is>
      </c>
      <c r="B168" s="695" t="n">
        <v>407</v>
      </c>
      <c r="C168" s="1228" t="inlineStr">
        <is>
          <t>R0102985</t>
        </is>
      </c>
      <c r="D168" s="1229" t="inlineStr">
        <is>
          <t>5861 Tennyson St</t>
        </is>
      </c>
      <c r="E168" s="1228" t="inlineStr">
        <is>
          <t>Arvada</t>
        </is>
      </c>
      <c r="F168" s="1228" t="inlineStr">
        <is>
          <t>CO</t>
        </is>
      </c>
      <c r="G168" s="1228" t="inlineStr">
        <is>
          <t>Industrial</t>
        </is>
      </c>
      <c r="H168" s="1229" t="inlineStr">
        <is>
          <t>Industrial NNN</t>
        </is>
      </c>
      <c r="I168" s="1230" t="n">
        <v>2000</v>
      </c>
      <c r="J168" s="1230" t="n">
        <v>80640</v>
      </c>
      <c r="K168" s="1230" t="n">
        <v>2024</v>
      </c>
      <c r="L168" s="1231" t="n">
        <v>6.3625</v>
      </c>
      <c r="M168" s="1228" t="n"/>
      <c r="N168" s="1228" t="n"/>
      <c r="O168" s="1228" t="n"/>
      <c r="P168" s="1228" t="n"/>
      <c r="Q168" s="1228" t="n"/>
      <c r="R168" s="1228" t="n"/>
      <c r="S168" s="1228" t="n"/>
      <c r="T168" s="1228" t="n"/>
      <c r="U168" s="1228" t="n"/>
      <c r="V168" s="1228" t="n"/>
      <c r="W168" s="1228" t="n"/>
      <c r="X168" s="1228" t="n"/>
      <c r="Y168" s="1228" t="n"/>
      <c r="Z168" s="1228" t="n"/>
      <c r="AA168" s="1228" t="n"/>
      <c r="AB168" s="1228" t="n"/>
      <c r="AC168" s="1228" t="n"/>
      <c r="AD168" s="1228" t="n"/>
      <c r="AE168" s="1228" t="n"/>
      <c r="AF168" s="1228" t="n"/>
      <c r="AG168" s="1228" t="n"/>
      <c r="AH168" s="1231" t="n">
        <v>0.1921</v>
      </c>
      <c r="AI168" s="1228" t="n"/>
      <c r="AJ168" s="1231" t="n">
        <v>0.1921</v>
      </c>
      <c r="AK168" s="1231" t="n">
        <v>6.1704</v>
      </c>
      <c r="AL168" s="1228" t="n"/>
      <c r="AM168" s="1229" t="inlineStr">
        <is>
          <t>NNN; landlord expenses only; tenant pays RE taxes; 2024</t>
        </is>
      </c>
    </row>
    <row r="169" ht="14.1" customHeight="1">
      <c r="A169" s="696" t="inlineStr">
        <is>
          <t>P088</t>
        </is>
      </c>
      <c r="B169" s="695" t="n">
        <v>210</v>
      </c>
      <c r="C169" s="696" t="inlineStr">
        <is>
          <t>R0090973</t>
        </is>
      </c>
      <c r="D169" s="1195" t="inlineStr">
        <is>
          <t>3975 E 56th Ave</t>
        </is>
      </c>
      <c r="E169" s="696" t="inlineStr">
        <is>
          <t>Commerce City</t>
        </is>
      </c>
      <c r="F169" s="696" t="inlineStr">
        <is>
          <t>CO</t>
        </is>
      </c>
      <c r="G169" s="696" t="inlineStr">
        <is>
          <t>Industrial</t>
        </is>
      </c>
      <c r="H169" s="1195"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1195" t="inlineStr">
        <is>
          <t>Sand Creek Business Park; owner P&amp;L 2024; limited line-item detail</t>
        </is>
      </c>
    </row>
    <row r="170" ht="14.1" customHeight="1">
      <c r="A170" s="1228" t="inlineStr">
        <is>
          <t>P089</t>
        </is>
      </c>
      <c r="B170" s="695" t="n">
        <v>407</v>
      </c>
      <c r="C170" s="1228" t="inlineStr">
        <is>
          <t>R0180951</t>
        </is>
      </c>
      <c r="D170" s="1229" t="inlineStr">
        <is>
          <t>(Address TBD – R0180951)</t>
        </is>
      </c>
      <c r="E170" s="1228" t="inlineStr">
        <is>
          <t>Adams County</t>
        </is>
      </c>
      <c r="F170" s="1228" t="inlineStr">
        <is>
          <t>CO</t>
        </is>
      </c>
      <c r="G170" s="1228" t="inlineStr">
        <is>
          <t>Industrial</t>
        </is>
      </c>
      <c r="H170" s="1229" t="inlineStr">
        <is>
          <t>Industrial NNN</t>
        </is>
      </c>
      <c r="I170" s="1230" t="n">
        <v>2016</v>
      </c>
      <c r="J170" s="1230" t="n">
        <v>122106</v>
      </c>
      <c r="K170" s="1230" t="n">
        <v>2023</v>
      </c>
      <c r="L170" s="1228" t="n"/>
      <c r="M170" s="1228" t="n"/>
      <c r="N170" s="1228" t="n"/>
      <c r="O170" s="1231" t="n">
        <v>0.0609</v>
      </c>
      <c r="P170" s="1228" t="n"/>
      <c r="Q170" s="1228" t="n"/>
      <c r="R170" s="1228" t="n"/>
      <c r="S170" s="1228" t="n"/>
      <c r="T170" s="1228" t="n"/>
      <c r="U170" s="1228" t="n"/>
      <c r="V170" s="1228" t="n"/>
      <c r="W170" s="1228" t="n"/>
      <c r="X170" s="1228" t="n"/>
      <c r="Y170" s="1228" t="n"/>
      <c r="Z170" s="1228" t="n"/>
      <c r="AA170" s="1228" t="n"/>
      <c r="AB170" s="1228" t="n"/>
      <c r="AC170" s="1231" t="n">
        <v>0.415</v>
      </c>
      <c r="AD170" s="1231" t="n">
        <v>0.4794</v>
      </c>
      <c r="AE170" s="1228" t="n"/>
      <c r="AF170" s="1231" t="n">
        <v>0.4794</v>
      </c>
      <c r="AG170" s="1228" t="n"/>
      <c r="AH170" s="1228" t="n"/>
      <c r="AI170" s="1231" t="n">
        <v>3.233</v>
      </c>
      <c r="AJ170" s="1231" t="n">
        <v>4.1884</v>
      </c>
      <c r="AK170" s="1228" t="n"/>
      <c r="AL170" s="1228" t="n"/>
      <c r="AM170" s="1229" t="inlineStr">
        <is>
          <t>NNN; landlord expenses only from WH Expenses 2026; 2016 YOC; 2023: RE Tax $394,774/Ins $7,435/Utils $58,541/CAM $50,680</t>
        </is>
      </c>
    </row>
    <row r="171" ht="14.1" customHeight="1">
      <c r="A171" s="696" t="inlineStr">
        <is>
          <t>P089</t>
        </is>
      </c>
      <c r="B171" s="695" t="n">
        <v>407</v>
      </c>
      <c r="C171" s="696" t="inlineStr">
        <is>
          <t>R0180951</t>
        </is>
      </c>
      <c r="D171" s="1195" t="inlineStr">
        <is>
          <t>(Address TBD – R0180951)</t>
        </is>
      </c>
      <c r="E171" s="696" t="inlineStr">
        <is>
          <t>Adams County</t>
        </is>
      </c>
      <c r="F171" s="696" t="inlineStr">
        <is>
          <t>CO</t>
        </is>
      </c>
      <c r="G171" s="696" t="inlineStr">
        <is>
          <t>Industrial</t>
        </is>
      </c>
      <c r="H171" s="1195"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1195" t="inlineStr">
        <is>
          <t>NNN; landlord expenses only from WH Expenses 2026; 2024: RE Tax $532,140/Ins $7,635/Utils $58,541/CAM $64,465</t>
        </is>
      </c>
    </row>
    <row r="172" ht="14.1" customHeight="1">
      <c r="A172" s="1228" t="inlineStr">
        <is>
          <t>P090</t>
        </is>
      </c>
      <c r="B172" s="695" t="n">
        <v>407</v>
      </c>
      <c r="C172" s="1228" t="inlineStr">
        <is>
          <t>R0110351</t>
        </is>
      </c>
      <c r="D172" s="1229" t="inlineStr">
        <is>
          <t>(Address TBD – R0110351)</t>
        </is>
      </c>
      <c r="E172" s="1228" t="inlineStr">
        <is>
          <t>Adams County</t>
        </is>
      </c>
      <c r="F172" s="1228" t="inlineStr">
        <is>
          <t>CO</t>
        </is>
      </c>
      <c r="G172" s="1228" t="inlineStr">
        <is>
          <t>Industrial</t>
        </is>
      </c>
      <c r="H172" s="1229" t="inlineStr">
        <is>
          <t>Industrial NNN</t>
        </is>
      </c>
      <c r="I172" s="1230" t="n">
        <v>2000</v>
      </c>
      <c r="J172" s="1230" t="n">
        <v>85200</v>
      </c>
      <c r="K172" s="1230" t="n">
        <v>2023</v>
      </c>
      <c r="L172" s="1228" t="n"/>
      <c r="M172" s="1228" t="n"/>
      <c r="N172" s="1228" t="n"/>
      <c r="O172" s="1231" t="n">
        <v>0.2413</v>
      </c>
      <c r="P172" s="1228" t="n"/>
      <c r="Q172" s="1228" t="n"/>
      <c r="R172" s="1228" t="n"/>
      <c r="S172" s="1228" t="n"/>
      <c r="T172" s="1228" t="n"/>
      <c r="U172" s="1228" t="n"/>
      <c r="V172" s="1228" t="n"/>
      <c r="W172" s="1228" t="n"/>
      <c r="X172" s="1228" t="n"/>
      <c r="Y172" s="1228" t="n"/>
      <c r="Z172" s="1228" t="n"/>
      <c r="AA172" s="1228" t="n"/>
      <c r="AB172" s="1228" t="n"/>
      <c r="AC172" s="1231" t="n">
        <v>0.2176</v>
      </c>
      <c r="AD172" s="1228" t="n"/>
      <c r="AE172" s="1228" t="n"/>
      <c r="AF172" s="1228" t="n"/>
      <c r="AG172" s="1228" t="n"/>
      <c r="AH172" s="1228" t="n"/>
      <c r="AI172" s="1231" t="n">
        <v>3.5826</v>
      </c>
      <c r="AJ172" s="1231" t="n">
        <v>4.0415</v>
      </c>
      <c r="AK172" s="1228" t="n"/>
      <c r="AL172" s="1228" t="n"/>
      <c r="AM172" s="1229" t="inlineStr">
        <is>
          <t>NNN; landlord expenses only from WH Expenses 2026; 2000 YOC; 2023: RE Tax $305,241/Ins $20,559/CAM $18,539</t>
        </is>
      </c>
    </row>
    <row r="173" ht="14.1" customHeight="1">
      <c r="A173" s="696" t="inlineStr">
        <is>
          <t>P090</t>
        </is>
      </c>
      <c r="B173" s="695" t="n">
        <v>407</v>
      </c>
      <c r="C173" s="696" t="inlineStr">
        <is>
          <t>R0110351</t>
        </is>
      </c>
      <c r="D173" s="1195" t="inlineStr">
        <is>
          <t>(Address TBD – R0110351)</t>
        </is>
      </c>
      <c r="E173" s="696" t="inlineStr">
        <is>
          <t>Adams County</t>
        </is>
      </c>
      <c r="F173" s="696" t="inlineStr">
        <is>
          <t>CO</t>
        </is>
      </c>
      <c r="G173" s="696" t="inlineStr">
        <is>
          <t>Industrial</t>
        </is>
      </c>
      <c r="H173" s="1195"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1195" t="inlineStr">
        <is>
          <t>NNN; landlord expenses only from WH Expenses 2026; 2024: RE Tax $331,811/Ins $25,578/CAM $21,372</t>
        </is>
      </c>
    </row>
    <row r="174" ht="14.1" customHeight="1">
      <c r="A174" s="1228" t="inlineStr">
        <is>
          <t>P091</t>
        </is>
      </c>
      <c r="B174" s="695" t="n">
        <v>584</v>
      </c>
      <c r="C174" s="1228" t="inlineStr">
        <is>
          <t>R0198530</t>
        </is>
      </c>
      <c r="D174" s="1229" t="inlineStr">
        <is>
          <t>(Address TBD – R0198530)</t>
        </is>
      </c>
      <c r="E174" s="1228" t="inlineStr">
        <is>
          <t>Adams County</t>
        </is>
      </c>
      <c r="F174" s="1228" t="inlineStr">
        <is>
          <t>CO</t>
        </is>
      </c>
      <c r="G174" s="1228" t="inlineStr">
        <is>
          <t>Industrial</t>
        </is>
      </c>
      <c r="H174" s="1229" t="inlineStr">
        <is>
          <t>Industrial Mega-Warehouse NNN</t>
        </is>
      </c>
      <c r="I174" s="1230" t="n">
        <v>2019</v>
      </c>
      <c r="J174" s="1230" t="n">
        <v>555867</v>
      </c>
      <c r="K174" s="1230" t="n">
        <v>2024</v>
      </c>
      <c r="L174" s="1228" t="n"/>
      <c r="M174" s="1228" t="n"/>
      <c r="N174" s="1228" t="n"/>
      <c r="O174" s="1231" t="n">
        <v>0.1549</v>
      </c>
      <c r="P174" s="1231" t="n">
        <v>0.1152</v>
      </c>
      <c r="Q174" s="1228" t="n"/>
      <c r="R174" s="1228" t="n"/>
      <c r="S174" s="1228" t="n"/>
      <c r="T174" s="1228" t="n"/>
      <c r="U174" s="1228" t="n"/>
      <c r="V174" s="1228" t="n"/>
      <c r="W174" s="1228" t="n"/>
      <c r="X174" s="1228" t="n"/>
      <c r="Y174" s="1228" t="n"/>
      <c r="Z174" s="1228" t="n"/>
      <c r="AA174" s="1228" t="n"/>
      <c r="AB174" s="1228" t="n"/>
      <c r="AC174" s="1228" t="n"/>
      <c r="AD174" s="1228" t="n"/>
      <c r="AE174" s="1228" t="n"/>
      <c r="AF174" s="1228" t="n"/>
      <c r="AG174" s="1228" t="n"/>
      <c r="AH174" s="1228" t="n"/>
      <c r="AI174" s="1231" t="n">
        <v>3.8872</v>
      </c>
      <c r="AJ174" s="1231" t="n">
        <v>4.1573</v>
      </c>
      <c r="AK174" s="1228" t="n"/>
      <c r="AL174" s="1228" t="n"/>
      <c r="AM174" s="1229" t="inlineStr">
        <is>
          <t>Mega-warehouse 555,867 SF; NNN; landlord only: RE Tax $2,160,792/Ins $86,084/Mgmt $64,029; 2019 YOC</t>
        </is>
      </c>
    </row>
    <row r="175" ht="14.1" customHeight="1">
      <c r="A175" s="696" t="inlineStr">
        <is>
          <t>P092</t>
        </is>
      </c>
      <c r="B175" s="695" t="n">
        <v>447</v>
      </c>
      <c r="C175" s="696" t="inlineStr">
        <is>
          <t>R0180834</t>
        </is>
      </c>
      <c r="D175" s="1195" t="inlineStr">
        <is>
          <t>(Address TBD – R0180834)</t>
        </is>
      </c>
      <c r="E175" s="696" t="inlineStr">
        <is>
          <t>Adams County</t>
        </is>
      </c>
      <c r="F175" s="696" t="inlineStr">
        <is>
          <t>CO</t>
        </is>
      </c>
      <c r="G175" s="696" t="inlineStr">
        <is>
          <t>Industrial</t>
        </is>
      </c>
      <c r="H175" s="1195"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1195" t="inlineStr">
        <is>
          <t>Cold storage/mega-WH 550,031 SF; NNN; landlord only: RE Tax $2,118,655/Ins $77,117/Mgmt $138,053; 2012 YOC</t>
        </is>
      </c>
    </row>
    <row r="176" ht="14.1" customHeight="1">
      <c r="A176" s="1228" t="inlineStr">
        <is>
          <t>P093</t>
        </is>
      </c>
      <c r="B176" s="695" t="n">
        <v>407</v>
      </c>
      <c r="C176" s="1228" t="inlineStr">
        <is>
          <t>R0114792</t>
        </is>
      </c>
      <c r="D176" s="1229" t="inlineStr">
        <is>
          <t>(Address TBD – R0114792)</t>
        </is>
      </c>
      <c r="E176" s="1228" t="inlineStr">
        <is>
          <t>Adams County</t>
        </is>
      </c>
      <c r="F176" s="1228" t="inlineStr">
        <is>
          <t>CO</t>
        </is>
      </c>
      <c r="G176" s="1228" t="inlineStr">
        <is>
          <t>Industrial</t>
        </is>
      </c>
      <c r="H176" s="1229" t="inlineStr">
        <is>
          <t>Industrial NNN</t>
        </is>
      </c>
      <c r="I176" s="1230" t="n">
        <v>1998</v>
      </c>
      <c r="J176" s="1230" t="n">
        <v>64501</v>
      </c>
      <c r="K176" s="1230" t="n">
        <v>2023</v>
      </c>
      <c r="L176" s="1228" t="n"/>
      <c r="M176" s="1228" t="n"/>
      <c r="N176" s="1228" t="n"/>
      <c r="O176" s="1231" t="n">
        <v>0.1487</v>
      </c>
      <c r="P176" s="1231" t="n">
        <v>0.365</v>
      </c>
      <c r="Q176" s="1228" t="n"/>
      <c r="R176" s="1228" t="n"/>
      <c r="S176" s="1228" t="n"/>
      <c r="T176" s="1228" t="n"/>
      <c r="U176" s="1228" t="n"/>
      <c r="V176" s="1228" t="n"/>
      <c r="W176" s="1228" t="n"/>
      <c r="X176" s="1228" t="n"/>
      <c r="Y176" s="1228" t="n"/>
      <c r="Z176" s="1228" t="n"/>
      <c r="AA176" s="1228" t="n"/>
      <c r="AB176" s="1228" t="n"/>
      <c r="AC176" s="1228" t="n"/>
      <c r="AD176" s="1228" t="n"/>
      <c r="AE176" s="1228" t="n"/>
      <c r="AF176" s="1228" t="n"/>
      <c r="AG176" s="1228" t="n"/>
      <c r="AH176" s="1228" t="n"/>
      <c r="AI176" s="1231" t="n">
        <v>3.1201</v>
      </c>
      <c r="AJ176" s="1231" t="n">
        <v>3.6337</v>
      </c>
      <c r="AK176" s="1228" t="n"/>
      <c r="AL176" s="1228" t="n"/>
      <c r="AM176" s="1229" t="inlineStr">
        <is>
          <t>NNN; landlord only: RE Tax $201,248/Ins $9,589/Mgmt $23,542; 1998 YOC</t>
        </is>
      </c>
    </row>
    <row r="177" ht="14.1" customHeight="1">
      <c r="A177" s="696" t="inlineStr">
        <is>
          <t>P093</t>
        </is>
      </c>
      <c r="B177" s="695" t="n">
        <v>407</v>
      </c>
      <c r="C177" s="696" t="inlineStr">
        <is>
          <t>R0114792</t>
        </is>
      </c>
      <c r="D177" s="1195" t="inlineStr">
        <is>
          <t>(Address TBD – R0114792)</t>
        </is>
      </c>
      <c r="E177" s="696" t="inlineStr">
        <is>
          <t>Adams County</t>
        </is>
      </c>
      <c r="F177" s="696" t="inlineStr">
        <is>
          <t>CO</t>
        </is>
      </c>
      <c r="G177" s="696" t="inlineStr">
        <is>
          <t>Industrial</t>
        </is>
      </c>
      <c r="H177" s="1195"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1195" t="inlineStr">
        <is>
          <t>NNN; landlord only: RE Tax $244,551/Ins $7,536/Mgmt $23,889</t>
        </is>
      </c>
    </row>
    <row r="178" ht="14.1" customHeight="1">
      <c r="A178" s="1228" t="inlineStr">
        <is>
          <t>P027</t>
        </is>
      </c>
      <c r="B178" s="695" t="n">
        <v>407</v>
      </c>
      <c r="C178" s="1228" t="inlineStr">
        <is>
          <t>R0132030</t>
        </is>
      </c>
      <c r="D178" s="1229" t="inlineStr">
        <is>
          <t>(R0132030)</t>
        </is>
      </c>
      <c r="E178" s="1228" t="inlineStr">
        <is>
          <t>Adams County</t>
        </is>
      </c>
      <c r="F178" s="1228" t="inlineStr">
        <is>
          <t>CO</t>
        </is>
      </c>
      <c r="G178" s="1228" t="inlineStr">
        <is>
          <t>Industrial</t>
        </is>
      </c>
      <c r="H178" s="1229" t="inlineStr">
        <is>
          <t>Industrial NNN</t>
        </is>
      </c>
      <c r="I178" s="1230" t="n"/>
      <c r="J178" s="1230" t="n">
        <v>200094</v>
      </c>
      <c r="K178" s="1230" t="n">
        <v>2024</v>
      </c>
      <c r="L178" s="1228" t="n"/>
      <c r="M178" s="1228" t="n"/>
      <c r="N178" s="1228" t="n"/>
      <c r="O178" s="1231" t="n">
        <v>0.1315</v>
      </c>
      <c r="P178" s="1231" t="n">
        <v>0.2443</v>
      </c>
      <c r="Q178" s="1228" t="n"/>
      <c r="R178" s="1228" t="n"/>
      <c r="S178" s="1228" t="n"/>
      <c r="T178" s="1228" t="n"/>
      <c r="U178" s="1228" t="n"/>
      <c r="V178" s="1228" t="n"/>
      <c r="W178" s="1228" t="n"/>
      <c r="X178" s="1228" t="n"/>
      <c r="Y178" s="1228" t="n"/>
      <c r="Z178" s="1228" t="n"/>
      <c r="AA178" s="1228" t="n"/>
      <c r="AB178" s="1228" t="n"/>
      <c r="AC178" s="1231" t="n">
        <v>0.4013</v>
      </c>
      <c r="AD178" s="1231" t="n">
        <v>0.321</v>
      </c>
      <c r="AE178" s="1228" t="n"/>
      <c r="AF178" s="1231" t="n">
        <v>0.321</v>
      </c>
      <c r="AG178" s="1228" t="n"/>
      <c r="AH178" s="1228" t="n"/>
      <c r="AI178" s="1231" t="n">
        <v>2.2004</v>
      </c>
      <c r="AJ178" s="1231" t="n">
        <v>3.297</v>
      </c>
      <c r="AK178" s="1228" t="n"/>
      <c r="AL178" s="1228" t="n"/>
      <c r="AM178" s="1229" t="inlineStr">
        <is>
          <t>NNN; WH Expenses 2026 landlord data: RE Tax $440,287/Ins $26,308/Utils $64,237/Mgmt $48,882/CAM $80,298</t>
        </is>
      </c>
    </row>
    <row r="179" ht="14.1" customHeight="1">
      <c r="A179" s="696" t="inlineStr">
        <is>
          <t>P028</t>
        </is>
      </c>
      <c r="B179" s="695" t="n">
        <v>407</v>
      </c>
      <c r="C179" s="696" t="inlineStr">
        <is>
          <t>R0084040</t>
        </is>
      </c>
      <c r="D179" s="1195" t="inlineStr">
        <is>
          <t>(R0084040)</t>
        </is>
      </c>
      <c r="E179" s="696" t="inlineStr">
        <is>
          <t>Adams County</t>
        </is>
      </c>
      <c r="F179" s="696" t="inlineStr">
        <is>
          <t>CO</t>
        </is>
      </c>
      <c r="G179" s="696" t="inlineStr">
        <is>
          <t>Industrial</t>
        </is>
      </c>
      <c r="H179" s="1195"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1195" t="inlineStr">
        <is>
          <t>[NO SF] NNN; WH Expenses 2026 landlord data: RE Tax $598,274/Ins $24,025/Utils $69,481/Mgmt $65,817/CAM $128,840</t>
        </is>
      </c>
    </row>
    <row r="180" ht="14.1" customHeight="1">
      <c r="A180" s="1228" t="inlineStr">
        <is>
          <t>P034</t>
        </is>
      </c>
      <c r="B180" s="695" t="n">
        <v>407</v>
      </c>
      <c r="C180" s="1228" t="inlineStr">
        <is>
          <t>R0172865</t>
        </is>
      </c>
      <c r="D180" s="1229" t="inlineStr">
        <is>
          <t>(R0172865)</t>
        </is>
      </c>
      <c r="E180" s="1228" t="inlineStr">
        <is>
          <t>Adams County</t>
        </is>
      </c>
      <c r="F180" s="1228" t="inlineStr">
        <is>
          <t>CO</t>
        </is>
      </c>
      <c r="G180" s="1228" t="inlineStr">
        <is>
          <t>Industrial</t>
        </is>
      </c>
      <c r="H180" s="1229" t="inlineStr">
        <is>
          <t>Industrial NNN</t>
        </is>
      </c>
      <c r="I180" s="1230" t="n"/>
      <c r="J180" s="1230" t="n">
        <v>215461</v>
      </c>
      <c r="K180" s="1230" t="n">
        <v>2024</v>
      </c>
      <c r="L180" s="1228" t="n"/>
      <c r="M180" s="1228" t="n"/>
      <c r="N180" s="1228" t="n"/>
      <c r="O180" s="1231" t="n">
        <v>0.1431</v>
      </c>
      <c r="P180" s="1231" t="n">
        <v>0.331</v>
      </c>
      <c r="Q180" s="1228" t="n"/>
      <c r="R180" s="1228" t="n"/>
      <c r="S180" s="1228" t="n"/>
      <c r="T180" s="1228" t="n"/>
      <c r="U180" s="1228" t="n"/>
      <c r="V180" s="1228" t="n"/>
      <c r="W180" s="1228" t="n"/>
      <c r="X180" s="1228" t="n"/>
      <c r="Y180" s="1228" t="n"/>
      <c r="Z180" s="1228" t="n"/>
      <c r="AA180" s="1228" t="n"/>
      <c r="AB180" s="1228" t="n"/>
      <c r="AC180" s="1231" t="n">
        <v>0.5903</v>
      </c>
      <c r="AD180" s="1231" t="n">
        <v>0.4731</v>
      </c>
      <c r="AE180" s="1228" t="n"/>
      <c r="AF180" s="1231" t="n">
        <v>0.4731</v>
      </c>
      <c r="AG180" s="1228" t="n"/>
      <c r="AH180" s="1228" t="n"/>
      <c r="AI180" s="1231" t="n">
        <v>2.6197</v>
      </c>
      <c r="AJ180" s="1231" t="n">
        <v>4.1572</v>
      </c>
      <c r="AK180" s="1228" t="n"/>
      <c r="AL180" s="1228" t="n"/>
      <c r="AM180" s="1229" t="inlineStr">
        <is>
          <t>NNN; WH Expenses 2026 landlord data: RE Tax $564,450/Ins $30,832/Utils $101,924/Mgmt $71,321/CAM $127,177</t>
        </is>
      </c>
    </row>
    <row r="181" ht="14.1" customHeight="1">
      <c r="A181" s="696" t="inlineStr">
        <is>
          <t>P036</t>
        </is>
      </c>
      <c r="B181" s="695" t="n">
        <v>407</v>
      </c>
      <c r="C181" s="696" t="inlineStr">
        <is>
          <t>R0172868</t>
        </is>
      </c>
      <c r="D181" s="1195" t="inlineStr">
        <is>
          <t>(R0172868)</t>
        </is>
      </c>
      <c r="E181" s="696" t="inlineStr">
        <is>
          <t>Adams County</t>
        </is>
      </c>
      <c r="F181" s="696" t="inlineStr">
        <is>
          <t>CO</t>
        </is>
      </c>
      <c r="G181" s="696" t="inlineStr">
        <is>
          <t>Industrial</t>
        </is>
      </c>
      <c r="H181" s="1195"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1195" t="inlineStr">
        <is>
          <t>NNN; WH Expenses 2026 landlord data: RE Tax $608,209/Ins $30,594/Mgmt $36,085/CAM $95,792</t>
        </is>
      </c>
    </row>
    <row r="182" ht="14.1" customHeight="1">
      <c r="A182" s="1228" t="inlineStr">
        <is>
          <t>P061</t>
        </is>
      </c>
      <c r="B182" s="695" t="n">
        <v>584</v>
      </c>
      <c r="C182" s="1228" t="inlineStr">
        <is>
          <t>R0083935</t>
        </is>
      </c>
      <c r="D182" s="1229" t="inlineStr">
        <is>
          <t>(R0083935)</t>
        </is>
      </c>
      <c r="E182" s="1228" t="inlineStr">
        <is>
          <t>Adams County</t>
        </is>
      </c>
      <c r="F182" s="1228" t="inlineStr">
        <is>
          <t>CO</t>
        </is>
      </c>
      <c r="G182" s="1228" t="inlineStr">
        <is>
          <t>Industrial</t>
        </is>
      </c>
      <c r="H182" s="1229" t="inlineStr">
        <is>
          <t>Industrial NNN</t>
        </is>
      </c>
      <c r="I182" s="1230" t="n"/>
      <c r="J182" s="1230" t="n">
        <v>277690</v>
      </c>
      <c r="K182" s="1230" t="n">
        <v>2024</v>
      </c>
      <c r="L182" s="1228" t="n"/>
      <c r="M182" s="1228" t="n"/>
      <c r="N182" s="1228" t="n"/>
      <c r="O182" s="1231" t="n">
        <v>0.2911</v>
      </c>
      <c r="P182" s="1231" t="n">
        <v>0.6228</v>
      </c>
      <c r="Q182" s="1228" t="n"/>
      <c r="R182" s="1228" t="n"/>
      <c r="S182" s="1228" t="n"/>
      <c r="T182" s="1228" t="n"/>
      <c r="U182" s="1228" t="n"/>
      <c r="V182" s="1228" t="n"/>
      <c r="W182" s="1228" t="n"/>
      <c r="X182" s="1228" t="n"/>
      <c r="Y182" s="1228" t="n"/>
      <c r="Z182" s="1228" t="n"/>
      <c r="AA182" s="1228" t="n"/>
      <c r="AB182" s="1228" t="n"/>
      <c r="AC182" s="1231" t="n">
        <v>1.0179</v>
      </c>
      <c r="AD182" s="1231" t="n">
        <v>0.7056</v>
      </c>
      <c r="AE182" s="1228" t="n"/>
      <c r="AF182" s="1231" t="n">
        <v>0.7056</v>
      </c>
      <c r="AG182" s="1228" t="n"/>
      <c r="AH182" s="1228" t="n"/>
      <c r="AI182" s="1231" t="n">
        <v>2.8384</v>
      </c>
      <c r="AJ182" s="1231" t="n">
        <v>5.4758</v>
      </c>
      <c r="AK182" s="1228" t="n"/>
      <c r="AL182" s="1228" t="n"/>
      <c r="AM182" s="1229"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1195" t="inlineStr">
        <is>
          <t>(R0098223)</t>
        </is>
      </c>
      <c r="E183" s="696" t="inlineStr">
        <is>
          <t>Adams County</t>
        </is>
      </c>
      <c r="F183" s="696" t="inlineStr">
        <is>
          <t>CO</t>
        </is>
      </c>
      <c r="G183" s="696" t="inlineStr">
        <is>
          <t>Industrial</t>
        </is>
      </c>
      <c r="H183" s="1195"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1195" t="inlineStr">
        <is>
          <t>[NO SF] CORRECTED: previous entry had wrong NOI ($76,629). Correct 2023 NOI = $951,113 per WH Expenses 2026</t>
        </is>
      </c>
    </row>
    <row r="184" ht="14.1" customHeight="1">
      <c r="A184" s="1228" t="inlineStr">
        <is>
          <t>P069</t>
        </is>
      </c>
      <c r="B184" s="695" t="n">
        <v>210</v>
      </c>
      <c r="C184" s="1228" t="inlineStr">
        <is>
          <t>R0098223</t>
        </is>
      </c>
      <c r="D184" s="1229" t="inlineStr">
        <is>
          <t>(R0098223)</t>
        </is>
      </c>
      <c r="E184" s="1228" t="inlineStr">
        <is>
          <t>Adams County</t>
        </is>
      </c>
      <c r="F184" s="1228" t="inlineStr">
        <is>
          <t>CO</t>
        </is>
      </c>
      <c r="G184" s="1228" t="inlineStr">
        <is>
          <t>Industrial</t>
        </is>
      </c>
      <c r="H184" s="1229" t="inlineStr">
        <is>
          <t>Industrial</t>
        </is>
      </c>
      <c r="I184" s="1230" t="n"/>
      <c r="J184" s="1230" t="n"/>
      <c r="K184" s="1230" t="n">
        <v>2024</v>
      </c>
      <c r="L184" s="1228" t="n"/>
      <c r="M184" s="1228" t="n"/>
      <c r="N184" s="1228" t="n"/>
      <c r="O184" s="1228" t="n"/>
      <c r="P184" s="1228" t="n"/>
      <c r="Q184" s="1228" t="n"/>
      <c r="R184" s="1228" t="n"/>
      <c r="S184" s="1228" t="n"/>
      <c r="T184" s="1228" t="n"/>
      <c r="U184" s="1228" t="n"/>
      <c r="V184" s="1228" t="n"/>
      <c r="W184" s="1228" t="n"/>
      <c r="X184" s="1228" t="n"/>
      <c r="Y184" s="1228" t="n"/>
      <c r="Z184" s="1228" t="n"/>
      <c r="AA184" s="1228" t="n"/>
      <c r="AB184" s="1228" t="n"/>
      <c r="AC184" s="1228" t="n"/>
      <c r="AD184" s="1228" t="n"/>
      <c r="AE184" s="1228" t="n"/>
      <c r="AF184" s="1228" t="n"/>
      <c r="AG184" s="1228" t="n"/>
      <c r="AH184" s="1228" t="n"/>
      <c r="AI184" s="1228" t="n"/>
      <c r="AJ184" s="1228" t="n"/>
      <c r="AK184" s="1233" t="n">
        <v>1005999</v>
      </c>
      <c r="AL184" s="1228" t="n"/>
      <c r="AM184" s="1229" t="inlineStr">
        <is>
          <t>[NO SF] New 2024 row from WH Expenses 2026; NOI $1,005,999</t>
        </is>
      </c>
    </row>
    <row r="185" ht="14.1" customHeight="1">
      <c r="A185" s="696" t="inlineStr">
        <is>
          <t>P094</t>
        </is>
      </c>
      <c r="B185" s="695" t="n">
        <v>407</v>
      </c>
      <c r="C185" s="696" t="inlineStr">
        <is>
          <t>R0104122</t>
        </is>
      </c>
      <c r="D185" s="1195" t="inlineStr">
        <is>
          <t>550 W 53rd Pl</t>
        </is>
      </c>
      <c r="E185" s="696" t="inlineStr">
        <is>
          <t>Denver</t>
        </is>
      </c>
      <c r="F185" s="696" t="inlineStr">
        <is>
          <t>CO</t>
        </is>
      </c>
      <c r="G185" s="696" t="inlineStr">
        <is>
          <t>Industrial</t>
        </is>
      </c>
      <c r="H185" s="1195"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1195" t="inlineStr">
        <is>
          <t>Appraiser income approach (CBOE 2024 abatement); market rent $6.50/SF; vac 6%; OPX 5% + reserves 3%; 6.00% OAR; value $11,985,000</t>
        </is>
      </c>
    </row>
    <row r="186" ht="14.1" customHeight="1">
      <c r="A186" s="1228" t="inlineStr">
        <is>
          <t>P095</t>
        </is>
      </c>
      <c r="B186" s="695" t="n">
        <v>386</v>
      </c>
      <c r="C186" s="1228" t="inlineStr">
        <is>
          <t>R0086010</t>
        </is>
      </c>
      <c r="D186" s="1229" t="inlineStr">
        <is>
          <t>15413 E 18th Ave</t>
        </is>
      </c>
      <c r="E186" s="1228" t="inlineStr">
        <is>
          <t>Aurora</t>
        </is>
      </c>
      <c r="F186" s="1228" t="inlineStr">
        <is>
          <t>CO</t>
        </is>
      </c>
      <c r="G186" s="1228" t="inlineStr">
        <is>
          <t>Self-Storage</t>
        </is>
      </c>
      <c r="H186" s="1229" t="inlineStr">
        <is>
          <t>Self-Storage</t>
        </is>
      </c>
      <c r="I186" s="1230" t="n">
        <v>1984</v>
      </c>
      <c r="J186" s="1230" t="n">
        <v>63989</v>
      </c>
      <c r="K186" s="1230" t="n">
        <v>2024</v>
      </c>
      <c r="L186" s="1231" t="n">
        <v>15.0547</v>
      </c>
      <c r="M186" s="1231" t="n">
        <v>0.1953</v>
      </c>
      <c r="N186" s="1231" t="n">
        <v>12.9919</v>
      </c>
      <c r="O186" s="1228" t="n"/>
      <c r="P186" s="1228" t="n"/>
      <c r="Q186" s="1228" t="n"/>
      <c r="R186" s="1228" t="n"/>
      <c r="S186" s="1228" t="n"/>
      <c r="T186" s="1228" t="n"/>
      <c r="U186" s="1228" t="n"/>
      <c r="V186" s="1228" t="n"/>
      <c r="W186" s="1228" t="n"/>
      <c r="X186" s="1228" t="n"/>
      <c r="Y186" s="1228" t="n"/>
      <c r="Z186" s="1228" t="n"/>
      <c r="AA186" s="1228" t="n"/>
      <c r="AB186" s="1228" t="n"/>
      <c r="AC186" s="1228" t="n"/>
      <c r="AD186" s="1228" t="n"/>
      <c r="AE186" s="1228" t="n"/>
      <c r="AF186" s="1228" t="n"/>
      <c r="AG186" s="1228" t="n"/>
      <c r="AH186" s="1231" t="n">
        <v>2.5984</v>
      </c>
      <c r="AI186" s="1228" t="n"/>
      <c r="AJ186" s="1231" t="n">
        <v>3.118</v>
      </c>
      <c r="AK186" s="1231" t="n">
        <v>9.873799999999999</v>
      </c>
      <c r="AL186" s="1231" t="n">
        <v>0.5197000000000001</v>
      </c>
      <c r="AM186" s="1229"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1195" t="inlineStr">
        <is>
          <t>14701 E 38th Ave</t>
        </is>
      </c>
      <c r="E187" s="696" t="inlineStr">
        <is>
          <t>Aurora</t>
        </is>
      </c>
      <c r="F187" s="696" t="inlineStr">
        <is>
          <t>CO</t>
        </is>
      </c>
      <c r="G187" s="696" t="inlineStr">
        <is>
          <t>Industrial</t>
        </is>
      </c>
      <c r="H187" s="1195"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1195" t="inlineStr">
        <is>
          <t>I&amp;E Survey 2024; owner-user; CAUTION: expenses likely include non-RE business costs (mgmt $452k + utils $372k very high); 117,280 SF</t>
        </is>
      </c>
    </row>
    <row r="188" ht="14.1" customHeight="1">
      <c r="A188" s="1228" t="inlineStr">
        <is>
          <t>P097</t>
        </is>
      </c>
      <c r="B188" s="695" t="n">
        <v>210</v>
      </c>
      <c r="C188" s="1228" t="inlineStr">
        <is>
          <t>R0137586</t>
        </is>
      </c>
      <c r="D188" s="1229" t="inlineStr">
        <is>
          <t>7273-7285 E 96th Ave</t>
        </is>
      </c>
      <c r="E188" s="1228" t="inlineStr">
        <is>
          <t>Commerce City</t>
        </is>
      </c>
      <c r="F188" s="1228" t="inlineStr">
        <is>
          <t>CO</t>
        </is>
      </c>
      <c r="G188" s="1228" t="inlineStr">
        <is>
          <t>Industrial</t>
        </is>
      </c>
      <c r="H188" s="1229" t="inlineStr">
        <is>
          <t>Multi-Tenant Industrial</t>
        </is>
      </c>
      <c r="I188" s="1230" t="n"/>
      <c r="J188" s="1230" t="n">
        <v>57200</v>
      </c>
      <c r="K188" s="1230" t="n">
        <v>2023</v>
      </c>
      <c r="L188" s="1231" t="n">
        <v>14.0542</v>
      </c>
      <c r="M188" s="1228" t="n"/>
      <c r="N188" s="1228" t="n"/>
      <c r="O188" s="1231" t="n">
        <v>0.2194</v>
      </c>
      <c r="P188" s="1231" t="n">
        <v>0.9815</v>
      </c>
      <c r="Q188" s="1228" t="n"/>
      <c r="R188" s="1228" t="n"/>
      <c r="S188" s="1228" t="n"/>
      <c r="T188" s="1228" t="n"/>
      <c r="U188" s="1228" t="n"/>
      <c r="V188" s="1228" t="n"/>
      <c r="W188" s="1228" t="n"/>
      <c r="X188" s="1231" t="n">
        <v>0.6945</v>
      </c>
      <c r="Y188" s="1231" t="n">
        <v>0.6945</v>
      </c>
      <c r="Z188" s="1231" t="n">
        <v>0.3918</v>
      </c>
      <c r="AA188" s="1231" t="n">
        <v>0.0257</v>
      </c>
      <c r="AB188" s="1228" t="n"/>
      <c r="AC188" s="1231" t="n">
        <v>0.4175</v>
      </c>
      <c r="AD188" s="1228" t="n"/>
      <c r="AE188" s="1231" t="n">
        <v>0.1169</v>
      </c>
      <c r="AF188" s="1231" t="n">
        <v>0.1169</v>
      </c>
      <c r="AG188" s="1228" t="n"/>
      <c r="AH188" s="1231" t="n">
        <v>2.4266</v>
      </c>
      <c r="AI188" s="1228" t="n"/>
      <c r="AJ188" s="1231" t="n">
        <v>2.4266</v>
      </c>
      <c r="AK188" s="1228" t="n"/>
      <c r="AL188" s="1228" t="n"/>
      <c r="AM188" s="1229" t="inlineStr">
        <is>
          <t>I&amp;E Survey 2023; modified lease; 57,200 SF; total expenses approx (excludes RE taxes not reported)</t>
        </is>
      </c>
    </row>
    <row r="189" ht="14.1" customHeight="1">
      <c r="A189" s="696" t="inlineStr">
        <is>
          <t>P098</t>
        </is>
      </c>
      <c r="B189" s="695" t="n">
        <v>210</v>
      </c>
      <c r="C189" s="696" t="inlineStr">
        <is>
          <t>R0187010</t>
        </is>
      </c>
      <c r="D189" s="1195" t="inlineStr">
        <is>
          <t>8020 Steele St</t>
        </is>
      </c>
      <c r="E189" s="696" t="inlineStr">
        <is>
          <t>Denver</t>
        </is>
      </c>
      <c r="F189" s="696" t="inlineStr">
        <is>
          <t>CO</t>
        </is>
      </c>
      <c r="G189" s="696" t="inlineStr">
        <is>
          <t>Industrial</t>
        </is>
      </c>
      <c r="H189" s="1195"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1195" t="inlineStr">
        <is>
          <t>I&amp;E Survey 2024; modified gross; owner pays ins/R&amp;M/mgmt only; tenant pays utils/trash; 70,000 SF; partial expense data</t>
        </is>
      </c>
    </row>
    <row r="190" ht="14.1" customHeight="1">
      <c r="A190" s="1228" t="inlineStr">
        <is>
          <t>P099</t>
        </is>
      </c>
      <c r="B190" s="695" t="n">
        <v>210</v>
      </c>
      <c r="C190" s="1228" t="inlineStr">
        <is>
          <t>R0111914</t>
        </is>
      </c>
      <c r="D190" s="1229" t="inlineStr">
        <is>
          <t>1963 Jasper St</t>
        </is>
      </c>
      <c r="E190" s="1228" t="inlineStr">
        <is>
          <t>Aurora</t>
        </is>
      </c>
      <c r="F190" s="1228" t="inlineStr">
        <is>
          <t>CO</t>
        </is>
      </c>
      <c r="G190" s="1228" t="inlineStr">
        <is>
          <t>Industrial</t>
        </is>
      </c>
      <c r="H190" s="1229" t="inlineStr">
        <is>
          <t>Multi-Tenant Industrial Gross</t>
        </is>
      </c>
      <c r="I190" s="1230" t="n"/>
      <c r="J190" s="1230" t="n">
        <v>33574</v>
      </c>
      <c r="K190" s="1230" t="n">
        <v>2024</v>
      </c>
      <c r="L190" s="1231" t="n">
        <v>9.829000000000001</v>
      </c>
      <c r="M190" s="1228" t="n"/>
      <c r="N190" s="1231" t="n">
        <v>9.829000000000001</v>
      </c>
      <c r="O190" s="1231" t="n">
        <v>0.2475</v>
      </c>
      <c r="P190" s="1231" t="n">
        <v>0.4915</v>
      </c>
      <c r="Q190" s="1228" t="n"/>
      <c r="R190" s="1228" t="n"/>
      <c r="S190" s="1228" t="n"/>
      <c r="T190" s="1228" t="n"/>
      <c r="U190" s="1228" t="n"/>
      <c r="V190" s="1228" t="n"/>
      <c r="W190" s="1228" t="n"/>
      <c r="X190" s="1231" t="n">
        <v>0.5624</v>
      </c>
      <c r="Y190" s="1231" t="n">
        <v>0.5624</v>
      </c>
      <c r="Z190" s="1231" t="n">
        <v>0.2949</v>
      </c>
      <c r="AA190" s="1231" t="n">
        <v>0.3366</v>
      </c>
      <c r="AB190" s="1228" t="n"/>
      <c r="AC190" s="1231" t="n">
        <v>0.6314</v>
      </c>
      <c r="AD190" s="1228" t="n"/>
      <c r="AE190" s="1231" t="n">
        <v>0.3437</v>
      </c>
      <c r="AF190" s="1231" t="n">
        <v>0.3437</v>
      </c>
      <c r="AG190" s="1228" t="n"/>
      <c r="AH190" s="1231" t="n">
        <v>2.2765</v>
      </c>
      <c r="AI190" s="1228" t="n"/>
      <c r="AJ190" s="1231" t="n">
        <v>2.2765</v>
      </c>
      <c r="AK190" s="1231" t="n">
        <v>7.5525</v>
      </c>
      <c r="AL190" s="1228" t="n"/>
      <c r="AM190" s="1229" t="inlineStr">
        <is>
          <t>I&amp;E Survey 2024; gross lease (tenant pays gas/elec); approx NOI = GRI minus owner expenses; 33,574 SF</t>
        </is>
      </c>
    </row>
    <row r="191" ht="14.1" customHeight="1">
      <c r="A191" s="1234" t="inlineStr">
        <is>
          <t>P100</t>
        </is>
      </c>
      <c r="B191" s="695" t="n">
        <v>1332</v>
      </c>
      <c r="C191" s="1234" t="inlineStr">
        <is>
          <t>R0111965</t>
        </is>
      </c>
      <c r="D191" s="1235" t="inlineStr">
        <is>
          <t>12101 Grant St</t>
        </is>
      </c>
      <c r="E191" s="1234" t="inlineStr">
        <is>
          <t>Thornton</t>
        </is>
      </c>
      <c r="F191" s="1234" t="inlineStr">
        <is>
          <t>CO</t>
        </is>
      </c>
      <c r="G191" s="1234" t="inlineStr">
        <is>
          <t>Hospitality</t>
        </is>
      </c>
      <c r="H191" s="1235" t="inlineStr">
        <is>
          <t>Hotel Limited Service</t>
        </is>
      </c>
      <c r="I191" s="1236" t="n">
        <v>1998</v>
      </c>
      <c r="J191" s="1236" t="n"/>
      <c r="K191" s="1236" t="n">
        <v>2024</v>
      </c>
      <c r="L191" s="1237" t="n">
        <v>3007421</v>
      </c>
      <c r="M191" s="1234" t="n"/>
      <c r="N191" s="1237" t="n">
        <v>3007421</v>
      </c>
      <c r="O191" s="1237" t="n">
        <v>45111</v>
      </c>
      <c r="P191" s="1234" t="n"/>
      <c r="Q191" s="1234" t="n"/>
      <c r="R191" s="1234" t="n"/>
      <c r="S191" s="1234" t="n"/>
      <c r="T191" s="1234" t="n"/>
      <c r="U191" s="1234" t="n"/>
      <c r="V191" s="1234" t="n"/>
      <c r="W191" s="1234" t="n"/>
      <c r="X191" s="1234" t="n"/>
      <c r="Y191" s="1234" t="n"/>
      <c r="Z191" s="1234" t="n"/>
      <c r="AA191" s="1234" t="n"/>
      <c r="AB191" s="1234" t="n"/>
      <c r="AC191" s="1234" t="n"/>
      <c r="AD191" s="1234" t="n"/>
      <c r="AE191" s="1234" t="n"/>
      <c r="AF191" s="1234" t="n"/>
      <c r="AG191" s="1237" t="n">
        <v>1975907</v>
      </c>
      <c r="AH191" s="1237" t="n">
        <v>2143856</v>
      </c>
      <c r="AI191" s="1234" t="n"/>
      <c r="AJ191" s="1237" t="n">
        <v>2143856</v>
      </c>
      <c r="AK191" s="1237" t="n">
        <v>863565</v>
      </c>
      <c r="AL191" s="1234" t="n"/>
      <c r="AM191" s="1235" t="inlineStr">
        <is>
          <t>[NO SF] Appraiser Rushmore income approach (AXG CBOE 2024); 100 rooms; ADR $115; occ 70%; RevPAR $80.50; loaded cap 11.30%; RE prop value ~$7.49M. Total Revenue breakout: Rooms+F&amp;B+Other</t>
        </is>
      </c>
    </row>
    <row r="192" ht="14.1" customHeight="1">
      <c r="A192" s="1234" t="inlineStr">
        <is>
          <t>P101</t>
        </is>
      </c>
      <c r="B192" s="695" t="n">
        <v>332</v>
      </c>
      <c r="C192" s="1234" t="inlineStr">
        <is>
          <t>R0202410</t>
        </is>
      </c>
      <c r="D192" s="1235" t="inlineStr">
        <is>
          <t>2556 Oswego St</t>
        </is>
      </c>
      <c r="E192" s="1234" t="inlineStr">
        <is>
          <t>Aurora</t>
        </is>
      </c>
      <c r="F192" s="1234" t="inlineStr">
        <is>
          <t>CO</t>
        </is>
      </c>
      <c r="G192" s="1234" t="inlineStr">
        <is>
          <t>Hospitality</t>
        </is>
      </c>
      <c r="H192" s="1235" t="inlineStr">
        <is>
          <t>Hotel Full Service</t>
        </is>
      </c>
      <c r="I192" s="1236" t="n">
        <v>2023</v>
      </c>
      <c r="J192" s="1236" t="n"/>
      <c r="K192" s="1236" t="n">
        <v>2024</v>
      </c>
      <c r="L192" s="1237" t="n">
        <v>11899487</v>
      </c>
      <c r="M192" s="1234" t="n"/>
      <c r="N192" s="1237" t="n">
        <v>11899487</v>
      </c>
      <c r="O192" s="1237" t="n">
        <v>154693</v>
      </c>
      <c r="P192" s="1234" t="n"/>
      <c r="Q192" s="1234" t="n"/>
      <c r="R192" s="1234" t="n"/>
      <c r="S192" s="1234" t="n"/>
      <c r="T192" s="1234" t="n"/>
      <c r="U192" s="1234" t="n"/>
      <c r="V192" s="1234" t="n"/>
      <c r="W192" s="1234" t="n"/>
      <c r="X192" s="1234" t="n"/>
      <c r="Y192" s="1234" t="n"/>
      <c r="Z192" s="1234" t="n"/>
      <c r="AA192" s="1234" t="n"/>
      <c r="AB192" s="1234" t="n"/>
      <c r="AC192" s="1234" t="n"/>
      <c r="AD192" s="1234" t="n"/>
      <c r="AE192" s="1234" t="n"/>
      <c r="AF192" s="1234" t="n"/>
      <c r="AG192" s="1237" t="n">
        <v>8760469</v>
      </c>
      <c r="AH192" s="1237" t="n">
        <v>8915468</v>
      </c>
      <c r="AI192" s="1234" t="n"/>
      <c r="AJ192" s="1237" t="n">
        <v>9391447</v>
      </c>
      <c r="AK192" s="1237" t="n">
        <v>2984019</v>
      </c>
      <c r="AL192" s="1237" t="n">
        <v>475979</v>
      </c>
      <c r="AM192" s="1235" t="inlineStr">
        <is>
          <t>[NO SF] Appraiser Rushmore income approach (AXG CBOE 2024); 227 rooms; built 2023; ADR $140; occ 70%; RevPAR $98; loaded cap 12.45%; RE value ~$23.47M (less FF&amp;E)</t>
        </is>
      </c>
    </row>
    <row r="193" ht="14.1" customHeight="1">
      <c r="A193" s="1234" t="inlineStr">
        <is>
          <t>P102</t>
        </is>
      </c>
      <c r="B193" s="695" t="n">
        <v>332</v>
      </c>
      <c r="C193" s="1234" t="inlineStr">
        <is>
          <t>R0024498</t>
        </is>
      </c>
      <c r="D193" s="1235" t="inlineStr">
        <is>
          <t>83 E 120th Ave</t>
        </is>
      </c>
      <c r="E193" s="1234" t="inlineStr">
        <is>
          <t>Thornton</t>
        </is>
      </c>
      <c r="F193" s="1234" t="inlineStr">
        <is>
          <t>CO</t>
        </is>
      </c>
      <c r="G193" s="1234" t="inlineStr">
        <is>
          <t>Hospitality</t>
        </is>
      </c>
      <c r="H193" s="1235" t="inlineStr">
        <is>
          <t>Hotel Full Service</t>
        </is>
      </c>
      <c r="I193" s="1236" t="n">
        <v>1984</v>
      </c>
      <c r="J193" s="1236" t="n">
        <v>114796</v>
      </c>
      <c r="K193" s="1236" t="n">
        <v>2024</v>
      </c>
      <c r="L193" s="1238" t="n">
        <v>66.4378</v>
      </c>
      <c r="M193" s="1234" t="n"/>
      <c r="N193" s="1238" t="n">
        <v>66.4378</v>
      </c>
      <c r="O193" s="1238" t="n">
        <v>0.8637</v>
      </c>
      <c r="P193" s="1234" t="n"/>
      <c r="Q193" s="1234" t="n"/>
      <c r="R193" s="1234" t="n"/>
      <c r="S193" s="1234" t="n"/>
      <c r="T193" s="1234" t="n"/>
      <c r="U193" s="1234" t="n"/>
      <c r="V193" s="1234" t="n"/>
      <c r="W193" s="1234" t="n"/>
      <c r="X193" s="1234" t="n"/>
      <c r="Y193" s="1234" t="n"/>
      <c r="Z193" s="1234" t="n"/>
      <c r="AA193" s="1234" t="n"/>
      <c r="AB193" s="1234" t="n"/>
      <c r="AC193" s="1234" t="n"/>
      <c r="AD193" s="1234" t="n"/>
      <c r="AE193" s="1234" t="n"/>
      <c r="AF193" s="1234" t="n"/>
      <c r="AG193" s="1238" t="n">
        <v>48.7513</v>
      </c>
      <c r="AH193" s="1238" t="n">
        <v>51.4075</v>
      </c>
      <c r="AI193" s="1234" t="n"/>
      <c r="AJ193" s="1238" t="n">
        <v>54.0651</v>
      </c>
      <c r="AK193" s="1238" t="n">
        <v>15.0303</v>
      </c>
      <c r="AL193" s="1238" t="n">
        <v>2.6575</v>
      </c>
      <c r="AM193" s="1235" t="inlineStr">
        <is>
          <t>Appraiser Rushmore income approach (AXG CBOE 2024); 137 rooms; 114,796 SF; 2 bldgs; 1984 YOC; ADR $142; occ 70%; loaded cap 10.56%; RE value $15.78M (less FF&amp;E); STR data: occ ~73%, ADR ~$147-161</t>
        </is>
      </c>
    </row>
    <row r="194" ht="14.1" customHeight="1">
      <c r="A194" s="1228" t="inlineStr">
        <is>
          <t>P103</t>
        </is>
      </c>
      <c r="B194" s="695" t="n">
        <v>407</v>
      </c>
      <c r="C194" s="1228" t="inlineStr">
        <is>
          <t>R0075212</t>
        </is>
      </c>
      <c r="D194" s="1229" t="inlineStr">
        <is>
          <t>10500 Havana Ct</t>
        </is>
      </c>
      <c r="E194" s="1228" t="inlineStr">
        <is>
          <t>Commerce City</t>
        </is>
      </c>
      <c r="F194" s="1228" t="inlineStr">
        <is>
          <t>CO</t>
        </is>
      </c>
      <c r="G194" s="1228" t="inlineStr">
        <is>
          <t>Industrial</t>
        </is>
      </c>
      <c r="H194" s="1229" t="inlineStr">
        <is>
          <t>Industrial NNN</t>
        </is>
      </c>
      <c r="I194" s="1230" t="n"/>
      <c r="J194" s="1230" t="n">
        <v>30000</v>
      </c>
      <c r="K194" s="1230" t="n">
        <v>2024</v>
      </c>
      <c r="L194" s="1231" t="n">
        <v>8.4</v>
      </c>
      <c r="M194" s="1228" t="n"/>
      <c r="N194" s="1228" t="n"/>
      <c r="O194" s="1231" t="n">
        <v>0.7568</v>
      </c>
      <c r="P194" s="1231" t="n">
        <v>0.3167</v>
      </c>
      <c r="Q194" s="1228" t="n"/>
      <c r="R194" s="1228" t="n"/>
      <c r="S194" s="1228" t="n"/>
      <c r="T194" s="1228" t="n"/>
      <c r="U194" s="1228" t="n"/>
      <c r="V194" s="1228" t="n"/>
      <c r="W194" s="1228" t="n"/>
      <c r="X194" s="1231" t="n">
        <v>0.3647</v>
      </c>
      <c r="Y194" s="1231" t="n">
        <v>0.3647</v>
      </c>
      <c r="Z194" s="1231" t="n">
        <v>0.1164</v>
      </c>
      <c r="AA194" s="1231" t="n">
        <v>0.2303</v>
      </c>
      <c r="AB194" s="1228" t="n"/>
      <c r="AC194" s="1231" t="n">
        <v>0.3468</v>
      </c>
      <c r="AD194" s="1228" t="n"/>
      <c r="AE194" s="1231" t="n">
        <v>0.06519999999999999</v>
      </c>
      <c r="AF194" s="1231" t="n">
        <v>0.06519999999999999</v>
      </c>
      <c r="AG194" s="1228" t="n"/>
      <c r="AH194" s="1231" t="n">
        <v>1.8501</v>
      </c>
      <c r="AI194" s="1228" t="n"/>
      <c r="AJ194" s="1231" t="n">
        <v>1.8501</v>
      </c>
      <c r="AK194" s="1228" t="n"/>
      <c r="AL194" s="1228" t="n"/>
      <c r="AM194" s="1229" t="inlineStr">
        <is>
          <t>I&amp;E Survey 2024; NNN lease; owner-reported; 30,000 SF; no NOI computed (no EGI reported)</t>
        </is>
      </c>
    </row>
    <row r="195" ht="14.1" customHeight="1">
      <c r="A195" s="696" t="inlineStr">
        <is>
          <t>P089</t>
        </is>
      </c>
      <c r="B195" s="695" t="n">
        <v>407</v>
      </c>
      <c r="C195" s="696" t="inlineStr">
        <is>
          <t>R0180951</t>
        </is>
      </c>
      <c r="D195" s="1195" t="inlineStr">
        <is>
          <t>21200 E 36th Dr</t>
        </is>
      </c>
      <c r="E195" s="696" t="inlineStr">
        <is>
          <t>Aurora</t>
        </is>
      </c>
      <c r="F195" s="696" t="inlineStr">
        <is>
          <t>CO</t>
        </is>
      </c>
      <c r="G195" s="696" t="inlineStr">
        <is>
          <t>Industrial</t>
        </is>
      </c>
      <c r="H195" s="1195"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1195" t="inlineStr">
        <is>
          <t>MT.xlsx 2024 survey — DETAIL UPDATE for R0180951; R&amp;M $38,871/Grd Maint $11,809/Snow-Trash $13,785 additional breakdown (matches WH Expenses totals)</t>
        </is>
      </c>
    </row>
    <row r="196" ht="14.1" customHeight="1">
      <c r="A196" s="1228" t="inlineStr">
        <is>
          <t>P104</t>
        </is>
      </c>
      <c r="B196" s="695" t="n">
        <v>210</v>
      </c>
      <c r="C196" s="1228" t="inlineStr">
        <is>
          <t>R0226379</t>
        </is>
      </c>
      <c r="D196" s="1229" t="inlineStr">
        <is>
          <t>26100 E 68th Ave</t>
        </is>
      </c>
      <c r="E196" s="1228" t="inlineStr">
        <is>
          <t>Aurora</t>
        </is>
      </c>
      <c r="F196" s="1228" t="inlineStr">
        <is>
          <t>CO</t>
        </is>
      </c>
      <c r="G196" s="1228" t="inlineStr">
        <is>
          <t>Industrial</t>
        </is>
      </c>
      <c r="H196" s="1229" t="inlineStr">
        <is>
          <t>Industrial Multi-Tenant</t>
        </is>
      </c>
      <c r="I196" s="1230" t="n"/>
      <c r="J196" s="1230" t="n">
        <v>187720</v>
      </c>
      <c r="K196" s="1230" t="n">
        <v>2024</v>
      </c>
      <c r="L196" s="1231" t="n">
        <v>7.35</v>
      </c>
      <c r="M196" s="1231" t="n">
        <v>6.1013</v>
      </c>
      <c r="N196" s="1231" t="n">
        <v>13.4512</v>
      </c>
      <c r="O196" s="1231" t="n">
        <v>0.9408</v>
      </c>
      <c r="P196" s="1231" t="n">
        <v>0.6045</v>
      </c>
      <c r="Q196" s="1228" t="n"/>
      <c r="R196" s="1228" t="n"/>
      <c r="S196" s="1231" t="n">
        <v>0.091</v>
      </c>
      <c r="T196" s="1231" t="n">
        <v>0.0133</v>
      </c>
      <c r="U196" s="1228" t="n"/>
      <c r="V196" s="1231" t="n">
        <v>0.0316</v>
      </c>
      <c r="W196" s="1231" t="n">
        <v>0.073</v>
      </c>
      <c r="X196" s="1231" t="n">
        <v>0.08649999999999999</v>
      </c>
      <c r="Y196" s="1231" t="n">
        <v>0.2954</v>
      </c>
      <c r="Z196" s="1228" t="n"/>
      <c r="AA196" s="1231" t="n">
        <v>0.0495</v>
      </c>
      <c r="AB196" s="1231" t="n">
        <v>0.1714</v>
      </c>
      <c r="AC196" s="1231" t="n">
        <v>0.3656</v>
      </c>
      <c r="AD196" s="1231" t="n">
        <v>0.1559</v>
      </c>
      <c r="AE196" s="1231" t="n">
        <v>0.0609</v>
      </c>
      <c r="AF196" s="1231" t="n">
        <v>0.2168</v>
      </c>
      <c r="AG196" s="1231" t="n">
        <v>0.0238</v>
      </c>
      <c r="AH196" s="1231" t="n">
        <v>3.1568</v>
      </c>
      <c r="AI196" s="1231" t="n">
        <v>3.6317</v>
      </c>
      <c r="AJ196" s="1231" t="n">
        <v>6.7886</v>
      </c>
      <c r="AK196" s="1231" t="n">
        <v>6.6627</v>
      </c>
      <c r="AL196" s="1228" t="n"/>
      <c r="AM196" s="1229"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1195" t="inlineStr">
        <is>
          <t>26100 E 68th Ave</t>
        </is>
      </c>
      <c r="E197" s="696" t="inlineStr">
        <is>
          <t>Aurora</t>
        </is>
      </c>
      <c r="F197" s="696" t="inlineStr">
        <is>
          <t>CO</t>
        </is>
      </c>
      <c r="G197" s="696" t="inlineStr">
        <is>
          <t>Industrial</t>
        </is>
      </c>
      <c r="H197" s="1195"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1195"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2026-07-10T12:51:29Z</dcterms:modified>
  <cp:lastModifiedBy>Armon Goldanloo</cp:lastModifiedBy>
  <cp:lastPrinted>2021-04-29T19:41:45Z</cp:lastPrinted>
</cp:coreProperties>
</file>