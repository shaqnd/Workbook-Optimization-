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 sheetId="1" state="visible" r:id="rId1"/>
    <sheet name="WO" sheetId="2" state="visible" r:id="rId2"/>
    <sheet name="BAA Market" sheetId="3" state="visible" r:id="rId3"/>
    <sheet name="BAA Rent" sheetId="4" state="visible" r:id="rId4"/>
    <sheet name="Appeal" sheetId="5" state="visible" r:id="rId5"/>
    <sheet name="BOCC" sheetId="6" state="visible" r:id="rId6"/>
    <sheet name="M&amp;S Inputs" sheetId="7" state="visible" r:id="rId7"/>
    <sheet name="Cost Approach" sheetId="8" state="visible" r:id="rId8"/>
    <sheet name="Sales" sheetId="9" state="visible" r:id="rId9"/>
    <sheet name="Income" sheetId="10" state="visible" r:id="rId10"/>
    <sheet name="Codes" sheetId="11" state="visible" r:id="rId11"/>
    <sheet name="Occ Codes" sheetId="12" state="visible" r:id="rId12"/>
  </sheets>
  <externalReferences>
    <externalReference r:id="rId13"/>
    <externalReference r:id="rId14"/>
    <externalReference r:id="rId15"/>
    <externalReference r:id="rId16"/>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_xlnm.Print_Area" localSheetId="1">'WO'!$A$2:$H$56</definedName>
    <definedName name="_Fill" localSheetId="2" hidden="1">[1]Vertical!#REF!</definedName>
    <definedName name="_Key1" localSheetId="2" hidden="1">[1]Vertical!#REF!</definedName>
    <definedName name="_Key2" localSheetId="2" hidden="1">[1]Vertical!#REF!</definedName>
    <definedName name="_Sort" localSheetId="2" hidden="1">[1]Vertical!#REF!</definedName>
    <definedName name="_Fill" localSheetId="3" hidden="1">#REF!</definedName>
    <definedName name="_Key1" localSheetId="3" hidden="1">#REF!</definedName>
    <definedName name="_Key2" localSheetId="3" hidden="1">#REF!</definedName>
    <definedName name="_Sort" localSheetId="3" hidden="1">#REF!</definedName>
    <definedName name="AdjRent1" localSheetId="3">'BAA Rent'!$G$23:$G$41</definedName>
    <definedName name="Location" localSheetId="3">[3]Codes!$G$1:$H$53</definedName>
    <definedName name="rent1" localSheetId="3">'BAA Rent'!$A$18</definedName>
    <definedName name="rent2" localSheetId="3">'BAA Rent'!$A$22</definedName>
    <definedName name="Subj" localSheetId="3">'BAA Rent'!$A$9</definedName>
    <definedName name="_Key1" localSheetId="4" hidden="1">[2]Sales!#REF!</definedName>
    <definedName name="_Key2" localSheetId="4" hidden="1">[2]Sales!#REF!</definedName>
    <definedName name="_Sort" localSheetId="4" hidden="1">[2]Sales!#REF!</definedName>
    <definedName name="Class" localSheetId="4">[2]Sales!#REF!</definedName>
    <definedName name="RENT" localSheetId="4">[2]Sales!#REF!</definedName>
    <definedName name="Rent_Title" localSheetId="4">[2]Sales!#REF!</definedName>
    <definedName name="SALES" localSheetId="4">[2]Sales!#REF!</definedName>
    <definedName name="SCH" localSheetId="4">[2]Sales!#REF!</definedName>
    <definedName name="_xlnm._FilterDatabase" localSheetId="8" hidden="1">'Sales'!$A$1:$AH$941</definedName>
    <definedName name="_xlnm.Print_Area" localSheetId="8">'Sales'!$A$1:$AC$5</definedName>
    <definedName name="_xlnm._FilterDatabase" localSheetId="9" hidden="1">'Income'!$A$1:$AK$1019</definedName>
    <definedName name="_xlnm.Print_Area" localSheetId="9">'Income'!$A$1:$AK$285</definedName>
  </definedNames>
  <calcPr calcId="191029" fullCalcOnLoad="1"/>
</workbook>
</file>

<file path=xl/styles.xml><?xml version="1.0" encoding="utf-8"?>
<styleSheet xmlns="http://schemas.openxmlformats.org/spreadsheetml/2006/main">
  <numFmts count="16">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s>
  <fonts count="91">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s>
  <fills count="1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s>
  <borders count="64">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690">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1">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externalLink" Target="/xl/externalLinks/externalLink1.xml" Id="rId13" /><Relationship Type="http://schemas.openxmlformats.org/officeDocument/2006/relationships/externalLink" Target="/xl/externalLinks/externalLink2.xml" Id="rId14" /><Relationship Type="http://schemas.openxmlformats.org/officeDocument/2006/relationships/externalLink" Target="/xl/externalLinks/externalLink3.xml" Id="rId15" /><Relationship Type="http://schemas.openxmlformats.org/officeDocument/2006/relationships/externalLink" Target="/xl/externalLinks/externalLink4.xml" Id="rId16" /><Relationship Type="http://schemas.openxmlformats.org/officeDocument/2006/relationships/styles" Target="styles.xml" Id="rId17" /><Relationship Type="http://schemas.openxmlformats.org/officeDocument/2006/relationships/theme" Target="theme/theme1.xml" Id="rId18" /><Relationship Type="http://schemas.microsoft.com/office/2006/relationships/vbaProject" Target="vbaProject.bin" Id="rId19" /></Relationships>
</file>

<file path=xl/comments/comment1.xml><?xml version="1.0" encoding="utf-8"?>
<comments xmlns="http://schemas.openxmlformats.org/spreadsheetml/2006/main">
  <authors>
    <author>Debra K. Coak</author>
  </authors>
  <commentList>
    <comment ref="B1" authorId="0" shapeId="0">
      <text>
        <t xml:space="preserve">To Save Grid
1)Click Save button
2)Click File SaveAs
    new filename
   </t>
      </text>
    </comment>
  </commentList>
</comments>
</file>

<file path=xl/comments/comment2.xml><?xml version="1.0" encoding="utf-8"?>
<comments xmlns="http://schemas.openxmlformats.org/spreadsheetml/2006/main">
  <authors>
    <author> DEBRA K COAK</author>
  </authors>
  <commentList>
    <comment ref="D23" authorId="0" shapeId="0">
      <text>
        <t xml:space="preserve"> Type adjustment here, use minus sign for deduction
</t>
      </text>
    </comment>
    <comment ref="G24" authorId="0" shapeId="0">
      <text>
        <t xml:space="preserve"> Type adjustment here, use minus sign for deduction
</t>
      </text>
    </comment>
    <comment ref="D28" authorId="0" shapeId="0">
      <text>
        <t xml:space="preserve"> Type adjustment here, use minus sign for deduction
</t>
      </text>
    </comment>
    <comment ref="G29" authorId="0" shapeId="0">
      <text>
        <t xml:space="preserve"> Type adjustment here, use minus sign for deduction
</t>
      </text>
    </comment>
    <comment ref="D33" authorId="0" shapeId="0">
      <text>
        <t xml:space="preserve"> Type adjustment here, use minus sign for deduction
</t>
      </text>
    </comment>
    <comment ref="G34" authorId="0" shapeId="0">
      <text>
        <t xml:space="preserve"> Type adjustment here, use minus sign for deduction
</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3.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4.xml><?xml version="1.0" encoding="utf-8"?>
<comments xmlns="http://schemas.openxmlformats.org/spreadsheetml/2006/main">
  <authors>
    <author> DEBRA K COAK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List>
</comments>
</file>

<file path=xl/comments/comment5.xml><?xml version="1.0" encoding="utf-8"?>
<comments xmlns="http://schemas.openxmlformats.org/spreadsheetml/2006/main">
  <authors>
    <author> DEBRA K COAK</author>
  </authors>
  <commentList>
    <comment ref="H46" authorId="0"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9.xml.rels><Relationships xmlns="http://schemas.openxmlformats.org/package/2006/relationships"><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codeName="Sheet6">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230" t="inlineStr">
        <is>
          <t>Click on the tab at the bottom to switch between worksheets</t>
        </is>
      </c>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229" t="inlineStr">
        <is>
          <t>Appeal Year</t>
        </is>
      </c>
      <c r="B8" s="237" t="n">
        <v>2021</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2.xml><?xml version="1.0" encoding="utf-8"?>
<worksheet xmlns="http://schemas.openxmlformats.org/spreadsheetml/2006/main">
  <sheetPr codeName="Sheet1" transitionEvaluation="1" transitionEntry="1">
    <outlinePr summaryBelow="1" summaryRight="1"/>
    <pageSetUpPr fitToPage="1"/>
  </sheetPr>
  <dimension ref="A1:H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s>
  <sheetData>
    <row r="1" ht="23.45" customHeight="1">
      <c r="A1" s="5" t="n"/>
      <c r="B1" t="n"/>
      <c r="E1" s="1" t="inlineStr">
        <is>
          <t>y</t>
        </is>
      </c>
    </row>
    <row r="2" ht="25.5" customHeight="1">
      <c r="A2" s="225" t="inlineStr">
        <is>
          <t>MARKET SALES &amp; RENT COMPARABLES</t>
        </is>
      </c>
      <c r="B2" s="225" t="n"/>
      <c r="C2" s="225" t="n"/>
      <c r="D2" s="225" t="n"/>
      <c r="E2" s="225" t="n"/>
      <c r="F2" s="225" t="n"/>
      <c r="G2" s="225" t="n"/>
      <c r="H2" s="22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8" t="inlineStr">
        <is>
          <t>SUBJECT  PROPERTY  INFORMATION</t>
        </is>
      </c>
      <c r="B7" s="9" t="n"/>
      <c r="C7" s="10" t="n"/>
      <c r="D7" s="10" t="n"/>
      <c r="E7" s="10" t="n"/>
      <c r="F7" s="10" t="n"/>
      <c r="G7" s="10" t="n"/>
      <c r="H7" s="11" t="n"/>
    </row>
    <row r="8" ht="12" customHeight="1">
      <c r="A8" s="12" t="n"/>
      <c r="B8" s="13" t="inlineStr">
        <is>
          <t>Account Number</t>
        </is>
      </c>
      <c r="C8" s="14" t="inlineStr">
        <is>
          <t>Ngbh</t>
        </is>
      </c>
      <c r="D8" s="14" t="inlineStr">
        <is>
          <t xml:space="preserve">Land Area </t>
        </is>
      </c>
      <c r="E8" s="15" t="inlineStr">
        <is>
          <t>Quality</t>
        </is>
      </c>
      <c r="F8" s="14" t="inlineStr">
        <is>
          <t>Rent / Sq Ft</t>
        </is>
      </c>
      <c r="G8" s="14" t="inlineStr">
        <is>
          <t>Subject Sale Information</t>
        </is>
      </c>
      <c r="H8" s="114" t="inlineStr">
        <is>
          <t>Parcel Number</t>
        </is>
      </c>
    </row>
    <row r="9" ht="12" customHeight="1">
      <c r="A9" s="12" t="n"/>
      <c r="B9" s="13" t="inlineStr">
        <is>
          <t>Property Address</t>
        </is>
      </c>
      <c r="C9" s="14" t="inlineStr">
        <is>
          <t>Zone</t>
        </is>
      </c>
      <c r="D9" s="14" t="inlineStr">
        <is>
          <t xml:space="preserve">L : B  Ratio </t>
        </is>
      </c>
      <c r="E9" s="15" t="inlineStr">
        <is>
          <t>Physical Condition</t>
        </is>
      </c>
      <c r="F9" s="14" t="inlineStr">
        <is>
          <t>Vacancy</t>
        </is>
      </c>
      <c r="G9" s="14" t="inlineStr">
        <is>
          <t>Last Sale Date</t>
        </is>
      </c>
      <c r="H9" s="16" t="inlineStr">
        <is>
          <t>Assigned Value / Sq Ft</t>
        </is>
      </c>
    </row>
    <row r="10" ht="12" customHeight="1">
      <c r="A10" s="18" t="n"/>
      <c r="B10" s="19" t="inlineStr">
        <is>
          <t>Property Type</t>
        </is>
      </c>
      <c r="C10" s="20" t="inlineStr">
        <is>
          <t>YOC</t>
        </is>
      </c>
      <c r="D10" s="20" t="inlineStr">
        <is>
          <t xml:space="preserve">Building Area </t>
        </is>
      </c>
      <c r="E10" s="21" t="inlineStr">
        <is>
          <t>Functional Utility</t>
        </is>
      </c>
      <c r="F10" s="20" t="inlineStr">
        <is>
          <t>Expense Ratio</t>
        </is>
      </c>
      <c r="G10" s="20" t="inlineStr">
        <is>
          <t>Last Sale Price</t>
        </is>
      </c>
      <c r="H10" s="22" t="inlineStr">
        <is>
          <t>Assigned Value</t>
        </is>
      </c>
    </row>
    <row r="11" ht="12" customHeight="1">
      <c r="A11" s="12" t="n"/>
      <c r="B11" s="91" t="n"/>
      <c r="C11" s="92" t="n"/>
      <c r="D11" s="93" t="inlineStr">
        <is>
          <t> </t>
        </is>
      </c>
      <c r="E11" s="94" t="n"/>
      <c r="F11" s="516" t="n"/>
      <c r="G11" s="62" t="n"/>
      <c r="H11" s="517" t="n"/>
    </row>
    <row r="12" ht="12" customHeight="1">
      <c r="A12" s="12" t="n"/>
      <c r="B12" s="91" t="n"/>
      <c r="C12" s="92" t="n"/>
      <c r="D12" s="65" t="inlineStr">
        <is>
          <t> </t>
        </is>
      </c>
      <c r="E12" s="94" t="n"/>
      <c r="F12" s="97" t="n"/>
      <c r="G12" s="105" t="n"/>
      <c r="H12" s="518">
        <f>IF(D13=0,0,ROUND(H13/D13,2))</f>
        <v/>
      </c>
    </row>
    <row r="13" ht="12" customHeight="1" thickBot="1">
      <c r="A13" s="23" t="n"/>
      <c r="B13" s="98" t="n"/>
      <c r="C13" s="99" t="n"/>
      <c r="D13" s="100" t="n"/>
      <c r="E13" s="101" t="n"/>
      <c r="F13" s="102" t="n"/>
      <c r="G13" s="519" t="n"/>
      <c r="H13" s="520"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8" t="inlineStr">
        <is>
          <t>MARKET  SALE  COMPARABLES</t>
        </is>
      </c>
      <c r="B16" s="9" t="n"/>
      <c r="C16" s="61" t="n"/>
      <c r="D16" s="61" t="n"/>
      <c r="E16" s="10" t="n"/>
      <c r="F16" s="61" t="n"/>
      <c r="G16" s="61" t="n"/>
      <c r="H16" s="78" t="n"/>
    </row>
    <row r="17" ht="12" customHeight="1">
      <c r="A17" s="24" t="n"/>
      <c r="B17" s="25" t="inlineStr">
        <is>
          <t>Account Number</t>
        </is>
      </c>
      <c r="C17" s="26" t="inlineStr">
        <is>
          <t>Ngbh</t>
        </is>
      </c>
      <c r="D17" s="27" t="inlineStr">
        <is>
          <t xml:space="preserve">Land Area </t>
        </is>
      </c>
      <c r="E17" s="28" t="inlineStr">
        <is>
          <t>Quality</t>
        </is>
      </c>
      <c r="F17" s="27" t="inlineStr">
        <is>
          <t xml:space="preserve">Sale Date </t>
        </is>
      </c>
      <c r="G17" s="29" t="inlineStr">
        <is>
          <t>Adj Sale Price / Sq Ft</t>
        </is>
      </c>
      <c r="H17" s="114" t="inlineStr">
        <is>
          <t>Parcel Number</t>
        </is>
      </c>
    </row>
    <row r="18" ht="12" customHeight="1">
      <c r="A18" s="12" t="n"/>
      <c r="B18" s="30" t="inlineStr">
        <is>
          <t>Property Address</t>
        </is>
      </c>
      <c r="C18" s="31" t="inlineStr">
        <is>
          <t>Zone</t>
        </is>
      </c>
      <c r="D18" s="32" t="inlineStr">
        <is>
          <t xml:space="preserve">L : B  Ratio </t>
        </is>
      </c>
      <c r="E18" s="33" t="inlineStr">
        <is>
          <t>Physical Condition</t>
        </is>
      </c>
      <c r="F18" s="32" t="inlineStr">
        <is>
          <t xml:space="preserve">Sale Price </t>
        </is>
      </c>
      <c r="G18" s="14" t="inlineStr">
        <is>
          <t>Net Adjustments</t>
        </is>
      </c>
      <c r="H18" s="16" t="inlineStr">
        <is>
          <t>Sale Remarks</t>
        </is>
      </c>
    </row>
    <row r="19" ht="12" customHeight="1">
      <c r="A19" s="34" t="inlineStr">
        <is>
          <t>#</t>
        </is>
      </c>
      <c r="B19" s="35" t="inlineStr">
        <is>
          <t>Property Type</t>
        </is>
      </c>
      <c r="C19" s="36" t="inlineStr">
        <is>
          <t>YOC</t>
        </is>
      </c>
      <c r="D19" s="37" t="inlineStr">
        <is>
          <t xml:space="preserve">Building Area </t>
        </is>
      </c>
      <c r="E19" s="38" t="inlineStr">
        <is>
          <t>Functional Utility</t>
        </is>
      </c>
      <c r="F19" s="37" t="inlineStr">
        <is>
          <t xml:space="preserve">Adjusted Sale Price </t>
        </is>
      </c>
      <c r="G19" s="20" t="inlineStr">
        <is>
          <t>Adj Value of Comp / Sq Ft</t>
        </is>
      </c>
      <c r="H19" s="22" t="inlineStr">
        <is>
          <t>Indicated Value of Subject</t>
        </is>
      </c>
    </row>
    <row r="20" ht="12" customHeight="1">
      <c r="A20" s="40" t="n"/>
      <c r="B20" s="41">
        <f>IF(Sales!C2="","",+" "&amp;Sales!C2)</f>
        <v/>
      </c>
      <c r="C20" s="62">
        <f>IF(Sales!F2="","",Sales!F2)</f>
        <v/>
      </c>
      <c r="D20" s="65">
        <f>IF(Sales!S2="","",Sales!S2)</f>
        <v/>
      </c>
      <c r="E20" s="68">
        <f>IF(Sales!R2="","",VLOOKUP(Sales!R2,[0]!GRADE,2))</f>
        <v/>
      </c>
      <c r="F20" s="521">
        <f>IF(Sales!I2="","",Sales!I2)</f>
        <v/>
      </c>
      <c r="G20" s="522">
        <f>IF(Sales!H2="","",Sales!H2)</f>
        <v/>
      </c>
      <c r="H20" s="518">
        <f>IF(Sales!AC2="","",+Sales!AC2)</f>
        <v/>
      </c>
    </row>
    <row r="21" ht="12" customHeight="1">
      <c r="A21" s="42" t="inlineStr">
        <is>
          <t>1</t>
        </is>
      </c>
      <c r="B21" s="41">
        <f>IF(Sales!D2="","",+" "&amp;Sales!D2)</f>
        <v/>
      </c>
      <c r="C21" s="62">
        <f>IF(Sales!P2="","",Sales!P2)</f>
        <v/>
      </c>
      <c r="D21" s="65">
        <f>IF(Sales!T2="","",Sales!T2)</f>
        <v/>
      </c>
      <c r="E21" s="68">
        <f>IF(Sales!U2="","",VLOOKUP(Sales!U2,Codes!$A$12:$B$16,2))</f>
        <v/>
      </c>
      <c r="F21" s="523">
        <f>IF(Sales!Y2="","",Sales!Y2)</f>
        <v/>
      </c>
      <c r="G21" s="75" t="n"/>
      <c r="H21" s="518">
        <f>IF(Sales!AB2="","",Sales!AB2)</f>
        <v/>
      </c>
    </row>
    <row r="22" ht="12" customHeight="1">
      <c r="A22" s="43" t="n"/>
      <c r="B22" s="44">
        <f>IF(Sales!E2="","",+" "&amp;VLOOKUP(Sales!E2,[0]!Class,2))</f>
        <v/>
      </c>
      <c r="C22" s="63">
        <f>IF(Sales!M2="","",Sales!M2)</f>
        <v/>
      </c>
      <c r="D22" s="66">
        <f>IF(Sales!L2="","",Sales!L2)</f>
        <v/>
      </c>
      <c r="E22" s="69">
        <f>IF(Sales!V2="","",VLOOKUP(Sales!V2,Codes!$A$1:$B$5,2))</f>
        <v/>
      </c>
      <c r="F22" s="524">
        <f>IF(Sales!AA2="","",Sales!AA2)</f>
        <v/>
      </c>
      <c r="G22" s="525">
        <f>IF(G20="","",ROUND(G20*(1+G21),2))</f>
        <v/>
      </c>
      <c r="H22" s="526">
        <f>IF(G22="","",ROUND(G22*$D$13,-2))</f>
        <v/>
      </c>
    </row>
    <row r="23" ht="12" customHeight="1">
      <c r="A23" s="40" t="n"/>
      <c r="B23" s="41">
        <f>IF(Sales!C3="","",+" "&amp;Sales!C3)</f>
        <v/>
      </c>
      <c r="C23" s="62">
        <f>IF(Sales!F3="","",Sales!F3)</f>
        <v/>
      </c>
      <c r="D23" s="65">
        <f>IF(Sales!S3="","",Sales!S3)</f>
        <v/>
      </c>
      <c r="E23" s="68">
        <f>IF(Sales!R3="","",VLOOKUP(Sales!R3,[0]!GRADE,2))</f>
        <v/>
      </c>
      <c r="F23" s="521">
        <f>IF(Sales!I3="","",Sales!I3)</f>
        <v/>
      </c>
      <c r="G23" s="522">
        <f>IF(Sales!H3="","",Sales!H3)</f>
        <v/>
      </c>
      <c r="H23" s="518">
        <f>IF(Sales!AC3="","",+Sales!AC3)</f>
        <v/>
      </c>
    </row>
    <row r="24" ht="12" customHeight="1">
      <c r="A24" s="42" t="inlineStr">
        <is>
          <t>2</t>
        </is>
      </c>
      <c r="B24" s="41">
        <f>IF(Sales!D3="","",+" "&amp;Sales!D3)</f>
        <v/>
      </c>
      <c r="C24" s="62">
        <f>IF(Sales!P3="","",Sales!P3)</f>
        <v/>
      </c>
      <c r="D24" s="65">
        <f>IF(Sales!T3="","",Sales!T3)</f>
        <v/>
      </c>
      <c r="E24" s="68">
        <f>IF(Sales!U3="","",VLOOKUP(Sales!U3,Codes!$A$12:$B$16,2))</f>
        <v/>
      </c>
      <c r="F24" s="523">
        <f>IF(Sales!Y3="","",Sales!Y3)</f>
        <v/>
      </c>
      <c r="G24" s="75" t="n"/>
      <c r="H24" s="518">
        <f>IF(Sales!AB3="","",Sales!AB3)</f>
        <v/>
      </c>
    </row>
    <row r="25" ht="12" customHeight="1">
      <c r="A25" s="43" t="n"/>
      <c r="B25" s="44">
        <f>IF(Sales!E3="","",+" "&amp;VLOOKUP(Sales!E3,[0]!Class,2))</f>
        <v/>
      </c>
      <c r="C25" s="63">
        <f>IF(Sales!M3="","",Sales!M3)</f>
        <v/>
      </c>
      <c r="D25" s="66">
        <f>IF(Sales!L3="","",Sales!L3)</f>
        <v/>
      </c>
      <c r="E25" s="69">
        <f>IF(Sales!V3="","",VLOOKUP(Sales!V3,Codes!$A$1:$B$5,2))</f>
        <v/>
      </c>
      <c r="F25" s="524">
        <f>IF(Sales!AA3="","",Sales!AA3)</f>
        <v/>
      </c>
      <c r="G25" s="525">
        <f>IF(G23="","",ROUND(G23*(1+G24),2))</f>
        <v/>
      </c>
      <c r="H25" s="526">
        <f>IF(G25="","",ROUND(G25*$D$13,-2))</f>
        <v/>
      </c>
    </row>
    <row r="26" ht="12" customHeight="1">
      <c r="A26" s="40" t="n"/>
      <c r="B26" s="41">
        <f>IF(Sales!C4="","",+" "&amp;Sales!C4)</f>
        <v/>
      </c>
      <c r="C26" s="62">
        <f>IF(Sales!F4="","",Sales!F4)</f>
        <v/>
      </c>
      <c r="D26" s="65">
        <f>IF(Sales!S4="","",Sales!S4)</f>
        <v/>
      </c>
      <c r="E26" s="68">
        <f>IF(Sales!R4="","",VLOOKUP(Sales!R4,[0]!GRADE,2))</f>
        <v/>
      </c>
      <c r="F26" s="521">
        <f>IF(Sales!I4="","",Sales!I4)</f>
        <v/>
      </c>
      <c r="G26" s="522">
        <f>IF(Sales!H4="","",Sales!H4)</f>
        <v/>
      </c>
      <c r="H26" s="518">
        <f>IF(Sales!AC4="","",+Sales!AC4)</f>
        <v/>
      </c>
    </row>
    <row r="27" ht="12" customHeight="1">
      <c r="A27" s="42" t="inlineStr">
        <is>
          <t>3</t>
        </is>
      </c>
      <c r="B27" s="41">
        <f>IF(Sales!D4="","",+" "&amp;Sales!D4)</f>
        <v/>
      </c>
      <c r="C27" s="62">
        <f>IF(Sales!P4="","",Sales!P4)</f>
        <v/>
      </c>
      <c r="D27" s="65">
        <f>IF(Sales!T4="","",Sales!T4)</f>
        <v/>
      </c>
      <c r="E27" s="68">
        <f>IF(Sales!U4="","",VLOOKUP(Sales!U4,Codes!$A$12:$B$16,2))</f>
        <v/>
      </c>
      <c r="F27" s="523">
        <f>IF(Sales!Y4="","",Sales!Y4)</f>
        <v/>
      </c>
      <c r="G27" s="115" t="n"/>
      <c r="H27" s="518">
        <f>IF(Sales!AB4="","",Sales!AB4)</f>
        <v/>
      </c>
    </row>
    <row r="28" ht="12" customHeight="1" thickBot="1">
      <c r="A28" s="45" t="n"/>
      <c r="B28" s="46">
        <f>IF(Sales!E4="","",+" "&amp;VLOOKUP(Sales!E4,[0]!Class,2))</f>
        <v/>
      </c>
      <c r="C28" s="110">
        <f>IF(Sales!M4="","",Sales!M4)</f>
        <v/>
      </c>
      <c r="D28" s="67">
        <f>IF(Sales!L4="","",Sales!L4)</f>
        <v/>
      </c>
      <c r="E28" s="70">
        <f>IF(Sales!V4="","",VLOOKUP(Sales!V4,Codes!$A$1:$B$5,2))</f>
        <v/>
      </c>
      <c r="F28" s="527">
        <f>IF(Sales!AA4="","",Sales!AA4)</f>
        <v/>
      </c>
      <c r="G28" s="528">
        <f>IF(G26="","",ROUND(G26*(1+G27),2))</f>
        <v/>
      </c>
      <c r="H28" s="529">
        <f>IF(G28="","",ROUND(G28*$D$13,-2))</f>
        <v/>
      </c>
    </row>
    <row r="29" ht="10.15" customHeight="1" thickBot="1" thickTop="1"/>
    <row r="30" ht="15" customHeight="1" thickTop="1">
      <c r="A30" s="58"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8" t="inlineStr">
        <is>
          <t>RENT  COMPARABLE  INFORMATION</t>
        </is>
      </c>
      <c r="B36" s="9" t="n"/>
      <c r="C36" s="10" t="n"/>
      <c r="D36" s="10" t="n"/>
      <c r="E36" s="10" t="n"/>
      <c r="F36" s="10" t="n"/>
      <c r="G36" s="50" t="n"/>
    </row>
    <row r="37" ht="12" customHeight="1">
      <c r="A37" s="51" t="n"/>
      <c r="B37" s="52" t="inlineStr">
        <is>
          <t xml:space="preserve"> Source of Information</t>
        </is>
      </c>
      <c r="C37" s="29" t="inlineStr">
        <is>
          <t>Ngbh</t>
        </is>
      </c>
      <c r="D37" s="29" t="inlineStr">
        <is>
          <t xml:space="preserve">Land Area </t>
        </is>
      </c>
      <c r="E37" s="53" t="inlineStr">
        <is>
          <t>Quality</t>
        </is>
      </c>
      <c r="F37" s="29" t="inlineStr">
        <is>
          <t>Rent / Sq Ft</t>
        </is>
      </c>
      <c r="G37" s="54" t="n"/>
    </row>
    <row r="38" ht="12" customHeight="1">
      <c r="A38" s="40" t="n"/>
      <c r="B38" s="13" t="inlineStr">
        <is>
          <t xml:space="preserve">  Location</t>
        </is>
      </c>
      <c r="C38" s="14" t="inlineStr">
        <is>
          <t>Zone</t>
        </is>
      </c>
      <c r="D38" s="14" t="inlineStr">
        <is>
          <t xml:space="preserve">L : B  Ratio </t>
        </is>
      </c>
      <c r="E38" s="15" t="n"/>
      <c r="F38" s="14" t="inlineStr">
        <is>
          <t>Vacancy</t>
        </is>
      </c>
      <c r="G38" s="55" t="inlineStr">
        <is>
          <t xml:space="preserve">Net Adjustments </t>
        </is>
      </c>
    </row>
    <row r="39" ht="12" customHeight="1">
      <c r="A39" s="56" t="inlineStr">
        <is>
          <t>#</t>
        </is>
      </c>
      <c r="B39" s="19" t="inlineStr">
        <is>
          <t xml:space="preserve"> Property Type</t>
        </is>
      </c>
      <c r="C39" s="20" t="inlineStr">
        <is>
          <t>YOC</t>
        </is>
      </c>
      <c r="D39" s="20" t="inlineStr">
        <is>
          <t xml:space="preserve">Building Area </t>
        </is>
      </c>
      <c r="E39" s="21" t="n"/>
      <c r="F39" s="20" t="inlineStr">
        <is>
          <t>Expense Ratio</t>
        </is>
      </c>
      <c r="G39" s="57" t="inlineStr">
        <is>
          <t xml:space="preserve">Adjusted Rent </t>
        </is>
      </c>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58"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3.xml><?xml version="1.0" encoding="utf-8"?>
<worksheet xmlns="http://schemas.openxmlformats.org/spreadsheetml/2006/main">
  <sheetPr codeName="Sheet5">
    <outlinePr summaryBelow="1" summaryRight="1"/>
    <pageSetUpPr fitToPage="1"/>
  </sheetPr>
  <dimension ref="A1:K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s>
  <sheetData>
    <row r="1" ht="26.25" customHeight="1">
      <c r="A1" s="130" t="inlineStr">
        <is>
          <t>IMPROVED MARKET APPROACH</t>
        </is>
      </c>
      <c r="B1" s="412" t="n"/>
      <c r="C1" s="412" t="n"/>
      <c r="D1" s="412" t="n"/>
      <c r="E1" s="412" t="n"/>
      <c r="F1" s="412" t="n"/>
      <c r="G1" s="412" t="n"/>
      <c r="H1" s="412" t="n"/>
      <c r="I1" s="412" t="n"/>
    </row>
    <row r="3" ht="21" customHeight="1" thickBot="1">
      <c r="A3" s="131" t="inlineStr">
        <is>
          <t>SUBJECT</t>
        </is>
      </c>
      <c r="B3" s="131" t="n"/>
      <c r="C3" s="131" t="n"/>
      <c r="D3" s="131" t="n"/>
      <c r="E3" s="131" t="n"/>
      <c r="F3" s="131" t="n"/>
      <c r="G3" s="131" t="n"/>
      <c r="H3" s="131" t="n"/>
      <c r="I3" s="131" t="n"/>
    </row>
    <row r="4" ht="13.5" customHeight="1" thickTop="1">
      <c r="B4" s="414" t="inlineStr">
        <is>
          <t>Account Number</t>
        </is>
      </c>
      <c r="C4" s="414" t="inlineStr">
        <is>
          <t>Grantor</t>
        </is>
      </c>
      <c r="D4" s="415" t="inlineStr">
        <is>
          <t xml:space="preserve">Sale Price </t>
        </is>
      </c>
      <c r="E4" s="415" t="inlineStr">
        <is>
          <t>Location</t>
        </is>
      </c>
      <c r="F4" s="415" t="inlineStr">
        <is>
          <t>Age</t>
        </is>
      </c>
      <c r="G4" s="416" t="n"/>
      <c r="H4" s="417" t="n"/>
      <c r="I4" s="418" t="inlineStr">
        <is>
          <t>Value of the</t>
        </is>
      </c>
    </row>
    <row r="5">
      <c r="B5" s="419" t="inlineStr">
        <is>
          <t>Property Address</t>
        </is>
      </c>
      <c r="C5" s="419" t="inlineStr">
        <is>
          <t>Grantee</t>
        </is>
      </c>
      <c r="D5" s="420" t="inlineStr">
        <is>
          <t>Sale Price  / SF</t>
        </is>
      </c>
      <c r="E5" s="420" t="inlineStr">
        <is>
          <t>Land Size</t>
        </is>
      </c>
      <c r="F5" s="420" t="inlineStr">
        <is>
          <t>Quality</t>
        </is>
      </c>
      <c r="G5" s="421" t="n"/>
      <c r="H5" s="422" t="n"/>
      <c r="I5" s="423" t="inlineStr">
        <is>
          <t xml:space="preserve"> Subject/SF</t>
        </is>
      </c>
    </row>
    <row r="6">
      <c r="B6" s="419" t="inlineStr">
        <is>
          <t>Parcel Number</t>
        </is>
      </c>
      <c r="C6" s="419" t="inlineStr">
        <is>
          <t>Reception Number</t>
        </is>
      </c>
      <c r="D6" s="424" t="inlineStr">
        <is>
          <t>PP/Time/Mkt Cond</t>
        </is>
      </c>
      <c r="E6" s="420" t="inlineStr">
        <is>
          <t>L : B  Ratio</t>
        </is>
      </c>
      <c r="F6" s="424" t="inlineStr">
        <is>
          <t>Phy./Funct Rating</t>
        </is>
      </c>
      <c r="G6" s="425" t="n"/>
      <c r="H6" s="422" t="n"/>
      <c r="I6" s="424" t="inlineStr">
        <is>
          <t>Value</t>
        </is>
      </c>
    </row>
    <row r="7" ht="13.5" customHeight="1" thickBot="1">
      <c r="B7" s="426" t="inlineStr">
        <is>
          <t>Property Type</t>
        </is>
      </c>
      <c r="C7" s="427" t="inlineStr">
        <is>
          <t>Sale Date</t>
        </is>
      </c>
      <c r="D7" s="428" t="inlineStr">
        <is>
          <t>Adj S P  / SF</t>
        </is>
      </c>
      <c r="E7" s="429" t="inlineStr">
        <is>
          <t>Building Size</t>
        </is>
      </c>
      <c r="F7" s="429" t="inlineStr">
        <is>
          <t>Zoning</t>
        </is>
      </c>
      <c r="G7" s="430" t="inlineStr">
        <is>
          <t>Comments</t>
        </is>
      </c>
      <c r="H7" s="431" t="n"/>
      <c r="I7" s="428"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131" t="inlineStr">
        <is>
          <t>COMPARABLE SALE PROPERTIES</t>
        </is>
      </c>
      <c r="B15" s="412" t="n"/>
      <c r="C15" s="412" t="n"/>
      <c r="D15" s="412" t="n"/>
      <c r="E15" s="412" t="n"/>
      <c r="F15" s="412" t="n"/>
      <c r="G15" s="412" t="n"/>
      <c r="H15" s="412" t="n"/>
      <c r="I15" s="412" t="n"/>
    </row>
    <row r="16" ht="13.5" customHeight="1" thickTop="1">
      <c r="B16" s="414" t="inlineStr">
        <is>
          <t>Account Number</t>
        </is>
      </c>
      <c r="C16" s="414" t="inlineStr">
        <is>
          <t>Grantor</t>
        </is>
      </c>
      <c r="D16" s="415" t="inlineStr">
        <is>
          <t xml:space="preserve">Sale Price </t>
        </is>
      </c>
      <c r="E16" s="415" t="inlineStr">
        <is>
          <t>Location</t>
        </is>
      </c>
      <c r="F16" s="415" t="inlineStr">
        <is>
          <t>Age</t>
        </is>
      </c>
      <c r="G16" s="415" t="n"/>
      <c r="H16" s="415" t="n"/>
      <c r="I16" s="415" t="inlineStr">
        <is>
          <t>Indicated Value</t>
        </is>
      </c>
    </row>
    <row r="17">
      <c r="B17" s="419" t="inlineStr">
        <is>
          <t>Property Address</t>
        </is>
      </c>
      <c r="C17" s="419" t="inlineStr">
        <is>
          <t>Grantee</t>
        </is>
      </c>
      <c r="D17" s="420" t="inlineStr">
        <is>
          <t>Sale Price  / SF</t>
        </is>
      </c>
      <c r="E17" s="420" t="inlineStr">
        <is>
          <t>Land Size</t>
        </is>
      </c>
      <c r="F17" s="420" t="inlineStr">
        <is>
          <t>Quality</t>
        </is>
      </c>
      <c r="G17" s="420" t="n"/>
      <c r="H17" s="420" t="inlineStr">
        <is>
          <t>Adjusted</t>
        </is>
      </c>
      <c r="I17" s="423" t="inlineStr">
        <is>
          <t>of the Subject/SF</t>
        </is>
      </c>
    </row>
    <row r="18">
      <c r="B18" s="419" t="inlineStr">
        <is>
          <t>Parcel Number</t>
        </is>
      </c>
      <c r="C18" s="419" t="inlineStr">
        <is>
          <t>Reception Number</t>
        </is>
      </c>
      <c r="D18" s="424" t="inlineStr">
        <is>
          <t>PP/Time/Mkt Cond Adj</t>
        </is>
      </c>
      <c r="E18" s="420" t="inlineStr">
        <is>
          <t>L : B  Ratio</t>
        </is>
      </c>
      <c r="F18" s="424" t="inlineStr">
        <is>
          <t>Phy/Funct Rating</t>
        </is>
      </c>
      <c r="G18" s="424" t="inlineStr">
        <is>
          <t>Net</t>
        </is>
      </c>
      <c r="H18" s="420" t="inlineStr">
        <is>
          <t>Sale</t>
        </is>
      </c>
      <c r="I18" s="424" t="inlineStr">
        <is>
          <t>Indicated Value</t>
        </is>
      </c>
    </row>
    <row r="19" ht="13.5" customHeight="1" thickBot="1">
      <c r="B19" s="426" t="inlineStr">
        <is>
          <t>Property Type</t>
        </is>
      </c>
      <c r="C19" s="427" t="inlineStr">
        <is>
          <t>Sale Date</t>
        </is>
      </c>
      <c r="D19" s="428" t="inlineStr">
        <is>
          <t>Adj S P  / SF</t>
        </is>
      </c>
      <c r="E19" s="429" t="inlineStr">
        <is>
          <t>Building Size/Keys</t>
        </is>
      </c>
      <c r="F19" s="429" t="inlineStr">
        <is>
          <t>Zoning</t>
        </is>
      </c>
      <c r="G19" s="428" t="inlineStr">
        <is>
          <t>Adj.</t>
        </is>
      </c>
      <c r="H19" s="429" t="inlineStr">
        <is>
          <t>Price/SF</t>
        </is>
      </c>
      <c r="I19" s="428" t="inlineStr">
        <is>
          <t>of the Subject</t>
        </is>
      </c>
    </row>
    <row r="20" ht="14.25" customHeight="1" thickBot="1" thickTop="1"/>
    <row r="21" ht="13.5" customHeight="1" thickTop="1">
      <c r="A21" s="482" t="inlineStr">
        <is>
          <t>#1</t>
        </is>
      </c>
      <c r="B21" s="394">
        <f>IF(Sales!C2="","",+" "&amp;Sales!C2)</f>
        <v/>
      </c>
      <c r="C21" s="394">
        <f>IF(Sales!AE$2="","",Sales!AE$2)</f>
        <v/>
      </c>
      <c r="D21" s="547">
        <f>IF(Sales!AA$2="","",Sales!AA$2)</f>
        <v/>
      </c>
      <c r="E21" s="547">
        <f>IF(Sales!F$2="","",Sales!F$2)</f>
        <v/>
      </c>
      <c r="F21" s="396">
        <f>IF(Sales!M$2="","",Sales!M$2)</f>
        <v/>
      </c>
      <c r="G21" s="462" t="n"/>
      <c r="H21" s="396" t="n"/>
      <c r="I21" s="396" t="n"/>
    </row>
    <row r="22">
      <c r="B22" s="397">
        <f>IF(Sales!D$2="","",Sales!D$2)</f>
        <v/>
      </c>
      <c r="C22" s="397">
        <f>IF(Sales!AF$2="","",Sales!AF$2)</f>
        <v/>
      </c>
      <c r="D22" s="548">
        <f>IF(Sales!H$2="","",Sales!H$2)</f>
        <v/>
      </c>
      <c r="E22" s="399">
        <f>IF(Sales!S$2="","",Sales!S$2)</f>
        <v/>
      </c>
      <c r="F22" s="456">
        <f>IF(Sales!R2="","",VLOOKUP(Sales!R2,[0]!GRADE,2))</f>
        <v/>
      </c>
      <c r="G22" s="400" t="n"/>
      <c r="H22" s="400" t="n"/>
      <c r="I22" s="549">
        <f>IF(H24="","",H24)</f>
        <v/>
      </c>
    </row>
    <row r="23">
      <c r="B23" s="397">
        <f>IF(Sales!AC2="","",+Sales!AC2)</f>
        <v/>
      </c>
      <c r="C23" s="402">
        <f>IF(Sales!AD$2="","",Sales!AD$2)</f>
        <v/>
      </c>
      <c r="D23" s="550" t="n"/>
      <c r="E23" s="400">
        <f>IF(Sales!T$2="","",Sales!T$2)</f>
        <v/>
      </c>
      <c r="F23" s="457">
        <f>IF(Sales!V2="","",VLOOKUP(Sales!V2,Codes!$A$12:$B$16,2))</f>
        <v/>
      </c>
      <c r="G23" s="400" t="n"/>
      <c r="H23" s="400" t="n"/>
      <c r="I23" s="400" t="n"/>
    </row>
    <row r="24" ht="13.5" customHeight="1" thickBot="1">
      <c r="B24" s="404">
        <f>IF(Sales!E2="","",+" "&amp;VLOOKUP(Sales!E2,[0]!Class,2))</f>
        <v/>
      </c>
      <c r="C24" s="551">
        <f>IF(Sales!I$2="","",Sales!I$2)</f>
        <v/>
      </c>
      <c r="D24" s="552">
        <f>IF(D21="","",ROUND((D21+D23)/E24,2))</f>
        <v/>
      </c>
      <c r="E24" s="407">
        <f>IF(Sales!L$2="","",Sales!L$2)</f>
        <v/>
      </c>
      <c r="F24" s="408">
        <f>IF(Sales!P$2="","",Sales!P$2)</f>
        <v/>
      </c>
      <c r="G24" s="409" t="n"/>
      <c r="H24" s="553">
        <f>IF(D24="","",ROUND(D24*(1+G24),2))</f>
        <v/>
      </c>
      <c r="I24" s="554">
        <f>IF(E12="","",ROUND(E12*H24,-2))</f>
        <v/>
      </c>
    </row>
    <row r="25" ht="14.25" customHeight="1" thickBot="1" thickTop="1">
      <c r="A25" s="453" t="n"/>
      <c r="G25" s="454" t="n"/>
      <c r="I25" s="555" t="n"/>
    </row>
    <row r="26" ht="13.5" customHeight="1" thickTop="1">
      <c r="A26" s="482" t="inlineStr">
        <is>
          <t>#2</t>
        </is>
      </c>
      <c r="B26" s="394">
        <f>IF(Sales!C3="","",+" "&amp;Sales!C3)</f>
        <v/>
      </c>
      <c r="C26" s="394">
        <f>IF(Sales!AE$3="","",Sales!AE$3)</f>
        <v/>
      </c>
      <c r="D26" s="547">
        <f>IF(Sales!AA$3="","",Sales!AA$3)</f>
        <v/>
      </c>
      <c r="E26" s="547">
        <f>IF(Sales!F$3="","",Sales!F$3)</f>
        <v/>
      </c>
      <c r="F26" s="396">
        <f>IF(Sales!M$3="","",Sales!M$3)</f>
        <v/>
      </c>
      <c r="G26" s="463" t="n"/>
      <c r="H26" s="396" t="n"/>
      <c r="I26" s="396" t="n"/>
    </row>
    <row r="27">
      <c r="B27" s="397">
        <f>IF(Sales!D$3="","",Sales!D$3)</f>
        <v/>
      </c>
      <c r="C27" s="397">
        <f>IF(Sales!AF$3="","",Sales!AF$3)</f>
        <v/>
      </c>
      <c r="D27" s="548">
        <f>IF(Sales!H$3="","",Sales!H$3)</f>
        <v/>
      </c>
      <c r="E27" s="399">
        <f>IF(Sales!S$3="","",Sales!S$3)</f>
        <v/>
      </c>
      <c r="F27" s="400">
        <f>IF(Sales!R3="","",VLOOKUP(Sales!R3,[0]!GRADE,2))</f>
        <v/>
      </c>
      <c r="G27" s="400" t="n"/>
      <c r="H27" s="400" t="n"/>
      <c r="I27" s="549">
        <f>IF(H29="","",H29)</f>
        <v/>
      </c>
    </row>
    <row r="28">
      <c r="B28" s="397">
        <f>IF(Sales!AC3="","",+Sales!AC3)</f>
        <v/>
      </c>
      <c r="C28" s="402">
        <f>IF(Sales!AD$3="","",Sales!AD$3)</f>
        <v/>
      </c>
      <c r="D28" s="550" t="n"/>
      <c r="E28" s="400">
        <f>IF(Sales!T$3="","",Sales!T$3)</f>
        <v/>
      </c>
      <c r="F28" s="400">
        <f>IF(Sales!V3="","",VLOOKUP(Sales!V3,Codes!$A$12:$B$16,2))</f>
        <v/>
      </c>
      <c r="G28" s="400" t="n"/>
      <c r="H28" s="400" t="n"/>
      <c r="I28" s="400" t="n"/>
    </row>
    <row r="29" ht="13.5" customHeight="1" thickBot="1">
      <c r="B29" s="404">
        <f>IF(Sales!E3="","",+" "&amp;VLOOKUP(Sales!E3,[0]!Class,2))</f>
        <v/>
      </c>
      <c r="C29" s="551">
        <f>IF(Sales!I$3="","",Sales!I$3)</f>
        <v/>
      </c>
      <c r="D29" s="552">
        <f>IF(D26="","",ROUND((D26+D28)/E29,2))</f>
        <v/>
      </c>
      <c r="E29" s="407">
        <f>IF(Sales!L$3="","",Sales!L$3)</f>
        <v/>
      </c>
      <c r="F29" s="408">
        <f>IF(Sales!P$3="","",Sales!P$3)</f>
        <v/>
      </c>
      <c r="G29" s="409" t="n"/>
      <c r="H29" s="553">
        <f>IF(D29="","",ROUND(D29*(1+G29),2))</f>
        <v/>
      </c>
      <c r="I29" s="554">
        <f>IF(E12="","",ROUND(E12*H29,-2))</f>
        <v/>
      </c>
    </row>
    <row r="30" ht="14.25" customHeight="1" thickBot="1" thickTop="1">
      <c r="A30" s="453" t="n"/>
      <c r="G30" s="454" t="n"/>
      <c r="I30" s="555" t="n"/>
    </row>
    <row r="31" ht="13.5" customHeight="1" thickTop="1">
      <c r="A31" s="482" t="inlineStr">
        <is>
          <t>#3</t>
        </is>
      </c>
      <c r="B31" s="394">
        <f>IF(Sales!C4="","",+" "&amp;Sales!C4)</f>
        <v/>
      </c>
      <c r="C31" s="394">
        <f>IF(Sales!AE$4="","",Sales!AE$4)</f>
        <v/>
      </c>
      <c r="D31" s="547">
        <f>IF(Sales!AA$4="","",Sales!AA$4)</f>
        <v/>
      </c>
      <c r="E31" s="547">
        <f>IF(Sales!F$4="","",Sales!F$4)</f>
        <v/>
      </c>
      <c r="F31" s="396">
        <f>IF(Sales!M$4="","",Sales!M$4)</f>
        <v/>
      </c>
      <c r="G31" s="462" t="n"/>
      <c r="H31" s="396" t="n"/>
      <c r="I31" s="396" t="n"/>
    </row>
    <row r="32">
      <c r="B32" s="397">
        <f>IF(Sales!D$4="","",Sales!D$4)</f>
        <v/>
      </c>
      <c r="C32" s="397">
        <f>IF(Sales!AF$4="","",Sales!AF$4)</f>
        <v/>
      </c>
      <c r="D32" s="548">
        <f>IF(Sales!H$4="","",Sales!H$4)</f>
        <v/>
      </c>
      <c r="E32" s="399">
        <f>IF(Sales!S$4="","",Sales!S$4)</f>
        <v/>
      </c>
      <c r="F32" s="400">
        <f>IF(Sales!R4="","",VLOOKUP(Sales!R4,[0]!GRADE,2))</f>
        <v/>
      </c>
      <c r="G32" s="400" t="n"/>
      <c r="H32" s="400" t="n"/>
      <c r="I32" s="549">
        <f>IF(H34="","",H34)</f>
        <v/>
      </c>
    </row>
    <row r="33">
      <c r="B33" s="397">
        <f>IF(Sales!AC4="","",+Sales!AC4)</f>
        <v/>
      </c>
      <c r="C33" s="402">
        <f>IF(Sales!AD$4="","",Sales!AD$4)</f>
        <v/>
      </c>
      <c r="D33" s="550" t="n"/>
      <c r="E33" s="400">
        <f>IF(Sales!T$4="","",Sales!T$4)</f>
        <v/>
      </c>
      <c r="F33" s="400">
        <f>IF(Sales!V4="","",VLOOKUP(Sales!V4,Codes!$A$12:$B$16,2))</f>
        <v/>
      </c>
      <c r="G33" s="400" t="n"/>
      <c r="H33" s="400" t="n"/>
      <c r="I33" s="400" t="n"/>
      <c r="K33" s="555" t="n"/>
    </row>
    <row r="34" ht="13.5" customHeight="1" thickBot="1">
      <c r="B34" s="404">
        <f>IF(Sales!E4="","",+" "&amp;VLOOKUP(Sales!E4,[0]!Class,2))</f>
        <v/>
      </c>
      <c r="C34" s="551">
        <f>IF(Sales!I$4="","",Sales!I$4)</f>
        <v/>
      </c>
      <c r="D34" s="552">
        <f>IF(D31="","",ROUND((D31+D33)/E34,2))</f>
        <v/>
      </c>
      <c r="E34" s="407">
        <f>IF(Sales!L$4="","",Sales!L$4)</f>
        <v/>
      </c>
      <c r="F34" s="408">
        <f>IF(Sales!P$4="","",Sales!P$4)</f>
        <v/>
      </c>
      <c r="G34" s="409" t="n"/>
      <c r="H34" s="553">
        <f>IF(D34="","",ROUND(D34*(1+G34),2))</f>
        <v/>
      </c>
      <c r="I34" s="554">
        <f>IF(E12="","",ROUND(E12*H34,-2))</f>
        <v/>
      </c>
    </row>
    <row r="35" ht="14.25" customHeight="1" thickBot="1" thickTop="1">
      <c r="A35" s="453" t="n"/>
      <c r="G35" s="454" t="n"/>
      <c r="I35" s="555" t="n"/>
    </row>
    <row r="36" ht="13.5" customHeight="1" thickTop="1">
      <c r="A36" s="482" t="inlineStr">
        <is>
          <t>#4</t>
        </is>
      </c>
      <c r="B36" s="394">
        <f>IF(Sales!C5="","",+" "&amp;Sales!C5)</f>
        <v/>
      </c>
      <c r="C36" s="394">
        <f>IF(Sales!AE$5="","",Sales!AE$5)</f>
        <v/>
      </c>
      <c r="D36" s="547">
        <f>IF(Sales!AA$5="","",Sales!AA$5)</f>
        <v/>
      </c>
      <c r="E36" s="547">
        <f>IF(Sales!F$5="","",Sales!F$5)</f>
        <v/>
      </c>
      <c r="F36" s="396">
        <f>IF(Sales!M$5="","",Sales!M$5)</f>
        <v/>
      </c>
      <c r="G36" s="396" t="n"/>
      <c r="H36" s="396" t="n"/>
      <c r="I36" s="396" t="n"/>
    </row>
    <row r="37">
      <c r="B37" s="397">
        <f>IF(Sales!D$5="","",Sales!D$5)</f>
        <v/>
      </c>
      <c r="C37" s="397">
        <f>IF(Sales!AF$5="","",Sales!AF$5)</f>
        <v/>
      </c>
      <c r="D37" s="548">
        <f>IF(Sales!H$5="","",Sales!H$5)</f>
        <v/>
      </c>
      <c r="E37" s="399">
        <f>IF(Sales!S$5="","",Sales!S$5)</f>
        <v/>
      </c>
      <c r="F37" s="400">
        <f>IF(Sales!R5="","",VLOOKUP(Sales!R5,[0]!GRADE,2))</f>
        <v/>
      </c>
      <c r="G37" s="400" t="n"/>
      <c r="H37" s="400" t="n"/>
      <c r="I37" s="549">
        <f>IF(H39="","",H39)</f>
        <v/>
      </c>
    </row>
    <row r="38">
      <c r="B38" s="397">
        <f>IF(Sales!AC5="","",+Sales!AC5)</f>
        <v/>
      </c>
      <c r="C38" s="402">
        <f>IF(Sales!AD$5="","",Sales!AD$5)</f>
        <v/>
      </c>
      <c r="D38" s="550" t="n"/>
      <c r="E38" s="400">
        <f>IF(Sales!T$5="","",Sales!T$5)</f>
        <v/>
      </c>
      <c r="F38" s="400">
        <f>IF(Sales!V5="","",VLOOKUP(Sales!V5,Codes!$A$12:$B$16,2))</f>
        <v/>
      </c>
      <c r="G38" s="400" t="n"/>
      <c r="H38" s="400" t="n"/>
      <c r="I38" s="400" t="n"/>
    </row>
    <row r="39" ht="13.5" customHeight="1" thickBot="1">
      <c r="B39" s="404">
        <f>IF(Sales!E5="","",+" "&amp;VLOOKUP(Sales!E5,[0]!Class,2))</f>
        <v/>
      </c>
      <c r="C39" s="551">
        <f>IF(Sales!I$5="","",Sales!I$5)</f>
        <v/>
      </c>
      <c r="D39" s="552">
        <f>IF(D36="","",ROUND((D36+D38)/E39,2))</f>
        <v/>
      </c>
      <c r="E39" s="407">
        <f>IF(Sales!L$5="","",Sales!L$5)</f>
        <v/>
      </c>
      <c r="F39" s="408">
        <f>IF(Sales!P$5="","",Sales!P$5)</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4.xml><?xml version="1.0" encoding="utf-8"?>
<worksheet xmlns="http://schemas.openxmlformats.org/spreadsheetml/2006/main">
  <sheetPr codeName="Sheet11">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B2" s="267" t="inlineStr">
        <is>
          <t>RENT COMPARABLES</t>
        </is>
      </c>
      <c r="C2" s="134" t="n"/>
      <c r="D2" s="134" t="n"/>
      <c r="E2" s="134" t="n"/>
      <c r="F2" s="134" t="n"/>
      <c r="G2" s="134" t="n"/>
      <c r="H2" s="134" t="n"/>
    </row>
    <row r="4" ht="25.15" customHeight="1" thickBot="1">
      <c r="B4" s="268" t="inlineStr">
        <is>
          <t>SUBJECT</t>
        </is>
      </c>
      <c r="C4" s="135" t="n"/>
      <c r="D4" s="135" t="n"/>
      <c r="E4" s="135" t="n"/>
      <c r="F4" s="135" t="n"/>
      <c r="G4" s="135" t="n"/>
      <c r="H4" s="135" t="n"/>
    </row>
    <row r="5" ht="13.5" customHeight="1" thickTop="1">
      <c r="B5" s="269" t="inlineStr">
        <is>
          <t>Schedule Number</t>
        </is>
      </c>
      <c r="C5" s="270" t="inlineStr">
        <is>
          <t>Rent/Sq.Ft.</t>
        </is>
      </c>
      <c r="D5" s="271" t="inlineStr">
        <is>
          <t>Location</t>
        </is>
      </c>
      <c r="E5" s="271" t="inlineStr">
        <is>
          <t>Age</t>
        </is>
      </c>
      <c r="F5" s="271" t="n"/>
      <c r="G5" s="272" t="n"/>
      <c r="H5" s="273" t="n"/>
    </row>
    <row r="6">
      <c r="B6" s="274" t="inlineStr">
        <is>
          <t>Property Address</t>
        </is>
      </c>
      <c r="C6" s="275" t="inlineStr">
        <is>
          <t>Vacancy</t>
        </is>
      </c>
      <c r="D6" s="276" t="inlineStr">
        <is>
          <t>Land Size</t>
        </is>
      </c>
      <c r="E6" s="276" t="inlineStr">
        <is>
          <t>Quality</t>
        </is>
      </c>
      <c r="F6" s="276" t="n"/>
      <c r="G6" s="277" t="n"/>
      <c r="H6" s="278" t="n"/>
    </row>
    <row r="7">
      <c r="B7" s="274" t="inlineStr">
        <is>
          <t>Property Name</t>
        </is>
      </c>
      <c r="C7" s="276" t="inlineStr">
        <is>
          <t>Expense / Sq. Ft.</t>
        </is>
      </c>
      <c r="D7" s="276" t="inlineStr">
        <is>
          <t>L:B Ratio</t>
        </is>
      </c>
      <c r="E7" s="276" t="inlineStr">
        <is>
          <t>Phy/Funct Rating</t>
        </is>
      </c>
      <c r="F7" s="276" t="n"/>
      <c r="G7" s="277" t="n"/>
      <c r="H7" s="278" t="n"/>
    </row>
    <row r="8" ht="13.5" customHeight="1" thickBot="1">
      <c r="B8" s="279" t="inlineStr">
        <is>
          <t>Property Type</t>
        </is>
      </c>
      <c r="C8" s="280" t="inlineStr">
        <is>
          <t>Expense Ratio</t>
        </is>
      </c>
      <c r="D8" s="281" t="inlineStr">
        <is>
          <t>Building Size</t>
        </is>
      </c>
      <c r="E8" s="281" t="inlineStr">
        <is>
          <t>Zoning</t>
        </is>
      </c>
      <c r="F8" s="281" t="inlineStr">
        <is>
          <t>Other</t>
        </is>
      </c>
      <c r="G8" s="282" t="inlineStr">
        <is>
          <t>Comments</t>
        </is>
      </c>
      <c r="H8" s="283"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B17" s="268" t="inlineStr">
        <is>
          <t>COMPARABLE RENTAL PROPERTIES</t>
        </is>
      </c>
      <c r="C17" s="135" t="n"/>
      <c r="D17" s="135" t="n"/>
      <c r="E17" s="135" t="n"/>
      <c r="F17" s="135" t="n"/>
      <c r="G17" s="135" t="n"/>
      <c r="H17" s="135" t="n"/>
    </row>
    <row r="18" ht="13.5" customHeight="1" thickTop="1">
      <c r="B18" s="269" t="n"/>
      <c r="C18" s="270" t="inlineStr">
        <is>
          <t>Rent/Sq.Ft.</t>
        </is>
      </c>
      <c r="D18" s="271" t="inlineStr">
        <is>
          <t>Location</t>
        </is>
      </c>
      <c r="E18" s="271" t="inlineStr">
        <is>
          <t>Age</t>
        </is>
      </c>
      <c r="F18" s="271" t="n"/>
      <c r="G18" s="271" t="n"/>
      <c r="H18" s="269" t="n"/>
    </row>
    <row r="19">
      <c r="B19" s="274" t="inlineStr">
        <is>
          <t>OFFICE</t>
        </is>
      </c>
      <c r="C19" s="275" t="inlineStr">
        <is>
          <t>Vacancy</t>
        </is>
      </c>
      <c r="D19" s="276" t="inlineStr">
        <is>
          <t>Land Size</t>
        </is>
      </c>
      <c r="E19" s="276" t="inlineStr">
        <is>
          <t>Quality</t>
        </is>
      </c>
      <c r="F19" s="276" t="n"/>
      <c r="G19" s="276" t="n"/>
      <c r="H19" s="275" t="n"/>
    </row>
    <row r="20">
      <c r="B20" s="274" t="inlineStr">
        <is>
          <t>Source</t>
        </is>
      </c>
      <c r="C20" s="276" t="inlineStr">
        <is>
          <t>Expense / Sq. Ft.</t>
        </is>
      </c>
      <c r="D20" s="276" t="inlineStr">
        <is>
          <t>L:B Ratio</t>
        </is>
      </c>
      <c r="E20" s="276" t="inlineStr">
        <is>
          <t>Phy/Funct Rating</t>
        </is>
      </c>
      <c r="F20" s="276" t="n"/>
      <c r="G20" s="275" t="inlineStr">
        <is>
          <t>Net</t>
        </is>
      </c>
      <c r="H20" s="275" t="inlineStr">
        <is>
          <t>Adjusted</t>
        </is>
      </c>
    </row>
    <row r="21" ht="13.5" customHeight="1" thickBot="1">
      <c r="B21" s="279" t="inlineStr">
        <is>
          <t>Property Type</t>
        </is>
      </c>
      <c r="C21" s="280" t="inlineStr">
        <is>
          <t>Expense Ratio</t>
        </is>
      </c>
      <c r="D21" s="281" t="inlineStr">
        <is>
          <t>Building Size</t>
        </is>
      </c>
      <c r="E21" s="281" t="inlineStr">
        <is>
          <t>Zoning</t>
        </is>
      </c>
      <c r="F21" s="281" t="inlineStr">
        <is>
          <t>Other</t>
        </is>
      </c>
      <c r="G21" s="280" t="inlineStr">
        <is>
          <t>Adjustments</t>
        </is>
      </c>
      <c r="H21" s="280"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5.xml><?xml version="1.0" encoding="utf-8"?>
<worksheet xmlns="http://schemas.openxmlformats.org/spreadsheetml/2006/main">
  <sheetPr codeName="Sheet21">
    <outlinePr summaryBelow="1" summaryRight="1"/>
    <pageSetUpPr autoPageBreaks="0"/>
  </sheetPr>
  <dimension ref="A1:L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1)</t>
        </is>
      </c>
      <c r="B72" s="515">
        <f>IF(Sales!D$2="","",Sales!D$2)</f>
        <v/>
      </c>
      <c r="C72" s="515" t="n"/>
      <c r="D72" s="515">
        <f>IF(Sales!C$2="","",Sales!C$2)</f>
        <v/>
      </c>
      <c r="E72" s="515" t="n"/>
      <c r="F72" s="515" t="n"/>
      <c r="G72" s="199">
        <f>IF(Sales!M$2="","",Sales!M$2)</f>
        <v/>
      </c>
      <c r="H72" s="179">
        <f>IF(Sales!L$2="","",Sales!L$2)</f>
        <v/>
      </c>
      <c r="I72" s="179" t="n"/>
      <c r="J72" s="574">
        <f>IF(Sales!I$2="","",Sales!I$2)</f>
        <v/>
      </c>
      <c r="K72" s="575">
        <f>IF(Sales!AA$2="","",Sales!AA$2)</f>
        <v/>
      </c>
      <c r="L72" s="576">
        <f>IF(Sales!H$2="","",Sales!H$2)</f>
        <v/>
      </c>
    </row>
    <row r="73">
      <c r="A73" s="177" t="inlineStr">
        <is>
          <t>2)</t>
        </is>
      </c>
      <c r="B73" s="515">
        <f>IF(Sales!D$3="","",Sales!D$3)</f>
        <v/>
      </c>
      <c r="C73" s="515" t="n"/>
      <c r="D73" s="515">
        <f>IF(Sales!C$3="","",Sales!C$3)</f>
        <v/>
      </c>
      <c r="E73" s="515" t="n"/>
      <c r="F73" s="515" t="n"/>
      <c r="G73" s="199">
        <f>IF(Sales!M$3="","",Sales!M$3)</f>
        <v/>
      </c>
      <c r="H73" s="179">
        <f>IF(Sales!L$3="","",Sales!L$3)</f>
        <v/>
      </c>
      <c r="I73" s="179" t="n"/>
      <c r="J73" s="574">
        <f>IF(Sales!I$3="","",Sales!I$3)</f>
        <v/>
      </c>
      <c r="K73" s="575">
        <f>IF(Sales!AA$3="","",Sales!AA$3)</f>
        <v/>
      </c>
      <c r="L73" s="576">
        <f>IF(Sales!H$3="","",Sales!H$3)</f>
        <v/>
      </c>
    </row>
    <row r="74">
      <c r="A74" s="182" t="inlineStr">
        <is>
          <t>3)</t>
        </is>
      </c>
      <c r="B74" s="183">
        <f>IF(Sales!D$4="","",Sales!D$4)</f>
        <v/>
      </c>
      <c r="C74" s="183" t="n"/>
      <c r="D74" s="183">
        <f>IF(Sales!C$4="","",Sales!C$4)</f>
        <v/>
      </c>
      <c r="E74" s="183" t="n"/>
      <c r="F74" s="183" t="n"/>
      <c r="G74" s="200">
        <f>IF(Sales!M$4="","",Sales!M$4)</f>
        <v/>
      </c>
      <c r="H74" s="184">
        <f>IF(Sales!L$4="","",Sales!L$4)</f>
        <v/>
      </c>
      <c r="I74" s="184" t="n"/>
      <c r="J74" s="577">
        <f>IF(Sales!I$4="","",Sales!I$4)</f>
        <v/>
      </c>
      <c r="K74" s="578">
        <f>IF(Sales!AA$4="","",Sales!AA$4)</f>
        <v/>
      </c>
      <c r="L74" s="579">
        <f>IF(Sales!H$4="","",Sales!H$4)</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2">
    <outlinePr summaryBelow="1" summaryRight="1"/>
    <pageSetUpPr fitToPage="1"/>
  </sheetPr>
  <dimension ref="A1:K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s>
  <sheetData>
    <row r="1" ht="34.9" customHeight="1">
      <c r="A1" s="201" t="inlineStr">
        <is>
          <t>2021 APPEAL WORKSHEET</t>
        </is>
      </c>
      <c r="B1" s="202" t="n"/>
      <c r="C1" s="202" t="n"/>
      <c r="D1" s="202" t="n"/>
      <c r="E1" s="202" t="n"/>
      <c r="F1" s="202" t="n"/>
      <c r="G1" s="202" t="n"/>
      <c r="H1" s="202" t="n"/>
      <c r="I1" s="202" t="n"/>
      <c r="J1" s="202" t="n"/>
      <c r="K1" s="202" t="n"/>
    </row>
    <row r="2" ht="16.15" customHeight="1">
      <c r="A2" s="203" t="inlineStr">
        <is>
          <t>ACCOUNT NUMBER</t>
        </is>
      </c>
      <c r="D2" s="315" t="inlineStr">
        <is>
          <t> </t>
        </is>
      </c>
      <c r="E2" s="204" t="n"/>
      <c r="F2" s="204" t="n"/>
      <c r="G2" s="204" t="n"/>
      <c r="H2" s="204" t="n"/>
    </row>
    <row r="3" ht="16.15" customHeight="1">
      <c r="A3" s="203" t="inlineStr">
        <is>
          <t>PROPERTY ADDRESS</t>
        </is>
      </c>
      <c r="D3" s="316" t="inlineStr">
        <is>
          <t> </t>
        </is>
      </c>
      <c r="E3" s="205" t="n"/>
      <c r="F3" s="205" t="n"/>
      <c r="G3" s="205" t="n"/>
      <c r="H3" s="205" t="n"/>
    </row>
    <row r="4" ht="16.15" customHeight="1">
      <c r="A4" s="203" t="inlineStr">
        <is>
          <t>PROTEST NUMBER</t>
        </is>
      </c>
      <c r="D4" s="316" t="inlineStr">
        <is>
          <t> </t>
        </is>
      </c>
      <c r="E4" s="205" t="n"/>
      <c r="F4" s="205" t="n"/>
      <c r="G4" s="205" t="n"/>
      <c r="H4" s="205" t="n"/>
    </row>
    <row r="5" ht="16.15" customHeight="1">
      <c r="A5" s="203" t="inlineStr">
        <is>
          <t>PETITIONER'S NAME</t>
        </is>
      </c>
      <c r="D5" s="316" t="inlineStr">
        <is>
          <t> </t>
        </is>
      </c>
      <c r="E5" s="205" t="n"/>
      <c r="F5" s="205" t="n"/>
      <c r="G5" s="205" t="n"/>
      <c r="H5" s="205" t="n"/>
    </row>
    <row r="7" ht="15.75" customHeight="1">
      <c r="A7" s="206"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319" t="inlineStr">
        <is>
          <t>MARKET RENT COMPARABLES</t>
        </is>
      </c>
      <c r="B18" s="320" t="n"/>
      <c r="C18" s="320" t="n"/>
      <c r="D18" s="321" t="n"/>
      <c r="E18" s="321" t="n"/>
      <c r="F18" s="320" t="n"/>
      <c r="G18" s="320" t="n"/>
      <c r="H18" s="322" t="inlineStr">
        <is>
          <t>BUILDING</t>
        </is>
      </c>
      <c r="I18" s="322" t="n"/>
      <c r="J18" s="322" t="n"/>
      <c r="K18" s="323" t="inlineStr">
        <is>
          <t>EXP</t>
        </is>
      </c>
    </row>
    <row r="19" ht="15" customHeight="1">
      <c r="A19" s="324" t="n"/>
      <c r="B19" s="325" t="inlineStr">
        <is>
          <t>OFFICE</t>
        </is>
      </c>
      <c r="C19" s="326" t="inlineStr">
        <is>
          <t>USE TYPE</t>
        </is>
      </c>
      <c r="D19" s="327" t="n"/>
      <c r="E19" s="327" t="n"/>
      <c r="F19" s="328" t="inlineStr">
        <is>
          <t>ZONE</t>
        </is>
      </c>
      <c r="G19" s="325" t="inlineStr">
        <is>
          <t>YOC</t>
        </is>
      </c>
      <c r="H19" s="329" t="inlineStr">
        <is>
          <t>SQ FT</t>
        </is>
      </c>
      <c r="I19" s="343" t="inlineStr">
        <is>
          <t>RENT</t>
        </is>
      </c>
      <c r="J19" s="343" t="inlineStr">
        <is>
          <t>VACANCY</t>
        </is>
      </c>
      <c r="K19" s="330"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319" t="inlineStr">
        <is>
          <t>MARKET SALE COMPARABLES</t>
        </is>
      </c>
      <c r="B26" s="320" t="n"/>
      <c r="C26" s="320" t="n"/>
      <c r="D26" s="320" t="n"/>
      <c r="E26" s="320" t="n"/>
      <c r="F26" s="320" t="n"/>
      <c r="G26" s="320" t="n"/>
      <c r="H26" s="331" t="inlineStr">
        <is>
          <t>BUILDING</t>
        </is>
      </c>
      <c r="I26" s="331" t="inlineStr">
        <is>
          <t>SALE</t>
        </is>
      </c>
      <c r="J26" s="331" t="inlineStr">
        <is>
          <t>SALE</t>
        </is>
      </c>
      <c r="K26" s="332" t="inlineStr">
        <is>
          <t>S.P./</t>
        </is>
      </c>
    </row>
    <row r="27" ht="15" customHeight="1">
      <c r="A27" s="333" t="n"/>
      <c r="B27" s="334" t="inlineStr">
        <is>
          <t>PROPERTY ADDRESS</t>
        </is>
      </c>
      <c r="C27" s="334" t="n"/>
      <c r="D27" s="334" t="inlineStr">
        <is>
          <t>ACCOUNT NUMBER</t>
        </is>
      </c>
      <c r="E27" s="334" t="n"/>
      <c r="F27" s="334" t="n"/>
      <c r="G27" s="339" t="inlineStr">
        <is>
          <t>YOC</t>
        </is>
      </c>
      <c r="H27" s="335" t="inlineStr">
        <is>
          <t>SQ FT</t>
        </is>
      </c>
      <c r="I27" s="335" t="inlineStr">
        <is>
          <t>DATE</t>
        </is>
      </c>
      <c r="J27" s="335" t="inlineStr">
        <is>
          <t>PRICE</t>
        </is>
      </c>
      <c r="K27" s="336"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1)</t>
        </is>
      </c>
      <c r="B30" s="513">
        <f>IF(Sales!D$2="","",Sales!D$2)</f>
        <v/>
      </c>
      <c r="D30" s="513">
        <f>IF(Sales!C$2="","",Sales!C$2)</f>
        <v/>
      </c>
      <c r="G30" s="341">
        <f>IF(Sales!M$2="","",Sales!M$2)</f>
        <v/>
      </c>
      <c r="H30" s="215">
        <f>IF(Sales!L$2="","",Sales!L$2)</f>
        <v/>
      </c>
      <c r="I30" s="590">
        <f>IF(Sales!I$2="","",Sales!I$2)</f>
        <v/>
      </c>
      <c r="J30" s="591">
        <f>IF(Sales!AA$2="","",Sales!AA$2)</f>
        <v/>
      </c>
      <c r="K30" s="589">
        <f>IF(Sales!H$2="","",Sales!H$2)</f>
        <v/>
      </c>
    </row>
    <row r="31" ht="15" customHeight="1">
      <c r="A31" s="317" t="inlineStr">
        <is>
          <t>2)</t>
        </is>
      </c>
      <c r="B31" s="513">
        <f>IF(Sales!D$3="","",Sales!D$3)</f>
        <v/>
      </c>
      <c r="D31" s="513">
        <f>IF(Sales!C$3="","",Sales!C$3)</f>
        <v/>
      </c>
      <c r="G31" s="341">
        <f>IF(Sales!M$3="","",Sales!M$3)</f>
        <v/>
      </c>
      <c r="H31" s="215">
        <f>IF(Sales!L$3="","",Sales!L$3)</f>
        <v/>
      </c>
      <c r="I31" s="590">
        <f>IF(Sales!I$3="","",Sales!I$3)</f>
        <v/>
      </c>
      <c r="J31" s="591">
        <f>IF(Sales!AA$3="","",Sales!AA$3)</f>
        <v/>
      </c>
      <c r="K31" s="589">
        <f>IF(Sales!H$3="","",Sales!H$3)</f>
        <v/>
      </c>
    </row>
    <row r="32" ht="15" customHeight="1">
      <c r="A32" s="318" t="inlineStr">
        <is>
          <t>3)</t>
        </is>
      </c>
      <c r="B32" s="514">
        <f>IF(Sales!D$4="","",Sales!D$4)</f>
        <v/>
      </c>
      <c r="C32" s="592" t="n"/>
      <c r="D32" s="514">
        <f>IF(Sales!C$4="","",Sales!C$4)</f>
        <v/>
      </c>
      <c r="E32" s="592" t="n"/>
      <c r="F32" s="592" t="n"/>
      <c r="G32" s="342">
        <f>IF(Sales!M$4="","",Sales!M$4)</f>
        <v/>
      </c>
      <c r="H32" s="216">
        <f>IF(Sales!L$4="","",Sales!L$4)</f>
        <v/>
      </c>
      <c r="I32" s="593">
        <f>IF(Sales!I$4="","",Sales!I$4)</f>
        <v/>
      </c>
      <c r="J32" s="594">
        <f>IF(Sales!AA$4="","",Sales!AA$4)</f>
        <v/>
      </c>
      <c r="K32" s="595">
        <f>IF(Sales!H$4="","",Sales!H$4)</f>
        <v/>
      </c>
    </row>
    <row r="34" ht="15.75" customHeight="1">
      <c r="A34" s="224"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206"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inlineStr">
        <is>
          <t>406</t>
        </is>
      </c>
      <c r="D293" t="inlineStr">
        <is>
          <t>14</t>
        </is>
      </c>
      <c r="E293" t="inlineStr">
        <is>
          <t>26</t>
        </is>
      </c>
      <c r="F293" t="inlineStr">
        <is>
          <t>14</t>
        </is>
      </c>
    </row>
    <row r="294">
      <c r="B294" t="inlineStr">
        <is>
          <t>Distribution Warehouses</t>
        </is>
      </c>
      <c r="C294" t="inlineStr">
        <is>
          <t>407</t>
        </is>
      </c>
      <c r="D294" t="inlineStr">
        <is>
          <t>14</t>
        </is>
      </c>
      <c r="E294" t="inlineStr">
        <is>
          <t>23</t>
        </is>
      </c>
      <c r="F294" t="inlineStr">
        <is>
          <t>14</t>
        </is>
      </c>
    </row>
    <row r="295">
      <c r="B295" t="inlineStr">
        <is>
          <t>Mini-Warehouses / Self-Storage</t>
        </is>
      </c>
      <c r="C295" t="inlineStr">
        <is>
          <t>386</t>
        </is>
      </c>
      <c r="D295" t="inlineStr">
        <is>
          <t>14</t>
        </is>
      </c>
      <c r="E295" t="inlineStr">
        <is>
          <t>28</t>
        </is>
      </c>
      <c r="F295" t="inlineStr">
        <is>
          <t>14</t>
        </is>
      </c>
    </row>
    <row r="296">
      <c r="B296" t="inlineStr">
        <is>
          <t>Mini-Warehouses, High-Rise</t>
        </is>
      </c>
      <c r="C296" t="inlineStr">
        <is>
          <t>525</t>
        </is>
      </c>
      <c r="D296" t="inlineStr">
        <is>
          <t>14</t>
        </is>
      </c>
      <c r="E296" t="inlineStr">
        <is>
          <t>28</t>
        </is>
      </c>
      <c r="F296" t="inlineStr">
        <is>
          <t>14</t>
        </is>
      </c>
    </row>
    <row r="297">
      <c r="B297" t="inlineStr">
        <is>
          <t>Industrials, Light Manufacturing</t>
        </is>
      </c>
      <c r="C297" t="inlineStr">
        <is>
          <t>494</t>
        </is>
      </c>
      <c r="D297" t="inlineStr">
        <is>
          <t>14</t>
        </is>
      </c>
      <c r="E297" t="inlineStr">
        <is>
          <t>14</t>
        </is>
      </c>
      <c r="F297" t="inlineStr">
        <is>
          <t>14</t>
        </is>
      </c>
    </row>
    <row r="298">
      <c r="B298" t="inlineStr">
        <is>
          <t>Industrials, Heavy (Process) Manufacturing</t>
        </is>
      </c>
      <c r="C298" t="inlineStr">
        <is>
          <t>495</t>
        </is>
      </c>
      <c r="D298" t="inlineStr">
        <is>
          <t>14</t>
        </is>
      </c>
      <c r="E298" t="inlineStr">
        <is>
          <t>15</t>
        </is>
      </c>
      <c r="F298" t="inlineStr">
        <is>
          <t>14</t>
        </is>
      </c>
    </row>
    <row r="299">
      <c r="B299" t="inlineStr">
        <is>
          <t>Service Garages (Commercial/Repair)</t>
        </is>
      </c>
      <c r="C299" t="inlineStr">
        <is>
          <t>528</t>
        </is>
      </c>
      <c r="D299" t="inlineStr">
        <is>
          <t>14</t>
        </is>
      </c>
      <c r="E299" t="inlineStr">
        <is>
          <t>32</t>
        </is>
      </c>
      <c r="F299" t="inlineStr">
        <is>
          <t>14</t>
        </is>
      </c>
    </row>
    <row r="300">
      <c r="B300" t="inlineStr">
        <is>
          <t>Retail Stores</t>
        </is>
      </c>
      <c r="C300" t="inlineStr">
        <is>
          <t>353</t>
        </is>
      </c>
      <c r="D300" t="inlineStr">
        <is>
          <t>13</t>
        </is>
      </c>
      <c r="E300" t="inlineStr">
        <is>
          <t>26</t>
        </is>
      </c>
      <c r="F300" t="inlineStr">
        <is>
          <t>13</t>
        </is>
      </c>
    </row>
    <row r="301">
      <c r="B301" t="inlineStr">
        <is>
          <t>Neighborhood Shopping Centers</t>
        </is>
      </c>
      <c r="C301" t="inlineStr">
        <is>
          <t>412</t>
        </is>
      </c>
      <c r="D301" t="inlineStr">
        <is>
          <t>13</t>
        </is>
      </c>
      <c r="E301" t="inlineStr">
        <is>
          <t>33</t>
        </is>
      </c>
      <c r="F301" t="inlineStr">
        <is>
          <t>13</t>
        </is>
      </c>
    </row>
    <row r="302">
      <c r="B302" t="inlineStr">
        <is>
          <t>Community Shopping Centers</t>
        </is>
      </c>
      <c r="C302" t="inlineStr">
        <is>
          <t>413</t>
        </is>
      </c>
      <c r="D302" t="inlineStr">
        <is>
          <t>13</t>
        </is>
      </c>
      <c r="E302" t="inlineStr">
        <is>
          <t>34</t>
        </is>
      </c>
      <c r="F302" t="inlineStr">
        <is>
          <t>13</t>
        </is>
      </c>
    </row>
    <row r="303">
      <c r="B303" t="inlineStr">
        <is>
          <t>Regional Shopping Centers</t>
        </is>
      </c>
      <c r="C303" t="inlineStr">
        <is>
          <t>414</t>
        </is>
      </c>
      <c r="D303" t="inlineStr">
        <is>
          <t>13</t>
        </is>
      </c>
      <c r="E303" t="inlineStr">
        <is>
          <t>35</t>
        </is>
      </c>
      <c r="F303" t="inlineStr">
        <is>
          <t>13</t>
        </is>
      </c>
    </row>
    <row r="304">
      <c r="B304" t="inlineStr">
        <is>
          <t>Department Stores</t>
        </is>
      </c>
      <c r="C304" t="inlineStr">
        <is>
          <t>318</t>
        </is>
      </c>
      <c r="D304" t="inlineStr">
        <is>
          <t>13</t>
        </is>
      </c>
      <c r="E304" t="inlineStr">
        <is>
          <t>27</t>
        </is>
      </c>
      <c r="F304" t="inlineStr">
        <is>
          <t>13</t>
        </is>
      </c>
    </row>
    <row r="305">
      <c r="B305" t="inlineStr">
        <is>
          <t>Discount Stores</t>
        </is>
      </c>
      <c r="C305" t="inlineStr">
        <is>
          <t>319</t>
        </is>
      </c>
      <c r="D305" t="inlineStr">
        <is>
          <t>13</t>
        </is>
      </c>
      <c r="E305" t="inlineStr">
        <is>
          <t>28</t>
        </is>
      </c>
      <c r="F305" t="inlineStr">
        <is>
          <t>13</t>
        </is>
      </c>
    </row>
    <row r="306">
      <c r="B306" t="inlineStr">
        <is>
          <t>Office Buildings</t>
        </is>
      </c>
      <c r="C306" t="inlineStr">
        <is>
          <t>344</t>
        </is>
      </c>
      <c r="D306" t="inlineStr">
        <is>
          <t>15</t>
        </is>
      </c>
      <c r="E306" t="inlineStr">
        <is>
          <t>17</t>
        </is>
      </c>
      <c r="F306" t="inlineStr">
        <is>
          <t>15</t>
        </is>
      </c>
    </row>
    <row r="307">
      <c r="B307" t="inlineStr">
        <is>
          <t>Medical Office Buildings</t>
        </is>
      </c>
      <c r="C307" t="inlineStr">
        <is>
          <t>341</t>
        </is>
      </c>
      <c r="D307" t="inlineStr">
        <is>
          <t>15</t>
        </is>
      </c>
      <c r="E307" t="inlineStr">
        <is>
          <t>22</t>
        </is>
      </c>
      <c r="F307" t="inlineStr">
        <is>
          <t>15</t>
        </is>
      </c>
    </row>
    <row r="308">
      <c r="B308" t="inlineStr">
        <is>
          <t>Banks, Branch</t>
        </is>
      </c>
      <c r="C308" t="inlineStr">
        <is>
          <t>304</t>
        </is>
      </c>
      <c r="D308" t="inlineStr">
        <is>
          <t>15</t>
        </is>
      </c>
      <c r="E308" t="inlineStr">
        <is>
          <t>21</t>
        </is>
      </c>
      <c r="F308" t="inlineStr">
        <is>
          <t>15</t>
        </is>
      </c>
    </row>
    <row r="309">
      <c r="B309" t="inlineStr">
        <is>
          <t>Hotels, Full Service</t>
        </is>
      </c>
      <c r="C309" t="inlineStr">
        <is>
          <t>594</t>
        </is>
      </c>
      <c r="D309" t="inlineStr">
        <is>
          <t>11</t>
        </is>
      </c>
      <c r="E309" t="inlineStr">
        <is>
          <t>25</t>
        </is>
      </c>
      <c r="F309" t="inlineStr">
        <is>
          <t>11</t>
        </is>
      </c>
    </row>
    <row r="310">
      <c r="B310" t="inlineStr">
        <is>
          <t>Hotels, Limited Service</t>
        </is>
      </c>
      <c r="C310" t="inlineStr">
        <is>
          <t>595</t>
        </is>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t="inlineStr">
        <is>
          <t>Storage Warehouses</t>
        </is>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t="inlineStr">
        <is>
          <t>Average</t>
        </is>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t="n">
        <v>0</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9.xml><?xml version="1.0" encoding="utf-8"?>
<worksheet xmlns="http://schemas.openxmlformats.org/spreadsheetml/2006/main">
  <sheetPr codeName="Sheet2">
    <outlinePr summaryBelow="1" summaryRight="1"/>
    <pageSetUpPr fitToPage="1"/>
  </sheetPr>
  <dimension ref="A1:AN941"/>
  <sheetViews>
    <sheetView zoomScale="125" zoomScaleNormal="125" workbookViewId="0">
      <pane ySplit="1" topLeftCell="A2" activePane="bottomLeft" state="frozen"/>
      <selection activeCell="E47" sqref="E47"/>
      <selection pane="bottomLeft" activeCell="A1" sqref="A1"/>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width="9.33203125" customWidth="1" style="245" min="35" max="16384"/>
  </cols>
  <sheetData>
    <row r="1" ht="36" customHeight="1">
      <c r="A1" s="392" t="inlineStr">
        <is>
          <t>Pos</t>
        </is>
      </c>
      <c r="B1" s="390" t="inlineStr">
        <is>
          <t>Num</t>
        </is>
      </c>
      <c r="C1" s="389" t="inlineStr">
        <is>
          <t>Parcel</t>
        </is>
      </c>
      <c r="D1" s="458" t="inlineStr">
        <is>
          <t>Filtered
Address</t>
        </is>
      </c>
      <c r="E1" s="392" t="inlineStr">
        <is>
          <t>OCC</t>
        </is>
      </c>
      <c r="F1" s="392" t="inlineStr">
        <is>
          <t>CITY</t>
        </is>
      </c>
      <c r="G1" s="459" t="inlineStr">
        <is>
          <t>Loc</t>
        </is>
      </c>
      <c r="H1" s="668" t="inlineStr">
        <is>
          <t>FTS</t>
        </is>
      </c>
      <c r="I1" s="390" t="inlineStr">
        <is>
          <t>Date</t>
        </is>
      </c>
      <c r="J1" s="460" t="inlineStr">
        <is>
          <t>Above
Grade NRA</t>
        </is>
      </c>
      <c r="K1" s="460" t="inlineStr">
        <is>
          <t>Bsmt
NRA</t>
        </is>
      </c>
      <c r="L1" s="390" t="inlineStr">
        <is>
          <t>NRA</t>
        </is>
      </c>
      <c r="M1" s="390" t="inlineStr">
        <is>
          <t>YOC</t>
        </is>
      </c>
      <c r="N1" s="390" t="inlineStr">
        <is>
          <t># Units</t>
        </is>
      </c>
      <c r="O1" s="390" t="inlineStr">
        <is>
          <t># Bldgs</t>
        </is>
      </c>
      <c r="P1" s="390" t="inlineStr">
        <is>
          <t>Zone</t>
        </is>
      </c>
      <c r="Q1" s="390" t="inlineStr">
        <is>
          <t>Str</t>
        </is>
      </c>
      <c r="R1" s="390" t="inlineStr">
        <is>
          <t>Grd</t>
        </is>
      </c>
      <c r="S1" s="390" t="inlineStr">
        <is>
          <t>Land</t>
        </is>
      </c>
      <c r="T1" s="459" t="inlineStr">
        <is>
          <t>L:B RATIO</t>
        </is>
      </c>
      <c r="U1" s="390" t="inlineStr">
        <is>
          <t>PHY</t>
        </is>
      </c>
      <c r="V1" s="390" t="inlineStr">
        <is>
          <t>FUN</t>
        </is>
      </c>
      <c r="W1" s="390" t="inlineStr">
        <is>
          <t>PF</t>
        </is>
      </c>
      <c r="X1" s="390" t="inlineStr">
        <is>
          <t>Tie-Back</t>
        </is>
      </c>
      <c r="Y1" s="390" t="inlineStr">
        <is>
          <t>Amount</t>
        </is>
      </c>
      <c r="Z1" s="390" t="inlineStr">
        <is>
          <t>Deduct.</t>
        </is>
      </c>
      <c r="AA1" s="390" t="inlineStr">
        <is>
          <t>Amount</t>
        </is>
      </c>
      <c r="AB1" s="390" t="inlineStr">
        <is>
          <t>Remarks</t>
        </is>
      </c>
      <c r="AC1" s="392" t="inlineStr">
        <is>
          <t>Parcel Number</t>
        </is>
      </c>
      <c r="AD1" s="390" t="inlineStr">
        <is>
          <t>Reception #</t>
        </is>
      </c>
      <c r="AE1" s="390" t="inlineStr">
        <is>
          <t>Grantor</t>
        </is>
      </c>
      <c r="AF1" s="390" t="inlineStr">
        <is>
          <t>Grantee</t>
        </is>
      </c>
      <c r="AG1" s="390" t="inlineStr">
        <is>
          <t>Street</t>
        </is>
      </c>
      <c r="AH1" s="390" t="inlineStr">
        <is>
          <t>Street</t>
        </is>
      </c>
    </row>
    <row r="2" ht="15" customHeight="1">
      <c r="A2" s="246" t="n">
        <v>5</v>
      </c>
      <c r="N2" s="487" t="n"/>
      <c r="O2" s="487" t="n"/>
      <c r="AB2" s="247" t="n"/>
    </row>
    <row r="3" ht="15" customHeight="1">
      <c r="A3" s="246" t="n">
        <v>5</v>
      </c>
      <c r="AB3" s="247" t="n"/>
    </row>
    <row r="4" ht="15" customHeight="1">
      <c r="A4" s="246" t="n">
        <v>5</v>
      </c>
      <c r="AB4" s="247" t="n"/>
    </row>
    <row r="5" ht="15" customHeight="1">
      <c r="A5" s="246" t="n">
        <v>5</v>
      </c>
      <c r="AB5" s="247" t="n"/>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UPPER(D6)</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UPPER(D7)</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UPPER(D8)</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UPPER(D9)</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UPPER(D10)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UPPER(D11)</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UPPER(D12)</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UPPER(D13)</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UPPER(D14)</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UPPER(D15)</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UPPER(D16)</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UPPER(D17)</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UPPER(D18)</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UPPER(D19)</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UPPER(D20)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UPPER(D21)</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UPPER(D22)</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UPPER(D23)</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UPPER(D24)</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UPPER(D25)</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UPPER(D26)</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UPPER(D27)</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UPPER(D28)</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UPPER(D29)</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UPPER(D30)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UPPER(D31)</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UPPER(D32)</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UPPER(D33)</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UPPER(D34)</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UPPER(D35)</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UPPER(D36)</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UPPER(D37)</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UPPER(D38)</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UPPER(D39)</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UPPER(D40)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UPPER(D41)</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UPPER(D42)</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UPPER(D43)</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UPPER(D44)</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UPPER(D45)</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UPPER(D46)</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UPPER(D47)</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UPPER(D48)</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UPPER(D49)</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UPPER(D50)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UPPER(D51)</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UPPER(D52)</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UPPER(D53)</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UPPER(D54)</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UPPER(D55)</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UPPER(D56)</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UPPER(D57)</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UPPER(D58)</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UPPER(D59)</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UPPER(D60)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UPPER(D61)</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UPPER(D62)</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UPPER(D63)</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UPPER(D64)</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UPPER(D65)</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UPPER(D66)</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UPPER(D67)</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UPPER(D68)</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UPPER(D69)</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UPPER(D70)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UPPER(D71)</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UPPER(D72)</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UPPER(D73)</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UPPER(D74)</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UPPER(D75)</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UPPER(D76)</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UPPER(D77)</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UPPER(D78)</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UPPER(D79)</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UPPER(D80)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UPPER(D81)</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UPPER(D82)</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UPPER(D83)</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UPPER(D84)</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UPPER(D85)</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UPPER(D86)</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UPPER(D87)</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UPPER(D88)</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UPPER(D89)</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UPPER(D90)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UPPER(D91)</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UPPER(D92)</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UPPER(D93)</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UPPER(D94)</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UPPER(D95)</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UPPER(D96)</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UPPER(D97)</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UPPER(D98)</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UPPER(D99)</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UPPER(D100)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UPPER(D101)</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UPPER(D102)</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UPPER(D103)</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UPPER(D104)</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UPPER(D105)</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UPPER(D106)</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UPPER(D107)</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UPPER(D108)</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UPPER(D109)</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UPPER(D110)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UPPER(D111)</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UPPER(D112)</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UPPER(D113)</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UPPER(D114)</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UPPER(D115)</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UPPER(D116)</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UPPER(D117)</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UPPER(D118)</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UPPER(D119)</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UPPER(D120)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UPPER(D121)</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UPPER(D122)</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UPPER(D123)</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UPPER(D124)</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UPPER(D125)</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UPPER(D126)</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UPPER(D127)</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UPPER(D128)</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UPPER(D129)</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UPPER(D130)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UPPER(D131)</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UPPER(D132)</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UPPER(D133)</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UPPER(D134)</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UPPER(D135)</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UPPER(D136)</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UPPER(D137)</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UPPER(D138)</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UPPER(D139)</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UPPER(D140)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UPPER(D141)</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UPPER(D142)</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UPPER(D143)</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UPPER(D144)</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UPPER(D145)</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UPPER(D146)</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UPPER(D147)</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UPPER(D148)</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UPPER(D149)</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UPPER(D150)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UPPER(D151)</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UPPER(D152)</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UPPER(D153)</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UPPER(D154)</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UPPER(D155)</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UPPER(D156)</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UPPER(D157)</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UPPER(D158)</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UPPER(D159)</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UPPER(D160)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UPPER(D161)</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UPPER(D162)</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UPPER(D163)</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UPPER(D164)</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UPPER(D165)</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UPPER(D166)</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UPPER(D167)</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UPPER(D168)</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UPPER(D169)</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UPPER(D170)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UPPER(D171)</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UPPER(D172)</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UPPER(D173)</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UPPER(D174)</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UPPER(D175)</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UPPER(D176)</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UPPER(D177)</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UPPER(D178)</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UPPER(D179)</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UPPER(D180)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UPPER(D181)</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UPPER(D182)</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UPPER(D183)</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UPPER(D184)</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UPPER(D185)</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UPPER(D186)</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UPPER(D187)</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UPPER(D188)</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UPPER(D189)</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UPPER(D190)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UPPER(D191)</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UPPER(D192)</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UPPER(D193)</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UPPER(D194)</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UPPER(D195)</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UPPER(D196)</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UPPER(D197)</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UPPER(D198)</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UPPER(D199)</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UPPER(D200)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UPPER(D201)</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UPPER(D202)</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UPPER(D203)</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UPPER(D204)</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UPPER(D205)</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UPPER(D206)</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UPPER(D207)</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UPPER(D208)</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UPPER(D209)</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UPPER(D210)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UPPER(D211)</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UPPER(D212)</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UPPER(D213)</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UPPER(D214)</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UPPER(D215)</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UPPER(D216)</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UPPER(D217)</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UPPER(D218)</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UPPER(D219)</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UPPER(D220)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UPPER(D221)</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UPPER(D222)</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UPPER(D223)</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UPPER(D224)</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UPPER(D225)</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UPPER(D226)</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UPPER(D227)</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UPPER(D228)</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UPPER(D229)</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UPPER(D230)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UPPER(D231)</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UPPER(D232)</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UPPER(D233)</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UPPER(D234)</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UPPER(D235)</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UPPER(D236)</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UPPER(D237)</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UPPER(D238)</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UPPER(D239)</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UPPER(D240)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UPPER(D241)</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UPPER(D242)</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UPPER(D243)</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UPPER(D244)</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UPPER(D245)</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UPPER(D246)</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UPPER(D247)</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UPPER(D248)</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UPPER(D249)</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UPPER(D250)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UPPER(D251)</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UPPER(D252)</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UPPER(D253)</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UPPER(D254)</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UPPER(D255)</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UPPER(D256)</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UPPER(D257)</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UPPER(D258)</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UPPER(D259)</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UPPER(D260)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UPPER(D261)</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UPPER(D262)</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UPPER(D263)</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UPPER(D264)</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UPPER(D265)</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UPPER(D266)</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UPPER(D267)</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UPPER(D268)</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UPPER(D269)</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UPPER(D270)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UPPER(D271)</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UPPER(D272)</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UPPER(D273)</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UPPER(D274)</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UPPER(D275)</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UPPER(D276)</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UPPER(D277)</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UPPER(D278)</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UPPER(D279)</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UPPER(D280)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UPPER(D281)</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UPPER(D282)</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UPPER(D283)</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UPPER(D284)</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UPPER(D285)</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UPPER(D286)</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UPPER(D287)</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UPPER(D288)</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UPPER(D289)</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UPPER(D290)</f>
        <v/>
      </c>
      <c r="AJ290" s="370" t="n"/>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UPPER(D291)</f>
        <v/>
      </c>
      <c r="AJ291" s="370" t="n"/>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UPPER(D292)</f>
        <v/>
      </c>
      <c r="AJ292" s="370" t="n"/>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UPPER(D293)</f>
        <v/>
      </c>
      <c r="AJ293" s="370" t="n"/>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UPPER(D294)</f>
        <v/>
      </c>
      <c r="AJ294" s="370" t="n"/>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UPPER(D295)</f>
        <v/>
      </c>
      <c r="AJ295" s="370" t="n"/>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UPPER(D296)</f>
        <v/>
      </c>
      <c r="AJ296" s="370" t="n"/>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UPPER(D297)</f>
        <v/>
      </c>
      <c r="AJ297" s="370" t="n"/>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UPPER(D298)</f>
        <v/>
      </c>
      <c r="AJ298" s="370" t="n"/>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UPPER(D299)</f>
        <v/>
      </c>
      <c r="AJ299" s="370" t="n"/>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UPPER(D300)</f>
        <v/>
      </c>
      <c r="AJ300" s="370" t="n"/>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UPPER(D301)</f>
        <v/>
      </c>
      <c r="AJ301" s="370" t="n"/>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UPPER(D302)</f>
        <v/>
      </c>
      <c r="AJ302" s="370" t="n"/>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UPPER(D303)</f>
        <v/>
      </c>
      <c r="AJ303" s="370" t="n"/>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UPPER(D304)</f>
        <v/>
      </c>
      <c r="AJ304" s="370" t="n"/>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UPPER(D305)</f>
        <v/>
      </c>
      <c r="AJ305" s="370" t="n"/>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UPPER(D306)</f>
        <v/>
      </c>
      <c r="AJ306" s="370" t="n"/>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UPPER(D307)</f>
        <v/>
      </c>
      <c r="AJ307" s="370" t="n"/>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UPPER(D308)</f>
        <v/>
      </c>
      <c r="AJ308" s="370" t="n"/>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UPPER(D309)</f>
        <v/>
      </c>
      <c r="AJ309" s="370" t="n"/>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UPPER(D310)</f>
        <v/>
      </c>
      <c r="AJ310" s="370" t="n"/>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UPPER(D311)</f>
        <v/>
      </c>
      <c r="AJ311" s="370" t="n"/>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UPPER(D312)</f>
        <v/>
      </c>
      <c r="AJ312" s="370" t="n"/>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UPPER(D313)</f>
        <v/>
      </c>
      <c r="AJ313" s="370" t="n"/>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UPPER(D314)</f>
        <v/>
      </c>
      <c r="AJ314" s="370" t="n"/>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UPPER(D315)</f>
        <v/>
      </c>
      <c r="AJ315" s="370" t="n"/>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UPPER(D316)</f>
        <v/>
      </c>
      <c r="AJ316" s="370" t="n"/>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UPPER(D317)</f>
        <v/>
      </c>
      <c r="AJ317" s="370" t="n"/>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UPPER(D318)</f>
        <v/>
      </c>
      <c r="AJ318" s="370" t="n"/>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UPPER(D319)</f>
        <v/>
      </c>
      <c r="AJ319" s="370" t="n"/>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UPPER(D320)</f>
        <v/>
      </c>
      <c r="AJ320" s="370" t="n"/>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UPPER(D321)</f>
        <v/>
      </c>
      <c r="AJ321" s="370" t="n"/>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UPPER(D322)</f>
        <v/>
      </c>
      <c r="AJ322" s="370" t="n"/>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UPPER(D323)</f>
        <v/>
      </c>
      <c r="AJ323" s="370" t="n"/>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UPPER(D324)</f>
        <v/>
      </c>
      <c r="AJ324" s="370" t="n"/>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UPPER(D325)</f>
        <v/>
      </c>
      <c r="AJ325" s="370" t="n"/>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UPPER(D326)</f>
        <v/>
      </c>
      <c r="AJ326" s="370" t="n"/>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UPPER(D327)</f>
        <v/>
      </c>
      <c r="AJ327" s="370" t="n"/>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UPPER(D328)</f>
        <v/>
      </c>
      <c r="AJ328" s="370" t="n"/>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UPPER(D329)</f>
        <v/>
      </c>
      <c r="AJ329" s="370" t="n"/>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UPPER(D330)</f>
        <v/>
      </c>
      <c r="AJ330" s="370" t="n"/>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UPPER(D331)</f>
        <v/>
      </c>
      <c r="AJ331" s="370" t="n"/>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UPPER(D332)</f>
        <v/>
      </c>
      <c r="AJ332" s="370" t="n"/>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UPPER(D333)</f>
        <v/>
      </c>
      <c r="AJ333" s="370" t="n"/>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UPPER(D334)</f>
        <v/>
      </c>
      <c r="AJ334" s="370" t="n"/>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UPPER(D335)</f>
        <v/>
      </c>
      <c r="AJ335" s="370" t="n"/>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UPPER(D336)</f>
        <v/>
      </c>
      <c r="AJ336" s="370" t="n"/>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UPPER(D337)</f>
        <v/>
      </c>
      <c r="AJ337" s="370" t="n"/>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UPPER(D338)</f>
        <v/>
      </c>
      <c r="AJ338" s="370" t="n"/>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UPPER(D339)</f>
        <v/>
      </c>
      <c r="AJ339" s="370" t="n"/>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UPPER(D340)</f>
        <v/>
      </c>
      <c r="AJ340" s="370" t="n"/>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UPPER(D341)</f>
        <v/>
      </c>
      <c r="AJ341" s="370" t="n"/>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UPPER(D342)</f>
        <v/>
      </c>
      <c r="AJ342" s="370" t="n"/>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UPPER(D343)</f>
        <v/>
      </c>
      <c r="AJ343" s="370" t="n"/>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UPPER(D344)</f>
        <v/>
      </c>
      <c r="AJ344" s="370" t="n"/>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UPPER(D345)</f>
        <v/>
      </c>
      <c r="AJ345" s="370" t="n"/>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UPPER(D346)</f>
        <v/>
      </c>
      <c r="AJ346" s="370" t="n"/>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UPPER(D347)</f>
        <v/>
      </c>
      <c r="AJ347" s="370" t="n"/>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UPPER(D348)</f>
        <v/>
      </c>
      <c r="AJ348" s="370" t="n"/>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UPPER(D349)</f>
        <v/>
      </c>
      <c r="AJ349" s="370" t="n"/>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UPPER(D350)</f>
        <v/>
      </c>
      <c r="AJ350" s="370" t="n"/>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UPPER(D351)</f>
        <v/>
      </c>
      <c r="AJ351" s="370" t="n"/>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UPPER(D352)</f>
        <v/>
      </c>
      <c r="AJ352" s="370" t="n"/>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UPPER(D353)</f>
        <v/>
      </c>
      <c r="AJ353" s="370" t="n"/>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UPPER(D354)</f>
        <v/>
      </c>
      <c r="AJ354" s="370" t="n"/>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UPPER(D355)</f>
        <v/>
      </c>
      <c r="AJ355" s="370" t="n"/>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UPPER(D356)</f>
        <v/>
      </c>
      <c r="AJ356" s="370" t="n"/>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UPPER(D357)</f>
        <v/>
      </c>
      <c r="AJ357" s="370" t="n"/>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UPPER(D358)</f>
        <v/>
      </c>
      <c r="AJ358" s="370" t="n"/>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UPPER(D359)</f>
        <v/>
      </c>
      <c r="AJ359" s="370" t="n"/>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UPPER(D360)</f>
        <v/>
      </c>
      <c r="AJ360" s="370" t="n"/>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UPPER(D361)</f>
        <v/>
      </c>
      <c r="AJ361" s="370" t="n"/>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UPPER(D362)</f>
        <v/>
      </c>
      <c r="AJ362" s="370" t="n"/>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UPPER(D363)</f>
        <v/>
      </c>
      <c r="AJ363" s="370" t="n"/>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UPPER(D364)</f>
        <v/>
      </c>
      <c r="AJ364" s="370" t="n"/>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UPPER(D365)</f>
        <v/>
      </c>
      <c r="AJ365" s="370" t="n"/>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UPPER(D366)</f>
        <v/>
      </c>
      <c r="AJ366" s="370" t="n"/>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UPPER(D367)</f>
        <v/>
      </c>
      <c r="AJ367" s="370" t="n"/>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UPPER(D368)</f>
        <v/>
      </c>
      <c r="AJ368" s="370" t="n"/>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UPPER(D369)</f>
        <v/>
      </c>
      <c r="AJ369" s="370" t="n"/>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UPPER(D370)</f>
        <v/>
      </c>
      <c r="AJ370" s="370" t="n"/>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UPPER(D371)</f>
        <v/>
      </c>
      <c r="AJ371" s="370" t="n"/>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UPPER(D372)</f>
        <v/>
      </c>
      <c r="AJ372" s="370" t="n"/>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UPPER(D373)</f>
        <v/>
      </c>
      <c r="AJ373" s="370" t="n"/>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UPPER(D374)</f>
        <v/>
      </c>
      <c r="AJ374" s="370" t="n"/>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UPPER(D375)</f>
        <v/>
      </c>
      <c r="AJ375" s="370" t="n"/>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UPPER(D376)</f>
        <v/>
      </c>
      <c r="AJ376" s="370" t="n"/>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UPPER(D377)</f>
        <v/>
      </c>
      <c r="AJ377" s="370" t="n"/>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UPPER(D378)</f>
        <v/>
      </c>
      <c r="AJ378" s="370" t="n"/>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UPPER(D379)</f>
        <v/>
      </c>
      <c r="AJ379" s="370" t="n"/>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UPPER(D380)</f>
        <v/>
      </c>
      <c r="AJ380" s="370" t="n"/>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UPPER(D381)</f>
        <v/>
      </c>
      <c r="AJ381" s="370" t="n"/>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UPPER(D382)</f>
        <v/>
      </c>
      <c r="AJ382" s="370" t="n"/>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UPPER(D383)</f>
        <v/>
      </c>
      <c r="AJ383" s="370" t="n"/>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UPPER(D384)</f>
        <v/>
      </c>
      <c r="AJ384" s="370" t="n"/>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UPPER(D385)</f>
        <v/>
      </c>
      <c r="AJ385" s="370" t="n"/>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UPPER(D386)</f>
        <v/>
      </c>
      <c r="AJ386" s="370" t="n"/>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UPPER(D387)</f>
        <v/>
      </c>
      <c r="AJ387" s="370" t="n"/>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UPPER(D388)</f>
        <v/>
      </c>
      <c r="AJ388" s="370" t="n"/>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UPPER(D389)</f>
        <v/>
      </c>
      <c r="AJ389" s="370" t="n"/>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UPPER(D390)</f>
        <v/>
      </c>
      <c r="AJ390" s="370" t="n"/>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UPPER(D391)</f>
        <v/>
      </c>
      <c r="AJ391" s="370" t="n"/>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UPPER(D392)</f>
        <v/>
      </c>
      <c r="AJ392" s="370" t="n"/>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UPPER(D393)</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UPPER(D394)</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UPPER(D395)</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UPPER(D396)</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UPPER(D397)</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UPPER(D398)</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UPPER(D399)</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UPPER(D400)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UPPER(D401)</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UPPER(D402)</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UPPER(D403)</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UPPER(D404)</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UPPER(D405)</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UPPER(D406)</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UPPER(D407)</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UPPER(D408)</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UPPER(D409)</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UPPER(D410)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UPPER(D411)</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UPPER(D412)</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UPPER(D413)</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UPPER(D414)</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UPPER(D415)</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UPPER(D416)</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UPPER(D417)</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UPPER(D418)</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UPPER(D419)</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UPPER(D420)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UPPER(D421)</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UPPER(D422)</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UPPER(D423)</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UPPER(D424)</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UPPER(D425)</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UPPER(D426)</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UPPER(D427)</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UPPER(D428)</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UPPER(D429)</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UPPER(D430)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UPPER(D431)</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UPPER(D432)</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UPPER(D433)</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UPPER(D434)</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UPPER(D435)</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UPPER(D436)</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UPPER(D437)</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UPPER(D438)</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UPPER(D439)</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UPPER(D440)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UPPER(D441)</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UPPER(D442)</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UPPER(D443)</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UPPER(D444)</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UPPER(D445)</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UPPER(D446)</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UPPER(D447)</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UPPER(D448)</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UPPER(D449)</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UPPER(D450)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UPPER(D451)</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UPPER(D452)</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UPPER(D453)</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UPPER(D454)</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UPPER(D455)</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UPPER(D456)</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UPPER(D457)</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UPPER(D458)</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UPPER(D459)</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UPPER(D460)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UPPER(D461)</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UPPER(D462)</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UPPER(D463)</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UPPER(D464)</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UPPER(D465)</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UPPER(D466)</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UPPER(D467)</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UPPER(D468)</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UPPER(D469)</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UPPER(D470)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UPPER(D471)</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UPPER(D472)</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UPPER(D473)</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UPPER(D474)</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UPPER(D475)</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UPPER(D476)</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UPPER(D477)</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UPPER(D478)</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UPPER(D479)</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UPPER(D480)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UPPER(D481)</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UPPER(D482)</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UPPER(D483)</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UPPER(D484)</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UPPER(D485)</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UPPER(D486)</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UPPER(D487)</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UPPER(D488)</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UPPER(D489)</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UPPER(D490)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UPPER(D491)</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UPPER(D492)</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UPPER(D493)</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UPPER(D494)</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UPPER(D495)</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UPPER(D496)</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UPPER(D497)</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UPPER(D498)</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UPPER(D499)</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UPPER(D500)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UPPER(D501)</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UPPER(D502)</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UPPER(D503)</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UPPER(D504)</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UPPER(D505)</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UPPER(D506)</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UPPER(D507)</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UPPER(D508)</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UPPER(D509)</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UPPER(D510)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UPPER(D511)</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UPPER(D512)</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UPPER(D513)</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UPPER(D514)</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UPPER(D515)</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UPPER(D516)</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UPPER(D517)</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UPPER(D518)</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UPPER(D519)</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UPPER(D520)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UPPER(D521)</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UPPER(D522)</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UPPER(D523)</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UPPER(D524)</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UPPER(D525)</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UPPER(D526)</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UPPER(D527)</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UPPER(D528)</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UPPER(D529)</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UPPER(D530)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UPPER(D531)</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UPPER(D532)</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UPPER(D533)</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UPPER(D534)</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UPPER(D535)</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UPPER(D536)</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UPPER(D537)</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UPPER(D538)</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UPPER(D539)</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UPPER(D540)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UPPER(D541)</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UPPER(D542)</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UPPER(D543)</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UPPER(D544)</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UPPER(D545)</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UPPER(D546)</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UPPER(D547)</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UPPER(D548)</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UPPER(D549)</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UPPER(D550)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UPPER(D551)</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UPPER(D552)</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UPPER(D553)</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UPPER(D554)</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UPPER(D555)</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UPPER(D556)</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UPPER(D557)</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UPPER(D558)</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UPPER(D559)</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UPPER(D560)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UPPER(D561)</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UPPER(D562)</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UPPER(D563)</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UPPER(D564)</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UPPER(D565)</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UPPER(D566)</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UPPER(D567)</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UPPER(D568)</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UPPER(D569)</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UPPER(D570)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UPPER(D571)</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UPPER(D572)</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UPPER(D573)</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UPPER(D574)</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UPPER(D575)</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UPPER(D576)</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UPPER(D577)</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UPPER(D578)</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UPPER(D579)</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UPPER(D580)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UPPER(D581)</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UPPER(D582)</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UPPER(D583)</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UPPER(D584)</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UPPER(D585)</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UPPER(D586)</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UPPER(D587)</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UPPER(D588)</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UPPER(D589)</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UPPER(D590)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UPPER(D591)</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UPPER(D592)</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UPPER(D593)</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UPPER(D594)</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UPPER(D595)</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UPPER(D596)</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UPPER(D597)</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UPPER(D598)</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UPPER(D599)</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UPPER(D600)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UPPER(D601)</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UPPER(D602)</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UPPER(D603)</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UPPER(D604)</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UPPER(D605)</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UPPER(D606)</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UPPER(D607)</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UPPER(D608)</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UPPER(D609)</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UPPER(D610)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UPPER(D611)</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UPPER(D612)</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UPPER(D613)</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UPPER(D614)</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UPPER(D615)</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UPPER(D616)</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UPPER(D617)</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UPPER(D618)</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UPPER(D619)</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UPPER(D620)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UPPER(D621)</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UPPER(D622)</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UPPER(D623)</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UPPER(D624)</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UPPER(D625)</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UPPER(D626)</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UPPER(D627)</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UPPER(D628)</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UPPER(D629)</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UPPER(D630)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UPPER(D631)</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UPPER(D632)</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UPPER(D633)</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UPPER(D634)</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UPPER(D635)</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UPPER(D636)</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UPPER(D637)</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UPPER(D638)</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UPPER(D639)</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UPPER(D640)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UPPER(D641)</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UPPER(D642)</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UPPER(D643)</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UPPER(D644)</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UPPER(D645)</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UPPER(D646)</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UPPER(D647)</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UPPER(D648)</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UPPER(D649)</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UPPER(D650)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UPPER(D651)</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UPPER(D652)</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UPPER(D653)</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UPPER(D654)</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UPPER(D655)</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UPPER(D656)</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UPPER(D657)</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UPPER(D658)</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UPPER(D659)</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UPPER(D660)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UPPER(D661)</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UPPER(D662)</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UPPER(D663)</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UPPER(D664)</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UPPER(D665)</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UPPER(D666)</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UPPER(D667)</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UPPER(D668)</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UPPER(D669)</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UPPER(D670)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UPPER(D671)</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UPPER(D672)</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UPPER(D673)</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UPPER(D674)</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UPPER(D675)</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UPPER(D676)</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UPPER(D677)</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UPPER(D678)</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UPPER(D679)</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UPPER(D680)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UPPER(D681)</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UPPER(D682)</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UPPER(D683)</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UPPER(D684)</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UPPER(D685)</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UPPER(D686)</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UPPER(D687)</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UPPER(D688)</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UPPER(D689)</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UPPER(D690)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UPPER(D691)</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UPPER(D692)</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UPPER(D693)</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UPPER(D694)</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UPPER(D695)</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UPPER(D696)</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UPPER(D697)</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UPPER(D698)</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UPPER(D699)</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UPPER(D700)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UPPER(D701)</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UPPER(D702)</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UPPER(D703)</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UPPER(D704)</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UPPER(D705)</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UPPER(D706)</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UPPER(D707)</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UPPER(D708)</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UPPER(D709)</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UPPER(D710)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UPPER(D711)</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UPPER(D712)</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UPPER(D713)</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UPPER(D714)</f>
        <v/>
      </c>
    </row>
    <row r="715" ht="15" customHeight="1">
      <c r="A715" s="248" t="n">
        <v>8</v>
      </c>
      <c r="B715" s="245" t="n">
        <v>711</v>
      </c>
    </row>
    <row r="716" ht="15" customHeight="1">
      <c r="A716" s="248" t="n">
        <v>8</v>
      </c>
      <c r="B716" s="245" t="n">
        <v>712</v>
      </c>
    </row>
    <row r="717" ht="15" customHeight="1">
      <c r="A717" s="248" t="n">
        <v>8</v>
      </c>
      <c r="B717" s="245" t="n">
        <v>713</v>
      </c>
    </row>
    <row r="718" ht="15" customHeight="1">
      <c r="A718" s="248" t="n">
        <v>8</v>
      </c>
      <c r="B718" s="245" t="n">
        <v>714</v>
      </c>
    </row>
    <row r="719" ht="15" customHeight="1">
      <c r="A719" s="248" t="n">
        <v>8</v>
      </c>
      <c r="B719" s="245" t="n">
        <v>715</v>
      </c>
    </row>
    <row r="720" ht="15" customHeight="1">
      <c r="A720" s="248" t="n">
        <v>8</v>
      </c>
      <c r="B720" s="245" t="n">
        <v>716</v>
      </c>
    </row>
    <row r="721" ht="15" customHeight="1">
      <c r="A721" s="248" t="n">
        <v>8</v>
      </c>
      <c r="B721" s="245" t="n">
        <v>717</v>
      </c>
    </row>
    <row r="722" ht="15" customHeight="1">
      <c r="A722" s="248" t="n">
        <v>8</v>
      </c>
      <c r="B722" s="245" t="n">
        <v>718</v>
      </c>
    </row>
    <row r="723" ht="15" customHeight="1">
      <c r="A723" s="248" t="n">
        <v>8</v>
      </c>
      <c r="B723" s="245" t="n">
        <v>719</v>
      </c>
    </row>
    <row r="724" ht="15" customHeight="1">
      <c r="A724" s="248" t="n">
        <v>8</v>
      </c>
      <c r="B724" s="245" t="n">
        <v>720</v>
      </c>
    </row>
    <row r="725" ht="15" customHeight="1">
      <c r="A725" s="248" t="n">
        <v>8</v>
      </c>
      <c r="B725" s="245" t="n">
        <v>721</v>
      </c>
    </row>
    <row r="726" ht="15" customHeight="1">
      <c r="A726" s="248" t="n">
        <v>8</v>
      </c>
      <c r="B726" s="245" t="n">
        <v>722</v>
      </c>
    </row>
    <row r="727" ht="15" customHeight="1">
      <c r="A727" s="248" t="n">
        <v>8</v>
      </c>
      <c r="B727" s="245" t="n">
        <v>723</v>
      </c>
    </row>
    <row r="728" ht="15" customHeight="1">
      <c r="A728" s="248" t="n">
        <v>8</v>
      </c>
      <c r="B728" s="245" t="n">
        <v>724</v>
      </c>
    </row>
    <row r="729" ht="15" customHeight="1">
      <c r="A729" s="248" t="n">
        <v>8</v>
      </c>
      <c r="B729" s="245" t="n">
        <v>725</v>
      </c>
    </row>
    <row r="730" ht="15" customHeight="1">
      <c r="A730" s="248" t="n">
        <v>8</v>
      </c>
      <c r="B730" s="245" t="n">
        <v>726</v>
      </c>
    </row>
    <row r="731" ht="15" customHeight="1">
      <c r="A731" s="248" t="n">
        <v>8</v>
      </c>
      <c r="B731" s="245" t="n">
        <v>727</v>
      </c>
    </row>
    <row r="732" ht="15" customHeight="1">
      <c r="A732" s="248" t="n">
        <v>8</v>
      </c>
      <c r="B732" s="245" t="n">
        <v>728</v>
      </c>
    </row>
    <row r="733" ht="15" customHeight="1">
      <c r="A733" s="248" t="n">
        <v>8</v>
      </c>
      <c r="B733" s="245" t="n">
        <v>729</v>
      </c>
    </row>
    <row r="734" ht="15" customHeight="1">
      <c r="A734" s="248" t="n">
        <v>8</v>
      </c>
      <c r="B734" s="245" t="n">
        <v>730</v>
      </c>
    </row>
    <row r="735" ht="15" customHeight="1">
      <c r="A735" s="248" t="n">
        <v>8</v>
      </c>
      <c r="B735" s="245" t="n">
        <v>731</v>
      </c>
    </row>
    <row r="736" ht="15" customHeight="1">
      <c r="A736" s="248" t="n">
        <v>8</v>
      </c>
      <c r="B736" s="245" t="n">
        <v>732</v>
      </c>
    </row>
    <row r="737" ht="15" customHeight="1">
      <c r="A737" s="248" t="n">
        <v>8</v>
      </c>
      <c r="B737" s="245" t="n">
        <v>733</v>
      </c>
    </row>
    <row r="738" ht="15" customHeight="1">
      <c r="A738" s="248" t="n">
        <v>8</v>
      </c>
      <c r="B738" s="245" t="n">
        <v>734</v>
      </c>
    </row>
    <row r="739" ht="15" customHeight="1">
      <c r="A739" s="248" t="n">
        <v>8</v>
      </c>
      <c r="B739" s="245" t="n">
        <v>735</v>
      </c>
    </row>
    <row r="740" ht="15" customHeight="1">
      <c r="A740" s="248" t="n">
        <v>8</v>
      </c>
      <c r="B740" s="245" t="n">
        <v>736</v>
      </c>
    </row>
    <row r="741" ht="15" customHeight="1">
      <c r="A741" s="248" t="n">
        <v>8</v>
      </c>
      <c r="B741" s="245" t="n">
        <v>737</v>
      </c>
    </row>
    <row r="742" ht="15" customHeight="1">
      <c r="A742" s="248" t="n">
        <v>8</v>
      </c>
      <c r="B742" s="245" t="n">
        <v>738</v>
      </c>
    </row>
    <row r="743" ht="15" customHeight="1">
      <c r="A743" s="248" t="n">
        <v>8</v>
      </c>
      <c r="B743" s="245" t="n">
        <v>739</v>
      </c>
    </row>
    <row r="744" ht="15" customHeight="1">
      <c r="A744" s="248" t="n">
        <v>8</v>
      </c>
      <c r="B744" s="245" t="n">
        <v>740</v>
      </c>
    </row>
    <row r="745" ht="15" customHeight="1">
      <c r="A745" s="248" t="n">
        <v>8</v>
      </c>
      <c r="B745" s="245" t="n">
        <v>741</v>
      </c>
    </row>
    <row r="746" ht="15" customHeight="1">
      <c r="A746" s="248" t="n">
        <v>8</v>
      </c>
      <c r="B746" s="245" t="n">
        <v>742</v>
      </c>
    </row>
    <row r="747" ht="15" customHeight="1">
      <c r="A747" s="248" t="n">
        <v>8</v>
      </c>
      <c r="B747" s="245" t="n">
        <v>743</v>
      </c>
    </row>
    <row r="748" ht="15" customHeight="1">
      <c r="A748" s="248" t="n">
        <v>8</v>
      </c>
      <c r="B748" s="245" t="n">
        <v>744</v>
      </c>
    </row>
    <row r="749" ht="15" customHeight="1">
      <c r="A749" s="248" t="n">
        <v>8</v>
      </c>
      <c r="B749" s="245" t="n">
        <v>745</v>
      </c>
    </row>
    <row r="750" ht="15" customHeight="1">
      <c r="A750" s="248" t="n">
        <v>8</v>
      </c>
      <c r="B750" s="245" t="n">
        <v>746</v>
      </c>
    </row>
    <row r="751" ht="15" customHeight="1">
      <c r="A751" s="248" t="n">
        <v>8</v>
      </c>
      <c r="B751" s="245" t="n">
        <v>747</v>
      </c>
    </row>
    <row r="752" ht="15" customHeight="1">
      <c r="A752" s="248" t="n">
        <v>8</v>
      </c>
      <c r="B752" s="245" t="n">
        <v>748</v>
      </c>
    </row>
    <row r="753" ht="15" customHeight="1">
      <c r="A753" s="248" t="n">
        <v>8</v>
      </c>
      <c r="B753" s="245" t="n">
        <v>749</v>
      </c>
    </row>
    <row r="754" ht="15" customHeight="1">
      <c r="A754" s="248" t="n">
        <v>8</v>
      </c>
      <c r="B754" s="245" t="n">
        <v>750</v>
      </c>
    </row>
    <row r="755" ht="15" customHeight="1">
      <c r="A755" s="248" t="n">
        <v>8</v>
      </c>
      <c r="B755" s="245" t="n">
        <v>751</v>
      </c>
    </row>
    <row r="756" ht="15" customHeight="1">
      <c r="A756" s="248" t="n">
        <v>8</v>
      </c>
      <c r="B756" s="245" t="n">
        <v>752</v>
      </c>
    </row>
    <row r="757" ht="15" customHeight="1">
      <c r="A757" s="248" t="n">
        <v>8</v>
      </c>
      <c r="B757" s="245" t="n">
        <v>753</v>
      </c>
    </row>
    <row r="758" ht="15" customHeight="1">
      <c r="A758" s="248" t="n">
        <v>8</v>
      </c>
      <c r="B758" s="245" t="n">
        <v>754</v>
      </c>
    </row>
    <row r="759" ht="15" customHeight="1">
      <c r="A759" s="248" t="n">
        <v>8</v>
      </c>
      <c r="B759" s="245" t="n">
        <v>755</v>
      </c>
    </row>
    <row r="760" ht="15" customHeight="1">
      <c r="A760" s="248" t="n">
        <v>8</v>
      </c>
      <c r="B760" s="245" t="n">
        <v>756</v>
      </c>
    </row>
    <row r="761" ht="15" customHeight="1">
      <c r="A761" s="248" t="n">
        <v>8</v>
      </c>
      <c r="B761" s="245" t="n">
        <v>757</v>
      </c>
    </row>
    <row r="762" ht="15" customHeight="1">
      <c r="A762" s="248" t="n">
        <v>8</v>
      </c>
      <c r="B762" s="245" t="n">
        <v>758</v>
      </c>
    </row>
    <row r="763" ht="15" customHeight="1">
      <c r="A763" s="248" t="n">
        <v>8</v>
      </c>
      <c r="B763" s="245" t="n">
        <v>759</v>
      </c>
    </row>
    <row r="764" ht="15" customHeight="1">
      <c r="A764" s="248" t="n">
        <v>8</v>
      </c>
      <c r="B764" s="245" t="n">
        <v>760</v>
      </c>
    </row>
    <row r="765" ht="15" customHeight="1">
      <c r="A765" s="248" t="n">
        <v>8</v>
      </c>
      <c r="B765" s="245" t="n">
        <v>761</v>
      </c>
    </row>
    <row r="766" ht="15" customHeight="1">
      <c r="A766" s="248" t="n">
        <v>8</v>
      </c>
      <c r="B766" s="245" t="n">
        <v>762</v>
      </c>
    </row>
    <row r="767" ht="15" customHeight="1">
      <c r="A767" s="248" t="n">
        <v>8</v>
      </c>
      <c r="B767" s="245" t="n">
        <v>763</v>
      </c>
    </row>
    <row r="768" ht="15" customHeight="1">
      <c r="A768" s="248" t="n">
        <v>8</v>
      </c>
      <c r="B768" s="245" t="n">
        <v>764</v>
      </c>
    </row>
    <row r="769" ht="15" customHeight="1">
      <c r="A769" s="248" t="n">
        <v>8</v>
      </c>
      <c r="B769" s="245" t="n">
        <v>765</v>
      </c>
    </row>
    <row r="770" ht="15" customHeight="1">
      <c r="A770" s="248" t="n">
        <v>8</v>
      </c>
      <c r="B770" s="245" t="n">
        <v>766</v>
      </c>
    </row>
    <row r="771" ht="15" customHeight="1">
      <c r="A771" s="248" t="n">
        <v>8</v>
      </c>
      <c r="B771" s="245" t="n">
        <v>767</v>
      </c>
    </row>
    <row r="772" ht="15" customHeight="1">
      <c r="A772" s="248" t="n">
        <v>8</v>
      </c>
      <c r="B772" s="245" t="n">
        <v>768</v>
      </c>
    </row>
    <row r="773" ht="15" customHeight="1">
      <c r="A773" s="248" t="n">
        <v>8</v>
      </c>
      <c r="B773" s="245" t="n">
        <v>769</v>
      </c>
    </row>
    <row r="774" ht="15" customHeight="1">
      <c r="A774" s="248" t="n">
        <v>8</v>
      </c>
      <c r="B774" s="245" t="n">
        <v>770</v>
      </c>
    </row>
    <row r="775" ht="15" customHeight="1">
      <c r="A775" s="248" t="n">
        <v>8</v>
      </c>
      <c r="B775" s="245" t="n">
        <v>771</v>
      </c>
    </row>
    <row r="776" ht="15" customHeight="1">
      <c r="A776" s="248" t="n">
        <v>8</v>
      </c>
      <c r="B776" s="245" t="n">
        <v>772</v>
      </c>
    </row>
    <row r="777" ht="15" customHeight="1">
      <c r="A777" s="248" t="n">
        <v>8</v>
      </c>
      <c r="B777" s="245" t="n">
        <v>773</v>
      </c>
    </row>
    <row r="778" ht="15" customHeight="1">
      <c r="A778" s="248" t="n">
        <v>8</v>
      </c>
      <c r="B778" s="245" t="n">
        <v>774</v>
      </c>
    </row>
    <row r="779" ht="15" customHeight="1">
      <c r="A779" s="248" t="n">
        <v>8</v>
      </c>
      <c r="B779" s="245" t="n">
        <v>775</v>
      </c>
    </row>
    <row r="780" ht="15" customHeight="1">
      <c r="A780" s="248" t="n">
        <v>8</v>
      </c>
      <c r="B780" s="245" t="n">
        <v>776</v>
      </c>
    </row>
    <row r="781" ht="15" customHeight="1">
      <c r="A781" s="248" t="n">
        <v>8</v>
      </c>
      <c r="B781" s="245" t="n">
        <v>777</v>
      </c>
    </row>
    <row r="782" ht="15" customHeight="1">
      <c r="A782" s="248" t="n">
        <v>8</v>
      </c>
      <c r="B782" s="245" t="n">
        <v>778</v>
      </c>
    </row>
    <row r="783" ht="15" customHeight="1">
      <c r="A783" s="248" t="n">
        <v>8</v>
      </c>
      <c r="B783" s="245" t="n">
        <v>779</v>
      </c>
    </row>
    <row r="784" ht="15" customHeight="1">
      <c r="A784" s="248" t="n">
        <v>8</v>
      </c>
      <c r="B784" s="245" t="n">
        <v>780</v>
      </c>
    </row>
    <row r="785" ht="15" customHeight="1">
      <c r="A785" s="248" t="n">
        <v>8</v>
      </c>
      <c r="B785" s="245" t="n">
        <v>781</v>
      </c>
    </row>
    <row r="786" ht="15" customHeight="1">
      <c r="A786" s="248" t="n">
        <v>8</v>
      </c>
      <c r="B786" s="245" t="n">
        <v>782</v>
      </c>
    </row>
    <row r="787" ht="15" customHeight="1">
      <c r="A787" s="248" t="n">
        <v>8</v>
      </c>
      <c r="B787" s="245" t="n">
        <v>783</v>
      </c>
    </row>
    <row r="788" ht="15" customHeight="1">
      <c r="A788" s="248" t="n">
        <v>8</v>
      </c>
      <c r="B788" s="245" t="n">
        <v>784</v>
      </c>
    </row>
    <row r="789" ht="15" customHeight="1">
      <c r="A789" s="248" t="n">
        <v>8</v>
      </c>
      <c r="B789" s="245" t="n">
        <v>785</v>
      </c>
    </row>
    <row r="790" ht="15" customHeight="1">
      <c r="A790" s="248" t="n">
        <v>8</v>
      </c>
      <c r="B790" s="245" t="n">
        <v>786</v>
      </c>
    </row>
    <row r="791" ht="15" customHeight="1">
      <c r="A791" s="248" t="n">
        <v>8</v>
      </c>
      <c r="B791" s="245" t="n">
        <v>787</v>
      </c>
    </row>
    <row r="792" ht="15" customHeight="1">
      <c r="A792" s="248" t="n">
        <v>8</v>
      </c>
      <c r="B792" s="245" t="n">
        <v>788</v>
      </c>
    </row>
    <row r="793" ht="15" customHeight="1">
      <c r="A793" s="248" t="n">
        <v>8</v>
      </c>
      <c r="B793" s="245" t="n">
        <v>789</v>
      </c>
    </row>
    <row r="794" ht="15" customHeight="1">
      <c r="A794" s="248" t="n">
        <v>8</v>
      </c>
      <c r="B794" s="245" t="n">
        <v>790</v>
      </c>
    </row>
    <row r="795" ht="15" customHeight="1">
      <c r="A795" s="248" t="n">
        <v>8</v>
      </c>
      <c r="B795" s="245" t="n">
        <v>791</v>
      </c>
    </row>
    <row r="796" ht="15" customHeight="1">
      <c r="A796" s="248" t="n">
        <v>8</v>
      </c>
      <c r="B796" s="245" t="n">
        <v>792</v>
      </c>
    </row>
    <row r="797" ht="15" customHeight="1">
      <c r="A797" s="248" t="n">
        <v>8</v>
      </c>
      <c r="B797" s="245" t="n">
        <v>793</v>
      </c>
    </row>
    <row r="798" ht="15" customHeight="1">
      <c r="A798" s="248" t="n">
        <v>8</v>
      </c>
      <c r="B798" s="245" t="n">
        <v>794</v>
      </c>
    </row>
    <row r="799" ht="15" customHeight="1">
      <c r="A799" s="248" t="n">
        <v>8</v>
      </c>
      <c r="B799" s="245" t="n">
        <v>795</v>
      </c>
    </row>
    <row r="800" ht="15" customHeight="1">
      <c r="A800" s="248" t="n">
        <v>8</v>
      </c>
      <c r="B800" s="245" t="n">
        <v>796</v>
      </c>
    </row>
    <row r="801" ht="15" customHeight="1">
      <c r="A801" s="248" t="n">
        <v>8</v>
      </c>
      <c r="B801" s="245" t="n">
        <v>797</v>
      </c>
    </row>
    <row r="802" ht="15" customHeight="1">
      <c r="A802" s="248" t="n">
        <v>8</v>
      </c>
      <c r="B802" s="245" t="n">
        <v>798</v>
      </c>
    </row>
    <row r="803" ht="15" customHeight="1">
      <c r="A803" s="248" t="n">
        <v>8</v>
      </c>
      <c r="B803" s="245" t="n">
        <v>799</v>
      </c>
    </row>
    <row r="804" ht="15" customHeight="1">
      <c r="A804" s="248" t="n">
        <v>8</v>
      </c>
      <c r="B804" s="245" t="n">
        <v>800</v>
      </c>
    </row>
    <row r="805" ht="15" customHeight="1">
      <c r="A805" s="248" t="n">
        <v>8</v>
      </c>
      <c r="B805" s="245" t="n">
        <v>801</v>
      </c>
    </row>
    <row r="806" ht="15" customHeight="1">
      <c r="A806" s="248" t="n">
        <v>8</v>
      </c>
      <c r="B806" s="245" t="n">
        <v>802</v>
      </c>
    </row>
    <row r="807" ht="15" customHeight="1">
      <c r="A807" s="248" t="n">
        <v>8</v>
      </c>
      <c r="B807" s="245" t="n">
        <v>803</v>
      </c>
    </row>
    <row r="808" ht="15" customHeight="1">
      <c r="A808" s="248" t="n">
        <v>8</v>
      </c>
      <c r="B808" s="245" t="n">
        <v>804</v>
      </c>
    </row>
    <row r="809" ht="15" customHeight="1">
      <c r="A809" s="248" t="n">
        <v>8</v>
      </c>
      <c r="B809" s="245" t="n">
        <v>805</v>
      </c>
    </row>
    <row r="810" ht="15" customHeight="1">
      <c r="A810" s="248" t="n">
        <v>8</v>
      </c>
      <c r="B810" s="245" t="n">
        <v>806</v>
      </c>
    </row>
    <row r="811" ht="15" customHeight="1">
      <c r="A811" s="248" t="n">
        <v>8</v>
      </c>
      <c r="B811" s="245" t="n">
        <v>807</v>
      </c>
    </row>
    <row r="812" ht="15" customHeight="1">
      <c r="A812" s="248" t="n">
        <v>8</v>
      </c>
      <c r="B812" s="245" t="n">
        <v>808</v>
      </c>
    </row>
    <row r="813" ht="15" customHeight="1">
      <c r="A813" s="248" t="n">
        <v>8</v>
      </c>
      <c r="B813" s="245" t="n">
        <v>809</v>
      </c>
    </row>
    <row r="814" ht="15" customHeight="1">
      <c r="A814" s="248" t="n">
        <v>8</v>
      </c>
      <c r="B814" s="245" t="n">
        <v>810</v>
      </c>
    </row>
    <row r="815" ht="15" customHeight="1">
      <c r="A815" s="248" t="n">
        <v>8</v>
      </c>
      <c r="B815" s="245" t="n">
        <v>811</v>
      </c>
    </row>
    <row r="816" ht="15" customHeight="1">
      <c r="A816" s="248" t="n">
        <v>8</v>
      </c>
      <c r="B816" s="245" t="n">
        <v>812</v>
      </c>
    </row>
    <row r="817" ht="15" customHeight="1">
      <c r="A817" s="248" t="n">
        <v>8</v>
      </c>
      <c r="B817" s="245" t="n">
        <v>813</v>
      </c>
    </row>
    <row r="818" ht="15" customHeight="1">
      <c r="A818" s="248" t="n">
        <v>8</v>
      </c>
      <c r="B818" s="245" t="n">
        <v>814</v>
      </c>
    </row>
    <row r="819" ht="15" customHeight="1">
      <c r="A819" s="248" t="n">
        <v>8</v>
      </c>
      <c r="B819" s="245" t="n">
        <v>815</v>
      </c>
    </row>
    <row r="820" ht="15" customHeight="1">
      <c r="A820" s="248" t="n">
        <v>8</v>
      </c>
      <c r="B820" s="245" t="n">
        <v>816</v>
      </c>
    </row>
    <row r="821" ht="15" customHeight="1">
      <c r="A821" s="248" t="n">
        <v>8</v>
      </c>
      <c r="B821" s="245" t="n">
        <v>817</v>
      </c>
    </row>
    <row r="822" ht="15" customHeight="1">
      <c r="A822" s="248" t="n">
        <v>8</v>
      </c>
      <c r="B822" s="245" t="n">
        <v>818</v>
      </c>
    </row>
    <row r="823" ht="15" customHeight="1">
      <c r="A823" s="248" t="n">
        <v>8</v>
      </c>
      <c r="B823" s="245" t="n">
        <v>819</v>
      </c>
    </row>
    <row r="824" ht="15" customHeight="1">
      <c r="A824" s="248" t="n">
        <v>8</v>
      </c>
      <c r="B824" s="245" t="n">
        <v>820</v>
      </c>
    </row>
    <row r="825" ht="15" customHeight="1">
      <c r="A825" s="248" t="n">
        <v>8</v>
      </c>
      <c r="B825" s="245" t="n">
        <v>821</v>
      </c>
    </row>
    <row r="826" ht="15" customHeight="1">
      <c r="A826" s="248" t="n">
        <v>8</v>
      </c>
      <c r="B826" s="245" t="n">
        <v>822</v>
      </c>
    </row>
    <row r="827" ht="15" customHeight="1">
      <c r="A827" s="248" t="n">
        <v>8</v>
      </c>
      <c r="B827" s="245" t="n">
        <v>823</v>
      </c>
    </row>
    <row r="828" ht="15" customHeight="1">
      <c r="A828" s="248" t="n">
        <v>8</v>
      </c>
      <c r="B828" s="245" t="n">
        <v>824</v>
      </c>
    </row>
    <row r="829" ht="15" customHeight="1">
      <c r="A829" s="248" t="n">
        <v>8</v>
      </c>
      <c r="B829" s="245" t="n">
        <v>825</v>
      </c>
    </row>
    <row r="830" ht="15" customHeight="1">
      <c r="A830" s="248" t="n">
        <v>8</v>
      </c>
      <c r="B830" s="245" t="n">
        <v>826</v>
      </c>
    </row>
    <row r="831" ht="15" customHeight="1">
      <c r="A831" s="248" t="n">
        <v>8</v>
      </c>
      <c r="B831" s="245" t="n">
        <v>827</v>
      </c>
    </row>
    <row r="832" ht="15" customHeight="1">
      <c r="A832" s="248" t="n">
        <v>8</v>
      </c>
      <c r="B832" s="245" t="n">
        <v>828</v>
      </c>
    </row>
    <row r="833" ht="15" customHeight="1">
      <c r="A833" s="248" t="n">
        <v>8</v>
      </c>
      <c r="B833" s="245" t="n">
        <v>829</v>
      </c>
    </row>
    <row r="834" ht="15" customHeight="1">
      <c r="A834" s="248" t="n">
        <v>8</v>
      </c>
      <c r="B834" s="245" t="n">
        <v>830</v>
      </c>
    </row>
    <row r="835" ht="15" customHeight="1">
      <c r="A835" s="248" t="n">
        <v>8</v>
      </c>
      <c r="B835" s="245" t="n">
        <v>831</v>
      </c>
    </row>
    <row r="836" ht="15" customHeight="1">
      <c r="A836" s="248" t="n">
        <v>8</v>
      </c>
      <c r="B836" s="245" t="n">
        <v>832</v>
      </c>
    </row>
    <row r="837" ht="15" customHeight="1">
      <c r="A837" s="248" t="n">
        <v>8</v>
      </c>
      <c r="B837" s="245" t="n">
        <v>833</v>
      </c>
    </row>
    <row r="838" ht="15" customHeight="1">
      <c r="A838" s="248" t="n">
        <v>8</v>
      </c>
      <c r="B838" s="245" t="n">
        <v>834</v>
      </c>
    </row>
    <row r="839" ht="15" customHeight="1">
      <c r="A839" s="248" t="n">
        <v>8</v>
      </c>
      <c r="B839" s="245" t="n">
        <v>835</v>
      </c>
    </row>
    <row r="840" ht="15" customHeight="1">
      <c r="A840" s="248" t="n">
        <v>8</v>
      </c>
      <c r="B840" s="245" t="n">
        <v>836</v>
      </c>
    </row>
    <row r="841" ht="15" customHeight="1">
      <c r="A841" s="248" t="n">
        <v>8</v>
      </c>
      <c r="B841" s="245" t="n">
        <v>837</v>
      </c>
    </row>
    <row r="842" ht="15" customHeight="1">
      <c r="A842" s="248" t="n">
        <v>8</v>
      </c>
      <c r="B842" s="245" t="n">
        <v>838</v>
      </c>
    </row>
    <row r="843" ht="15" customHeight="1">
      <c r="A843" s="248" t="n">
        <v>8</v>
      </c>
      <c r="B843" s="245" t="n">
        <v>839</v>
      </c>
    </row>
    <row r="844" ht="15" customHeight="1">
      <c r="A844" s="248" t="n">
        <v>8</v>
      </c>
      <c r="B844" s="245" t="n">
        <v>840</v>
      </c>
    </row>
    <row r="845" ht="15" customHeight="1">
      <c r="A845" s="248" t="n">
        <v>8</v>
      </c>
      <c r="B845" s="245" t="n">
        <v>841</v>
      </c>
    </row>
    <row r="846" ht="15" customHeight="1">
      <c r="A846" s="248" t="n">
        <v>8</v>
      </c>
      <c r="B846" s="245" t="n">
        <v>842</v>
      </c>
    </row>
    <row r="847" ht="15" customHeight="1">
      <c r="A847" s="248" t="n">
        <v>8</v>
      </c>
      <c r="B847" s="245" t="n">
        <v>843</v>
      </c>
    </row>
    <row r="848" ht="15" customHeight="1">
      <c r="A848" s="248" t="n">
        <v>8</v>
      </c>
      <c r="B848" s="245" t="n">
        <v>844</v>
      </c>
    </row>
    <row r="849" ht="15" customHeight="1">
      <c r="A849" s="248" t="n">
        <v>8</v>
      </c>
      <c r="B849" s="245" t="n">
        <v>845</v>
      </c>
    </row>
    <row r="850" ht="15" customHeight="1">
      <c r="A850" s="248" t="n">
        <v>8</v>
      </c>
      <c r="B850" s="245" t="n">
        <v>846</v>
      </c>
    </row>
    <row r="851" ht="15" customHeight="1">
      <c r="A851" s="248" t="n">
        <v>8</v>
      </c>
      <c r="B851" s="245" t="n">
        <v>847</v>
      </c>
    </row>
    <row r="852" ht="15" customHeight="1">
      <c r="A852" s="248" t="n">
        <v>8</v>
      </c>
      <c r="B852" s="245" t="n">
        <v>848</v>
      </c>
    </row>
    <row r="853" ht="15" customHeight="1">
      <c r="A853" s="248" t="n">
        <v>8</v>
      </c>
      <c r="B853" s="245" t="n">
        <v>849</v>
      </c>
    </row>
    <row r="854" ht="15" customHeight="1">
      <c r="A854" s="248" t="n">
        <v>8</v>
      </c>
      <c r="B854" s="245" t="n">
        <v>850</v>
      </c>
    </row>
    <row r="855" ht="15" customHeight="1">
      <c r="A855" s="248" t="n">
        <v>8</v>
      </c>
      <c r="B855" s="245" t="n">
        <v>851</v>
      </c>
    </row>
    <row r="856" ht="15" customHeight="1">
      <c r="A856" s="248" t="n">
        <v>8</v>
      </c>
      <c r="B856" s="245" t="n">
        <v>852</v>
      </c>
    </row>
    <row r="857" ht="15" customHeight="1">
      <c r="A857" s="248" t="n">
        <v>8</v>
      </c>
      <c r="B857" s="245" t="n">
        <v>853</v>
      </c>
    </row>
    <row r="858" ht="15" customHeight="1">
      <c r="A858" s="248" t="n">
        <v>8</v>
      </c>
      <c r="B858" s="245" t="n">
        <v>854</v>
      </c>
    </row>
    <row r="859" ht="15" customHeight="1">
      <c r="A859" s="248" t="n">
        <v>8</v>
      </c>
      <c r="B859" s="245" t="n">
        <v>855</v>
      </c>
    </row>
    <row r="860" ht="15" customHeight="1">
      <c r="A860" s="248" t="n">
        <v>8</v>
      </c>
      <c r="B860" s="245" t="n">
        <v>856</v>
      </c>
    </row>
    <row r="861" ht="15" customHeight="1">
      <c r="A861" s="248" t="n">
        <v>8</v>
      </c>
      <c r="B861" s="245" t="n">
        <v>857</v>
      </c>
    </row>
    <row r="862" ht="15" customHeight="1">
      <c r="A862" s="248" t="n">
        <v>8</v>
      </c>
      <c r="B862" s="245" t="n">
        <v>858</v>
      </c>
    </row>
    <row r="863" ht="15" customHeight="1">
      <c r="A863" s="248" t="n">
        <v>8</v>
      </c>
      <c r="B863" s="245" t="n">
        <v>859</v>
      </c>
    </row>
    <row r="864" ht="15" customHeight="1">
      <c r="A864" s="248" t="n">
        <v>8</v>
      </c>
      <c r="B864" s="245" t="n">
        <v>860</v>
      </c>
    </row>
    <row r="865" ht="15" customHeight="1">
      <c r="A865" s="248" t="n">
        <v>8</v>
      </c>
      <c r="B865" s="245" t="n">
        <v>861</v>
      </c>
    </row>
    <row r="866" ht="15" customHeight="1">
      <c r="A866" s="248" t="n">
        <v>8</v>
      </c>
      <c r="B866" s="245" t="n">
        <v>862</v>
      </c>
    </row>
    <row r="867" ht="15" customHeight="1">
      <c r="A867" s="248" t="n">
        <v>8</v>
      </c>
      <c r="B867" s="245" t="n">
        <v>863</v>
      </c>
    </row>
    <row r="868" ht="15" customHeight="1">
      <c r="A868" s="248" t="n">
        <v>8</v>
      </c>
      <c r="B868" s="245" t="n">
        <v>864</v>
      </c>
    </row>
    <row r="869" ht="15" customHeight="1">
      <c r="A869" s="248" t="n">
        <v>8</v>
      </c>
      <c r="B869" s="245" t="n">
        <v>865</v>
      </c>
    </row>
    <row r="870" ht="15" customHeight="1">
      <c r="A870" s="248" t="n">
        <v>8</v>
      </c>
      <c r="B870" s="245" t="n">
        <v>866</v>
      </c>
    </row>
    <row r="871" ht="15" customHeight="1">
      <c r="A871" s="248" t="n">
        <v>8</v>
      </c>
      <c r="B871" s="245" t="n">
        <v>867</v>
      </c>
    </row>
    <row r="872" ht="15" customHeight="1">
      <c r="A872" s="248" t="n">
        <v>8</v>
      </c>
      <c r="B872" s="245" t="n">
        <v>868</v>
      </c>
    </row>
    <row r="873" ht="15" customHeight="1">
      <c r="A873" s="248" t="n">
        <v>8</v>
      </c>
      <c r="B873" s="245" t="n">
        <v>869</v>
      </c>
    </row>
    <row r="874" ht="15" customHeight="1">
      <c r="A874" s="248" t="n">
        <v>8</v>
      </c>
      <c r="B874" s="245" t="n">
        <v>870</v>
      </c>
    </row>
    <row r="875" ht="15" customHeight="1">
      <c r="A875" s="248" t="n">
        <v>8</v>
      </c>
      <c r="B875" s="245" t="n">
        <v>871</v>
      </c>
    </row>
    <row r="876" ht="15" customHeight="1">
      <c r="A876" s="248" t="n">
        <v>8</v>
      </c>
      <c r="B876" s="245" t="n">
        <v>872</v>
      </c>
    </row>
    <row r="877" ht="15" customHeight="1">
      <c r="A877" s="248" t="n">
        <v>8</v>
      </c>
      <c r="B877" s="245" t="n">
        <v>873</v>
      </c>
    </row>
    <row r="878" ht="15" customHeight="1">
      <c r="A878" s="248" t="n">
        <v>8</v>
      </c>
      <c r="B878" s="245" t="n">
        <v>874</v>
      </c>
    </row>
    <row r="879" ht="15" customHeight="1">
      <c r="A879" s="248" t="n">
        <v>8</v>
      </c>
      <c r="B879" s="245" t="n">
        <v>875</v>
      </c>
    </row>
    <row r="880" ht="15" customHeight="1">
      <c r="A880" s="248" t="n">
        <v>8</v>
      </c>
      <c r="B880" s="245" t="n">
        <v>876</v>
      </c>
    </row>
    <row r="881" ht="15" customHeight="1">
      <c r="A881" s="248" t="n">
        <v>8</v>
      </c>
      <c r="B881" s="245" t="n">
        <v>877</v>
      </c>
    </row>
    <row r="882" ht="15" customHeight="1">
      <c r="A882" s="248" t="n">
        <v>8</v>
      </c>
      <c r="B882" s="245" t="n">
        <v>878</v>
      </c>
    </row>
    <row r="883" ht="15" customHeight="1">
      <c r="A883" s="248" t="n">
        <v>8</v>
      </c>
      <c r="B883" s="245" t="n">
        <v>879</v>
      </c>
    </row>
    <row r="884" ht="15" customHeight="1">
      <c r="A884" s="248" t="n">
        <v>8</v>
      </c>
      <c r="B884" s="245" t="n">
        <v>880</v>
      </c>
    </row>
    <row r="885" ht="15" customHeight="1">
      <c r="A885" s="248" t="n">
        <v>8</v>
      </c>
      <c r="B885" s="245" t="n">
        <v>881</v>
      </c>
    </row>
    <row r="886" ht="15" customHeight="1">
      <c r="A886" s="248" t="n">
        <v>8</v>
      </c>
      <c r="B886" s="245" t="n">
        <v>882</v>
      </c>
    </row>
    <row r="887" ht="15" customHeight="1">
      <c r="A887" s="248" t="n">
        <v>8</v>
      </c>
      <c r="B887" s="245" t="n">
        <v>883</v>
      </c>
    </row>
    <row r="888" ht="15" customHeight="1">
      <c r="A888" s="248" t="n">
        <v>8</v>
      </c>
      <c r="B888" s="245" t="n">
        <v>884</v>
      </c>
    </row>
    <row r="889" ht="15" customHeight="1">
      <c r="A889" s="248" t="n">
        <v>8</v>
      </c>
      <c r="B889" s="245" t="n">
        <v>885</v>
      </c>
    </row>
    <row r="890" ht="15" customHeight="1">
      <c r="A890" s="248" t="n">
        <v>8</v>
      </c>
      <c r="B890" s="245" t="n">
        <v>886</v>
      </c>
    </row>
    <row r="891" ht="15" customHeight="1">
      <c r="A891" s="248" t="n">
        <v>8</v>
      </c>
      <c r="B891" s="245" t="n">
        <v>887</v>
      </c>
    </row>
    <row r="892" ht="15" customHeight="1">
      <c r="A892" s="248" t="n">
        <v>8</v>
      </c>
      <c r="B892" s="245" t="n">
        <v>888</v>
      </c>
    </row>
    <row r="893" ht="15" customHeight="1">
      <c r="A893" s="248" t="n">
        <v>8</v>
      </c>
      <c r="B893" s="245" t="n">
        <v>889</v>
      </c>
    </row>
    <row r="894" ht="15" customHeight="1">
      <c r="A894" s="248" t="n">
        <v>8</v>
      </c>
      <c r="B894" s="245" t="n">
        <v>890</v>
      </c>
    </row>
    <row r="895" ht="15" customHeight="1">
      <c r="A895" s="248" t="n">
        <v>8</v>
      </c>
      <c r="B895" s="245" t="n">
        <v>891</v>
      </c>
    </row>
    <row r="896" ht="15" customHeight="1">
      <c r="A896" s="248" t="n">
        <v>8</v>
      </c>
      <c r="B896" s="245" t="n">
        <v>892</v>
      </c>
    </row>
    <row r="897" ht="15" customHeight="1">
      <c r="A897" s="248" t="n">
        <v>8</v>
      </c>
      <c r="B897" s="245" t="n">
        <v>893</v>
      </c>
    </row>
    <row r="898" ht="15" customHeight="1">
      <c r="A898" s="248" t="n">
        <v>8</v>
      </c>
      <c r="B898" s="245" t="n">
        <v>894</v>
      </c>
    </row>
    <row r="899" ht="15" customHeight="1">
      <c r="A899" s="248" t="n">
        <v>8</v>
      </c>
      <c r="B899" s="245" t="n">
        <v>895</v>
      </c>
    </row>
    <row r="900" ht="15" customHeight="1">
      <c r="A900" s="248" t="n">
        <v>8</v>
      </c>
      <c r="B900" s="245" t="n">
        <v>896</v>
      </c>
    </row>
    <row r="901" ht="15" customHeight="1">
      <c r="A901" s="248" t="n">
        <v>8</v>
      </c>
      <c r="B901" s="245" t="n">
        <v>897</v>
      </c>
    </row>
    <row r="902" ht="15" customHeight="1">
      <c r="A902" s="248" t="n">
        <v>8</v>
      </c>
      <c r="B902" s="245" t="n">
        <v>898</v>
      </c>
    </row>
    <row r="903" ht="15" customHeight="1">
      <c r="A903" s="248" t="n">
        <v>8</v>
      </c>
      <c r="B903" s="245" t="n">
        <v>899</v>
      </c>
    </row>
    <row r="904" ht="15" customHeight="1">
      <c r="A904" s="248" t="n">
        <v>8</v>
      </c>
      <c r="B904" s="245" t="n">
        <v>900</v>
      </c>
    </row>
    <row r="905" ht="15" customHeight="1">
      <c r="A905" s="248" t="n">
        <v>8</v>
      </c>
      <c r="B905" s="245" t="n">
        <v>901</v>
      </c>
    </row>
    <row r="906" ht="15" customHeight="1">
      <c r="A906" s="248" t="n">
        <v>8</v>
      </c>
      <c r="B906" s="245" t="n">
        <v>902</v>
      </c>
    </row>
    <row r="907" ht="15" customHeight="1">
      <c r="A907" s="248" t="n">
        <v>8</v>
      </c>
      <c r="B907" s="245" t="n">
        <v>903</v>
      </c>
    </row>
    <row r="908" ht="15" customHeight="1">
      <c r="A908" s="248" t="n">
        <v>8</v>
      </c>
      <c r="B908" s="245" t="n">
        <v>904</v>
      </c>
    </row>
    <row r="909" ht="15" customHeight="1">
      <c r="A909" s="248" t="n">
        <v>8</v>
      </c>
      <c r="B909" s="245" t="n">
        <v>905</v>
      </c>
    </row>
    <row r="910" ht="15" customHeight="1">
      <c r="A910" s="248" t="n">
        <v>8</v>
      </c>
      <c r="B910" s="245" t="n">
        <v>906</v>
      </c>
    </row>
    <row r="911" ht="15" customHeight="1">
      <c r="A911" s="248" t="n">
        <v>8</v>
      </c>
      <c r="B911" s="245" t="n">
        <v>907</v>
      </c>
    </row>
    <row r="912" ht="15" customHeight="1">
      <c r="A912" s="248" t="n">
        <v>8</v>
      </c>
      <c r="B912" s="245" t="n">
        <v>908</v>
      </c>
    </row>
    <row r="913" ht="15" customHeight="1">
      <c r="A913" s="248" t="n">
        <v>8</v>
      </c>
      <c r="B913" s="245" t="n">
        <v>909</v>
      </c>
    </row>
    <row r="914" ht="15" customHeight="1">
      <c r="A914" s="248" t="n">
        <v>8</v>
      </c>
      <c r="B914" s="245" t="n">
        <v>910</v>
      </c>
    </row>
    <row r="915" ht="15" customHeight="1">
      <c r="A915" s="248" t="n">
        <v>8</v>
      </c>
      <c r="B915" s="245" t="n">
        <v>911</v>
      </c>
    </row>
    <row r="916" ht="15" customHeight="1">
      <c r="A916" s="248" t="n">
        <v>8</v>
      </c>
      <c r="B916" s="245" t="n">
        <v>912</v>
      </c>
    </row>
    <row r="917" ht="15" customHeight="1">
      <c r="A917" s="248" t="n">
        <v>8</v>
      </c>
      <c r="B917" s="245" t="n">
        <v>913</v>
      </c>
    </row>
    <row r="918" ht="15" customHeight="1">
      <c r="A918" s="248" t="n">
        <v>8</v>
      </c>
      <c r="B918" s="245" t="n">
        <v>914</v>
      </c>
    </row>
    <row r="919" ht="15" customHeight="1">
      <c r="A919" s="248" t="n">
        <v>8</v>
      </c>
      <c r="B919" s="245" t="n">
        <v>915</v>
      </c>
    </row>
    <row r="920" ht="15" customHeight="1">
      <c r="A920" s="248" t="n">
        <v>8</v>
      </c>
      <c r="B920" s="245" t="n">
        <v>916</v>
      </c>
    </row>
    <row r="921" ht="15" customHeight="1">
      <c r="A921" s="248" t="n">
        <v>8</v>
      </c>
      <c r="B921" s="245" t="n">
        <v>917</v>
      </c>
    </row>
    <row r="922" ht="15" customHeight="1">
      <c r="A922" s="248" t="n">
        <v>8</v>
      </c>
      <c r="B922" s="245" t="n">
        <v>918</v>
      </c>
    </row>
    <row r="923" ht="15" customHeight="1">
      <c r="A923" s="248" t="n">
        <v>8</v>
      </c>
      <c r="B923" s="245" t="n">
        <v>919</v>
      </c>
    </row>
    <row r="924" ht="15" customHeight="1">
      <c r="A924" s="248" t="n">
        <v>8</v>
      </c>
      <c r="B924" s="245" t="n">
        <v>920</v>
      </c>
    </row>
    <row r="925" ht="15" customHeight="1">
      <c r="A925" s="248" t="n">
        <v>8</v>
      </c>
      <c r="B925" s="245" t="n">
        <v>921</v>
      </c>
    </row>
    <row r="926" ht="15" customHeight="1">
      <c r="A926" s="248" t="n">
        <v>8</v>
      </c>
      <c r="B926" s="245" t="n">
        <v>922</v>
      </c>
    </row>
    <row r="927" ht="15" customHeight="1">
      <c r="A927" s="248" t="n">
        <v>8</v>
      </c>
      <c r="B927" s="245" t="n">
        <v>923</v>
      </c>
    </row>
    <row r="928" ht="15" customHeight="1">
      <c r="A928" s="248" t="n">
        <v>8</v>
      </c>
      <c r="B928" s="245" t="n">
        <v>924</v>
      </c>
    </row>
    <row r="929" ht="15" customHeight="1">
      <c r="A929" s="248" t="n">
        <v>8</v>
      </c>
      <c r="B929" s="245" t="n">
        <v>925</v>
      </c>
    </row>
    <row r="930" ht="15" customHeight="1">
      <c r="A930" s="248" t="n">
        <v>8</v>
      </c>
      <c r="B930" s="245" t="n">
        <v>926</v>
      </c>
    </row>
    <row r="931" ht="15" customHeight="1">
      <c r="A931" s="248" t="n">
        <v>8</v>
      </c>
      <c r="B931" s="245" t="n">
        <v>927</v>
      </c>
    </row>
    <row r="932" ht="15" customHeight="1">
      <c r="A932" s="248" t="n">
        <v>8</v>
      </c>
      <c r="B932" s="245" t="n">
        <v>928</v>
      </c>
    </row>
    <row r="933" ht="15" customHeight="1">
      <c r="A933" s="248" t="n">
        <v>8</v>
      </c>
      <c r="B933" s="245" t="n">
        <v>929</v>
      </c>
    </row>
    <row r="934" ht="15" customHeight="1">
      <c r="A934" s="248" t="n">
        <v>8</v>
      </c>
      <c r="B934" s="245" t="n">
        <v>930</v>
      </c>
    </row>
    <row r="935" ht="15" customHeight="1">
      <c r="A935" s="248" t="n">
        <v>8</v>
      </c>
      <c r="B935" s="245" t="n">
        <v>931</v>
      </c>
    </row>
    <row r="936" ht="15" customHeight="1">
      <c r="A936" s="248" t="n">
        <v>8</v>
      </c>
      <c r="B936" s="245" t="n">
        <v>932</v>
      </c>
    </row>
    <row r="937" ht="15" customHeight="1">
      <c r="A937" s="248" t="n">
        <v>8</v>
      </c>
      <c r="B937" s="245" t="n">
        <v>933</v>
      </c>
    </row>
    <row r="938" ht="15" customHeight="1">
      <c r="A938" s="248" t="n">
        <v>8</v>
      </c>
      <c r="B938" s="245" t="n">
        <v>934</v>
      </c>
    </row>
    <row r="939" ht="15" customHeight="1">
      <c r="A939" s="248" t="n">
        <v>8</v>
      </c>
      <c r="B939" s="245" t="n">
        <v>935</v>
      </c>
    </row>
    <row r="940" ht="15" customHeight="1">
      <c r="A940" s="248" t="n">
        <v>8</v>
      </c>
      <c r="B940" s="245" t="n">
        <v>936</v>
      </c>
    </row>
    <row r="941" ht="15" customHeight="1">
      <c r="A941" s="248" t="n">
        <v>8</v>
      </c>
      <c r="B941" s="245" t="n">
        <v>937</v>
      </c>
    </row>
  </sheetData>
  <autoFilter ref="A1:AH941"/>
  <conditionalFormatting sqref="C6:C289">
    <cfRule type="duplicateValues" priority="2" dxfId="0"/>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0.xml><?xml version="1.0" encoding="utf-8"?>
<worksheet xmlns="http://schemas.openxmlformats.org/spreadsheetml/2006/main">
  <sheetPr codeName="Sheet3">
    <outlinePr summaryBelow="1" summaryRight="1"/>
    <pageSetUpPr fitToPage="1"/>
  </sheetPr>
  <dimension ref="A1:AX1019"/>
  <sheetViews>
    <sheetView zoomScale="90" workbookViewId="0">
      <pane ySplit="1" topLeftCell="A2" activePane="bottomLeft" state="frozen"/>
      <selection activeCell="E47" sqref="E47"/>
      <selection pane="bottomLeft" activeCell="E47" sqref="E47"/>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241" t="inlineStr">
        <is>
          <t>Pos</t>
        </is>
      </c>
      <c r="B1" s="353" t="inlineStr">
        <is>
          <t>Num</t>
        </is>
      </c>
      <c r="C1" s="241" t="inlineStr">
        <is>
          <t>Source</t>
        </is>
      </c>
      <c r="D1" s="241" t="inlineStr">
        <is>
          <t>Schedule</t>
        </is>
      </c>
      <c r="E1" s="241" t="inlineStr">
        <is>
          <t>Source</t>
        </is>
      </c>
      <c r="F1" s="241" t="inlineStr">
        <is>
          <t>Address</t>
        </is>
      </c>
      <c r="G1" s="673" t="inlineStr">
        <is>
          <t>Cls</t>
        </is>
      </c>
      <c r="H1" s="242" t="inlineStr">
        <is>
          <t>Model</t>
        </is>
      </c>
      <c r="I1" s="243" t="inlineStr">
        <is>
          <t>Loc</t>
        </is>
      </c>
      <c r="J1" s="242" t="inlineStr">
        <is>
          <t>NRA</t>
        </is>
      </c>
      <c r="K1" s="242" t="inlineStr">
        <is>
          <t>Rent</t>
        </is>
      </c>
      <c r="L1" s="242" t="inlineStr">
        <is>
          <t>Vac</t>
        </is>
      </c>
      <c r="M1" s="242" t="inlineStr">
        <is>
          <t>Exp</t>
        </is>
      </c>
      <c r="N1" s="242" t="inlineStr">
        <is>
          <t>YOC</t>
        </is>
      </c>
      <c r="O1" s="359" t="inlineStr">
        <is>
          <t>Office
Enclos.</t>
        </is>
      </c>
      <c r="P1" s="359" t="inlineStr">
        <is>
          <t>Extend.
Office</t>
        </is>
      </c>
      <c r="Q1" s="350" t="inlineStr">
        <is>
          <t>Wall
Height</t>
        </is>
      </c>
      <c r="R1" s="350" t="inlineStr">
        <is>
          <t>Wall
Type</t>
        </is>
      </c>
      <c r="S1" s="358" t="inlineStr">
        <is>
          <t># Units</t>
        </is>
      </c>
      <c r="T1" s="241" t="inlineStr">
        <is>
          <t>Zone</t>
        </is>
      </c>
      <c r="U1" s="241" t="inlineStr">
        <is>
          <t>Str</t>
        </is>
      </c>
      <c r="V1" s="242" t="inlineStr">
        <is>
          <t>L Area</t>
        </is>
      </c>
      <c r="W1" s="244" t="inlineStr">
        <is>
          <t>Land R</t>
        </is>
      </c>
      <c r="X1" s="244" t="inlineStr">
        <is>
          <t>L:B Ratio</t>
        </is>
      </c>
      <c r="Y1" s="244" t="inlineStr">
        <is>
          <t>Imp R</t>
        </is>
      </c>
      <c r="Z1" s="241" t="inlineStr">
        <is>
          <t>Grd</t>
        </is>
      </c>
      <c r="AA1" s="241" t="inlineStr">
        <is>
          <t>Phy</t>
        </is>
      </c>
      <c r="AB1" s="241" t="inlineStr">
        <is>
          <t>Fun</t>
        </is>
      </c>
      <c r="AC1" s="241" t="inlineStr">
        <is>
          <t>P_F</t>
        </is>
      </c>
      <c r="AD1" s="242" t="inlineStr">
        <is>
          <t>Tenant</t>
        </is>
      </c>
      <c r="AE1" s="242" t="inlineStr">
        <is>
          <t>PGI</t>
        </is>
      </c>
      <c r="AF1" s="242" t="inlineStr">
        <is>
          <t>EGI</t>
        </is>
      </c>
      <c r="AG1" s="242" t="inlineStr">
        <is>
          <t>NOI</t>
        </is>
      </c>
      <c r="AH1" s="242" t="inlineStr">
        <is>
          <t>$ EXP</t>
        </is>
      </c>
      <c r="AI1" s="242" t="inlineStr">
        <is>
          <t>Oth Inc/SF</t>
        </is>
      </c>
      <c r="AJ1" s="242" t="inlineStr">
        <is>
          <t>Pkg Inc/SP</t>
        </is>
      </c>
      <c r="AK1" s="242"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1.xml><?xml version="1.0" encoding="utf-8"?>
<worksheet xmlns="http://schemas.openxmlformats.org/spreadsheetml/2006/main">
  <sheetPr codeName="Sheet4">
    <outlinePr summaryBelow="1" summaryRight="1"/>
    <pageSetUpPr/>
  </sheetPr>
  <dimension ref="A1:M158"/>
  <sheetViews>
    <sheetView workbookViewId="0">
      <selection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2.xml><?xml version="1.0" encoding="utf-8"?>
<worksheet xmlns="http://schemas.openxmlformats.org/spreadsheetml/2006/main">
  <sheetPr>
    <outlinePr summaryBelow="1" summaryRight="1"/>
    <pageSetUpPr/>
  </sheetPr>
  <dimension ref="B1:E199"/>
  <sheetViews>
    <sheetView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row>
    <row r="6">
      <c r="B6" t="n">
        <v>26</v>
      </c>
      <c r="C6" t="inlineStr">
        <is>
          <t>Commercial</t>
        </is>
      </c>
      <c r="D6" t="n">
        <v>1</v>
      </c>
      <c r="E6" t="inlineStr">
        <is>
          <t>Studio Loft</t>
        </is>
      </c>
    </row>
    <row r="7">
      <c r="B7" t="n">
        <v>90</v>
      </c>
      <c r="C7" t="inlineStr">
        <is>
          <t>Commercial</t>
        </is>
      </c>
      <c r="D7" t="n">
        <v>2</v>
      </c>
      <c r="E7" t="inlineStr">
        <is>
          <t>Residential Out Structure</t>
        </is>
      </c>
    </row>
    <row r="8">
      <c r="B8" t="n">
        <v>99</v>
      </c>
      <c r="C8" t="inlineStr">
        <is>
          <t>Commercial</t>
        </is>
      </c>
      <c r="D8" t="n">
        <v>6</v>
      </c>
      <c r="E8" t="inlineStr">
        <is>
          <t>Detached Garage</t>
        </is>
      </c>
    </row>
    <row r="9">
      <c r="B9" t="n">
        <v>100</v>
      </c>
      <c r="C9" t="inlineStr">
        <is>
          <t>Commercial</t>
        </is>
      </c>
      <c r="D9" t="n">
        <v>75</v>
      </c>
      <c r="E9" t="inlineStr">
        <is>
          <t>Single Family Residential</t>
        </is>
      </c>
    </row>
    <row r="10">
      <c r="B10" t="n">
        <v>100</v>
      </c>
      <c r="C10" t="inlineStr">
        <is>
          <t>Industrial</t>
        </is>
      </c>
      <c r="D10" t="n">
        <v>2</v>
      </c>
      <c r="E10" t="inlineStr">
        <is>
          <t>Single Family Residential</t>
        </is>
      </c>
    </row>
    <row r="11">
      <c r="B11" t="n">
        <v>101</v>
      </c>
      <c r="C11" t="inlineStr">
        <is>
          <t>Commercial</t>
        </is>
      </c>
      <c r="D11" t="n">
        <v>2</v>
      </c>
      <c r="E11" t="inlineStr">
        <is>
          <t>Ag Single Family Residential-not integral</t>
        </is>
      </c>
    </row>
    <row r="12">
      <c r="B12" t="n">
        <v>102</v>
      </c>
      <c r="C12" t="inlineStr">
        <is>
          <t>Commercial</t>
        </is>
      </c>
      <c r="D12" t="n">
        <v>1</v>
      </c>
      <c r="E12" t="inlineStr">
        <is>
          <t>Duplex</t>
        </is>
      </c>
    </row>
    <row r="13">
      <c r="B13" t="n">
        <v>105</v>
      </c>
      <c r="C13" t="inlineStr">
        <is>
          <t>Commercial</t>
        </is>
      </c>
      <c r="D13" t="n">
        <v>6</v>
      </c>
      <c r="E13" t="inlineStr">
        <is>
          <t>Attached Single Family Residential</t>
        </is>
      </c>
    </row>
    <row r="14">
      <c r="B14" t="n">
        <v>116</v>
      </c>
      <c r="C14" t="inlineStr">
        <is>
          <t>Commercial</t>
        </is>
      </c>
      <c r="D14" t="n">
        <v>3</v>
      </c>
      <c r="E14" t="inlineStr">
        <is>
          <t>Apartment w/4-8 Units</t>
        </is>
      </c>
    </row>
    <row r="15">
      <c r="B15" t="n">
        <v>118</v>
      </c>
      <c r="C15" t="inlineStr">
        <is>
          <t>Commercial</t>
        </is>
      </c>
      <c r="D15" t="n">
        <v>12</v>
      </c>
      <c r="E15" t="inlineStr">
        <is>
          <t>Apartment w/9 + Units</t>
        </is>
      </c>
    </row>
    <row r="16">
      <c r="B16" t="n">
        <v>140</v>
      </c>
      <c r="C16" t="inlineStr">
        <is>
          <t>Commercial</t>
        </is>
      </c>
      <c r="D16" t="n">
        <v>66</v>
      </c>
      <c r="E16" t="inlineStr">
        <is>
          <t>Parking Lot</t>
        </is>
      </c>
    </row>
    <row r="17">
      <c r="B17" t="n">
        <v>140</v>
      </c>
      <c r="C17" t="inlineStr">
        <is>
          <t>Industrial</t>
        </is>
      </c>
      <c r="D17" t="n">
        <v>1</v>
      </c>
      <c r="E17" t="inlineStr">
        <is>
          <t>Parking Lot</t>
        </is>
      </c>
    </row>
    <row r="18">
      <c r="B18" t="n">
        <v>186</v>
      </c>
      <c r="C18" t="inlineStr">
        <is>
          <t>Industrial</t>
        </is>
      </c>
      <c r="D18" t="n">
        <v>2</v>
      </c>
      <c r="E18" t="inlineStr">
        <is>
          <t>Light Commercial - Manufacturing Utility Bldg</t>
        </is>
      </c>
    </row>
    <row r="19">
      <c r="B19" t="n">
        <v>204</v>
      </c>
      <c r="C19" t="inlineStr">
        <is>
          <t>Commercial</t>
        </is>
      </c>
      <c r="D19" t="n">
        <v>1</v>
      </c>
      <c r="E19" t="inlineStr">
        <is>
          <t>Computer Centers</t>
        </is>
      </c>
    </row>
    <row r="20">
      <c r="B20" t="n">
        <v>207</v>
      </c>
      <c r="C20" t="inlineStr">
        <is>
          <t>Commercial</t>
        </is>
      </c>
      <c r="D20" t="n">
        <v>1</v>
      </c>
      <c r="E20" t="inlineStr">
        <is>
          <t>Firing Range Buildings</t>
        </is>
      </c>
    </row>
    <row r="21">
      <c r="B21" t="n">
        <v>208</v>
      </c>
      <c r="C21" t="inlineStr">
        <is>
          <t>Commercial</t>
        </is>
      </c>
      <c r="D21" t="n">
        <v>14</v>
      </c>
      <c r="E21" t="inlineStr">
        <is>
          <t>Golf Course *CODE</t>
        </is>
      </c>
    </row>
    <row r="22">
      <c r="B22" t="n">
        <v>209</v>
      </c>
      <c r="C22" t="inlineStr">
        <is>
          <t>Commercial</t>
        </is>
      </c>
      <c r="D22" t="n">
        <v>2</v>
      </c>
      <c r="E22" t="inlineStr">
        <is>
          <t>Nursery/Greenhouse</t>
        </is>
      </c>
    </row>
    <row r="23">
      <c r="B23" t="n">
        <v>210</v>
      </c>
      <c r="C23" t="inlineStr">
        <is>
          <t>Commercial</t>
        </is>
      </c>
      <c r="D23" t="n">
        <v>35</v>
      </c>
      <c r="E23" t="inlineStr">
        <is>
          <t>Industrial Flex Mall Building</t>
        </is>
      </c>
    </row>
    <row r="24">
      <c r="B24" t="n">
        <v>210</v>
      </c>
      <c r="C24" t="inlineStr">
        <is>
          <t>Industrial</t>
        </is>
      </c>
      <c r="D24" t="n">
        <v>14</v>
      </c>
      <c r="E24" t="inlineStr">
        <is>
          <t>Industrial Flex Mall Building</t>
        </is>
      </c>
    </row>
    <row r="25">
      <c r="B25" t="n">
        <v>211</v>
      </c>
      <c r="C25" t="inlineStr">
        <is>
          <t>Industrial</t>
        </is>
      </c>
      <c r="D25" t="n">
        <v>2</v>
      </c>
      <c r="E25" t="inlineStr">
        <is>
          <t>Industiral Interior Office Space</t>
        </is>
      </c>
    </row>
    <row r="26">
      <c r="B26" t="n">
        <v>212</v>
      </c>
      <c r="C26" t="inlineStr">
        <is>
          <t>Industrial</t>
        </is>
      </c>
      <c r="D26" t="n">
        <v>2</v>
      </c>
      <c r="E26" t="inlineStr">
        <is>
          <t>Laboratories</t>
        </is>
      </c>
    </row>
    <row r="27">
      <c r="B27" t="n">
        <v>213</v>
      </c>
      <c r="C27" t="inlineStr">
        <is>
          <t>Commercial</t>
        </is>
      </c>
      <c r="D27" t="n">
        <v>1</v>
      </c>
      <c r="E27" t="inlineStr">
        <is>
          <t>Light Industrial Shell Buildings</t>
        </is>
      </c>
    </row>
    <row r="28">
      <c r="B28" t="n">
        <v>213</v>
      </c>
      <c r="C28" t="inlineStr">
        <is>
          <t>Industrial</t>
        </is>
      </c>
      <c r="D28" t="n">
        <v>2</v>
      </c>
      <c r="E28" t="inlineStr">
        <is>
          <t>Light Industrial Shell Buildings</t>
        </is>
      </c>
    </row>
    <row r="29">
      <c r="B29" t="n">
        <v>217</v>
      </c>
      <c r="C29" t="inlineStr">
        <is>
          <t>Commercial</t>
        </is>
      </c>
      <c r="D29" t="n">
        <v>1</v>
      </c>
      <c r="E29" t="inlineStr">
        <is>
          <t>Miscellaneous OB</t>
        </is>
      </c>
    </row>
    <row r="30">
      <c r="B30" t="n">
        <v>220</v>
      </c>
      <c r="C30" t="inlineStr">
        <is>
          <t>Commercial</t>
        </is>
      </c>
      <c r="D30" t="n">
        <v>1</v>
      </c>
      <c r="E30" t="inlineStr">
        <is>
          <t>Recreational Pool Enclosure</t>
        </is>
      </c>
    </row>
    <row r="31">
      <c r="B31" t="n">
        <v>227</v>
      </c>
      <c r="C31" t="inlineStr">
        <is>
          <t>Commercial</t>
        </is>
      </c>
      <c r="D31" t="n">
        <v>20</v>
      </c>
      <c r="E31" t="inlineStr">
        <is>
          <t>Complete Auto Dealership</t>
        </is>
      </c>
    </row>
    <row r="32">
      <c r="B32" t="n">
        <v>228</v>
      </c>
      <c r="C32" t="inlineStr">
        <is>
          <t>Commercial</t>
        </is>
      </c>
      <c r="D32" t="n">
        <v>3</v>
      </c>
      <c r="E32" t="inlineStr">
        <is>
          <t>Kennel</t>
        </is>
      </c>
    </row>
    <row r="33">
      <c r="B33" t="n">
        <v>228</v>
      </c>
      <c r="C33" t="inlineStr">
        <is>
          <t>Industrial</t>
        </is>
      </c>
      <c r="D33" t="n">
        <v>1</v>
      </c>
      <c r="E33" t="inlineStr">
        <is>
          <t>Kennel</t>
        </is>
      </c>
    </row>
    <row r="34">
      <c r="B34" t="n">
        <v>300</v>
      </c>
      <c r="C34" t="inlineStr">
        <is>
          <t>Commercial</t>
        </is>
      </c>
      <c r="D34" t="n">
        <v>1</v>
      </c>
      <c r="E34" t="inlineStr">
        <is>
          <t>Apartments (Hi-Rise)</t>
        </is>
      </c>
    </row>
    <row r="35">
      <c r="B35" t="n">
        <v>302</v>
      </c>
      <c r="C35" t="inlineStr">
        <is>
          <t>Commercial</t>
        </is>
      </c>
      <c r="D35" t="n">
        <v>2</v>
      </c>
      <c r="E35" t="inlineStr">
        <is>
          <t>Auditorium</t>
        </is>
      </c>
    </row>
    <row r="36">
      <c r="B36" t="n">
        <v>303</v>
      </c>
      <c r="C36" t="inlineStr">
        <is>
          <t>Commercial</t>
        </is>
      </c>
      <c r="D36" t="n">
        <v>11</v>
      </c>
      <c r="E36" t="inlineStr">
        <is>
          <t>Showroom</t>
        </is>
      </c>
    </row>
    <row r="37">
      <c r="B37" t="n">
        <v>304</v>
      </c>
      <c r="C37" t="inlineStr">
        <is>
          <t>Commercial</t>
        </is>
      </c>
      <c r="D37" t="n">
        <v>89</v>
      </c>
      <c r="E37" t="inlineStr">
        <is>
          <t>Bank</t>
        </is>
      </c>
    </row>
    <row r="38">
      <c r="B38" t="n">
        <v>305</v>
      </c>
      <c r="C38" t="inlineStr">
        <is>
          <t>Commercial</t>
        </is>
      </c>
      <c r="D38" t="n">
        <v>1</v>
      </c>
      <c r="E38" t="inlineStr">
        <is>
          <t>Drive-up Mini Banks</t>
        </is>
      </c>
    </row>
    <row r="39">
      <c r="B39" t="n">
        <v>306</v>
      </c>
      <c r="C39" t="inlineStr">
        <is>
          <t>Commercial</t>
        </is>
      </c>
      <c r="D39" t="n">
        <v>6</v>
      </c>
      <c r="E39" t="inlineStr">
        <is>
          <t>Bowling Alley</t>
        </is>
      </c>
    </row>
    <row r="40">
      <c r="B40" t="n">
        <v>309</v>
      </c>
      <c r="C40" t="inlineStr">
        <is>
          <t>Commercial</t>
        </is>
      </c>
      <c r="D40" t="n">
        <v>18</v>
      </c>
      <c r="E40" t="inlineStr">
        <is>
          <t>Church</t>
        </is>
      </c>
    </row>
    <row r="41">
      <c r="B41" t="n">
        <v>310</v>
      </c>
      <c r="C41" t="inlineStr">
        <is>
          <t>Commercial</t>
        </is>
      </c>
      <c r="D41" t="n">
        <v>1</v>
      </c>
      <c r="E41" t="inlineStr">
        <is>
          <t>City Club</t>
        </is>
      </c>
    </row>
    <row r="42">
      <c r="B42" t="n">
        <v>311</v>
      </c>
      <c r="C42" t="inlineStr">
        <is>
          <t>Commercial</t>
        </is>
      </c>
      <c r="D42" t="n">
        <v>5</v>
      </c>
      <c r="E42" t="inlineStr">
        <is>
          <t>Clubhouse</t>
        </is>
      </c>
    </row>
    <row r="43">
      <c r="B43" t="n">
        <v>313</v>
      </c>
      <c r="C43" t="inlineStr">
        <is>
          <t>Commercial</t>
        </is>
      </c>
      <c r="D43" t="n">
        <v>1</v>
      </c>
      <c r="E43" t="inlineStr">
        <is>
          <t>Convlsnt Hosp Nursing Home</t>
        </is>
      </c>
    </row>
    <row r="44">
      <c r="B44" t="n">
        <v>314</v>
      </c>
      <c r="C44" t="inlineStr">
        <is>
          <t>Commercial</t>
        </is>
      </c>
      <c r="D44" t="n">
        <v>1</v>
      </c>
      <c r="E44" t="inlineStr">
        <is>
          <t>Country Club</t>
        </is>
      </c>
    </row>
    <row r="45">
      <c r="B45" t="n">
        <v>318</v>
      </c>
      <c r="C45" t="inlineStr">
        <is>
          <t>Commercial</t>
        </is>
      </c>
      <c r="D45" t="n">
        <v>3</v>
      </c>
      <c r="E45" t="inlineStr">
        <is>
          <t>Department Store</t>
        </is>
      </c>
    </row>
    <row r="46">
      <c r="B46" t="n">
        <v>319</v>
      </c>
      <c r="C46" t="inlineStr">
        <is>
          <t>Commercial</t>
        </is>
      </c>
      <c r="D46" t="n">
        <v>47</v>
      </c>
      <c r="E46" t="inlineStr">
        <is>
          <t>Discount Store</t>
        </is>
      </c>
    </row>
    <row r="47">
      <c r="B47" t="n">
        <v>320</v>
      </c>
      <c r="C47" t="inlineStr">
        <is>
          <t>Commercial</t>
        </is>
      </c>
      <c r="D47" t="n">
        <v>3</v>
      </c>
      <c r="E47" t="inlineStr">
        <is>
          <t>Dispensary</t>
        </is>
      </c>
    </row>
    <row r="48">
      <c r="B48" t="n">
        <v>320</v>
      </c>
      <c r="C48" t="inlineStr">
        <is>
          <t>Industrial</t>
        </is>
      </c>
      <c r="D48" t="n">
        <v>1</v>
      </c>
      <c r="E48" t="inlineStr">
        <is>
          <t>Dispensary</t>
        </is>
      </c>
    </row>
    <row r="49">
      <c r="B49" t="n">
        <v>321</v>
      </c>
      <c r="C49" t="inlineStr">
        <is>
          <t>Commercial</t>
        </is>
      </c>
      <c r="D49" t="n">
        <v>1</v>
      </c>
      <c r="E49" t="inlineStr">
        <is>
          <t>Dormitory Residence Halls</t>
        </is>
      </c>
    </row>
    <row r="50">
      <c r="B50" t="n">
        <v>323</v>
      </c>
      <c r="C50" t="inlineStr">
        <is>
          <t>Commercial</t>
        </is>
      </c>
      <c r="D50" t="n">
        <v>5</v>
      </c>
      <c r="E50" t="inlineStr">
        <is>
          <t>Fraternal Building</t>
        </is>
      </c>
    </row>
    <row r="51">
      <c r="B51" t="n">
        <v>325</v>
      </c>
      <c r="C51" t="inlineStr">
        <is>
          <t>Commercial</t>
        </is>
      </c>
      <c r="D51" t="n">
        <v>573</v>
      </c>
      <c r="E51" t="inlineStr">
        <is>
          <t>Service Garage</t>
        </is>
      </c>
    </row>
    <row r="52">
      <c r="B52" t="n">
        <v>325</v>
      </c>
      <c r="C52" t="inlineStr">
        <is>
          <t>Industrial</t>
        </is>
      </c>
      <c r="D52" t="n">
        <v>38</v>
      </c>
      <c r="E52" t="inlineStr">
        <is>
          <t>Service Garage</t>
        </is>
      </c>
    </row>
    <row r="53">
      <c r="B53" t="n">
        <v>326</v>
      </c>
      <c r="C53" t="inlineStr">
        <is>
          <t>Commercial</t>
        </is>
      </c>
      <c r="D53" t="n">
        <v>28</v>
      </c>
      <c r="E53" t="inlineStr">
        <is>
          <t>Storage Garage</t>
        </is>
      </c>
    </row>
    <row r="54">
      <c r="B54" t="n">
        <v>326</v>
      </c>
      <c r="C54" t="inlineStr">
        <is>
          <t>Industrial</t>
        </is>
      </c>
      <c r="D54" t="n">
        <v>4</v>
      </c>
      <c r="E54" t="inlineStr">
        <is>
          <t>Storage Garage</t>
        </is>
      </c>
    </row>
    <row r="55">
      <c r="B55" t="n">
        <v>328</v>
      </c>
      <c r="C55" t="inlineStr">
        <is>
          <t>Commercial</t>
        </is>
      </c>
      <c r="D55" t="n">
        <v>163</v>
      </c>
      <c r="E55" t="inlineStr">
        <is>
          <t>Storage Hanger</t>
        </is>
      </c>
    </row>
    <row r="56">
      <c r="B56" t="n">
        <v>331</v>
      </c>
      <c r="C56" t="inlineStr">
        <is>
          <t>Commercial</t>
        </is>
      </c>
      <c r="D56" t="n">
        <v>4</v>
      </c>
      <c r="E56" t="inlineStr">
        <is>
          <t>Hospital</t>
        </is>
      </c>
    </row>
    <row r="57">
      <c r="B57" t="n">
        <v>332</v>
      </c>
      <c r="C57" t="inlineStr">
        <is>
          <t>Commercial</t>
        </is>
      </c>
      <c r="D57" t="n">
        <v>13</v>
      </c>
      <c r="E57" t="inlineStr">
        <is>
          <t>Hotel - Full Service</t>
        </is>
      </c>
    </row>
    <row r="58">
      <c r="B58" t="n">
        <v>333</v>
      </c>
      <c r="C58" t="inlineStr">
        <is>
          <t>Commercial</t>
        </is>
      </c>
      <c r="D58" t="n">
        <v>2</v>
      </c>
      <c r="E58" t="inlineStr">
        <is>
          <t>Indust Heavy Manufacturing</t>
        </is>
      </c>
    </row>
    <row r="59">
      <c r="B59" t="n">
        <v>333</v>
      </c>
      <c r="C59" t="inlineStr">
        <is>
          <t>Industrial</t>
        </is>
      </c>
      <c r="D59" t="n">
        <v>1</v>
      </c>
      <c r="E59" t="inlineStr">
        <is>
          <t>Indust Heavy Manufacturing</t>
        </is>
      </c>
    </row>
    <row r="60">
      <c r="B60" t="n">
        <v>334</v>
      </c>
      <c r="C60" t="inlineStr">
        <is>
          <t>Commercial</t>
        </is>
      </c>
      <c r="D60" t="n">
        <v>47</v>
      </c>
      <c r="E60" t="inlineStr">
        <is>
          <t>Indust Lght Manufacturing</t>
        </is>
      </c>
    </row>
    <row r="61">
      <c r="B61" t="n">
        <v>334</v>
      </c>
      <c r="C61" t="inlineStr">
        <is>
          <t>Industrial</t>
        </is>
      </c>
      <c r="D61" t="n">
        <v>79</v>
      </c>
      <c r="E61" t="inlineStr">
        <is>
          <t>Indust Lght Manufacturing</t>
        </is>
      </c>
    </row>
    <row r="62">
      <c r="B62" t="n">
        <v>335</v>
      </c>
      <c r="C62" t="inlineStr">
        <is>
          <t>Commercial</t>
        </is>
      </c>
      <c r="D62" t="n">
        <v>1</v>
      </c>
      <c r="E62" t="inlineStr">
        <is>
          <t>Jail - Correctional Facility</t>
        </is>
      </c>
    </row>
    <row r="63">
      <c r="B63" t="n">
        <v>336</v>
      </c>
      <c r="C63" t="inlineStr">
        <is>
          <t>Commercial</t>
        </is>
      </c>
      <c r="D63" t="n">
        <v>5</v>
      </c>
      <c r="E63" t="inlineStr">
        <is>
          <t>Laundromat</t>
        </is>
      </c>
    </row>
    <row r="64">
      <c r="B64" t="n">
        <v>339</v>
      </c>
      <c r="C64" t="inlineStr">
        <is>
          <t>Commercial</t>
        </is>
      </c>
      <c r="D64" t="n">
        <v>16</v>
      </c>
      <c r="E64" t="inlineStr">
        <is>
          <t>Lumber Storage - Horizontal</t>
        </is>
      </c>
    </row>
    <row r="65">
      <c r="B65" t="n">
        <v>339</v>
      </c>
      <c r="C65" t="inlineStr">
        <is>
          <t>Industrial</t>
        </is>
      </c>
      <c r="D65" t="n">
        <v>2</v>
      </c>
      <c r="E65" t="inlineStr">
        <is>
          <t>Lumber Storage - Horizontal</t>
        </is>
      </c>
    </row>
    <row r="66">
      <c r="B66" t="n">
        <v>340</v>
      </c>
      <c r="C66" t="inlineStr">
        <is>
          <t>Commercial</t>
        </is>
      </c>
      <c r="D66" t="n">
        <v>9</v>
      </c>
      <c r="E66" t="inlineStr">
        <is>
          <t>Market</t>
        </is>
      </c>
    </row>
    <row r="67">
      <c r="B67" t="n">
        <v>341</v>
      </c>
      <c r="C67" t="inlineStr">
        <is>
          <t>Commercial</t>
        </is>
      </c>
      <c r="D67" t="n">
        <v>307</v>
      </c>
      <c r="E67" t="inlineStr">
        <is>
          <t>Medical Offices</t>
        </is>
      </c>
    </row>
    <row r="68">
      <c r="B68" t="n">
        <v>342</v>
      </c>
      <c r="C68" t="inlineStr">
        <is>
          <t>Commercial</t>
        </is>
      </c>
      <c r="D68" t="n">
        <v>6</v>
      </c>
      <c r="E68" t="inlineStr">
        <is>
          <t>Mortuary</t>
        </is>
      </c>
    </row>
    <row r="69">
      <c r="B69" t="n">
        <v>343</v>
      </c>
      <c r="C69" t="inlineStr">
        <is>
          <t>Commercial</t>
        </is>
      </c>
      <c r="D69" t="n">
        <v>16</v>
      </c>
      <c r="E69" t="inlineStr">
        <is>
          <t>Motel</t>
        </is>
      </c>
    </row>
    <row r="70">
      <c r="B70" t="n">
        <v>344</v>
      </c>
      <c r="C70" t="inlineStr">
        <is>
          <t>Commercial</t>
        </is>
      </c>
      <c r="D70" t="n">
        <v>509</v>
      </c>
      <c r="E70" t="inlineStr">
        <is>
          <t>Office Building</t>
        </is>
      </c>
    </row>
    <row r="71">
      <c r="B71" t="n">
        <v>344</v>
      </c>
      <c r="C71" t="inlineStr">
        <is>
          <t>Industrial</t>
        </is>
      </c>
      <c r="D71" t="n">
        <v>57</v>
      </c>
      <c r="E71" t="inlineStr">
        <is>
          <t>Office Building</t>
        </is>
      </c>
    </row>
    <row r="72">
      <c r="B72" t="n">
        <v>345</v>
      </c>
      <c r="C72" t="inlineStr">
        <is>
          <t>Commercial</t>
        </is>
      </c>
      <c r="D72" t="n">
        <v>5</v>
      </c>
      <c r="E72" t="inlineStr">
        <is>
          <t>Parking Structure</t>
        </is>
      </c>
    </row>
    <row r="73">
      <c r="B73" t="n">
        <v>345</v>
      </c>
      <c r="C73" t="inlineStr">
        <is>
          <t>Industrial</t>
        </is>
      </c>
      <c r="D73" t="n">
        <v>1</v>
      </c>
      <c r="E73" t="inlineStr">
        <is>
          <t>Parking Structure</t>
        </is>
      </c>
    </row>
    <row r="74">
      <c r="B74" t="n">
        <v>346</v>
      </c>
      <c r="C74" t="inlineStr">
        <is>
          <t>Commercial</t>
        </is>
      </c>
      <c r="D74" t="n">
        <v>12</v>
      </c>
      <c r="E74" t="inlineStr">
        <is>
          <t>Post Office</t>
        </is>
      </c>
    </row>
    <row r="75">
      <c r="B75" t="n">
        <v>349</v>
      </c>
      <c r="C75" t="inlineStr">
        <is>
          <t>Commercial</t>
        </is>
      </c>
      <c r="D75" t="n">
        <v>194</v>
      </c>
      <c r="E75" t="inlineStr">
        <is>
          <t>Fast Food Restaurant</t>
        </is>
      </c>
    </row>
    <row r="76">
      <c r="B76" t="n">
        <v>350</v>
      </c>
      <c r="C76" t="inlineStr">
        <is>
          <t>Commercial</t>
        </is>
      </c>
      <c r="D76" t="n">
        <v>186</v>
      </c>
      <c r="E76" t="inlineStr">
        <is>
          <t>Restaurant</t>
        </is>
      </c>
    </row>
    <row r="77">
      <c r="B77" t="n">
        <v>352</v>
      </c>
      <c r="C77" t="inlineStr">
        <is>
          <t>Commercial</t>
        </is>
      </c>
      <c r="D77" t="n">
        <v>6</v>
      </c>
      <c r="E77" t="inlineStr">
        <is>
          <t>Multiple - Residential</t>
        </is>
      </c>
    </row>
    <row r="78">
      <c r="B78" t="n">
        <v>352</v>
      </c>
      <c r="C78" t="inlineStr">
        <is>
          <t>Industrial</t>
        </is>
      </c>
      <c r="D78" t="n">
        <v>1</v>
      </c>
      <c r="E78" t="inlineStr">
        <is>
          <t>Multiple - Residential</t>
        </is>
      </c>
    </row>
    <row r="79">
      <c r="B79" t="n">
        <v>353</v>
      </c>
      <c r="C79" t="inlineStr">
        <is>
          <t>Commercial</t>
        </is>
      </c>
      <c r="D79" t="n">
        <v>698</v>
      </c>
      <c r="E79" t="inlineStr">
        <is>
          <t>Retail Store</t>
        </is>
      </c>
    </row>
    <row r="80">
      <c r="B80" t="n">
        <v>353</v>
      </c>
      <c r="C80" t="inlineStr">
        <is>
          <t>Industrial</t>
        </is>
      </c>
      <c r="D80" t="n">
        <v>2</v>
      </c>
      <c r="E80" t="inlineStr">
        <is>
          <t>Retail Store</t>
        </is>
      </c>
    </row>
    <row r="81">
      <c r="B81" t="n">
        <v>356</v>
      </c>
      <c r="C81" t="inlineStr">
        <is>
          <t>Commercial</t>
        </is>
      </c>
      <c r="D81" t="n">
        <v>1</v>
      </c>
      <c r="E81" t="inlineStr">
        <is>
          <t>School - Classroom</t>
        </is>
      </c>
    </row>
    <row r="82">
      <c r="B82" t="n">
        <v>358</v>
      </c>
      <c r="C82" t="inlineStr">
        <is>
          <t>Commercial</t>
        </is>
      </c>
      <c r="D82" t="n">
        <v>5</v>
      </c>
      <c r="E82" t="inlineStr">
        <is>
          <t>School - Gymnasium</t>
        </is>
      </c>
    </row>
    <row r="83">
      <c r="B83" t="n">
        <v>359</v>
      </c>
      <c r="C83" t="inlineStr">
        <is>
          <t>Commercial</t>
        </is>
      </c>
      <c r="D83" t="n">
        <v>2</v>
      </c>
      <c r="E83" t="inlineStr">
        <is>
          <t>School - Lecture Hall</t>
        </is>
      </c>
    </row>
    <row r="84">
      <c r="B84" t="n">
        <v>361</v>
      </c>
      <c r="C84" t="inlineStr">
        <is>
          <t>Commercial</t>
        </is>
      </c>
      <c r="D84" t="n">
        <v>2</v>
      </c>
      <c r="E84" t="inlineStr">
        <is>
          <t>School - Manual Arts</t>
        </is>
      </c>
    </row>
    <row r="85">
      <c r="B85" t="n">
        <v>368</v>
      </c>
      <c r="C85" t="inlineStr">
        <is>
          <t>Commercial</t>
        </is>
      </c>
      <c r="D85" t="n">
        <v>2</v>
      </c>
      <c r="E85" t="inlineStr">
        <is>
          <t>College - Classrooms</t>
        </is>
      </c>
    </row>
    <row r="86">
      <c r="B86" t="n">
        <v>378</v>
      </c>
      <c r="C86" t="inlineStr">
        <is>
          <t>Commercial</t>
        </is>
      </c>
      <c r="D86" t="n">
        <v>1</v>
      </c>
      <c r="E86" t="inlineStr">
        <is>
          <t>Stable</t>
        </is>
      </c>
    </row>
    <row r="87">
      <c r="B87" t="n">
        <v>380</v>
      </c>
      <c r="C87" t="inlineStr">
        <is>
          <t>Commercial</t>
        </is>
      </c>
      <c r="D87" t="n">
        <v>2</v>
      </c>
      <c r="E87" t="inlineStr">
        <is>
          <t>Theatre - Motion</t>
        </is>
      </c>
    </row>
    <row r="88">
      <c r="B88" t="n">
        <v>381</v>
      </c>
      <c r="C88" t="inlineStr">
        <is>
          <t>Commercial</t>
        </is>
      </c>
      <c r="D88" t="n">
        <v>21</v>
      </c>
      <c r="E88" t="inlineStr">
        <is>
          <t>Veterinary Hospital</t>
        </is>
      </c>
    </row>
    <row r="89">
      <c r="B89" t="n">
        <v>382</v>
      </c>
      <c r="C89" t="inlineStr">
        <is>
          <t>Commercial</t>
        </is>
      </c>
      <c r="D89" t="n">
        <v>1</v>
      </c>
      <c r="E89" t="inlineStr">
        <is>
          <t>Medical Office Buildings</t>
        </is>
      </c>
    </row>
    <row r="90">
      <c r="B90" t="n">
        <v>384</v>
      </c>
      <c r="C90" t="inlineStr">
        <is>
          <t>Commercial</t>
        </is>
      </c>
      <c r="D90" t="n">
        <v>9</v>
      </c>
      <c r="E90" t="inlineStr">
        <is>
          <t>Barber/Beauty Shop</t>
        </is>
      </c>
    </row>
    <row r="91">
      <c r="B91" t="n">
        <v>386</v>
      </c>
      <c r="C91" t="inlineStr">
        <is>
          <t>Commercial</t>
        </is>
      </c>
      <c r="D91" t="n">
        <v>77</v>
      </c>
      <c r="E91" t="inlineStr">
        <is>
          <t>Mini Warehouse</t>
        </is>
      </c>
    </row>
    <row r="92">
      <c r="B92" t="n">
        <v>386</v>
      </c>
      <c r="C92" t="inlineStr">
        <is>
          <t>Industrial</t>
        </is>
      </c>
      <c r="D92" t="n">
        <v>4</v>
      </c>
      <c r="E92" t="inlineStr">
        <is>
          <t>Mini Warehouse</t>
        </is>
      </c>
    </row>
    <row r="93">
      <c r="B93" t="n">
        <v>387</v>
      </c>
      <c r="C93" t="inlineStr">
        <is>
          <t>Commercial</t>
        </is>
      </c>
      <c r="D93" t="n">
        <v>27</v>
      </c>
      <c r="E93" t="inlineStr">
        <is>
          <t>Transit Warehouse</t>
        </is>
      </c>
    </row>
    <row r="94">
      <c r="B94" t="n">
        <v>387</v>
      </c>
      <c r="C94" t="inlineStr">
        <is>
          <t>Industrial</t>
        </is>
      </c>
      <c r="D94" t="n">
        <v>4</v>
      </c>
      <c r="E94" t="inlineStr">
        <is>
          <t>Transit Warehouse</t>
        </is>
      </c>
    </row>
    <row r="95">
      <c r="B95" t="n">
        <v>389</v>
      </c>
      <c r="C95" t="inlineStr">
        <is>
          <t>Commercial</t>
        </is>
      </c>
      <c r="D95" t="n">
        <v>7</v>
      </c>
      <c r="E95" t="inlineStr">
        <is>
          <t>Equipment Implement</t>
        </is>
      </c>
    </row>
    <row r="96">
      <c r="B96" t="n">
        <v>389</v>
      </c>
      <c r="C96" t="inlineStr">
        <is>
          <t>Industrial</t>
        </is>
      </c>
      <c r="D96" t="n">
        <v>3</v>
      </c>
      <c r="E96" t="inlineStr">
        <is>
          <t>Equipment Implement</t>
        </is>
      </c>
    </row>
    <row r="97">
      <c r="B97" t="n">
        <v>390</v>
      </c>
      <c r="C97" t="inlineStr">
        <is>
          <t>Commercial</t>
        </is>
      </c>
      <c r="D97" t="n">
        <v>4</v>
      </c>
      <c r="E97" t="inlineStr">
        <is>
          <t>Lumber Storage - Vertical</t>
        </is>
      </c>
    </row>
    <row r="98">
      <c r="B98" t="n">
        <v>391</v>
      </c>
      <c r="C98" t="inlineStr">
        <is>
          <t>Commercial</t>
        </is>
      </c>
      <c r="D98" t="n">
        <v>10</v>
      </c>
      <c r="E98" t="inlineStr">
        <is>
          <t>Storage - Material</t>
        </is>
      </c>
    </row>
    <row r="99">
      <c r="B99" t="n">
        <v>391</v>
      </c>
      <c r="C99" t="inlineStr">
        <is>
          <t>Industrial</t>
        </is>
      </c>
      <c r="D99" t="n">
        <v>3</v>
      </c>
      <c r="E99" t="inlineStr">
        <is>
          <t>Storage - Material</t>
        </is>
      </c>
    </row>
    <row r="100">
      <c r="B100" t="n">
        <v>392</v>
      </c>
      <c r="C100" t="inlineStr">
        <is>
          <t>Commercial</t>
        </is>
      </c>
      <c r="D100" t="n">
        <v>2</v>
      </c>
      <c r="E100" t="inlineStr">
        <is>
          <t>Industrial Engineering &amp; Research</t>
        </is>
      </c>
    </row>
    <row r="101">
      <c r="B101" t="n">
        <v>392</v>
      </c>
      <c r="C101" t="inlineStr">
        <is>
          <t>Industrial</t>
        </is>
      </c>
      <c r="D101" t="n">
        <v>2</v>
      </c>
      <c r="E101" t="inlineStr">
        <is>
          <t>Industrial Engineering &amp; Research</t>
        </is>
      </c>
    </row>
    <row r="102">
      <c r="B102" t="n">
        <v>397</v>
      </c>
      <c r="C102" t="inlineStr">
        <is>
          <t>Commercial</t>
        </is>
      </c>
      <c r="D102" t="n">
        <v>2</v>
      </c>
      <c r="E102" t="inlineStr">
        <is>
          <t>Barn</t>
        </is>
      </c>
    </row>
    <row r="103">
      <c r="B103" t="n">
        <v>401</v>
      </c>
      <c r="C103" t="inlineStr">
        <is>
          <t>Commercial</t>
        </is>
      </c>
      <c r="D103" t="n">
        <v>16</v>
      </c>
      <c r="E103" t="inlineStr">
        <is>
          <t>Shed - Equipment</t>
        </is>
      </c>
    </row>
    <row r="104">
      <c r="B104" t="n">
        <v>401</v>
      </c>
      <c r="C104" t="inlineStr">
        <is>
          <t>Industrial</t>
        </is>
      </c>
      <c r="D104" t="n">
        <v>5</v>
      </c>
      <c r="E104" t="inlineStr">
        <is>
          <t>Shed - Equipment</t>
        </is>
      </c>
    </row>
    <row r="105">
      <c r="B105" t="n">
        <v>403</v>
      </c>
      <c r="C105" t="inlineStr">
        <is>
          <t>Commercial</t>
        </is>
      </c>
      <c r="D105" t="n">
        <v>2</v>
      </c>
      <c r="E105" t="inlineStr">
        <is>
          <t>Shower Building</t>
        </is>
      </c>
    </row>
    <row r="106">
      <c r="B106" t="n">
        <v>403</v>
      </c>
      <c r="C106" t="inlineStr">
        <is>
          <t>Industrial</t>
        </is>
      </c>
      <c r="D106" t="n">
        <v>2</v>
      </c>
      <c r="E106" t="inlineStr">
        <is>
          <t>Shower Building</t>
        </is>
      </c>
    </row>
    <row r="107">
      <c r="B107" t="n">
        <v>404</v>
      </c>
      <c r="C107" t="inlineStr">
        <is>
          <t>Commercial</t>
        </is>
      </c>
      <c r="D107" t="n">
        <v>28</v>
      </c>
      <c r="E107" t="inlineStr">
        <is>
          <t>Farm Utility Building</t>
        </is>
      </c>
    </row>
    <row r="108">
      <c r="B108" t="n">
        <v>404</v>
      </c>
      <c r="C108" t="inlineStr">
        <is>
          <t>Industrial</t>
        </is>
      </c>
      <c r="D108" t="n">
        <v>6</v>
      </c>
      <c r="E108" t="inlineStr">
        <is>
          <t>Farm Utility Building</t>
        </is>
      </c>
    </row>
    <row r="109">
      <c r="B109" t="n">
        <v>405</v>
      </c>
      <c r="C109" t="inlineStr">
        <is>
          <t>Commercial</t>
        </is>
      </c>
      <c r="D109" t="n">
        <v>2</v>
      </c>
      <c r="E109" t="inlineStr">
        <is>
          <t>Skating Rink</t>
        </is>
      </c>
    </row>
    <row r="110">
      <c r="B110" t="n">
        <v>406</v>
      </c>
      <c r="C110" t="inlineStr">
        <is>
          <t>Commercial</t>
        </is>
      </c>
      <c r="D110" t="n">
        <v>642</v>
      </c>
      <c r="E110" t="inlineStr">
        <is>
          <t>Storage Warehouse</t>
        </is>
      </c>
    </row>
    <row r="111">
      <c r="B111" t="n">
        <v>406</v>
      </c>
      <c r="C111" t="inlineStr">
        <is>
          <t>Industrial</t>
        </is>
      </c>
      <c r="D111" t="n">
        <v>75</v>
      </c>
      <c r="E111" t="inlineStr">
        <is>
          <t>Storage Warehouse</t>
        </is>
      </c>
    </row>
    <row r="112">
      <c r="B112" t="n">
        <v>407</v>
      </c>
      <c r="C112" t="inlineStr">
        <is>
          <t>Commercial</t>
        </is>
      </c>
      <c r="D112" t="n">
        <v>501</v>
      </c>
      <c r="E112" t="inlineStr">
        <is>
          <t>Distribution Warehouse</t>
        </is>
      </c>
    </row>
    <row r="113">
      <c r="B113" t="n">
        <v>407</v>
      </c>
      <c r="C113" t="inlineStr">
        <is>
          <t>Industrial</t>
        </is>
      </c>
      <c r="D113" t="n">
        <v>154</v>
      </c>
      <c r="E113" t="inlineStr">
        <is>
          <t>Distribution Warehouse</t>
        </is>
      </c>
    </row>
    <row r="114">
      <c r="B114" t="n">
        <v>408</v>
      </c>
      <c r="C114" t="inlineStr">
        <is>
          <t>Commercial</t>
        </is>
      </c>
      <c r="D114" t="n">
        <v>10</v>
      </c>
      <c r="E114" t="inlineStr">
        <is>
          <t>Service Station</t>
        </is>
      </c>
    </row>
    <row r="115">
      <c r="B115" t="n">
        <v>409</v>
      </c>
      <c r="C115" t="inlineStr">
        <is>
          <t>Commercial</t>
        </is>
      </c>
      <c r="D115" t="n">
        <v>23</v>
      </c>
      <c r="E115" t="inlineStr">
        <is>
          <t>T-Hanger</t>
        </is>
      </c>
    </row>
    <row r="116">
      <c r="B116" t="n">
        <v>410</v>
      </c>
      <c r="C116" t="inlineStr">
        <is>
          <t>Commercial</t>
        </is>
      </c>
      <c r="D116" t="n">
        <v>7</v>
      </c>
      <c r="E116" t="inlineStr">
        <is>
          <t>Automotive Center</t>
        </is>
      </c>
    </row>
    <row r="117">
      <c r="B117" t="n">
        <v>412</v>
      </c>
      <c r="C117" t="inlineStr">
        <is>
          <t>Commercial</t>
        </is>
      </c>
      <c r="D117" t="n">
        <v>43</v>
      </c>
      <c r="E117" t="inlineStr">
        <is>
          <t>Neighborhood Shopping Center</t>
        </is>
      </c>
    </row>
    <row r="118">
      <c r="B118" t="n">
        <v>413</v>
      </c>
      <c r="C118" t="inlineStr">
        <is>
          <t>Commercial</t>
        </is>
      </c>
      <c r="D118" t="n">
        <v>20</v>
      </c>
      <c r="E118" t="inlineStr">
        <is>
          <t>Community Shopping Center</t>
        </is>
      </c>
    </row>
    <row r="119">
      <c r="B119" t="n">
        <v>414</v>
      </c>
      <c r="C119" t="inlineStr">
        <is>
          <t>Commercial</t>
        </is>
      </c>
      <c r="D119" t="n">
        <v>8</v>
      </c>
      <c r="E119" t="inlineStr">
        <is>
          <t>Regional Shopping Center</t>
        </is>
      </c>
    </row>
    <row r="120">
      <c r="B120" t="n">
        <v>415</v>
      </c>
      <c r="C120" t="inlineStr">
        <is>
          <t>Commercial</t>
        </is>
      </c>
      <c r="D120" t="n">
        <v>2</v>
      </c>
      <c r="E120" t="inlineStr">
        <is>
          <t>Utility Bldg Res</t>
        </is>
      </c>
    </row>
    <row r="121">
      <c r="B121" t="n">
        <v>418</v>
      </c>
      <c r="C121" t="inlineStr">
        <is>
          <t>Commercial</t>
        </is>
      </c>
      <c r="D121" t="n">
        <v>2</v>
      </c>
      <c r="E121" t="inlineStr">
        <is>
          <t>Health Club</t>
        </is>
      </c>
    </row>
    <row r="122">
      <c r="B122" t="n">
        <v>419</v>
      </c>
      <c r="C122" t="inlineStr">
        <is>
          <t>Commercial</t>
        </is>
      </c>
      <c r="D122" t="n">
        <v>139</v>
      </c>
      <c r="E122" t="inlineStr">
        <is>
          <t>Convenience Store</t>
        </is>
      </c>
    </row>
    <row r="123">
      <c r="B123" t="n">
        <v>419</v>
      </c>
      <c r="C123" t="inlineStr">
        <is>
          <t>Industrial</t>
        </is>
      </c>
      <c r="D123" t="n">
        <v>1</v>
      </c>
      <c r="E123" t="inlineStr">
        <is>
          <t>Convenience Store</t>
        </is>
      </c>
    </row>
    <row r="124">
      <c r="B124" t="n">
        <v>421</v>
      </c>
      <c r="C124" t="inlineStr">
        <is>
          <t>Commercial</t>
        </is>
      </c>
      <c r="D124" t="n">
        <v>1</v>
      </c>
      <c r="E124" t="inlineStr">
        <is>
          <t>Shed - Tool</t>
        </is>
      </c>
    </row>
    <row r="125">
      <c r="B125" t="n">
        <v>423</v>
      </c>
      <c r="C125" t="inlineStr">
        <is>
          <t>Commercial</t>
        </is>
      </c>
      <c r="D125" t="n">
        <v>23</v>
      </c>
      <c r="E125" t="inlineStr">
        <is>
          <t>Mini Lube Garage</t>
        </is>
      </c>
    </row>
    <row r="126">
      <c r="B126" t="n">
        <v>425</v>
      </c>
      <c r="C126" t="inlineStr">
        <is>
          <t>Commercial</t>
        </is>
      </c>
      <c r="D126" t="n">
        <v>356</v>
      </c>
      <c r="E126" t="inlineStr">
        <is>
          <t>Industrial WH Condo</t>
        </is>
      </c>
    </row>
    <row r="127">
      <c r="B127" t="n">
        <v>425</v>
      </c>
      <c r="C127" t="inlineStr">
        <is>
          <t>Industrial</t>
        </is>
      </c>
      <c r="D127" t="n">
        <v>12</v>
      </c>
      <c r="E127" t="inlineStr">
        <is>
          <t>Industrial WH Condo</t>
        </is>
      </c>
    </row>
    <row r="128">
      <c r="B128" t="n">
        <v>426</v>
      </c>
      <c r="C128" t="inlineStr">
        <is>
          <t>Commercial</t>
        </is>
      </c>
      <c r="D128" t="n">
        <v>35</v>
      </c>
      <c r="E128" t="inlineStr">
        <is>
          <t>Day Care Center</t>
        </is>
      </c>
    </row>
    <row r="129">
      <c r="B129" t="n">
        <v>430</v>
      </c>
      <c r="C129" t="inlineStr">
        <is>
          <t>Industrial</t>
        </is>
      </c>
      <c r="D129" t="n">
        <v>1</v>
      </c>
      <c r="E129" t="inlineStr">
        <is>
          <t>Storage - Utility Grain</t>
        </is>
      </c>
    </row>
    <row r="130">
      <c r="B130" t="n">
        <v>431</v>
      </c>
      <c r="C130" t="inlineStr">
        <is>
          <t>Commercial</t>
        </is>
      </c>
      <c r="D130" t="n">
        <v>1</v>
      </c>
      <c r="E130" t="inlineStr">
        <is>
          <t>Surgical Center - Out patient</t>
        </is>
      </c>
    </row>
    <row r="131">
      <c r="B131" t="n">
        <v>432</v>
      </c>
      <c r="C131" t="inlineStr">
        <is>
          <t>Industrial</t>
        </is>
      </c>
      <c r="D131" t="n">
        <v>1</v>
      </c>
      <c r="E131" t="inlineStr">
        <is>
          <t>Restroom Building/Concessions</t>
        </is>
      </c>
    </row>
    <row r="132">
      <c r="B132" t="n">
        <v>434</v>
      </c>
      <c r="C132" t="inlineStr">
        <is>
          <t>Commercial</t>
        </is>
      </c>
      <c r="D132" t="n">
        <v>55</v>
      </c>
      <c r="E132" t="inlineStr">
        <is>
          <t>Car Wash - Self Service</t>
        </is>
      </c>
    </row>
    <row r="133">
      <c r="B133" t="n">
        <v>434</v>
      </c>
      <c r="C133" t="inlineStr">
        <is>
          <t>Industrial</t>
        </is>
      </c>
      <c r="D133" t="n">
        <v>1</v>
      </c>
      <c r="E133" t="inlineStr">
        <is>
          <t>Car Wash - Self Service</t>
        </is>
      </c>
    </row>
    <row r="134">
      <c r="B134" t="n">
        <v>435</v>
      </c>
      <c r="C134" t="inlineStr">
        <is>
          <t>Commercial</t>
        </is>
      </c>
      <c r="D134" t="n">
        <v>22</v>
      </c>
      <c r="E134" t="inlineStr">
        <is>
          <t>Car Wash - Drive thru</t>
        </is>
      </c>
    </row>
    <row r="135">
      <c r="B135" t="n">
        <v>436</v>
      </c>
      <c r="C135" t="inlineStr">
        <is>
          <t>Commercial</t>
        </is>
      </c>
      <c r="D135" t="n">
        <v>52</v>
      </c>
      <c r="E135" t="inlineStr">
        <is>
          <t>Car Wash - Automatic</t>
        </is>
      </c>
    </row>
    <row r="136">
      <c r="B136" t="n">
        <v>438</v>
      </c>
      <c r="C136" t="inlineStr">
        <is>
          <t>Industrial</t>
        </is>
      </c>
      <c r="D136" t="n">
        <v>1</v>
      </c>
      <c r="E136" t="inlineStr">
        <is>
          <t>Prefab Metal Building *CODE</t>
        </is>
      </c>
    </row>
    <row r="137">
      <c r="B137" t="n">
        <v>441</v>
      </c>
      <c r="C137" t="inlineStr">
        <is>
          <t>Commercial</t>
        </is>
      </c>
      <c r="D137" t="n">
        <v>2</v>
      </c>
      <c r="E137" t="inlineStr">
        <is>
          <t>Cocktail Lounge</t>
        </is>
      </c>
    </row>
    <row r="138">
      <c r="B138" t="n">
        <v>442</v>
      </c>
      <c r="C138" t="inlineStr">
        <is>
          <t>Commercial</t>
        </is>
      </c>
      <c r="D138" t="n">
        <v>41</v>
      </c>
      <c r="E138" t="inlineStr">
        <is>
          <t>Bar/Tavern</t>
        </is>
      </c>
    </row>
    <row r="139">
      <c r="B139" t="n">
        <v>442</v>
      </c>
      <c r="C139" t="inlineStr">
        <is>
          <t>Industrial</t>
        </is>
      </c>
      <c r="D139" t="n">
        <v>1</v>
      </c>
      <c r="E139" t="inlineStr">
        <is>
          <t>Bar/Tavern</t>
        </is>
      </c>
    </row>
    <row r="140">
      <c r="B140" t="n">
        <v>444</v>
      </c>
      <c r="C140" t="inlineStr">
        <is>
          <t>Commercial</t>
        </is>
      </c>
      <c r="D140" t="n">
        <v>18</v>
      </c>
      <c r="E140" t="inlineStr">
        <is>
          <t>Dental Office/ Clinic</t>
        </is>
      </c>
    </row>
    <row r="141">
      <c r="B141" t="n">
        <v>446</v>
      </c>
      <c r="C141" t="inlineStr">
        <is>
          <t>Commercial</t>
        </is>
      </c>
      <c r="D141" t="n">
        <v>30</v>
      </c>
      <c r="E141" t="inlineStr">
        <is>
          <t>SuperMarket</t>
        </is>
      </c>
    </row>
    <row r="142">
      <c r="B142" t="n">
        <v>447</v>
      </c>
      <c r="C142" t="inlineStr">
        <is>
          <t>Commercial</t>
        </is>
      </c>
      <c r="D142" t="n">
        <v>8</v>
      </c>
      <c r="E142" t="inlineStr">
        <is>
          <t>Cold Storage Warehouse</t>
        </is>
      </c>
    </row>
    <row r="143">
      <c r="B143" t="n">
        <v>447</v>
      </c>
      <c r="C143" t="inlineStr">
        <is>
          <t>Industrial</t>
        </is>
      </c>
      <c r="D143" t="n">
        <v>2</v>
      </c>
      <c r="E143" t="inlineStr">
        <is>
          <t>Cold Storage Warehouse</t>
        </is>
      </c>
    </row>
    <row r="144">
      <c r="B144" t="n">
        <v>448</v>
      </c>
      <c r="C144" t="inlineStr">
        <is>
          <t>Commercial</t>
        </is>
      </c>
      <c r="D144" t="n">
        <v>7</v>
      </c>
      <c r="E144" t="inlineStr">
        <is>
          <t>Self Service Booth</t>
        </is>
      </c>
    </row>
    <row r="145">
      <c r="B145" t="n">
        <v>451</v>
      </c>
      <c r="C145" t="inlineStr">
        <is>
          <t>Commercial</t>
        </is>
      </c>
      <c r="D145" t="n">
        <v>2</v>
      </c>
      <c r="E145" t="inlineStr">
        <is>
          <t>Grain Elevator Concrete</t>
        </is>
      </c>
    </row>
    <row r="146">
      <c r="B146" t="n">
        <v>452</v>
      </c>
      <c r="C146" t="inlineStr">
        <is>
          <t>Commercial</t>
        </is>
      </c>
      <c r="D146" t="n">
        <v>1</v>
      </c>
      <c r="E146" t="inlineStr">
        <is>
          <t>Grain Elevator Conc Annex</t>
        </is>
      </c>
    </row>
    <row r="147">
      <c r="B147" t="n">
        <v>464</v>
      </c>
      <c r="C147" t="inlineStr">
        <is>
          <t>Commercial</t>
        </is>
      </c>
      <c r="D147" t="n">
        <v>2</v>
      </c>
      <c r="E147" t="inlineStr">
        <is>
          <t>Grain Elevator Low</t>
        </is>
      </c>
    </row>
    <row r="148">
      <c r="B148" t="n">
        <v>465</v>
      </c>
      <c r="C148" t="inlineStr">
        <is>
          <t>Commercial</t>
        </is>
      </c>
      <c r="D148" t="n">
        <v>3</v>
      </c>
      <c r="E148" t="inlineStr">
        <is>
          <t>Grain Elevator Average</t>
        </is>
      </c>
    </row>
    <row r="149">
      <c r="B149" t="n">
        <v>468</v>
      </c>
      <c r="C149" t="inlineStr">
        <is>
          <t>Commercial</t>
        </is>
      </c>
      <c r="D149" t="n">
        <v>1</v>
      </c>
      <c r="E149" t="inlineStr">
        <is>
          <t>Farm Office</t>
        </is>
      </c>
    </row>
    <row r="150">
      <c r="B150" t="n">
        <v>468</v>
      </c>
      <c r="C150" t="inlineStr">
        <is>
          <t>Industrial</t>
        </is>
      </c>
      <c r="D150" t="n">
        <v>1</v>
      </c>
      <c r="E150" t="inlineStr">
        <is>
          <t>Farm Office</t>
        </is>
      </c>
    </row>
    <row r="151">
      <c r="B151" t="n">
        <v>473</v>
      </c>
      <c r="C151" t="inlineStr">
        <is>
          <t>Commercial</t>
        </is>
      </c>
      <c r="D151" t="n">
        <v>9</v>
      </c>
      <c r="E151" t="inlineStr">
        <is>
          <t>Equipment Building</t>
        </is>
      </c>
    </row>
    <row r="152">
      <c r="B152" t="n">
        <v>473</v>
      </c>
      <c r="C152" t="inlineStr">
        <is>
          <t>Industrial</t>
        </is>
      </c>
      <c r="D152" t="n">
        <v>1</v>
      </c>
      <c r="E152" t="inlineStr">
        <is>
          <t>Equipment Building</t>
        </is>
      </c>
    </row>
    <row r="153">
      <c r="B153" t="n">
        <v>474</v>
      </c>
      <c r="C153" t="inlineStr">
        <is>
          <t>Commercial</t>
        </is>
      </c>
      <c r="D153" t="n">
        <v>19</v>
      </c>
      <c r="E153" t="inlineStr">
        <is>
          <t>Modular Office</t>
        </is>
      </c>
    </row>
    <row r="154">
      <c r="B154" t="n">
        <v>474</v>
      </c>
      <c r="C154" t="inlineStr">
        <is>
          <t>Industrial</t>
        </is>
      </c>
      <c r="D154" t="n">
        <v>4</v>
      </c>
      <c r="E154" t="inlineStr">
        <is>
          <t>Modular Office</t>
        </is>
      </c>
    </row>
    <row r="155">
      <c r="B155" t="n">
        <v>480</v>
      </c>
      <c r="C155" t="inlineStr">
        <is>
          <t>Commercial</t>
        </is>
      </c>
      <c r="D155" t="n">
        <v>1</v>
      </c>
      <c r="E155" t="inlineStr">
        <is>
          <t>Vegetable Building</t>
        </is>
      </c>
    </row>
    <row r="156">
      <c r="B156" t="n">
        <v>482</v>
      </c>
      <c r="C156" t="inlineStr">
        <is>
          <t>Commercial</t>
        </is>
      </c>
      <c r="D156" t="n">
        <v>3</v>
      </c>
      <c r="E156" t="inlineStr">
        <is>
          <t>Convention Center</t>
        </is>
      </c>
    </row>
    <row r="157">
      <c r="B157" t="n">
        <v>483</v>
      </c>
      <c r="C157" t="inlineStr">
        <is>
          <t>Commercial</t>
        </is>
      </c>
      <c r="D157" t="n">
        <v>4</v>
      </c>
      <c r="E157" t="inlineStr">
        <is>
          <t>Fitness Center</t>
        </is>
      </c>
    </row>
    <row r="158">
      <c r="B158" t="n">
        <v>499</v>
      </c>
      <c r="C158" t="inlineStr">
        <is>
          <t>Commercial</t>
        </is>
      </c>
      <c r="D158" t="n">
        <v>3</v>
      </c>
      <c r="E158" t="inlineStr">
        <is>
          <t>Salvage</t>
        </is>
      </c>
    </row>
    <row r="159">
      <c r="B159" t="n">
        <v>500</v>
      </c>
      <c r="C159" t="inlineStr">
        <is>
          <t>Commercial</t>
        </is>
      </c>
      <c r="D159" t="n">
        <v>3</v>
      </c>
      <c r="E159" t="inlineStr">
        <is>
          <t>R V Parks *CODE</t>
        </is>
      </c>
    </row>
    <row r="160">
      <c r="B160" t="n">
        <v>501</v>
      </c>
      <c r="C160" t="inlineStr">
        <is>
          <t>Commercial</t>
        </is>
      </c>
      <c r="D160" t="n">
        <v>13</v>
      </c>
      <c r="E160" t="inlineStr">
        <is>
          <t>Mini-Mart Convenience Stores</t>
        </is>
      </c>
    </row>
    <row r="161">
      <c r="B161" t="n">
        <v>501</v>
      </c>
      <c r="C161" t="inlineStr">
        <is>
          <t>Industrial</t>
        </is>
      </c>
      <c r="D161" t="n">
        <v>2</v>
      </c>
      <c r="E161" t="inlineStr">
        <is>
          <t>Miscellaneous OB</t>
        </is>
      </c>
    </row>
    <row r="162">
      <c r="B162" t="n">
        <v>519</v>
      </c>
      <c r="C162" t="inlineStr">
        <is>
          <t>Commercial</t>
        </is>
      </c>
      <c r="D162" t="n">
        <v>1</v>
      </c>
      <c r="E162" t="inlineStr">
        <is>
          <t>Greenhouse Shade Shelters</t>
        </is>
      </c>
    </row>
    <row r="163">
      <c r="B163" t="n">
        <v>523</v>
      </c>
      <c r="C163" t="inlineStr">
        <is>
          <t>Commercial</t>
        </is>
      </c>
      <c r="D163" t="n">
        <v>1</v>
      </c>
      <c r="E163" t="inlineStr">
        <is>
          <t>Golf Cart Storage Bldgs</t>
        </is>
      </c>
    </row>
    <row r="164">
      <c r="B164" t="n">
        <v>525</v>
      </c>
      <c r="C164" t="inlineStr">
        <is>
          <t>Commercial</t>
        </is>
      </c>
      <c r="D164" t="n">
        <v>1</v>
      </c>
      <c r="E164" t="inlineStr">
        <is>
          <t>Mini Warehouse Hi-rise</t>
        </is>
      </c>
    </row>
    <row r="165">
      <c r="B165" t="n">
        <v>526</v>
      </c>
      <c r="C165" t="inlineStr">
        <is>
          <t>Commercial</t>
        </is>
      </c>
      <c r="D165" t="n">
        <v>3</v>
      </c>
      <c r="E165" t="inlineStr">
        <is>
          <t>Service Garage Sheds</t>
        </is>
      </c>
    </row>
    <row r="166">
      <c r="B166" t="n">
        <v>529</v>
      </c>
      <c r="C166" t="inlineStr">
        <is>
          <t>Commercial</t>
        </is>
      </c>
      <c r="D166" t="n">
        <v>1</v>
      </c>
      <c r="E166" t="inlineStr">
        <is>
          <t>Snack Bar</t>
        </is>
      </c>
    </row>
    <row r="167">
      <c r="B167" t="n">
        <v>531</v>
      </c>
      <c r="C167" t="inlineStr">
        <is>
          <t>Commercial</t>
        </is>
      </c>
      <c r="D167" t="n">
        <v>2</v>
      </c>
      <c r="E167" t="inlineStr">
        <is>
          <t>Mobile Home Parks *CODE</t>
        </is>
      </c>
    </row>
    <row r="168">
      <c r="B168" t="n">
        <v>533</v>
      </c>
      <c r="C168" t="inlineStr">
        <is>
          <t>Commercial</t>
        </is>
      </c>
      <c r="D168" t="n">
        <v>2</v>
      </c>
      <c r="E168" t="inlineStr">
        <is>
          <t>Warehouse Food Store</t>
        </is>
      </c>
    </row>
    <row r="169">
      <c r="B169" t="n">
        <v>534</v>
      </c>
      <c r="C169" t="inlineStr">
        <is>
          <t>Commercial</t>
        </is>
      </c>
      <c r="D169" t="n">
        <v>10</v>
      </c>
      <c r="E169" t="inlineStr">
        <is>
          <t>Warehouse Showroom Store</t>
        </is>
      </c>
    </row>
    <row r="170">
      <c r="B170" t="n">
        <v>534</v>
      </c>
      <c r="C170" t="inlineStr">
        <is>
          <t>Industrial</t>
        </is>
      </c>
      <c r="D170" t="n">
        <v>1</v>
      </c>
      <c r="E170" t="inlineStr">
        <is>
          <t>Warehouse Showroom Store</t>
        </is>
      </c>
    </row>
    <row r="171">
      <c r="B171" t="n">
        <v>540</v>
      </c>
      <c r="C171" t="inlineStr">
        <is>
          <t>Commercial</t>
        </is>
      </c>
      <c r="D171" t="n">
        <v>1</v>
      </c>
      <c r="E171" t="inlineStr">
        <is>
          <t>Motel Guest Rooms</t>
        </is>
      </c>
    </row>
    <row r="172">
      <c r="B172" t="n">
        <v>544</v>
      </c>
      <c r="C172" t="inlineStr">
        <is>
          <t>Commercial</t>
        </is>
      </c>
      <c r="D172" t="n">
        <v>4</v>
      </c>
      <c r="E172" t="inlineStr">
        <is>
          <t>Office-Apartment</t>
        </is>
      </c>
    </row>
    <row r="173">
      <c r="B173" t="n">
        <v>557</v>
      </c>
      <c r="C173" t="inlineStr">
        <is>
          <t>Commercial</t>
        </is>
      </c>
      <c r="D173" t="n">
        <v>2</v>
      </c>
      <c r="E173" t="inlineStr">
        <is>
          <t>Arch-Rib Quonset Utility</t>
        </is>
      </c>
    </row>
    <row r="174">
      <c r="B174" t="n">
        <v>558</v>
      </c>
      <c r="C174" t="inlineStr">
        <is>
          <t>Commercial</t>
        </is>
      </c>
      <c r="D174" t="n">
        <v>1</v>
      </c>
      <c r="E174" t="inlineStr">
        <is>
          <t>Arch-Rib Quonset Farm Implement</t>
        </is>
      </c>
    </row>
    <row r="175">
      <c r="B175" t="n">
        <v>573</v>
      </c>
      <c r="C175" t="inlineStr">
        <is>
          <t>Commercial</t>
        </is>
      </c>
      <c r="D175" t="n">
        <v>1</v>
      </c>
      <c r="E175" t="inlineStr">
        <is>
          <t>Arcade</t>
        </is>
      </c>
    </row>
    <row r="176">
      <c r="B176" t="n">
        <v>580</v>
      </c>
      <c r="C176" t="inlineStr">
        <is>
          <t>Commercial</t>
        </is>
      </c>
      <c r="D176" t="n">
        <v>2</v>
      </c>
      <c r="E176" t="inlineStr">
        <is>
          <t>Truck Stop Restaurant</t>
        </is>
      </c>
    </row>
    <row r="177">
      <c r="B177" t="n">
        <v>582</v>
      </c>
      <c r="C177" t="inlineStr">
        <is>
          <t>Commercial</t>
        </is>
      </c>
      <c r="D177" t="n">
        <v>1</v>
      </c>
      <c r="E177" t="inlineStr">
        <is>
          <t>Branch Post Office</t>
        </is>
      </c>
    </row>
    <row r="178">
      <c r="B178" t="n">
        <v>584</v>
      </c>
      <c r="C178" t="inlineStr">
        <is>
          <t>Commercial</t>
        </is>
      </c>
      <c r="D178" t="n">
        <v>56</v>
      </c>
      <c r="E178" t="inlineStr">
        <is>
          <t>Mega Warehouse</t>
        </is>
      </c>
    </row>
    <row r="179">
      <c r="B179" t="n">
        <v>584</v>
      </c>
      <c r="C179" t="inlineStr">
        <is>
          <t>Industrial</t>
        </is>
      </c>
      <c r="D179" t="n">
        <v>21</v>
      </c>
      <c r="E179" t="inlineStr">
        <is>
          <t>Mega Warehouse</t>
        </is>
      </c>
    </row>
    <row r="180">
      <c r="B180" t="n">
        <v>718</v>
      </c>
      <c r="C180" t="inlineStr">
        <is>
          <t>Commercial</t>
        </is>
      </c>
      <c r="D180" t="n">
        <v>3</v>
      </c>
      <c r="E180" t="inlineStr">
        <is>
          <t>Banquet Halls</t>
        </is>
      </c>
    </row>
    <row r="181">
      <c r="B181" t="n">
        <v>1104</v>
      </c>
      <c r="C181" t="inlineStr">
        <is>
          <t>Commercial</t>
        </is>
      </c>
      <c r="D181" t="n">
        <v>1</v>
      </c>
      <c r="E181" t="inlineStr">
        <is>
          <t>Light Commercial-Commodity Warehouse</t>
        </is>
      </c>
    </row>
    <row r="182">
      <c r="B182" t="n">
        <v>1104</v>
      </c>
      <c r="C182" t="inlineStr">
        <is>
          <t>Industrial</t>
        </is>
      </c>
      <c r="D182" t="n">
        <v>1</v>
      </c>
      <c r="E182" t="inlineStr">
        <is>
          <t>Light Commercial-Commodity Warehouse</t>
        </is>
      </c>
    </row>
    <row r="183">
      <c r="B183" t="n">
        <v>1111</v>
      </c>
      <c r="C183" t="inlineStr">
        <is>
          <t>Commercial</t>
        </is>
      </c>
      <c r="D183" t="n">
        <v>2</v>
      </c>
      <c r="E183" t="inlineStr">
        <is>
          <t>Parking Lot</t>
        </is>
      </c>
    </row>
    <row r="184">
      <c r="B184" t="n">
        <v>1112</v>
      </c>
      <c r="C184" t="inlineStr">
        <is>
          <t>Commercial</t>
        </is>
      </c>
      <c r="D184" t="n">
        <v>1</v>
      </c>
      <c r="E184" t="inlineStr">
        <is>
          <t>Parking Lot Income Producing</t>
        </is>
      </c>
    </row>
    <row r="185">
      <c r="B185" t="n">
        <v>1157</v>
      </c>
      <c r="C185" t="inlineStr">
        <is>
          <t>Commercial</t>
        </is>
      </c>
      <c r="D185" t="n">
        <v>2</v>
      </c>
      <c r="E185" t="inlineStr">
        <is>
          <t>Maintenance (Storage) Buildings</t>
        </is>
      </c>
    </row>
    <row r="186">
      <c r="B186" t="n">
        <v>1332</v>
      </c>
      <c r="C186" t="inlineStr">
        <is>
          <t>Commercial</t>
        </is>
      </c>
      <c r="D186" t="n">
        <v>39</v>
      </c>
      <c r="E186" t="inlineStr">
        <is>
          <t>Hotels - Limited Service</t>
        </is>
      </c>
    </row>
    <row r="187">
      <c r="B187" t="n">
        <v>1332</v>
      </c>
      <c r="C187" t="inlineStr">
        <is>
          <t>Industrial</t>
        </is>
      </c>
      <c r="D187" t="n">
        <v>1</v>
      </c>
      <c r="E187" t="inlineStr">
        <is>
          <t>Hotels - Limited Service</t>
        </is>
      </c>
    </row>
    <row r="188">
      <c r="B188" t="n">
        <v>1343</v>
      </c>
      <c r="C188" t="inlineStr">
        <is>
          <t>Commercial</t>
        </is>
      </c>
      <c r="D188" t="n">
        <v>4</v>
      </c>
      <c r="E188" t="inlineStr">
        <is>
          <t>Extended Stay Motels</t>
        </is>
      </c>
    </row>
    <row r="189">
      <c r="B189" t="n">
        <v>1344</v>
      </c>
      <c r="C189" t="inlineStr">
        <is>
          <t>Commercial</t>
        </is>
      </c>
      <c r="D189" t="n">
        <v>173</v>
      </c>
      <c r="E189" t="inlineStr">
        <is>
          <t>Office Building - Condo</t>
        </is>
      </c>
    </row>
    <row r="190">
      <c r="B190" t="n">
        <v>1353</v>
      </c>
      <c r="C190" t="inlineStr">
        <is>
          <t>Commercial</t>
        </is>
      </c>
      <c r="D190" t="n">
        <v>20</v>
      </c>
      <c r="E190" t="inlineStr">
        <is>
          <t>Retail Store - Condo</t>
        </is>
      </c>
    </row>
    <row r="191">
      <c r="B191" t="n">
        <v>1458</v>
      </c>
      <c r="C191" t="inlineStr">
        <is>
          <t>Commercial</t>
        </is>
      </c>
      <c r="D191" t="n">
        <v>8</v>
      </c>
      <c r="E191" t="inlineStr">
        <is>
          <t>Warehouse Discount Store</t>
        </is>
      </c>
    </row>
    <row r="192">
      <c r="B192" t="n">
        <v>1467</v>
      </c>
      <c r="C192" t="inlineStr">
        <is>
          <t>Commercial</t>
        </is>
      </c>
      <c r="D192" t="n">
        <v>2</v>
      </c>
      <c r="E192" t="inlineStr">
        <is>
          <t>Boat Storage Buildings</t>
        </is>
      </c>
    </row>
    <row r="193">
      <c r="B193" t="n">
        <v>1468</v>
      </c>
      <c r="C193" t="inlineStr">
        <is>
          <t>Commercial</t>
        </is>
      </c>
      <c r="D193" t="n">
        <v>7</v>
      </c>
      <c r="E193" t="inlineStr">
        <is>
          <t>Material Storage Sheds</t>
        </is>
      </c>
    </row>
    <row r="194">
      <c r="B194" t="n">
        <v>1468</v>
      </c>
      <c r="C194" t="inlineStr">
        <is>
          <t>Industrial</t>
        </is>
      </c>
      <c r="D194" t="n">
        <v>1</v>
      </c>
      <c r="E194" t="inlineStr">
        <is>
          <t>Material Storage Sheds</t>
        </is>
      </c>
    </row>
    <row r="195">
      <c r="B195" t="n">
        <v>1471</v>
      </c>
      <c r="C195" t="inlineStr">
        <is>
          <t>Commercial</t>
        </is>
      </c>
      <c r="D195" t="n">
        <v>1</v>
      </c>
      <c r="E195" t="inlineStr">
        <is>
          <t>Light Commercial Utility</t>
        </is>
      </c>
    </row>
    <row r="196">
      <c r="B196" t="n">
        <v>1473</v>
      </c>
      <c r="C196" t="inlineStr">
        <is>
          <t>Commercial</t>
        </is>
      </c>
      <c r="D196" t="n">
        <v>5</v>
      </c>
      <c r="E196" t="inlineStr">
        <is>
          <t>Material Shelters</t>
        </is>
      </c>
    </row>
    <row r="197">
      <c r="B197" t="n">
        <v>1473</v>
      </c>
      <c r="C197" t="inlineStr">
        <is>
          <t>Industrial</t>
        </is>
      </c>
      <c r="D197" t="n">
        <v>1</v>
      </c>
      <c r="E197" t="inlineStr">
        <is>
          <t>Material Shelters</t>
        </is>
      </c>
    </row>
    <row r="198">
      <c r="B198" t="n">
        <v>1513</v>
      </c>
      <c r="C198" t="inlineStr">
        <is>
          <t>Commercial</t>
        </is>
      </c>
      <c r="D198" t="n">
        <v>4</v>
      </c>
      <c r="E198" t="inlineStr">
        <is>
          <t>Regional Discount Shopping Centers</t>
        </is>
      </c>
    </row>
    <row r="199">
      <c r="B199" t="n">
        <v>3441</v>
      </c>
      <c r="C199" t="inlineStr">
        <is>
          <t>Commercial</t>
        </is>
      </c>
      <c r="D199" t="n">
        <v>41</v>
      </c>
      <c r="E199" t="inlineStr">
        <is>
          <t>Office Conversion</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2026-07-07T02:08:16Z</dcterms:modified>
  <cp:lastModifiedBy>Armon Goldanloo</cp:lastModifiedBy>
  <cp:lastPrinted>2021-04-29T19:41:45Z</cp:lastPrinted>
</cp:coreProperties>
</file>