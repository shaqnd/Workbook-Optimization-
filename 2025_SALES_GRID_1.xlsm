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2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31"/>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<sst xmlns="http://schemas.openxmlformats.org/spreadsheetml/2006/main" count="53581" uniqueCount="10928">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</sst>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 Id="rId31" Type="http://schemas.openxmlformats.org/officeDocument/2006/relationships/worksheet" Target="worksheets/sheet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0" spans="2:12" ht="13" customHeight="1">
      <c r="B20" s="166" t="inlineStr">
        <is>
          <t xml:space="preserve">Units / Keys (# - for MF / hotel)</t>
        </is>
      </c>
      <c r="C20" s="189"/>
      <c r="D20" s="189"/>
      <c r="E20" s="189"/>
      <c r="F20" s="189"/>
      <c r="G20" s="189"/>
      <c r="H20" s="189"/>
      <c r="I20" s="189"/>
      <c r="J20" s="189"/>
      <c r="K20" s="189"/>
      <c r="L20" s="189"/>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3" priority="1">
      <formula>(COLUMN()-2)&gt;$C$8</formula>
    </cfRule>
  </conditionalFormatting>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tr">
        <f>"Indicated Value of Subject ("&amp;Subj_Basis&amp;")"</f>
        <v>Indicated Value of Subject (Per SF)</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IF(G22="","",IF(Subj_Basis="Per SF",ROUND(G22*$D$13,-2),IFERROR(ROUND(INDEX(Sales!$AK:$AK,$Z$20)*(1+N(G21))*Subj_Units1,-2),ROUND(G22*$D$13,-2))))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IF(G25="","",IF(Subj_Basis="Per SF",ROUND(G25*$D$13,-2),IFERROR(ROUND(INDEX(Sales!$AK:$AK,$Z$23)*(1+N(G24))*Subj_Units1,-2),ROUND(G25*$D$13,-2))))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IF(G28="","",IF(Subj_Basis="Per SF",ROUND(G28*$D$13,-2),IFERROR(ROUND(INDEX(Sales!$AK:$AK,$Z$26)*(1+N(G27))*Subj_Units1,-2),ROUND(G28*$D$13,-2))))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tr">
        <f>"Rent / "&amp;IF(Subj_Basis="Per Unit","Unit",IF(Subj_Basis="Per Key","Key","Sq Ft"))</f>
        <v>Rent / Sq Ft</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IF(Subj_Basis="Per SF",IF(Income!K2="","",Income!K2),IF(N(Income!AL2)&gt;0,Income!AL2,IF(Income!K2="","",Income!K2)))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IF(Subj_Basis="Per SF",IF(Income!K3="","",Income!K3),IF(N(Income!AL3)&gt;0,Income!AL3,IF(Income!K3="","",Income!K3)))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IF(Subj_Basis="Per SF",IF(Income!K4="","",Income!K4),IF(N(Income!AL4)&gt;0,Income!AL4,IF(Income!K4="","",Income!K4)))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c r="AK1" t="inlineStr">
        <is>
          <t xml:space="preserve">Price / Unit-Key</t>
        </is>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c r="AK2">
        <f>IF(AND(ISNUMBER($N2),$N2&gt;0,ISNUMBER($Y2)),$Y2/$N2,"")</f>
      </c>
    </row>
    <row r="3" spans="1:36" ht="15" customHeight="1">
      <c r="A3" s="60">
        <v>5</v>
      </c>
      <c r="AB3" s="61"/>
      <c r="AI3" t="e">
        <f t="shared" si="0"/>
        <v>#N/A</v>
      </c>
      <c r="AJ3" t="e">
        <f t="shared" si="1"/>
        <v>#N/A</v>
      </c>
      <c r="AK3">
        <f>IF(AND(ISNUMBER($N3),$N3&gt;0,ISNUMBER($Y3)),$Y3/$N3,"")</f>
      </c>
    </row>
    <row r="4" spans="1:36" ht="15" customHeight="1">
      <c r="A4" s="60">
        <v>5</v>
      </c>
      <c r="AB4" s="61"/>
      <c r="AI4" t="e">
        <f t="shared" si="0"/>
        <v>#N/A</v>
      </c>
      <c r="AJ4" t="e">
        <f t="shared" si="1"/>
        <v>#N/A</v>
      </c>
      <c r="AK4">
        <f>IF(AND(ISNUMBER($N4),$N4&gt;0,ISNUMBER($Y4)),$Y4/$N4,"")</f>
      </c>
    </row>
    <row r="5" spans="1:36" ht="15" customHeight="1">
      <c r="A5" s="60">
        <v>5</v>
      </c>
      <c r="AB5" s="61"/>
      <c r="AI5" t="e">
        <f t="shared" si="0"/>
        <v>#N/A</v>
      </c>
      <c r="AJ5" t="e">
        <f t="shared" si="1"/>
        <v>#N/A</v>
      </c>
      <c r="AK5">
        <f>IF(AND(ISNUMBER($N5),$N5&gt;0,ISNUMBER($Y5)),$Y5/$N5,"")</f>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c r="AK6">
        <f>IF(AND(ISNUMBER($N6),$N6&gt;0,ISNUMBER($Y6)),$Y6/$N6,"")</f>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c r="AK7">
        <f>IF(AND(ISNUMBER($N7),$N7&gt;0,ISNUMBER($Y7)),$Y7/$N7,"")</f>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c r="AK8">
        <f>IF(AND(ISNUMBER($N8),$N8&gt;0,ISNUMBER($Y8)),$Y8/$N8,"")</f>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c r="AK9">
        <f>IF(AND(ISNUMBER($N9),$N9&gt;0,ISNUMBER($Y9)),$Y9/$N9,"")</f>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c r="AK10">
        <f>IF(AND(ISNUMBER($N10),$N10&gt;0,ISNUMBER($Y10)),$Y10/$N10,"")</f>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c r="AK11">
        <f>IF(AND(ISNUMBER($N11),$N11&gt;0,ISNUMBER($Y11)),$Y11/$N11,"")</f>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c r="AK12">
        <f>IF(AND(ISNUMBER($N12),$N12&gt;0,ISNUMBER($Y12)),$Y12/$N12,"")</f>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c r="AK13">
        <f>IF(AND(ISNUMBER($N13),$N13&gt;0,ISNUMBER($Y13)),$Y13/$N13,"")</f>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c r="AK14">
        <f>IF(AND(ISNUMBER($N14),$N14&gt;0,ISNUMBER($Y14)),$Y14/$N14,"")</f>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c r="AK15">
        <f>IF(AND(ISNUMBER($N15),$N15&gt;0,ISNUMBER($Y15)),$Y15/$N15,"")</f>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c r="AK16">
        <f>IF(AND(ISNUMBER($N16),$N16&gt;0,ISNUMBER($Y16)),$Y16/$N16,"")</f>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c r="AK17">
        <f>IF(AND(ISNUMBER($N17),$N17&gt;0,ISNUMBER($Y17)),$Y17/$N17,"")</f>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c r="AK18">
        <f>IF(AND(ISNUMBER($N18),$N18&gt;0,ISNUMBER($Y18)),$Y18/$N18,"")</f>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c r="AK19">
        <f>IF(AND(ISNUMBER($N19),$N19&gt;0,ISNUMBER($Y19)),$Y19/$N19,"")</f>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c r="AK20">
        <f>IF(AND(ISNUMBER($N20),$N20&gt;0,ISNUMBER($Y20)),$Y20/$N20,"")</f>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c r="AK21">
        <f>IF(AND(ISNUMBER($N21),$N21&gt;0,ISNUMBER($Y21)),$Y21/$N21,"")</f>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c r="AK22">
        <f>IF(AND(ISNUMBER($N22),$N22&gt;0,ISNUMBER($Y22)),$Y22/$N22,"")</f>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c r="AK23">
        <f>IF(AND(ISNUMBER($N23),$N23&gt;0,ISNUMBER($Y23)),$Y23/$N23,"")</f>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c r="AK24">
        <f>IF(AND(ISNUMBER($N24),$N24&gt;0,ISNUMBER($Y24)),$Y24/$N24,"")</f>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c r="AK25">
        <f>IF(AND(ISNUMBER($N25),$N25&gt;0,ISNUMBER($Y25)),$Y25/$N25,"")</f>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c r="AK26">
        <f>IF(AND(ISNUMBER($N26),$N26&gt;0,ISNUMBER($Y26)),$Y26/$N26,"")</f>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c r="AK27">
        <f>IF(AND(ISNUMBER($N27),$N27&gt;0,ISNUMBER($Y27)),$Y27/$N27,"")</f>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c r="AK28">
        <f>IF(AND(ISNUMBER($N28),$N28&gt;0,ISNUMBER($Y28)),$Y28/$N28,"")</f>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c r="AK29">
        <f>IF(AND(ISNUMBER($N29),$N29&gt;0,ISNUMBER($Y29)),$Y29/$N29,"")</f>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c r="AK30">
        <f>IF(AND(ISNUMBER($N30),$N30&gt;0,ISNUMBER($Y30)),$Y30/$N30,"")</f>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c r="AK31">
        <f>IF(AND(ISNUMBER($N31),$N31&gt;0,ISNUMBER($Y31)),$Y31/$N31,"")</f>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c r="AK32">
        <f>IF(AND(ISNUMBER($N32),$N32&gt;0,ISNUMBER($Y32)),$Y32/$N32,"")</f>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c r="AK33">
        <f>IF(AND(ISNUMBER($N33),$N33&gt;0,ISNUMBER($Y33)),$Y33/$N33,"")</f>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c r="AK34">
        <f>IF(AND(ISNUMBER($N34),$N34&gt;0,ISNUMBER($Y34)),$Y34/$N34,"")</f>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c r="AK35">
        <f>IF(AND(ISNUMBER($N35),$N35&gt;0,ISNUMBER($Y35)),$Y35/$N35,"")</f>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c r="AK36">
        <f>IF(AND(ISNUMBER($N36),$N36&gt;0,ISNUMBER($Y36)),$Y36/$N36,"")</f>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c r="AK37">
        <f>IF(AND(ISNUMBER($N37),$N37&gt;0,ISNUMBER($Y37)),$Y37/$N37,"")</f>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c r="AK38">
        <f>IF(AND(ISNUMBER($N38),$N38&gt;0,ISNUMBER($Y38)),$Y38/$N38,"")</f>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c r="AK39">
        <f>IF(AND(ISNUMBER($N39),$N39&gt;0,ISNUMBER($Y39)),$Y39/$N39,"")</f>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c r="AK40">
        <f>IF(AND(ISNUMBER($N40),$N40&gt;0,ISNUMBER($Y40)),$Y40/$N40,"")</f>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c r="AK41">
        <f>IF(AND(ISNUMBER($N41),$N41&gt;0,ISNUMBER($Y41)),$Y41/$N41,"")</f>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c r="AK42">
        <f>IF(AND(ISNUMBER($N42),$N42&gt;0,ISNUMBER($Y42)),$Y42/$N42,"")</f>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c r="AK43">
        <f>IF(AND(ISNUMBER($N43),$N43&gt;0,ISNUMBER($Y43)),$Y43/$N43,"")</f>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c r="AK44">
        <f>IF(AND(ISNUMBER($N44),$N44&gt;0,ISNUMBER($Y44)),$Y44/$N44,"")</f>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c r="AK45">
        <f>IF(AND(ISNUMBER($N45),$N45&gt;0,ISNUMBER($Y45)),$Y45/$N45,"")</f>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c r="AK46">
        <f>IF(AND(ISNUMBER($N46),$N46&gt;0,ISNUMBER($Y46)),$Y46/$N46,"")</f>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c r="AK47">
        <f>IF(AND(ISNUMBER($N47),$N47&gt;0,ISNUMBER($Y47)),$Y47/$N47,"")</f>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c r="AK48">
        <f>IF(AND(ISNUMBER($N48),$N48&gt;0,ISNUMBER($Y48)),$Y48/$N48,"")</f>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c r="AK49">
        <f>IF(AND(ISNUMBER($N49),$N49&gt;0,ISNUMBER($Y49)),$Y49/$N49,"")</f>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c r="AK50">
        <f>IF(AND(ISNUMBER($N50),$N50&gt;0,ISNUMBER($Y50)),$Y50/$N50,"")</f>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c r="AK51">
        <f>IF(AND(ISNUMBER($N51),$N51&gt;0,ISNUMBER($Y51)),$Y51/$N51,"")</f>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c r="AK52">
        <f>IF(AND(ISNUMBER($N52),$N52&gt;0,ISNUMBER($Y52)),$Y52/$N52,"")</f>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c r="AK53">
        <f>IF(AND(ISNUMBER($N53),$N53&gt;0,ISNUMBER($Y53)),$Y53/$N53,"")</f>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c r="AK54">
        <f>IF(AND(ISNUMBER($N54),$N54&gt;0,ISNUMBER($Y54)),$Y54/$N54,"")</f>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c r="AK55">
        <f>IF(AND(ISNUMBER($N55),$N55&gt;0,ISNUMBER($Y55)),$Y55/$N55,"")</f>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c r="AK56">
        <f>IF(AND(ISNUMBER($N56),$N56&gt;0,ISNUMBER($Y56)),$Y56/$N56,"")</f>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c r="AK57">
        <f>IF(AND(ISNUMBER($N57),$N57&gt;0,ISNUMBER($Y57)),$Y57/$N57,"")</f>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c r="AK58">
        <f>IF(AND(ISNUMBER($N58),$N58&gt;0,ISNUMBER($Y58)),$Y58/$N58,"")</f>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c r="AK59">
        <f>IF(AND(ISNUMBER($N59),$N59&gt;0,ISNUMBER($Y59)),$Y59/$N59,"")</f>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c r="AK60">
        <f>IF(AND(ISNUMBER($N60),$N60&gt;0,ISNUMBER($Y60)),$Y60/$N60,"")</f>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c r="AK61">
        <f>IF(AND(ISNUMBER($N61),$N61&gt;0,ISNUMBER($Y61)),$Y61/$N61,"")</f>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c r="AK62">
        <f>IF(AND(ISNUMBER($N62),$N62&gt;0,ISNUMBER($Y62)),$Y62/$N62,"")</f>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c r="AK63">
        <f>IF(AND(ISNUMBER($N63),$N63&gt;0,ISNUMBER($Y63)),$Y63/$N63,"")</f>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c r="AK64">
        <f>IF(AND(ISNUMBER($N64),$N64&gt;0,ISNUMBER($Y64)),$Y64/$N64,"")</f>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c r="AK65">
        <f>IF(AND(ISNUMBER($N65),$N65&gt;0,ISNUMBER($Y65)),$Y65/$N65,"")</f>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c r="AK66">
        <f>IF(AND(ISNUMBER($N66),$N66&gt;0,ISNUMBER($Y66)),$Y66/$N66,"")</f>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c r="AK67">
        <f>IF(AND(ISNUMBER($N67),$N67&gt;0,ISNUMBER($Y67)),$Y67/$N67,"")</f>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c r="AK68">
        <f>IF(AND(ISNUMBER($N68),$N68&gt;0,ISNUMBER($Y68)),$Y68/$N68,"")</f>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c r="AK69">
        <f>IF(AND(ISNUMBER($N69),$N69&gt;0,ISNUMBER($Y69)),$Y69/$N69,"")</f>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c r="AK70">
        <f>IF(AND(ISNUMBER($N70),$N70&gt;0,ISNUMBER($Y70)),$Y70/$N70,"")</f>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c r="AK71">
        <f>IF(AND(ISNUMBER($N71),$N71&gt;0,ISNUMBER($Y71)),$Y71/$N71,"")</f>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c r="AK72">
        <f>IF(AND(ISNUMBER($N72),$N72&gt;0,ISNUMBER($Y72)),$Y72/$N72,"")</f>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c r="AK73">
        <f>IF(AND(ISNUMBER($N73),$N73&gt;0,ISNUMBER($Y73)),$Y73/$N73,"")</f>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c r="AK74">
        <f>IF(AND(ISNUMBER($N74),$N74&gt;0,ISNUMBER($Y74)),$Y74/$N74,"")</f>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c r="AK75">
        <f>IF(AND(ISNUMBER($N75),$N75&gt;0,ISNUMBER($Y75)),$Y75/$N75,"")</f>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c r="AK76">
        <f>IF(AND(ISNUMBER($N76),$N76&gt;0,ISNUMBER($Y76)),$Y76/$N76,"")</f>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c r="AK77">
        <f>IF(AND(ISNUMBER($N77),$N77&gt;0,ISNUMBER($Y77)),$Y77/$N77,"")</f>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c r="AK78">
        <f>IF(AND(ISNUMBER($N78),$N78&gt;0,ISNUMBER($Y78)),$Y78/$N78,"")</f>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c r="AK79">
        <f>IF(AND(ISNUMBER($N79),$N79&gt;0,ISNUMBER($Y79)),$Y79/$N79,"")</f>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c r="AK80">
        <f>IF(AND(ISNUMBER($N80),$N80&gt;0,ISNUMBER($Y80)),$Y80/$N80,"")</f>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c r="AK81">
        <f>IF(AND(ISNUMBER($N81),$N81&gt;0,ISNUMBER($Y81)),$Y81/$N81,"")</f>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c r="AK82">
        <f>IF(AND(ISNUMBER($N82),$N82&gt;0,ISNUMBER($Y82)),$Y82/$N82,"")</f>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c r="AK83">
        <f>IF(AND(ISNUMBER($N83),$N83&gt;0,ISNUMBER($Y83)),$Y83/$N83,"")</f>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c r="AK84">
        <f>IF(AND(ISNUMBER($N84),$N84&gt;0,ISNUMBER($Y84)),$Y84/$N84,"")</f>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c r="AK85">
        <f>IF(AND(ISNUMBER($N85),$N85&gt;0,ISNUMBER($Y85)),$Y85/$N85,"")</f>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c r="AK86">
        <f>IF(AND(ISNUMBER($N86),$N86&gt;0,ISNUMBER($Y86)),$Y86/$N86,"")</f>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c r="AK87">
        <f>IF(AND(ISNUMBER($N87),$N87&gt;0,ISNUMBER($Y87)),$Y87/$N87,"")</f>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c r="AK88">
        <f>IF(AND(ISNUMBER($N88),$N88&gt;0,ISNUMBER($Y88)),$Y88/$N88,"")</f>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c r="AK89">
        <f>IF(AND(ISNUMBER($N89),$N89&gt;0,ISNUMBER($Y89)),$Y89/$N89,"")</f>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c r="AK90">
        <f>IF(AND(ISNUMBER($N90),$N90&gt;0,ISNUMBER($Y90)),$Y90/$N90,"")</f>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c r="AK91">
        <f>IF(AND(ISNUMBER($N91),$N91&gt;0,ISNUMBER($Y91)),$Y91/$N91,"")</f>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c r="AK92">
        <f>IF(AND(ISNUMBER($N92),$N92&gt;0,ISNUMBER($Y92)),$Y92/$N92,"")</f>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c r="AK93">
        <f>IF(AND(ISNUMBER($N93),$N93&gt;0,ISNUMBER($Y93)),$Y93/$N93,"")</f>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c r="AK94">
        <f>IF(AND(ISNUMBER($N94),$N94&gt;0,ISNUMBER($Y94)),$Y94/$N94,"")</f>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c r="AK95">
        <f>IF(AND(ISNUMBER($N95),$N95&gt;0,ISNUMBER($Y95)),$Y95/$N95,"")</f>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c r="AK96">
        <f>IF(AND(ISNUMBER($N96),$N96&gt;0,ISNUMBER($Y96)),$Y96/$N96,"")</f>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c r="AK97">
        <f>IF(AND(ISNUMBER($N97),$N97&gt;0,ISNUMBER($Y97)),$Y97/$N97,"")</f>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c r="AK98">
        <f>IF(AND(ISNUMBER($N98),$N98&gt;0,ISNUMBER($Y98)),$Y98/$N98,"")</f>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c r="AK99">
        <f>IF(AND(ISNUMBER($N99),$N99&gt;0,ISNUMBER($Y99)),$Y99/$N99,"")</f>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c r="AK100">
        <f>IF(AND(ISNUMBER($N100),$N100&gt;0,ISNUMBER($Y100)),$Y100/$N100,"")</f>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c r="AK101">
        <f>IF(AND(ISNUMBER($N101),$N101&gt;0,ISNUMBER($Y101)),$Y101/$N101,"")</f>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c r="AK102">
        <f>IF(AND(ISNUMBER($N102),$N102&gt;0,ISNUMBER($Y102)),$Y102/$N102,"")</f>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c r="AK103">
        <f>IF(AND(ISNUMBER($N103),$N103&gt;0,ISNUMBER($Y103)),$Y103/$N103,"")</f>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c r="AK104">
        <f>IF(AND(ISNUMBER($N104),$N104&gt;0,ISNUMBER($Y104)),$Y104/$N104,"")</f>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c r="AK105">
        <f>IF(AND(ISNUMBER($N105),$N105&gt;0,ISNUMBER($Y105)),$Y105/$N105,"")</f>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c r="AK106">
        <f>IF(AND(ISNUMBER($N106),$N106&gt;0,ISNUMBER($Y106)),$Y106/$N106,"")</f>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c r="AK107">
        <f>IF(AND(ISNUMBER($N107),$N107&gt;0,ISNUMBER($Y107)),$Y107/$N107,"")</f>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c r="AK108">
        <f>IF(AND(ISNUMBER($N108),$N108&gt;0,ISNUMBER($Y108)),$Y108/$N108,"")</f>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c r="AK109">
        <f>IF(AND(ISNUMBER($N109),$N109&gt;0,ISNUMBER($Y109)),$Y109/$N109,"")</f>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c r="AK110">
        <f>IF(AND(ISNUMBER($N110),$N110&gt;0,ISNUMBER($Y110)),$Y110/$N110,"")</f>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c r="AK111">
        <f>IF(AND(ISNUMBER($N111),$N111&gt;0,ISNUMBER($Y111)),$Y111/$N111,"")</f>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c r="AK112">
        <f>IF(AND(ISNUMBER($N112),$N112&gt;0,ISNUMBER($Y112)),$Y112/$N112,"")</f>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c r="AK113">
        <f>IF(AND(ISNUMBER($N113),$N113&gt;0,ISNUMBER($Y113)),$Y113/$N113,"")</f>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c r="AK114">
        <f>IF(AND(ISNUMBER($N114),$N114&gt;0,ISNUMBER($Y114)),$Y114/$N114,"")</f>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c r="AK115">
        <f>IF(AND(ISNUMBER($N115),$N115&gt;0,ISNUMBER($Y115)),$Y115/$N115,"")</f>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c r="AK116">
        <f>IF(AND(ISNUMBER($N116),$N116&gt;0,ISNUMBER($Y116)),$Y116/$N116,"")</f>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c r="AK117">
        <f>IF(AND(ISNUMBER($N117),$N117&gt;0,ISNUMBER($Y117)),$Y117/$N117,"")</f>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c r="AK118">
        <f>IF(AND(ISNUMBER($N118),$N118&gt;0,ISNUMBER($Y118)),$Y118/$N118,"")</f>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c r="AK119">
        <f>IF(AND(ISNUMBER($N119),$N119&gt;0,ISNUMBER($Y119)),$Y119/$N119,"")</f>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c r="AK120">
        <f>IF(AND(ISNUMBER($N120),$N120&gt;0,ISNUMBER($Y120)),$Y120/$N120,"")</f>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c r="AK121">
        <f>IF(AND(ISNUMBER($N121),$N121&gt;0,ISNUMBER($Y121)),$Y121/$N121,"")</f>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c r="AK122">
        <f>IF(AND(ISNUMBER($N122),$N122&gt;0,ISNUMBER($Y122)),$Y122/$N122,"")</f>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c r="AK123">
        <f>IF(AND(ISNUMBER($N123),$N123&gt;0,ISNUMBER($Y123)),$Y123/$N123,"")</f>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c r="AK124">
        <f>IF(AND(ISNUMBER($N124),$N124&gt;0,ISNUMBER($Y124)),$Y124/$N124,"")</f>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c r="AK125">
        <f>IF(AND(ISNUMBER($N125),$N125&gt;0,ISNUMBER($Y125)),$Y125/$N125,"")</f>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c r="AK126">
        <f>IF(AND(ISNUMBER($N126),$N126&gt;0,ISNUMBER($Y126)),$Y126/$N126,"")</f>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c r="AK127">
        <f>IF(AND(ISNUMBER($N127),$N127&gt;0,ISNUMBER($Y127)),$Y127/$N127,"")</f>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c r="AK128">
        <f>IF(AND(ISNUMBER($N128),$N128&gt;0,ISNUMBER($Y128)),$Y128/$N128,"")</f>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c r="AK129">
        <f>IF(AND(ISNUMBER($N129),$N129&gt;0,ISNUMBER($Y129)),$Y129/$N129,"")</f>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c r="AK130">
        <f>IF(AND(ISNUMBER($N130),$N130&gt;0,ISNUMBER($Y130)),$Y130/$N130,"")</f>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c r="AK131">
        <f>IF(AND(ISNUMBER($N131),$N131&gt;0,ISNUMBER($Y131)),$Y131/$N131,"")</f>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c r="AK132">
        <f>IF(AND(ISNUMBER($N132),$N132&gt;0,ISNUMBER($Y132)),$Y132/$N132,"")</f>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c r="AK133">
        <f>IF(AND(ISNUMBER($N133),$N133&gt;0,ISNUMBER($Y133)),$Y133/$N133,"")</f>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c r="AK134">
        <f>IF(AND(ISNUMBER($N134),$N134&gt;0,ISNUMBER($Y134)),$Y134/$N134,"")</f>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c r="AK135">
        <f>IF(AND(ISNUMBER($N135),$N135&gt;0,ISNUMBER($Y135)),$Y135/$N135,"")</f>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c r="AK136">
        <f>IF(AND(ISNUMBER($N136),$N136&gt;0,ISNUMBER($Y136)),$Y136/$N136,"")</f>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c r="AK137">
        <f>IF(AND(ISNUMBER($N137),$N137&gt;0,ISNUMBER($Y137)),$Y137/$N137,"")</f>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c r="AK138">
        <f>IF(AND(ISNUMBER($N138),$N138&gt;0,ISNUMBER($Y138)),$Y138/$N138,"")</f>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c r="AK139">
        <f>IF(AND(ISNUMBER($N139),$N139&gt;0,ISNUMBER($Y139)),$Y139/$N139,"")</f>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c r="AK140">
        <f>IF(AND(ISNUMBER($N140),$N140&gt;0,ISNUMBER($Y140)),$Y140/$N140,"")</f>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c r="AK141">
        <f>IF(AND(ISNUMBER($N141),$N141&gt;0,ISNUMBER($Y141)),$Y141/$N141,"")</f>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c r="AK142">
        <f>IF(AND(ISNUMBER($N142),$N142&gt;0,ISNUMBER($Y142)),$Y142/$N142,"")</f>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c r="AK143">
        <f>IF(AND(ISNUMBER($N143),$N143&gt;0,ISNUMBER($Y143)),$Y143/$N143,"")</f>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c r="AK144">
        <f>IF(AND(ISNUMBER($N144),$N144&gt;0,ISNUMBER($Y144)),$Y144/$N144,"")</f>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c r="AK145">
        <f>IF(AND(ISNUMBER($N145),$N145&gt;0,ISNUMBER($Y145)),$Y145/$N145,"")</f>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c r="AK146">
        <f>IF(AND(ISNUMBER($N146),$N146&gt;0,ISNUMBER($Y146)),$Y146/$N146,"")</f>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c r="AK147">
        <f>IF(AND(ISNUMBER($N147),$N147&gt;0,ISNUMBER($Y147)),$Y147/$N147,"")</f>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c r="AK148">
        <f>IF(AND(ISNUMBER($N148),$N148&gt;0,ISNUMBER($Y148)),$Y148/$N148,"")</f>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c r="AK149">
        <f>IF(AND(ISNUMBER($N149),$N149&gt;0,ISNUMBER($Y149)),$Y149/$N149,"")</f>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c r="AK150">
        <f>IF(AND(ISNUMBER($N150),$N150&gt;0,ISNUMBER($Y150)),$Y150/$N150,"")</f>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c r="AK151">
        <f>IF(AND(ISNUMBER($N151),$N151&gt;0,ISNUMBER($Y151)),$Y151/$N151,"")</f>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c r="AK152">
        <f>IF(AND(ISNUMBER($N152),$N152&gt;0,ISNUMBER($Y152)),$Y152/$N152,"")</f>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c r="AK153">
        <f>IF(AND(ISNUMBER($N153),$N153&gt;0,ISNUMBER($Y153)),$Y153/$N153,"")</f>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c r="AK154">
        <f>IF(AND(ISNUMBER($N154),$N154&gt;0,ISNUMBER($Y154)),$Y154/$N154,"")</f>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c r="AK155">
        <f>IF(AND(ISNUMBER($N155),$N155&gt;0,ISNUMBER($Y155)),$Y155/$N155,"")</f>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c r="AK156">
        <f>IF(AND(ISNUMBER($N156),$N156&gt;0,ISNUMBER($Y156)),$Y156/$N156,"")</f>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c r="AK157">
        <f>IF(AND(ISNUMBER($N157),$N157&gt;0,ISNUMBER($Y157)),$Y157/$N157,"")</f>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c r="AK158">
        <f>IF(AND(ISNUMBER($N158),$N158&gt;0,ISNUMBER($Y158)),$Y158/$N158,"")</f>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c r="AK159">
        <f>IF(AND(ISNUMBER($N159),$N159&gt;0,ISNUMBER($Y159)),$Y159/$N159,"")</f>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c r="AK160">
        <f>IF(AND(ISNUMBER($N160),$N160&gt;0,ISNUMBER($Y160)),$Y160/$N160,"")</f>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c r="AK161">
        <f>IF(AND(ISNUMBER($N161),$N161&gt;0,ISNUMBER($Y161)),$Y161/$N161,"")</f>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c r="AK162">
        <f>IF(AND(ISNUMBER($N162),$N162&gt;0,ISNUMBER($Y162)),$Y162/$N162,"")</f>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c r="AK163">
        <f>IF(AND(ISNUMBER($N163),$N163&gt;0,ISNUMBER($Y163)),$Y163/$N163,"")</f>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c r="AK164">
        <f>IF(AND(ISNUMBER($N164),$N164&gt;0,ISNUMBER($Y164)),$Y164/$N164,"")</f>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c r="AK165">
        <f>IF(AND(ISNUMBER($N165),$N165&gt;0,ISNUMBER($Y165)),$Y165/$N165,"")</f>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c r="AK166">
        <f>IF(AND(ISNUMBER($N166),$N166&gt;0,ISNUMBER($Y166)),$Y166/$N166,"")</f>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c r="AK167">
        <f>IF(AND(ISNUMBER($N167),$N167&gt;0,ISNUMBER($Y167)),$Y167/$N167,"")</f>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c r="AK168">
        <f>IF(AND(ISNUMBER($N168),$N168&gt;0,ISNUMBER($Y168)),$Y168/$N168,"")</f>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c r="AK169">
        <f>IF(AND(ISNUMBER($N169),$N169&gt;0,ISNUMBER($Y169)),$Y169/$N169,"")</f>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c r="AK170">
        <f>IF(AND(ISNUMBER($N170),$N170&gt;0,ISNUMBER($Y170)),$Y170/$N170,"")</f>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c r="AK171">
        <f>IF(AND(ISNUMBER($N171),$N171&gt;0,ISNUMBER($Y171)),$Y171/$N171,"")</f>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c r="AK172">
        <f>IF(AND(ISNUMBER($N172),$N172&gt;0,ISNUMBER($Y172)),$Y172/$N172,"")</f>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c r="AK173">
        <f>IF(AND(ISNUMBER($N173),$N173&gt;0,ISNUMBER($Y173)),$Y173/$N173,"")</f>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c r="AK174">
        <f>IF(AND(ISNUMBER($N174),$N174&gt;0,ISNUMBER($Y174)),$Y174/$N174,"")</f>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c r="AK175">
        <f>IF(AND(ISNUMBER($N175),$N175&gt;0,ISNUMBER($Y175)),$Y175/$N175,"")</f>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c r="AK176">
        <f>IF(AND(ISNUMBER($N176),$N176&gt;0,ISNUMBER($Y176)),$Y176/$N176,"")</f>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c r="AK177">
        <f>IF(AND(ISNUMBER($N177),$N177&gt;0,ISNUMBER($Y177)),$Y177/$N177,"")</f>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c r="AK178">
        <f>IF(AND(ISNUMBER($N178),$N178&gt;0,ISNUMBER($Y178)),$Y178/$N178,"")</f>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c r="AK179">
        <f>IF(AND(ISNUMBER($N179),$N179&gt;0,ISNUMBER($Y179)),$Y179/$N179,"")</f>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c r="AK180">
        <f>IF(AND(ISNUMBER($N180),$N180&gt;0,ISNUMBER($Y180)),$Y180/$N180,"")</f>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c r="AK181">
        <f>IF(AND(ISNUMBER($N181),$N181&gt;0,ISNUMBER($Y181)),$Y181/$N181,"")</f>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c r="AK182">
        <f>IF(AND(ISNUMBER($N182),$N182&gt;0,ISNUMBER($Y182)),$Y182/$N182,"")</f>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c r="AK183">
        <f>IF(AND(ISNUMBER($N183),$N183&gt;0,ISNUMBER($Y183)),$Y183/$N183,"")</f>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c r="AK184">
        <f>IF(AND(ISNUMBER($N184),$N184&gt;0,ISNUMBER($Y184)),$Y184/$N184,"")</f>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c r="AK185">
        <f>IF(AND(ISNUMBER($N185),$N185&gt;0,ISNUMBER($Y185)),$Y185/$N185,"")</f>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c r="AK186">
        <f>IF(AND(ISNUMBER($N186),$N186&gt;0,ISNUMBER($Y186)),$Y186/$N186,"")</f>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c r="AK187">
        <f>IF(AND(ISNUMBER($N187),$N187&gt;0,ISNUMBER($Y187)),$Y187/$N187,"")</f>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c r="AK188">
        <f>IF(AND(ISNUMBER($N188),$N188&gt;0,ISNUMBER($Y188)),$Y188/$N188,"")</f>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c r="AK189">
        <f>IF(AND(ISNUMBER($N189),$N189&gt;0,ISNUMBER($Y189)),$Y189/$N189,"")</f>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c r="AK190">
        <f>IF(AND(ISNUMBER($N190),$N190&gt;0,ISNUMBER($Y190)),$Y190/$N190,"")</f>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c r="AK191">
        <f>IF(AND(ISNUMBER($N191),$N191&gt;0,ISNUMBER($Y191)),$Y191/$N191,"")</f>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c r="AK192">
        <f>IF(AND(ISNUMBER($N192),$N192&gt;0,ISNUMBER($Y192)),$Y192/$N192,"")</f>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c r="AK193">
        <f>IF(AND(ISNUMBER($N193),$N193&gt;0,ISNUMBER($Y193)),$Y193/$N193,"")</f>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c r="AK194">
        <f>IF(AND(ISNUMBER($N194),$N194&gt;0,ISNUMBER($Y194)),$Y194/$N194,"")</f>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c r="AK195">
        <f>IF(AND(ISNUMBER($N195),$N195&gt;0,ISNUMBER($Y195)),$Y195/$N195,"")</f>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c r="AK196">
        <f>IF(AND(ISNUMBER($N196),$N196&gt;0,ISNUMBER($Y196)),$Y196/$N196,"")</f>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c r="AK197">
        <f>IF(AND(ISNUMBER($N197),$N197&gt;0,ISNUMBER($Y197)),$Y197/$N197,"")</f>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c r="AK198">
        <f>IF(AND(ISNUMBER($N198),$N198&gt;0,ISNUMBER($Y198)),$Y198/$N198,"")</f>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c r="AK199">
        <f>IF(AND(ISNUMBER($N199),$N199&gt;0,ISNUMBER($Y199)),$Y199/$N199,"")</f>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c r="AK200">
        <f>IF(AND(ISNUMBER($N200),$N200&gt;0,ISNUMBER($Y200)),$Y200/$N200,"")</f>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c r="AK201">
        <f>IF(AND(ISNUMBER($N201),$N201&gt;0,ISNUMBER($Y201)),$Y201/$N201,"")</f>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c r="AK202">
        <f>IF(AND(ISNUMBER($N202),$N202&gt;0,ISNUMBER($Y202)),$Y202/$N202,"")</f>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c r="AK203">
        <f>IF(AND(ISNUMBER($N203),$N203&gt;0,ISNUMBER($Y203)),$Y203/$N203,"")</f>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c r="AK204">
        <f>IF(AND(ISNUMBER($N204),$N204&gt;0,ISNUMBER($Y204)),$Y204/$N204,"")</f>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c r="AK205">
        <f>IF(AND(ISNUMBER($N205),$N205&gt;0,ISNUMBER($Y205)),$Y205/$N205,"")</f>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c r="AK206">
        <f>IF(AND(ISNUMBER($N206),$N206&gt;0,ISNUMBER($Y206)),$Y206/$N206,"")</f>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c r="AK207">
        <f>IF(AND(ISNUMBER($N207),$N207&gt;0,ISNUMBER($Y207)),$Y207/$N207,"")</f>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c r="AK208">
        <f>IF(AND(ISNUMBER($N208),$N208&gt;0,ISNUMBER($Y208)),$Y208/$N208,"")</f>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c r="AK209">
        <f>IF(AND(ISNUMBER($N209),$N209&gt;0,ISNUMBER($Y209)),$Y209/$N209,"")</f>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c r="AK210">
        <f>IF(AND(ISNUMBER($N210),$N210&gt;0,ISNUMBER($Y210)),$Y210/$N210,"")</f>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c r="AK211">
        <f>IF(AND(ISNUMBER($N211),$N211&gt;0,ISNUMBER($Y211)),$Y211/$N211,"")</f>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c r="AK212">
        <f>IF(AND(ISNUMBER($N212),$N212&gt;0,ISNUMBER($Y212)),$Y212/$N212,"")</f>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c r="AK213">
        <f>IF(AND(ISNUMBER($N213),$N213&gt;0,ISNUMBER($Y213)),$Y213/$N213,"")</f>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c r="AK214">
        <f>IF(AND(ISNUMBER($N214),$N214&gt;0,ISNUMBER($Y214)),$Y214/$N214,"")</f>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c r="AK215">
        <f>IF(AND(ISNUMBER($N215),$N215&gt;0,ISNUMBER($Y215)),$Y215/$N215,"")</f>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c r="AK216">
        <f>IF(AND(ISNUMBER($N216),$N216&gt;0,ISNUMBER($Y216)),$Y216/$N216,"")</f>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c r="AK217">
        <f>IF(AND(ISNUMBER($N217),$N217&gt;0,ISNUMBER($Y217)),$Y217/$N217,"")</f>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c r="AK218">
        <f>IF(AND(ISNUMBER($N218),$N218&gt;0,ISNUMBER($Y218)),$Y218/$N218,"")</f>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c r="AK219">
        <f>IF(AND(ISNUMBER($N219),$N219&gt;0,ISNUMBER($Y219)),$Y219/$N219,"")</f>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c r="AK220">
        <f>IF(AND(ISNUMBER($N220),$N220&gt;0,ISNUMBER($Y220)),$Y220/$N220,"")</f>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c r="AK221">
        <f>IF(AND(ISNUMBER($N221),$N221&gt;0,ISNUMBER($Y221)),$Y221/$N221,"")</f>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c r="AK222">
        <f>IF(AND(ISNUMBER($N222),$N222&gt;0,ISNUMBER($Y222)),$Y222/$N222,"")</f>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c r="AK223">
        <f>IF(AND(ISNUMBER($N223),$N223&gt;0,ISNUMBER($Y223)),$Y223/$N223,"")</f>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c r="AK224">
        <f>IF(AND(ISNUMBER($N224),$N224&gt;0,ISNUMBER($Y224)),$Y224/$N224,"")</f>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c r="AK225">
        <f>IF(AND(ISNUMBER($N225),$N225&gt;0,ISNUMBER($Y225)),$Y225/$N225,"")</f>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c r="AK226">
        <f>IF(AND(ISNUMBER($N226),$N226&gt;0,ISNUMBER($Y226)),$Y226/$N226,"")</f>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c r="AK227">
        <f>IF(AND(ISNUMBER($N227),$N227&gt;0,ISNUMBER($Y227)),$Y227/$N227,"")</f>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c r="AK228">
        <f>IF(AND(ISNUMBER($N228),$N228&gt;0,ISNUMBER($Y228)),$Y228/$N228,"")</f>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c r="AK229">
        <f>IF(AND(ISNUMBER($N229),$N229&gt;0,ISNUMBER($Y229)),$Y229/$N229,"")</f>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c r="AK230">
        <f>IF(AND(ISNUMBER($N230),$N230&gt;0,ISNUMBER($Y230)),$Y230/$N230,"")</f>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c r="AK231">
        <f>IF(AND(ISNUMBER($N231),$N231&gt;0,ISNUMBER($Y231)),$Y231/$N231,"")</f>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c r="AK232">
        <f>IF(AND(ISNUMBER($N232),$N232&gt;0,ISNUMBER($Y232)),$Y232/$N232,"")</f>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c r="AK233">
        <f>IF(AND(ISNUMBER($N233),$N233&gt;0,ISNUMBER($Y233)),$Y233/$N233,"")</f>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c r="AK234">
        <f>IF(AND(ISNUMBER($N234),$N234&gt;0,ISNUMBER($Y234)),$Y234/$N234,"")</f>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c r="AK235">
        <f>IF(AND(ISNUMBER($N235),$N235&gt;0,ISNUMBER($Y235)),$Y235/$N235,"")</f>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c r="AK236">
        <f>IF(AND(ISNUMBER($N236),$N236&gt;0,ISNUMBER($Y236)),$Y236/$N236,"")</f>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c r="AK237">
        <f>IF(AND(ISNUMBER($N237),$N237&gt;0,ISNUMBER($Y237)),$Y237/$N237,"")</f>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c r="AK238">
        <f>IF(AND(ISNUMBER($N238),$N238&gt;0,ISNUMBER($Y238)),$Y238/$N238,"")</f>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c r="AK239">
        <f>IF(AND(ISNUMBER($N239),$N239&gt;0,ISNUMBER($Y239)),$Y239/$N239,"")</f>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c r="AK240">
        <f>IF(AND(ISNUMBER($N240),$N240&gt;0,ISNUMBER($Y240)),$Y240/$N240,"")</f>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c r="AK241">
        <f>IF(AND(ISNUMBER($N241),$N241&gt;0,ISNUMBER($Y241)),$Y241/$N241,"")</f>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c r="AK242">
        <f>IF(AND(ISNUMBER($N242),$N242&gt;0,ISNUMBER($Y242)),$Y242/$N242,"")</f>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c r="AK243">
        <f>IF(AND(ISNUMBER($N243),$N243&gt;0,ISNUMBER($Y243)),$Y243/$N243,"")</f>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c r="AK244">
        <f>IF(AND(ISNUMBER($N244),$N244&gt;0,ISNUMBER($Y244)),$Y244/$N244,"")</f>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c r="AK245">
        <f>IF(AND(ISNUMBER($N245),$N245&gt;0,ISNUMBER($Y245)),$Y245/$N245,"")</f>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c r="AK246">
        <f>IF(AND(ISNUMBER($N246),$N246&gt;0,ISNUMBER($Y246)),$Y246/$N246,"")</f>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c r="AK247">
        <f>IF(AND(ISNUMBER($N247),$N247&gt;0,ISNUMBER($Y247)),$Y247/$N247,"")</f>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c r="AK248">
        <f>IF(AND(ISNUMBER($N248),$N248&gt;0,ISNUMBER($Y248)),$Y248/$N248,"")</f>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c r="AK249">
        <f>IF(AND(ISNUMBER($N249),$N249&gt;0,ISNUMBER($Y249)),$Y249/$N249,"")</f>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c r="AK250">
        <f>IF(AND(ISNUMBER($N250),$N250&gt;0,ISNUMBER($Y250)),$Y250/$N250,"")</f>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c r="AK251">
        <f>IF(AND(ISNUMBER($N251),$N251&gt;0,ISNUMBER($Y251)),$Y251/$N251,"")</f>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c r="AK252">
        <f>IF(AND(ISNUMBER($N252),$N252&gt;0,ISNUMBER($Y252)),$Y252/$N252,"")</f>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c r="AK253">
        <f>IF(AND(ISNUMBER($N253),$N253&gt;0,ISNUMBER($Y253)),$Y253/$N253,"")</f>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c r="AK254">
        <f>IF(AND(ISNUMBER($N254),$N254&gt;0,ISNUMBER($Y254)),$Y254/$N254,"")</f>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c r="AK255">
        <f>IF(AND(ISNUMBER($N255),$N255&gt;0,ISNUMBER($Y255)),$Y255/$N255,"")</f>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c r="AK256">
        <f>IF(AND(ISNUMBER($N256),$N256&gt;0,ISNUMBER($Y256)),$Y256/$N256,"")</f>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c r="AK257">
        <f>IF(AND(ISNUMBER($N257),$N257&gt;0,ISNUMBER($Y257)),$Y257/$N257,"")</f>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c r="AK258">
        <f>IF(AND(ISNUMBER($N258),$N258&gt;0,ISNUMBER($Y258)),$Y258/$N258,"")</f>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c r="AK259">
        <f>IF(AND(ISNUMBER($N259),$N259&gt;0,ISNUMBER($Y259)),$Y259/$N259,"")</f>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c r="AK260">
        <f>IF(AND(ISNUMBER($N260),$N260&gt;0,ISNUMBER($Y260)),$Y260/$N260,"")</f>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c r="AK261">
        <f>IF(AND(ISNUMBER($N261),$N261&gt;0,ISNUMBER($Y261)),$Y261/$N261,"")</f>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c r="AK262">
        <f>IF(AND(ISNUMBER($N262),$N262&gt;0,ISNUMBER($Y262)),$Y262/$N262,"")</f>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c r="AK263">
        <f>IF(AND(ISNUMBER($N263),$N263&gt;0,ISNUMBER($Y263)),$Y263/$N263,"")</f>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c r="AK264">
        <f>IF(AND(ISNUMBER($N264),$N264&gt;0,ISNUMBER($Y264)),$Y264/$N264,"")</f>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c r="AK265">
        <f>IF(AND(ISNUMBER($N265),$N265&gt;0,ISNUMBER($Y265)),$Y265/$N265,"")</f>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c r="AK266">
        <f>IF(AND(ISNUMBER($N266),$N266&gt;0,ISNUMBER($Y266)),$Y266/$N266,"")</f>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c r="AK267">
        <f>IF(AND(ISNUMBER($N267),$N267&gt;0,ISNUMBER($Y267)),$Y267/$N267,"")</f>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c r="AK268">
        <f>IF(AND(ISNUMBER($N268),$N268&gt;0,ISNUMBER($Y268)),$Y268/$N268,"")</f>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c r="AK269">
        <f>IF(AND(ISNUMBER($N269),$N269&gt;0,ISNUMBER($Y269)),$Y269/$N269,"")</f>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c r="AK270">
        <f>IF(AND(ISNUMBER($N270),$N270&gt;0,ISNUMBER($Y270)),$Y270/$N270,"")</f>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c r="AK271">
        <f>IF(AND(ISNUMBER($N271),$N271&gt;0,ISNUMBER($Y271)),$Y271/$N271,"")</f>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c r="AK272">
        <f>IF(AND(ISNUMBER($N272),$N272&gt;0,ISNUMBER($Y272)),$Y272/$N272,"")</f>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c r="AK273">
        <f>IF(AND(ISNUMBER($N273),$N273&gt;0,ISNUMBER($Y273)),$Y273/$N273,"")</f>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c r="AK274">
        <f>IF(AND(ISNUMBER($N274),$N274&gt;0,ISNUMBER($Y274)),$Y274/$N274,"")</f>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c r="AK275">
        <f>IF(AND(ISNUMBER($N275),$N275&gt;0,ISNUMBER($Y275)),$Y275/$N275,"")</f>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c r="AK276">
        <f>IF(AND(ISNUMBER($N276),$N276&gt;0,ISNUMBER($Y276)),$Y276/$N276,"")</f>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c r="AK277">
        <f>IF(AND(ISNUMBER($N277),$N277&gt;0,ISNUMBER($Y277)),$Y277/$N277,"")</f>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c r="AK278">
        <f>IF(AND(ISNUMBER($N278),$N278&gt;0,ISNUMBER($Y278)),$Y278/$N278,"")</f>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c r="AK279">
        <f>IF(AND(ISNUMBER($N279),$N279&gt;0,ISNUMBER($Y279)),$Y279/$N279,"")</f>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c r="AK280">
        <f>IF(AND(ISNUMBER($N280),$N280&gt;0,ISNUMBER($Y280)),$Y280/$N280,"")</f>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c r="AK281">
        <f>IF(AND(ISNUMBER($N281),$N281&gt;0,ISNUMBER($Y281)),$Y281/$N281,"")</f>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c r="AK282">
        <f>IF(AND(ISNUMBER($N282),$N282&gt;0,ISNUMBER($Y282)),$Y282/$N282,"")</f>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c r="AK283">
        <f>IF(AND(ISNUMBER($N283),$N283&gt;0,ISNUMBER($Y283)),$Y283/$N283,"")</f>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c r="AK284">
        <f>IF(AND(ISNUMBER($N284),$N284&gt;0,ISNUMBER($Y284)),$Y284/$N284,"")</f>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c r="AK285">
        <f>IF(AND(ISNUMBER($N285),$N285&gt;0,ISNUMBER($Y285)),$Y285/$N285,"")</f>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c r="AK286">
        <f>IF(AND(ISNUMBER($N286),$N286&gt;0,ISNUMBER($Y286)),$Y286/$N286,"")</f>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c r="AK287">
        <f>IF(AND(ISNUMBER($N287),$N287&gt;0,ISNUMBER($Y287)),$Y287/$N287,"")</f>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c r="AK288">
        <f>IF(AND(ISNUMBER($N288),$N288&gt;0,ISNUMBER($Y288)),$Y288/$N288,"")</f>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c r="AK289">
        <f>IF(AND(ISNUMBER($N289),$N289&gt;0,ISNUMBER($Y289)),$Y289/$N289,"")</f>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c r="AK290">
        <f>IF(AND(ISNUMBER($N290),$N290&gt;0,ISNUMBER($Y290)),$Y290/$N290,"")</f>
      </c>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c r="AK291">
        <f>IF(AND(ISNUMBER($N291),$N291&gt;0,ISNUMBER($Y291)),$Y291/$N291,"")</f>
      </c>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c r="AK292">
        <f>IF(AND(ISNUMBER($N292),$N292&gt;0,ISNUMBER($Y292)),$Y292/$N292,"")</f>
      </c>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c r="AK293">
        <f>IF(AND(ISNUMBER($N293),$N293&gt;0,ISNUMBER($Y293)),$Y293/$N293,"")</f>
      </c>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c r="AK294">
        <f>IF(AND(ISNUMBER($N294),$N294&gt;0,ISNUMBER($Y294)),$Y294/$N294,"")</f>
      </c>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c r="AK295">
        <f>IF(AND(ISNUMBER($N295),$N295&gt;0,ISNUMBER($Y295)),$Y295/$N295,"")</f>
      </c>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c r="AK296">
        <f>IF(AND(ISNUMBER($N296),$N296&gt;0,ISNUMBER($Y296)),$Y296/$N296,"")</f>
      </c>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c r="AK297">
        <f>IF(AND(ISNUMBER($N297),$N297&gt;0,ISNUMBER($Y297)),$Y297/$N297,"")</f>
      </c>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c r="AK298">
        <f>IF(AND(ISNUMBER($N298),$N298&gt;0,ISNUMBER($Y298)),$Y298/$N298,"")</f>
      </c>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c r="AK299">
        <f>IF(AND(ISNUMBER($N299),$N299&gt;0,ISNUMBER($Y299)),$Y299/$N299,"")</f>
      </c>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c r="AK300">
        <f>IF(AND(ISNUMBER($N300),$N300&gt;0,ISNUMBER($Y300)),$Y300/$N300,"")</f>
      </c>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c r="AK301">
        <f>IF(AND(ISNUMBER($N301),$N301&gt;0,ISNUMBER($Y301)),$Y301/$N301,"")</f>
      </c>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c r="AK302">
        <f>IF(AND(ISNUMBER($N302),$N302&gt;0,ISNUMBER($Y302)),$Y302/$N302,"")</f>
      </c>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c r="AK303">
        <f>IF(AND(ISNUMBER($N303),$N303&gt;0,ISNUMBER($Y303)),$Y303/$N303,"")</f>
      </c>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c r="AK304">
        <f>IF(AND(ISNUMBER($N304),$N304&gt;0,ISNUMBER($Y304)),$Y304/$N304,"")</f>
      </c>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c r="AK305">
        <f>IF(AND(ISNUMBER($N305),$N305&gt;0,ISNUMBER($Y305)),$Y305/$N305,"")</f>
      </c>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c r="AK306">
        <f>IF(AND(ISNUMBER($N306),$N306&gt;0,ISNUMBER($Y306)),$Y306/$N306,"")</f>
      </c>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c r="AK307">
        <f>IF(AND(ISNUMBER($N307),$N307&gt;0,ISNUMBER($Y307)),$Y307/$N307,"")</f>
      </c>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c r="AK308">
        <f>IF(AND(ISNUMBER($N308),$N308&gt;0,ISNUMBER($Y308)),$Y308/$N308,"")</f>
      </c>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c r="AK309">
        <f>IF(AND(ISNUMBER($N309),$N309&gt;0,ISNUMBER($Y309)),$Y309/$N309,"")</f>
      </c>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c r="AK310">
        <f>IF(AND(ISNUMBER($N310),$N310&gt;0,ISNUMBER($Y310)),$Y310/$N310,"")</f>
      </c>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c r="AK311">
        <f>IF(AND(ISNUMBER($N311),$N311&gt;0,ISNUMBER($Y311)),$Y311/$N311,"")</f>
      </c>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c r="AK312">
        <f>IF(AND(ISNUMBER($N312),$N312&gt;0,ISNUMBER($Y312)),$Y312/$N312,"")</f>
      </c>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c r="AK313">
        <f>IF(AND(ISNUMBER($N313),$N313&gt;0,ISNUMBER($Y313)),$Y313/$N313,"")</f>
      </c>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c r="AK314">
        <f>IF(AND(ISNUMBER($N314),$N314&gt;0,ISNUMBER($Y314)),$Y314/$N314,"")</f>
      </c>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c r="AK315">
        <f>IF(AND(ISNUMBER($N315),$N315&gt;0,ISNUMBER($Y315)),$Y315/$N315,"")</f>
      </c>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c r="AK316">
        <f>IF(AND(ISNUMBER($N316),$N316&gt;0,ISNUMBER($Y316)),$Y316/$N316,"")</f>
      </c>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c r="AK317">
        <f>IF(AND(ISNUMBER($N317),$N317&gt;0,ISNUMBER($Y317)),$Y317/$N317,"")</f>
      </c>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c r="AK318">
        <f>IF(AND(ISNUMBER($N318),$N318&gt;0,ISNUMBER($Y318)),$Y318/$N318,"")</f>
      </c>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c r="AK319">
        <f>IF(AND(ISNUMBER($N319),$N319&gt;0,ISNUMBER($Y319)),$Y319/$N319,"")</f>
      </c>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c r="AK320">
        <f>IF(AND(ISNUMBER($N320),$N320&gt;0,ISNUMBER($Y320)),$Y320/$N320,"")</f>
      </c>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c r="AK321">
        <f>IF(AND(ISNUMBER($N321),$N321&gt;0,ISNUMBER($Y321)),$Y321/$N321,"")</f>
      </c>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c r="AK322">
        <f>IF(AND(ISNUMBER($N322),$N322&gt;0,ISNUMBER($Y322)),$Y322/$N322,"")</f>
      </c>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c r="AK323">
        <f>IF(AND(ISNUMBER($N323),$N323&gt;0,ISNUMBER($Y323)),$Y323/$N323,"")</f>
      </c>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c r="AK324">
        <f>IF(AND(ISNUMBER($N324),$N324&gt;0,ISNUMBER($Y324)),$Y324/$N324,"")</f>
      </c>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c r="AK325">
        <f>IF(AND(ISNUMBER($N325),$N325&gt;0,ISNUMBER($Y325)),$Y325/$N325,"")</f>
      </c>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c r="AK326">
        <f>IF(AND(ISNUMBER($N326),$N326&gt;0,ISNUMBER($Y326)),$Y326/$N326,"")</f>
      </c>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c r="AK327">
        <f>IF(AND(ISNUMBER($N327),$N327&gt;0,ISNUMBER($Y327)),$Y327/$N327,"")</f>
      </c>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c r="AK328">
        <f>IF(AND(ISNUMBER($N328),$N328&gt;0,ISNUMBER($Y328)),$Y328/$N328,"")</f>
      </c>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c r="AK329">
        <f>IF(AND(ISNUMBER($N329),$N329&gt;0,ISNUMBER($Y329)),$Y329/$N329,"")</f>
      </c>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c r="AK330">
        <f>IF(AND(ISNUMBER($N330),$N330&gt;0,ISNUMBER($Y330)),$Y330/$N330,"")</f>
      </c>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c r="AK331">
        <f>IF(AND(ISNUMBER($N331),$N331&gt;0,ISNUMBER($Y331)),$Y331/$N331,"")</f>
      </c>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c r="AK332">
        <f>IF(AND(ISNUMBER($N332),$N332&gt;0,ISNUMBER($Y332)),$Y332/$N332,"")</f>
      </c>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c r="AK333">
        <f>IF(AND(ISNUMBER($N333),$N333&gt;0,ISNUMBER($Y333)),$Y333/$N333,"")</f>
      </c>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c r="AK334">
        <f>IF(AND(ISNUMBER($N334),$N334&gt;0,ISNUMBER($Y334)),$Y334/$N334,"")</f>
      </c>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c r="AK335">
        <f>IF(AND(ISNUMBER($N335),$N335&gt;0,ISNUMBER($Y335)),$Y335/$N335,"")</f>
      </c>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c r="AK336">
        <f>IF(AND(ISNUMBER($N336),$N336&gt;0,ISNUMBER($Y336)),$Y336/$N336,"")</f>
      </c>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c r="AK337">
        <f>IF(AND(ISNUMBER($N337),$N337&gt;0,ISNUMBER($Y337)),$Y337/$N337,"")</f>
      </c>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c r="AK338">
        <f>IF(AND(ISNUMBER($N338),$N338&gt;0,ISNUMBER($Y338)),$Y338/$N338,"")</f>
      </c>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c r="AK339">
        <f>IF(AND(ISNUMBER($N339),$N339&gt;0,ISNUMBER($Y339)),$Y339/$N339,"")</f>
      </c>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c r="AK340">
        <f>IF(AND(ISNUMBER($N340),$N340&gt;0,ISNUMBER($Y340)),$Y340/$N340,"")</f>
      </c>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c r="AK341">
        <f>IF(AND(ISNUMBER($N341),$N341&gt;0,ISNUMBER($Y341)),$Y341/$N341,"")</f>
      </c>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c r="AK342">
        <f>IF(AND(ISNUMBER($N342),$N342&gt;0,ISNUMBER($Y342)),$Y342/$N342,"")</f>
      </c>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c r="AK343">
        <f>IF(AND(ISNUMBER($N343),$N343&gt;0,ISNUMBER($Y343)),$Y343/$N343,"")</f>
      </c>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c r="AK344">
        <f>IF(AND(ISNUMBER($N344),$N344&gt;0,ISNUMBER($Y344)),$Y344/$N344,"")</f>
      </c>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c r="AK345">
        <f>IF(AND(ISNUMBER($N345),$N345&gt;0,ISNUMBER($Y345)),$Y345/$N345,"")</f>
      </c>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c r="AK346">
        <f>IF(AND(ISNUMBER($N346),$N346&gt;0,ISNUMBER($Y346)),$Y346/$N346,"")</f>
      </c>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c r="AK347">
        <f>IF(AND(ISNUMBER($N347),$N347&gt;0,ISNUMBER($Y347)),$Y347/$N347,"")</f>
      </c>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c r="AK348">
        <f>IF(AND(ISNUMBER($N348),$N348&gt;0,ISNUMBER($Y348)),$Y348/$N348,"")</f>
      </c>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c r="AK349">
        <f>IF(AND(ISNUMBER($N349),$N349&gt;0,ISNUMBER($Y349)),$Y349/$N349,"")</f>
      </c>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c r="AK350">
        <f>IF(AND(ISNUMBER($N350),$N350&gt;0,ISNUMBER($Y350)),$Y350/$N350,"")</f>
      </c>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c r="AK351">
        <f>IF(AND(ISNUMBER($N351),$N351&gt;0,ISNUMBER($Y351)),$Y351/$N351,"")</f>
      </c>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c r="AK352">
        <f>IF(AND(ISNUMBER($N352),$N352&gt;0,ISNUMBER($Y352)),$Y352/$N352,"")</f>
      </c>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c r="AK353">
        <f>IF(AND(ISNUMBER($N353),$N353&gt;0,ISNUMBER($Y353)),$Y353/$N353,"")</f>
      </c>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c r="AK354">
        <f>IF(AND(ISNUMBER($N354),$N354&gt;0,ISNUMBER($Y354)),$Y354/$N354,"")</f>
      </c>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c r="AK355">
        <f>IF(AND(ISNUMBER($N355),$N355&gt;0,ISNUMBER($Y355)),$Y355/$N355,"")</f>
      </c>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c r="AK356">
        <f>IF(AND(ISNUMBER($N356),$N356&gt;0,ISNUMBER($Y356)),$Y356/$N356,"")</f>
      </c>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c r="AK357">
        <f>IF(AND(ISNUMBER($N357),$N357&gt;0,ISNUMBER($Y357)),$Y357/$N357,"")</f>
      </c>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c r="AK358">
        <f>IF(AND(ISNUMBER($N358),$N358&gt;0,ISNUMBER($Y358)),$Y358/$N358,"")</f>
      </c>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c r="AK359">
        <f>IF(AND(ISNUMBER($N359),$N359&gt;0,ISNUMBER($Y359)),$Y359/$N359,"")</f>
      </c>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c r="AK360">
        <f>IF(AND(ISNUMBER($N360),$N360&gt;0,ISNUMBER($Y360)),$Y360/$N360,"")</f>
      </c>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c r="AK361">
        <f>IF(AND(ISNUMBER($N361),$N361&gt;0,ISNUMBER($Y361)),$Y361/$N361,"")</f>
      </c>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c r="AK362">
        <f>IF(AND(ISNUMBER($N362),$N362&gt;0,ISNUMBER($Y362)),$Y362/$N362,"")</f>
      </c>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c r="AK363">
        <f>IF(AND(ISNUMBER($N363),$N363&gt;0,ISNUMBER($Y363)),$Y363/$N363,"")</f>
      </c>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c r="AK364">
        <f>IF(AND(ISNUMBER($N364),$N364&gt;0,ISNUMBER($Y364)),$Y364/$N364,"")</f>
      </c>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c r="AK365">
        <f>IF(AND(ISNUMBER($N365),$N365&gt;0,ISNUMBER($Y365)),$Y365/$N365,"")</f>
      </c>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c r="AK366">
        <f>IF(AND(ISNUMBER($N366),$N366&gt;0,ISNUMBER($Y366)),$Y366/$N366,"")</f>
      </c>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c r="AK367">
        <f>IF(AND(ISNUMBER($N367),$N367&gt;0,ISNUMBER($Y367)),$Y367/$N367,"")</f>
      </c>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c r="AK368">
        <f>IF(AND(ISNUMBER($N368),$N368&gt;0,ISNUMBER($Y368)),$Y368/$N368,"")</f>
      </c>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c r="AK369">
        <f>IF(AND(ISNUMBER($N369),$N369&gt;0,ISNUMBER($Y369)),$Y369/$N369,"")</f>
      </c>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c r="AK370">
        <f>IF(AND(ISNUMBER($N370),$N370&gt;0,ISNUMBER($Y370)),$Y370/$N370,"")</f>
      </c>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c r="AK371">
        <f>IF(AND(ISNUMBER($N371),$N371&gt;0,ISNUMBER($Y371)),$Y371/$N371,"")</f>
      </c>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c r="AK372">
        <f>IF(AND(ISNUMBER($N372),$N372&gt;0,ISNUMBER($Y372)),$Y372/$N372,"")</f>
      </c>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c r="AK373">
        <f>IF(AND(ISNUMBER($N373),$N373&gt;0,ISNUMBER($Y373)),$Y373/$N373,"")</f>
      </c>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c r="AK374">
        <f>IF(AND(ISNUMBER($N374),$N374&gt;0,ISNUMBER($Y374)),$Y374/$N374,"")</f>
      </c>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c r="AK375">
        <f>IF(AND(ISNUMBER($N375),$N375&gt;0,ISNUMBER($Y375)),$Y375/$N375,"")</f>
      </c>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c r="AK376">
        <f>IF(AND(ISNUMBER($N376),$N376&gt;0,ISNUMBER($Y376)),$Y376/$N376,"")</f>
      </c>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c r="AK377">
        <f>IF(AND(ISNUMBER($N377),$N377&gt;0,ISNUMBER($Y377)),$Y377/$N377,"")</f>
      </c>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c r="AK378">
        <f>IF(AND(ISNUMBER($N378),$N378&gt;0,ISNUMBER($Y378)),$Y378/$N378,"")</f>
      </c>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c r="AK379">
        <f>IF(AND(ISNUMBER($N379),$N379&gt;0,ISNUMBER($Y379)),$Y379/$N379,"")</f>
      </c>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c r="AK380">
        <f>IF(AND(ISNUMBER($N380),$N380&gt;0,ISNUMBER($Y380)),$Y380/$N380,"")</f>
      </c>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c r="AK381">
        <f>IF(AND(ISNUMBER($N381),$N381&gt;0,ISNUMBER($Y381)),$Y381/$N381,"")</f>
      </c>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c r="AK382">
        <f>IF(AND(ISNUMBER($N382),$N382&gt;0,ISNUMBER($Y382)),$Y382/$N382,"")</f>
      </c>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c r="AK383">
        <f>IF(AND(ISNUMBER($N383),$N383&gt;0,ISNUMBER($Y383)),$Y383/$N383,"")</f>
      </c>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c r="AK384">
        <f>IF(AND(ISNUMBER($N384),$N384&gt;0,ISNUMBER($Y384)),$Y384/$N384,"")</f>
      </c>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c r="AK385">
        <f>IF(AND(ISNUMBER($N385),$N385&gt;0,ISNUMBER($Y385)),$Y385/$N385,"")</f>
      </c>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c r="AK386">
        <f>IF(AND(ISNUMBER($N386),$N386&gt;0,ISNUMBER($Y386)),$Y386/$N386,"")</f>
      </c>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c r="AK387">
        <f>IF(AND(ISNUMBER($N387),$N387&gt;0,ISNUMBER($Y387)),$Y387/$N387,"")</f>
      </c>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c r="AK388">
        <f>IF(AND(ISNUMBER($N388),$N388&gt;0,ISNUMBER($Y388)),$Y388/$N388,"")</f>
      </c>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c r="AK389">
        <f>IF(AND(ISNUMBER($N389),$N389&gt;0,ISNUMBER($Y389)),$Y389/$N389,"")</f>
      </c>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c r="AK390">
        <f>IF(AND(ISNUMBER($N390),$N390&gt;0,ISNUMBER($Y390)),$Y390/$N390,"")</f>
      </c>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c r="AK391">
        <f>IF(AND(ISNUMBER($N391),$N391&gt;0,ISNUMBER($Y391)),$Y391/$N391,"")</f>
      </c>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c r="AK392">
        <f>IF(AND(ISNUMBER($N392),$N392&gt;0,ISNUMBER($Y392)),$Y392/$N392,"")</f>
      </c>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c r="AK393">
        <f>IF(AND(ISNUMBER($N393),$N393&gt;0,ISNUMBER($Y393)),$Y393/$N393,"")</f>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c r="AK394">
        <f>IF(AND(ISNUMBER($N394),$N394&gt;0,ISNUMBER($Y394)),$Y394/$N394,"")</f>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c r="AK395">
        <f>IF(AND(ISNUMBER($N395),$N395&gt;0,ISNUMBER($Y395)),$Y395/$N395,"")</f>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c r="AK396">
        <f>IF(AND(ISNUMBER($N396),$N396&gt;0,ISNUMBER($Y396)),$Y396/$N396,"")</f>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c r="AK397">
        <f>IF(AND(ISNUMBER($N397),$N397&gt;0,ISNUMBER($Y397)),$Y397/$N397,"")</f>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c r="AK398">
        <f>IF(AND(ISNUMBER($N398),$N398&gt;0,ISNUMBER($Y398)),$Y398/$N398,"")</f>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c r="AK399">
        <f>IF(AND(ISNUMBER($N399),$N399&gt;0,ISNUMBER($Y399)),$Y399/$N399,"")</f>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c r="AK400">
        <f>IF(AND(ISNUMBER($N400),$N400&gt;0,ISNUMBER($Y400)),$Y400/$N400,"")</f>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c r="AK401">
        <f>IF(AND(ISNUMBER($N401),$N401&gt;0,ISNUMBER($Y401)),$Y401/$N401,"")</f>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c r="AK402">
        <f>IF(AND(ISNUMBER($N402),$N402&gt;0,ISNUMBER($Y402)),$Y402/$N402,"")</f>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c r="AK403">
        <f>IF(AND(ISNUMBER($N403),$N403&gt;0,ISNUMBER($Y403)),$Y403/$N403,"")</f>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c r="AK404">
        <f>IF(AND(ISNUMBER($N404),$N404&gt;0,ISNUMBER($Y404)),$Y404/$N404,"")</f>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c r="AK405">
        <f>IF(AND(ISNUMBER($N405),$N405&gt;0,ISNUMBER($Y405)),$Y405/$N405,"")</f>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c r="AK406">
        <f>IF(AND(ISNUMBER($N406),$N406&gt;0,ISNUMBER($Y406)),$Y406/$N406,"")</f>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c r="AK407">
        <f>IF(AND(ISNUMBER($N407),$N407&gt;0,ISNUMBER($Y407)),$Y407/$N407,"")</f>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c r="AK408">
        <f>IF(AND(ISNUMBER($N408),$N408&gt;0,ISNUMBER($Y408)),$Y408/$N408,"")</f>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c r="AK409">
        <f>IF(AND(ISNUMBER($N409),$N409&gt;0,ISNUMBER($Y409)),$Y409/$N409,"")</f>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c r="AK410">
        <f>IF(AND(ISNUMBER($N410),$N410&gt;0,ISNUMBER($Y410)),$Y410/$N410,"")</f>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c r="AK411">
        <f>IF(AND(ISNUMBER($N411),$N411&gt;0,ISNUMBER($Y411)),$Y411/$N411,"")</f>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c r="AK412">
        <f>IF(AND(ISNUMBER($N412),$N412&gt;0,ISNUMBER($Y412)),$Y412/$N412,"")</f>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c r="AK413">
        <f>IF(AND(ISNUMBER($N413),$N413&gt;0,ISNUMBER($Y413)),$Y413/$N413,"")</f>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c r="AK414">
        <f>IF(AND(ISNUMBER($N414),$N414&gt;0,ISNUMBER($Y414)),$Y414/$N414,"")</f>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c r="AK415">
        <f>IF(AND(ISNUMBER($N415),$N415&gt;0,ISNUMBER($Y415)),$Y415/$N415,"")</f>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c r="AK416">
        <f>IF(AND(ISNUMBER($N416),$N416&gt;0,ISNUMBER($Y416)),$Y416/$N416,"")</f>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c r="AK417">
        <f>IF(AND(ISNUMBER($N417),$N417&gt;0,ISNUMBER($Y417)),$Y417/$N417,"")</f>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c r="AK418">
        <f>IF(AND(ISNUMBER($N418),$N418&gt;0,ISNUMBER($Y418)),$Y418/$N418,"")</f>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c r="AK419">
        <f>IF(AND(ISNUMBER($N419),$N419&gt;0,ISNUMBER($Y419)),$Y419/$N419,"")</f>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c r="AK420">
        <f>IF(AND(ISNUMBER($N420),$N420&gt;0,ISNUMBER($Y420)),$Y420/$N420,"")</f>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c r="AK421">
        <f>IF(AND(ISNUMBER($N421),$N421&gt;0,ISNUMBER($Y421)),$Y421/$N421,"")</f>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c r="AK422">
        <f>IF(AND(ISNUMBER($N422),$N422&gt;0,ISNUMBER($Y422)),$Y422/$N422,"")</f>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c r="AK423">
        <f>IF(AND(ISNUMBER($N423),$N423&gt;0,ISNUMBER($Y423)),$Y423/$N423,"")</f>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c r="AK424">
        <f>IF(AND(ISNUMBER($N424),$N424&gt;0,ISNUMBER($Y424)),$Y424/$N424,"")</f>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c r="AK425">
        <f>IF(AND(ISNUMBER($N425),$N425&gt;0,ISNUMBER($Y425)),$Y425/$N425,"")</f>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c r="AK426">
        <f>IF(AND(ISNUMBER($N426),$N426&gt;0,ISNUMBER($Y426)),$Y426/$N426,"")</f>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c r="AK427">
        <f>IF(AND(ISNUMBER($N427),$N427&gt;0,ISNUMBER($Y427)),$Y427/$N427,"")</f>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c r="AK428">
        <f>IF(AND(ISNUMBER($N428),$N428&gt;0,ISNUMBER($Y428)),$Y428/$N428,"")</f>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c r="AK429">
        <f>IF(AND(ISNUMBER($N429),$N429&gt;0,ISNUMBER($Y429)),$Y429/$N429,"")</f>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c r="AK430">
        <f>IF(AND(ISNUMBER($N430),$N430&gt;0,ISNUMBER($Y430)),$Y430/$N430,"")</f>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c r="AK431">
        <f>IF(AND(ISNUMBER($N431),$N431&gt;0,ISNUMBER($Y431)),$Y431/$N431,"")</f>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c r="AK432">
        <f>IF(AND(ISNUMBER($N432),$N432&gt;0,ISNUMBER($Y432)),$Y432/$N432,"")</f>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c r="AK433">
        <f>IF(AND(ISNUMBER($N433),$N433&gt;0,ISNUMBER($Y433)),$Y433/$N433,"")</f>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c r="AK434">
        <f>IF(AND(ISNUMBER($N434),$N434&gt;0,ISNUMBER($Y434)),$Y434/$N434,"")</f>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c r="AK435">
        <f>IF(AND(ISNUMBER($N435),$N435&gt;0,ISNUMBER($Y435)),$Y435/$N435,"")</f>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c r="AK436">
        <f>IF(AND(ISNUMBER($N436),$N436&gt;0,ISNUMBER($Y436)),$Y436/$N436,"")</f>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c r="AK437">
        <f>IF(AND(ISNUMBER($N437),$N437&gt;0,ISNUMBER($Y437)),$Y437/$N437,"")</f>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c r="AK438">
        <f>IF(AND(ISNUMBER($N438),$N438&gt;0,ISNUMBER($Y438)),$Y438/$N438,"")</f>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c r="AK439">
        <f>IF(AND(ISNUMBER($N439),$N439&gt;0,ISNUMBER($Y439)),$Y439/$N439,"")</f>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c r="AK440">
        <f>IF(AND(ISNUMBER($N440),$N440&gt;0,ISNUMBER($Y440)),$Y440/$N440,"")</f>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c r="AK441">
        <f>IF(AND(ISNUMBER($N441),$N441&gt;0,ISNUMBER($Y441)),$Y441/$N441,"")</f>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c r="AK442">
        <f>IF(AND(ISNUMBER($N442),$N442&gt;0,ISNUMBER($Y442)),$Y442/$N442,"")</f>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c r="AK443">
        <f>IF(AND(ISNUMBER($N443),$N443&gt;0,ISNUMBER($Y443)),$Y443/$N443,"")</f>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c r="AK444">
        <f>IF(AND(ISNUMBER($N444),$N444&gt;0,ISNUMBER($Y444)),$Y444/$N444,"")</f>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c r="AK445">
        <f>IF(AND(ISNUMBER($N445),$N445&gt;0,ISNUMBER($Y445)),$Y445/$N445,"")</f>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c r="AK446">
        <f>IF(AND(ISNUMBER($N446),$N446&gt;0,ISNUMBER($Y446)),$Y446/$N446,"")</f>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c r="AK447">
        <f>IF(AND(ISNUMBER($N447),$N447&gt;0,ISNUMBER($Y447)),$Y447/$N447,"")</f>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c r="AK448">
        <f>IF(AND(ISNUMBER($N448),$N448&gt;0,ISNUMBER($Y448)),$Y448/$N448,"")</f>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c r="AK449">
        <f>IF(AND(ISNUMBER($N449),$N449&gt;0,ISNUMBER($Y449)),$Y449/$N449,"")</f>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c r="AK450">
        <f>IF(AND(ISNUMBER($N450),$N450&gt;0,ISNUMBER($Y450)),$Y450/$N450,"")</f>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c r="AK451">
        <f>IF(AND(ISNUMBER($N451),$N451&gt;0,ISNUMBER($Y451)),$Y451/$N451,"")</f>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c r="AK452">
        <f>IF(AND(ISNUMBER($N452),$N452&gt;0,ISNUMBER($Y452)),$Y452/$N452,"")</f>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c r="AK453">
        <f>IF(AND(ISNUMBER($N453),$N453&gt;0,ISNUMBER($Y453)),$Y453/$N453,"")</f>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c r="AK454">
        <f>IF(AND(ISNUMBER($N454),$N454&gt;0,ISNUMBER($Y454)),$Y454/$N454,"")</f>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c r="AK455">
        <f>IF(AND(ISNUMBER($N455),$N455&gt;0,ISNUMBER($Y455)),$Y455/$N455,"")</f>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c r="AK456">
        <f>IF(AND(ISNUMBER($N456),$N456&gt;0,ISNUMBER($Y456)),$Y456/$N456,"")</f>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c r="AK457">
        <f>IF(AND(ISNUMBER($N457),$N457&gt;0,ISNUMBER($Y457)),$Y457/$N457,"")</f>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c r="AK458">
        <f>IF(AND(ISNUMBER($N458),$N458&gt;0,ISNUMBER($Y458)),$Y458/$N458,"")</f>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c r="AK459">
        <f>IF(AND(ISNUMBER($N459),$N459&gt;0,ISNUMBER($Y459)),$Y459/$N459,"")</f>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c r="AK460">
        <f>IF(AND(ISNUMBER($N460),$N460&gt;0,ISNUMBER($Y460)),$Y460/$N460,"")</f>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c r="AK461">
        <f>IF(AND(ISNUMBER($N461),$N461&gt;0,ISNUMBER($Y461)),$Y461/$N461,"")</f>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c r="AK462">
        <f>IF(AND(ISNUMBER($N462),$N462&gt;0,ISNUMBER($Y462)),$Y462/$N462,"")</f>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c r="AK463">
        <f>IF(AND(ISNUMBER($N463),$N463&gt;0,ISNUMBER($Y463)),$Y463/$N463,"")</f>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c r="AK464">
        <f>IF(AND(ISNUMBER($N464),$N464&gt;0,ISNUMBER($Y464)),$Y464/$N464,"")</f>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c r="AK465">
        <f>IF(AND(ISNUMBER($N465),$N465&gt;0,ISNUMBER($Y465)),$Y465/$N465,"")</f>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c r="AK466">
        <f>IF(AND(ISNUMBER($N466),$N466&gt;0,ISNUMBER($Y466)),$Y466/$N466,"")</f>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c r="AK467">
        <f>IF(AND(ISNUMBER($N467),$N467&gt;0,ISNUMBER($Y467)),$Y467/$N467,"")</f>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c r="AK468">
        <f>IF(AND(ISNUMBER($N468),$N468&gt;0,ISNUMBER($Y468)),$Y468/$N468,"")</f>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c r="AK469">
        <f>IF(AND(ISNUMBER($N469),$N469&gt;0,ISNUMBER($Y469)),$Y469/$N469,"")</f>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c r="AK470">
        <f>IF(AND(ISNUMBER($N470),$N470&gt;0,ISNUMBER($Y470)),$Y470/$N470,"")</f>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c r="AK471">
        <f>IF(AND(ISNUMBER($N471),$N471&gt;0,ISNUMBER($Y471)),$Y471/$N471,"")</f>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c r="AK472">
        <f>IF(AND(ISNUMBER($N472),$N472&gt;0,ISNUMBER($Y472)),$Y472/$N472,"")</f>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c r="AK473">
        <f>IF(AND(ISNUMBER($N473),$N473&gt;0,ISNUMBER($Y473)),$Y473/$N473,"")</f>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c r="AK474">
        <f>IF(AND(ISNUMBER($N474),$N474&gt;0,ISNUMBER($Y474)),$Y474/$N474,"")</f>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c r="AK475">
        <f>IF(AND(ISNUMBER($N475),$N475&gt;0,ISNUMBER($Y475)),$Y475/$N475,"")</f>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c r="AK476">
        <f>IF(AND(ISNUMBER($N476),$N476&gt;0,ISNUMBER($Y476)),$Y476/$N476,"")</f>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c r="AK477">
        <f>IF(AND(ISNUMBER($N477),$N477&gt;0,ISNUMBER($Y477)),$Y477/$N477,"")</f>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c r="AK478">
        <f>IF(AND(ISNUMBER($N478),$N478&gt;0,ISNUMBER($Y478)),$Y478/$N478,"")</f>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c r="AK479">
        <f>IF(AND(ISNUMBER($N479),$N479&gt;0,ISNUMBER($Y479)),$Y479/$N479,"")</f>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c r="AK480">
        <f>IF(AND(ISNUMBER($N480),$N480&gt;0,ISNUMBER($Y480)),$Y480/$N480,"")</f>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c r="AK481">
        <f>IF(AND(ISNUMBER($N481),$N481&gt;0,ISNUMBER($Y481)),$Y481/$N481,"")</f>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c r="AK482">
        <f>IF(AND(ISNUMBER($N482),$N482&gt;0,ISNUMBER($Y482)),$Y482/$N482,"")</f>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c r="AK483">
        <f>IF(AND(ISNUMBER($N483),$N483&gt;0,ISNUMBER($Y483)),$Y483/$N483,"")</f>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c r="AK484">
        <f>IF(AND(ISNUMBER($N484),$N484&gt;0,ISNUMBER($Y484)),$Y484/$N484,"")</f>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c r="AK485">
        <f>IF(AND(ISNUMBER($N485),$N485&gt;0,ISNUMBER($Y485)),$Y485/$N485,"")</f>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c r="AK486">
        <f>IF(AND(ISNUMBER($N486),$N486&gt;0,ISNUMBER($Y486)),$Y486/$N486,"")</f>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c r="AK487">
        <f>IF(AND(ISNUMBER($N487),$N487&gt;0,ISNUMBER($Y487)),$Y487/$N487,"")</f>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c r="AK488">
        <f>IF(AND(ISNUMBER($N488),$N488&gt;0,ISNUMBER($Y488)),$Y488/$N488,"")</f>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c r="AK489">
        <f>IF(AND(ISNUMBER($N489),$N489&gt;0,ISNUMBER($Y489)),$Y489/$N489,"")</f>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c r="AK490">
        <f>IF(AND(ISNUMBER($N490),$N490&gt;0,ISNUMBER($Y490)),$Y490/$N490,"")</f>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c r="AK491">
        <f>IF(AND(ISNUMBER($N491),$N491&gt;0,ISNUMBER($Y491)),$Y491/$N491,"")</f>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c r="AK492">
        <f>IF(AND(ISNUMBER($N492),$N492&gt;0,ISNUMBER($Y492)),$Y492/$N492,"")</f>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c r="AK493">
        <f>IF(AND(ISNUMBER($N493),$N493&gt;0,ISNUMBER($Y493)),$Y493/$N493,"")</f>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c r="AK494">
        <f>IF(AND(ISNUMBER($N494),$N494&gt;0,ISNUMBER($Y494)),$Y494/$N494,"")</f>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c r="AK495">
        <f>IF(AND(ISNUMBER($N495),$N495&gt;0,ISNUMBER($Y495)),$Y495/$N495,"")</f>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c r="AK496">
        <f>IF(AND(ISNUMBER($N496),$N496&gt;0,ISNUMBER($Y496)),$Y496/$N496,"")</f>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c r="AK497">
        <f>IF(AND(ISNUMBER($N497),$N497&gt;0,ISNUMBER($Y497)),$Y497/$N497,"")</f>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c r="AK498">
        <f>IF(AND(ISNUMBER($N498),$N498&gt;0,ISNUMBER($Y498)),$Y498/$N498,"")</f>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c r="AK499">
        <f>IF(AND(ISNUMBER($N499),$N499&gt;0,ISNUMBER($Y499)),$Y499/$N499,"")</f>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c r="AK500">
        <f>IF(AND(ISNUMBER($N500),$N500&gt;0,ISNUMBER($Y500)),$Y500/$N500,"")</f>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c r="AK501">
        <f>IF(AND(ISNUMBER($N501),$N501&gt;0,ISNUMBER($Y501)),$Y501/$N501,"")</f>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c r="AK502">
        <f>IF(AND(ISNUMBER($N502),$N502&gt;0,ISNUMBER($Y502)),$Y502/$N502,"")</f>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c r="AK503">
        <f>IF(AND(ISNUMBER($N503),$N503&gt;0,ISNUMBER($Y503)),$Y503/$N503,"")</f>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c r="AK504">
        <f>IF(AND(ISNUMBER($N504),$N504&gt;0,ISNUMBER($Y504)),$Y504/$N504,"")</f>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c r="AK505">
        <f>IF(AND(ISNUMBER($N505),$N505&gt;0,ISNUMBER($Y505)),$Y505/$N505,"")</f>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c r="AK506">
        <f>IF(AND(ISNUMBER($N506),$N506&gt;0,ISNUMBER($Y506)),$Y506/$N506,"")</f>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c r="AK507">
        <f>IF(AND(ISNUMBER($N507),$N507&gt;0,ISNUMBER($Y507)),$Y507/$N507,"")</f>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c r="AK508">
        <f>IF(AND(ISNUMBER($N508),$N508&gt;0,ISNUMBER($Y508)),$Y508/$N508,"")</f>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c r="AK509">
        <f>IF(AND(ISNUMBER($N509),$N509&gt;0,ISNUMBER($Y509)),$Y509/$N509,"")</f>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c r="AK510">
        <f>IF(AND(ISNUMBER($N510),$N510&gt;0,ISNUMBER($Y510)),$Y510/$N510,"")</f>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c r="AK511">
        <f>IF(AND(ISNUMBER($N511),$N511&gt;0,ISNUMBER($Y511)),$Y511/$N511,"")</f>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c r="AK512">
        <f>IF(AND(ISNUMBER($N512),$N512&gt;0,ISNUMBER($Y512)),$Y512/$N512,"")</f>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c r="AK513">
        <f>IF(AND(ISNUMBER($N513),$N513&gt;0,ISNUMBER($Y513)),$Y513/$N513,"")</f>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c r="AK514">
        <f>IF(AND(ISNUMBER($N514),$N514&gt;0,ISNUMBER($Y514)),$Y514/$N514,"")</f>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c r="AK515">
        <f>IF(AND(ISNUMBER($N515),$N515&gt;0,ISNUMBER($Y515)),$Y515/$N515,"")</f>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c r="AK516">
        <f>IF(AND(ISNUMBER($N516),$N516&gt;0,ISNUMBER($Y516)),$Y516/$N516,"")</f>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c r="AK517">
        <f>IF(AND(ISNUMBER($N517),$N517&gt;0,ISNUMBER($Y517)),$Y517/$N517,"")</f>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c r="AK518">
        <f>IF(AND(ISNUMBER($N518),$N518&gt;0,ISNUMBER($Y518)),$Y518/$N518,"")</f>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c r="AK519">
        <f>IF(AND(ISNUMBER($N519),$N519&gt;0,ISNUMBER($Y519)),$Y519/$N519,"")</f>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c r="AK520">
        <f>IF(AND(ISNUMBER($N520),$N520&gt;0,ISNUMBER($Y520)),$Y520/$N520,"")</f>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c r="AK521">
        <f>IF(AND(ISNUMBER($N521),$N521&gt;0,ISNUMBER($Y521)),$Y521/$N521,"")</f>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c r="AK522">
        <f>IF(AND(ISNUMBER($N522),$N522&gt;0,ISNUMBER($Y522)),$Y522/$N522,"")</f>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c r="AK523">
        <f>IF(AND(ISNUMBER($N523),$N523&gt;0,ISNUMBER($Y523)),$Y523/$N523,"")</f>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c r="AK524">
        <f>IF(AND(ISNUMBER($N524),$N524&gt;0,ISNUMBER($Y524)),$Y524/$N524,"")</f>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c r="AK525">
        <f>IF(AND(ISNUMBER($N525),$N525&gt;0,ISNUMBER($Y525)),$Y525/$N525,"")</f>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c r="AK526">
        <f>IF(AND(ISNUMBER($N526),$N526&gt;0,ISNUMBER($Y526)),$Y526/$N526,"")</f>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c r="AK527">
        <f>IF(AND(ISNUMBER($N527),$N527&gt;0,ISNUMBER($Y527)),$Y527/$N527,"")</f>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c r="AK528">
        <f>IF(AND(ISNUMBER($N528),$N528&gt;0,ISNUMBER($Y528)),$Y528/$N528,"")</f>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c r="AK529">
        <f>IF(AND(ISNUMBER($N529),$N529&gt;0,ISNUMBER($Y529)),$Y529/$N529,"")</f>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c r="AK530">
        <f>IF(AND(ISNUMBER($N530),$N530&gt;0,ISNUMBER($Y530)),$Y530/$N530,"")</f>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c r="AK531">
        <f>IF(AND(ISNUMBER($N531),$N531&gt;0,ISNUMBER($Y531)),$Y531/$N531,"")</f>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c r="AK532">
        <f>IF(AND(ISNUMBER($N532),$N532&gt;0,ISNUMBER($Y532)),$Y532/$N532,"")</f>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c r="AK533">
        <f>IF(AND(ISNUMBER($N533),$N533&gt;0,ISNUMBER($Y533)),$Y533/$N533,"")</f>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c r="AK534">
        <f>IF(AND(ISNUMBER($N534),$N534&gt;0,ISNUMBER($Y534)),$Y534/$N534,"")</f>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c r="AK535">
        <f>IF(AND(ISNUMBER($N535),$N535&gt;0,ISNUMBER($Y535)),$Y535/$N535,"")</f>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c r="AK536">
        <f>IF(AND(ISNUMBER($N536),$N536&gt;0,ISNUMBER($Y536)),$Y536/$N536,"")</f>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c r="AK537">
        <f>IF(AND(ISNUMBER($N537),$N537&gt;0,ISNUMBER($Y537)),$Y537/$N537,"")</f>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c r="AK538">
        <f>IF(AND(ISNUMBER($N538),$N538&gt;0,ISNUMBER($Y538)),$Y538/$N538,"")</f>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c r="AK539">
        <f>IF(AND(ISNUMBER($N539),$N539&gt;0,ISNUMBER($Y539)),$Y539/$N539,"")</f>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c r="AK540">
        <f>IF(AND(ISNUMBER($N540),$N540&gt;0,ISNUMBER($Y540)),$Y540/$N540,"")</f>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c r="AK541">
        <f>IF(AND(ISNUMBER($N541),$N541&gt;0,ISNUMBER($Y541)),$Y541/$N541,"")</f>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c r="AK542">
        <f>IF(AND(ISNUMBER($N542),$N542&gt;0,ISNUMBER($Y542)),$Y542/$N542,"")</f>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c r="AK543">
        <f>IF(AND(ISNUMBER($N543),$N543&gt;0,ISNUMBER($Y543)),$Y543/$N543,"")</f>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c r="AK544">
        <f>IF(AND(ISNUMBER($N544),$N544&gt;0,ISNUMBER($Y544)),$Y544/$N544,"")</f>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c r="AK545">
        <f>IF(AND(ISNUMBER($N545),$N545&gt;0,ISNUMBER($Y545)),$Y545/$N545,"")</f>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c r="AK546">
        <f>IF(AND(ISNUMBER($N546),$N546&gt;0,ISNUMBER($Y546)),$Y546/$N546,"")</f>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c r="AK547">
        <f>IF(AND(ISNUMBER($N547),$N547&gt;0,ISNUMBER($Y547)),$Y547/$N547,"")</f>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c r="AK548">
        <f>IF(AND(ISNUMBER($N548),$N548&gt;0,ISNUMBER($Y548)),$Y548/$N548,"")</f>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c r="AK549">
        <f>IF(AND(ISNUMBER($N549),$N549&gt;0,ISNUMBER($Y549)),$Y549/$N549,"")</f>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c r="AK550">
        <f>IF(AND(ISNUMBER($N550),$N550&gt;0,ISNUMBER($Y550)),$Y550/$N550,"")</f>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c r="AK551">
        <f>IF(AND(ISNUMBER($N551),$N551&gt;0,ISNUMBER($Y551)),$Y551/$N551,"")</f>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c r="AK552">
        <f>IF(AND(ISNUMBER($N552),$N552&gt;0,ISNUMBER($Y552)),$Y552/$N552,"")</f>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c r="AK553">
        <f>IF(AND(ISNUMBER($N553),$N553&gt;0,ISNUMBER($Y553)),$Y553/$N553,"")</f>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c r="AK554">
        <f>IF(AND(ISNUMBER($N554),$N554&gt;0,ISNUMBER($Y554)),$Y554/$N554,"")</f>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c r="AK555">
        <f>IF(AND(ISNUMBER($N555),$N555&gt;0,ISNUMBER($Y555)),$Y555/$N555,"")</f>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c r="AK556">
        <f>IF(AND(ISNUMBER($N556),$N556&gt;0,ISNUMBER($Y556)),$Y556/$N556,"")</f>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c r="AK557">
        <f>IF(AND(ISNUMBER($N557),$N557&gt;0,ISNUMBER($Y557)),$Y557/$N557,"")</f>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c r="AK558">
        <f>IF(AND(ISNUMBER($N558),$N558&gt;0,ISNUMBER($Y558)),$Y558/$N558,"")</f>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c r="AK559">
        <f>IF(AND(ISNUMBER($N559),$N559&gt;0,ISNUMBER($Y559)),$Y559/$N559,"")</f>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c r="AK560">
        <f>IF(AND(ISNUMBER($N560),$N560&gt;0,ISNUMBER($Y560)),$Y560/$N560,"")</f>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c r="AK561">
        <f>IF(AND(ISNUMBER($N561),$N561&gt;0,ISNUMBER($Y561)),$Y561/$N561,"")</f>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c r="AK562">
        <f>IF(AND(ISNUMBER($N562),$N562&gt;0,ISNUMBER($Y562)),$Y562/$N562,"")</f>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c r="AK563">
        <f>IF(AND(ISNUMBER($N563),$N563&gt;0,ISNUMBER($Y563)),$Y563/$N563,"")</f>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c r="AK564">
        <f>IF(AND(ISNUMBER($N564),$N564&gt;0,ISNUMBER($Y564)),$Y564/$N564,"")</f>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c r="AK565">
        <f>IF(AND(ISNUMBER($N565),$N565&gt;0,ISNUMBER($Y565)),$Y565/$N565,"")</f>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c r="AK566">
        <f>IF(AND(ISNUMBER($N566),$N566&gt;0,ISNUMBER($Y566)),$Y566/$N566,"")</f>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c r="AK567">
        <f>IF(AND(ISNUMBER($N567),$N567&gt;0,ISNUMBER($Y567)),$Y567/$N567,"")</f>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c r="AK568">
        <f>IF(AND(ISNUMBER($N568),$N568&gt;0,ISNUMBER($Y568)),$Y568/$N568,"")</f>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c r="AK569">
        <f>IF(AND(ISNUMBER($N569),$N569&gt;0,ISNUMBER($Y569)),$Y569/$N569,"")</f>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c r="AK570">
        <f>IF(AND(ISNUMBER($N570),$N570&gt;0,ISNUMBER($Y570)),$Y570/$N570,"")</f>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c r="AK571">
        <f>IF(AND(ISNUMBER($N571),$N571&gt;0,ISNUMBER($Y571)),$Y571/$N571,"")</f>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c r="AK572">
        <f>IF(AND(ISNUMBER($N572),$N572&gt;0,ISNUMBER($Y572)),$Y572/$N572,"")</f>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c r="AK573">
        <f>IF(AND(ISNUMBER($N573),$N573&gt;0,ISNUMBER($Y573)),$Y573/$N573,"")</f>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c r="AK574">
        <f>IF(AND(ISNUMBER($N574),$N574&gt;0,ISNUMBER($Y574)),$Y574/$N574,"")</f>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c r="AK575">
        <f>IF(AND(ISNUMBER($N575),$N575&gt;0,ISNUMBER($Y575)),$Y575/$N575,"")</f>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c r="AK576">
        <f>IF(AND(ISNUMBER($N576),$N576&gt;0,ISNUMBER($Y576)),$Y576/$N576,"")</f>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c r="AK577">
        <f>IF(AND(ISNUMBER($N577),$N577&gt;0,ISNUMBER($Y577)),$Y577/$N577,"")</f>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c r="AK578">
        <f>IF(AND(ISNUMBER($N578),$N578&gt;0,ISNUMBER($Y578)),$Y578/$N578,"")</f>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c r="AK579">
        <f>IF(AND(ISNUMBER($N579),$N579&gt;0,ISNUMBER($Y579)),$Y579/$N579,"")</f>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c r="AK580">
        <f>IF(AND(ISNUMBER($N580),$N580&gt;0,ISNUMBER($Y580)),$Y580/$N580,"")</f>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c r="AK581">
        <f>IF(AND(ISNUMBER($N581),$N581&gt;0,ISNUMBER($Y581)),$Y581/$N581,"")</f>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c r="AK582">
        <f>IF(AND(ISNUMBER($N582),$N582&gt;0,ISNUMBER($Y582)),$Y582/$N582,"")</f>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c r="AK583">
        <f>IF(AND(ISNUMBER($N583),$N583&gt;0,ISNUMBER($Y583)),$Y583/$N583,"")</f>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c r="AK584">
        <f>IF(AND(ISNUMBER($N584),$N584&gt;0,ISNUMBER($Y584)),$Y584/$N584,"")</f>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c r="AK585">
        <f>IF(AND(ISNUMBER($N585),$N585&gt;0,ISNUMBER($Y585)),$Y585/$N585,"")</f>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c r="AK586">
        <f>IF(AND(ISNUMBER($N586),$N586&gt;0,ISNUMBER($Y586)),$Y586/$N586,"")</f>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c r="AK587">
        <f>IF(AND(ISNUMBER($N587),$N587&gt;0,ISNUMBER($Y587)),$Y587/$N587,"")</f>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c r="AK588">
        <f>IF(AND(ISNUMBER($N588),$N588&gt;0,ISNUMBER($Y588)),$Y588/$N588,"")</f>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c r="AK589">
        <f>IF(AND(ISNUMBER($N589),$N589&gt;0,ISNUMBER($Y589)),$Y589/$N589,"")</f>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c r="AK590">
        <f>IF(AND(ISNUMBER($N590),$N590&gt;0,ISNUMBER($Y590)),$Y590/$N590,"")</f>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c r="AK591">
        <f>IF(AND(ISNUMBER($N591),$N591&gt;0,ISNUMBER($Y591)),$Y591/$N591,"")</f>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c r="AK592">
        <f>IF(AND(ISNUMBER($N592),$N592&gt;0,ISNUMBER($Y592)),$Y592/$N592,"")</f>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c r="AK593">
        <f>IF(AND(ISNUMBER($N593),$N593&gt;0,ISNUMBER($Y593)),$Y593/$N593,"")</f>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c r="AK594">
        <f>IF(AND(ISNUMBER($N594),$N594&gt;0,ISNUMBER($Y594)),$Y594/$N594,"")</f>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c r="AK595">
        <f>IF(AND(ISNUMBER($N595),$N595&gt;0,ISNUMBER($Y595)),$Y595/$N595,"")</f>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c r="AK596">
        <f>IF(AND(ISNUMBER($N596),$N596&gt;0,ISNUMBER($Y596)),$Y596/$N596,"")</f>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c r="AK597">
        <f>IF(AND(ISNUMBER($N597),$N597&gt;0,ISNUMBER($Y597)),$Y597/$N597,"")</f>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c r="AK598">
        <f>IF(AND(ISNUMBER($N598),$N598&gt;0,ISNUMBER($Y598)),$Y598/$N598,"")</f>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c r="AK599">
        <f>IF(AND(ISNUMBER($N599),$N599&gt;0,ISNUMBER($Y599)),$Y599/$N599,"")</f>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c r="AK600">
        <f>IF(AND(ISNUMBER($N600),$N600&gt;0,ISNUMBER($Y600)),$Y600/$N600,"")</f>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c r="AK601">
        <f>IF(AND(ISNUMBER($N601),$N601&gt;0,ISNUMBER($Y601)),$Y601/$N601,"")</f>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c r="AK602">
        <f>IF(AND(ISNUMBER($N602),$N602&gt;0,ISNUMBER($Y602)),$Y602/$N602,"")</f>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c r="AK603">
        <f>IF(AND(ISNUMBER($N603),$N603&gt;0,ISNUMBER($Y603)),$Y603/$N603,"")</f>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c r="AK604">
        <f>IF(AND(ISNUMBER($N604),$N604&gt;0,ISNUMBER($Y604)),$Y604/$N604,"")</f>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c r="AK605">
        <f>IF(AND(ISNUMBER($N605),$N605&gt;0,ISNUMBER($Y605)),$Y605/$N605,"")</f>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c r="AK606">
        <f>IF(AND(ISNUMBER($N606),$N606&gt;0,ISNUMBER($Y606)),$Y606/$N606,"")</f>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c r="AK607">
        <f>IF(AND(ISNUMBER($N607),$N607&gt;0,ISNUMBER($Y607)),$Y607/$N607,"")</f>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c r="AK608">
        <f>IF(AND(ISNUMBER($N608),$N608&gt;0,ISNUMBER($Y608)),$Y608/$N608,"")</f>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c r="AK609">
        <f>IF(AND(ISNUMBER($N609),$N609&gt;0,ISNUMBER($Y609)),$Y609/$N609,"")</f>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c r="AK610">
        <f>IF(AND(ISNUMBER($N610),$N610&gt;0,ISNUMBER($Y610)),$Y610/$N610,"")</f>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c r="AK611">
        <f>IF(AND(ISNUMBER($N611),$N611&gt;0,ISNUMBER($Y611)),$Y611/$N611,"")</f>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c r="AK612">
        <f>IF(AND(ISNUMBER($N612),$N612&gt;0,ISNUMBER($Y612)),$Y612/$N612,"")</f>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c r="AK613">
        <f>IF(AND(ISNUMBER($N613),$N613&gt;0,ISNUMBER($Y613)),$Y613/$N613,"")</f>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c r="AK614">
        <f>IF(AND(ISNUMBER($N614),$N614&gt;0,ISNUMBER($Y614)),$Y614/$N614,"")</f>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c r="AK615">
        <f>IF(AND(ISNUMBER($N615),$N615&gt;0,ISNUMBER($Y615)),$Y615/$N615,"")</f>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c r="AK616">
        <f>IF(AND(ISNUMBER($N616),$N616&gt;0,ISNUMBER($Y616)),$Y616/$N616,"")</f>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c r="AK617">
        <f>IF(AND(ISNUMBER($N617),$N617&gt;0,ISNUMBER($Y617)),$Y617/$N617,"")</f>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c r="AK618">
        <f>IF(AND(ISNUMBER($N618),$N618&gt;0,ISNUMBER($Y618)),$Y618/$N618,"")</f>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c r="AK619">
        <f>IF(AND(ISNUMBER($N619),$N619&gt;0,ISNUMBER($Y619)),$Y619/$N619,"")</f>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c r="AK620">
        <f>IF(AND(ISNUMBER($N620),$N620&gt;0,ISNUMBER($Y620)),$Y620/$N620,"")</f>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c r="AK621">
        <f>IF(AND(ISNUMBER($N621),$N621&gt;0,ISNUMBER($Y621)),$Y621/$N621,"")</f>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c r="AK622">
        <f>IF(AND(ISNUMBER($N622),$N622&gt;0,ISNUMBER($Y622)),$Y622/$N622,"")</f>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c r="AK623">
        <f>IF(AND(ISNUMBER($N623),$N623&gt;0,ISNUMBER($Y623)),$Y623/$N623,"")</f>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c r="AK624">
        <f>IF(AND(ISNUMBER($N624),$N624&gt;0,ISNUMBER($Y624)),$Y624/$N624,"")</f>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c r="AK625">
        <f>IF(AND(ISNUMBER($N625),$N625&gt;0,ISNUMBER($Y625)),$Y625/$N625,"")</f>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c r="AK626">
        <f>IF(AND(ISNUMBER($N626),$N626&gt;0,ISNUMBER($Y626)),$Y626/$N626,"")</f>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c r="AK627">
        <f>IF(AND(ISNUMBER($N627),$N627&gt;0,ISNUMBER($Y627)),$Y627/$N627,"")</f>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c r="AK628">
        <f>IF(AND(ISNUMBER($N628),$N628&gt;0,ISNUMBER($Y628)),$Y628/$N628,"")</f>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c r="AK629">
        <f>IF(AND(ISNUMBER($N629),$N629&gt;0,ISNUMBER($Y629)),$Y629/$N629,"")</f>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c r="AK630">
        <f>IF(AND(ISNUMBER($N630),$N630&gt;0,ISNUMBER($Y630)),$Y630/$N630,"")</f>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c r="AK631">
        <f>IF(AND(ISNUMBER($N631),$N631&gt;0,ISNUMBER($Y631)),$Y631/$N631,"")</f>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c r="AK632">
        <f>IF(AND(ISNUMBER($N632),$N632&gt;0,ISNUMBER($Y632)),$Y632/$N632,"")</f>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c r="AK633">
        <f>IF(AND(ISNUMBER($N633),$N633&gt;0,ISNUMBER($Y633)),$Y633/$N633,"")</f>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c r="AK634">
        <f>IF(AND(ISNUMBER($N634),$N634&gt;0,ISNUMBER($Y634)),$Y634/$N634,"")</f>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c r="AK635">
        <f>IF(AND(ISNUMBER($N635),$N635&gt;0,ISNUMBER($Y635)),$Y635/$N635,"")</f>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c r="AK636">
        <f>IF(AND(ISNUMBER($N636),$N636&gt;0,ISNUMBER($Y636)),$Y636/$N636,"")</f>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c r="AK637">
        <f>IF(AND(ISNUMBER($N637),$N637&gt;0,ISNUMBER($Y637)),$Y637/$N637,"")</f>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c r="AK638">
        <f>IF(AND(ISNUMBER($N638),$N638&gt;0,ISNUMBER($Y638)),$Y638/$N638,"")</f>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c r="AK639">
        <f>IF(AND(ISNUMBER($N639),$N639&gt;0,ISNUMBER($Y639)),$Y639/$N639,"")</f>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c r="AK640">
        <f>IF(AND(ISNUMBER($N640),$N640&gt;0,ISNUMBER($Y640)),$Y640/$N640,"")</f>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c r="AK641">
        <f>IF(AND(ISNUMBER($N641),$N641&gt;0,ISNUMBER($Y641)),$Y641/$N641,"")</f>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c r="AK642">
        <f>IF(AND(ISNUMBER($N642),$N642&gt;0,ISNUMBER($Y642)),$Y642/$N642,"")</f>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c r="AK643">
        <f>IF(AND(ISNUMBER($N643),$N643&gt;0,ISNUMBER($Y643)),$Y643/$N643,"")</f>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c r="AK644">
        <f>IF(AND(ISNUMBER($N644),$N644&gt;0,ISNUMBER($Y644)),$Y644/$N644,"")</f>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c r="AK645">
        <f>IF(AND(ISNUMBER($N645),$N645&gt;0,ISNUMBER($Y645)),$Y645/$N645,"")</f>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c r="AK646">
        <f>IF(AND(ISNUMBER($N646),$N646&gt;0,ISNUMBER($Y646)),$Y646/$N646,"")</f>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c r="AK647">
        <f>IF(AND(ISNUMBER($N647),$N647&gt;0,ISNUMBER($Y647)),$Y647/$N647,"")</f>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c r="AK648">
        <f>IF(AND(ISNUMBER($N648),$N648&gt;0,ISNUMBER($Y648)),$Y648/$N648,"")</f>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c r="AK649">
        <f>IF(AND(ISNUMBER($N649),$N649&gt;0,ISNUMBER($Y649)),$Y649/$N649,"")</f>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c r="AK650">
        <f>IF(AND(ISNUMBER($N650),$N650&gt;0,ISNUMBER($Y650)),$Y650/$N650,"")</f>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c r="AK651">
        <f>IF(AND(ISNUMBER($N651),$N651&gt;0,ISNUMBER($Y651)),$Y651/$N651,"")</f>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c r="AK652">
        <f>IF(AND(ISNUMBER($N652),$N652&gt;0,ISNUMBER($Y652)),$Y652/$N652,"")</f>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c r="AK653">
        <f>IF(AND(ISNUMBER($N653),$N653&gt;0,ISNUMBER($Y653)),$Y653/$N653,"")</f>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c r="AK654">
        <f>IF(AND(ISNUMBER($N654),$N654&gt;0,ISNUMBER($Y654)),$Y654/$N654,"")</f>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c r="AK655">
        <f>IF(AND(ISNUMBER($N655),$N655&gt;0,ISNUMBER($Y655)),$Y655/$N655,"")</f>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c r="AK656">
        <f>IF(AND(ISNUMBER($N656),$N656&gt;0,ISNUMBER($Y656)),$Y656/$N656,"")</f>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c r="AK657">
        <f>IF(AND(ISNUMBER($N657),$N657&gt;0,ISNUMBER($Y657)),$Y657/$N657,"")</f>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c r="AK658">
        <f>IF(AND(ISNUMBER($N658),$N658&gt;0,ISNUMBER($Y658)),$Y658/$N658,"")</f>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c r="AK659">
        <f>IF(AND(ISNUMBER($N659),$N659&gt;0,ISNUMBER($Y659)),$Y659/$N659,"")</f>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c r="AK660">
        <f>IF(AND(ISNUMBER($N660),$N660&gt;0,ISNUMBER($Y660)),$Y660/$N660,"")</f>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c r="AK661">
        <f>IF(AND(ISNUMBER($N661),$N661&gt;0,ISNUMBER($Y661)),$Y661/$N661,"")</f>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c r="AK662">
        <f>IF(AND(ISNUMBER($N662),$N662&gt;0,ISNUMBER($Y662)),$Y662/$N662,"")</f>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c r="AK663">
        <f>IF(AND(ISNUMBER($N663),$N663&gt;0,ISNUMBER($Y663)),$Y663/$N663,"")</f>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c r="AK664">
        <f>IF(AND(ISNUMBER($N664),$N664&gt;0,ISNUMBER($Y664)),$Y664/$N664,"")</f>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c r="AK665">
        <f>IF(AND(ISNUMBER($N665),$N665&gt;0,ISNUMBER($Y665)),$Y665/$N665,"")</f>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c r="AK666">
        <f>IF(AND(ISNUMBER($N666),$N666&gt;0,ISNUMBER($Y666)),$Y666/$N666,"")</f>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c r="AK667">
        <f>IF(AND(ISNUMBER($N667),$N667&gt;0,ISNUMBER($Y667)),$Y667/$N667,"")</f>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c r="AK668">
        <f>IF(AND(ISNUMBER($N668),$N668&gt;0,ISNUMBER($Y668)),$Y668/$N668,"")</f>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c r="AK669">
        <f>IF(AND(ISNUMBER($N669),$N669&gt;0,ISNUMBER($Y669)),$Y669/$N669,"")</f>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c r="AK670">
        <f>IF(AND(ISNUMBER($N670),$N670&gt;0,ISNUMBER($Y670)),$Y670/$N670,"")</f>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c r="AK671">
        <f>IF(AND(ISNUMBER($N671),$N671&gt;0,ISNUMBER($Y671)),$Y671/$N671,"")</f>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c r="AK672">
        <f>IF(AND(ISNUMBER($N672),$N672&gt;0,ISNUMBER($Y672)),$Y672/$N672,"")</f>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c r="AK673">
        <f>IF(AND(ISNUMBER($N673),$N673&gt;0,ISNUMBER($Y673)),$Y673/$N673,"")</f>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c r="AK674">
        <f>IF(AND(ISNUMBER($N674),$N674&gt;0,ISNUMBER($Y674)),$Y674/$N674,"")</f>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c r="AK675">
        <f>IF(AND(ISNUMBER($N675),$N675&gt;0,ISNUMBER($Y675)),$Y675/$N675,"")</f>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c r="AK676">
        <f>IF(AND(ISNUMBER($N676),$N676&gt;0,ISNUMBER($Y676)),$Y676/$N676,"")</f>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c r="AK677">
        <f>IF(AND(ISNUMBER($N677),$N677&gt;0,ISNUMBER($Y677)),$Y677/$N677,"")</f>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c r="AK678">
        <f>IF(AND(ISNUMBER($N678),$N678&gt;0,ISNUMBER($Y678)),$Y678/$N678,"")</f>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c r="AK679">
        <f>IF(AND(ISNUMBER($N679),$N679&gt;0,ISNUMBER($Y679)),$Y679/$N679,"")</f>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c r="AK680">
        <f>IF(AND(ISNUMBER($N680),$N680&gt;0,ISNUMBER($Y680)),$Y680/$N680,"")</f>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c r="AK681">
        <f>IF(AND(ISNUMBER($N681),$N681&gt;0,ISNUMBER($Y681)),$Y681/$N681,"")</f>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c r="AK682">
        <f>IF(AND(ISNUMBER($N682),$N682&gt;0,ISNUMBER($Y682)),$Y682/$N682,"")</f>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c r="AK683">
        <f>IF(AND(ISNUMBER($N683),$N683&gt;0,ISNUMBER($Y683)),$Y683/$N683,"")</f>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c r="AK684">
        <f>IF(AND(ISNUMBER($N684),$N684&gt;0,ISNUMBER($Y684)),$Y684/$N684,"")</f>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c r="AK685">
        <f>IF(AND(ISNUMBER($N685),$N685&gt;0,ISNUMBER($Y685)),$Y685/$N685,"")</f>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c r="AK686">
        <f>IF(AND(ISNUMBER($N686),$N686&gt;0,ISNUMBER($Y686)),$Y686/$N686,"")</f>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c r="AK687">
        <f>IF(AND(ISNUMBER($N687),$N687&gt;0,ISNUMBER($Y687)),$Y687/$N687,"")</f>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c r="AK688">
        <f>IF(AND(ISNUMBER($N688),$N688&gt;0,ISNUMBER($Y688)),$Y688/$N688,"")</f>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c r="AK689">
        <f>IF(AND(ISNUMBER($N689),$N689&gt;0,ISNUMBER($Y689)),$Y689/$N689,"")</f>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c r="AK690">
        <f>IF(AND(ISNUMBER($N690),$N690&gt;0,ISNUMBER($Y690)),$Y690/$N690,"")</f>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c r="AK691">
        <f>IF(AND(ISNUMBER($N691),$N691&gt;0,ISNUMBER($Y691)),$Y691/$N691,"")</f>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c r="AK692">
        <f>IF(AND(ISNUMBER($N692),$N692&gt;0,ISNUMBER($Y692)),$Y692/$N692,"")</f>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c r="AK693">
        <f>IF(AND(ISNUMBER($N693),$N693&gt;0,ISNUMBER($Y693)),$Y693/$N693,"")</f>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c r="AK694">
        <f>IF(AND(ISNUMBER($N694),$N694&gt;0,ISNUMBER($Y694)),$Y694/$N694,"")</f>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c r="AK695">
        <f>IF(AND(ISNUMBER($N695),$N695&gt;0,ISNUMBER($Y695)),$Y695/$N695,"")</f>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c r="AK696">
        <f>IF(AND(ISNUMBER($N696),$N696&gt;0,ISNUMBER($Y696)),$Y696/$N696,"")</f>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c r="AK697">
        <f>IF(AND(ISNUMBER($N697),$N697&gt;0,ISNUMBER($Y697)),$Y697/$N697,"")</f>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c r="AK698">
        <f>IF(AND(ISNUMBER($N698),$N698&gt;0,ISNUMBER($Y698)),$Y698/$N698,"")</f>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c r="AK699">
        <f>IF(AND(ISNUMBER($N699),$N699&gt;0,ISNUMBER($Y699)),$Y699/$N699,"")</f>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c r="AK700">
        <f>IF(AND(ISNUMBER($N700),$N700&gt;0,ISNUMBER($Y700)),$Y700/$N700,"")</f>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c r="AK701">
        <f>IF(AND(ISNUMBER($N701),$N701&gt;0,ISNUMBER($Y701)),$Y701/$N701,"")</f>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c r="AK702">
        <f>IF(AND(ISNUMBER($N702),$N702&gt;0,ISNUMBER($Y702)),$Y702/$N702,"")</f>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c r="AK703">
        <f>IF(AND(ISNUMBER($N703),$N703&gt;0,ISNUMBER($Y703)),$Y703/$N703,"")</f>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c r="AK704">
        <f>IF(AND(ISNUMBER($N704),$N704&gt;0,ISNUMBER($Y704)),$Y704/$N704,"")</f>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c r="AK705">
        <f>IF(AND(ISNUMBER($N705),$N705&gt;0,ISNUMBER($Y705)),$Y705/$N705,"")</f>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c r="AK706">
        <f>IF(AND(ISNUMBER($N706),$N706&gt;0,ISNUMBER($Y706)),$Y706/$N706,"")</f>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c r="AK707">
        <f>IF(AND(ISNUMBER($N707),$N707&gt;0,ISNUMBER($Y707)),$Y707/$N707,"")</f>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c r="AK708">
        <f>IF(AND(ISNUMBER($N708),$N708&gt;0,ISNUMBER($Y708)),$Y708/$N708,"")</f>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c r="AK709">
        <f>IF(AND(ISNUMBER($N709),$N709&gt;0,ISNUMBER($Y709)),$Y709/$N709,"")</f>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c r="AK710">
        <f>IF(AND(ISNUMBER($N710),$N710&gt;0,ISNUMBER($Y710)),$Y710/$N710,"")</f>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c r="AK711">
        <f>IF(AND(ISNUMBER($N711),$N711&gt;0,ISNUMBER($Y711)),$Y711/$N711,"")</f>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c r="AK712">
        <f>IF(AND(ISNUMBER($N712),$N712&gt;0,ISNUMBER($Y712)),$Y712/$N712,"")</f>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c r="AK713">
        <f>IF(AND(ISNUMBER($N713),$N713&gt;0,ISNUMBER($Y713)),$Y713/$N713,"")</f>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c r="AK714">
        <f>IF(AND(ISNUMBER($N714),$N714&gt;0,ISNUMBER($Y714)),$Y714/$N714,"")</f>
      </c>
    </row>
    <row r="715" spans="1:36" ht="15" customHeight="1">
      <c r="A715" s="62">
        <v>8</v>
      </c>
      <c r="B715" s="59">
        <v>711</v>
      </c>
      <c r="AI715" t="e">
        <f t="shared" si="46"/>
        <v>#N/A</v>
      </c>
      <c r="AJ715" t="e">
        <f t="shared" si="47"/>
        <v>#N/A</v>
      </c>
      <c r="AK715">
        <f>IF(AND(ISNUMBER($N715),$N715&gt;0,ISNUMBER($Y715)),$Y715/$N715,"")</f>
      </c>
    </row>
    <row r="716" spans="1:36" ht="15" customHeight="1">
      <c r="A716" s="62">
        <v>8</v>
      </c>
      <c r="B716" s="59">
        <v>712</v>
      </c>
      <c r="AI716" t="e">
        <f t="shared" si="46"/>
        <v>#N/A</v>
      </c>
      <c r="AJ716" t="e">
        <f t="shared" si="47"/>
        <v>#N/A</v>
      </c>
      <c r="AK716">
        <f>IF(AND(ISNUMBER($N716),$N716&gt;0,ISNUMBER($Y716)),$Y716/$N716,"")</f>
      </c>
    </row>
    <row r="717" spans="1:36" ht="15" customHeight="1">
      <c r="A717" s="62">
        <v>8</v>
      </c>
      <c r="B717" s="59">
        <v>713</v>
      </c>
      <c r="AI717" t="e">
        <f t="shared" si="46"/>
        <v>#N/A</v>
      </c>
      <c r="AJ717" t="e">
        <f t="shared" si="47"/>
        <v>#N/A</v>
      </c>
      <c r="AK717">
        <f>IF(AND(ISNUMBER($N717),$N717&gt;0,ISNUMBER($Y717)),$Y717/$N717,"")</f>
      </c>
    </row>
    <row r="718" spans="1:36" ht="15" customHeight="1">
      <c r="A718" s="62">
        <v>8</v>
      </c>
      <c r="B718" s="59">
        <v>714</v>
      </c>
      <c r="AI718" t="e">
        <f t="shared" si="46"/>
        <v>#N/A</v>
      </c>
      <c r="AJ718" t="e">
        <f t="shared" si="47"/>
        <v>#N/A</v>
      </c>
      <c r="AK718">
        <f>IF(AND(ISNUMBER($N718),$N718&gt;0,ISNUMBER($Y718)),$Y718/$N718,"")</f>
      </c>
    </row>
    <row r="719" spans="1:36" ht="15" customHeight="1">
      <c r="A719" s="62">
        <v>8</v>
      </c>
      <c r="B719" s="59">
        <v>715</v>
      </c>
      <c r="AI719" t="e">
        <f t="shared" si="46"/>
        <v>#N/A</v>
      </c>
      <c r="AJ719" t="e">
        <f t="shared" si="47"/>
        <v>#N/A</v>
      </c>
      <c r="AK719">
        <f>IF(AND(ISNUMBER($N719),$N719&gt;0,ISNUMBER($Y719)),$Y719/$N719,"")</f>
      </c>
    </row>
    <row r="720" spans="1:36" ht="15" customHeight="1">
      <c r="A720" s="62">
        <v>8</v>
      </c>
      <c r="B720" s="59">
        <v>716</v>
      </c>
      <c r="AI720" t="e">
        <f t="shared" si="46"/>
        <v>#N/A</v>
      </c>
      <c r="AJ720" t="e">
        <f t="shared" si="47"/>
        <v>#N/A</v>
      </c>
      <c r="AK720">
        <f>IF(AND(ISNUMBER($N720),$N720&gt;0,ISNUMBER($Y720)),$Y720/$N720,"")</f>
      </c>
    </row>
    <row r="721" spans="1:36" ht="15" customHeight="1">
      <c r="A721" s="62">
        <v>8</v>
      </c>
      <c r="B721" s="59">
        <v>717</v>
      </c>
      <c r="AI721" t="e">
        <f t="shared" si="46"/>
        <v>#N/A</v>
      </c>
      <c r="AJ721" t="e">
        <f t="shared" si="47"/>
        <v>#N/A</v>
      </c>
      <c r="AK721">
        <f>IF(AND(ISNUMBER($N721),$N721&gt;0,ISNUMBER($Y721)),$Y721/$N721,"")</f>
      </c>
    </row>
    <row r="722" spans="1:36" ht="15" customHeight="1">
      <c r="A722" s="62">
        <v>8</v>
      </c>
      <c r="B722" s="59">
        <v>718</v>
      </c>
      <c r="AI722" t="e">
        <f t="shared" si="46"/>
        <v>#N/A</v>
      </c>
      <c r="AJ722" t="e">
        <f t="shared" si="47"/>
        <v>#N/A</v>
      </c>
      <c r="AK722">
        <f>IF(AND(ISNUMBER($N722),$N722&gt;0,ISNUMBER($Y722)),$Y722/$N722,"")</f>
      </c>
    </row>
    <row r="723" spans="1:36" ht="15" customHeight="1">
      <c r="A723" s="62">
        <v>8</v>
      </c>
      <c r="B723" s="59">
        <v>719</v>
      </c>
      <c r="AI723" t="e">
        <f t="shared" si="46"/>
        <v>#N/A</v>
      </c>
      <c r="AJ723" t="e">
        <f t="shared" si="47"/>
        <v>#N/A</v>
      </c>
      <c r="AK723">
        <f>IF(AND(ISNUMBER($N723),$N723&gt;0,ISNUMBER($Y723)),$Y723/$N723,"")</f>
      </c>
    </row>
    <row r="724" spans="1:36" ht="15" customHeight="1">
      <c r="A724" s="62">
        <v>8</v>
      </c>
      <c r="B724" s="59">
        <v>720</v>
      </c>
      <c r="AI724" t="e">
        <f t="shared" si="46"/>
        <v>#N/A</v>
      </c>
      <c r="AJ724" t="e">
        <f t="shared" si="47"/>
        <v>#N/A</v>
      </c>
      <c r="AK724">
        <f>IF(AND(ISNUMBER($N724),$N724&gt;0,ISNUMBER($Y724)),$Y724/$N724,"")</f>
      </c>
    </row>
    <row r="725" spans="1:36" ht="15" customHeight="1">
      <c r="A725" s="62">
        <v>8</v>
      </c>
      <c r="B725" s="59">
        <v>721</v>
      </c>
      <c r="AI725" t="e">
        <f t="shared" si="46"/>
        <v>#N/A</v>
      </c>
      <c r="AJ725" t="e">
        <f t="shared" si="47"/>
        <v>#N/A</v>
      </c>
      <c r="AK725">
        <f>IF(AND(ISNUMBER($N725),$N725&gt;0,ISNUMBER($Y725)),$Y725/$N725,"")</f>
      </c>
    </row>
    <row r="726" spans="1:36" ht="15" customHeight="1">
      <c r="A726" s="62">
        <v>8</v>
      </c>
      <c r="B726" s="59">
        <v>722</v>
      </c>
      <c r="AI726" t="e">
        <f t="shared" si="46"/>
        <v>#N/A</v>
      </c>
      <c r="AJ726" t="e">
        <f t="shared" si="47"/>
        <v>#N/A</v>
      </c>
      <c r="AK726">
        <f>IF(AND(ISNUMBER($N726),$N726&gt;0,ISNUMBER($Y726)),$Y726/$N726,"")</f>
      </c>
    </row>
    <row r="727" spans="1:36" ht="15" customHeight="1">
      <c r="A727" s="62">
        <v>8</v>
      </c>
      <c r="B727" s="59">
        <v>723</v>
      </c>
      <c r="AI727" t="e">
        <f t="shared" si="46"/>
        <v>#N/A</v>
      </c>
      <c r="AJ727" t="e">
        <f t="shared" si="47"/>
        <v>#N/A</v>
      </c>
      <c r="AK727">
        <f>IF(AND(ISNUMBER($N727),$N727&gt;0,ISNUMBER($Y727)),$Y727/$N727,"")</f>
      </c>
    </row>
    <row r="728" spans="1:36" ht="15" customHeight="1">
      <c r="A728" s="62">
        <v>8</v>
      </c>
      <c r="B728" s="59">
        <v>724</v>
      </c>
      <c r="AI728" t="e">
        <f t="shared" si="46"/>
        <v>#N/A</v>
      </c>
      <c r="AJ728" t="e">
        <f t="shared" si="47"/>
        <v>#N/A</v>
      </c>
      <c r="AK728">
        <f>IF(AND(ISNUMBER($N728),$N728&gt;0,ISNUMBER($Y728)),$Y728/$N728,"")</f>
      </c>
    </row>
    <row r="729" spans="1:36" ht="15" customHeight="1">
      <c r="A729" s="62">
        <v>8</v>
      </c>
      <c r="B729" s="59">
        <v>725</v>
      </c>
      <c r="AI729" t="e">
        <f t="shared" si="46"/>
        <v>#N/A</v>
      </c>
      <c r="AJ729" t="e">
        <f t="shared" si="47"/>
        <v>#N/A</v>
      </c>
      <c r="AK729">
        <f>IF(AND(ISNUMBER($N729),$N729&gt;0,ISNUMBER($Y729)),$Y729/$N729,"")</f>
      </c>
    </row>
    <row r="730" spans="1:36" ht="15" customHeight="1">
      <c r="A730" s="62">
        <v>8</v>
      </c>
      <c r="B730" s="59">
        <v>726</v>
      </c>
      <c r="AI730" t="e">
        <f t="shared" si="46"/>
        <v>#N/A</v>
      </c>
      <c r="AJ730" t="e">
        <f t="shared" si="47"/>
        <v>#N/A</v>
      </c>
      <c r="AK730">
        <f>IF(AND(ISNUMBER($N730),$N730&gt;0,ISNUMBER($Y730)),$Y730/$N730,"")</f>
      </c>
    </row>
    <row r="731" spans="1:36" ht="15" customHeight="1">
      <c r="A731" s="62">
        <v>8</v>
      </c>
      <c r="B731" s="59">
        <v>727</v>
      </c>
      <c r="AI731" t="e">
        <f t="shared" si="46"/>
        <v>#N/A</v>
      </c>
      <c r="AJ731" t="e">
        <f t="shared" si="47"/>
        <v>#N/A</v>
      </c>
      <c r="AK731">
        <f>IF(AND(ISNUMBER($N731),$N731&gt;0,ISNUMBER($Y731)),$Y731/$N731,"")</f>
      </c>
    </row>
    <row r="732" spans="1:36" ht="15" customHeight="1">
      <c r="A732" s="62">
        <v>8</v>
      </c>
      <c r="B732" s="59">
        <v>728</v>
      </c>
      <c r="AI732" t="e">
        <f t="shared" si="46"/>
        <v>#N/A</v>
      </c>
      <c r="AJ732" t="e">
        <f t="shared" si="47"/>
        <v>#N/A</v>
      </c>
      <c r="AK732">
        <f>IF(AND(ISNUMBER($N732),$N732&gt;0,ISNUMBER($Y732)),$Y732/$N732,"")</f>
      </c>
    </row>
    <row r="733" spans="1:36" ht="15" customHeight="1">
      <c r="A733" s="62">
        <v>8</v>
      </c>
      <c r="B733" s="59">
        <v>729</v>
      </c>
      <c r="AI733" t="e">
        <f t="shared" si="46"/>
        <v>#N/A</v>
      </c>
      <c r="AJ733" t="e">
        <f t="shared" si="47"/>
        <v>#N/A</v>
      </c>
      <c r="AK733">
        <f>IF(AND(ISNUMBER($N733),$N733&gt;0,ISNUMBER($Y733)),$Y733/$N733,"")</f>
      </c>
    </row>
    <row r="734" spans="1:36" ht="15" customHeight="1">
      <c r="A734" s="62">
        <v>8</v>
      </c>
      <c r="B734" s="59">
        <v>730</v>
      </c>
      <c r="AI734" t="e">
        <f t="shared" si="46"/>
        <v>#N/A</v>
      </c>
      <c r="AJ734" t="e">
        <f t="shared" si="47"/>
        <v>#N/A</v>
      </c>
      <c r="AK734">
        <f>IF(AND(ISNUMBER($N734),$N734&gt;0,ISNUMBER($Y734)),$Y734/$N734,"")</f>
      </c>
    </row>
    <row r="735" spans="1:36" ht="15" customHeight="1">
      <c r="A735" s="62">
        <v>8</v>
      </c>
      <c r="B735" s="59">
        <v>731</v>
      </c>
      <c r="AI735" t="e">
        <f t="shared" si="46"/>
        <v>#N/A</v>
      </c>
      <c r="AJ735" t="e">
        <f t="shared" si="47"/>
        <v>#N/A</v>
      </c>
      <c r="AK735">
        <f>IF(AND(ISNUMBER($N735),$N735&gt;0,ISNUMBER($Y735)),$Y735/$N735,"")</f>
      </c>
    </row>
    <row r="736" spans="1:36" ht="15" customHeight="1">
      <c r="A736" s="62">
        <v>8</v>
      </c>
      <c r="B736" s="59">
        <v>732</v>
      </c>
      <c r="AI736" t="e">
        <f t="shared" si="46"/>
        <v>#N/A</v>
      </c>
      <c r="AJ736" t="e">
        <f t="shared" si="47"/>
        <v>#N/A</v>
      </c>
      <c r="AK736">
        <f>IF(AND(ISNUMBER($N736),$N736&gt;0,ISNUMBER($Y736)),$Y736/$N736,"")</f>
      </c>
    </row>
    <row r="737" spans="1:36" ht="15" customHeight="1">
      <c r="A737" s="62">
        <v>8</v>
      </c>
      <c r="B737" s="59">
        <v>733</v>
      </c>
      <c r="AI737" t="e">
        <f t="shared" si="46"/>
        <v>#N/A</v>
      </c>
      <c r="AJ737" t="e">
        <f t="shared" si="47"/>
        <v>#N/A</v>
      </c>
      <c r="AK737">
        <f>IF(AND(ISNUMBER($N737),$N737&gt;0,ISNUMBER($Y737)),$Y737/$N737,"")</f>
      </c>
    </row>
    <row r="738" spans="1:36" ht="15" customHeight="1">
      <c r="A738" s="62">
        <v>8</v>
      </c>
      <c r="B738" s="59">
        <v>734</v>
      </c>
      <c r="AI738" t="e">
        <f t="shared" si="46"/>
        <v>#N/A</v>
      </c>
      <c r="AJ738" t="e">
        <f t="shared" si="47"/>
        <v>#N/A</v>
      </c>
      <c r="AK738">
        <f>IF(AND(ISNUMBER($N738),$N738&gt;0,ISNUMBER($Y738)),$Y738/$N738,"")</f>
      </c>
    </row>
    <row r="739" spans="1:36" ht="15" customHeight="1">
      <c r="A739" s="62">
        <v>8</v>
      </c>
      <c r="B739" s="59">
        <v>735</v>
      </c>
      <c r="AI739" t="e">
        <f t="shared" si="46"/>
        <v>#N/A</v>
      </c>
      <c r="AJ739" t="e">
        <f t="shared" si="47"/>
        <v>#N/A</v>
      </c>
      <c r="AK739">
        <f>IF(AND(ISNUMBER($N739),$N739&gt;0,ISNUMBER($Y739)),$Y739/$N739,"")</f>
      </c>
    </row>
    <row r="740" spans="1:36" ht="15" customHeight="1">
      <c r="A740" s="62">
        <v>8</v>
      </c>
      <c r="B740" s="59">
        <v>736</v>
      </c>
      <c r="AI740" t="e">
        <f t="shared" si="46"/>
        <v>#N/A</v>
      </c>
      <c r="AJ740" t="e">
        <f t="shared" si="47"/>
        <v>#N/A</v>
      </c>
      <c r="AK740">
        <f>IF(AND(ISNUMBER($N740),$N740&gt;0,ISNUMBER($Y740)),$Y740/$N740,"")</f>
      </c>
    </row>
    <row r="741" spans="1:36" ht="15" customHeight="1">
      <c r="A741" s="62">
        <v>8</v>
      </c>
      <c r="B741" s="59">
        <v>737</v>
      </c>
      <c r="AI741" t="e">
        <f t="shared" si="46"/>
        <v>#N/A</v>
      </c>
      <c r="AJ741" t="e">
        <f t="shared" si="47"/>
        <v>#N/A</v>
      </c>
      <c r="AK741">
        <f>IF(AND(ISNUMBER($N741),$N741&gt;0,ISNUMBER($Y741)),$Y741/$N741,"")</f>
      </c>
    </row>
    <row r="742" spans="1:36" ht="15" customHeight="1">
      <c r="A742" s="62">
        <v>8</v>
      </c>
      <c r="B742" s="59">
        <v>738</v>
      </c>
      <c r="AI742" t="e">
        <f t="shared" si="46"/>
        <v>#N/A</v>
      </c>
      <c r="AJ742" t="e">
        <f t="shared" si="47"/>
        <v>#N/A</v>
      </c>
      <c r="AK742">
        <f>IF(AND(ISNUMBER($N742),$N742&gt;0,ISNUMBER($Y742)),$Y742/$N742,"")</f>
      </c>
    </row>
    <row r="743" spans="1:36" ht="15" customHeight="1">
      <c r="A743" s="62">
        <v>8</v>
      </c>
      <c r="B743" s="59">
        <v>739</v>
      </c>
      <c r="AI743" t="e">
        <f t="shared" si="46"/>
        <v>#N/A</v>
      </c>
      <c r="AJ743" t="e">
        <f t="shared" si="47"/>
        <v>#N/A</v>
      </c>
      <c r="AK743">
        <f>IF(AND(ISNUMBER($N743),$N743&gt;0,ISNUMBER($Y743)),$Y743/$N743,"")</f>
      </c>
    </row>
    <row r="744" spans="1:36" ht="15" customHeight="1">
      <c r="A744" s="62">
        <v>8</v>
      </c>
      <c r="B744" s="59">
        <v>740</v>
      </c>
      <c r="AI744" t="e">
        <f t="shared" si="46"/>
        <v>#N/A</v>
      </c>
      <c r="AJ744" t="e">
        <f t="shared" si="47"/>
        <v>#N/A</v>
      </c>
      <c r="AK744">
        <f>IF(AND(ISNUMBER($N744),$N744&gt;0,ISNUMBER($Y744)),$Y744/$N744,"")</f>
      </c>
    </row>
    <row r="745" spans="1:36" ht="15" customHeight="1">
      <c r="A745" s="62">
        <v>8</v>
      </c>
      <c r="B745" s="59">
        <v>741</v>
      </c>
      <c r="AI745" t="e">
        <f t="shared" si="46"/>
        <v>#N/A</v>
      </c>
      <c r="AJ745" t="e">
        <f t="shared" si="47"/>
        <v>#N/A</v>
      </c>
      <c r="AK745">
        <f>IF(AND(ISNUMBER($N745),$N745&gt;0,ISNUMBER($Y745)),$Y745/$N745,"")</f>
      </c>
    </row>
    <row r="746" spans="1:36" ht="15" customHeight="1">
      <c r="A746" s="62">
        <v>8</v>
      </c>
      <c r="B746" s="59">
        <v>742</v>
      </c>
      <c r="AI746" t="e">
        <f t="shared" si="46"/>
        <v>#N/A</v>
      </c>
      <c r="AJ746" t="e">
        <f t="shared" si="47"/>
        <v>#N/A</v>
      </c>
      <c r="AK746">
        <f>IF(AND(ISNUMBER($N746),$N746&gt;0,ISNUMBER($Y746)),$Y746/$N746,"")</f>
      </c>
    </row>
    <row r="747" spans="1:36" ht="15" customHeight="1">
      <c r="A747" s="62">
        <v>8</v>
      </c>
      <c r="B747" s="59">
        <v>743</v>
      </c>
      <c r="AI747" t="e">
        <f t="shared" si="46"/>
        <v>#N/A</v>
      </c>
      <c r="AJ747" t="e">
        <f t="shared" si="47"/>
        <v>#N/A</v>
      </c>
      <c r="AK747">
        <f>IF(AND(ISNUMBER($N747),$N747&gt;0,ISNUMBER($Y747)),$Y747/$N747,"")</f>
      </c>
    </row>
    <row r="748" spans="1:36" ht="15" customHeight="1">
      <c r="A748" s="62">
        <v>8</v>
      </c>
      <c r="B748" s="59">
        <v>744</v>
      </c>
      <c r="AI748" t="e">
        <f t="shared" si="46"/>
        <v>#N/A</v>
      </c>
      <c r="AJ748" t="e">
        <f t="shared" si="47"/>
        <v>#N/A</v>
      </c>
      <c r="AK748">
        <f>IF(AND(ISNUMBER($N748),$N748&gt;0,ISNUMBER($Y748)),$Y748/$N748,"")</f>
      </c>
    </row>
    <row r="749" spans="1:36" ht="15" customHeight="1">
      <c r="A749" s="62">
        <v>8</v>
      </c>
      <c r="B749" s="59">
        <v>745</v>
      </c>
      <c r="AI749" t="e">
        <f t="shared" si="46"/>
        <v>#N/A</v>
      </c>
      <c r="AJ749" t="e">
        <f t="shared" si="47"/>
        <v>#N/A</v>
      </c>
      <c r="AK749">
        <f>IF(AND(ISNUMBER($N749),$N749&gt;0,ISNUMBER($Y749)),$Y749/$N749,"")</f>
      </c>
    </row>
    <row r="750" spans="1:36" ht="15" customHeight="1">
      <c r="A750" s="62">
        <v>8</v>
      </c>
      <c r="B750" s="59">
        <v>746</v>
      </c>
      <c r="AI750" t="e">
        <f t="shared" si="46"/>
        <v>#N/A</v>
      </c>
      <c r="AJ750" t="e">
        <f t="shared" si="47"/>
        <v>#N/A</v>
      </c>
      <c r="AK750">
        <f>IF(AND(ISNUMBER($N750),$N750&gt;0,ISNUMBER($Y750)),$Y750/$N750,"")</f>
      </c>
    </row>
    <row r="751" spans="1:36" ht="15" customHeight="1">
      <c r="A751" s="62">
        <v>8</v>
      </c>
      <c r="B751" s="59">
        <v>747</v>
      </c>
      <c r="AI751" t="e">
        <f t="shared" si="46"/>
        <v>#N/A</v>
      </c>
      <c r="AJ751" t="e">
        <f t="shared" si="47"/>
        <v>#N/A</v>
      </c>
      <c r="AK751">
        <f>IF(AND(ISNUMBER($N751),$N751&gt;0,ISNUMBER($Y751)),$Y751/$N751,"")</f>
      </c>
    </row>
    <row r="752" spans="1:36" ht="15" customHeight="1">
      <c r="A752" s="62">
        <v>8</v>
      </c>
      <c r="B752" s="59">
        <v>748</v>
      </c>
      <c r="AI752" t="e">
        <f t="shared" si="46"/>
        <v>#N/A</v>
      </c>
      <c r="AJ752" t="e">
        <f t="shared" si="47"/>
        <v>#N/A</v>
      </c>
      <c r="AK752">
        <f>IF(AND(ISNUMBER($N752),$N752&gt;0,ISNUMBER($Y752)),$Y752/$N752,"")</f>
      </c>
    </row>
    <row r="753" spans="1:36" ht="15" customHeight="1">
      <c r="A753" s="62">
        <v>8</v>
      </c>
      <c r="B753" s="59">
        <v>749</v>
      </c>
      <c r="AI753" t="e">
        <f t="shared" si="46"/>
        <v>#N/A</v>
      </c>
      <c r="AJ753" t="e">
        <f t="shared" si="47"/>
        <v>#N/A</v>
      </c>
      <c r="AK753">
        <f>IF(AND(ISNUMBER($N753),$N753&gt;0,ISNUMBER($Y753)),$Y753/$N753,"")</f>
      </c>
    </row>
    <row r="754" spans="1:36" ht="15" customHeight="1">
      <c r="A754" s="62">
        <v>8</v>
      </c>
      <c r="B754" s="59">
        <v>750</v>
      </c>
      <c r="AI754" t="e">
        <f t="shared" si="46"/>
        <v>#N/A</v>
      </c>
      <c r="AJ754" t="e">
        <f t="shared" si="47"/>
        <v>#N/A</v>
      </c>
      <c r="AK754">
        <f>IF(AND(ISNUMBER($N754),$N754&gt;0,ISNUMBER($Y754)),$Y754/$N754,"")</f>
      </c>
    </row>
    <row r="755" spans="1:36" ht="15" customHeight="1">
      <c r="A755" s="62">
        <v>8</v>
      </c>
      <c r="B755" s="59">
        <v>751</v>
      </c>
      <c r="AI755" t="e">
        <f t="shared" si="46"/>
        <v>#N/A</v>
      </c>
      <c r="AJ755" t="e">
        <f t="shared" si="47"/>
        <v>#N/A</v>
      </c>
      <c r="AK755">
        <f>IF(AND(ISNUMBER($N755),$N755&gt;0,ISNUMBER($Y755)),$Y755/$N755,"")</f>
      </c>
    </row>
    <row r="756" spans="1:36" ht="15" customHeight="1">
      <c r="A756" s="62">
        <v>8</v>
      </c>
      <c r="B756" s="59">
        <v>752</v>
      </c>
      <c r="AI756" t="e">
        <f t="shared" si="46"/>
        <v>#N/A</v>
      </c>
      <c r="AJ756" t="e">
        <f t="shared" si="47"/>
        <v>#N/A</v>
      </c>
      <c r="AK756">
        <f>IF(AND(ISNUMBER($N756),$N756&gt;0,ISNUMBER($Y756)),$Y756/$N756,"")</f>
      </c>
    </row>
    <row r="757" spans="1:36" ht="15" customHeight="1">
      <c r="A757" s="62">
        <v>8</v>
      </c>
      <c r="B757" s="59">
        <v>753</v>
      </c>
      <c r="AI757" t="e">
        <f t="shared" si="46"/>
        <v>#N/A</v>
      </c>
      <c r="AJ757" t="e">
        <f t="shared" si="47"/>
        <v>#N/A</v>
      </c>
      <c r="AK757">
        <f>IF(AND(ISNUMBER($N757),$N757&gt;0,ISNUMBER($Y757)),$Y757/$N757,"")</f>
      </c>
    </row>
    <row r="758" spans="1:36" ht="15" customHeight="1">
      <c r="A758" s="62">
        <v>8</v>
      </c>
      <c r="B758" s="59">
        <v>754</v>
      </c>
      <c r="AI758" t="e">
        <f t="shared" si="46"/>
        <v>#N/A</v>
      </c>
      <c r="AJ758" t="e">
        <f t="shared" si="47"/>
        <v>#N/A</v>
      </c>
      <c r="AK758">
        <f>IF(AND(ISNUMBER($N758),$N758&gt;0,ISNUMBER($Y758)),$Y758/$N758,"")</f>
      </c>
    </row>
    <row r="759" spans="1:36" ht="15" customHeight="1">
      <c r="A759" s="62">
        <v>8</v>
      </c>
      <c r="B759" s="59">
        <v>755</v>
      </c>
      <c r="AI759" t="e">
        <f t="shared" si="46"/>
        <v>#N/A</v>
      </c>
      <c r="AJ759" t="e">
        <f t="shared" si="47"/>
        <v>#N/A</v>
      </c>
      <c r="AK759">
        <f>IF(AND(ISNUMBER($N759),$N759&gt;0,ISNUMBER($Y759)),$Y759/$N759,"")</f>
      </c>
    </row>
    <row r="760" spans="1:36" ht="15" customHeight="1">
      <c r="A760" s="62">
        <v>8</v>
      </c>
      <c r="B760" s="59">
        <v>756</v>
      </c>
      <c r="AI760" t="e">
        <f t="shared" si="46"/>
        <v>#N/A</v>
      </c>
      <c r="AJ760" t="e">
        <f t="shared" si="47"/>
        <v>#N/A</v>
      </c>
      <c r="AK760">
        <f>IF(AND(ISNUMBER($N760),$N760&gt;0,ISNUMBER($Y760)),$Y760/$N760,"")</f>
      </c>
    </row>
    <row r="761" spans="1:36" ht="15" customHeight="1">
      <c r="A761" s="62">
        <v>8</v>
      </c>
      <c r="B761" s="59">
        <v>757</v>
      </c>
      <c r="AI761" t="e">
        <f t="shared" si="46"/>
        <v>#N/A</v>
      </c>
      <c r="AJ761" t="e">
        <f t="shared" si="47"/>
        <v>#N/A</v>
      </c>
      <c r="AK761">
        <f>IF(AND(ISNUMBER($N761),$N761&gt;0,ISNUMBER($Y761)),$Y761/$N761,"")</f>
      </c>
    </row>
    <row r="762" spans="1:36" ht="15" customHeight="1">
      <c r="A762" s="62">
        <v>8</v>
      </c>
      <c r="B762" s="59">
        <v>758</v>
      </c>
      <c r="AI762" t="e">
        <f t="shared" si="46"/>
        <v>#N/A</v>
      </c>
      <c r="AJ762" t="e">
        <f t="shared" si="47"/>
        <v>#N/A</v>
      </c>
      <c r="AK762">
        <f>IF(AND(ISNUMBER($N762),$N762&gt;0,ISNUMBER($Y762)),$Y762/$N762,"")</f>
      </c>
    </row>
    <row r="763" spans="1:36" ht="15" customHeight="1">
      <c r="A763" s="62">
        <v>8</v>
      </c>
      <c r="B763" s="59">
        <v>759</v>
      </c>
      <c r="AI763" t="e">
        <f t="shared" si="46"/>
        <v>#N/A</v>
      </c>
      <c r="AJ763" t="e">
        <f t="shared" si="47"/>
        <v>#N/A</v>
      </c>
      <c r="AK763">
        <f>IF(AND(ISNUMBER($N763),$N763&gt;0,ISNUMBER($Y763)),$Y763/$N763,"")</f>
      </c>
    </row>
    <row r="764" spans="1:36" ht="15" customHeight="1">
      <c r="A764" s="62">
        <v>8</v>
      </c>
      <c r="B764" s="59">
        <v>760</v>
      </c>
      <c r="AI764" t="e">
        <f t="shared" si="46"/>
        <v>#N/A</v>
      </c>
      <c r="AJ764" t="e">
        <f t="shared" si="47"/>
        <v>#N/A</v>
      </c>
      <c r="AK764">
        <f>IF(AND(ISNUMBER($N764),$N764&gt;0,ISNUMBER($Y764)),$Y764/$N764,"")</f>
      </c>
    </row>
    <row r="765" spans="1:36" ht="15" customHeight="1">
      <c r="A765" s="62">
        <v>8</v>
      </c>
      <c r="B765" s="59">
        <v>761</v>
      </c>
      <c r="AI765" t="e">
        <f t="shared" si="46"/>
        <v>#N/A</v>
      </c>
      <c r="AJ765" t="e">
        <f t="shared" si="47"/>
        <v>#N/A</v>
      </c>
      <c r="AK765">
        <f>IF(AND(ISNUMBER($N765),$N765&gt;0,ISNUMBER($Y765)),$Y765/$N765,"")</f>
      </c>
    </row>
    <row r="766" spans="1:36" ht="15" customHeight="1">
      <c r="A766" s="62">
        <v>8</v>
      </c>
      <c r="B766" s="59">
        <v>762</v>
      </c>
      <c r="AI766" t="e">
        <f t="shared" si="46"/>
        <v>#N/A</v>
      </c>
      <c r="AJ766" t="e">
        <f t="shared" si="47"/>
        <v>#N/A</v>
      </c>
      <c r="AK766">
        <f>IF(AND(ISNUMBER($N766),$N766&gt;0,ISNUMBER($Y766)),$Y766/$N766,"")</f>
      </c>
    </row>
    <row r="767" spans="1:36" ht="15" customHeight="1">
      <c r="A767" s="62">
        <v>8</v>
      </c>
      <c r="B767" s="59">
        <v>763</v>
      </c>
      <c r="AI767" t="e">
        <f t="shared" si="46"/>
        <v>#N/A</v>
      </c>
      <c r="AJ767" t="e">
        <f t="shared" si="47"/>
        <v>#N/A</v>
      </c>
      <c r="AK767">
        <f>IF(AND(ISNUMBER($N767),$N767&gt;0,ISNUMBER($Y767)),$Y767/$N767,"")</f>
      </c>
    </row>
    <row r="768" spans="1:36" ht="15" customHeight="1">
      <c r="A768" s="62">
        <v>8</v>
      </c>
      <c r="B768" s="59">
        <v>764</v>
      </c>
      <c r="AI768" t="e">
        <f t="shared" si="46"/>
        <v>#N/A</v>
      </c>
      <c r="AJ768" t="e">
        <f t="shared" si="47"/>
        <v>#N/A</v>
      </c>
      <c r="AK768">
        <f>IF(AND(ISNUMBER($N768),$N768&gt;0,ISNUMBER($Y768)),$Y768/$N768,"")</f>
      </c>
    </row>
    <row r="769" spans="1:36" ht="15" customHeight="1">
      <c r="A769" s="62">
        <v>8</v>
      </c>
      <c r="B769" s="59">
        <v>765</v>
      </c>
      <c r="AI769" t="e">
        <f t="shared" si="46"/>
        <v>#N/A</v>
      </c>
      <c r="AJ769" t="e">
        <f t="shared" si="47"/>
        <v>#N/A</v>
      </c>
      <c r="AK769">
        <f>IF(AND(ISNUMBER($N769),$N769&gt;0,ISNUMBER($Y769)),$Y769/$N769,"")</f>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c r="AK770">
        <f>IF(AND(ISNUMBER($N770),$N770&gt;0,ISNUMBER($Y770)),$Y770/$N770,"")</f>
      </c>
    </row>
    <row r="771" spans="1:36" ht="15" customHeight="1">
      <c r="A771" s="62">
        <v>8</v>
      </c>
      <c r="B771" s="59">
        <v>767</v>
      </c>
      <c r="AI771" t="e">
        <f t="shared" si="48"/>
        <v>#N/A</v>
      </c>
      <c r="AJ771" t="e">
        <f t="shared" si="49"/>
        <v>#N/A</v>
      </c>
      <c r="AK771">
        <f>IF(AND(ISNUMBER($N771),$N771&gt;0,ISNUMBER($Y771)),$Y771/$N771,"")</f>
      </c>
    </row>
    <row r="772" spans="1:36" ht="15" customHeight="1">
      <c r="A772" s="62">
        <v>8</v>
      </c>
      <c r="B772" s="59">
        <v>768</v>
      </c>
      <c r="AI772" t="e">
        <f t="shared" si="48"/>
        <v>#N/A</v>
      </c>
      <c r="AJ772" t="e">
        <f t="shared" si="49"/>
        <v>#N/A</v>
      </c>
      <c r="AK772">
        <f>IF(AND(ISNUMBER($N772),$N772&gt;0,ISNUMBER($Y772)),$Y772/$N772,"")</f>
      </c>
    </row>
    <row r="773" spans="1:36" ht="15" customHeight="1">
      <c r="A773" s="62">
        <v>8</v>
      </c>
      <c r="B773" s="59">
        <v>769</v>
      </c>
      <c r="AI773" t="e">
        <f t="shared" si="48"/>
        <v>#N/A</v>
      </c>
      <c r="AJ773" t="e">
        <f t="shared" si="49"/>
        <v>#N/A</v>
      </c>
      <c r="AK773">
        <f>IF(AND(ISNUMBER($N773),$N773&gt;0,ISNUMBER($Y773)),$Y773/$N773,"")</f>
      </c>
    </row>
    <row r="774" spans="1:36" ht="15" customHeight="1">
      <c r="A774" s="62">
        <v>8</v>
      </c>
      <c r="B774" s="59">
        <v>770</v>
      </c>
      <c r="AI774" t="e">
        <f t="shared" si="48"/>
        <v>#N/A</v>
      </c>
      <c r="AJ774" t="e">
        <f t="shared" si="49"/>
        <v>#N/A</v>
      </c>
      <c r="AK774">
        <f>IF(AND(ISNUMBER($N774),$N774&gt;0,ISNUMBER($Y774)),$Y774/$N774,"")</f>
      </c>
    </row>
    <row r="775" spans="1:36" ht="15" customHeight="1">
      <c r="A775" s="62">
        <v>8</v>
      </c>
      <c r="B775" s="59">
        <v>771</v>
      </c>
      <c r="AI775" t="e">
        <f t="shared" si="48"/>
        <v>#N/A</v>
      </c>
      <c r="AJ775" t="e">
        <f t="shared" si="49"/>
        <v>#N/A</v>
      </c>
      <c r="AK775">
        <f>IF(AND(ISNUMBER($N775),$N775&gt;0,ISNUMBER($Y775)),$Y775/$N775,"")</f>
      </c>
    </row>
    <row r="776" spans="1:36" ht="15" customHeight="1">
      <c r="A776" s="62">
        <v>8</v>
      </c>
      <c r="B776" s="59">
        <v>772</v>
      </c>
      <c r="AI776" t="e">
        <f t="shared" si="48"/>
        <v>#N/A</v>
      </c>
      <c r="AJ776" t="e">
        <f t="shared" si="49"/>
        <v>#N/A</v>
      </c>
      <c r="AK776">
        <f>IF(AND(ISNUMBER($N776),$N776&gt;0,ISNUMBER($Y776)),$Y776/$N776,"")</f>
      </c>
    </row>
    <row r="777" spans="1:36" ht="15" customHeight="1">
      <c r="A777" s="62">
        <v>8</v>
      </c>
      <c r="B777" s="59">
        <v>773</v>
      </c>
      <c r="AI777" t="e">
        <f t="shared" si="48"/>
        <v>#N/A</v>
      </c>
      <c r="AJ777" t="e">
        <f t="shared" si="49"/>
        <v>#N/A</v>
      </c>
      <c r="AK777">
        <f>IF(AND(ISNUMBER($N777),$N777&gt;0,ISNUMBER($Y777)),$Y777/$N777,"")</f>
      </c>
    </row>
    <row r="778" spans="1:36" ht="15" customHeight="1">
      <c r="A778" s="62">
        <v>8</v>
      </c>
      <c r="B778" s="59">
        <v>774</v>
      </c>
      <c r="AI778" t="e">
        <f t="shared" si="48"/>
        <v>#N/A</v>
      </c>
      <c r="AJ778" t="e">
        <f t="shared" si="49"/>
        <v>#N/A</v>
      </c>
      <c r="AK778">
        <f>IF(AND(ISNUMBER($N778),$N778&gt;0,ISNUMBER($Y778)),$Y778/$N778,"")</f>
      </c>
    </row>
    <row r="779" spans="1:36" ht="15" customHeight="1">
      <c r="A779" s="62">
        <v>8</v>
      </c>
      <c r="B779" s="59">
        <v>775</v>
      </c>
      <c r="AI779" t="e">
        <f t="shared" si="48"/>
        <v>#N/A</v>
      </c>
      <c r="AJ779" t="e">
        <f t="shared" si="49"/>
        <v>#N/A</v>
      </c>
      <c r="AK779">
        <f>IF(AND(ISNUMBER($N779),$N779&gt;0,ISNUMBER($Y779)),$Y779/$N779,"")</f>
      </c>
    </row>
    <row r="780" spans="1:36" ht="15" customHeight="1">
      <c r="A780" s="62">
        <v>8</v>
      </c>
      <c r="B780" s="59">
        <v>776</v>
      </c>
      <c r="AI780" t="e">
        <f t="shared" si="48"/>
        <v>#N/A</v>
      </c>
      <c r="AJ780" t="e">
        <f t="shared" si="49"/>
        <v>#N/A</v>
      </c>
      <c r="AK780">
        <f>IF(AND(ISNUMBER($N780),$N780&gt;0,ISNUMBER($Y780)),$Y780/$N780,"")</f>
      </c>
    </row>
    <row r="781" spans="1:36" ht="15" customHeight="1">
      <c r="A781" s="62">
        <v>8</v>
      </c>
      <c r="B781" s="59">
        <v>777</v>
      </c>
      <c r="AI781" t="e">
        <f t="shared" si="48"/>
        <v>#N/A</v>
      </c>
      <c r="AJ781" t="e">
        <f t="shared" si="49"/>
        <v>#N/A</v>
      </c>
      <c r="AK781">
        <f>IF(AND(ISNUMBER($N781),$N781&gt;0,ISNUMBER($Y781)),$Y781/$N781,"")</f>
      </c>
    </row>
    <row r="782" spans="1:36" ht="15" customHeight="1">
      <c r="A782" s="62">
        <v>8</v>
      </c>
      <c r="B782" s="59">
        <v>778</v>
      </c>
      <c r="AI782" t="e">
        <f t="shared" si="48"/>
        <v>#N/A</v>
      </c>
      <c r="AJ782" t="e">
        <f t="shared" si="49"/>
        <v>#N/A</v>
      </c>
      <c r="AK782">
        <f>IF(AND(ISNUMBER($N782),$N782&gt;0,ISNUMBER($Y782)),$Y782/$N782,"")</f>
      </c>
    </row>
    <row r="783" spans="1:36" ht="15" customHeight="1">
      <c r="A783" s="62">
        <v>8</v>
      </c>
      <c r="B783" s="59">
        <v>779</v>
      </c>
      <c r="AI783" t="e">
        <f t="shared" si="48"/>
        <v>#N/A</v>
      </c>
      <c r="AJ783" t="e">
        <f t="shared" si="49"/>
        <v>#N/A</v>
      </c>
      <c r="AK783">
        <f>IF(AND(ISNUMBER($N783),$N783&gt;0,ISNUMBER($Y783)),$Y783/$N783,"")</f>
      </c>
    </row>
    <row r="784" spans="1:36" ht="15" customHeight="1">
      <c r="A784" s="62">
        <v>8</v>
      </c>
      <c r="B784" s="59">
        <v>780</v>
      </c>
      <c r="AI784" t="e">
        <f t="shared" si="48"/>
        <v>#N/A</v>
      </c>
      <c r="AJ784" t="e">
        <f t="shared" si="49"/>
        <v>#N/A</v>
      </c>
      <c r="AK784">
        <f>IF(AND(ISNUMBER($N784),$N784&gt;0,ISNUMBER($Y784)),$Y784/$N784,"")</f>
      </c>
    </row>
    <row r="785" spans="1:36" ht="15" customHeight="1">
      <c r="A785" s="62">
        <v>8</v>
      </c>
      <c r="B785" s="59">
        <v>781</v>
      </c>
      <c r="AI785" t="e">
        <f t="shared" si="48"/>
        <v>#N/A</v>
      </c>
      <c r="AJ785" t="e">
        <f t="shared" si="49"/>
        <v>#N/A</v>
      </c>
      <c r="AK785">
        <f>IF(AND(ISNUMBER($N785),$N785&gt;0,ISNUMBER($Y785)),$Y785/$N785,"")</f>
      </c>
    </row>
    <row r="786" spans="1:36" ht="15" customHeight="1">
      <c r="A786" s="62">
        <v>8</v>
      </c>
      <c r="B786" s="59">
        <v>782</v>
      </c>
      <c r="AI786" t="e">
        <f t="shared" si="48"/>
        <v>#N/A</v>
      </c>
      <c r="AJ786" t="e">
        <f t="shared" si="49"/>
        <v>#N/A</v>
      </c>
      <c r="AK786">
        <f>IF(AND(ISNUMBER($N786),$N786&gt;0,ISNUMBER($Y786)),$Y786/$N786,"")</f>
      </c>
    </row>
    <row r="787" spans="1:36" ht="15" customHeight="1">
      <c r="A787" s="62">
        <v>8</v>
      </c>
      <c r="B787" s="59">
        <v>783</v>
      </c>
      <c r="AI787" t="e">
        <f t="shared" si="48"/>
        <v>#N/A</v>
      </c>
      <c r="AJ787" t="e">
        <f t="shared" si="49"/>
        <v>#N/A</v>
      </c>
      <c r="AK787">
        <f>IF(AND(ISNUMBER($N787),$N787&gt;0,ISNUMBER($Y787)),$Y787/$N787,"")</f>
      </c>
    </row>
    <row r="788" spans="1:36" ht="15" customHeight="1">
      <c r="A788" s="62">
        <v>8</v>
      </c>
      <c r="B788" s="59">
        <v>784</v>
      </c>
      <c r="AI788" t="e">
        <f t="shared" si="48"/>
        <v>#N/A</v>
      </c>
      <c r="AJ788" t="e">
        <f t="shared" si="49"/>
        <v>#N/A</v>
      </c>
      <c r="AK788">
        <f>IF(AND(ISNUMBER($N788),$N788&gt;0,ISNUMBER($Y788)),$Y788/$N788,"")</f>
      </c>
    </row>
    <row r="789" spans="1:36" ht="15" customHeight="1">
      <c r="A789" s="62">
        <v>8</v>
      </c>
      <c r="B789" s="59">
        <v>785</v>
      </c>
      <c r="AI789" t="e">
        <f t="shared" si="48"/>
        <v>#N/A</v>
      </c>
      <c r="AJ789" t="e">
        <f t="shared" si="49"/>
        <v>#N/A</v>
      </c>
      <c r="AK789">
        <f>IF(AND(ISNUMBER($N789),$N789&gt;0,ISNUMBER($Y789)),$Y789/$N789,"")</f>
      </c>
    </row>
    <row r="790" spans="1:36" ht="15" customHeight="1">
      <c r="A790" s="62">
        <v>8</v>
      </c>
      <c r="B790" s="59">
        <v>786</v>
      </c>
      <c r="AI790" t="e">
        <f t="shared" si="48"/>
        <v>#N/A</v>
      </c>
      <c r="AJ790" t="e">
        <f t="shared" si="49"/>
        <v>#N/A</v>
      </c>
      <c r="AK790">
        <f>IF(AND(ISNUMBER($N790),$N790&gt;0,ISNUMBER($Y790)),$Y790/$N790,"")</f>
      </c>
    </row>
    <row r="791" spans="1:36" ht="15" customHeight="1">
      <c r="A791" s="62">
        <v>8</v>
      </c>
      <c r="B791" s="59">
        <v>787</v>
      </c>
      <c r="AI791" t="e">
        <f t="shared" si="48"/>
        <v>#N/A</v>
      </c>
      <c r="AJ791" t="e">
        <f t="shared" si="49"/>
        <v>#N/A</v>
      </c>
      <c r="AK791">
        <f>IF(AND(ISNUMBER($N791),$N791&gt;0,ISNUMBER($Y791)),$Y791/$N791,"")</f>
      </c>
    </row>
    <row r="792" spans="1:36" ht="15" customHeight="1">
      <c r="A792" s="62">
        <v>8</v>
      </c>
      <c r="B792" s="59">
        <v>788</v>
      </c>
      <c r="AI792" t="e">
        <f t="shared" si="48"/>
        <v>#N/A</v>
      </c>
      <c r="AJ792" t="e">
        <f t="shared" si="49"/>
        <v>#N/A</v>
      </c>
      <c r="AK792">
        <f>IF(AND(ISNUMBER($N792),$N792&gt;0,ISNUMBER($Y792)),$Y792/$N792,"")</f>
      </c>
    </row>
    <row r="793" spans="1:36" ht="15" customHeight="1">
      <c r="A793" s="62">
        <v>8</v>
      </c>
      <c r="B793" s="59">
        <v>789</v>
      </c>
      <c r="AI793" t="e">
        <f t="shared" si="48"/>
        <v>#N/A</v>
      </c>
      <c r="AJ793" t="e">
        <f t="shared" si="49"/>
        <v>#N/A</v>
      </c>
      <c r="AK793">
        <f>IF(AND(ISNUMBER($N793),$N793&gt;0,ISNUMBER($Y793)),$Y793/$N793,"")</f>
      </c>
    </row>
    <row r="794" spans="1:36" ht="15" customHeight="1">
      <c r="A794" s="62">
        <v>8</v>
      </c>
      <c r="B794" s="59">
        <v>790</v>
      </c>
      <c r="AI794" t="e">
        <f t="shared" si="48"/>
        <v>#N/A</v>
      </c>
      <c r="AJ794" t="e">
        <f t="shared" si="49"/>
        <v>#N/A</v>
      </c>
      <c r="AK794">
        <f>IF(AND(ISNUMBER($N794),$N794&gt;0,ISNUMBER($Y794)),$Y794/$N794,"")</f>
      </c>
    </row>
    <row r="795" spans="1:36" ht="15" customHeight="1">
      <c r="A795" s="62">
        <v>8</v>
      </c>
      <c r="B795" s="59">
        <v>791</v>
      </c>
      <c r="AI795" t="e">
        <f t="shared" si="48"/>
        <v>#N/A</v>
      </c>
      <c r="AJ795" t="e">
        <f t="shared" si="49"/>
        <v>#N/A</v>
      </c>
      <c r="AK795">
        <f>IF(AND(ISNUMBER($N795),$N795&gt;0,ISNUMBER($Y795)),$Y795/$N795,"")</f>
      </c>
    </row>
    <row r="796" spans="1:36" ht="15" customHeight="1">
      <c r="A796" s="62">
        <v>8</v>
      </c>
      <c r="B796" s="59">
        <v>792</v>
      </c>
      <c r="AI796" t="e">
        <f t="shared" si="48"/>
        <v>#N/A</v>
      </c>
      <c r="AJ796" t="e">
        <f t="shared" si="49"/>
        <v>#N/A</v>
      </c>
      <c r="AK796">
        <f>IF(AND(ISNUMBER($N796),$N796&gt;0,ISNUMBER($Y796)),$Y796/$N796,"")</f>
      </c>
    </row>
    <row r="797" spans="1:36" ht="15" customHeight="1">
      <c r="A797" s="62">
        <v>8</v>
      </c>
      <c r="B797" s="59">
        <v>793</v>
      </c>
      <c r="AI797" t="e">
        <f t="shared" si="48"/>
        <v>#N/A</v>
      </c>
      <c r="AJ797" t="e">
        <f t="shared" si="49"/>
        <v>#N/A</v>
      </c>
      <c r="AK797">
        <f>IF(AND(ISNUMBER($N797),$N797&gt;0,ISNUMBER($Y797)),$Y797/$N797,"")</f>
      </c>
    </row>
    <row r="798" spans="1:36" ht="15" customHeight="1">
      <c r="A798" s="62">
        <v>8</v>
      </c>
      <c r="B798" s="59">
        <v>794</v>
      </c>
      <c r="AI798" t="e">
        <f t="shared" si="48"/>
        <v>#N/A</v>
      </c>
      <c r="AJ798" t="e">
        <f t="shared" si="49"/>
        <v>#N/A</v>
      </c>
      <c r="AK798">
        <f>IF(AND(ISNUMBER($N798),$N798&gt;0,ISNUMBER($Y798)),$Y798/$N798,"")</f>
      </c>
    </row>
    <row r="799" spans="1:36" ht="15" customHeight="1">
      <c r="A799" s="62">
        <v>8</v>
      </c>
      <c r="B799" s="59">
        <v>795</v>
      </c>
      <c r="AI799" t="e">
        <f t="shared" si="48"/>
        <v>#N/A</v>
      </c>
      <c r="AJ799" t="e">
        <f t="shared" si="49"/>
        <v>#N/A</v>
      </c>
      <c r="AK799">
        <f>IF(AND(ISNUMBER($N799),$N799&gt;0,ISNUMBER($Y799)),$Y799/$N799,"")</f>
      </c>
    </row>
    <row r="800" spans="1:36" ht="15" customHeight="1">
      <c r="A800" s="62">
        <v>8</v>
      </c>
      <c r="B800" s="59">
        <v>796</v>
      </c>
      <c r="AI800" t="e">
        <f t="shared" si="48"/>
        <v>#N/A</v>
      </c>
      <c r="AJ800" t="e">
        <f t="shared" si="49"/>
        <v>#N/A</v>
      </c>
      <c r="AK800">
        <f>IF(AND(ISNUMBER($N800),$N800&gt;0,ISNUMBER($Y800)),$Y800/$N800,"")</f>
      </c>
    </row>
    <row r="801" spans="1:36" ht="15" customHeight="1">
      <c r="A801" s="62">
        <v>8</v>
      </c>
      <c r="B801" s="59">
        <v>797</v>
      </c>
      <c r="AI801" t="e">
        <f t="shared" si="48"/>
        <v>#N/A</v>
      </c>
      <c r="AJ801" t="e">
        <f t="shared" si="49"/>
        <v>#N/A</v>
      </c>
      <c r="AK801">
        <f>IF(AND(ISNUMBER($N801),$N801&gt;0,ISNUMBER($Y801)),$Y801/$N801,"")</f>
      </c>
    </row>
    <row r="802" spans="1:36" ht="15" customHeight="1">
      <c r="A802" s="62">
        <v>8</v>
      </c>
      <c r="B802" s="59">
        <v>798</v>
      </c>
      <c r="AI802" t="e">
        <f t="shared" si="48"/>
        <v>#N/A</v>
      </c>
      <c r="AJ802" t="e">
        <f t="shared" si="49"/>
        <v>#N/A</v>
      </c>
      <c r="AK802">
        <f>IF(AND(ISNUMBER($N802),$N802&gt;0,ISNUMBER($Y802)),$Y802/$N802,"")</f>
      </c>
    </row>
    <row r="803" spans="1:36" ht="15" customHeight="1">
      <c r="A803" s="62">
        <v>8</v>
      </c>
      <c r="B803" s="59">
        <v>799</v>
      </c>
      <c r="AI803" t="e">
        <f t="shared" si="48"/>
        <v>#N/A</v>
      </c>
      <c r="AJ803" t="e">
        <f t="shared" si="49"/>
        <v>#N/A</v>
      </c>
      <c r="AK803">
        <f>IF(AND(ISNUMBER($N803),$N803&gt;0,ISNUMBER($Y803)),$Y803/$N803,"")</f>
      </c>
    </row>
    <row r="804" spans="1:36" ht="15" customHeight="1">
      <c r="A804" s="62">
        <v>8</v>
      </c>
      <c r="B804" s="59">
        <v>800</v>
      </c>
      <c r="AI804" t="e">
        <f t="shared" si="48"/>
        <v>#N/A</v>
      </c>
      <c r="AJ804" t="e">
        <f t="shared" si="49"/>
        <v>#N/A</v>
      </c>
      <c r="AK804">
        <f>IF(AND(ISNUMBER($N804),$N804&gt;0,ISNUMBER($Y804)),$Y804/$N804,"")</f>
      </c>
    </row>
    <row r="805" spans="1:36" ht="15" customHeight="1">
      <c r="A805" s="62">
        <v>8</v>
      </c>
      <c r="B805" s="59">
        <v>801</v>
      </c>
      <c r="AI805" t="e">
        <f t="shared" si="48"/>
        <v>#N/A</v>
      </c>
      <c r="AJ805" t="e">
        <f t="shared" si="49"/>
        <v>#N/A</v>
      </c>
      <c r="AK805">
        <f>IF(AND(ISNUMBER($N805),$N805&gt;0,ISNUMBER($Y805)),$Y805/$N805,"")</f>
      </c>
    </row>
    <row r="806" spans="1:36" ht="15" customHeight="1">
      <c r="A806" s="62">
        <v>8</v>
      </c>
      <c r="B806" s="59">
        <v>802</v>
      </c>
      <c r="AI806" t="e">
        <f t="shared" si="48"/>
        <v>#N/A</v>
      </c>
      <c r="AJ806" t="e">
        <f t="shared" si="49"/>
        <v>#N/A</v>
      </c>
      <c r="AK806">
        <f>IF(AND(ISNUMBER($N806),$N806&gt;0,ISNUMBER($Y806)),$Y806/$N806,"")</f>
      </c>
    </row>
    <row r="807" spans="1:36" ht="15" customHeight="1">
      <c r="A807" s="62">
        <v>8</v>
      </c>
      <c r="B807" s="59">
        <v>803</v>
      </c>
      <c r="AI807" t="e">
        <f t="shared" si="48"/>
        <v>#N/A</v>
      </c>
      <c r="AJ807" t="e">
        <f t="shared" si="49"/>
        <v>#N/A</v>
      </c>
      <c r="AK807">
        <f>IF(AND(ISNUMBER($N807),$N807&gt;0,ISNUMBER($Y807)),$Y807/$N807,"")</f>
      </c>
    </row>
    <row r="808" spans="1:36" ht="15" customHeight="1">
      <c r="A808" s="62">
        <v>8</v>
      </c>
      <c r="B808" s="59">
        <v>804</v>
      </c>
      <c r="AI808" t="e">
        <f t="shared" si="48"/>
        <v>#N/A</v>
      </c>
      <c r="AJ808" t="e">
        <f t="shared" si="49"/>
        <v>#N/A</v>
      </c>
      <c r="AK808">
        <f>IF(AND(ISNUMBER($N808),$N808&gt;0,ISNUMBER($Y808)),$Y808/$N808,"")</f>
      </c>
    </row>
    <row r="809" spans="1:36" ht="15" customHeight="1">
      <c r="A809" s="62">
        <v>8</v>
      </c>
      <c r="B809" s="59">
        <v>805</v>
      </c>
      <c r="AI809" t="e">
        <f t="shared" si="48"/>
        <v>#N/A</v>
      </c>
      <c r="AJ809" t="e">
        <f t="shared" si="49"/>
        <v>#N/A</v>
      </c>
      <c r="AK809">
        <f>IF(AND(ISNUMBER($N809),$N809&gt;0,ISNUMBER($Y809)),$Y809/$N809,"")</f>
      </c>
    </row>
    <row r="810" spans="1:36" ht="15" customHeight="1">
      <c r="A810" s="62">
        <v>8</v>
      </c>
      <c r="B810" s="59">
        <v>806</v>
      </c>
      <c r="AI810" t="e">
        <f t="shared" si="48"/>
        <v>#N/A</v>
      </c>
      <c r="AJ810" t="e">
        <f t="shared" si="49"/>
        <v>#N/A</v>
      </c>
      <c r="AK810">
        <f>IF(AND(ISNUMBER($N810),$N810&gt;0,ISNUMBER($Y810)),$Y810/$N810,"")</f>
      </c>
    </row>
    <row r="811" spans="1:36" ht="15" customHeight="1">
      <c r="A811" s="62">
        <v>8</v>
      </c>
      <c r="B811" s="59">
        <v>807</v>
      </c>
      <c r="AI811" t="e">
        <f t="shared" si="48"/>
        <v>#N/A</v>
      </c>
      <c r="AJ811" t="e">
        <f t="shared" si="49"/>
        <v>#N/A</v>
      </c>
      <c r="AK811">
        <f>IF(AND(ISNUMBER($N811),$N811&gt;0,ISNUMBER($Y811)),$Y811/$N811,"")</f>
      </c>
    </row>
    <row r="812" spans="1:36" ht="15" customHeight="1">
      <c r="A812" s="62">
        <v>8</v>
      </c>
      <c r="B812" s="59">
        <v>808</v>
      </c>
      <c r="AI812" t="e">
        <f t="shared" si="48"/>
        <v>#N/A</v>
      </c>
      <c r="AJ812" t="e">
        <f t="shared" si="49"/>
        <v>#N/A</v>
      </c>
      <c r="AK812">
        <f>IF(AND(ISNUMBER($N812),$N812&gt;0,ISNUMBER($Y812)),$Y812/$N812,"")</f>
      </c>
    </row>
    <row r="813" spans="1:36" ht="15" customHeight="1">
      <c r="A813" s="62">
        <v>8</v>
      </c>
      <c r="B813" s="59">
        <v>809</v>
      </c>
      <c r="AI813" t="e">
        <f t="shared" si="48"/>
        <v>#N/A</v>
      </c>
      <c r="AJ813" t="e">
        <f t="shared" si="49"/>
        <v>#N/A</v>
      </c>
      <c r="AK813">
        <f>IF(AND(ISNUMBER($N813),$N813&gt;0,ISNUMBER($Y813)),$Y813/$N813,"")</f>
      </c>
    </row>
    <row r="814" spans="1:36" ht="15" customHeight="1">
      <c r="A814" s="62">
        <v>8</v>
      </c>
      <c r="B814" s="59">
        <v>810</v>
      </c>
      <c r="AI814" t="e">
        <f t="shared" si="48"/>
        <v>#N/A</v>
      </c>
      <c r="AJ814" t="e">
        <f t="shared" si="49"/>
        <v>#N/A</v>
      </c>
      <c r="AK814">
        <f>IF(AND(ISNUMBER($N814),$N814&gt;0,ISNUMBER($Y814)),$Y814/$N814,"")</f>
      </c>
    </row>
    <row r="815" spans="1:36" ht="15" customHeight="1">
      <c r="A815" s="62">
        <v>8</v>
      </c>
      <c r="B815" s="59">
        <v>811</v>
      </c>
      <c r="AI815" t="e">
        <f t="shared" si="48"/>
        <v>#N/A</v>
      </c>
      <c r="AJ815" t="e">
        <f t="shared" si="49"/>
        <v>#N/A</v>
      </c>
      <c r="AK815">
        <f>IF(AND(ISNUMBER($N815),$N815&gt;0,ISNUMBER($Y815)),$Y815/$N815,"")</f>
      </c>
    </row>
    <row r="816" spans="1:36" ht="15" customHeight="1">
      <c r="A816" s="62">
        <v>8</v>
      </c>
      <c r="B816" s="59">
        <v>812</v>
      </c>
      <c r="AI816" t="e">
        <f t="shared" si="48"/>
        <v>#N/A</v>
      </c>
      <c r="AJ816" t="e">
        <f t="shared" si="49"/>
        <v>#N/A</v>
      </c>
      <c r="AK816">
        <f>IF(AND(ISNUMBER($N816),$N816&gt;0,ISNUMBER($Y816)),$Y816/$N816,"")</f>
      </c>
    </row>
    <row r="817" spans="1:36" ht="15" customHeight="1">
      <c r="A817" s="62">
        <v>8</v>
      </c>
      <c r="B817" s="59">
        <v>813</v>
      </c>
      <c r="AI817" t="e">
        <f t="shared" si="48"/>
        <v>#N/A</v>
      </c>
      <c r="AJ817" t="e">
        <f t="shared" si="49"/>
        <v>#N/A</v>
      </c>
      <c r="AK817">
        <f>IF(AND(ISNUMBER($N817),$N817&gt;0,ISNUMBER($Y817)),$Y817/$N817,"")</f>
      </c>
    </row>
    <row r="818" spans="1:36" ht="15" customHeight="1">
      <c r="A818" s="62">
        <v>8</v>
      </c>
      <c r="B818" s="59">
        <v>814</v>
      </c>
      <c r="AI818" t="e">
        <f t="shared" si="48"/>
        <v>#N/A</v>
      </c>
      <c r="AJ818" t="e">
        <f t="shared" si="49"/>
        <v>#N/A</v>
      </c>
      <c r="AK818">
        <f>IF(AND(ISNUMBER($N818),$N818&gt;0,ISNUMBER($Y818)),$Y818/$N818,"")</f>
      </c>
    </row>
    <row r="819" spans="1:36" ht="15" customHeight="1">
      <c r="A819" s="62">
        <v>8</v>
      </c>
      <c r="B819" s="59">
        <v>815</v>
      </c>
      <c r="AI819" t="e">
        <f t="shared" si="48"/>
        <v>#N/A</v>
      </c>
      <c r="AJ819" t="e">
        <f t="shared" si="49"/>
        <v>#N/A</v>
      </c>
      <c r="AK819">
        <f>IF(AND(ISNUMBER($N819),$N819&gt;0,ISNUMBER($Y819)),$Y819/$N819,"")</f>
      </c>
    </row>
    <row r="820" spans="1:36" ht="15" customHeight="1">
      <c r="A820" s="62">
        <v>8</v>
      </c>
      <c r="B820" s="59">
        <v>816</v>
      </c>
      <c r="AI820" t="e">
        <f t="shared" si="48"/>
        <v>#N/A</v>
      </c>
      <c r="AJ820" t="e">
        <f t="shared" si="49"/>
        <v>#N/A</v>
      </c>
      <c r="AK820">
        <f>IF(AND(ISNUMBER($N820),$N820&gt;0,ISNUMBER($Y820)),$Y820/$N820,"")</f>
      </c>
    </row>
    <row r="821" spans="1:36" ht="15" customHeight="1">
      <c r="A821" s="62">
        <v>8</v>
      </c>
      <c r="B821" s="59">
        <v>817</v>
      </c>
      <c r="AI821" t="e">
        <f t="shared" si="48"/>
        <v>#N/A</v>
      </c>
      <c r="AJ821" t="e">
        <f t="shared" si="49"/>
        <v>#N/A</v>
      </c>
      <c r="AK821">
        <f>IF(AND(ISNUMBER($N821),$N821&gt;0,ISNUMBER($Y821)),$Y821/$N821,"")</f>
      </c>
    </row>
    <row r="822" spans="1:36" ht="15" customHeight="1">
      <c r="A822" s="62">
        <v>8</v>
      </c>
      <c r="B822" s="59">
        <v>818</v>
      </c>
      <c r="AI822" t="e">
        <f t="shared" si="48"/>
        <v>#N/A</v>
      </c>
      <c r="AJ822" t="e">
        <f t="shared" si="49"/>
        <v>#N/A</v>
      </c>
      <c r="AK822">
        <f>IF(AND(ISNUMBER($N822),$N822&gt;0,ISNUMBER($Y822)),$Y822/$N822,"")</f>
      </c>
    </row>
    <row r="823" spans="1:36" ht="15" customHeight="1">
      <c r="A823" s="62">
        <v>8</v>
      </c>
      <c r="B823" s="59">
        <v>819</v>
      </c>
      <c r="AI823" t="e">
        <f t="shared" si="48"/>
        <v>#N/A</v>
      </c>
      <c r="AJ823" t="e">
        <f t="shared" si="49"/>
        <v>#N/A</v>
      </c>
      <c r="AK823">
        <f>IF(AND(ISNUMBER($N823),$N823&gt;0,ISNUMBER($Y823)),$Y823/$N823,"")</f>
      </c>
    </row>
    <row r="824" spans="1:36" ht="15" customHeight="1">
      <c r="A824" s="62">
        <v>8</v>
      </c>
      <c r="B824" s="59">
        <v>820</v>
      </c>
      <c r="AI824" t="e">
        <f t="shared" si="48"/>
        <v>#N/A</v>
      </c>
      <c r="AJ824" t="e">
        <f t="shared" si="49"/>
        <v>#N/A</v>
      </c>
      <c r="AK824">
        <f>IF(AND(ISNUMBER($N824),$N824&gt;0,ISNUMBER($Y824)),$Y824/$N824,"")</f>
      </c>
    </row>
    <row r="825" spans="1:36" ht="15" customHeight="1">
      <c r="A825" s="62">
        <v>8</v>
      </c>
      <c r="B825" s="59">
        <v>821</v>
      </c>
      <c r="AI825" t="e">
        <f t="shared" si="48"/>
        <v>#N/A</v>
      </c>
      <c r="AJ825" t="e">
        <f t="shared" si="49"/>
        <v>#N/A</v>
      </c>
      <c r="AK825">
        <f>IF(AND(ISNUMBER($N825),$N825&gt;0,ISNUMBER($Y825)),$Y825/$N825,"")</f>
      </c>
    </row>
    <row r="826" spans="1:36" ht="15" customHeight="1">
      <c r="A826" s="62">
        <v>8</v>
      </c>
      <c r="B826" s="59">
        <v>822</v>
      </c>
      <c r="AI826" t="e">
        <f t="shared" si="48"/>
        <v>#N/A</v>
      </c>
      <c r="AJ826" t="e">
        <f t="shared" si="49"/>
        <v>#N/A</v>
      </c>
      <c r="AK826">
        <f>IF(AND(ISNUMBER($N826),$N826&gt;0,ISNUMBER($Y826)),$Y826/$N826,"")</f>
      </c>
    </row>
    <row r="827" spans="1:36" ht="15" customHeight="1">
      <c r="A827" s="62">
        <v>8</v>
      </c>
      <c r="B827" s="59">
        <v>823</v>
      </c>
      <c r="AI827" t="e">
        <f t="shared" si="48"/>
        <v>#N/A</v>
      </c>
      <c r="AJ827" t="e">
        <f t="shared" si="49"/>
        <v>#N/A</v>
      </c>
      <c r="AK827">
        <f>IF(AND(ISNUMBER($N827),$N827&gt;0,ISNUMBER($Y827)),$Y827/$N827,"")</f>
      </c>
    </row>
    <row r="828" spans="1:36" ht="15" customHeight="1">
      <c r="A828" s="62">
        <v>8</v>
      </c>
      <c r="B828" s="59">
        <v>824</v>
      </c>
      <c r="AI828" t="e">
        <f t="shared" si="48"/>
        <v>#N/A</v>
      </c>
      <c r="AJ828" t="e">
        <f t="shared" si="49"/>
        <v>#N/A</v>
      </c>
      <c r="AK828">
        <f>IF(AND(ISNUMBER($N828),$N828&gt;0,ISNUMBER($Y828)),$Y828/$N828,"")</f>
      </c>
    </row>
    <row r="829" spans="1:36" ht="15" customHeight="1">
      <c r="A829" s="62">
        <v>8</v>
      </c>
      <c r="B829" s="59">
        <v>825</v>
      </c>
      <c r="AI829" t="e">
        <f t="shared" si="48"/>
        <v>#N/A</v>
      </c>
      <c r="AJ829" t="e">
        <f t="shared" si="49"/>
        <v>#N/A</v>
      </c>
      <c r="AK829">
        <f>IF(AND(ISNUMBER($N829),$N829&gt;0,ISNUMBER($Y829)),$Y829/$N829,"")</f>
      </c>
    </row>
    <row r="830" spans="1:36" ht="15" customHeight="1">
      <c r="A830" s="62">
        <v>8</v>
      </c>
      <c r="B830" s="59">
        <v>826</v>
      </c>
      <c r="AI830" t="e">
        <f t="shared" si="48"/>
        <v>#N/A</v>
      </c>
      <c r="AJ830" t="e">
        <f t="shared" si="49"/>
        <v>#N/A</v>
      </c>
      <c r="AK830">
        <f>IF(AND(ISNUMBER($N830),$N830&gt;0,ISNUMBER($Y830)),$Y830/$N830,"")</f>
      </c>
    </row>
    <row r="831" spans="1:36" ht="15" customHeight="1">
      <c r="A831" s="62">
        <v>8</v>
      </c>
      <c r="B831" s="59">
        <v>827</v>
      </c>
      <c r="AI831" t="e">
        <f t="shared" si="48"/>
        <v>#N/A</v>
      </c>
      <c r="AJ831" t="e">
        <f t="shared" si="49"/>
        <v>#N/A</v>
      </c>
      <c r="AK831">
        <f>IF(AND(ISNUMBER($N831),$N831&gt;0,ISNUMBER($Y831)),$Y831/$N831,"")</f>
      </c>
    </row>
    <row r="832" spans="1:36" ht="15" customHeight="1">
      <c r="A832" s="62">
        <v>8</v>
      </c>
      <c r="B832" s="59">
        <v>828</v>
      </c>
      <c r="AI832" t="e">
        <f t="shared" si="48"/>
        <v>#N/A</v>
      </c>
      <c r="AJ832" t="e">
        <f t="shared" si="49"/>
        <v>#N/A</v>
      </c>
      <c r="AK832">
        <f>IF(AND(ISNUMBER($N832),$N832&gt;0,ISNUMBER($Y832)),$Y832/$N832,"")</f>
      </c>
    </row>
    <row r="833" spans="1:36" ht="15" customHeight="1">
      <c r="A833" s="62">
        <v>8</v>
      </c>
      <c r="B833" s="59">
        <v>829</v>
      </c>
      <c r="AI833" t="e">
        <f t="shared" si="48"/>
        <v>#N/A</v>
      </c>
      <c r="AJ833" t="e">
        <f t="shared" si="49"/>
        <v>#N/A</v>
      </c>
      <c r="AK833">
        <f>IF(AND(ISNUMBER($N833),$N833&gt;0,ISNUMBER($Y833)),$Y833/$N833,"")</f>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c r="AK834">
        <f>IF(AND(ISNUMBER($N834),$N834&gt;0,ISNUMBER($Y834)),$Y834/$N834,"")</f>
      </c>
    </row>
    <row r="835" spans="1:36" ht="15" customHeight="1">
      <c r="A835" s="62">
        <v>8</v>
      </c>
      <c r="B835" s="59">
        <v>831</v>
      </c>
      <c r="AI835" t="e">
        <f t="shared" si="50"/>
        <v>#N/A</v>
      </c>
      <c r="AJ835" t="e">
        <f t="shared" si="51"/>
        <v>#N/A</v>
      </c>
      <c r="AK835">
        <f>IF(AND(ISNUMBER($N835),$N835&gt;0,ISNUMBER($Y835)),$Y835/$N835,"")</f>
      </c>
    </row>
    <row r="836" spans="1:36" ht="15" customHeight="1">
      <c r="A836" s="62">
        <v>8</v>
      </c>
      <c r="B836" s="59">
        <v>832</v>
      </c>
      <c r="AI836" t="e">
        <f t="shared" si="50"/>
        <v>#N/A</v>
      </c>
      <c r="AJ836" t="e">
        <f t="shared" si="51"/>
        <v>#N/A</v>
      </c>
      <c r="AK836">
        <f>IF(AND(ISNUMBER($N836),$N836&gt;0,ISNUMBER($Y836)),$Y836/$N836,"")</f>
      </c>
    </row>
    <row r="837" spans="1:36" ht="15" customHeight="1">
      <c r="A837" s="62">
        <v>8</v>
      </c>
      <c r="B837" s="59">
        <v>833</v>
      </c>
      <c r="AI837" t="e">
        <f t="shared" si="50"/>
        <v>#N/A</v>
      </c>
      <c r="AJ837" t="e">
        <f t="shared" si="51"/>
        <v>#N/A</v>
      </c>
      <c r="AK837">
        <f>IF(AND(ISNUMBER($N837),$N837&gt;0,ISNUMBER($Y837)),$Y837/$N837,"")</f>
      </c>
    </row>
    <row r="838" spans="1:36" ht="15" customHeight="1">
      <c r="A838" s="62">
        <v>8</v>
      </c>
      <c r="B838" s="59">
        <v>834</v>
      </c>
      <c r="AI838" t="e">
        <f t="shared" si="50"/>
        <v>#N/A</v>
      </c>
      <c r="AJ838" t="e">
        <f t="shared" si="51"/>
        <v>#N/A</v>
      </c>
      <c r="AK838">
        <f>IF(AND(ISNUMBER($N838),$N838&gt;0,ISNUMBER($Y838)),$Y838/$N838,"")</f>
      </c>
    </row>
    <row r="839" spans="1:36" ht="15" customHeight="1">
      <c r="A839" s="62">
        <v>8</v>
      </c>
      <c r="B839" s="59">
        <v>835</v>
      </c>
      <c r="AI839" t="e">
        <f t="shared" si="50"/>
        <v>#N/A</v>
      </c>
      <c r="AJ839" t="e">
        <f t="shared" si="51"/>
        <v>#N/A</v>
      </c>
      <c r="AK839">
        <f>IF(AND(ISNUMBER($N839),$N839&gt;0,ISNUMBER($Y839)),$Y839/$N839,"")</f>
      </c>
    </row>
    <row r="840" spans="1:36" ht="15" customHeight="1">
      <c r="A840" s="62">
        <v>8</v>
      </c>
      <c r="B840" s="59">
        <v>836</v>
      </c>
      <c r="AI840" t="e">
        <f t="shared" si="50"/>
        <v>#N/A</v>
      </c>
      <c r="AJ840" t="e">
        <f t="shared" si="51"/>
        <v>#N/A</v>
      </c>
      <c r="AK840">
        <f>IF(AND(ISNUMBER($N840),$N840&gt;0,ISNUMBER($Y840)),$Y840/$N840,"")</f>
      </c>
    </row>
    <row r="841" spans="1:36" ht="15" customHeight="1">
      <c r="A841" s="62">
        <v>8</v>
      </c>
      <c r="B841" s="59">
        <v>837</v>
      </c>
      <c r="AI841" t="e">
        <f t="shared" si="50"/>
        <v>#N/A</v>
      </c>
      <c r="AJ841" t="e">
        <f t="shared" si="51"/>
        <v>#N/A</v>
      </c>
      <c r="AK841">
        <f>IF(AND(ISNUMBER($N841),$N841&gt;0,ISNUMBER($Y841)),$Y841/$N841,"")</f>
      </c>
    </row>
    <row r="842" spans="1:36" ht="15" customHeight="1">
      <c r="A842" s="62">
        <v>8</v>
      </c>
      <c r="B842" s="59">
        <v>838</v>
      </c>
      <c r="AI842" t="e">
        <f t="shared" si="50"/>
        <v>#N/A</v>
      </c>
      <c r="AJ842" t="e">
        <f t="shared" si="51"/>
        <v>#N/A</v>
      </c>
      <c r="AK842">
        <f>IF(AND(ISNUMBER($N842),$N842&gt;0,ISNUMBER($Y842)),$Y842/$N842,"")</f>
      </c>
    </row>
    <row r="843" spans="1:36" ht="15" customHeight="1">
      <c r="A843" s="62">
        <v>8</v>
      </c>
      <c r="B843" s="59">
        <v>839</v>
      </c>
      <c r="AI843" t="e">
        <f t="shared" si="50"/>
        <v>#N/A</v>
      </c>
      <c r="AJ843" t="e">
        <f t="shared" si="51"/>
        <v>#N/A</v>
      </c>
      <c r="AK843">
        <f>IF(AND(ISNUMBER($N843),$N843&gt;0,ISNUMBER($Y843)),$Y843/$N843,"")</f>
      </c>
    </row>
    <row r="844" spans="1:36" ht="15" customHeight="1">
      <c r="A844" s="62">
        <v>8</v>
      </c>
      <c r="B844" s="59">
        <v>840</v>
      </c>
      <c r="AI844" t="e">
        <f t="shared" si="50"/>
        <v>#N/A</v>
      </c>
      <c r="AJ844" t="e">
        <f t="shared" si="51"/>
        <v>#N/A</v>
      </c>
      <c r="AK844">
        <f>IF(AND(ISNUMBER($N844),$N844&gt;0,ISNUMBER($Y844)),$Y844/$N844,"")</f>
      </c>
    </row>
    <row r="845" spans="1:36" ht="15" customHeight="1">
      <c r="A845" s="62">
        <v>8</v>
      </c>
      <c r="B845" s="59">
        <v>841</v>
      </c>
      <c r="AI845" t="e">
        <f t="shared" si="50"/>
        <v>#N/A</v>
      </c>
      <c r="AJ845" t="e">
        <f t="shared" si="51"/>
        <v>#N/A</v>
      </c>
      <c r="AK845">
        <f>IF(AND(ISNUMBER($N845),$N845&gt;0,ISNUMBER($Y845)),$Y845/$N845,"")</f>
      </c>
    </row>
    <row r="846" spans="1:36" ht="15" customHeight="1">
      <c r="A846" s="62">
        <v>8</v>
      </c>
      <c r="B846" s="59">
        <v>842</v>
      </c>
      <c r="AI846" t="e">
        <f t="shared" si="50"/>
        <v>#N/A</v>
      </c>
      <c r="AJ846" t="e">
        <f t="shared" si="51"/>
        <v>#N/A</v>
      </c>
      <c r="AK846">
        <f>IF(AND(ISNUMBER($N846),$N846&gt;0,ISNUMBER($Y846)),$Y846/$N846,"")</f>
      </c>
    </row>
    <row r="847" spans="1:36" ht="15" customHeight="1">
      <c r="A847" s="62">
        <v>8</v>
      </c>
      <c r="B847" s="59">
        <v>843</v>
      </c>
      <c r="AI847" t="e">
        <f t="shared" si="50"/>
        <v>#N/A</v>
      </c>
      <c r="AJ847" t="e">
        <f t="shared" si="51"/>
        <v>#N/A</v>
      </c>
      <c r="AK847">
        <f>IF(AND(ISNUMBER($N847),$N847&gt;0,ISNUMBER($Y847)),$Y847/$N847,"")</f>
      </c>
    </row>
    <row r="848" spans="1:36" ht="15" customHeight="1">
      <c r="A848" s="62">
        <v>8</v>
      </c>
      <c r="B848" s="59">
        <v>844</v>
      </c>
      <c r="AI848" t="e">
        <f t="shared" si="50"/>
        <v>#N/A</v>
      </c>
      <c r="AJ848" t="e">
        <f t="shared" si="51"/>
        <v>#N/A</v>
      </c>
      <c r="AK848">
        <f>IF(AND(ISNUMBER($N848),$N848&gt;0,ISNUMBER($Y848)),$Y848/$N848,"")</f>
      </c>
    </row>
    <row r="849" spans="1:36" ht="15" customHeight="1">
      <c r="A849" s="62">
        <v>8</v>
      </c>
      <c r="B849" s="59">
        <v>845</v>
      </c>
      <c r="AI849" t="e">
        <f t="shared" si="50"/>
        <v>#N/A</v>
      </c>
      <c r="AJ849" t="e">
        <f t="shared" si="51"/>
        <v>#N/A</v>
      </c>
      <c r="AK849">
        <f>IF(AND(ISNUMBER($N849),$N849&gt;0,ISNUMBER($Y849)),$Y849/$N849,"")</f>
      </c>
    </row>
    <row r="850" spans="1:36" ht="15" customHeight="1">
      <c r="A850" s="62">
        <v>8</v>
      </c>
      <c r="B850" s="59">
        <v>846</v>
      </c>
      <c r="AI850" t="e">
        <f t="shared" si="50"/>
        <v>#N/A</v>
      </c>
      <c r="AJ850" t="e">
        <f t="shared" si="51"/>
        <v>#N/A</v>
      </c>
      <c r="AK850">
        <f>IF(AND(ISNUMBER($N850),$N850&gt;0,ISNUMBER($Y850)),$Y850/$N850,"")</f>
      </c>
    </row>
    <row r="851" spans="1:36" ht="15" customHeight="1">
      <c r="A851" s="62">
        <v>8</v>
      </c>
      <c r="B851" s="59">
        <v>847</v>
      </c>
      <c r="AI851" t="e">
        <f t="shared" si="50"/>
        <v>#N/A</v>
      </c>
      <c r="AJ851" t="e">
        <f t="shared" si="51"/>
        <v>#N/A</v>
      </c>
      <c r="AK851">
        <f>IF(AND(ISNUMBER($N851),$N851&gt;0,ISNUMBER($Y851)),$Y851/$N851,"")</f>
      </c>
    </row>
    <row r="852" spans="1:36" ht="15" customHeight="1">
      <c r="A852" s="62">
        <v>8</v>
      </c>
      <c r="B852" s="59">
        <v>848</v>
      </c>
      <c r="AI852" t="e">
        <f t="shared" si="50"/>
        <v>#N/A</v>
      </c>
      <c r="AJ852" t="e">
        <f t="shared" si="51"/>
        <v>#N/A</v>
      </c>
      <c r="AK852">
        <f>IF(AND(ISNUMBER($N852),$N852&gt;0,ISNUMBER($Y852)),$Y852/$N852,"")</f>
      </c>
    </row>
    <row r="853" spans="1:36" ht="15" customHeight="1">
      <c r="A853" s="62">
        <v>8</v>
      </c>
      <c r="B853" s="59">
        <v>849</v>
      </c>
      <c r="AI853" t="e">
        <f t="shared" si="50"/>
        <v>#N/A</v>
      </c>
      <c r="AJ853" t="e">
        <f t="shared" si="51"/>
        <v>#N/A</v>
      </c>
      <c r="AK853">
        <f>IF(AND(ISNUMBER($N853),$N853&gt;0,ISNUMBER($Y853)),$Y853/$N853,"")</f>
      </c>
    </row>
    <row r="854" spans="1:36" ht="15" customHeight="1">
      <c r="A854" s="62">
        <v>8</v>
      </c>
      <c r="B854" s="59">
        <v>850</v>
      </c>
      <c r="AI854" t="e">
        <f t="shared" si="50"/>
        <v>#N/A</v>
      </c>
      <c r="AJ854" t="e">
        <f t="shared" si="51"/>
        <v>#N/A</v>
      </c>
      <c r="AK854">
        <f>IF(AND(ISNUMBER($N854),$N854&gt;0,ISNUMBER($Y854)),$Y854/$N854,"")</f>
      </c>
    </row>
    <row r="855" spans="1:36" ht="15" customHeight="1">
      <c r="A855" s="62">
        <v>8</v>
      </c>
      <c r="B855" s="59">
        <v>851</v>
      </c>
      <c r="AI855" t="e">
        <f t="shared" si="50"/>
        <v>#N/A</v>
      </c>
      <c r="AJ855" t="e">
        <f t="shared" si="51"/>
        <v>#N/A</v>
      </c>
      <c r="AK855">
        <f>IF(AND(ISNUMBER($N855),$N855&gt;0,ISNUMBER($Y855)),$Y855/$N855,"")</f>
      </c>
    </row>
    <row r="856" spans="1:36" ht="15" customHeight="1">
      <c r="A856" s="62">
        <v>8</v>
      </c>
      <c r="B856" s="59">
        <v>852</v>
      </c>
      <c r="AI856" t="e">
        <f t="shared" si="50"/>
        <v>#N/A</v>
      </c>
      <c r="AJ856" t="e">
        <f t="shared" si="51"/>
        <v>#N/A</v>
      </c>
      <c r="AK856">
        <f>IF(AND(ISNUMBER($N856),$N856&gt;0,ISNUMBER($Y856)),$Y856/$N856,"")</f>
      </c>
    </row>
    <row r="857" spans="1:36" ht="15" customHeight="1">
      <c r="A857" s="62">
        <v>8</v>
      </c>
      <c r="B857" s="59">
        <v>853</v>
      </c>
      <c r="AI857" t="e">
        <f t="shared" si="50"/>
        <v>#N/A</v>
      </c>
      <c r="AJ857" t="e">
        <f t="shared" si="51"/>
        <v>#N/A</v>
      </c>
      <c r="AK857">
        <f>IF(AND(ISNUMBER($N857),$N857&gt;0,ISNUMBER($Y857)),$Y857/$N857,"")</f>
      </c>
    </row>
    <row r="858" spans="1:36" ht="15" customHeight="1">
      <c r="A858" s="62">
        <v>8</v>
      </c>
      <c r="B858" s="59">
        <v>854</v>
      </c>
      <c r="AI858" t="e">
        <f t="shared" si="50"/>
        <v>#N/A</v>
      </c>
      <c r="AJ858" t="e">
        <f t="shared" si="51"/>
        <v>#N/A</v>
      </c>
      <c r="AK858">
        <f>IF(AND(ISNUMBER($N858),$N858&gt;0,ISNUMBER($Y858)),$Y858/$N858,"")</f>
      </c>
    </row>
    <row r="859" spans="1:36" ht="15" customHeight="1">
      <c r="A859" s="62">
        <v>8</v>
      </c>
      <c r="B859" s="59">
        <v>855</v>
      </c>
      <c r="AI859" t="e">
        <f t="shared" si="50"/>
        <v>#N/A</v>
      </c>
      <c r="AJ859" t="e">
        <f t="shared" si="51"/>
        <v>#N/A</v>
      </c>
      <c r="AK859">
        <f>IF(AND(ISNUMBER($N859),$N859&gt;0,ISNUMBER($Y859)),$Y859/$N859,"")</f>
      </c>
    </row>
    <row r="860" spans="1:36" ht="15" customHeight="1">
      <c r="A860" s="62">
        <v>8</v>
      </c>
      <c r="B860" s="59">
        <v>856</v>
      </c>
      <c r="AI860" t="e">
        <f t="shared" si="50"/>
        <v>#N/A</v>
      </c>
      <c r="AJ860" t="e">
        <f t="shared" si="51"/>
        <v>#N/A</v>
      </c>
      <c r="AK860">
        <f>IF(AND(ISNUMBER($N860),$N860&gt;0,ISNUMBER($Y860)),$Y860/$N860,"")</f>
      </c>
    </row>
    <row r="861" spans="1:36" ht="15" customHeight="1">
      <c r="A861" s="62">
        <v>8</v>
      </c>
      <c r="B861" s="59">
        <v>857</v>
      </c>
      <c r="AI861" t="e">
        <f t="shared" si="50"/>
        <v>#N/A</v>
      </c>
      <c r="AJ861" t="e">
        <f t="shared" si="51"/>
        <v>#N/A</v>
      </c>
      <c r="AK861">
        <f>IF(AND(ISNUMBER($N861),$N861&gt;0,ISNUMBER($Y861)),$Y861/$N861,"")</f>
      </c>
    </row>
    <row r="862" spans="1:36" ht="15" customHeight="1">
      <c r="A862" s="62">
        <v>8</v>
      </c>
      <c r="B862" s="59">
        <v>858</v>
      </c>
      <c r="AI862" t="e">
        <f t="shared" si="50"/>
        <v>#N/A</v>
      </c>
      <c r="AJ862" t="e">
        <f t="shared" si="51"/>
        <v>#N/A</v>
      </c>
      <c r="AK862">
        <f>IF(AND(ISNUMBER($N862),$N862&gt;0,ISNUMBER($Y862)),$Y862/$N862,"")</f>
      </c>
    </row>
    <row r="863" spans="1:36" ht="15" customHeight="1">
      <c r="A863" s="62">
        <v>8</v>
      </c>
      <c r="B863" s="59">
        <v>859</v>
      </c>
      <c r="AI863" t="e">
        <f t="shared" si="50"/>
        <v>#N/A</v>
      </c>
      <c r="AJ863" t="e">
        <f t="shared" si="51"/>
        <v>#N/A</v>
      </c>
      <c r="AK863">
        <f>IF(AND(ISNUMBER($N863),$N863&gt;0,ISNUMBER($Y863)),$Y863/$N863,"")</f>
      </c>
    </row>
    <row r="864" spans="1:36" ht="15" customHeight="1">
      <c r="A864" s="62">
        <v>8</v>
      </c>
      <c r="B864" s="59">
        <v>860</v>
      </c>
      <c r="AI864" t="e">
        <f t="shared" si="50"/>
        <v>#N/A</v>
      </c>
      <c r="AJ864" t="e">
        <f t="shared" si="51"/>
        <v>#N/A</v>
      </c>
      <c r="AK864">
        <f>IF(AND(ISNUMBER($N864),$N864&gt;0,ISNUMBER($Y864)),$Y864/$N864,"")</f>
      </c>
    </row>
    <row r="865" spans="1:36" ht="15" customHeight="1">
      <c r="A865" s="62">
        <v>8</v>
      </c>
      <c r="B865" s="59">
        <v>861</v>
      </c>
      <c r="AI865" t="e">
        <f t="shared" si="50"/>
        <v>#N/A</v>
      </c>
      <c r="AJ865" t="e">
        <f t="shared" si="51"/>
        <v>#N/A</v>
      </c>
      <c r="AK865">
        <f>IF(AND(ISNUMBER($N865),$N865&gt;0,ISNUMBER($Y865)),$Y865/$N865,"")</f>
      </c>
    </row>
    <row r="866" spans="1:36" ht="15" customHeight="1">
      <c r="A866" s="62">
        <v>8</v>
      </c>
      <c r="B866" s="59">
        <v>862</v>
      </c>
      <c r="AI866" t="e">
        <f t="shared" si="50"/>
        <v>#N/A</v>
      </c>
      <c r="AJ866" t="e">
        <f t="shared" si="51"/>
        <v>#N/A</v>
      </c>
      <c r="AK866">
        <f>IF(AND(ISNUMBER($N866),$N866&gt;0,ISNUMBER($Y866)),$Y866/$N866,"")</f>
      </c>
    </row>
    <row r="867" spans="1:36" ht="15" customHeight="1">
      <c r="A867" s="62">
        <v>8</v>
      </c>
      <c r="B867" s="59">
        <v>863</v>
      </c>
      <c r="AI867" t="e">
        <f t="shared" si="50"/>
        <v>#N/A</v>
      </c>
      <c r="AJ867" t="e">
        <f t="shared" si="51"/>
        <v>#N/A</v>
      </c>
      <c r="AK867">
        <f>IF(AND(ISNUMBER($N867),$N867&gt;0,ISNUMBER($Y867)),$Y867/$N867,"")</f>
      </c>
    </row>
    <row r="868" spans="1:36" ht="15" customHeight="1">
      <c r="A868" s="62">
        <v>8</v>
      </c>
      <c r="B868" s="59">
        <v>864</v>
      </c>
      <c r="AI868" t="e">
        <f t="shared" si="50"/>
        <v>#N/A</v>
      </c>
      <c r="AJ868" t="e">
        <f t="shared" si="51"/>
        <v>#N/A</v>
      </c>
      <c r="AK868">
        <f>IF(AND(ISNUMBER($N868),$N868&gt;0,ISNUMBER($Y868)),$Y868/$N868,"")</f>
      </c>
    </row>
    <row r="869" spans="1:36" ht="15" customHeight="1">
      <c r="A869" s="62">
        <v>8</v>
      </c>
      <c r="B869" s="59">
        <v>865</v>
      </c>
      <c r="AI869" t="e">
        <f t="shared" si="50"/>
        <v>#N/A</v>
      </c>
      <c r="AJ869" t="e">
        <f t="shared" si="51"/>
        <v>#N/A</v>
      </c>
      <c r="AK869">
        <f>IF(AND(ISNUMBER($N869),$N869&gt;0,ISNUMBER($Y869)),$Y869/$N869,"")</f>
      </c>
    </row>
    <row r="870" spans="1:36" ht="15" customHeight="1">
      <c r="A870" s="62">
        <v>8</v>
      </c>
      <c r="B870" s="59">
        <v>866</v>
      </c>
      <c r="AI870" t="e">
        <f t="shared" si="50"/>
        <v>#N/A</v>
      </c>
      <c r="AJ870" t="e">
        <f t="shared" si="51"/>
        <v>#N/A</v>
      </c>
      <c r="AK870">
        <f>IF(AND(ISNUMBER($N870),$N870&gt;0,ISNUMBER($Y870)),$Y870/$N870,"")</f>
      </c>
    </row>
    <row r="871" spans="1:36" ht="15" customHeight="1">
      <c r="A871" s="62">
        <v>8</v>
      </c>
      <c r="B871" s="59">
        <v>867</v>
      </c>
      <c r="AI871" t="e">
        <f t="shared" si="50"/>
        <v>#N/A</v>
      </c>
      <c r="AJ871" t="e">
        <f t="shared" si="51"/>
        <v>#N/A</v>
      </c>
      <c r="AK871">
        <f>IF(AND(ISNUMBER($N871),$N871&gt;0,ISNUMBER($Y871)),$Y871/$N871,"")</f>
      </c>
    </row>
    <row r="872" spans="1:36" ht="15" customHeight="1">
      <c r="A872" s="62">
        <v>8</v>
      </c>
      <c r="B872" s="59">
        <v>868</v>
      </c>
      <c r="AI872" t="e">
        <f t="shared" si="50"/>
        <v>#N/A</v>
      </c>
      <c r="AJ872" t="e">
        <f t="shared" si="51"/>
        <v>#N/A</v>
      </c>
      <c r="AK872">
        <f>IF(AND(ISNUMBER($N872),$N872&gt;0,ISNUMBER($Y872)),$Y872/$N872,"")</f>
      </c>
    </row>
    <row r="873" spans="1:36" ht="15" customHeight="1">
      <c r="A873" s="62">
        <v>8</v>
      </c>
      <c r="B873" s="59">
        <v>869</v>
      </c>
      <c r="AI873" t="e">
        <f t="shared" si="50"/>
        <v>#N/A</v>
      </c>
      <c r="AJ873" t="e">
        <f t="shared" si="51"/>
        <v>#N/A</v>
      </c>
      <c r="AK873">
        <f>IF(AND(ISNUMBER($N873),$N873&gt;0,ISNUMBER($Y873)),$Y873/$N873,"")</f>
      </c>
    </row>
    <row r="874" spans="1:36" ht="15" customHeight="1">
      <c r="A874" s="62">
        <v>8</v>
      </c>
      <c r="B874" s="59">
        <v>870</v>
      </c>
      <c r="AI874" t="e">
        <f t="shared" si="50"/>
        <v>#N/A</v>
      </c>
      <c r="AJ874" t="e">
        <f t="shared" si="51"/>
        <v>#N/A</v>
      </c>
      <c r="AK874">
        <f>IF(AND(ISNUMBER($N874),$N874&gt;0,ISNUMBER($Y874)),$Y874/$N874,"")</f>
      </c>
    </row>
    <row r="875" spans="1:36" ht="15" customHeight="1">
      <c r="A875" s="62">
        <v>8</v>
      </c>
      <c r="B875" s="59">
        <v>871</v>
      </c>
      <c r="AI875" t="e">
        <f t="shared" si="50"/>
        <v>#N/A</v>
      </c>
      <c r="AJ875" t="e">
        <f t="shared" si="51"/>
        <v>#N/A</v>
      </c>
      <c r="AK875">
        <f>IF(AND(ISNUMBER($N875),$N875&gt;0,ISNUMBER($Y875)),$Y875/$N875,"")</f>
      </c>
    </row>
    <row r="876" spans="1:36" ht="15" customHeight="1">
      <c r="A876" s="62">
        <v>8</v>
      </c>
      <c r="B876" s="59">
        <v>872</v>
      </c>
      <c r="AI876" t="e">
        <f t="shared" si="50"/>
        <v>#N/A</v>
      </c>
      <c r="AJ876" t="e">
        <f t="shared" si="51"/>
        <v>#N/A</v>
      </c>
      <c r="AK876">
        <f>IF(AND(ISNUMBER($N876),$N876&gt;0,ISNUMBER($Y876)),$Y876/$N876,"")</f>
      </c>
    </row>
    <row r="877" spans="1:36" ht="15" customHeight="1">
      <c r="A877" s="62">
        <v>8</v>
      </c>
      <c r="B877" s="59">
        <v>873</v>
      </c>
      <c r="AI877" t="e">
        <f t="shared" si="50"/>
        <v>#N/A</v>
      </c>
      <c r="AJ877" t="e">
        <f t="shared" si="51"/>
        <v>#N/A</v>
      </c>
      <c r="AK877">
        <f>IF(AND(ISNUMBER($N877),$N877&gt;0,ISNUMBER($Y877)),$Y877/$N877,"")</f>
      </c>
    </row>
    <row r="878" spans="1:36" ht="15" customHeight="1">
      <c r="A878" s="62">
        <v>8</v>
      </c>
      <c r="B878" s="59">
        <v>874</v>
      </c>
      <c r="AI878" t="e">
        <f t="shared" si="50"/>
        <v>#N/A</v>
      </c>
      <c r="AJ878" t="e">
        <f t="shared" si="51"/>
        <v>#N/A</v>
      </c>
      <c r="AK878">
        <f>IF(AND(ISNUMBER($N878),$N878&gt;0,ISNUMBER($Y878)),$Y878/$N878,"")</f>
      </c>
    </row>
    <row r="879" spans="1:36" ht="15" customHeight="1">
      <c r="A879" s="62">
        <v>8</v>
      </c>
      <c r="B879" s="59">
        <v>875</v>
      </c>
      <c r="AI879" t="e">
        <f t="shared" si="50"/>
        <v>#N/A</v>
      </c>
      <c r="AJ879" t="e">
        <f t="shared" si="51"/>
        <v>#N/A</v>
      </c>
      <c r="AK879">
        <f>IF(AND(ISNUMBER($N879),$N879&gt;0,ISNUMBER($Y879)),$Y879/$N879,"")</f>
      </c>
    </row>
    <row r="880" spans="1:36" ht="15" customHeight="1">
      <c r="A880" s="62">
        <v>8</v>
      </c>
      <c r="B880" s="59">
        <v>876</v>
      </c>
      <c r="AI880" t="e">
        <f t="shared" si="50"/>
        <v>#N/A</v>
      </c>
      <c r="AJ880" t="e">
        <f t="shared" si="51"/>
        <v>#N/A</v>
      </c>
      <c r="AK880">
        <f>IF(AND(ISNUMBER($N880),$N880&gt;0,ISNUMBER($Y880)),$Y880/$N880,"")</f>
      </c>
    </row>
    <row r="881" spans="1:36" ht="15" customHeight="1">
      <c r="A881" s="62">
        <v>8</v>
      </c>
      <c r="B881" s="59">
        <v>877</v>
      </c>
      <c r="AI881" t="e">
        <f t="shared" si="50"/>
        <v>#N/A</v>
      </c>
      <c r="AJ881" t="e">
        <f t="shared" si="51"/>
        <v>#N/A</v>
      </c>
      <c r="AK881">
        <f>IF(AND(ISNUMBER($N881),$N881&gt;0,ISNUMBER($Y881)),$Y881/$N881,"")</f>
      </c>
    </row>
    <row r="882" spans="1:36" ht="15" customHeight="1">
      <c r="A882" s="62">
        <v>8</v>
      </c>
      <c r="B882" s="59">
        <v>878</v>
      </c>
      <c r="AI882" t="e">
        <f t="shared" si="50"/>
        <v>#N/A</v>
      </c>
      <c r="AJ882" t="e">
        <f t="shared" si="51"/>
        <v>#N/A</v>
      </c>
      <c r="AK882">
        <f>IF(AND(ISNUMBER($N882),$N882&gt;0,ISNUMBER($Y882)),$Y882/$N882,"")</f>
      </c>
    </row>
    <row r="883" spans="1:36" ht="15" customHeight="1">
      <c r="A883" s="62">
        <v>8</v>
      </c>
      <c r="B883" s="59">
        <v>879</v>
      </c>
      <c r="AI883" t="e">
        <f t="shared" si="50"/>
        <v>#N/A</v>
      </c>
      <c r="AJ883" t="e">
        <f t="shared" si="51"/>
        <v>#N/A</v>
      </c>
      <c r="AK883">
        <f>IF(AND(ISNUMBER($N883),$N883&gt;0,ISNUMBER($Y883)),$Y883/$N883,"")</f>
      </c>
    </row>
    <row r="884" spans="1:36" ht="15" customHeight="1">
      <c r="A884" s="62">
        <v>8</v>
      </c>
      <c r="B884" s="59">
        <v>880</v>
      </c>
      <c r="AI884" t="e">
        <f t="shared" si="50"/>
        <v>#N/A</v>
      </c>
      <c r="AJ884" t="e">
        <f t="shared" si="51"/>
        <v>#N/A</v>
      </c>
      <c r="AK884">
        <f>IF(AND(ISNUMBER($N884),$N884&gt;0,ISNUMBER($Y884)),$Y884/$N884,"")</f>
      </c>
    </row>
    <row r="885" spans="1:36" ht="15" customHeight="1">
      <c r="A885" s="62">
        <v>8</v>
      </c>
      <c r="B885" s="59">
        <v>881</v>
      </c>
      <c r="AI885" t="e">
        <f t="shared" si="50"/>
        <v>#N/A</v>
      </c>
      <c r="AJ885" t="e">
        <f t="shared" si="51"/>
        <v>#N/A</v>
      </c>
      <c r="AK885">
        <f>IF(AND(ISNUMBER($N885),$N885&gt;0,ISNUMBER($Y885)),$Y885/$N885,"")</f>
      </c>
    </row>
    <row r="886" spans="1:36" ht="15" customHeight="1">
      <c r="A886" s="62">
        <v>8</v>
      </c>
      <c r="B886" s="59">
        <v>882</v>
      </c>
      <c r="AI886" t="e">
        <f t="shared" si="50"/>
        <v>#N/A</v>
      </c>
      <c r="AJ886" t="e">
        <f t="shared" si="51"/>
        <v>#N/A</v>
      </c>
      <c r="AK886">
        <f>IF(AND(ISNUMBER($N886),$N886&gt;0,ISNUMBER($Y886)),$Y886/$N886,"")</f>
      </c>
    </row>
    <row r="887" spans="1:36" ht="15" customHeight="1">
      <c r="A887" s="62">
        <v>8</v>
      </c>
      <c r="B887" s="59">
        <v>883</v>
      </c>
      <c r="AI887" t="e">
        <f t="shared" si="50"/>
        <v>#N/A</v>
      </c>
      <c r="AJ887" t="e">
        <f t="shared" si="51"/>
        <v>#N/A</v>
      </c>
      <c r="AK887">
        <f>IF(AND(ISNUMBER($N887),$N887&gt;0,ISNUMBER($Y887)),$Y887/$N887,"")</f>
      </c>
    </row>
    <row r="888" spans="1:36" ht="15" customHeight="1">
      <c r="A888" s="62">
        <v>8</v>
      </c>
      <c r="B888" s="59">
        <v>884</v>
      </c>
      <c r="AI888" t="e">
        <f t="shared" si="50"/>
        <v>#N/A</v>
      </c>
      <c r="AJ888" t="e">
        <f t="shared" si="51"/>
        <v>#N/A</v>
      </c>
      <c r="AK888">
        <f>IF(AND(ISNUMBER($N888),$N888&gt;0,ISNUMBER($Y888)),$Y888/$N888,"")</f>
      </c>
    </row>
    <row r="889" spans="1:36" ht="15" customHeight="1">
      <c r="A889" s="62">
        <v>8</v>
      </c>
      <c r="B889" s="59">
        <v>885</v>
      </c>
      <c r="AI889" t="e">
        <f t="shared" si="50"/>
        <v>#N/A</v>
      </c>
      <c r="AJ889" t="e">
        <f t="shared" si="51"/>
        <v>#N/A</v>
      </c>
      <c r="AK889">
        <f>IF(AND(ISNUMBER($N889),$N889&gt;0,ISNUMBER($Y889)),$Y889/$N889,"")</f>
      </c>
    </row>
    <row r="890" spans="1:36" ht="15" customHeight="1">
      <c r="A890" s="62">
        <v>8</v>
      </c>
      <c r="B890" s="59">
        <v>886</v>
      </c>
      <c r="AI890" t="e">
        <f t="shared" si="50"/>
        <v>#N/A</v>
      </c>
      <c r="AJ890" t="e">
        <f t="shared" si="51"/>
        <v>#N/A</v>
      </c>
      <c r="AK890">
        <f>IF(AND(ISNUMBER($N890),$N890&gt;0,ISNUMBER($Y890)),$Y890/$N890,"")</f>
      </c>
    </row>
    <row r="891" spans="1:36" ht="15" customHeight="1">
      <c r="A891" s="62">
        <v>8</v>
      </c>
      <c r="B891" s="59">
        <v>887</v>
      </c>
      <c r="AI891" t="e">
        <f t="shared" si="50"/>
        <v>#N/A</v>
      </c>
      <c r="AJ891" t="e">
        <f t="shared" si="51"/>
        <v>#N/A</v>
      </c>
      <c r="AK891">
        <f>IF(AND(ISNUMBER($N891),$N891&gt;0,ISNUMBER($Y891)),$Y891/$N891,"")</f>
      </c>
    </row>
    <row r="892" spans="1:36" ht="15" customHeight="1">
      <c r="A892" s="62">
        <v>8</v>
      </c>
      <c r="B892" s="59">
        <v>888</v>
      </c>
      <c r="AI892" t="e">
        <f t="shared" si="50"/>
        <v>#N/A</v>
      </c>
      <c r="AJ892" t="e">
        <f t="shared" si="51"/>
        <v>#N/A</v>
      </c>
      <c r="AK892">
        <f>IF(AND(ISNUMBER($N892),$N892&gt;0,ISNUMBER($Y892)),$Y892/$N892,"")</f>
      </c>
    </row>
    <row r="893" spans="1:36" ht="15" customHeight="1">
      <c r="A893" s="62">
        <v>8</v>
      </c>
      <c r="B893" s="59">
        <v>889</v>
      </c>
      <c r="AI893" t="e">
        <f t="shared" si="50"/>
        <v>#N/A</v>
      </c>
      <c r="AJ893" t="e">
        <f t="shared" si="51"/>
        <v>#N/A</v>
      </c>
      <c r="AK893">
        <f>IF(AND(ISNUMBER($N893),$N893&gt;0,ISNUMBER($Y893)),$Y893/$N893,"")</f>
      </c>
    </row>
    <row r="894" spans="1:36" ht="15" customHeight="1">
      <c r="A894" s="62">
        <v>8</v>
      </c>
      <c r="B894" s="59">
        <v>890</v>
      </c>
      <c r="AI894" t="e">
        <f t="shared" si="50"/>
        <v>#N/A</v>
      </c>
      <c r="AJ894" t="e">
        <f t="shared" si="51"/>
        <v>#N/A</v>
      </c>
      <c r="AK894">
        <f>IF(AND(ISNUMBER($N894),$N894&gt;0,ISNUMBER($Y894)),$Y894/$N894,"")</f>
      </c>
    </row>
    <row r="895" spans="1:36" ht="15" customHeight="1">
      <c r="A895" s="62">
        <v>8</v>
      </c>
      <c r="B895" s="59">
        <v>891</v>
      </c>
      <c r="AI895" t="e">
        <f t="shared" si="50"/>
        <v>#N/A</v>
      </c>
      <c r="AJ895" t="e">
        <f t="shared" si="51"/>
        <v>#N/A</v>
      </c>
      <c r="AK895">
        <f>IF(AND(ISNUMBER($N895),$N895&gt;0,ISNUMBER($Y895)),$Y895/$N895,"")</f>
      </c>
    </row>
    <row r="896" spans="1:36" ht="15" customHeight="1">
      <c r="A896" s="62">
        <v>8</v>
      </c>
      <c r="B896" s="59">
        <v>892</v>
      </c>
      <c r="AI896" t="e">
        <f t="shared" si="50"/>
        <v>#N/A</v>
      </c>
      <c r="AJ896" t="e">
        <f t="shared" si="51"/>
        <v>#N/A</v>
      </c>
      <c r="AK896">
        <f>IF(AND(ISNUMBER($N896),$N896&gt;0,ISNUMBER($Y896)),$Y896/$N896,"")</f>
      </c>
    </row>
    <row r="897" spans="1:36" ht="15" customHeight="1">
      <c r="A897" s="62">
        <v>8</v>
      </c>
      <c r="B897" s="59">
        <v>893</v>
      </c>
      <c r="AI897" t="e">
        <f t="shared" si="50"/>
        <v>#N/A</v>
      </c>
      <c r="AJ897" t="e">
        <f t="shared" si="51"/>
        <v>#N/A</v>
      </c>
      <c r="AK897">
        <f>IF(AND(ISNUMBER($N897),$N897&gt;0,ISNUMBER($Y897)),$Y897/$N897,"")</f>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c r="AK898">
        <f>IF(AND(ISNUMBER($N898),$N898&gt;0,ISNUMBER($Y898)),$Y898/$N898,"")</f>
      </c>
    </row>
    <row r="899" spans="1:36" ht="15" customHeight="1">
      <c r="A899" s="62">
        <v>8</v>
      </c>
      <c r="B899" s="59">
        <v>895</v>
      </c>
      <c r="AI899" t="e">
        <f t="shared" si="52"/>
        <v>#N/A</v>
      </c>
      <c r="AJ899" t="e">
        <f t="shared" si="53"/>
        <v>#N/A</v>
      </c>
      <c r="AK899">
        <f>IF(AND(ISNUMBER($N899),$N899&gt;0,ISNUMBER($Y899)),$Y899/$N899,"")</f>
      </c>
    </row>
    <row r="900" spans="1:36" ht="15" customHeight="1">
      <c r="A900" s="62">
        <v>8</v>
      </c>
      <c r="B900" s="59">
        <v>896</v>
      </c>
      <c r="AI900" t="e">
        <f t="shared" si="52"/>
        <v>#N/A</v>
      </c>
      <c r="AJ900" t="e">
        <f t="shared" si="53"/>
        <v>#N/A</v>
      </c>
      <c r="AK900">
        <f>IF(AND(ISNUMBER($N900),$N900&gt;0,ISNUMBER($Y900)),$Y900/$N900,"")</f>
      </c>
    </row>
    <row r="901" spans="1:36" ht="15" customHeight="1">
      <c r="A901" s="62">
        <v>8</v>
      </c>
      <c r="B901" s="59">
        <v>897</v>
      </c>
      <c r="AI901" t="e">
        <f t="shared" si="52"/>
        <v>#N/A</v>
      </c>
      <c r="AJ901" t="e">
        <f t="shared" si="53"/>
        <v>#N/A</v>
      </c>
      <c r="AK901">
        <f>IF(AND(ISNUMBER($N901),$N901&gt;0,ISNUMBER($Y901)),$Y901/$N901,"")</f>
      </c>
    </row>
    <row r="902" spans="1:36" ht="15" customHeight="1">
      <c r="A902" s="62">
        <v>8</v>
      </c>
      <c r="B902" s="59">
        <v>898</v>
      </c>
      <c r="AI902" t="e">
        <f t="shared" si="52"/>
        <v>#N/A</v>
      </c>
      <c r="AJ902" t="e">
        <f t="shared" si="53"/>
        <v>#N/A</v>
      </c>
      <c r="AK902">
        <f>IF(AND(ISNUMBER($N902),$N902&gt;0,ISNUMBER($Y902)),$Y902/$N902,"")</f>
      </c>
    </row>
    <row r="903" spans="1:36" ht="15" customHeight="1">
      <c r="A903" s="62">
        <v>8</v>
      </c>
      <c r="B903" s="59">
        <v>899</v>
      </c>
      <c r="AI903" t="e">
        <f t="shared" si="52"/>
        <v>#N/A</v>
      </c>
      <c r="AJ903" t="e">
        <f t="shared" si="53"/>
        <v>#N/A</v>
      </c>
      <c r="AK903">
        <f>IF(AND(ISNUMBER($N903),$N903&gt;0,ISNUMBER($Y903)),$Y903/$N903,"")</f>
      </c>
    </row>
    <row r="904" spans="1:36" ht="15" customHeight="1">
      <c r="A904" s="62">
        <v>8</v>
      </c>
      <c r="B904" s="59">
        <v>900</v>
      </c>
      <c r="AI904" t="e">
        <f t="shared" si="52"/>
        <v>#N/A</v>
      </c>
      <c r="AJ904" t="e">
        <f t="shared" si="53"/>
        <v>#N/A</v>
      </c>
      <c r="AK904">
        <f>IF(AND(ISNUMBER($N904),$N904&gt;0,ISNUMBER($Y904)),$Y904/$N904,"")</f>
      </c>
    </row>
    <row r="905" spans="1:36" ht="15" customHeight="1">
      <c r="A905" s="62">
        <v>8</v>
      </c>
      <c r="B905" s="59">
        <v>901</v>
      </c>
      <c r="AI905" t="e">
        <f t="shared" si="52"/>
        <v>#N/A</v>
      </c>
      <c r="AJ905" t="e">
        <f t="shared" si="53"/>
        <v>#N/A</v>
      </c>
      <c r="AK905">
        <f>IF(AND(ISNUMBER($N905),$N905&gt;0,ISNUMBER($Y905)),$Y905/$N905,"")</f>
      </c>
    </row>
    <row r="906" spans="1:36" ht="15" customHeight="1">
      <c r="A906" s="62">
        <v>8</v>
      </c>
      <c r="B906" s="59">
        <v>902</v>
      </c>
      <c r="AI906" t="e">
        <f t="shared" si="52"/>
        <v>#N/A</v>
      </c>
      <c r="AJ906" t="e">
        <f t="shared" si="53"/>
        <v>#N/A</v>
      </c>
      <c r="AK906">
        <f>IF(AND(ISNUMBER($N906),$N906&gt;0,ISNUMBER($Y906)),$Y906/$N906,"")</f>
      </c>
    </row>
    <row r="907" spans="1:36" ht="15" customHeight="1">
      <c r="A907" s="62">
        <v>8</v>
      </c>
      <c r="B907" s="59">
        <v>903</v>
      </c>
      <c r="AI907" t="e">
        <f t="shared" si="52"/>
        <v>#N/A</v>
      </c>
      <c r="AJ907" t="e">
        <f t="shared" si="53"/>
        <v>#N/A</v>
      </c>
      <c r="AK907">
        <f>IF(AND(ISNUMBER($N907),$N907&gt;0,ISNUMBER($Y907)),$Y907/$N907,"")</f>
      </c>
    </row>
    <row r="908" spans="1:36" ht="15" customHeight="1">
      <c r="A908" s="62">
        <v>8</v>
      </c>
      <c r="B908" s="59">
        <v>904</v>
      </c>
      <c r="AI908" t="e">
        <f t="shared" si="52"/>
        <v>#N/A</v>
      </c>
      <c r="AJ908" t="e">
        <f t="shared" si="53"/>
        <v>#N/A</v>
      </c>
      <c r="AK908">
        <f>IF(AND(ISNUMBER($N908),$N908&gt;0,ISNUMBER($Y908)),$Y908/$N908,"")</f>
      </c>
    </row>
    <row r="909" spans="1:36" ht="15" customHeight="1">
      <c r="A909" s="62">
        <v>8</v>
      </c>
      <c r="B909" s="59">
        <v>905</v>
      </c>
      <c r="AI909" t="e">
        <f t="shared" si="52"/>
        <v>#N/A</v>
      </c>
      <c r="AJ909" t="e">
        <f t="shared" si="53"/>
        <v>#N/A</v>
      </c>
      <c r="AK909">
        <f>IF(AND(ISNUMBER($N909),$N909&gt;0,ISNUMBER($Y909)),$Y909/$N909,"")</f>
      </c>
    </row>
    <row r="910" spans="1:36" ht="15" customHeight="1">
      <c r="A910" s="62">
        <v>8</v>
      </c>
      <c r="B910" s="59">
        <v>906</v>
      </c>
      <c r="AI910" t="e">
        <f t="shared" si="52"/>
        <v>#N/A</v>
      </c>
      <c r="AJ910" t="e">
        <f t="shared" si="53"/>
        <v>#N/A</v>
      </c>
      <c r="AK910">
        <f>IF(AND(ISNUMBER($N910),$N910&gt;0,ISNUMBER($Y910)),$Y910/$N910,"")</f>
      </c>
    </row>
    <row r="911" spans="1:36" ht="15" customHeight="1">
      <c r="A911" s="62">
        <v>8</v>
      </c>
      <c r="B911" s="59">
        <v>907</v>
      </c>
      <c r="AI911" t="e">
        <f t="shared" si="52"/>
        <v>#N/A</v>
      </c>
      <c r="AJ911" t="e">
        <f t="shared" si="53"/>
        <v>#N/A</v>
      </c>
      <c r="AK911">
        <f>IF(AND(ISNUMBER($N911),$N911&gt;0,ISNUMBER($Y911)),$Y911/$N911,"")</f>
      </c>
    </row>
    <row r="912" spans="1:36" ht="15" customHeight="1">
      <c r="A912" s="62">
        <v>8</v>
      </c>
      <c r="B912" s="59">
        <v>908</v>
      </c>
      <c r="AI912" t="e">
        <f t="shared" si="52"/>
        <v>#N/A</v>
      </c>
      <c r="AJ912" t="e">
        <f t="shared" si="53"/>
        <v>#N/A</v>
      </c>
      <c r="AK912">
        <f>IF(AND(ISNUMBER($N912),$N912&gt;0,ISNUMBER($Y912)),$Y912/$N912,"")</f>
      </c>
    </row>
    <row r="913" spans="1:36" ht="15" customHeight="1">
      <c r="A913" s="62">
        <v>8</v>
      </c>
      <c r="B913" s="59">
        <v>909</v>
      </c>
      <c r="AI913" t="e">
        <f t="shared" si="52"/>
        <v>#N/A</v>
      </c>
      <c r="AJ913" t="e">
        <f t="shared" si="53"/>
        <v>#N/A</v>
      </c>
      <c r="AK913">
        <f>IF(AND(ISNUMBER($N913),$N913&gt;0,ISNUMBER($Y913)),$Y913/$N913,"")</f>
      </c>
    </row>
    <row r="914" spans="1:36" ht="15" customHeight="1">
      <c r="A914" s="62">
        <v>8</v>
      </c>
      <c r="B914" s="59">
        <v>910</v>
      </c>
      <c r="AI914" t="e">
        <f t="shared" si="52"/>
        <v>#N/A</v>
      </c>
      <c r="AJ914" t="e">
        <f t="shared" si="53"/>
        <v>#N/A</v>
      </c>
      <c r="AK914">
        <f>IF(AND(ISNUMBER($N914),$N914&gt;0,ISNUMBER($Y914)),$Y914/$N914,"")</f>
      </c>
    </row>
    <row r="915" spans="1:36" ht="15" customHeight="1">
      <c r="A915" s="62">
        <v>8</v>
      </c>
      <c r="B915" s="59">
        <v>911</v>
      </c>
      <c r="AI915" t="e">
        <f t="shared" si="52"/>
        <v>#N/A</v>
      </c>
      <c r="AJ915" t="e">
        <f t="shared" si="53"/>
        <v>#N/A</v>
      </c>
      <c r="AK915">
        <f>IF(AND(ISNUMBER($N915),$N915&gt;0,ISNUMBER($Y915)),$Y915/$N915,"")</f>
      </c>
    </row>
    <row r="916" spans="1:36" ht="15" customHeight="1">
      <c r="A916" s="62">
        <v>8</v>
      </c>
      <c r="B916" s="59">
        <v>912</v>
      </c>
      <c r="AI916" t="e">
        <f t="shared" si="52"/>
        <v>#N/A</v>
      </c>
      <c r="AJ916" t="e">
        <f t="shared" si="53"/>
        <v>#N/A</v>
      </c>
      <c r="AK916">
        <f>IF(AND(ISNUMBER($N916),$N916&gt;0,ISNUMBER($Y916)),$Y916/$N916,"")</f>
      </c>
    </row>
    <row r="917" spans="1:36" ht="15" customHeight="1">
      <c r="A917" s="62">
        <v>8</v>
      </c>
      <c r="B917" s="59">
        <v>913</v>
      </c>
      <c r="AI917" t="e">
        <f t="shared" si="52"/>
        <v>#N/A</v>
      </c>
      <c r="AJ917" t="e">
        <f t="shared" si="53"/>
        <v>#N/A</v>
      </c>
      <c r="AK917">
        <f>IF(AND(ISNUMBER($N917),$N917&gt;0,ISNUMBER($Y917)),$Y917/$N917,"")</f>
      </c>
    </row>
    <row r="918" spans="1:36" ht="15" customHeight="1">
      <c r="A918" s="62">
        <v>8</v>
      </c>
      <c r="B918" s="59">
        <v>914</v>
      </c>
      <c r="AI918" t="e">
        <f t="shared" si="52"/>
        <v>#N/A</v>
      </c>
      <c r="AJ918" t="e">
        <f t="shared" si="53"/>
        <v>#N/A</v>
      </c>
      <c r="AK918">
        <f>IF(AND(ISNUMBER($N918),$N918&gt;0,ISNUMBER($Y918)),$Y918/$N918,"")</f>
      </c>
    </row>
    <row r="919" spans="1:36" ht="15" customHeight="1">
      <c r="A919" s="62">
        <v>8</v>
      </c>
      <c r="B919" s="59">
        <v>915</v>
      </c>
      <c r="AI919" t="e">
        <f t="shared" si="52"/>
        <v>#N/A</v>
      </c>
      <c r="AJ919" t="e">
        <f t="shared" si="53"/>
        <v>#N/A</v>
      </c>
      <c r="AK919">
        <f>IF(AND(ISNUMBER($N919),$N919&gt;0,ISNUMBER($Y919)),$Y919/$N919,"")</f>
      </c>
    </row>
    <row r="920" spans="1:36" ht="15" customHeight="1">
      <c r="A920" s="62">
        <v>8</v>
      </c>
      <c r="B920" s="59">
        <v>916</v>
      </c>
      <c r="AI920" t="e">
        <f t="shared" si="52"/>
        <v>#N/A</v>
      </c>
      <c r="AJ920" t="e">
        <f t="shared" si="53"/>
        <v>#N/A</v>
      </c>
      <c r="AK920">
        <f>IF(AND(ISNUMBER($N920),$N920&gt;0,ISNUMBER($Y920)),$Y920/$N920,"")</f>
      </c>
    </row>
    <row r="921" spans="1:36" ht="15" customHeight="1">
      <c r="A921" s="62">
        <v>8</v>
      </c>
      <c r="B921" s="59">
        <v>917</v>
      </c>
      <c r="AI921" t="e">
        <f t="shared" si="52"/>
        <v>#N/A</v>
      </c>
      <c r="AJ921" t="e">
        <f t="shared" si="53"/>
        <v>#N/A</v>
      </c>
      <c r="AK921">
        <f>IF(AND(ISNUMBER($N921),$N921&gt;0,ISNUMBER($Y921)),$Y921/$N921,"")</f>
      </c>
    </row>
    <row r="922" spans="1:36" ht="15" customHeight="1">
      <c r="A922" s="62">
        <v>8</v>
      </c>
      <c r="B922" s="59">
        <v>918</v>
      </c>
      <c r="AI922" t="e">
        <f t="shared" si="52"/>
        <v>#N/A</v>
      </c>
      <c r="AJ922" t="e">
        <f t="shared" si="53"/>
        <v>#N/A</v>
      </c>
      <c r="AK922">
        <f>IF(AND(ISNUMBER($N922),$N922&gt;0,ISNUMBER($Y922)),$Y922/$N922,"")</f>
      </c>
    </row>
    <row r="923" spans="1:36" ht="15" customHeight="1">
      <c r="A923" s="62">
        <v>8</v>
      </c>
      <c r="B923" s="59">
        <v>919</v>
      </c>
      <c r="AI923" t="e">
        <f t="shared" si="52"/>
        <v>#N/A</v>
      </c>
      <c r="AJ923" t="e">
        <f t="shared" si="53"/>
        <v>#N/A</v>
      </c>
      <c r="AK923">
        <f>IF(AND(ISNUMBER($N923),$N923&gt;0,ISNUMBER($Y923)),$Y923/$N923,"")</f>
      </c>
    </row>
    <row r="924" spans="1:36" ht="15" customHeight="1">
      <c r="A924" s="62">
        <v>8</v>
      </c>
      <c r="B924" s="59">
        <v>920</v>
      </c>
      <c r="AI924" t="e">
        <f t="shared" si="52"/>
        <v>#N/A</v>
      </c>
      <c r="AJ924" t="e">
        <f t="shared" si="53"/>
        <v>#N/A</v>
      </c>
      <c r="AK924">
        <f>IF(AND(ISNUMBER($N924),$N924&gt;0,ISNUMBER($Y924)),$Y924/$N924,"")</f>
      </c>
    </row>
    <row r="925" spans="1:36" ht="15" customHeight="1">
      <c r="A925" s="62">
        <v>8</v>
      </c>
      <c r="B925" s="59">
        <v>921</v>
      </c>
      <c r="AI925" t="e">
        <f t="shared" si="52"/>
        <v>#N/A</v>
      </c>
      <c r="AJ925" t="e">
        <f t="shared" si="53"/>
        <v>#N/A</v>
      </c>
      <c r="AK925">
        <f>IF(AND(ISNUMBER($N925),$N925&gt;0,ISNUMBER($Y925)),$Y925/$N925,"")</f>
      </c>
    </row>
    <row r="926" spans="1:36" ht="15" customHeight="1">
      <c r="A926" s="62">
        <v>8</v>
      </c>
      <c r="B926" s="59">
        <v>922</v>
      </c>
      <c r="AI926" t="e">
        <f t="shared" si="52"/>
        <v>#N/A</v>
      </c>
      <c r="AJ926" t="e">
        <f t="shared" si="53"/>
        <v>#N/A</v>
      </c>
      <c r="AK926">
        <f>IF(AND(ISNUMBER($N926),$N926&gt;0,ISNUMBER($Y926)),$Y926/$N926,"")</f>
      </c>
    </row>
    <row r="927" spans="1:36" ht="15" customHeight="1">
      <c r="A927" s="62">
        <v>8</v>
      </c>
      <c r="B927" s="59">
        <v>923</v>
      </c>
      <c r="AI927" t="e">
        <f t="shared" si="52"/>
        <v>#N/A</v>
      </c>
      <c r="AJ927" t="e">
        <f t="shared" si="53"/>
        <v>#N/A</v>
      </c>
      <c r="AK927">
        <f>IF(AND(ISNUMBER($N927),$N927&gt;0,ISNUMBER($Y927)),$Y927/$N927,"")</f>
      </c>
    </row>
    <row r="928" spans="1:36" ht="15" customHeight="1">
      <c r="A928" s="62">
        <v>8</v>
      </c>
      <c r="B928" s="59">
        <v>924</v>
      </c>
      <c r="AI928" t="e">
        <f t="shared" si="52"/>
        <v>#N/A</v>
      </c>
      <c r="AJ928" t="e">
        <f t="shared" si="53"/>
        <v>#N/A</v>
      </c>
      <c r="AK928">
        <f>IF(AND(ISNUMBER($N928),$N928&gt;0,ISNUMBER($Y928)),$Y928/$N928,"")</f>
      </c>
    </row>
    <row r="929" spans="1:36" ht="15" customHeight="1">
      <c r="A929" s="62">
        <v>8</v>
      </c>
      <c r="B929" s="59">
        <v>925</v>
      </c>
      <c r="AI929" t="e">
        <f t="shared" si="52"/>
        <v>#N/A</v>
      </c>
      <c r="AJ929" t="e">
        <f t="shared" si="53"/>
        <v>#N/A</v>
      </c>
      <c r="AK929">
        <f>IF(AND(ISNUMBER($N929),$N929&gt;0,ISNUMBER($Y929)),$Y929/$N929,"")</f>
      </c>
    </row>
    <row r="930" spans="1:36" ht="15" customHeight="1">
      <c r="A930" s="62">
        <v>8</v>
      </c>
      <c r="B930" s="59">
        <v>926</v>
      </c>
      <c r="AI930" t="e">
        <f t="shared" si="52"/>
        <v>#N/A</v>
      </c>
      <c r="AJ930" t="e">
        <f t="shared" si="53"/>
        <v>#N/A</v>
      </c>
      <c r="AK930">
        <f>IF(AND(ISNUMBER($N930),$N930&gt;0,ISNUMBER($Y930)),$Y930/$N930,"")</f>
      </c>
    </row>
    <row r="931" spans="1:36" ht="15" customHeight="1">
      <c r="A931" s="62">
        <v>8</v>
      </c>
      <c r="B931" s="59">
        <v>927</v>
      </c>
      <c r="AI931" t="e">
        <f t="shared" si="52"/>
        <v>#N/A</v>
      </c>
      <c r="AJ931" t="e">
        <f t="shared" si="53"/>
        <v>#N/A</v>
      </c>
      <c r="AK931">
        <f>IF(AND(ISNUMBER($N931),$N931&gt;0,ISNUMBER($Y931)),$Y931/$N931,"")</f>
      </c>
    </row>
    <row r="932" spans="1:36" ht="15" customHeight="1">
      <c r="A932" s="62">
        <v>8</v>
      </c>
      <c r="B932" s="59">
        <v>928</v>
      </c>
      <c r="AI932" t="e">
        <f t="shared" si="52"/>
        <v>#N/A</v>
      </c>
      <c r="AJ932" t="e">
        <f t="shared" si="53"/>
        <v>#N/A</v>
      </c>
      <c r="AK932">
        <f>IF(AND(ISNUMBER($N932),$N932&gt;0,ISNUMBER($Y932)),$Y932/$N932,"")</f>
      </c>
    </row>
    <row r="933" spans="1:36" ht="15" customHeight="1">
      <c r="A933" s="62">
        <v>8</v>
      </c>
      <c r="B933" s="59">
        <v>929</v>
      </c>
      <c r="AI933" t="e">
        <f t="shared" si="52"/>
        <v>#N/A</v>
      </c>
      <c r="AJ933" t="e">
        <f t="shared" si="53"/>
        <v>#N/A</v>
      </c>
      <c r="AK933">
        <f>IF(AND(ISNUMBER($N933),$N933&gt;0,ISNUMBER($Y933)),$Y933/$N933,"")</f>
      </c>
    </row>
    <row r="934" spans="1:36" ht="15" customHeight="1">
      <c r="A934" s="62">
        <v>8</v>
      </c>
      <c r="B934" s="59">
        <v>930</v>
      </c>
      <c r="AI934" t="e">
        <f t="shared" si="52"/>
        <v>#N/A</v>
      </c>
      <c r="AJ934" t="e">
        <f t="shared" si="53"/>
        <v>#N/A</v>
      </c>
      <c r="AK934">
        <f>IF(AND(ISNUMBER($N934),$N934&gt;0,ISNUMBER($Y934)),$Y934/$N934,"")</f>
      </c>
    </row>
    <row r="935" spans="1:36" ht="15" customHeight="1">
      <c r="A935" s="62">
        <v>8</v>
      </c>
      <c r="B935" s="59">
        <v>931</v>
      </c>
      <c r="AI935" t="e">
        <f t="shared" si="52"/>
        <v>#N/A</v>
      </c>
      <c r="AJ935" t="e">
        <f t="shared" si="53"/>
        <v>#N/A</v>
      </c>
      <c r="AK935">
        <f>IF(AND(ISNUMBER($N935),$N935&gt;0,ISNUMBER($Y935)),$Y935/$N935,"")</f>
      </c>
    </row>
    <row r="936" spans="1:36" ht="15" customHeight="1">
      <c r="A936" s="62">
        <v>8</v>
      </c>
      <c r="B936" s="59">
        <v>932</v>
      </c>
      <c r="AI936" t="e">
        <f t="shared" si="52"/>
        <v>#N/A</v>
      </c>
      <c r="AJ936" t="e">
        <f t="shared" si="53"/>
        <v>#N/A</v>
      </c>
      <c r="AK936">
        <f>IF(AND(ISNUMBER($N936),$N936&gt;0,ISNUMBER($Y936)),$Y936/$N936,"")</f>
      </c>
    </row>
    <row r="937" spans="1:36" ht="15" customHeight="1">
      <c r="A937" s="62">
        <v>8</v>
      </c>
      <c r="B937" s="59">
        <v>933</v>
      </c>
      <c r="AI937" t="e">
        <f t="shared" si="52"/>
        <v>#N/A</v>
      </c>
      <c r="AJ937" t="e">
        <f t="shared" si="53"/>
        <v>#N/A</v>
      </c>
      <c r="AK937">
        <f>IF(AND(ISNUMBER($N937),$N937&gt;0,ISNUMBER($Y937)),$Y937/$N937,"")</f>
      </c>
    </row>
    <row r="938" spans="1:36" ht="15" customHeight="1">
      <c r="A938" s="62">
        <v>8</v>
      </c>
      <c r="B938" s="59">
        <v>934</v>
      </c>
      <c r="AI938" t="e">
        <f t="shared" si="52"/>
        <v>#N/A</v>
      </c>
      <c r="AJ938" t="e">
        <f t="shared" si="53"/>
        <v>#N/A</v>
      </c>
      <c r="AK938">
        <f>IF(AND(ISNUMBER($N938),$N938&gt;0,ISNUMBER($Y938)),$Y938/$N938,"")</f>
      </c>
    </row>
    <row r="939" spans="1:36" ht="15" customHeight="1">
      <c r="A939" s="62">
        <v>8</v>
      </c>
      <c r="B939" s="59">
        <v>935</v>
      </c>
      <c r="AI939" t="e">
        <f t="shared" si="52"/>
        <v>#N/A</v>
      </c>
      <c r="AJ939" t="e">
        <f t="shared" si="53"/>
        <v>#N/A</v>
      </c>
      <c r="AK939">
        <f>IF(AND(ISNUMBER($N939),$N939&gt;0,ISNUMBER($Y939)),$Y939/$N939,"")</f>
      </c>
    </row>
    <row r="940" spans="1:36" ht="15" customHeight="1">
      <c r="A940" s="62">
        <v>8</v>
      </c>
      <c r="B940" s="59">
        <v>936</v>
      </c>
      <c r="AI940" t="e">
        <f t="shared" si="52"/>
        <v>#N/A</v>
      </c>
      <c r="AJ940" t="e">
        <f t="shared" si="53"/>
        <v>#N/A</v>
      </c>
      <c r="AK940">
        <f>IF(AND(ISNUMBER($N940),$N940&gt;0,ISNUMBER($Y940)),$Y940/$N940,"")</f>
      </c>
    </row>
    <row r="941" spans="1:36" ht="15" customHeight="1">
      <c r="A941" s="62">
        <v>8</v>
      </c>
      <c r="B941" s="59">
        <v>937</v>
      </c>
      <c r="AI941" t="e">
        <f t="shared" si="52"/>
        <v>#N/A</v>
      </c>
      <c r="AJ941" t="e">
        <f t="shared" si="53"/>
        <v>#N/A</v>
      </c>
      <c r="AK941">
        <f>IF(AND(ISNUMBER($N941),$N941&gt;0,ISNUMBER($Y941)),$Y941/$N941,"")</f>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c r="AL1" t="inlineStr">
        <is>
          <t xml:space="preserve">Rent / Unit-Key</t>
        </is>
      </c>
    </row>
    <row r="2" spans="1:43" ht="13.5" customHeight="1" thickTop="1">
      <c r="A2" s="60">
        <v>5</v>
      </c>
      <c r="O2" s="85"/>
      <c r="P2" s="86"/>
      <c r="Q2" s="84"/>
      <c r="AB2" s="65"/>
      <c r="AC2" s="66"/>
      <c r="AL2">
        <f>IF(AND(ISNUMBER($S2),$S2&gt;0,ISNUMBER($K2),ISNUMBER($J2)),($K2*$J2)/$S2,"")</f>
      </c>
    </row>
    <row r="3" spans="1:43">
      <c r="A3" s="60">
        <v>5</v>
      </c>
      <c r="O3" s="86"/>
      <c r="P3" s="86"/>
      <c r="Q3" s="32"/>
      <c r="AC3" s="66"/>
      <c r="AL3">
        <f>IF(AND(ISNUMBER($S3),$S3&gt;0,ISNUMBER($K3),ISNUMBER($J3)),($K3*$J3)/$S3,"")</f>
      </c>
    </row>
    <row r="4" spans="1:43">
      <c r="A4" s="60">
        <v>5</v>
      </c>
      <c r="AB4" s="65"/>
      <c r="AC4" s="66"/>
      <c r="AL4">
        <f>IF(AND(ISNUMBER($S4),$S4&gt;0,ISNUMBER($K4),ISNUMBER($J4)),($K4*$J4)/$S4,"")</f>
      </c>
    </row>
    <row r="5" spans="1:43">
      <c r="A5" s="60">
        <v>5</v>
      </c>
      <c r="AB5" s="65"/>
      <c r="AC5" s="66"/>
      <c r="AL5">
        <f>IF(AND(ISNUMBER($S5),$S5&gt;0,ISNUMBER($K5),ISNUMBER($J5)),($K5*$J5)/$S5,"")</f>
      </c>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c r="AL6">
        <f>IF(AND(ISNUMBER($S6),$S6&gt;0,ISNUMBER($K6),ISNUMBER($J6)),($K6*$J6)/$S6,"")</f>
      </c>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c r="AL7">
        <f>IF(AND(ISNUMBER($S7),$S7&gt;0,ISNUMBER($K7),ISNUMBER($J7)),($K7*$J7)/$S7,"")</f>
      </c>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c r="AL8">
        <f>IF(AND(ISNUMBER($S8),$S8&gt;0,ISNUMBER($K8),ISNUMBER($J8)),($K8*$J8)/$S8,"")</f>
      </c>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c r="AL9">
        <f>IF(AND(ISNUMBER($S9),$S9&gt;0,ISNUMBER($K9),ISNUMBER($J9)),($K9*$J9)/$S9,"")</f>
      </c>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c r="AL10">
        <f>IF(AND(ISNUMBER($S10),$S10&gt;0,ISNUMBER($K10),ISNUMBER($J10)),($K10*$J10)/$S10,"")</f>
      </c>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c r="AL11">
        <f>IF(AND(ISNUMBER($S11),$S11&gt;0,ISNUMBER($K11),ISNUMBER($J11)),($K11*$J11)/$S11,"")</f>
      </c>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c r="AL12">
        <f>IF(AND(ISNUMBER($S12),$S12&gt;0,ISNUMBER($K12),ISNUMBER($J12)),($K12*$J12)/$S12,"")</f>
      </c>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c r="AL13">
        <f>IF(AND(ISNUMBER($S13),$S13&gt;0,ISNUMBER($K13),ISNUMBER($J13)),($K13*$J13)/$S13,"")</f>
      </c>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c r="AL14">
        <f>IF(AND(ISNUMBER($S14),$S14&gt;0,ISNUMBER($K14),ISNUMBER($J14)),($K14*$J14)/$S14,"")</f>
      </c>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c r="AL15">
        <f>IF(AND(ISNUMBER($S15),$S15&gt;0,ISNUMBER($K15),ISNUMBER($J15)),($K15*$J15)/$S15,"")</f>
      </c>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c r="AL16">
        <f>IF(AND(ISNUMBER($S16),$S16&gt;0,ISNUMBER($K16),ISNUMBER($J16)),($K16*$J16)/$S16,"")</f>
      </c>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c r="AL17">
        <f>IF(AND(ISNUMBER($S17),$S17&gt;0,ISNUMBER($K17),ISNUMBER($J17)),($K17*$J17)/$S17,"")</f>
      </c>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c r="AL18">
        <f>IF(AND(ISNUMBER($S18),$S18&gt;0,ISNUMBER($K18),ISNUMBER($J18)),($K18*$J18)/$S18,"")</f>
      </c>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c r="AL19">
        <f>IF(AND(ISNUMBER($S19),$S19&gt;0,ISNUMBER($K19),ISNUMBER($J19)),($K19*$J19)/$S19,"")</f>
      </c>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c r="AL20">
        <f>IF(AND(ISNUMBER($S20),$S20&gt;0,ISNUMBER($K20),ISNUMBER($J20)),($K20*$J20)/$S20,"")</f>
      </c>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c r="AL21">
        <f>IF(AND(ISNUMBER($S21),$S21&gt;0,ISNUMBER($K21),ISNUMBER($J21)),($K21*$J21)/$S21,"")</f>
      </c>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c r="AL22">
        <f>IF(AND(ISNUMBER($S22),$S22&gt;0,ISNUMBER($K22),ISNUMBER($J22)),($K22*$J22)/$S22,"")</f>
      </c>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c r="AL23">
        <f>IF(AND(ISNUMBER($S23),$S23&gt;0,ISNUMBER($K23),ISNUMBER($J23)),($K23*$J23)/$S23,"")</f>
      </c>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c r="AL24">
        <f>IF(AND(ISNUMBER($S24),$S24&gt;0,ISNUMBER($K24),ISNUMBER($J24)),($K24*$J24)/$S24,"")</f>
      </c>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c r="AL25">
        <f>IF(AND(ISNUMBER($S25),$S25&gt;0,ISNUMBER($K25),ISNUMBER($J25)),($K25*$J25)/$S25,"")</f>
      </c>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c r="AL26">
        <f>IF(AND(ISNUMBER($S26),$S26&gt;0,ISNUMBER($K26),ISNUMBER($J26)),($K26*$J26)/$S26,"")</f>
      </c>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c r="AL27">
        <f>IF(AND(ISNUMBER($S27),$S27&gt;0,ISNUMBER($K27),ISNUMBER($J27)),($K27*$J27)/$S27,"")</f>
      </c>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c r="AL28">
        <f>IF(AND(ISNUMBER($S28),$S28&gt;0,ISNUMBER($K28),ISNUMBER($J28)),($K28*$J28)/$S28,"")</f>
      </c>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c r="AL29">
        <f>IF(AND(ISNUMBER($S29),$S29&gt;0,ISNUMBER($K29),ISNUMBER($J29)),($K29*$J29)/$S29,"")</f>
      </c>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c r="AL30">
        <f>IF(AND(ISNUMBER($S30),$S30&gt;0,ISNUMBER($K30),ISNUMBER($J30)),($K30*$J30)/$S30,"")</f>
      </c>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c r="AL31">
        <f>IF(AND(ISNUMBER($S31),$S31&gt;0,ISNUMBER($K31),ISNUMBER($J31)),($K31*$J31)/$S31,"")</f>
      </c>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c r="AL32">
        <f>IF(AND(ISNUMBER($S32),$S32&gt;0,ISNUMBER($K32),ISNUMBER($J32)),($K32*$J32)/$S32,"")</f>
      </c>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c r="AL33">
        <f>IF(AND(ISNUMBER($S33),$S33&gt;0,ISNUMBER($K33),ISNUMBER($J33)),($K33*$J33)/$S33,"")</f>
      </c>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c r="AL34">
        <f>IF(AND(ISNUMBER($S34),$S34&gt;0,ISNUMBER($K34),ISNUMBER($J34)),($K34*$J34)/$S34,"")</f>
      </c>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c r="AL35">
        <f>IF(AND(ISNUMBER($S35),$S35&gt;0,ISNUMBER($K35),ISNUMBER($J35)),($K35*$J35)/$S35,"")</f>
      </c>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c r="AL36">
        <f>IF(AND(ISNUMBER($S36),$S36&gt;0,ISNUMBER($K36),ISNUMBER($J36)),($K36*$J36)/$S36,"")</f>
      </c>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c r="AL37">
        <f>IF(AND(ISNUMBER($S37),$S37&gt;0,ISNUMBER($K37),ISNUMBER($J37)),($K37*$J37)/$S37,"")</f>
      </c>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c r="AL38">
        <f>IF(AND(ISNUMBER($S38),$S38&gt;0,ISNUMBER($K38),ISNUMBER($J38)),($K38*$J38)/$S38,"")</f>
      </c>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c r="AL39">
        <f>IF(AND(ISNUMBER($S39),$S39&gt;0,ISNUMBER($K39),ISNUMBER($J39)),($K39*$J39)/$S39,"")</f>
      </c>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c r="AL40">
        <f>IF(AND(ISNUMBER($S40),$S40&gt;0,ISNUMBER($K40),ISNUMBER($J40)),($K40*$J40)/$S40,"")</f>
      </c>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c r="AL41">
        <f>IF(AND(ISNUMBER($S41),$S41&gt;0,ISNUMBER($K41),ISNUMBER($J41)),($K41*$J41)/$S41,"")</f>
      </c>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c r="AL42">
        <f>IF(AND(ISNUMBER($S42),$S42&gt;0,ISNUMBER($K42),ISNUMBER($J42)),($K42*$J42)/$S42,"")</f>
      </c>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c r="AL43">
        <f>IF(AND(ISNUMBER($S43),$S43&gt;0,ISNUMBER($K43),ISNUMBER($J43)),($K43*$J43)/$S43,"")</f>
      </c>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c r="AL44">
        <f>IF(AND(ISNUMBER($S44),$S44&gt;0,ISNUMBER($K44),ISNUMBER($J44)),($K44*$J44)/$S44,"")</f>
      </c>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c r="AL45">
        <f>IF(AND(ISNUMBER($S45),$S45&gt;0,ISNUMBER($K45),ISNUMBER($J45)),($K45*$J45)/$S45,"")</f>
      </c>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c r="AL46">
        <f>IF(AND(ISNUMBER($S46),$S46&gt;0,ISNUMBER($K46),ISNUMBER($J46)),($K46*$J46)/$S46,"")</f>
      </c>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c r="AL47">
        <f>IF(AND(ISNUMBER($S47),$S47&gt;0,ISNUMBER($K47),ISNUMBER($J47)),($K47*$J47)/$S47,"")</f>
      </c>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c r="AL48">
        <f>IF(AND(ISNUMBER($S48),$S48&gt;0,ISNUMBER($K48),ISNUMBER($J48)),($K48*$J48)/$S48,"")</f>
      </c>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c r="AL49">
        <f>IF(AND(ISNUMBER($S49),$S49&gt;0,ISNUMBER($K49),ISNUMBER($J49)),($K49*$J49)/$S49,"")</f>
      </c>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c r="AL50">
        <f>IF(AND(ISNUMBER($S50),$S50&gt;0,ISNUMBER($K50),ISNUMBER($J50)),($K50*$J50)/$S50,"")</f>
      </c>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c r="AL51">
        <f>IF(AND(ISNUMBER($S51),$S51&gt;0,ISNUMBER($K51),ISNUMBER($J51)),($K51*$J51)/$S51,"")</f>
      </c>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c r="AL52">
        <f>IF(AND(ISNUMBER($S52),$S52&gt;0,ISNUMBER($K52),ISNUMBER($J52)),($K52*$J52)/$S52,"")</f>
      </c>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c r="AL53">
        <f>IF(AND(ISNUMBER($S53),$S53&gt;0,ISNUMBER($K53),ISNUMBER($J53)),($K53*$J53)/$S53,"")</f>
      </c>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c r="AL54">
        <f>IF(AND(ISNUMBER($S54),$S54&gt;0,ISNUMBER($K54),ISNUMBER($J54)),($K54*$J54)/$S54,"")</f>
      </c>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c r="AL55">
        <f>IF(AND(ISNUMBER($S55),$S55&gt;0,ISNUMBER($K55),ISNUMBER($J55)),($K55*$J55)/$S55,"")</f>
      </c>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c r="AL56">
        <f>IF(AND(ISNUMBER($S56),$S56&gt;0,ISNUMBER($K56),ISNUMBER($J56)),($K56*$J56)/$S56,"")</f>
      </c>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c r="AL57">
        <f>IF(AND(ISNUMBER($S57),$S57&gt;0,ISNUMBER($K57),ISNUMBER($J57)),($K57*$J57)/$S57,"")</f>
      </c>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c r="AL58">
        <f>IF(AND(ISNUMBER($S58),$S58&gt;0,ISNUMBER($K58),ISNUMBER($J58)),($K58*$J58)/$S58,"")</f>
      </c>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c r="AL59">
        <f>IF(AND(ISNUMBER($S59),$S59&gt;0,ISNUMBER($K59),ISNUMBER($J59)),($K59*$J59)/$S59,"")</f>
      </c>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c r="AL60">
        <f>IF(AND(ISNUMBER($S60),$S60&gt;0,ISNUMBER($K60),ISNUMBER($J60)),($K60*$J60)/$S60,"")</f>
      </c>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c r="AL61">
        <f>IF(AND(ISNUMBER($S61),$S61&gt;0,ISNUMBER($K61),ISNUMBER($J61)),($K61*$J61)/$S61,"")</f>
      </c>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c r="AL62">
        <f>IF(AND(ISNUMBER($S62),$S62&gt;0,ISNUMBER($K62),ISNUMBER($J62)),($K62*$J62)/$S62,"")</f>
      </c>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c r="AL63">
        <f>IF(AND(ISNUMBER($S63),$S63&gt;0,ISNUMBER($K63),ISNUMBER($J63)),($K63*$J63)/$S63,"")</f>
      </c>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c r="AL64">
        <f>IF(AND(ISNUMBER($S64),$S64&gt;0,ISNUMBER($K64),ISNUMBER($J64)),($K64*$J64)/$S64,"")</f>
      </c>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c r="AL65">
        <f>IF(AND(ISNUMBER($S65),$S65&gt;0,ISNUMBER($K65),ISNUMBER($J65)),($K65*$J65)/$S65,"")</f>
      </c>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c r="AL66">
        <f>IF(AND(ISNUMBER($S66),$S66&gt;0,ISNUMBER($K66),ISNUMBER($J66)),($K66*$J66)/$S66,"")</f>
      </c>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c r="AL67">
        <f>IF(AND(ISNUMBER($S67),$S67&gt;0,ISNUMBER($K67),ISNUMBER($J67)),($K67*$J67)/$S67,"")</f>
      </c>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c r="AL68">
        <f>IF(AND(ISNUMBER($S68),$S68&gt;0,ISNUMBER($K68),ISNUMBER($J68)),($K68*$J68)/$S68,"")</f>
      </c>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c r="AL69">
        <f>IF(AND(ISNUMBER($S69),$S69&gt;0,ISNUMBER($K69),ISNUMBER($J69)),($K69*$J69)/$S69,"")</f>
      </c>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c r="AL70">
        <f>IF(AND(ISNUMBER($S70),$S70&gt;0,ISNUMBER($K70),ISNUMBER($J70)),($K70*$J70)/$S70,"")</f>
      </c>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c r="AL71">
        <f>IF(AND(ISNUMBER($S71),$S71&gt;0,ISNUMBER($K71),ISNUMBER($J71)),($K71*$J71)/$S71,"")</f>
      </c>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c r="AL72">
        <f>IF(AND(ISNUMBER($S72),$S72&gt;0,ISNUMBER($K72),ISNUMBER($J72)),($K72*$J72)/$S72,"")</f>
      </c>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c r="AL73">
        <f>IF(AND(ISNUMBER($S73),$S73&gt;0,ISNUMBER($K73),ISNUMBER($J73)),($K73*$J73)/$S73,"")</f>
      </c>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c r="AL74">
        <f>IF(AND(ISNUMBER($S74),$S74&gt;0,ISNUMBER($K74),ISNUMBER($J74)),($K74*$J74)/$S74,"")</f>
      </c>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c r="AL75">
        <f>IF(AND(ISNUMBER($S75),$S75&gt;0,ISNUMBER($K75),ISNUMBER($J75)),($K75*$J75)/$S75,"")</f>
      </c>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c r="AL76">
        <f>IF(AND(ISNUMBER($S76),$S76&gt;0,ISNUMBER($K76),ISNUMBER($J76)),($K76*$J76)/$S76,"")</f>
      </c>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c r="AL77">
        <f>IF(AND(ISNUMBER($S77),$S77&gt;0,ISNUMBER($K77),ISNUMBER($J77)),($K77*$J77)/$S77,"")</f>
      </c>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c r="AL78">
        <f>IF(AND(ISNUMBER($S78),$S78&gt;0,ISNUMBER($K78),ISNUMBER($J78)),($K78*$J78)/$S78,"")</f>
      </c>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c r="AL79">
        <f>IF(AND(ISNUMBER($S79),$S79&gt;0,ISNUMBER($K79),ISNUMBER($J79)),($K79*$J79)/$S79,"")</f>
      </c>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c r="AL80">
        <f>IF(AND(ISNUMBER($S80),$S80&gt;0,ISNUMBER($K80),ISNUMBER($J80)),($K80*$J80)/$S80,"")</f>
      </c>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c r="AL81">
        <f>IF(AND(ISNUMBER($S81),$S81&gt;0,ISNUMBER($K81),ISNUMBER($J81)),($K81*$J81)/$S81,"")</f>
      </c>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c r="AL82">
        <f>IF(AND(ISNUMBER($S82),$S82&gt;0,ISNUMBER($K82),ISNUMBER($J82)),($K82*$J82)/$S82,"")</f>
      </c>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c r="AL83">
        <f>IF(AND(ISNUMBER($S83),$S83&gt;0,ISNUMBER($K83),ISNUMBER($J83)),($K83*$J83)/$S83,"")</f>
      </c>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c r="AL84">
        <f>IF(AND(ISNUMBER($S84),$S84&gt;0,ISNUMBER($K84),ISNUMBER($J84)),($K84*$J84)/$S84,"")</f>
      </c>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c r="AL85">
        <f>IF(AND(ISNUMBER($S85),$S85&gt;0,ISNUMBER($K85),ISNUMBER($J85)),($K85*$J85)/$S85,"")</f>
      </c>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c r="AL86">
        <f>IF(AND(ISNUMBER($S86),$S86&gt;0,ISNUMBER($K86),ISNUMBER($J86)),($K86*$J86)/$S86,"")</f>
      </c>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c r="AL87">
        <f>IF(AND(ISNUMBER($S87),$S87&gt;0,ISNUMBER($K87),ISNUMBER($J87)),($K87*$J87)/$S87,"")</f>
      </c>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c r="AL88">
        <f>IF(AND(ISNUMBER($S88),$S88&gt;0,ISNUMBER($K88),ISNUMBER($J88)),($K88*$J88)/$S88,"")</f>
      </c>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c r="AL89">
        <f>IF(AND(ISNUMBER($S89),$S89&gt;0,ISNUMBER($K89),ISNUMBER($J89)),($K89*$J89)/$S89,"")</f>
      </c>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c r="AL90">
        <f>IF(AND(ISNUMBER($S90),$S90&gt;0,ISNUMBER($K90),ISNUMBER($J90)),($K90*$J90)/$S90,"")</f>
      </c>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c r="AL91">
        <f>IF(AND(ISNUMBER($S91),$S91&gt;0,ISNUMBER($K91),ISNUMBER($J91)),($K91*$J91)/$S91,"")</f>
      </c>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c r="AL92">
        <f>IF(AND(ISNUMBER($S92),$S92&gt;0,ISNUMBER($K92),ISNUMBER($J92)),($K92*$J92)/$S92,"")</f>
      </c>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c r="AL93">
        <f>IF(AND(ISNUMBER($S93),$S93&gt;0,ISNUMBER($K93),ISNUMBER($J93)),($K93*$J93)/$S93,"")</f>
      </c>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c r="AL94">
        <f>IF(AND(ISNUMBER($S94),$S94&gt;0,ISNUMBER($K94),ISNUMBER($J94)),($K94*$J94)/$S94,"")</f>
      </c>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c r="AL95">
        <f>IF(AND(ISNUMBER($S95),$S95&gt;0,ISNUMBER($K95),ISNUMBER($J95)),($K95*$J95)/$S95,"")</f>
      </c>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c r="AL96">
        <f>IF(AND(ISNUMBER($S96),$S96&gt;0,ISNUMBER($K96),ISNUMBER($J96)),($K96*$J96)/$S96,"")</f>
      </c>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c r="AL97">
        <f>IF(AND(ISNUMBER($S97),$S97&gt;0,ISNUMBER($K97),ISNUMBER($J97)),($K97*$J97)/$S97,"")</f>
      </c>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c r="AL98">
        <f>IF(AND(ISNUMBER($S98),$S98&gt;0,ISNUMBER($K98),ISNUMBER($J98)),($K98*$J98)/$S98,"")</f>
      </c>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c r="AL99">
        <f>IF(AND(ISNUMBER($S99),$S99&gt;0,ISNUMBER($K99),ISNUMBER($J99)),($K99*$J99)/$S99,"")</f>
      </c>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c r="AL100">
        <f>IF(AND(ISNUMBER($S100),$S100&gt;0,ISNUMBER($K100),ISNUMBER($J100)),($K100*$J100)/$S100,"")</f>
      </c>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c r="AL101">
        <f>IF(AND(ISNUMBER($S101),$S101&gt;0,ISNUMBER($K101),ISNUMBER($J101)),($K101*$J101)/$S101,"")</f>
      </c>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c r="AL102">
        <f>IF(AND(ISNUMBER($S102),$S102&gt;0,ISNUMBER($K102),ISNUMBER($J102)),($K102*$J102)/$S102,"")</f>
      </c>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c r="AL103">
        <f>IF(AND(ISNUMBER($S103),$S103&gt;0,ISNUMBER($K103),ISNUMBER($J103)),($K103*$J103)/$S103,"")</f>
      </c>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c r="AL104">
        <f>IF(AND(ISNUMBER($S104),$S104&gt;0,ISNUMBER($K104),ISNUMBER($J104)),($K104*$J104)/$S104,"")</f>
      </c>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c r="AL105">
        <f>IF(AND(ISNUMBER($S105),$S105&gt;0,ISNUMBER($K105),ISNUMBER($J105)),($K105*$J105)/$S105,"")</f>
      </c>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c r="AL106">
        <f>IF(AND(ISNUMBER($S106),$S106&gt;0,ISNUMBER($K106),ISNUMBER($J106)),($K106*$J106)/$S106,"")</f>
      </c>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c r="AL107">
        <f>IF(AND(ISNUMBER($S107),$S107&gt;0,ISNUMBER($K107),ISNUMBER($J107)),($K107*$J107)/$S107,"")</f>
      </c>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c r="AL108">
        <f>IF(AND(ISNUMBER($S108),$S108&gt;0,ISNUMBER($K108),ISNUMBER($J108)),($K108*$J108)/$S108,"")</f>
      </c>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c r="AL109">
        <f>IF(AND(ISNUMBER($S109),$S109&gt;0,ISNUMBER($K109),ISNUMBER($J109)),($K109*$J109)/$S109,"")</f>
      </c>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c r="AL110">
        <f>IF(AND(ISNUMBER($S110),$S110&gt;0,ISNUMBER($K110),ISNUMBER($J110)),($K110*$J110)/$S110,"")</f>
      </c>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c r="AL111">
        <f>IF(AND(ISNUMBER($S111),$S111&gt;0,ISNUMBER($K111),ISNUMBER($J111)),($K111*$J111)/$S111,"")</f>
      </c>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c r="AL112">
        <f>IF(AND(ISNUMBER($S112),$S112&gt;0,ISNUMBER($K112),ISNUMBER($J112)),($K112*$J112)/$S112,"")</f>
      </c>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c r="AL113">
        <f>IF(AND(ISNUMBER($S113),$S113&gt;0,ISNUMBER($K113),ISNUMBER($J113)),($K113*$J113)/$S113,"")</f>
      </c>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c r="AL114">
        <f>IF(AND(ISNUMBER($S114),$S114&gt;0,ISNUMBER($K114),ISNUMBER($J114)),($K114*$J114)/$S114,"")</f>
      </c>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c r="AL115">
        <f>IF(AND(ISNUMBER($S115),$S115&gt;0,ISNUMBER($K115),ISNUMBER($J115)),($K115*$J115)/$S115,"")</f>
      </c>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c r="AL116">
        <f>IF(AND(ISNUMBER($S116),$S116&gt;0,ISNUMBER($K116),ISNUMBER($J116)),($K116*$J116)/$S116,"")</f>
      </c>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c r="AL117">
        <f>IF(AND(ISNUMBER($S117),$S117&gt;0,ISNUMBER($K117),ISNUMBER($J117)),($K117*$J117)/$S117,"")</f>
      </c>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c r="AL118">
        <f>IF(AND(ISNUMBER($S118),$S118&gt;0,ISNUMBER($K118),ISNUMBER($J118)),($K118*$J118)/$S118,"")</f>
      </c>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c r="AL119">
        <f>IF(AND(ISNUMBER($S119),$S119&gt;0,ISNUMBER($K119),ISNUMBER($J119)),($K119*$J119)/$S119,"")</f>
      </c>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c r="AL120">
        <f>IF(AND(ISNUMBER($S120),$S120&gt;0,ISNUMBER($K120),ISNUMBER($J120)),($K120*$J120)/$S120,"")</f>
      </c>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c r="AL121">
        <f>IF(AND(ISNUMBER($S121),$S121&gt;0,ISNUMBER($K121),ISNUMBER($J121)),($K121*$J121)/$S121,"")</f>
      </c>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c r="AL122">
        <f>IF(AND(ISNUMBER($S122),$S122&gt;0,ISNUMBER($K122),ISNUMBER($J122)),($K122*$J122)/$S122,"")</f>
      </c>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c r="AL123">
        <f>IF(AND(ISNUMBER($S123),$S123&gt;0,ISNUMBER($K123),ISNUMBER($J123)),($K123*$J123)/$S123,"")</f>
      </c>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c r="AL124">
        <f>IF(AND(ISNUMBER($S124),$S124&gt;0,ISNUMBER($K124),ISNUMBER($J124)),($K124*$J124)/$S124,"")</f>
      </c>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c r="AL125">
        <f>IF(AND(ISNUMBER($S125),$S125&gt;0,ISNUMBER($K125),ISNUMBER($J125)),($K125*$J125)/$S125,"")</f>
      </c>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c r="AL126">
        <f>IF(AND(ISNUMBER($S126),$S126&gt;0,ISNUMBER($K126),ISNUMBER($J126)),($K126*$J126)/$S126,"")</f>
      </c>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c r="AL127">
        <f>IF(AND(ISNUMBER($S127),$S127&gt;0,ISNUMBER($K127),ISNUMBER($J127)),($K127*$J127)/$S127,"")</f>
      </c>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c r="AL128">
        <f>IF(AND(ISNUMBER($S128),$S128&gt;0,ISNUMBER($K128),ISNUMBER($J128)),($K128*$J128)/$S128,"")</f>
      </c>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c r="AL129">
        <f>IF(AND(ISNUMBER($S129),$S129&gt;0,ISNUMBER($K129),ISNUMBER($J129)),($K129*$J129)/$S129,"")</f>
      </c>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c r="AL130">
        <f>IF(AND(ISNUMBER($S130),$S130&gt;0,ISNUMBER($K130),ISNUMBER($J130)),($K130*$J130)/$S130,"")</f>
      </c>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c r="AL131">
        <f>IF(AND(ISNUMBER($S131),$S131&gt;0,ISNUMBER($K131),ISNUMBER($J131)),($K131*$J131)/$S131,"")</f>
      </c>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c r="AL132">
        <f>IF(AND(ISNUMBER($S132),$S132&gt;0,ISNUMBER($K132),ISNUMBER($J132)),($K132*$J132)/$S132,"")</f>
      </c>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c r="AL133">
        <f>IF(AND(ISNUMBER($S133),$S133&gt;0,ISNUMBER($K133),ISNUMBER($J133)),($K133*$J133)/$S133,"")</f>
      </c>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c r="AL134">
        <f>IF(AND(ISNUMBER($S134),$S134&gt;0,ISNUMBER($K134),ISNUMBER($J134)),($K134*$J134)/$S134,"")</f>
      </c>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c r="AL135">
        <f>IF(AND(ISNUMBER($S135),$S135&gt;0,ISNUMBER($K135),ISNUMBER($J135)),($K135*$J135)/$S135,"")</f>
      </c>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c r="AL136">
        <f>IF(AND(ISNUMBER($S136),$S136&gt;0,ISNUMBER($K136),ISNUMBER($J136)),($K136*$J136)/$S136,"")</f>
      </c>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c r="AL137">
        <f>IF(AND(ISNUMBER($S137),$S137&gt;0,ISNUMBER($K137),ISNUMBER($J137)),($K137*$J137)/$S137,"")</f>
      </c>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c r="AL138">
        <f>IF(AND(ISNUMBER($S138),$S138&gt;0,ISNUMBER($K138),ISNUMBER($J138)),($K138*$J138)/$S138,"")</f>
      </c>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c r="AL139">
        <f>IF(AND(ISNUMBER($S139),$S139&gt;0,ISNUMBER($K139),ISNUMBER($J139)),($K139*$J139)/$S139,"")</f>
      </c>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c r="AL140">
        <f>IF(AND(ISNUMBER($S140),$S140&gt;0,ISNUMBER($K140),ISNUMBER($J140)),($K140*$J140)/$S140,"")</f>
      </c>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c r="AL141">
        <f>IF(AND(ISNUMBER($S141),$S141&gt;0,ISNUMBER($K141),ISNUMBER($J141)),($K141*$J141)/$S141,"")</f>
      </c>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c r="AL142">
        <f>IF(AND(ISNUMBER($S142),$S142&gt;0,ISNUMBER($K142),ISNUMBER($J142)),($K142*$J142)/$S142,"")</f>
      </c>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c r="AL143">
        <f>IF(AND(ISNUMBER($S143),$S143&gt;0,ISNUMBER($K143),ISNUMBER($J143)),($K143*$J143)/$S143,"")</f>
      </c>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c r="AL144">
        <f>IF(AND(ISNUMBER($S144),$S144&gt;0,ISNUMBER($K144),ISNUMBER($J144)),($K144*$J144)/$S144,"")</f>
      </c>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c r="AL145">
        <f>IF(AND(ISNUMBER($S145),$S145&gt;0,ISNUMBER($K145),ISNUMBER($J145)),($K145*$J145)/$S145,"")</f>
      </c>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c r="AL146">
        <f>IF(AND(ISNUMBER($S146),$S146&gt;0,ISNUMBER($K146),ISNUMBER($J146)),($K146*$J146)/$S146,"")</f>
      </c>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c r="AL147">
        <f>IF(AND(ISNUMBER($S147),$S147&gt;0,ISNUMBER($K147),ISNUMBER($J147)),($K147*$J147)/$S147,"")</f>
      </c>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c r="AL148">
        <f>IF(AND(ISNUMBER($S148),$S148&gt;0,ISNUMBER($K148),ISNUMBER($J148)),($K148*$J148)/$S148,"")</f>
      </c>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c r="AL149">
        <f>IF(AND(ISNUMBER($S149),$S149&gt;0,ISNUMBER($K149),ISNUMBER($J149)),($K149*$J149)/$S149,"")</f>
      </c>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c r="AL150">
        <f>IF(AND(ISNUMBER($S150),$S150&gt;0,ISNUMBER($K150),ISNUMBER($J150)),($K150*$J150)/$S150,"")</f>
      </c>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c r="AL151">
        <f>IF(AND(ISNUMBER($S151),$S151&gt;0,ISNUMBER($K151),ISNUMBER($J151)),($K151*$J151)/$S151,"")</f>
      </c>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c r="AL152">
        <f>IF(AND(ISNUMBER($S152),$S152&gt;0,ISNUMBER($K152),ISNUMBER($J152)),($K152*$J152)/$S152,"")</f>
      </c>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c r="AL153">
        <f>IF(AND(ISNUMBER($S153),$S153&gt;0,ISNUMBER($K153),ISNUMBER($J153)),($K153*$J153)/$S153,"")</f>
      </c>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c r="AL154">
        <f>IF(AND(ISNUMBER($S154),$S154&gt;0,ISNUMBER($K154),ISNUMBER($J154)),($K154*$J154)/$S154,"")</f>
      </c>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c r="AL155">
        <f>IF(AND(ISNUMBER($S155),$S155&gt;0,ISNUMBER($K155),ISNUMBER($J155)),($K155*$J155)/$S155,"")</f>
      </c>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c r="AL156">
        <f>IF(AND(ISNUMBER($S156),$S156&gt;0,ISNUMBER($K156),ISNUMBER($J156)),($K156*$J156)/$S156,"")</f>
      </c>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c r="AL157">
        <f>IF(AND(ISNUMBER($S157),$S157&gt;0,ISNUMBER($K157),ISNUMBER($J157)),($K157*$J157)/$S157,"")</f>
      </c>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c r="AL158">
        <f>IF(AND(ISNUMBER($S158),$S158&gt;0,ISNUMBER($K158),ISNUMBER($J158)),($K158*$J158)/$S158,"")</f>
      </c>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c r="AL159">
        <f>IF(AND(ISNUMBER($S159),$S159&gt;0,ISNUMBER($K159),ISNUMBER($J159)),($K159*$J159)/$S159,"")</f>
      </c>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c r="AL160">
        <f>IF(AND(ISNUMBER($S160),$S160&gt;0,ISNUMBER($K160),ISNUMBER($J160)),($K160*$J160)/$S160,"")</f>
      </c>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c r="AL161">
        <f>IF(AND(ISNUMBER($S161),$S161&gt;0,ISNUMBER($K161),ISNUMBER($J161)),($K161*$J161)/$S161,"")</f>
      </c>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c r="AL162">
        <f>IF(AND(ISNUMBER($S162),$S162&gt;0,ISNUMBER($K162),ISNUMBER($J162)),($K162*$J162)/$S162,"")</f>
      </c>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c r="AL163">
        <f>IF(AND(ISNUMBER($S163),$S163&gt;0,ISNUMBER($K163),ISNUMBER($J163)),($K163*$J163)/$S163,"")</f>
      </c>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c r="AL164">
        <f>IF(AND(ISNUMBER($S164),$S164&gt;0,ISNUMBER($K164),ISNUMBER($J164)),($K164*$J164)/$S164,"")</f>
      </c>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c r="AL165">
        <f>IF(AND(ISNUMBER($S165),$S165&gt;0,ISNUMBER($K165),ISNUMBER($J165)),($K165*$J165)/$S165,"")</f>
      </c>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c r="AL166">
        <f>IF(AND(ISNUMBER($S166),$S166&gt;0,ISNUMBER($K166),ISNUMBER($J166)),($K166*$J166)/$S166,"")</f>
      </c>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c r="AL167">
        <f>IF(AND(ISNUMBER($S167),$S167&gt;0,ISNUMBER($K167),ISNUMBER($J167)),($K167*$J167)/$S167,"")</f>
      </c>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c r="AL168">
        <f>IF(AND(ISNUMBER($S168),$S168&gt;0,ISNUMBER($K168),ISNUMBER($J168)),($K168*$J168)/$S168,"")</f>
      </c>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c r="AL169">
        <f>IF(AND(ISNUMBER($S169),$S169&gt;0,ISNUMBER($K169),ISNUMBER($J169)),($K169*$J169)/$S169,"")</f>
      </c>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c r="AL170">
        <f>IF(AND(ISNUMBER($S170),$S170&gt;0,ISNUMBER($K170),ISNUMBER($J170)),($K170*$J170)/$S170,"")</f>
      </c>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c r="AL171">
        <f>IF(AND(ISNUMBER($S171),$S171&gt;0,ISNUMBER($K171),ISNUMBER($J171)),($K171*$J171)/$S171,"")</f>
      </c>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c r="AL172">
        <f>IF(AND(ISNUMBER($S172),$S172&gt;0,ISNUMBER($K172),ISNUMBER($J172)),($K172*$J172)/$S172,"")</f>
      </c>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c r="AL173">
        <f>IF(AND(ISNUMBER($S173),$S173&gt;0,ISNUMBER($K173),ISNUMBER($J173)),($K173*$J173)/$S173,"")</f>
      </c>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c r="AL174">
        <f>IF(AND(ISNUMBER($S174),$S174&gt;0,ISNUMBER($K174),ISNUMBER($J174)),($K174*$J174)/$S174,"")</f>
      </c>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c r="AL175">
        <f>IF(AND(ISNUMBER($S175),$S175&gt;0,ISNUMBER($K175),ISNUMBER($J175)),($K175*$J175)/$S175,"")</f>
      </c>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c r="AL176">
        <f>IF(AND(ISNUMBER($S176),$S176&gt;0,ISNUMBER($K176),ISNUMBER($J176)),($K176*$J176)/$S176,"")</f>
      </c>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c r="AL177">
        <f>IF(AND(ISNUMBER($S177),$S177&gt;0,ISNUMBER($K177),ISNUMBER($J177)),($K177*$J177)/$S177,"")</f>
      </c>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c r="AL178">
        <f>IF(AND(ISNUMBER($S178),$S178&gt;0,ISNUMBER($K178),ISNUMBER($J178)),($K178*$J178)/$S178,"")</f>
      </c>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c r="AL179">
        <f>IF(AND(ISNUMBER($S179),$S179&gt;0,ISNUMBER($K179),ISNUMBER($J179)),($K179*$J179)/$S179,"")</f>
      </c>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c r="AL180">
        <f>IF(AND(ISNUMBER($S180),$S180&gt;0,ISNUMBER($K180),ISNUMBER($J180)),($K180*$J180)/$S180,"")</f>
      </c>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c r="AL181">
        <f>IF(AND(ISNUMBER($S181),$S181&gt;0,ISNUMBER($K181),ISNUMBER($J181)),($K181*$J181)/$S181,"")</f>
      </c>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c r="AL182">
        <f>IF(AND(ISNUMBER($S182),$S182&gt;0,ISNUMBER($K182),ISNUMBER($J182)),($K182*$J182)/$S182,"")</f>
      </c>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c r="AL183">
        <f>IF(AND(ISNUMBER($S183),$S183&gt;0,ISNUMBER($K183),ISNUMBER($J183)),($K183*$J183)/$S183,"")</f>
      </c>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c r="AL184">
        <f>IF(AND(ISNUMBER($S184),$S184&gt;0,ISNUMBER($K184),ISNUMBER($J184)),($K184*$J184)/$S184,"")</f>
      </c>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c r="AL185">
        <f>IF(AND(ISNUMBER($S185),$S185&gt;0,ISNUMBER($K185),ISNUMBER($J185)),($K185*$J185)/$S185,"")</f>
      </c>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c r="AL186">
        <f>IF(AND(ISNUMBER($S186),$S186&gt;0,ISNUMBER($K186),ISNUMBER($J186)),($K186*$J186)/$S186,"")</f>
      </c>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c r="AL187">
        <f>IF(AND(ISNUMBER($S187),$S187&gt;0,ISNUMBER($K187),ISNUMBER($J187)),($K187*$J187)/$S187,"")</f>
      </c>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c r="AL188">
        <f>IF(AND(ISNUMBER($S188),$S188&gt;0,ISNUMBER($K188),ISNUMBER($J188)),($K188*$J188)/$S188,"")</f>
      </c>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c r="AL189">
        <f>IF(AND(ISNUMBER($S189),$S189&gt;0,ISNUMBER($K189),ISNUMBER($J189)),($K189*$J189)/$S189,"")</f>
      </c>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c r="AL190">
        <f>IF(AND(ISNUMBER($S190),$S190&gt;0,ISNUMBER($K190),ISNUMBER($J190)),($K190*$J190)/$S190,"")</f>
      </c>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c r="AL191">
        <f>IF(AND(ISNUMBER($S191),$S191&gt;0,ISNUMBER($K191),ISNUMBER($J191)),($K191*$J191)/$S191,"")</f>
      </c>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c r="AL192">
        <f>IF(AND(ISNUMBER($S192),$S192&gt;0,ISNUMBER($K192),ISNUMBER($J192)),($K192*$J192)/$S192,"")</f>
      </c>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c r="AL193">
        <f>IF(AND(ISNUMBER($S193),$S193&gt;0,ISNUMBER($K193),ISNUMBER($J193)),($K193*$J193)/$S193,"")</f>
      </c>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c r="AL194">
        <f>IF(AND(ISNUMBER($S194),$S194&gt;0,ISNUMBER($K194),ISNUMBER($J194)),($K194*$J194)/$S194,"")</f>
      </c>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c r="AL195">
        <f>IF(AND(ISNUMBER($S195),$S195&gt;0,ISNUMBER($K195),ISNUMBER($J195)),($K195*$J195)/$S195,"")</f>
      </c>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c r="AL196">
        <f>IF(AND(ISNUMBER($S196),$S196&gt;0,ISNUMBER($K196),ISNUMBER($J196)),($K196*$J196)/$S196,"")</f>
      </c>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c r="AL197">
        <f>IF(AND(ISNUMBER($S197),$S197&gt;0,ISNUMBER($K197),ISNUMBER($J197)),($K197*$J197)/$S197,"")</f>
      </c>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c r="AL198">
        <f>IF(AND(ISNUMBER($S198),$S198&gt;0,ISNUMBER($K198),ISNUMBER($J198)),($K198*$J198)/$S198,"")</f>
      </c>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c r="AL199">
        <f>IF(AND(ISNUMBER($S199),$S199&gt;0,ISNUMBER($K199),ISNUMBER($J199)),($K199*$J199)/$S199,"")</f>
      </c>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c r="AL200">
        <f>IF(AND(ISNUMBER($S200),$S200&gt;0,ISNUMBER($K200),ISNUMBER($J200)),($K200*$J200)/$S200,"")</f>
      </c>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c r="AL201">
        <f>IF(AND(ISNUMBER($S201),$S201&gt;0,ISNUMBER($K201),ISNUMBER($J201)),($K201*$J201)/$S201,"")</f>
      </c>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c r="AL202">
        <f>IF(AND(ISNUMBER($S202),$S202&gt;0,ISNUMBER($K202),ISNUMBER($J202)),($K202*$J202)/$S202,"")</f>
      </c>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c r="AL203">
        <f>IF(AND(ISNUMBER($S203),$S203&gt;0,ISNUMBER($K203),ISNUMBER($J203)),($K203*$J203)/$S203,"")</f>
      </c>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c r="AL204">
        <f>IF(AND(ISNUMBER($S204),$S204&gt;0,ISNUMBER($K204),ISNUMBER($J204)),($K204*$J204)/$S204,"")</f>
      </c>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c r="AL205">
        <f>IF(AND(ISNUMBER($S205),$S205&gt;0,ISNUMBER($K205),ISNUMBER($J205)),($K205*$J205)/$S205,"")</f>
      </c>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c r="AL206">
        <f>IF(AND(ISNUMBER($S206),$S206&gt;0,ISNUMBER($K206),ISNUMBER($J206)),($K206*$J206)/$S206,"")</f>
      </c>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c r="AL207">
        <f>IF(AND(ISNUMBER($S207),$S207&gt;0,ISNUMBER($K207),ISNUMBER($J207)),($K207*$J207)/$S207,"")</f>
      </c>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c r="AL208">
        <f>IF(AND(ISNUMBER($S208),$S208&gt;0,ISNUMBER($K208),ISNUMBER($J208)),($K208*$J208)/$S208,"")</f>
      </c>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c r="AL209">
        <f>IF(AND(ISNUMBER($S209),$S209&gt;0,ISNUMBER($K209),ISNUMBER($J209)),($K209*$J209)/$S209,"")</f>
      </c>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c r="AL210">
        <f>IF(AND(ISNUMBER($S210),$S210&gt;0,ISNUMBER($K210),ISNUMBER($J210)),($K210*$J210)/$S210,"")</f>
      </c>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c r="AL211">
        <f>IF(AND(ISNUMBER($S211),$S211&gt;0,ISNUMBER($K211),ISNUMBER($J211)),($K211*$J211)/$S211,"")</f>
      </c>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c r="AL212">
        <f>IF(AND(ISNUMBER($S212),$S212&gt;0,ISNUMBER($K212),ISNUMBER($J212)),($K212*$J212)/$S212,"")</f>
      </c>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c r="AL213">
        <f>IF(AND(ISNUMBER($S213),$S213&gt;0,ISNUMBER($K213),ISNUMBER($J213)),($K213*$J213)/$S213,"")</f>
      </c>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c r="AL214">
        <f>IF(AND(ISNUMBER($S214),$S214&gt;0,ISNUMBER($K214),ISNUMBER($J214)),($K214*$J214)/$S214,"")</f>
      </c>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c r="AL215">
        <f>IF(AND(ISNUMBER($S215),$S215&gt;0,ISNUMBER($K215),ISNUMBER($J215)),($K215*$J215)/$S215,"")</f>
      </c>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c r="AL216">
        <f>IF(AND(ISNUMBER($S216),$S216&gt;0,ISNUMBER($K216),ISNUMBER($J216)),($K216*$J216)/$S216,"")</f>
      </c>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c r="AL217">
        <f>IF(AND(ISNUMBER($S217),$S217&gt;0,ISNUMBER($K217),ISNUMBER($J217)),($K217*$J217)/$S217,"")</f>
      </c>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c r="AL218">
        <f>IF(AND(ISNUMBER($S218),$S218&gt;0,ISNUMBER($K218),ISNUMBER($J218)),($K218*$J218)/$S218,"")</f>
      </c>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c r="AL219">
        <f>IF(AND(ISNUMBER($S219),$S219&gt;0,ISNUMBER($K219),ISNUMBER($J219)),($K219*$J219)/$S219,"")</f>
      </c>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c r="AL220">
        <f>IF(AND(ISNUMBER($S220),$S220&gt;0,ISNUMBER($K220),ISNUMBER($J220)),($K220*$J220)/$S220,"")</f>
      </c>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c r="AL221">
        <f>IF(AND(ISNUMBER($S221),$S221&gt;0,ISNUMBER($K221),ISNUMBER($J221)),($K221*$J221)/$S221,"")</f>
      </c>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c r="AL222">
        <f>IF(AND(ISNUMBER($S222),$S222&gt;0,ISNUMBER($K222),ISNUMBER($J222)),($K222*$J222)/$S222,"")</f>
      </c>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c r="AL223">
        <f>IF(AND(ISNUMBER($S223),$S223&gt;0,ISNUMBER($K223),ISNUMBER($J223)),($K223*$J223)/$S223,"")</f>
      </c>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c r="AL224">
        <f>IF(AND(ISNUMBER($S224),$S224&gt;0,ISNUMBER($K224),ISNUMBER($J224)),($K224*$J224)/$S224,"")</f>
      </c>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c r="AL225">
        <f>IF(AND(ISNUMBER($S225),$S225&gt;0,ISNUMBER($K225),ISNUMBER($J225)),($K225*$J225)/$S225,"")</f>
      </c>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c r="AL226">
        <f>IF(AND(ISNUMBER($S226),$S226&gt;0,ISNUMBER($K226),ISNUMBER($J226)),($K226*$J226)/$S226,"")</f>
      </c>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c r="AL227">
        <f>IF(AND(ISNUMBER($S227),$S227&gt;0,ISNUMBER($K227),ISNUMBER($J227)),($K227*$J227)/$S227,"")</f>
      </c>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c r="AL228">
        <f>IF(AND(ISNUMBER($S228),$S228&gt;0,ISNUMBER($K228),ISNUMBER($J228)),($K228*$J228)/$S228,"")</f>
      </c>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c r="AL229">
        <f>IF(AND(ISNUMBER($S229),$S229&gt;0,ISNUMBER($K229),ISNUMBER($J229)),($K229*$J229)/$S229,"")</f>
      </c>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c r="AL230">
        <f>IF(AND(ISNUMBER($S230),$S230&gt;0,ISNUMBER($K230),ISNUMBER($J230)),($K230*$J230)/$S230,"")</f>
      </c>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c r="AL231">
        <f>IF(AND(ISNUMBER($S231),$S231&gt;0,ISNUMBER($K231),ISNUMBER($J231)),($K231*$J231)/$S231,"")</f>
      </c>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c r="AL232">
        <f>IF(AND(ISNUMBER($S232),$S232&gt;0,ISNUMBER($K232),ISNUMBER($J232)),($K232*$J232)/$S232,"")</f>
      </c>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c r="AL233">
        <f>IF(AND(ISNUMBER($S233),$S233&gt;0,ISNUMBER($K233),ISNUMBER($J233)),($K233*$J233)/$S233,"")</f>
      </c>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c r="AL234">
        <f>IF(AND(ISNUMBER($S234),$S234&gt;0,ISNUMBER($K234),ISNUMBER($J234)),($K234*$J234)/$S234,"")</f>
      </c>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c r="AL235">
        <f>IF(AND(ISNUMBER($S235),$S235&gt;0,ISNUMBER($K235),ISNUMBER($J235)),($K235*$J235)/$S235,"")</f>
      </c>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c r="AL236">
        <f>IF(AND(ISNUMBER($S236),$S236&gt;0,ISNUMBER($K236),ISNUMBER($J236)),($K236*$J236)/$S236,"")</f>
      </c>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c r="AL237">
        <f>IF(AND(ISNUMBER($S237),$S237&gt;0,ISNUMBER($K237),ISNUMBER($J237)),($K237*$J237)/$S237,"")</f>
      </c>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c r="AL238">
        <f>IF(AND(ISNUMBER($S238),$S238&gt;0,ISNUMBER($K238),ISNUMBER($J238)),($K238*$J238)/$S238,"")</f>
      </c>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c r="AL239">
        <f>IF(AND(ISNUMBER($S239),$S239&gt;0,ISNUMBER($K239),ISNUMBER($J239)),($K239*$J239)/$S239,"")</f>
      </c>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c r="AL240">
        <f>IF(AND(ISNUMBER($S240),$S240&gt;0,ISNUMBER($K240),ISNUMBER($J240)),($K240*$J240)/$S240,"")</f>
      </c>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c r="AL241">
        <f>IF(AND(ISNUMBER($S241),$S241&gt;0,ISNUMBER($K241),ISNUMBER($J241)),($K241*$J241)/$S241,"")</f>
      </c>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c r="AL242">
        <f>IF(AND(ISNUMBER($S242),$S242&gt;0,ISNUMBER($K242),ISNUMBER($J242)),($K242*$J242)/$S242,"")</f>
      </c>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c r="AL243">
        <f>IF(AND(ISNUMBER($S243),$S243&gt;0,ISNUMBER($K243),ISNUMBER($J243)),($K243*$J243)/$S243,"")</f>
      </c>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c r="AL244">
        <f>IF(AND(ISNUMBER($S244),$S244&gt;0,ISNUMBER($K244),ISNUMBER($J244)),($K244*$J244)/$S244,"")</f>
      </c>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c r="AL245">
        <f>IF(AND(ISNUMBER($S245),$S245&gt;0,ISNUMBER($K245),ISNUMBER($J245)),($K245*$J245)/$S245,"")</f>
      </c>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c r="AL246">
        <f>IF(AND(ISNUMBER($S246),$S246&gt;0,ISNUMBER($K246),ISNUMBER($J246)),($K246*$J246)/$S246,"")</f>
      </c>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c r="AL247">
        <f>IF(AND(ISNUMBER($S247),$S247&gt;0,ISNUMBER($K247),ISNUMBER($J247)),($K247*$J247)/$S247,"")</f>
      </c>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c r="AL248">
        <f>IF(AND(ISNUMBER($S248),$S248&gt;0,ISNUMBER($K248),ISNUMBER($J248)),($K248*$J248)/$S248,"")</f>
      </c>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c r="AL249">
        <f>IF(AND(ISNUMBER($S249),$S249&gt;0,ISNUMBER($K249),ISNUMBER($J249)),($K249*$J249)/$S249,"")</f>
      </c>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c r="AL250">
        <f>IF(AND(ISNUMBER($S250),$S250&gt;0,ISNUMBER($K250),ISNUMBER($J250)),($K250*$J250)/$S250,"")</f>
      </c>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c r="AL251">
        <f>IF(AND(ISNUMBER($S251),$S251&gt;0,ISNUMBER($K251),ISNUMBER($J251)),($K251*$J251)/$S251,"")</f>
      </c>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c r="AL252">
        <f>IF(AND(ISNUMBER($S252),$S252&gt;0,ISNUMBER($K252),ISNUMBER($J252)),($K252*$J252)/$S252,"")</f>
      </c>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c r="AL253">
        <f>IF(AND(ISNUMBER($S253),$S253&gt;0,ISNUMBER($K253),ISNUMBER($J253)),($K253*$J253)/$S253,"")</f>
      </c>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c r="AL254">
        <f>IF(AND(ISNUMBER($S254),$S254&gt;0,ISNUMBER($K254),ISNUMBER($J254)),($K254*$J254)/$S254,"")</f>
      </c>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c r="AL255">
        <f>IF(AND(ISNUMBER($S255),$S255&gt;0,ISNUMBER($K255),ISNUMBER($J255)),($K255*$J255)/$S255,"")</f>
      </c>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c r="AL256">
        <f>IF(AND(ISNUMBER($S256),$S256&gt;0,ISNUMBER($K256),ISNUMBER($J256)),($K256*$J256)/$S256,"")</f>
      </c>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c r="AL257">
        <f>IF(AND(ISNUMBER($S257),$S257&gt;0,ISNUMBER($K257),ISNUMBER($J257)),($K257*$J257)/$S257,"")</f>
      </c>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c r="AL258">
        <f>IF(AND(ISNUMBER($S258),$S258&gt;0,ISNUMBER($K258),ISNUMBER($J258)),($K258*$J258)/$S258,"")</f>
      </c>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c r="AL259">
        <f>IF(AND(ISNUMBER($S259),$S259&gt;0,ISNUMBER($K259),ISNUMBER($J259)),($K259*$J259)/$S259,"")</f>
      </c>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c r="AL260">
        <f>IF(AND(ISNUMBER($S260),$S260&gt;0,ISNUMBER($K260),ISNUMBER($J260)),($K260*$J260)/$S260,"")</f>
      </c>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c r="AL261">
        <f>IF(AND(ISNUMBER($S261),$S261&gt;0,ISNUMBER($K261),ISNUMBER($J261)),($K261*$J261)/$S261,"")</f>
      </c>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c r="AL262">
        <f>IF(AND(ISNUMBER($S262),$S262&gt;0,ISNUMBER($K262),ISNUMBER($J262)),($K262*$J262)/$S262,"")</f>
      </c>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c r="AL263">
        <f>IF(AND(ISNUMBER($S263),$S263&gt;0,ISNUMBER($K263),ISNUMBER($J263)),($K263*$J263)/$S263,"")</f>
      </c>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c r="AL264">
        <f>IF(AND(ISNUMBER($S264),$S264&gt;0,ISNUMBER($K264),ISNUMBER($J264)),($K264*$J264)/$S264,"")</f>
      </c>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c r="AL265">
        <f>IF(AND(ISNUMBER($S265),$S265&gt;0,ISNUMBER($K265),ISNUMBER($J265)),($K265*$J265)/$S265,"")</f>
      </c>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c r="AL266">
        <f>IF(AND(ISNUMBER($S266),$S266&gt;0,ISNUMBER($K266),ISNUMBER($J266)),($K266*$J266)/$S266,"")</f>
      </c>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c r="AL267">
        <f>IF(AND(ISNUMBER($S267),$S267&gt;0,ISNUMBER($K267),ISNUMBER($J267)),($K267*$J267)/$S267,"")</f>
      </c>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c r="AL268">
        <f>IF(AND(ISNUMBER($S268),$S268&gt;0,ISNUMBER($K268),ISNUMBER($J268)),($K268*$J268)/$S268,"")</f>
      </c>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c r="AL269">
        <f>IF(AND(ISNUMBER($S269),$S269&gt;0,ISNUMBER($K269),ISNUMBER($J269)),($K269*$J269)/$S269,"")</f>
      </c>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c r="AL270">
        <f>IF(AND(ISNUMBER($S270),$S270&gt;0,ISNUMBER($K270),ISNUMBER($J270)),($K270*$J270)/$S270,"")</f>
      </c>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c r="AL271">
        <f>IF(AND(ISNUMBER($S271),$S271&gt;0,ISNUMBER($K271),ISNUMBER($J271)),($K271*$J271)/$S271,"")</f>
      </c>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c r="AL272">
        <f>IF(AND(ISNUMBER($S272),$S272&gt;0,ISNUMBER($K272),ISNUMBER($J272)),($K272*$J272)/$S272,"")</f>
      </c>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c r="AL273">
        <f>IF(AND(ISNUMBER($S273),$S273&gt;0,ISNUMBER($K273),ISNUMBER($J273)),($K273*$J273)/$S273,"")</f>
      </c>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c r="AL274">
        <f>IF(AND(ISNUMBER($S274),$S274&gt;0,ISNUMBER($K274),ISNUMBER($J274)),($K274*$J274)/$S274,"")</f>
      </c>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c r="AL275">
        <f>IF(AND(ISNUMBER($S275),$S275&gt;0,ISNUMBER($K275),ISNUMBER($J275)),($K275*$J275)/$S275,"")</f>
      </c>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c r="AL276">
        <f>IF(AND(ISNUMBER($S276),$S276&gt;0,ISNUMBER($K276),ISNUMBER($J276)),($K276*$J276)/$S276,"")</f>
      </c>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c r="AL277">
        <f>IF(AND(ISNUMBER($S277),$S277&gt;0,ISNUMBER($K277),ISNUMBER($J277)),($K277*$J277)/$S277,"")</f>
      </c>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c r="AL278">
        <f>IF(AND(ISNUMBER($S278),$S278&gt;0,ISNUMBER($K278),ISNUMBER($J278)),($K278*$J278)/$S278,"")</f>
      </c>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c r="AL279">
        <f>IF(AND(ISNUMBER($S279),$S279&gt;0,ISNUMBER($K279),ISNUMBER($J279)),($K279*$J279)/$S279,"")</f>
      </c>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c r="AL280">
        <f>IF(AND(ISNUMBER($S280),$S280&gt;0,ISNUMBER($K280),ISNUMBER($J280)),($K280*$J280)/$S280,"")</f>
      </c>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c r="AL281">
        <f>IF(AND(ISNUMBER($S281),$S281&gt;0,ISNUMBER($K281),ISNUMBER($J281)),($K281*$J281)/$S281,"")</f>
      </c>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c r="AL282">
        <f>IF(AND(ISNUMBER($S282),$S282&gt;0,ISNUMBER($K282),ISNUMBER($J282)),($K282*$J282)/$S282,"")</f>
      </c>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c r="AL283">
        <f>IF(AND(ISNUMBER($S283),$S283&gt;0,ISNUMBER($K283),ISNUMBER($J283)),($K283*$J283)/$S283,"")</f>
      </c>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c r="AL284">
        <f>IF(AND(ISNUMBER($S284),$S284&gt;0,ISNUMBER($K284),ISNUMBER($J284)),($K284*$J284)/$S284,"")</f>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c r="AL285">
        <f>IF(AND(ISNUMBER($S285),$S285&gt;0,ISNUMBER($K285),ISNUMBER($J285)),($K285*$J285)/$S285,"")</f>
      </c>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c r="AL286">
        <f>IF(AND(ISNUMBER($S286),$S286&gt;0,ISNUMBER($K286),ISNUMBER($J286)),($K286*$J286)/$S286,"")</f>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c r="AL287">
        <f>IF(AND(ISNUMBER($S287),$S287&gt;0,ISNUMBER($K287),ISNUMBER($J287)),($K287*$J287)/$S287,"")</f>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c r="AL288">
        <f>IF(AND(ISNUMBER($S288),$S288&gt;0,ISNUMBER($K288),ISNUMBER($J288)),($K288*$J288)/$S288,"")</f>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c r="AL289">
        <f>IF(AND(ISNUMBER($S289),$S289&gt;0,ISNUMBER($K289),ISNUMBER($J289)),($K289*$J289)/$S289,"")</f>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c r="AL290">
        <f>IF(AND(ISNUMBER($S290),$S290&gt;0,ISNUMBER($K290),ISNUMBER($J290)),($K290*$J290)/$S290,"")</f>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c r="AL291">
        <f>IF(AND(ISNUMBER($S291),$S291&gt;0,ISNUMBER($K291),ISNUMBER($J291)),($K291*$J291)/$S291,"")</f>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c r="AL292">
        <f>IF(AND(ISNUMBER($S292),$S292&gt;0,ISNUMBER($K292),ISNUMBER($J292)),($K292*$J292)/$S292,"")</f>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c r="AL293">
        <f>IF(AND(ISNUMBER($S293),$S293&gt;0,ISNUMBER($K293),ISNUMBER($J293)),($K293*$J293)/$S293,"")</f>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c r="AL294">
        <f>IF(AND(ISNUMBER($S294),$S294&gt;0,ISNUMBER($K294),ISNUMBER($J294)),($K294*$J294)/$S294,"")</f>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c r="AL295">
        <f>IF(AND(ISNUMBER($S295),$S295&gt;0,ISNUMBER($K295),ISNUMBER($J295)),($K295*$J295)/$S295,"")</f>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c r="AL296">
        <f>IF(AND(ISNUMBER($S296),$S296&gt;0,ISNUMBER($K296),ISNUMBER($J296)),($K296*$J296)/$S296,"")</f>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c r="AL297">
        <f>IF(AND(ISNUMBER($S297),$S297&gt;0,ISNUMBER($K297),ISNUMBER($J297)),($K297*$J297)/$S297,"")</f>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c r="AL298">
        <f>IF(AND(ISNUMBER($S298),$S298&gt;0,ISNUMBER($K298),ISNUMBER($J298)),($K298*$J298)/$S298,"")</f>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c r="AL299">
        <f>IF(AND(ISNUMBER($S299),$S299&gt;0,ISNUMBER($K299),ISNUMBER($J299)),($K299*$J299)/$S299,"")</f>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c r="AL300">
        <f>IF(AND(ISNUMBER($S300),$S300&gt;0,ISNUMBER($K300),ISNUMBER($J300)),($K300*$J300)/$S300,"")</f>
      </c>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c r="AL301">
        <f>IF(AND(ISNUMBER($S301),$S301&gt;0,ISNUMBER($K301),ISNUMBER($J301)),($K301*$J301)/$S301,"")</f>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c r="AL302">
        <f>IF(AND(ISNUMBER($S302),$S302&gt;0,ISNUMBER($K302),ISNUMBER($J302)),($K302*$J302)/$S302,"")</f>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c r="AL303">
        <f>IF(AND(ISNUMBER($S303),$S303&gt;0,ISNUMBER($K303),ISNUMBER($J303)),($K303*$J303)/$S303,"")</f>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c r="AL304">
        <f>IF(AND(ISNUMBER($S304),$S304&gt;0,ISNUMBER($K304),ISNUMBER($J304)),($K304*$J304)/$S304,"")</f>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c r="AL305">
        <f>IF(AND(ISNUMBER($S305),$S305&gt;0,ISNUMBER($K305),ISNUMBER($J305)),($K305*$J305)/$S305,"")</f>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c r="AL306">
        <f>IF(AND(ISNUMBER($S306),$S306&gt;0,ISNUMBER($K306),ISNUMBER($J306)),($K306*$J306)/$S306,"")</f>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c r="AL307">
        <f>IF(AND(ISNUMBER($S307),$S307&gt;0,ISNUMBER($K307),ISNUMBER($J307)),($K307*$J307)/$S307,"")</f>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c r="AL308">
        <f>IF(AND(ISNUMBER($S308),$S308&gt;0,ISNUMBER($K308),ISNUMBER($J308)),($K308*$J308)/$S308,"")</f>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c r="AL309">
        <f>IF(AND(ISNUMBER($S309),$S309&gt;0,ISNUMBER($K309),ISNUMBER($J309)),($K309*$J309)/$S309,"")</f>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c r="AL310">
        <f>IF(AND(ISNUMBER($S310),$S310&gt;0,ISNUMBER($K310),ISNUMBER($J310)),($K310*$J310)/$S310,"")</f>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c r="AL311">
        <f>IF(AND(ISNUMBER($S311),$S311&gt;0,ISNUMBER($K311),ISNUMBER($J311)),($K311*$J311)/$S311,"")</f>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c r="AL312">
        <f>IF(AND(ISNUMBER($S312),$S312&gt;0,ISNUMBER($K312),ISNUMBER($J312)),($K312*$J312)/$S312,"")</f>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c r="AL313">
        <f>IF(AND(ISNUMBER($S313),$S313&gt;0,ISNUMBER($K313),ISNUMBER($J313)),($K313*$J313)/$S313,"")</f>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c r="AL314">
        <f>IF(AND(ISNUMBER($S314),$S314&gt;0,ISNUMBER($K314),ISNUMBER($J314)),($K314*$J314)/$S314,"")</f>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c r="AL315">
        <f>IF(AND(ISNUMBER($S315),$S315&gt;0,ISNUMBER($K315),ISNUMBER($J315)),($K315*$J315)/$S315,"")</f>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c r="AL316">
        <f>IF(AND(ISNUMBER($S316),$S316&gt;0,ISNUMBER($K316),ISNUMBER($J316)),($K316*$J316)/$S316,"")</f>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c r="AL317">
        <f>IF(AND(ISNUMBER($S317),$S317&gt;0,ISNUMBER($K317),ISNUMBER($J317)),($K317*$J317)/$S317,"")</f>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c r="AL318">
        <f>IF(AND(ISNUMBER($S318),$S318&gt;0,ISNUMBER($K318),ISNUMBER($J318)),($K318*$J318)/$S318,"")</f>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c r="AL319">
        <f>IF(AND(ISNUMBER($S319),$S319&gt;0,ISNUMBER($K319),ISNUMBER($J319)),($K319*$J319)/$S319,"")</f>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c r="AL320">
        <f>IF(AND(ISNUMBER($S320),$S320&gt;0,ISNUMBER($K320),ISNUMBER($J320)),($K320*$J320)/$S320,"")</f>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c r="AL321">
        <f>IF(AND(ISNUMBER($S321),$S321&gt;0,ISNUMBER($K321),ISNUMBER($J321)),($K321*$J321)/$S321,"")</f>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c r="AL322">
        <f>IF(AND(ISNUMBER($S322),$S322&gt;0,ISNUMBER($K322),ISNUMBER($J322)),($K322*$J322)/$S322,"")</f>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c r="AL323">
        <f>IF(AND(ISNUMBER($S323),$S323&gt;0,ISNUMBER($K323),ISNUMBER($J323)),($K323*$J323)/$S323,"")</f>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c r="AL324">
        <f>IF(AND(ISNUMBER($S324),$S324&gt;0,ISNUMBER($K324),ISNUMBER($J324)),($K324*$J324)/$S324,"")</f>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c r="AL325">
        <f>IF(AND(ISNUMBER($S325),$S325&gt;0,ISNUMBER($K325),ISNUMBER($J325)),($K325*$J325)/$S325,"")</f>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c r="AL326">
        <f>IF(AND(ISNUMBER($S326),$S326&gt;0,ISNUMBER($K326),ISNUMBER($J326)),($K326*$J326)/$S326,"")</f>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c r="AL327">
        <f>IF(AND(ISNUMBER($S327),$S327&gt;0,ISNUMBER($K327),ISNUMBER($J327)),($K327*$J327)/$S327,"")</f>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c r="AL328">
        <f>IF(AND(ISNUMBER($S328),$S328&gt;0,ISNUMBER($K328),ISNUMBER($J328)),($K328*$J328)/$S328,"")</f>
      </c>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c r="AL329">
        <f>IF(AND(ISNUMBER($S329),$S329&gt;0,ISNUMBER($K329),ISNUMBER($J329)),($K329*$J329)/$S329,"")</f>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c r="AL330">
        <f>IF(AND(ISNUMBER($S330),$S330&gt;0,ISNUMBER($K330),ISNUMBER($J330)),($K330*$J330)/$S330,"")</f>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c r="AL331">
        <f>IF(AND(ISNUMBER($S331),$S331&gt;0,ISNUMBER($K331),ISNUMBER($J331)),($K331*$J331)/$S331,"")</f>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c r="AL332">
        <f>IF(AND(ISNUMBER($S332),$S332&gt;0,ISNUMBER($K332),ISNUMBER($J332)),($K332*$J332)/$S332,"")</f>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c r="AL333">
        <f>IF(AND(ISNUMBER($S333),$S333&gt;0,ISNUMBER($K333),ISNUMBER($J333)),($K333*$J333)/$S333,"")</f>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c r="AL334">
        <f>IF(AND(ISNUMBER($S334),$S334&gt;0,ISNUMBER($K334),ISNUMBER($J334)),($K334*$J334)/$S334,"")</f>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c r="AL335">
        <f>IF(AND(ISNUMBER($S335),$S335&gt;0,ISNUMBER($K335),ISNUMBER($J335)),($K335*$J335)/$S335,"")</f>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c r="AL336">
        <f>IF(AND(ISNUMBER($S336),$S336&gt;0,ISNUMBER($K336),ISNUMBER($J336)),($K336*$J336)/$S336,"")</f>
      </c>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c r="AL337">
        <f>IF(AND(ISNUMBER($S337),$S337&gt;0,ISNUMBER($K337),ISNUMBER($J337)),($K337*$J337)/$S337,"")</f>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c r="AL338">
        <f>IF(AND(ISNUMBER($S338),$S338&gt;0,ISNUMBER($K338),ISNUMBER($J338)),($K338*$J338)/$S338,"")</f>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c r="AL339">
        <f>IF(AND(ISNUMBER($S339),$S339&gt;0,ISNUMBER($K339),ISNUMBER($J339)),($K339*$J339)/$S339,"")</f>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c r="AL340">
        <f>IF(AND(ISNUMBER($S340),$S340&gt;0,ISNUMBER($K340),ISNUMBER($J340)),($K340*$J340)/$S340,"")</f>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c r="AL341">
        <f>IF(AND(ISNUMBER($S341),$S341&gt;0,ISNUMBER($K341),ISNUMBER($J341)),($K341*$J341)/$S341,"")</f>
      </c>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c r="AL342">
        <f>IF(AND(ISNUMBER($S342),$S342&gt;0,ISNUMBER($K342),ISNUMBER($J342)),($K342*$J342)/$S342,"")</f>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c r="AL343">
        <f>IF(AND(ISNUMBER($S343),$S343&gt;0,ISNUMBER($K343),ISNUMBER($J343)),($K343*$J343)/$S343,"")</f>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c r="AL344">
        <f>IF(AND(ISNUMBER($S344),$S344&gt;0,ISNUMBER($K344),ISNUMBER($J344)),($K344*$J344)/$S344,"")</f>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c r="AL345">
        <f>IF(AND(ISNUMBER($S345),$S345&gt;0,ISNUMBER($K345),ISNUMBER($J345)),($K345*$J345)/$S345,"")</f>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c r="AL346">
        <f>IF(AND(ISNUMBER($S346),$S346&gt;0,ISNUMBER($K346),ISNUMBER($J346)),($K346*$J346)/$S346,"")</f>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c r="AL347">
        <f>IF(AND(ISNUMBER($S347),$S347&gt;0,ISNUMBER($K347),ISNUMBER($J347)),($K347*$J347)/$S347,"")</f>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c r="AL348">
        <f>IF(AND(ISNUMBER($S348),$S348&gt;0,ISNUMBER($K348),ISNUMBER($J348)),($K348*$J348)/$S348,"")</f>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c r="AL349">
        <f>IF(AND(ISNUMBER($S349),$S349&gt;0,ISNUMBER($K349),ISNUMBER($J349)),($K349*$J349)/$S349,"")</f>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c r="AL350">
        <f>IF(AND(ISNUMBER($S350),$S350&gt;0,ISNUMBER($K350),ISNUMBER($J350)),($K350*$J350)/$S350,"")</f>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c r="AL351">
        <f>IF(AND(ISNUMBER($S351),$S351&gt;0,ISNUMBER($K351),ISNUMBER($J351)),($K351*$J351)/$S351,"")</f>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c r="AL352">
        <f>IF(AND(ISNUMBER($S352),$S352&gt;0,ISNUMBER($K352),ISNUMBER($J352)),($K352*$J352)/$S352,"")</f>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c r="AL353">
        <f>IF(AND(ISNUMBER($S353),$S353&gt;0,ISNUMBER($K353),ISNUMBER($J353)),($K353*$J353)/$S353,"")</f>
      </c>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c r="AL354">
        <f>IF(AND(ISNUMBER($S354),$S354&gt;0,ISNUMBER($K354),ISNUMBER($J354)),($K354*$J354)/$S354,"")</f>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c r="AL355">
        <f>IF(AND(ISNUMBER($S355),$S355&gt;0,ISNUMBER($K355),ISNUMBER($J355)),($K355*$J355)/$S355,"")</f>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c r="AL356">
        <f>IF(AND(ISNUMBER($S356),$S356&gt;0,ISNUMBER($K356),ISNUMBER($J356)),($K356*$J356)/$S356,"")</f>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c r="AL357">
        <f>IF(AND(ISNUMBER($S357),$S357&gt;0,ISNUMBER($K357),ISNUMBER($J357)),($K357*$J357)/$S357,"")</f>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c r="AL358">
        <f>IF(AND(ISNUMBER($S358),$S358&gt;0,ISNUMBER($K358),ISNUMBER($J358)),($K358*$J358)/$S358,"")</f>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c r="AL359">
        <f>IF(AND(ISNUMBER($S359),$S359&gt;0,ISNUMBER($K359),ISNUMBER($J359)),($K359*$J359)/$S359,"")</f>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c r="AL360">
        <f>IF(AND(ISNUMBER($S360),$S360&gt;0,ISNUMBER($K360),ISNUMBER($J360)),($K360*$J360)/$S360,"")</f>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c r="AL361">
        <f>IF(AND(ISNUMBER($S361),$S361&gt;0,ISNUMBER($K361),ISNUMBER($J361)),($K361*$J361)/$S361,"")</f>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c r="AL362">
        <f>IF(AND(ISNUMBER($S362),$S362&gt;0,ISNUMBER($K362),ISNUMBER($J362)),($K362*$J362)/$S362,"")</f>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c r="AL363">
        <f>IF(AND(ISNUMBER($S363),$S363&gt;0,ISNUMBER($K363),ISNUMBER($J363)),($K363*$J363)/$S363,"")</f>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c r="AL364">
        <f>IF(AND(ISNUMBER($S364),$S364&gt;0,ISNUMBER($K364),ISNUMBER($J364)),($K364*$J364)/$S364,"")</f>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c r="AL365">
        <f>IF(AND(ISNUMBER($S365),$S365&gt;0,ISNUMBER($K365),ISNUMBER($J365)),($K365*$J365)/$S365,"")</f>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c r="AL366">
        <f>IF(AND(ISNUMBER($S366),$S366&gt;0,ISNUMBER($K366),ISNUMBER($J366)),($K366*$J366)/$S366,"")</f>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c r="AL367">
        <f>IF(AND(ISNUMBER($S367),$S367&gt;0,ISNUMBER($K367),ISNUMBER($J367)),($K367*$J367)/$S367,"")</f>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c r="AL368">
        <f>IF(AND(ISNUMBER($S368),$S368&gt;0,ISNUMBER($K368),ISNUMBER($J368)),($K368*$J368)/$S368,"")</f>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c r="AL369">
        <f>IF(AND(ISNUMBER($S369),$S369&gt;0,ISNUMBER($K369),ISNUMBER($J369)),($K369*$J369)/$S369,"")</f>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c r="AL370">
        <f>IF(AND(ISNUMBER($S370),$S370&gt;0,ISNUMBER($K370),ISNUMBER($J370)),($K370*$J370)/$S370,"")</f>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c r="AL371">
        <f>IF(AND(ISNUMBER($S371),$S371&gt;0,ISNUMBER($K371),ISNUMBER($J371)),($K371*$J371)/$S371,"")</f>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c r="AL372">
        <f>IF(AND(ISNUMBER($S372),$S372&gt;0,ISNUMBER($K372),ISNUMBER($J372)),($K372*$J372)/$S372,"")</f>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c r="AL373">
        <f>IF(AND(ISNUMBER($S373),$S373&gt;0,ISNUMBER($K373),ISNUMBER($J373)),($K373*$J373)/$S373,"")</f>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c r="AL374">
        <f>IF(AND(ISNUMBER($S374),$S374&gt;0,ISNUMBER($K374),ISNUMBER($J374)),($K374*$J374)/$S374,"")</f>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c r="AL375">
        <f>IF(AND(ISNUMBER($S375),$S375&gt;0,ISNUMBER($K375),ISNUMBER($J375)),($K375*$J375)/$S375,"")</f>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c r="AL376">
        <f>IF(AND(ISNUMBER($S376),$S376&gt;0,ISNUMBER($K376),ISNUMBER($J376)),($K376*$J376)/$S376,"")</f>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c r="AL377">
        <f>IF(AND(ISNUMBER($S377),$S377&gt;0,ISNUMBER($K377),ISNUMBER($J377)),($K377*$J377)/$S377,"")</f>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c r="AL378">
        <f>IF(AND(ISNUMBER($S378),$S378&gt;0,ISNUMBER($K378),ISNUMBER($J378)),($K378*$J378)/$S378,"")</f>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c r="AL379">
        <f>IF(AND(ISNUMBER($S379),$S379&gt;0,ISNUMBER($K379),ISNUMBER($J379)),($K379*$J379)/$S379,"")</f>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c r="AL380">
        <f>IF(AND(ISNUMBER($S380),$S380&gt;0,ISNUMBER($K380),ISNUMBER($J380)),($K380*$J380)/$S380,"")</f>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c r="AL381">
        <f>IF(AND(ISNUMBER($S381),$S381&gt;0,ISNUMBER($K381),ISNUMBER($J381)),($K381*$J381)/$S381,"")</f>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c r="AL382">
        <f>IF(AND(ISNUMBER($S382),$S382&gt;0,ISNUMBER($K382),ISNUMBER($J382)),($K382*$J382)/$S382,"")</f>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c r="AL383">
        <f>IF(AND(ISNUMBER($S383),$S383&gt;0,ISNUMBER($K383),ISNUMBER($J383)),($K383*$J383)/$S383,"")</f>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c r="AL384">
        <f>IF(AND(ISNUMBER($S384),$S384&gt;0,ISNUMBER($K384),ISNUMBER($J384)),($K384*$J384)/$S384,"")</f>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c r="AL385">
        <f>IF(AND(ISNUMBER($S385),$S385&gt;0,ISNUMBER($K385),ISNUMBER($J385)),($K385*$J385)/$S385,"")</f>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c r="AL386">
        <f>IF(AND(ISNUMBER($S386),$S386&gt;0,ISNUMBER($K386),ISNUMBER($J386)),($K386*$J386)/$S386,"")</f>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c r="AL387">
        <f>IF(AND(ISNUMBER($S387),$S387&gt;0,ISNUMBER($K387),ISNUMBER($J387)),($K387*$J387)/$S387,"")</f>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c r="AL388">
        <f>IF(AND(ISNUMBER($S388),$S388&gt;0,ISNUMBER($K388),ISNUMBER($J388)),($K388*$J388)/$S388,"")</f>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c r="AL389">
        <f>IF(AND(ISNUMBER($S389),$S389&gt;0,ISNUMBER($K389),ISNUMBER($J389)),($K389*$J389)/$S389,"")</f>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c r="AL390">
        <f>IF(AND(ISNUMBER($S390),$S390&gt;0,ISNUMBER($K390),ISNUMBER($J390)),($K390*$J390)/$S390,"")</f>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c r="AL391">
        <f>IF(AND(ISNUMBER($S391),$S391&gt;0,ISNUMBER($K391),ISNUMBER($J391)),($K391*$J391)/$S391,"")</f>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c r="AL392">
        <f>IF(AND(ISNUMBER($S392),$S392&gt;0,ISNUMBER($K392),ISNUMBER($J392)),($K392*$J392)/$S392,"")</f>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c r="AL393">
        <f>IF(AND(ISNUMBER($S393),$S393&gt;0,ISNUMBER($K393),ISNUMBER($J393)),($K393*$J393)/$S393,"")</f>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c r="AL394">
        <f>IF(AND(ISNUMBER($S394),$S394&gt;0,ISNUMBER($K394),ISNUMBER($J394)),($K394*$J394)/$S394,"")</f>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c r="AL395">
        <f>IF(AND(ISNUMBER($S395),$S395&gt;0,ISNUMBER($K395),ISNUMBER($J395)),($K395*$J395)/$S395,"")</f>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c r="AL396">
        <f>IF(AND(ISNUMBER($S396),$S396&gt;0,ISNUMBER($K396),ISNUMBER($J396)),($K396*$J396)/$S396,"")</f>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c r="AL397">
        <f>IF(AND(ISNUMBER($S397),$S397&gt;0,ISNUMBER($K397),ISNUMBER($J397)),($K397*$J397)/$S397,"")</f>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c r="AL398">
        <f>IF(AND(ISNUMBER($S398),$S398&gt;0,ISNUMBER($K398),ISNUMBER($J398)),($K398*$J398)/$S398,"")</f>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c r="AL399">
        <f>IF(AND(ISNUMBER($S399),$S399&gt;0,ISNUMBER($K399),ISNUMBER($J399)),($K399*$J399)/$S399,"")</f>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c r="AL400">
        <f>IF(AND(ISNUMBER($S400),$S400&gt;0,ISNUMBER($K400),ISNUMBER($J400)),($K400*$J400)/$S400,"")</f>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c r="AL401">
        <f>IF(AND(ISNUMBER($S401),$S401&gt;0,ISNUMBER($K401),ISNUMBER($J401)),($K401*$J401)/$S401,"")</f>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c r="AL402">
        <f>IF(AND(ISNUMBER($S402),$S402&gt;0,ISNUMBER($K402),ISNUMBER($J402)),($K402*$J402)/$S402,"")</f>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c r="AL403">
        <f>IF(AND(ISNUMBER($S403),$S403&gt;0,ISNUMBER($K403),ISNUMBER($J403)),($K403*$J403)/$S403,"")</f>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c r="AL404">
        <f>IF(AND(ISNUMBER($S404),$S404&gt;0,ISNUMBER($K404),ISNUMBER($J404)),($K404*$J404)/$S404,"")</f>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c r="AL405">
        <f>IF(AND(ISNUMBER($S405),$S405&gt;0,ISNUMBER($K405),ISNUMBER($J405)),($K405*$J405)/$S405,"")</f>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c r="AL406">
        <f>IF(AND(ISNUMBER($S406),$S406&gt;0,ISNUMBER($K406),ISNUMBER($J406)),($K406*$J406)/$S406,"")</f>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c r="AL407">
        <f>IF(AND(ISNUMBER($S407),$S407&gt;0,ISNUMBER($K407),ISNUMBER($J407)),($K407*$J407)/$S407,"")</f>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c r="AL408">
        <f>IF(AND(ISNUMBER($S408),$S408&gt;0,ISNUMBER($K408),ISNUMBER($J408)),($K408*$J408)/$S408,"")</f>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c r="AL409">
        <f>IF(AND(ISNUMBER($S409),$S409&gt;0,ISNUMBER($K409),ISNUMBER($J409)),($K409*$J409)/$S409,"")</f>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c r="AL410">
        <f>IF(AND(ISNUMBER($S410),$S410&gt;0,ISNUMBER($K410),ISNUMBER($J410)),($K410*$J410)/$S410,"")</f>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c r="AL411">
        <f>IF(AND(ISNUMBER($S411),$S411&gt;0,ISNUMBER($K411),ISNUMBER($J411)),($K411*$J411)/$S411,"")</f>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c r="AL412">
        <f>IF(AND(ISNUMBER($S412),$S412&gt;0,ISNUMBER($K412),ISNUMBER($J412)),($K412*$J412)/$S412,"")</f>
      </c>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c r="AL413">
        <f>IF(AND(ISNUMBER($S413),$S413&gt;0,ISNUMBER($K413),ISNUMBER($J413)),($K413*$J413)/$S413,"")</f>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c r="AL414">
        <f>IF(AND(ISNUMBER($S414),$S414&gt;0,ISNUMBER($K414),ISNUMBER($J414)),($K414*$J414)/$S414,"")</f>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c r="AL415">
        <f>IF(AND(ISNUMBER($S415),$S415&gt;0,ISNUMBER($K415),ISNUMBER($J415)),($K415*$J415)/$S415,"")</f>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c r="AL416">
        <f>IF(AND(ISNUMBER($S416),$S416&gt;0,ISNUMBER($K416),ISNUMBER($J416)),($K416*$J416)/$S416,"")</f>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c r="AL417">
        <f>IF(AND(ISNUMBER($S417),$S417&gt;0,ISNUMBER($K417),ISNUMBER($J417)),($K417*$J417)/$S417,"")</f>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c r="AL418">
        <f>IF(AND(ISNUMBER($S418),$S418&gt;0,ISNUMBER($K418),ISNUMBER($J418)),($K418*$J418)/$S418,"")</f>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c r="AL419">
        <f>IF(AND(ISNUMBER($S419),$S419&gt;0,ISNUMBER($K419),ISNUMBER($J419)),($K419*$J419)/$S419,"")</f>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c r="AL420">
        <f>IF(AND(ISNUMBER($S420),$S420&gt;0,ISNUMBER($K420),ISNUMBER($J420)),($K420*$J420)/$S420,"")</f>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c r="AL421">
        <f>IF(AND(ISNUMBER($S421),$S421&gt;0,ISNUMBER($K421),ISNUMBER($J421)),($K421*$J421)/$S421,"")</f>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c r="AL422">
        <f>IF(AND(ISNUMBER($S422),$S422&gt;0,ISNUMBER($K422),ISNUMBER($J422)),($K422*$J422)/$S422,"")</f>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c r="AL423">
        <f>IF(AND(ISNUMBER($S423),$S423&gt;0,ISNUMBER($K423),ISNUMBER($J423)),($K423*$J423)/$S423,"")</f>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c r="AL424">
        <f>IF(AND(ISNUMBER($S424),$S424&gt;0,ISNUMBER($K424),ISNUMBER($J424)),($K424*$J424)/$S424,"")</f>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c r="AL425">
        <f>IF(AND(ISNUMBER($S425),$S425&gt;0,ISNUMBER($K425),ISNUMBER($J425)),($K425*$J425)/$S425,"")</f>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c r="AL426">
        <f>IF(AND(ISNUMBER($S426),$S426&gt;0,ISNUMBER($K426),ISNUMBER($J426)),($K426*$J426)/$S426,"")</f>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c r="AL427">
        <f>IF(AND(ISNUMBER($S427),$S427&gt;0,ISNUMBER($K427),ISNUMBER($J427)),($K427*$J427)/$S427,"")</f>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c r="AL428">
        <f>IF(AND(ISNUMBER($S428),$S428&gt;0,ISNUMBER($K428),ISNUMBER($J428)),($K428*$J428)/$S428,"")</f>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c r="AL429">
        <f>IF(AND(ISNUMBER($S429),$S429&gt;0,ISNUMBER($K429),ISNUMBER($J429)),($K429*$J429)/$S429,"")</f>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c r="AL430">
        <f>IF(AND(ISNUMBER($S430),$S430&gt;0,ISNUMBER($K430),ISNUMBER($J430)),($K430*$J430)/$S430,"")</f>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c r="AL431">
        <f>IF(AND(ISNUMBER($S431),$S431&gt;0,ISNUMBER($K431),ISNUMBER($J431)),($K431*$J431)/$S431,"")</f>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c r="AL432">
        <f>IF(AND(ISNUMBER($S432),$S432&gt;0,ISNUMBER($K432),ISNUMBER($J432)),($K432*$J432)/$S432,"")</f>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c r="AL433">
        <f>IF(AND(ISNUMBER($S433),$S433&gt;0,ISNUMBER($K433),ISNUMBER($J433)),($K433*$J433)/$S433,"")</f>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c r="AL434">
        <f>IF(AND(ISNUMBER($S434),$S434&gt;0,ISNUMBER($K434),ISNUMBER($J434)),($K434*$J434)/$S434,"")</f>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c r="AL435">
        <f>IF(AND(ISNUMBER($S435),$S435&gt;0,ISNUMBER($K435),ISNUMBER($J435)),($K435*$J435)/$S435,"")</f>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c r="AL436">
        <f>IF(AND(ISNUMBER($S436),$S436&gt;0,ISNUMBER($K436),ISNUMBER($J436)),($K436*$J436)/$S436,"")</f>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c r="AL437">
        <f>IF(AND(ISNUMBER($S437),$S437&gt;0,ISNUMBER($K437),ISNUMBER($J437)),($K437*$J437)/$S437,"")</f>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c r="AL438">
        <f>IF(AND(ISNUMBER($S438),$S438&gt;0,ISNUMBER($K438),ISNUMBER($J438)),($K438*$J438)/$S438,"")</f>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c r="AL439">
        <f>IF(AND(ISNUMBER($S439),$S439&gt;0,ISNUMBER($K439),ISNUMBER($J439)),($K439*$J439)/$S439,"")</f>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c r="AL440">
        <f>IF(AND(ISNUMBER($S440),$S440&gt;0,ISNUMBER($K440),ISNUMBER($J440)),($K440*$J440)/$S440,"")</f>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c r="AL441">
        <f>IF(AND(ISNUMBER($S441),$S441&gt;0,ISNUMBER($K441),ISNUMBER($J441)),($K441*$J441)/$S441,"")</f>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c r="AL442">
        <f>IF(AND(ISNUMBER($S442),$S442&gt;0,ISNUMBER($K442),ISNUMBER($J442)),($K442*$J442)/$S442,"")</f>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c r="AL443">
        <f>IF(AND(ISNUMBER($S443),$S443&gt;0,ISNUMBER($K443),ISNUMBER($J443)),($K443*$J443)/$S443,"")</f>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c r="AL444">
        <f>IF(AND(ISNUMBER($S444),$S444&gt;0,ISNUMBER($K444),ISNUMBER($J444)),($K444*$J444)/$S444,"")</f>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c r="AL445">
        <f>IF(AND(ISNUMBER($S445),$S445&gt;0,ISNUMBER($K445),ISNUMBER($J445)),($K445*$J445)/$S445,"")</f>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c r="AL446">
        <f>IF(AND(ISNUMBER($S446),$S446&gt;0,ISNUMBER($K446),ISNUMBER($J446)),($K446*$J446)/$S446,"")</f>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c r="AL447">
        <f>IF(AND(ISNUMBER($S447),$S447&gt;0,ISNUMBER($K447),ISNUMBER($J447)),($K447*$J447)/$S447,"")</f>
      </c>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c r="AL448">
        <f>IF(AND(ISNUMBER($S448),$S448&gt;0,ISNUMBER($K448),ISNUMBER($J448)),($K448*$J448)/$S448,"")</f>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c r="AL449">
        <f>IF(AND(ISNUMBER($S449),$S449&gt;0,ISNUMBER($K449),ISNUMBER($J449)),($K449*$J449)/$S449,"")</f>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c r="AL450">
        <f>IF(AND(ISNUMBER($S450),$S450&gt;0,ISNUMBER($K450),ISNUMBER($J450)),($K450*$J450)/$S450,"")</f>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c r="AL451">
        <f>IF(AND(ISNUMBER($S451),$S451&gt;0,ISNUMBER($K451),ISNUMBER($J451)),($K451*$J451)/$S451,"")</f>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c r="AL452">
        <f>IF(AND(ISNUMBER($S452),$S452&gt;0,ISNUMBER($K452),ISNUMBER($J452)),($K452*$J452)/$S452,"")</f>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c r="AL453">
        <f>IF(AND(ISNUMBER($S453),$S453&gt;0,ISNUMBER($K453),ISNUMBER($J453)),($K453*$J453)/$S453,"")</f>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c r="AL454">
        <f>IF(AND(ISNUMBER($S454),$S454&gt;0,ISNUMBER($K454),ISNUMBER($J454)),($K454*$J454)/$S454,"")</f>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c r="AL455">
        <f>IF(AND(ISNUMBER($S455),$S455&gt;0,ISNUMBER($K455),ISNUMBER($J455)),($K455*$J455)/$S455,"")</f>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c r="AL456">
        <f>IF(AND(ISNUMBER($S456),$S456&gt;0,ISNUMBER($K456),ISNUMBER($J456)),($K456*$J456)/$S456,"")</f>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c r="AL457">
        <f>IF(AND(ISNUMBER($S457),$S457&gt;0,ISNUMBER($K457),ISNUMBER($J457)),($K457*$J457)/$S457,"")</f>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c r="AL458">
        <f>IF(AND(ISNUMBER($S458),$S458&gt;0,ISNUMBER($K458),ISNUMBER($J458)),($K458*$J458)/$S458,"")</f>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c r="AL459">
        <f>IF(AND(ISNUMBER($S459),$S459&gt;0,ISNUMBER($K459),ISNUMBER($J459)),($K459*$J459)/$S459,"")</f>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c r="AL460">
        <f>IF(AND(ISNUMBER($S460),$S460&gt;0,ISNUMBER($K460),ISNUMBER($J460)),($K460*$J460)/$S460,"")</f>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c r="AL461">
        <f>IF(AND(ISNUMBER($S461),$S461&gt;0,ISNUMBER($K461),ISNUMBER($J461)),($K461*$J461)/$S461,"")</f>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c r="AL462">
        <f>IF(AND(ISNUMBER($S462),$S462&gt;0,ISNUMBER($K462),ISNUMBER($J462)),($K462*$J462)/$S462,"")</f>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c r="AL463">
        <f>IF(AND(ISNUMBER($S463),$S463&gt;0,ISNUMBER($K463),ISNUMBER($J463)),($K463*$J463)/$S463,"")</f>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c r="AL464">
        <f>IF(AND(ISNUMBER($S464),$S464&gt;0,ISNUMBER($K464),ISNUMBER($J464)),($K464*$J464)/$S464,"")</f>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c r="AL465">
        <f>IF(AND(ISNUMBER($S465),$S465&gt;0,ISNUMBER($K465),ISNUMBER($J465)),($K465*$J465)/$S465,"")</f>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c r="AL466">
        <f>IF(AND(ISNUMBER($S466),$S466&gt;0,ISNUMBER($K466),ISNUMBER($J466)),($K466*$J466)/$S466,"")</f>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c r="AL467">
        <f>IF(AND(ISNUMBER($S467),$S467&gt;0,ISNUMBER($K467),ISNUMBER($J467)),($K467*$J467)/$S467,"")</f>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c r="AL468">
        <f>IF(AND(ISNUMBER($S468),$S468&gt;0,ISNUMBER($K468),ISNUMBER($J468)),($K468*$J468)/$S468,"")</f>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c r="AL469">
        <f>IF(AND(ISNUMBER($S469),$S469&gt;0,ISNUMBER($K469),ISNUMBER($J469)),($K469*$J469)/$S469,"")</f>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c r="AL470">
        <f>IF(AND(ISNUMBER($S470),$S470&gt;0,ISNUMBER($K470),ISNUMBER($J470)),($K470*$J470)/$S470,"")</f>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c r="AL471">
        <f>IF(AND(ISNUMBER($S471),$S471&gt;0,ISNUMBER($K471),ISNUMBER($J471)),($K471*$J471)/$S471,"")</f>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c r="AL472">
        <f>IF(AND(ISNUMBER($S472),$S472&gt;0,ISNUMBER($K472),ISNUMBER($J472)),($K472*$J472)/$S472,"")</f>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c r="AL473">
        <f>IF(AND(ISNUMBER($S473),$S473&gt;0,ISNUMBER($K473),ISNUMBER($J473)),($K473*$J473)/$S473,"")</f>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c r="AL474">
        <f>IF(AND(ISNUMBER($S474),$S474&gt;0,ISNUMBER($K474),ISNUMBER($J474)),($K474*$J474)/$S474,"")</f>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c r="AL475">
        <f>IF(AND(ISNUMBER($S475),$S475&gt;0,ISNUMBER($K475),ISNUMBER($J475)),($K475*$J475)/$S475,"")</f>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c r="AL476">
        <f>IF(AND(ISNUMBER($S476),$S476&gt;0,ISNUMBER($K476),ISNUMBER($J476)),($K476*$J476)/$S476,"")</f>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c r="AL477">
        <f>IF(AND(ISNUMBER($S477),$S477&gt;0,ISNUMBER($K477),ISNUMBER($J477)),($K477*$J477)/$S477,"")</f>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c r="AL478">
        <f>IF(AND(ISNUMBER($S478),$S478&gt;0,ISNUMBER($K478),ISNUMBER($J478)),($K478*$J478)/$S478,"")</f>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c r="AL479">
        <f>IF(AND(ISNUMBER($S479),$S479&gt;0,ISNUMBER($K479),ISNUMBER($J479)),($K479*$J479)/$S479,"")</f>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c r="AL480">
        <f>IF(AND(ISNUMBER($S480),$S480&gt;0,ISNUMBER($K480),ISNUMBER($J480)),($K480*$J480)/$S480,"")</f>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c r="AL481">
        <f>IF(AND(ISNUMBER($S481),$S481&gt;0,ISNUMBER($K481),ISNUMBER($J481)),($K481*$J481)/$S481,"")</f>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c r="AL482">
        <f>IF(AND(ISNUMBER($S482),$S482&gt;0,ISNUMBER($K482),ISNUMBER($J482)),($K482*$J482)/$S482,"")</f>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c r="AL483">
        <f>IF(AND(ISNUMBER($S483),$S483&gt;0,ISNUMBER($K483),ISNUMBER($J483)),($K483*$J483)/$S483,"")</f>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c r="AL484">
        <f>IF(AND(ISNUMBER($S484),$S484&gt;0,ISNUMBER($K484),ISNUMBER($J484)),($K484*$J484)/$S484,"")</f>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c r="AL485">
        <f>IF(AND(ISNUMBER($S485),$S485&gt;0,ISNUMBER($K485),ISNUMBER($J485)),($K485*$J485)/$S485,"")</f>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c r="AL486">
        <f>IF(AND(ISNUMBER($S486),$S486&gt;0,ISNUMBER($K486),ISNUMBER($J486)),($K486*$J486)/$S486,"")</f>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c r="AL487">
        <f>IF(AND(ISNUMBER($S487),$S487&gt;0,ISNUMBER($K487),ISNUMBER($J487)),($K487*$J487)/$S487,"")</f>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c r="AL488">
        <f>IF(AND(ISNUMBER($S488),$S488&gt;0,ISNUMBER($K488),ISNUMBER($J488)),($K488*$J488)/$S488,"")</f>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c r="AL489">
        <f>IF(AND(ISNUMBER($S489),$S489&gt;0,ISNUMBER($K489),ISNUMBER($J489)),($K489*$J489)/$S489,"")</f>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c r="AL490">
        <f>IF(AND(ISNUMBER($S490),$S490&gt;0,ISNUMBER($K490),ISNUMBER($J490)),($K490*$J490)/$S490,"")</f>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c r="AL491">
        <f>IF(AND(ISNUMBER($S491),$S491&gt;0,ISNUMBER($K491),ISNUMBER($J491)),($K491*$J491)/$S491,"")</f>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c r="AL492">
        <f>IF(AND(ISNUMBER($S492),$S492&gt;0,ISNUMBER($K492),ISNUMBER($J492)),($K492*$J492)/$S492,"")</f>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c r="AL493">
        <f>IF(AND(ISNUMBER($S493),$S493&gt;0,ISNUMBER($K493),ISNUMBER($J493)),($K493*$J493)/$S493,"")</f>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c r="AL494">
        <f>IF(AND(ISNUMBER($S494),$S494&gt;0,ISNUMBER($K494),ISNUMBER($J494)),($K494*$J494)/$S494,"")</f>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c r="AL495">
        <f>IF(AND(ISNUMBER($S495),$S495&gt;0,ISNUMBER($K495),ISNUMBER($J495)),($K495*$J495)/$S495,"")</f>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c r="AL496">
        <f>IF(AND(ISNUMBER($S496),$S496&gt;0,ISNUMBER($K496),ISNUMBER($J496)),($K496*$J496)/$S496,"")</f>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c r="AL497">
        <f>IF(AND(ISNUMBER($S497),$S497&gt;0,ISNUMBER($K497),ISNUMBER($J497)),($K497*$J497)/$S497,"")</f>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c r="AL498">
        <f>IF(AND(ISNUMBER($S498),$S498&gt;0,ISNUMBER($K498),ISNUMBER($J498)),($K498*$J498)/$S498,"")</f>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c r="AL499">
        <f>IF(AND(ISNUMBER($S499),$S499&gt;0,ISNUMBER($K499),ISNUMBER($J499)),($K499*$J499)/$S499,"")</f>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c r="AL500">
        <f>IF(AND(ISNUMBER($S500),$S500&gt;0,ISNUMBER($K500),ISNUMBER($J500)),($K500*$J500)/$S500,"")</f>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c r="AL501">
        <f>IF(AND(ISNUMBER($S501),$S501&gt;0,ISNUMBER($K501),ISNUMBER($J501)),($K501*$J501)/$S501,"")</f>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c r="AL502">
        <f>IF(AND(ISNUMBER($S502),$S502&gt;0,ISNUMBER($K502),ISNUMBER($J502)),($K502*$J502)/$S502,"")</f>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c r="AL503">
        <f>IF(AND(ISNUMBER($S503),$S503&gt;0,ISNUMBER($K503),ISNUMBER($J503)),($K503*$J503)/$S503,"")</f>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c r="AL504">
        <f>IF(AND(ISNUMBER($S504),$S504&gt;0,ISNUMBER($K504),ISNUMBER($J504)),($K504*$J504)/$S504,"")</f>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c r="AL505">
        <f>IF(AND(ISNUMBER($S505),$S505&gt;0,ISNUMBER($K505),ISNUMBER($J505)),($K505*$J505)/$S505,"")</f>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c r="AL506">
        <f>IF(AND(ISNUMBER($S506),$S506&gt;0,ISNUMBER($K506),ISNUMBER($J506)),($K506*$J506)/$S506,"")</f>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c r="AL507">
        <f>IF(AND(ISNUMBER($S507),$S507&gt;0,ISNUMBER($K507),ISNUMBER($J507)),($K507*$J507)/$S507,"")</f>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c r="AL508">
        <f>IF(AND(ISNUMBER($S508),$S508&gt;0,ISNUMBER($K508),ISNUMBER($J508)),($K508*$J508)/$S508,"")</f>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c r="AL509">
        <f>IF(AND(ISNUMBER($S509),$S509&gt;0,ISNUMBER($K509),ISNUMBER($J509)),($K509*$J509)/$S509,"")</f>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c r="AL510">
        <f>IF(AND(ISNUMBER($S510),$S510&gt;0,ISNUMBER($K510),ISNUMBER($J510)),($K510*$J510)/$S510,"")</f>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c r="AL511">
        <f>IF(AND(ISNUMBER($S511),$S511&gt;0,ISNUMBER($K511),ISNUMBER($J511)),($K511*$J511)/$S511,"")</f>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c r="AL512">
        <f>IF(AND(ISNUMBER($S512),$S512&gt;0,ISNUMBER($K512),ISNUMBER($J512)),($K512*$J512)/$S512,"")</f>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c r="AL513">
        <f>IF(AND(ISNUMBER($S513),$S513&gt;0,ISNUMBER($K513),ISNUMBER($J513)),($K513*$J513)/$S513,"")</f>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c r="AL514">
        <f>IF(AND(ISNUMBER($S514),$S514&gt;0,ISNUMBER($K514),ISNUMBER($J514)),($K514*$J514)/$S514,"")</f>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c r="AL515">
        <f>IF(AND(ISNUMBER($S515),$S515&gt;0,ISNUMBER($K515),ISNUMBER($J515)),($K515*$J515)/$S515,"")</f>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c r="AL516">
        <f>IF(AND(ISNUMBER($S516),$S516&gt;0,ISNUMBER($K516),ISNUMBER($J516)),($K516*$J516)/$S516,"")</f>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c r="AL517">
        <f>IF(AND(ISNUMBER($S517),$S517&gt;0,ISNUMBER($K517),ISNUMBER($J517)),($K517*$J517)/$S517,"")</f>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c r="AL518">
        <f>IF(AND(ISNUMBER($S518),$S518&gt;0,ISNUMBER($K518),ISNUMBER($J518)),($K518*$J518)/$S518,"")</f>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c r="AL519">
        <f>IF(AND(ISNUMBER($S519),$S519&gt;0,ISNUMBER($K519),ISNUMBER($J519)),($K519*$J519)/$S519,"")</f>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c r="AL520">
        <f>IF(AND(ISNUMBER($S520),$S520&gt;0,ISNUMBER($K520),ISNUMBER($J520)),($K520*$J520)/$S520,"")</f>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c r="AL521">
        <f>IF(AND(ISNUMBER($S521),$S521&gt;0,ISNUMBER($K521),ISNUMBER($J521)),($K521*$J521)/$S521,"")</f>
      </c>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c r="AL522">
        <f>IF(AND(ISNUMBER($S522),$S522&gt;0,ISNUMBER($K522),ISNUMBER($J522)),($K522*$J522)/$S522,"")</f>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c r="AL523">
        <f>IF(AND(ISNUMBER($S523),$S523&gt;0,ISNUMBER($K523),ISNUMBER($J523)),($K523*$J523)/$S523,"")</f>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c r="AL524">
        <f>IF(AND(ISNUMBER($S524),$S524&gt;0,ISNUMBER($K524),ISNUMBER($J524)),($K524*$J524)/$S524,"")</f>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c r="AL525">
        <f>IF(AND(ISNUMBER($S525),$S525&gt;0,ISNUMBER($K525),ISNUMBER($J525)),($K525*$J525)/$S525,"")</f>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c r="AL526">
        <f>IF(AND(ISNUMBER($S526),$S526&gt;0,ISNUMBER($K526),ISNUMBER($J526)),($K526*$J526)/$S526,"")</f>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c r="AL527">
        <f>IF(AND(ISNUMBER($S527),$S527&gt;0,ISNUMBER($K527),ISNUMBER($J527)),($K527*$J527)/$S527,"")</f>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c r="AL528">
        <f>IF(AND(ISNUMBER($S528),$S528&gt;0,ISNUMBER($K528),ISNUMBER($J528)),($K528*$J528)/$S528,"")</f>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c r="AL529">
        <f>IF(AND(ISNUMBER($S529),$S529&gt;0,ISNUMBER($K529),ISNUMBER($J529)),($K529*$J529)/$S529,"")</f>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c r="AL530">
        <f>IF(AND(ISNUMBER($S530),$S530&gt;0,ISNUMBER($K530),ISNUMBER($J530)),($K530*$J530)/$S530,"")</f>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c r="AL531">
        <f>IF(AND(ISNUMBER($S531),$S531&gt;0,ISNUMBER($K531),ISNUMBER($J531)),($K531*$J531)/$S531,"")</f>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c r="AL532">
        <f>IF(AND(ISNUMBER($S532),$S532&gt;0,ISNUMBER($K532),ISNUMBER($J532)),($K532*$J532)/$S532,"")</f>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c r="AL533">
        <f>IF(AND(ISNUMBER($S533),$S533&gt;0,ISNUMBER($K533),ISNUMBER($J533)),($K533*$J533)/$S533,"")</f>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c r="AL534">
        <f>IF(AND(ISNUMBER($S534),$S534&gt;0,ISNUMBER($K534),ISNUMBER($J534)),($K534*$J534)/$S534,"")</f>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c r="AL535">
        <f>IF(AND(ISNUMBER($S535),$S535&gt;0,ISNUMBER($K535),ISNUMBER($J535)),($K535*$J535)/$S535,"")</f>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c r="AL536">
        <f>IF(AND(ISNUMBER($S536),$S536&gt;0,ISNUMBER($K536),ISNUMBER($J536)),($K536*$J536)/$S536,"")</f>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c r="AL537">
        <f>IF(AND(ISNUMBER($S537),$S537&gt;0,ISNUMBER($K537),ISNUMBER($J537)),($K537*$J537)/$S537,"")</f>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c r="AL538">
        <f>IF(AND(ISNUMBER($S538),$S538&gt;0,ISNUMBER($K538),ISNUMBER($J538)),($K538*$J538)/$S538,"")</f>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c r="AL539">
        <f>IF(AND(ISNUMBER($S539),$S539&gt;0,ISNUMBER($K539),ISNUMBER($J539)),($K539*$J539)/$S539,"")</f>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c r="AL540">
        <f>IF(AND(ISNUMBER($S540),$S540&gt;0,ISNUMBER($K540),ISNUMBER($J540)),($K540*$J540)/$S540,"")</f>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c r="AL541">
        <f>IF(AND(ISNUMBER($S541),$S541&gt;0,ISNUMBER($K541),ISNUMBER($J541)),($K541*$J541)/$S541,"")</f>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c r="AL542">
        <f>IF(AND(ISNUMBER($S542),$S542&gt;0,ISNUMBER($K542),ISNUMBER($J542)),($K542*$J542)/$S542,"")</f>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c r="AL543">
        <f>IF(AND(ISNUMBER($S543),$S543&gt;0,ISNUMBER($K543),ISNUMBER($J543)),($K543*$J543)/$S543,"")</f>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c r="AL544">
        <f>IF(AND(ISNUMBER($S544),$S544&gt;0,ISNUMBER($K544),ISNUMBER($J544)),($K544*$J544)/$S544,"")</f>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c r="AL545">
        <f>IF(AND(ISNUMBER($S545),$S545&gt;0,ISNUMBER($K545),ISNUMBER($J545)),($K545*$J545)/$S545,"")</f>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c r="AL546">
        <f>IF(AND(ISNUMBER($S546),$S546&gt;0,ISNUMBER($K546),ISNUMBER($J546)),($K546*$J546)/$S546,"")</f>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c r="AL547">
        <f>IF(AND(ISNUMBER($S547),$S547&gt;0,ISNUMBER($K547),ISNUMBER($J547)),($K547*$J547)/$S547,"")</f>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c r="AL548">
        <f>IF(AND(ISNUMBER($S548),$S548&gt;0,ISNUMBER($K548),ISNUMBER($J548)),($K548*$J548)/$S548,"")</f>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c r="AL549">
        <f>IF(AND(ISNUMBER($S549),$S549&gt;0,ISNUMBER($K549),ISNUMBER($J549)),($K549*$J549)/$S549,"")</f>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c r="AL550">
        <f>IF(AND(ISNUMBER($S550),$S550&gt;0,ISNUMBER($K550),ISNUMBER($J550)),($K550*$J550)/$S550,"")</f>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c r="AL551">
        <f>IF(AND(ISNUMBER($S551),$S551&gt;0,ISNUMBER($K551),ISNUMBER($J551)),($K551*$J551)/$S551,"")</f>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c r="AL552">
        <f>IF(AND(ISNUMBER($S552),$S552&gt;0,ISNUMBER($K552),ISNUMBER($J552)),($K552*$J552)/$S552,"")</f>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c r="AL553">
        <f>IF(AND(ISNUMBER($S553),$S553&gt;0,ISNUMBER($K553),ISNUMBER($J553)),($K553*$J553)/$S553,"")</f>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c r="AL554">
        <f>IF(AND(ISNUMBER($S554),$S554&gt;0,ISNUMBER($K554),ISNUMBER($J554)),($K554*$J554)/$S554,"")</f>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c r="AL555">
        <f>IF(AND(ISNUMBER($S555),$S555&gt;0,ISNUMBER($K555),ISNUMBER($J555)),($K555*$J555)/$S555,"")</f>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c r="AL556">
        <f>IF(AND(ISNUMBER($S556),$S556&gt;0,ISNUMBER($K556),ISNUMBER($J556)),($K556*$J556)/$S556,"")</f>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c r="AL557">
        <f>IF(AND(ISNUMBER($S557),$S557&gt;0,ISNUMBER($K557),ISNUMBER($J557)),($K557*$J557)/$S557,"")</f>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c r="AL558">
        <f>IF(AND(ISNUMBER($S558),$S558&gt;0,ISNUMBER($K558),ISNUMBER($J558)),($K558*$J558)/$S558,"")</f>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c r="AL559">
        <f>IF(AND(ISNUMBER($S559),$S559&gt;0,ISNUMBER($K559),ISNUMBER($J559)),($K559*$J559)/$S559,"")</f>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c r="AL560">
        <f>IF(AND(ISNUMBER($S560),$S560&gt;0,ISNUMBER($K560),ISNUMBER($J560)),($K560*$J560)/$S560,"")</f>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c r="AL561">
        <f>IF(AND(ISNUMBER($S561),$S561&gt;0,ISNUMBER($K561),ISNUMBER($J561)),($K561*$J561)/$S561,"")</f>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c r="AL562">
        <f>IF(AND(ISNUMBER($S562),$S562&gt;0,ISNUMBER($K562),ISNUMBER($J562)),($K562*$J562)/$S562,"")</f>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c r="AL563">
        <f>IF(AND(ISNUMBER($S563),$S563&gt;0,ISNUMBER($K563),ISNUMBER($J563)),($K563*$J563)/$S563,"")</f>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c r="AL564">
        <f>IF(AND(ISNUMBER($S564),$S564&gt;0,ISNUMBER($K564),ISNUMBER($J564)),($K564*$J564)/$S564,"")</f>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c r="AL565">
        <f>IF(AND(ISNUMBER($S565),$S565&gt;0,ISNUMBER($K565),ISNUMBER($J565)),($K565*$J565)/$S565,"")</f>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c r="AL566">
        <f>IF(AND(ISNUMBER($S566),$S566&gt;0,ISNUMBER($K566),ISNUMBER($J566)),($K566*$J566)/$S566,"")</f>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c r="AL567">
        <f>IF(AND(ISNUMBER($S567),$S567&gt;0,ISNUMBER($K567),ISNUMBER($J567)),($K567*$J567)/$S567,"")</f>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c r="AL568">
        <f>IF(AND(ISNUMBER($S568),$S568&gt;0,ISNUMBER($K568),ISNUMBER($J568)),($K568*$J568)/$S568,"")</f>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c r="AL569">
        <f>IF(AND(ISNUMBER($S569),$S569&gt;0,ISNUMBER($K569),ISNUMBER($J569)),($K569*$J569)/$S569,"")</f>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c r="AL570">
        <f>IF(AND(ISNUMBER($S570),$S570&gt;0,ISNUMBER($K570),ISNUMBER($J570)),($K570*$J570)/$S570,"")</f>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c r="AL571">
        <f>IF(AND(ISNUMBER($S571),$S571&gt;0,ISNUMBER($K571),ISNUMBER($J571)),($K571*$J571)/$S571,"")</f>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c r="AL572">
        <f>IF(AND(ISNUMBER($S572),$S572&gt;0,ISNUMBER($K572),ISNUMBER($J572)),($K572*$J572)/$S572,"")</f>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c r="AL573">
        <f>IF(AND(ISNUMBER($S573),$S573&gt;0,ISNUMBER($K573),ISNUMBER($J573)),($K573*$J573)/$S573,"")</f>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c r="AL574">
        <f>IF(AND(ISNUMBER($S574),$S574&gt;0,ISNUMBER($K574),ISNUMBER($J574)),($K574*$J574)/$S574,"")</f>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c r="AL575">
        <f>IF(AND(ISNUMBER($S575),$S575&gt;0,ISNUMBER($K575),ISNUMBER($J575)),($K575*$J575)/$S575,"")</f>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c r="AL576">
        <f>IF(AND(ISNUMBER($S576),$S576&gt;0,ISNUMBER($K576),ISNUMBER($J576)),($K576*$J576)/$S576,"")</f>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c r="AL577">
        <f>IF(AND(ISNUMBER($S577),$S577&gt;0,ISNUMBER($K577),ISNUMBER($J577)),($K577*$J577)/$S577,"")</f>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c r="AL578">
        <f>IF(AND(ISNUMBER($S578),$S578&gt;0,ISNUMBER($K578),ISNUMBER($J578)),($K578*$J578)/$S578,"")</f>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c r="AL579">
        <f>IF(AND(ISNUMBER($S579),$S579&gt;0,ISNUMBER($K579),ISNUMBER($J579)),($K579*$J579)/$S579,"")</f>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c r="AL580">
        <f>IF(AND(ISNUMBER($S580),$S580&gt;0,ISNUMBER($K580),ISNUMBER($J580)),($K580*$J580)/$S580,"")</f>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c r="AL581">
        <f>IF(AND(ISNUMBER($S581),$S581&gt;0,ISNUMBER($K581),ISNUMBER($J581)),($K581*$J581)/$S581,"")</f>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c r="AL582">
        <f>IF(AND(ISNUMBER($S582),$S582&gt;0,ISNUMBER($K582),ISNUMBER($J582)),($K582*$J582)/$S582,"")</f>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c r="AL583">
        <f>IF(AND(ISNUMBER($S583),$S583&gt;0,ISNUMBER($K583),ISNUMBER($J583)),($K583*$J583)/$S583,"")</f>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c r="AL584">
        <f>IF(AND(ISNUMBER($S584),$S584&gt;0,ISNUMBER($K584),ISNUMBER($J584)),($K584*$J584)/$S584,"")</f>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c r="AL585">
        <f>IF(AND(ISNUMBER($S585),$S585&gt;0,ISNUMBER($K585),ISNUMBER($J585)),($K585*$J585)/$S585,"")</f>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c r="AL586">
        <f>IF(AND(ISNUMBER($S586),$S586&gt;0,ISNUMBER($K586),ISNUMBER($J586)),($K586*$J586)/$S586,"")</f>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c r="AL587">
        <f>IF(AND(ISNUMBER($S587),$S587&gt;0,ISNUMBER($K587),ISNUMBER($J587)),($K587*$J587)/$S587,"")</f>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c r="AL588">
        <f>IF(AND(ISNUMBER($S588),$S588&gt;0,ISNUMBER($K588),ISNUMBER($J588)),($K588*$J588)/$S588,"")</f>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c r="AL589">
        <f>IF(AND(ISNUMBER($S589),$S589&gt;0,ISNUMBER($K589),ISNUMBER($J589)),($K589*$J589)/$S589,"")</f>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c r="AL590">
        <f>IF(AND(ISNUMBER($S590),$S590&gt;0,ISNUMBER($K590),ISNUMBER($J590)),($K590*$J590)/$S590,"")</f>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c r="AL591">
        <f>IF(AND(ISNUMBER($S591),$S591&gt;0,ISNUMBER($K591),ISNUMBER($J591)),($K591*$J591)/$S591,"")</f>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c r="AL592">
        <f>IF(AND(ISNUMBER($S592),$S592&gt;0,ISNUMBER($K592),ISNUMBER($J592)),($K592*$J592)/$S592,"")</f>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c r="AL593">
        <f>IF(AND(ISNUMBER($S593),$S593&gt;0,ISNUMBER($K593),ISNUMBER($J593)),($K593*$J593)/$S593,"")</f>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c r="AL594">
        <f>IF(AND(ISNUMBER($S594),$S594&gt;0,ISNUMBER($K594),ISNUMBER($J594)),($K594*$J594)/$S594,"")</f>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c r="AL595">
        <f>IF(AND(ISNUMBER($S595),$S595&gt;0,ISNUMBER($K595),ISNUMBER($J595)),($K595*$J595)/$S595,"")</f>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c r="AL596">
        <f>IF(AND(ISNUMBER($S596),$S596&gt;0,ISNUMBER($K596),ISNUMBER($J596)),($K596*$J596)/$S596,"")</f>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c r="AL597">
        <f>IF(AND(ISNUMBER($S597),$S597&gt;0,ISNUMBER($K597),ISNUMBER($J597)),($K597*$J597)/$S597,"")</f>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c r="AL598">
        <f>IF(AND(ISNUMBER($S598),$S598&gt;0,ISNUMBER($K598),ISNUMBER($J598)),($K598*$J598)/$S598,"")</f>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c r="AL599">
        <f>IF(AND(ISNUMBER($S599),$S599&gt;0,ISNUMBER($K599),ISNUMBER($J599)),($K599*$J599)/$S599,"")</f>
      </c>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c r="AL600">
        <f>IF(AND(ISNUMBER($S600),$S600&gt;0,ISNUMBER($K600),ISNUMBER($J600)),($K600*$J600)/$S600,"")</f>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c r="AL601">
        <f>IF(AND(ISNUMBER($S601),$S601&gt;0,ISNUMBER($K601),ISNUMBER($J601)),($K601*$J601)/$S601,"")</f>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c r="AL602">
        <f>IF(AND(ISNUMBER($S602),$S602&gt;0,ISNUMBER($K602),ISNUMBER($J602)),($K602*$J602)/$S602,"")</f>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c r="AL603">
        <f>IF(AND(ISNUMBER($S603),$S603&gt;0,ISNUMBER($K603),ISNUMBER($J603)),($K603*$J603)/$S603,"")</f>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c r="AL604">
        <f>IF(AND(ISNUMBER($S604),$S604&gt;0,ISNUMBER($K604),ISNUMBER($J604)),($K604*$J604)/$S604,"")</f>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c r="AL605">
        <f>IF(AND(ISNUMBER($S605),$S605&gt;0,ISNUMBER($K605),ISNUMBER($J605)),($K605*$J605)/$S605,"")</f>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c r="AL606">
        <f>IF(AND(ISNUMBER($S606),$S606&gt;0,ISNUMBER($K606),ISNUMBER($J606)),($K606*$J606)/$S606,"")</f>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c r="AL607">
        <f>IF(AND(ISNUMBER($S607),$S607&gt;0,ISNUMBER($K607),ISNUMBER($J607)),($K607*$J607)/$S607,"")</f>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c r="AL608">
        <f>IF(AND(ISNUMBER($S608),$S608&gt;0,ISNUMBER($K608),ISNUMBER($J608)),($K608*$J608)/$S608,"")</f>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c r="AL609">
        <f>IF(AND(ISNUMBER($S609),$S609&gt;0,ISNUMBER($K609),ISNUMBER($J609)),($K609*$J609)/$S609,"")</f>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c r="AL610">
        <f>IF(AND(ISNUMBER($S610),$S610&gt;0,ISNUMBER($K610),ISNUMBER($J610)),($K610*$J610)/$S610,"")</f>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c r="AL611">
        <f>IF(AND(ISNUMBER($S611),$S611&gt;0,ISNUMBER($K611),ISNUMBER($J611)),($K611*$J611)/$S611,"")</f>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c r="AL612">
        <f>IF(AND(ISNUMBER($S612),$S612&gt;0,ISNUMBER($K612),ISNUMBER($J612)),($K612*$J612)/$S612,"")</f>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c r="AL613">
        <f>IF(AND(ISNUMBER($S613),$S613&gt;0,ISNUMBER($K613),ISNUMBER($J613)),($K613*$J613)/$S613,"")</f>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c r="AL614">
        <f>IF(AND(ISNUMBER($S614),$S614&gt;0,ISNUMBER($K614),ISNUMBER($J614)),($K614*$J614)/$S614,"")</f>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c r="AL615">
        <f>IF(AND(ISNUMBER($S615),$S615&gt;0,ISNUMBER($K615),ISNUMBER($J615)),($K615*$J615)/$S615,"")</f>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c r="AL616">
        <f>IF(AND(ISNUMBER($S616),$S616&gt;0,ISNUMBER($K616),ISNUMBER($J616)),($K616*$J616)/$S616,"")</f>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c r="AL617">
        <f>IF(AND(ISNUMBER($S617),$S617&gt;0,ISNUMBER($K617),ISNUMBER($J617)),($K617*$J617)/$S617,"")</f>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c r="AL618">
        <f>IF(AND(ISNUMBER($S618),$S618&gt;0,ISNUMBER($K618),ISNUMBER($J618)),($K618*$J618)/$S618,"")</f>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c r="AL619">
        <f>IF(AND(ISNUMBER($S619),$S619&gt;0,ISNUMBER($K619),ISNUMBER($J619)),($K619*$J619)/$S619,"")</f>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c r="AL620">
        <f>IF(AND(ISNUMBER($S620),$S620&gt;0,ISNUMBER($K620),ISNUMBER($J620)),($K620*$J620)/$S620,"")</f>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c r="AL621">
        <f>IF(AND(ISNUMBER($S621),$S621&gt;0,ISNUMBER($K621),ISNUMBER($J621)),($K621*$J621)/$S621,"")</f>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c r="AL622">
        <f>IF(AND(ISNUMBER($S622),$S622&gt;0,ISNUMBER($K622),ISNUMBER($J622)),($K622*$J622)/$S622,"")</f>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c r="AL623">
        <f>IF(AND(ISNUMBER($S623),$S623&gt;0,ISNUMBER($K623),ISNUMBER($J623)),($K623*$J623)/$S623,"")</f>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c r="AL624">
        <f>IF(AND(ISNUMBER($S624),$S624&gt;0,ISNUMBER($K624),ISNUMBER($J624)),($K624*$J624)/$S624,"")</f>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c r="AL625">
        <f>IF(AND(ISNUMBER($S625),$S625&gt;0,ISNUMBER($K625),ISNUMBER($J625)),($K625*$J625)/$S625,"")</f>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c r="AL626">
        <f>IF(AND(ISNUMBER($S626),$S626&gt;0,ISNUMBER($K626),ISNUMBER($J626)),($K626*$J626)/$S626,"")</f>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c r="AL627">
        <f>IF(AND(ISNUMBER($S627),$S627&gt;0,ISNUMBER($K627),ISNUMBER($J627)),($K627*$J627)/$S627,"")</f>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c r="AL628">
        <f>IF(AND(ISNUMBER($S628),$S628&gt;0,ISNUMBER($K628),ISNUMBER($J628)),($K628*$J628)/$S628,"")</f>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c r="AL629">
        <f>IF(AND(ISNUMBER($S629),$S629&gt;0,ISNUMBER($K629),ISNUMBER($J629)),($K629*$J629)/$S629,"")</f>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c r="AL630">
        <f>IF(AND(ISNUMBER($S630),$S630&gt;0,ISNUMBER($K630),ISNUMBER($J630)),($K630*$J630)/$S630,"")</f>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c r="AL631">
        <f>IF(AND(ISNUMBER($S631),$S631&gt;0,ISNUMBER($K631),ISNUMBER($J631)),($K631*$J631)/$S631,"")</f>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c r="AL632">
        <f>IF(AND(ISNUMBER($S632),$S632&gt;0,ISNUMBER($K632),ISNUMBER($J632)),($K632*$J632)/$S632,"")</f>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c r="AL633">
        <f>IF(AND(ISNUMBER($S633),$S633&gt;0,ISNUMBER($K633),ISNUMBER($J633)),($K633*$J633)/$S633,"")</f>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c r="AL634">
        <f>IF(AND(ISNUMBER($S634),$S634&gt;0,ISNUMBER($K634),ISNUMBER($J634)),($K634*$J634)/$S634,"")</f>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c r="AL635">
        <f>IF(AND(ISNUMBER($S635),$S635&gt;0,ISNUMBER($K635),ISNUMBER($J635)),($K635*$J635)/$S635,"")</f>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c r="AL636">
        <f>IF(AND(ISNUMBER($S636),$S636&gt;0,ISNUMBER($K636),ISNUMBER($J636)),($K636*$J636)/$S636,"")</f>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c r="AL637">
        <f>IF(AND(ISNUMBER($S637),$S637&gt;0,ISNUMBER($K637),ISNUMBER($J637)),($K637*$J637)/$S637,"")</f>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c r="AL638">
        <f>IF(AND(ISNUMBER($S638),$S638&gt;0,ISNUMBER($K638),ISNUMBER($J638)),($K638*$J638)/$S638,"")</f>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c r="AL639">
        <f>IF(AND(ISNUMBER($S639),$S639&gt;0,ISNUMBER($K639),ISNUMBER($J639)),($K639*$J639)/$S639,"")</f>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c r="AL640">
        <f>IF(AND(ISNUMBER($S640),$S640&gt;0,ISNUMBER($K640),ISNUMBER($J640)),($K640*$J640)/$S640,"")</f>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c r="AL641">
        <f>IF(AND(ISNUMBER($S641),$S641&gt;0,ISNUMBER($K641),ISNUMBER($J641)),($K641*$J641)/$S641,"")</f>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c r="AL642">
        <f>IF(AND(ISNUMBER($S642),$S642&gt;0,ISNUMBER($K642),ISNUMBER($J642)),($K642*$J642)/$S642,"")</f>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c r="AL643">
        <f>IF(AND(ISNUMBER($S643),$S643&gt;0,ISNUMBER($K643),ISNUMBER($J643)),($K643*$J643)/$S643,"")</f>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c r="AL644">
        <f>IF(AND(ISNUMBER($S644),$S644&gt;0,ISNUMBER($K644),ISNUMBER($J644)),($K644*$J644)/$S644,"")</f>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c r="AL645">
        <f>IF(AND(ISNUMBER($S645),$S645&gt;0,ISNUMBER($K645),ISNUMBER($J645)),($K645*$J645)/$S645,"")</f>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c r="AL646">
        <f>IF(AND(ISNUMBER($S646),$S646&gt;0,ISNUMBER($K646),ISNUMBER($J646)),($K646*$J646)/$S646,"")</f>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c r="AL647">
        <f>IF(AND(ISNUMBER($S647),$S647&gt;0,ISNUMBER($K647),ISNUMBER($J647)),($K647*$J647)/$S647,"")</f>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c r="AL648">
        <f>IF(AND(ISNUMBER($S648),$S648&gt;0,ISNUMBER($K648),ISNUMBER($J648)),($K648*$J648)/$S648,"")</f>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c r="AL649">
        <f>IF(AND(ISNUMBER($S649),$S649&gt;0,ISNUMBER($K649),ISNUMBER($J649)),($K649*$J649)/$S649,"")</f>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c r="AL650">
        <f>IF(AND(ISNUMBER($S650),$S650&gt;0,ISNUMBER($K650),ISNUMBER($J650)),($K650*$J650)/$S650,"")</f>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c r="AL651">
        <f>IF(AND(ISNUMBER($S651),$S651&gt;0,ISNUMBER($K651),ISNUMBER($J651)),($K651*$J651)/$S651,"")</f>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c r="AL652">
        <f>IF(AND(ISNUMBER($S652),$S652&gt;0,ISNUMBER($K652),ISNUMBER($J652)),($K652*$J652)/$S652,"")</f>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c r="AL653">
        <f>IF(AND(ISNUMBER($S653),$S653&gt;0,ISNUMBER($K653),ISNUMBER($J653)),($K653*$J653)/$S653,"")</f>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c r="AL654">
        <f>IF(AND(ISNUMBER($S654),$S654&gt;0,ISNUMBER($K654),ISNUMBER($J654)),($K654*$J654)/$S654,"")</f>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c r="AL655">
        <f>IF(AND(ISNUMBER($S655),$S655&gt;0,ISNUMBER($K655),ISNUMBER($J655)),($K655*$J655)/$S655,"")</f>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c r="AL656">
        <f>IF(AND(ISNUMBER($S656),$S656&gt;0,ISNUMBER($K656),ISNUMBER($J656)),($K656*$J656)/$S656,"")</f>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c r="AL657">
        <f>IF(AND(ISNUMBER($S657),$S657&gt;0,ISNUMBER($K657),ISNUMBER($J657)),($K657*$J657)/$S657,"")</f>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c r="AL658">
        <f>IF(AND(ISNUMBER($S658),$S658&gt;0,ISNUMBER($K658),ISNUMBER($J658)),($K658*$J658)/$S658,"")</f>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c r="AL659">
        <f>IF(AND(ISNUMBER($S659),$S659&gt;0,ISNUMBER($K659),ISNUMBER($J659)),($K659*$J659)/$S659,"")</f>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c r="AL660">
        <f>IF(AND(ISNUMBER($S660),$S660&gt;0,ISNUMBER($K660),ISNUMBER($J660)),($K660*$J660)/$S660,"")</f>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c r="AL661">
        <f>IF(AND(ISNUMBER($S661),$S661&gt;0,ISNUMBER($K661),ISNUMBER($J661)),($K661*$J661)/$S661,"")</f>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c r="AL662">
        <f>IF(AND(ISNUMBER($S662),$S662&gt;0,ISNUMBER($K662),ISNUMBER($J662)),($K662*$J662)/$S662,"")</f>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c r="AL663">
        <f>IF(AND(ISNUMBER($S663),$S663&gt;0,ISNUMBER($K663),ISNUMBER($J663)),($K663*$J663)/$S663,"")</f>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c r="AL664">
        <f>IF(AND(ISNUMBER($S664),$S664&gt;0,ISNUMBER($K664),ISNUMBER($J664)),($K664*$J664)/$S664,"")</f>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c r="AL665">
        <f>IF(AND(ISNUMBER($S665),$S665&gt;0,ISNUMBER($K665),ISNUMBER($J665)),($K665*$J665)/$S665,"")</f>
      </c>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c r="AL666">
        <f>IF(AND(ISNUMBER($S666),$S666&gt;0,ISNUMBER($K666),ISNUMBER($J666)),($K666*$J666)/$S666,"")</f>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c r="AL667">
        <f>IF(AND(ISNUMBER($S667),$S667&gt;0,ISNUMBER($K667),ISNUMBER($J667)),($K667*$J667)/$S667,"")</f>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c r="AL668">
        <f>IF(AND(ISNUMBER($S668),$S668&gt;0,ISNUMBER($K668),ISNUMBER($J668)),($K668*$J668)/$S668,"")</f>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c r="AL669">
        <f>IF(AND(ISNUMBER($S669),$S669&gt;0,ISNUMBER($K669),ISNUMBER($J669)),($K669*$J669)/$S669,"")</f>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c r="AL670">
        <f>IF(AND(ISNUMBER($S670),$S670&gt;0,ISNUMBER($K670),ISNUMBER($J670)),($K670*$J670)/$S670,"")</f>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c r="AL671">
        <f>IF(AND(ISNUMBER($S671),$S671&gt;0,ISNUMBER($K671),ISNUMBER($J671)),($K671*$J671)/$S671,"")</f>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c r="AL672">
        <f>IF(AND(ISNUMBER($S672),$S672&gt;0,ISNUMBER($K672),ISNUMBER($J672)),($K672*$J672)/$S672,"")</f>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c r="AL673">
        <f>IF(AND(ISNUMBER($S673),$S673&gt;0,ISNUMBER($K673),ISNUMBER($J673)),($K673*$J673)/$S673,"")</f>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c r="AL674">
        <f>IF(AND(ISNUMBER($S674),$S674&gt;0,ISNUMBER($K674),ISNUMBER($J674)),($K674*$J674)/$S674,"")</f>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c r="AL675">
        <f>IF(AND(ISNUMBER($S675),$S675&gt;0,ISNUMBER($K675),ISNUMBER($J675)),($K675*$J675)/$S675,"")</f>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c r="AL676">
        <f>IF(AND(ISNUMBER($S676),$S676&gt;0,ISNUMBER($K676),ISNUMBER($J676)),($K676*$J676)/$S676,"")</f>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c r="AL677">
        <f>IF(AND(ISNUMBER($S677),$S677&gt;0,ISNUMBER($K677),ISNUMBER($J677)),($K677*$J677)/$S677,"")</f>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c r="AL678">
        <f>IF(AND(ISNUMBER($S678),$S678&gt;0,ISNUMBER($K678),ISNUMBER($J678)),($K678*$J678)/$S678,"")</f>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c r="AL679">
        <f>IF(AND(ISNUMBER($S679),$S679&gt;0,ISNUMBER($K679),ISNUMBER($J679)),($K679*$J679)/$S679,"")</f>
      </c>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c r="AL680">
        <f>IF(AND(ISNUMBER($S680),$S680&gt;0,ISNUMBER($K680),ISNUMBER($J680)),($K680*$J680)/$S680,"")</f>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c r="AL681">
        <f>IF(AND(ISNUMBER($S681),$S681&gt;0,ISNUMBER($K681),ISNUMBER($J681)),($K681*$J681)/$S681,"")</f>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c r="AL682">
        <f>IF(AND(ISNUMBER($S682),$S682&gt;0,ISNUMBER($K682),ISNUMBER($J682)),($K682*$J682)/$S682,"")</f>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c r="AL683">
        <f>IF(AND(ISNUMBER($S683),$S683&gt;0,ISNUMBER($K683),ISNUMBER($J683)),($K683*$J683)/$S683,"")</f>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c r="AL684">
        <f>IF(AND(ISNUMBER($S684),$S684&gt;0,ISNUMBER($K684),ISNUMBER($J684)),($K684*$J684)/$S684,"")</f>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c r="AL685">
        <f>IF(AND(ISNUMBER($S685),$S685&gt;0,ISNUMBER($K685),ISNUMBER($J685)),($K685*$J685)/$S685,"")</f>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c r="AL686">
        <f>IF(AND(ISNUMBER($S686),$S686&gt;0,ISNUMBER($K686),ISNUMBER($J686)),($K686*$J686)/$S686,"")</f>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c r="AL687">
        <f>IF(AND(ISNUMBER($S687),$S687&gt;0,ISNUMBER($K687),ISNUMBER($J687)),($K687*$J687)/$S687,"")</f>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c r="AL688">
        <f>IF(AND(ISNUMBER($S688),$S688&gt;0,ISNUMBER($K688),ISNUMBER($J688)),($K688*$J688)/$S688,"")</f>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c r="AL689">
        <f>IF(AND(ISNUMBER($S689),$S689&gt;0,ISNUMBER($K689),ISNUMBER($J689)),($K689*$J689)/$S689,"")</f>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c r="AL690">
        <f>IF(AND(ISNUMBER($S690),$S690&gt;0,ISNUMBER($K690),ISNUMBER($J690)),($K690*$J690)/$S690,"")</f>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c r="AL691">
        <f>IF(AND(ISNUMBER($S691),$S691&gt;0,ISNUMBER($K691),ISNUMBER($J691)),($K691*$J691)/$S691,"")</f>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c r="AL692">
        <f>IF(AND(ISNUMBER($S692),$S692&gt;0,ISNUMBER($K692),ISNUMBER($J692)),($K692*$J692)/$S692,"")</f>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c r="AL693">
        <f>IF(AND(ISNUMBER($S693),$S693&gt;0,ISNUMBER($K693),ISNUMBER($J693)),($K693*$J693)/$S693,"")</f>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c r="AL694">
        <f>IF(AND(ISNUMBER($S694),$S694&gt;0,ISNUMBER($K694),ISNUMBER($J694)),($K694*$J694)/$S694,"")</f>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c r="AL695">
        <f>IF(AND(ISNUMBER($S695),$S695&gt;0,ISNUMBER($K695),ISNUMBER($J695)),($K695*$J695)/$S695,"")</f>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c r="AL696">
        <f>IF(AND(ISNUMBER($S696),$S696&gt;0,ISNUMBER($K696),ISNUMBER($J696)),($K696*$J696)/$S696,"")</f>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c r="AL697">
        <f>IF(AND(ISNUMBER($S697),$S697&gt;0,ISNUMBER($K697),ISNUMBER($J697)),($K697*$J697)/$S697,"")</f>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c r="AL698">
        <f>IF(AND(ISNUMBER($S698),$S698&gt;0,ISNUMBER($K698),ISNUMBER($J698)),($K698*$J698)/$S698,"")</f>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c r="AL699">
        <f>IF(AND(ISNUMBER($S699),$S699&gt;0,ISNUMBER($K699),ISNUMBER($J699)),($K699*$J699)/$S699,"")</f>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c r="AL700">
        <f>IF(AND(ISNUMBER($S700),$S700&gt;0,ISNUMBER($K700),ISNUMBER($J700)),($K700*$J700)/$S700,"")</f>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c r="AL701">
        <f>IF(AND(ISNUMBER($S701),$S701&gt;0,ISNUMBER($K701),ISNUMBER($J701)),($K701*$J701)/$S701,"")</f>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c r="AL702">
        <f>IF(AND(ISNUMBER($S702),$S702&gt;0,ISNUMBER($K702),ISNUMBER($J702)),($K702*$J702)/$S702,"")</f>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c r="AL703">
        <f>IF(AND(ISNUMBER($S703),$S703&gt;0,ISNUMBER($K703),ISNUMBER($J703)),($K703*$J703)/$S703,"")</f>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c r="AL704">
        <f>IF(AND(ISNUMBER($S704),$S704&gt;0,ISNUMBER($K704),ISNUMBER($J704)),($K704*$J704)/$S704,"")</f>
      </c>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c r="AL705">
        <f>IF(AND(ISNUMBER($S705),$S705&gt;0,ISNUMBER($K705),ISNUMBER($J705)),($K705*$J705)/$S705,"")</f>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c r="AL706">
        <f>IF(AND(ISNUMBER($S706),$S706&gt;0,ISNUMBER($K706),ISNUMBER($J706)),($K706*$J706)/$S706,"")</f>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c r="AL707">
        <f>IF(AND(ISNUMBER($S707),$S707&gt;0,ISNUMBER($K707),ISNUMBER($J707)),($K707*$J707)/$S707,"")</f>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c r="AL708">
        <f>IF(AND(ISNUMBER($S708),$S708&gt;0,ISNUMBER($K708),ISNUMBER($J708)),($K708*$J708)/$S708,"")</f>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c r="AL709">
        <f>IF(AND(ISNUMBER($S709),$S709&gt;0,ISNUMBER($K709),ISNUMBER($J709)),($K709*$J709)/$S709,"")</f>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c r="AL710">
        <f>IF(AND(ISNUMBER($S710),$S710&gt;0,ISNUMBER($K710),ISNUMBER($J710)),($K710*$J710)/$S710,"")</f>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c r="AL711">
        <f>IF(AND(ISNUMBER($S711),$S711&gt;0,ISNUMBER($K711),ISNUMBER($J711)),($K711*$J711)/$S711,"")</f>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c r="AL712">
        <f>IF(AND(ISNUMBER($S712),$S712&gt;0,ISNUMBER($K712),ISNUMBER($J712)),($K712*$J712)/$S712,"")</f>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c r="AL713">
        <f>IF(AND(ISNUMBER($S713),$S713&gt;0,ISNUMBER($K713),ISNUMBER($J713)),($K713*$J713)/$S713,"")</f>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c r="AL714">
        <f>IF(AND(ISNUMBER($S714),$S714&gt;0,ISNUMBER($K714),ISNUMBER($J714)),($K714*$J714)/$S714,"")</f>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c r="AL715">
        <f>IF(AND(ISNUMBER($S715),$S715&gt;0,ISNUMBER($K715),ISNUMBER($J715)),($K715*$J715)/$S715,"")</f>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c r="AL716">
        <f>IF(AND(ISNUMBER($S716),$S716&gt;0,ISNUMBER($K716),ISNUMBER($J716)),($K716*$J716)/$S716,"")</f>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c r="AL717">
        <f>IF(AND(ISNUMBER($S717),$S717&gt;0,ISNUMBER($K717),ISNUMBER($J717)),($K717*$J717)/$S717,"")</f>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c r="AL718">
        <f>IF(AND(ISNUMBER($S718),$S718&gt;0,ISNUMBER($K718),ISNUMBER($J718)),($K718*$J718)/$S718,"")</f>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c r="AL719">
        <f>IF(AND(ISNUMBER($S719),$S719&gt;0,ISNUMBER($K719),ISNUMBER($J719)),($K719*$J719)/$S719,"")</f>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c r="AL720">
        <f>IF(AND(ISNUMBER($S720),$S720&gt;0,ISNUMBER($K720),ISNUMBER($J720)),($K720*$J720)/$S720,"")</f>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c r="AL721">
        <f>IF(AND(ISNUMBER($S721),$S721&gt;0,ISNUMBER($K721),ISNUMBER($J721)),($K721*$J721)/$S721,"")</f>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c r="AL722">
        <f>IF(AND(ISNUMBER($S722),$S722&gt;0,ISNUMBER($K722),ISNUMBER($J722)),($K722*$J722)/$S722,"")</f>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c r="AL723">
        <f>IF(AND(ISNUMBER($S723),$S723&gt;0,ISNUMBER($K723),ISNUMBER($J723)),($K723*$J723)/$S723,"")</f>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c r="AL724">
        <f>IF(AND(ISNUMBER($S724),$S724&gt;0,ISNUMBER($K724),ISNUMBER($J724)),($K724*$J724)/$S724,"")</f>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c r="AL725">
        <f>IF(AND(ISNUMBER($S725),$S725&gt;0,ISNUMBER($K725),ISNUMBER($J725)),($K725*$J725)/$S725,"")</f>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c r="AL726">
        <f>IF(AND(ISNUMBER($S726),$S726&gt;0,ISNUMBER($K726),ISNUMBER($J726)),($K726*$J726)/$S726,"")</f>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c r="AL727">
        <f>IF(AND(ISNUMBER($S727),$S727&gt;0,ISNUMBER($K727),ISNUMBER($J727)),($K727*$J727)/$S727,"")</f>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c r="AL728">
        <f>IF(AND(ISNUMBER($S728),$S728&gt;0,ISNUMBER($K728),ISNUMBER($J728)),($K728*$J728)/$S728,"")</f>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c r="AL729">
        <f>IF(AND(ISNUMBER($S729),$S729&gt;0,ISNUMBER($K729),ISNUMBER($J729)),($K729*$J729)/$S729,"")</f>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c r="AL730">
        <f>IF(AND(ISNUMBER($S730),$S730&gt;0,ISNUMBER($K730),ISNUMBER($J730)),($K730*$J730)/$S730,"")</f>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c r="AL731">
        <f>IF(AND(ISNUMBER($S731),$S731&gt;0,ISNUMBER($K731),ISNUMBER($J731)),($K731*$J731)/$S731,"")</f>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c r="AL732">
        <f>IF(AND(ISNUMBER($S732),$S732&gt;0,ISNUMBER($K732),ISNUMBER($J732)),($K732*$J732)/$S732,"")</f>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c r="AL733">
        <f>IF(AND(ISNUMBER($S733),$S733&gt;0,ISNUMBER($K733),ISNUMBER($J733)),($K733*$J733)/$S733,"")</f>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c r="AL734">
        <f>IF(AND(ISNUMBER($S734),$S734&gt;0,ISNUMBER($K734),ISNUMBER($J734)),($K734*$J734)/$S734,"")</f>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c r="AL735">
        <f>IF(AND(ISNUMBER($S735),$S735&gt;0,ISNUMBER($K735),ISNUMBER($J735)),($K735*$J735)/$S735,"")</f>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c r="AL736">
        <f>IF(AND(ISNUMBER($S736),$S736&gt;0,ISNUMBER($K736),ISNUMBER($J736)),($K736*$J736)/$S736,"")</f>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c r="AL737">
        <f>IF(AND(ISNUMBER($S737),$S737&gt;0,ISNUMBER($K737),ISNUMBER($J737)),($K737*$J737)/$S737,"")</f>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c r="AL738">
        <f>IF(AND(ISNUMBER($S738),$S738&gt;0,ISNUMBER($K738),ISNUMBER($J738)),($K738*$J738)/$S738,"")</f>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c r="AL739">
        <f>IF(AND(ISNUMBER($S739),$S739&gt;0,ISNUMBER($K739),ISNUMBER($J739)),($K739*$J739)/$S739,"")</f>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c r="AL740">
        <f>IF(AND(ISNUMBER($S740),$S740&gt;0,ISNUMBER($K740),ISNUMBER($J740)),($K740*$J740)/$S740,"")</f>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c r="AL741">
        <f>IF(AND(ISNUMBER($S741),$S741&gt;0,ISNUMBER($K741),ISNUMBER($J741)),($K741*$J741)/$S741,"")</f>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c r="AL742">
        <f>IF(AND(ISNUMBER($S742),$S742&gt;0,ISNUMBER($K742),ISNUMBER($J742)),($K742*$J742)/$S742,"")</f>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c r="AL743">
        <f>IF(AND(ISNUMBER($S743),$S743&gt;0,ISNUMBER($K743),ISNUMBER($J743)),($K743*$J743)/$S743,"")</f>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c r="AL744">
        <f>IF(AND(ISNUMBER($S744),$S744&gt;0,ISNUMBER($K744),ISNUMBER($J744)),($K744*$J744)/$S744,"")</f>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c r="AL745">
        <f>IF(AND(ISNUMBER($S745),$S745&gt;0,ISNUMBER($K745),ISNUMBER($J745)),($K745*$J745)/$S745,"")</f>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c r="AL746">
        <f>IF(AND(ISNUMBER($S746),$S746&gt;0,ISNUMBER($K746),ISNUMBER($J746)),($K746*$J746)/$S746,"")</f>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c r="AL747">
        <f>IF(AND(ISNUMBER($S747),$S747&gt;0,ISNUMBER($K747),ISNUMBER($J747)),($K747*$J747)/$S747,"")</f>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c r="AL748">
        <f>IF(AND(ISNUMBER($S748),$S748&gt;0,ISNUMBER($K748),ISNUMBER($J748)),($K748*$J748)/$S748,"")</f>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c r="AL749">
        <f>IF(AND(ISNUMBER($S749),$S749&gt;0,ISNUMBER($K749),ISNUMBER($J749)),($K749*$J749)/$S749,"")</f>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c r="AL750">
        <f>IF(AND(ISNUMBER($S750),$S750&gt;0,ISNUMBER($K750),ISNUMBER($J750)),($K750*$J750)/$S750,"")</f>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c r="AL751">
        <f>IF(AND(ISNUMBER($S751),$S751&gt;0,ISNUMBER($K751),ISNUMBER($J751)),($K751*$J751)/$S751,"")</f>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c r="AL752">
        <f>IF(AND(ISNUMBER($S752),$S752&gt;0,ISNUMBER($K752),ISNUMBER($J752)),($K752*$J752)/$S752,"")</f>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c r="AL753">
        <f>IF(AND(ISNUMBER($S753),$S753&gt;0,ISNUMBER($K753),ISNUMBER($J753)),($K753*$J753)/$S753,"")</f>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c r="AL754">
        <f>IF(AND(ISNUMBER($S754),$S754&gt;0,ISNUMBER($K754),ISNUMBER($J754)),($K754*$J754)/$S754,"")</f>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c r="AL755">
        <f>IF(AND(ISNUMBER($S755),$S755&gt;0,ISNUMBER($K755),ISNUMBER($J755)),($K755*$J755)/$S755,"")</f>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c r="AL756">
        <f>IF(AND(ISNUMBER($S756),$S756&gt;0,ISNUMBER($K756),ISNUMBER($J756)),($K756*$J756)/$S756,"")</f>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c r="AL757">
        <f>IF(AND(ISNUMBER($S757),$S757&gt;0,ISNUMBER($K757),ISNUMBER($J757)),($K757*$J757)/$S757,"")</f>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c r="AL758">
        <f>IF(AND(ISNUMBER($S758),$S758&gt;0,ISNUMBER($K758),ISNUMBER($J758)),($K758*$J758)/$S758,"")</f>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c r="AL759">
        <f>IF(AND(ISNUMBER($S759),$S759&gt;0,ISNUMBER($K759),ISNUMBER($J759)),($K759*$J759)/$S759,"")</f>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c r="AL760">
        <f>IF(AND(ISNUMBER($S760),$S760&gt;0,ISNUMBER($K760),ISNUMBER($J760)),($K760*$J760)/$S760,"")</f>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c r="AL761">
        <f>IF(AND(ISNUMBER($S761),$S761&gt;0,ISNUMBER($K761),ISNUMBER($J761)),($K761*$J761)/$S761,"")</f>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c r="AL762">
        <f>IF(AND(ISNUMBER($S762),$S762&gt;0,ISNUMBER($K762),ISNUMBER($J762)),($K762*$J762)/$S762,"")</f>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c r="AL763">
        <f>IF(AND(ISNUMBER($S763),$S763&gt;0,ISNUMBER($K763),ISNUMBER($J763)),($K763*$J763)/$S763,"")</f>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c r="AL764">
        <f>IF(AND(ISNUMBER($S764),$S764&gt;0,ISNUMBER($K764),ISNUMBER($J764)),($K764*$J764)/$S764,"")</f>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c r="AL765">
        <f>IF(AND(ISNUMBER($S765),$S765&gt;0,ISNUMBER($K765),ISNUMBER($J765)),($K765*$J765)/$S765,"")</f>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c r="AL766">
        <f>IF(AND(ISNUMBER($S766),$S766&gt;0,ISNUMBER($K766),ISNUMBER($J766)),($K766*$J766)/$S766,"")</f>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c r="AL767">
        <f>IF(AND(ISNUMBER($S767),$S767&gt;0,ISNUMBER($K767),ISNUMBER($J767)),($K767*$J767)/$S767,"")</f>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c r="AL768">
        <f>IF(AND(ISNUMBER($S768),$S768&gt;0,ISNUMBER($K768),ISNUMBER($J768)),($K768*$J768)/$S768,"")</f>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c r="AL769">
        <f>IF(AND(ISNUMBER($S769),$S769&gt;0,ISNUMBER($K769),ISNUMBER($J769)),($K769*$J769)/$S769,"")</f>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c r="AL770">
        <f>IF(AND(ISNUMBER($S770),$S770&gt;0,ISNUMBER($K770),ISNUMBER($J770)),($K770*$J770)/$S770,"")</f>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c r="AL771">
        <f>IF(AND(ISNUMBER($S771),$S771&gt;0,ISNUMBER($K771),ISNUMBER($J771)),($K771*$J771)/$S771,"")</f>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c r="AL772">
        <f>IF(AND(ISNUMBER($S772),$S772&gt;0,ISNUMBER($K772),ISNUMBER($J772)),($K772*$J772)/$S772,"")</f>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c r="AL773">
        <f>IF(AND(ISNUMBER($S773),$S773&gt;0,ISNUMBER($K773),ISNUMBER($J773)),($K773*$J773)/$S773,"")</f>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c r="AL774">
        <f>IF(AND(ISNUMBER($S774),$S774&gt;0,ISNUMBER($K774),ISNUMBER($J774)),($K774*$J774)/$S774,"")</f>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c r="AL775">
        <f>IF(AND(ISNUMBER($S775),$S775&gt;0,ISNUMBER($K775),ISNUMBER($J775)),($K775*$J775)/$S775,"")</f>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c r="AL776">
        <f>IF(AND(ISNUMBER($S776),$S776&gt;0,ISNUMBER($K776),ISNUMBER($J776)),($K776*$J776)/$S776,"")</f>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c r="AL777">
        <f>IF(AND(ISNUMBER($S777),$S777&gt;0,ISNUMBER($K777),ISNUMBER($J777)),($K777*$J777)/$S777,"")</f>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c r="AL778">
        <f>IF(AND(ISNUMBER($S778),$S778&gt;0,ISNUMBER($K778),ISNUMBER($J778)),($K778*$J778)/$S778,"")</f>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c r="AL779">
        <f>IF(AND(ISNUMBER($S779),$S779&gt;0,ISNUMBER($K779),ISNUMBER($J779)),($K779*$J779)/$S779,"")</f>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c r="AL780">
        <f>IF(AND(ISNUMBER($S780),$S780&gt;0,ISNUMBER($K780),ISNUMBER($J780)),($K780*$J780)/$S780,"")</f>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c r="AL781">
        <f>IF(AND(ISNUMBER($S781),$S781&gt;0,ISNUMBER($K781),ISNUMBER($J781)),($K781*$J781)/$S781,"")</f>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c r="AL782">
        <f>IF(AND(ISNUMBER($S782),$S782&gt;0,ISNUMBER($K782),ISNUMBER($J782)),($K782*$J782)/$S782,"")</f>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c r="AL783">
        <f>IF(AND(ISNUMBER($S783),$S783&gt;0,ISNUMBER($K783),ISNUMBER($J783)),($K783*$J783)/$S783,"")</f>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c r="AL784">
        <f>IF(AND(ISNUMBER($S784),$S784&gt;0,ISNUMBER($K784),ISNUMBER($J784)),($K784*$J784)/$S784,"")</f>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c r="AL785">
        <f>IF(AND(ISNUMBER($S785),$S785&gt;0,ISNUMBER($K785),ISNUMBER($J785)),($K785*$J785)/$S785,"")</f>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c r="AL786">
        <f>IF(AND(ISNUMBER($S786),$S786&gt;0,ISNUMBER($K786),ISNUMBER($J786)),($K786*$J786)/$S786,"")</f>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c r="AL787">
        <f>IF(AND(ISNUMBER($S787),$S787&gt;0,ISNUMBER($K787),ISNUMBER($J787)),($K787*$J787)/$S787,"")</f>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c r="AL788">
        <f>IF(AND(ISNUMBER($S788),$S788&gt;0,ISNUMBER($K788),ISNUMBER($J788)),($K788*$J788)/$S788,"")</f>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c r="AL789">
        <f>IF(AND(ISNUMBER($S789),$S789&gt;0,ISNUMBER($K789),ISNUMBER($J789)),($K789*$J789)/$S789,"")</f>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c r="AL790">
        <f>IF(AND(ISNUMBER($S790),$S790&gt;0,ISNUMBER($K790),ISNUMBER($J790)),($K790*$J790)/$S790,"")</f>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c r="AL791">
        <f>IF(AND(ISNUMBER($S791),$S791&gt;0,ISNUMBER($K791),ISNUMBER($J791)),($K791*$J791)/$S791,"")</f>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c r="AL792">
        <f>IF(AND(ISNUMBER($S792),$S792&gt;0,ISNUMBER($K792),ISNUMBER($J792)),($K792*$J792)/$S792,"")</f>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c r="AL793">
        <f>IF(AND(ISNUMBER($S793),$S793&gt;0,ISNUMBER($K793),ISNUMBER($J793)),($K793*$J793)/$S793,"")</f>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c r="AL794">
        <f>IF(AND(ISNUMBER($S794),$S794&gt;0,ISNUMBER($K794),ISNUMBER($J794)),($K794*$J794)/$S794,"")</f>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c r="AL795">
        <f>IF(AND(ISNUMBER($S795),$S795&gt;0,ISNUMBER($K795),ISNUMBER($J795)),($K795*$J795)/$S795,"")</f>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c r="AL796">
        <f>IF(AND(ISNUMBER($S796),$S796&gt;0,ISNUMBER($K796),ISNUMBER($J796)),($K796*$J796)/$S796,"")</f>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c r="AL797">
        <f>IF(AND(ISNUMBER($S797),$S797&gt;0,ISNUMBER($K797),ISNUMBER($J797)),($K797*$J797)/$S797,"")</f>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c r="AL798">
        <f>IF(AND(ISNUMBER($S798),$S798&gt;0,ISNUMBER($K798),ISNUMBER($J798)),($K798*$J798)/$S798,"")</f>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c r="AL799">
        <f>IF(AND(ISNUMBER($S799),$S799&gt;0,ISNUMBER($K799),ISNUMBER($J799)),($K799*$J799)/$S799,"")</f>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c r="AL800">
        <f>IF(AND(ISNUMBER($S800),$S800&gt;0,ISNUMBER($K800),ISNUMBER($J800)),($K800*$J800)/$S800,"")</f>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c r="AL801">
        <f>IF(AND(ISNUMBER($S801),$S801&gt;0,ISNUMBER($K801),ISNUMBER($J801)),($K801*$J801)/$S801,"")</f>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c r="AL802">
        <f>IF(AND(ISNUMBER($S802),$S802&gt;0,ISNUMBER($K802),ISNUMBER($J802)),($K802*$J802)/$S802,"")</f>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c r="AL803">
        <f>IF(AND(ISNUMBER($S803),$S803&gt;0,ISNUMBER($K803),ISNUMBER($J803)),($K803*$J803)/$S803,"")</f>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c r="AL804">
        <f>IF(AND(ISNUMBER($S804),$S804&gt;0,ISNUMBER($K804),ISNUMBER($J804)),($K804*$J804)/$S804,"")</f>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c r="AL805">
        <f>IF(AND(ISNUMBER($S805),$S805&gt;0,ISNUMBER($K805),ISNUMBER($J805)),($K805*$J805)/$S805,"")</f>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c r="AL806">
        <f>IF(AND(ISNUMBER($S806),$S806&gt;0,ISNUMBER($K806),ISNUMBER($J806)),($K806*$J806)/$S806,"")</f>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c r="AL807">
        <f>IF(AND(ISNUMBER($S807),$S807&gt;0,ISNUMBER($K807),ISNUMBER($J807)),($K807*$J807)/$S807,"")</f>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c r="AL808">
        <f>IF(AND(ISNUMBER($S808),$S808&gt;0,ISNUMBER($K808),ISNUMBER($J808)),($K808*$J808)/$S808,"")</f>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c r="AL809">
        <f>IF(AND(ISNUMBER($S809),$S809&gt;0,ISNUMBER($K809),ISNUMBER($J809)),($K809*$J809)/$S809,"")</f>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c r="AL810">
        <f>IF(AND(ISNUMBER($S810),$S810&gt;0,ISNUMBER($K810),ISNUMBER($J810)),($K810*$J810)/$S810,"")</f>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c r="AL811">
        <f>IF(AND(ISNUMBER($S811),$S811&gt;0,ISNUMBER($K811),ISNUMBER($J811)),($K811*$J811)/$S811,"")</f>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c r="AL812">
        <f>IF(AND(ISNUMBER($S812),$S812&gt;0,ISNUMBER($K812),ISNUMBER($J812)),($K812*$J812)/$S812,"")</f>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c r="AL813">
        <f>IF(AND(ISNUMBER($S813),$S813&gt;0,ISNUMBER($K813),ISNUMBER($J813)),($K813*$J813)/$S813,"")</f>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c r="AL814">
        <f>IF(AND(ISNUMBER($S814),$S814&gt;0,ISNUMBER($K814),ISNUMBER($J814)),($K814*$J814)/$S814,"")</f>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c r="AL815">
        <f>IF(AND(ISNUMBER($S815),$S815&gt;0,ISNUMBER($K815),ISNUMBER($J815)),($K815*$J815)/$S815,"")</f>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c r="AL816">
        <f>IF(AND(ISNUMBER($S816),$S816&gt;0,ISNUMBER($K816),ISNUMBER($J816)),($K816*$J816)/$S816,"")</f>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c r="AL817">
        <f>IF(AND(ISNUMBER($S817),$S817&gt;0,ISNUMBER($K817),ISNUMBER($J817)),($K817*$J817)/$S817,"")</f>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c r="AL818">
        <f>IF(AND(ISNUMBER($S818),$S818&gt;0,ISNUMBER($K818),ISNUMBER($J818)),($K818*$J818)/$S818,"")</f>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c r="AL819">
        <f>IF(AND(ISNUMBER($S819),$S819&gt;0,ISNUMBER($K819),ISNUMBER($J819)),($K819*$J819)/$S819,"")</f>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c r="AL820">
        <f>IF(AND(ISNUMBER($S820),$S820&gt;0,ISNUMBER($K820),ISNUMBER($J820)),($K820*$J820)/$S820,"")</f>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c r="AL821">
        <f>IF(AND(ISNUMBER($S821),$S821&gt;0,ISNUMBER($K821),ISNUMBER($J821)),($K821*$J821)/$S821,"")</f>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c r="AL822">
        <f>IF(AND(ISNUMBER($S822),$S822&gt;0,ISNUMBER($K822),ISNUMBER($J822)),($K822*$J822)/$S822,"")</f>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c r="AL823">
        <f>IF(AND(ISNUMBER($S823),$S823&gt;0,ISNUMBER($K823),ISNUMBER($J823)),($K823*$J823)/$S823,"")</f>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c r="AL824">
        <f>IF(AND(ISNUMBER($S824),$S824&gt;0,ISNUMBER($K824),ISNUMBER($J824)),($K824*$J824)/$S824,"")</f>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c r="AL825">
        <f>IF(AND(ISNUMBER($S825),$S825&gt;0,ISNUMBER($K825),ISNUMBER($J825)),($K825*$J825)/$S825,"")</f>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c r="AL826">
        <f>IF(AND(ISNUMBER($S826),$S826&gt;0,ISNUMBER($K826),ISNUMBER($J826)),($K826*$J826)/$S826,"")</f>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c r="AL827">
        <f>IF(AND(ISNUMBER($S827),$S827&gt;0,ISNUMBER($K827),ISNUMBER($J827)),($K827*$J827)/$S827,"")</f>
      </c>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c r="AL828">
        <f>IF(AND(ISNUMBER($S828),$S828&gt;0,ISNUMBER($K828),ISNUMBER($J828)),($K828*$J828)/$S828,"")</f>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c r="AL829">
        <f>IF(AND(ISNUMBER($S829),$S829&gt;0,ISNUMBER($K829),ISNUMBER($J829)),($K829*$J829)/$S829,"")</f>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c r="AL830">
        <f>IF(AND(ISNUMBER($S830),$S830&gt;0,ISNUMBER($K830),ISNUMBER($J830)),($K830*$J830)/$S830,"")</f>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c r="AL831">
        <f>IF(AND(ISNUMBER($S831),$S831&gt;0,ISNUMBER($K831),ISNUMBER($J831)),($K831*$J831)/$S831,"")</f>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c r="AL832">
        <f>IF(AND(ISNUMBER($S832),$S832&gt;0,ISNUMBER($K832),ISNUMBER($J832)),($K832*$J832)/$S832,"")</f>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c r="AL833">
        <f>IF(AND(ISNUMBER($S833),$S833&gt;0,ISNUMBER($K833),ISNUMBER($J833)),($K833*$J833)/$S833,"")</f>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c r="AL834">
        <f>IF(AND(ISNUMBER($S834),$S834&gt;0,ISNUMBER($K834),ISNUMBER($J834)),($K834*$J834)/$S834,"")</f>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c r="AL835">
        <f>IF(AND(ISNUMBER($S835),$S835&gt;0,ISNUMBER($K835),ISNUMBER($J835)),($K835*$J835)/$S835,"")</f>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c r="AL836">
        <f>IF(AND(ISNUMBER($S836),$S836&gt;0,ISNUMBER($K836),ISNUMBER($J836)),($K836*$J836)/$S836,"")</f>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c r="AL837">
        <f>IF(AND(ISNUMBER($S837),$S837&gt;0,ISNUMBER($K837),ISNUMBER($J837)),($K837*$J837)/$S837,"")</f>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c r="AL838">
        <f>IF(AND(ISNUMBER($S838),$S838&gt;0,ISNUMBER($K838),ISNUMBER($J838)),($K838*$J838)/$S838,"")</f>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c r="AL839">
        <f>IF(AND(ISNUMBER($S839),$S839&gt;0,ISNUMBER($K839),ISNUMBER($J839)),($K839*$J839)/$S839,"")</f>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c r="AL840">
        <f>IF(AND(ISNUMBER($S840),$S840&gt;0,ISNUMBER($K840),ISNUMBER($J840)),($K840*$J840)/$S840,"")</f>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c r="AL841">
        <f>IF(AND(ISNUMBER($S841),$S841&gt;0,ISNUMBER($K841),ISNUMBER($J841)),($K841*$J841)/$S841,"")</f>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c r="AL842">
        <f>IF(AND(ISNUMBER($S842),$S842&gt;0,ISNUMBER($K842),ISNUMBER($J842)),($K842*$J842)/$S842,"")</f>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c r="AL843">
        <f>IF(AND(ISNUMBER($S843),$S843&gt;0,ISNUMBER($K843),ISNUMBER($J843)),($K843*$J843)/$S843,"")</f>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c r="AL844">
        <f>IF(AND(ISNUMBER($S844),$S844&gt;0,ISNUMBER($K844),ISNUMBER($J844)),($K844*$J844)/$S844,"")</f>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c r="AL845">
        <f>IF(AND(ISNUMBER($S845),$S845&gt;0,ISNUMBER($K845),ISNUMBER($J845)),($K845*$J845)/$S845,"")</f>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c r="AL846">
        <f>IF(AND(ISNUMBER($S846),$S846&gt;0,ISNUMBER($K846),ISNUMBER($J846)),($K846*$J846)/$S846,"")</f>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c r="AL847">
        <f>IF(AND(ISNUMBER($S847),$S847&gt;0,ISNUMBER($K847),ISNUMBER($J847)),($K847*$J847)/$S847,"")</f>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c r="AL848">
        <f>IF(AND(ISNUMBER($S848),$S848&gt;0,ISNUMBER($K848),ISNUMBER($J848)),($K848*$J848)/$S848,"")</f>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c r="AL849">
        <f>IF(AND(ISNUMBER($S849),$S849&gt;0,ISNUMBER($K849),ISNUMBER($J849)),($K849*$J849)/$S849,"")</f>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c r="AL850">
        <f>IF(AND(ISNUMBER($S850),$S850&gt;0,ISNUMBER($K850),ISNUMBER($J850)),($K850*$J850)/$S850,"")</f>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c r="AL851">
        <f>IF(AND(ISNUMBER($S851),$S851&gt;0,ISNUMBER($K851),ISNUMBER($J851)),($K851*$J851)/$S851,"")</f>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c r="AL852">
        <f>IF(AND(ISNUMBER($S852),$S852&gt;0,ISNUMBER($K852),ISNUMBER($J852)),($K852*$J852)/$S852,"")</f>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c r="AL853">
        <f>IF(AND(ISNUMBER($S853),$S853&gt;0,ISNUMBER($K853),ISNUMBER($J853)),($K853*$J853)/$S853,"")</f>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c r="AL854">
        <f>IF(AND(ISNUMBER($S854),$S854&gt;0,ISNUMBER($K854),ISNUMBER($J854)),($K854*$J854)/$S854,"")</f>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c r="AL855">
        <f>IF(AND(ISNUMBER($S855),$S855&gt;0,ISNUMBER($K855),ISNUMBER($J855)),($K855*$J855)/$S855,"")</f>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c r="AL856">
        <f>IF(AND(ISNUMBER($S856),$S856&gt;0,ISNUMBER($K856),ISNUMBER($J856)),($K856*$J856)/$S856,"")</f>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c r="AL857">
        <f>IF(AND(ISNUMBER($S857),$S857&gt;0,ISNUMBER($K857),ISNUMBER($J857)),($K857*$J857)/$S857,"")</f>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c r="AL858">
        <f>IF(AND(ISNUMBER($S858),$S858&gt;0,ISNUMBER($K858),ISNUMBER($J858)),($K858*$J858)/$S858,"")</f>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c r="AL859">
        <f>IF(AND(ISNUMBER($S859),$S859&gt;0,ISNUMBER($K859),ISNUMBER($J859)),($K859*$J859)/$S859,"")</f>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c r="AL860">
        <f>IF(AND(ISNUMBER($S860),$S860&gt;0,ISNUMBER($K860),ISNUMBER($J860)),($K860*$J860)/$S860,"")</f>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c r="AL861">
        <f>IF(AND(ISNUMBER($S861),$S861&gt;0,ISNUMBER($K861),ISNUMBER($J861)),($K861*$J861)/$S861,"")</f>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c r="AL862">
        <f>IF(AND(ISNUMBER($S862),$S862&gt;0,ISNUMBER($K862),ISNUMBER($J862)),($K862*$J862)/$S862,"")</f>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c r="AL863">
        <f>IF(AND(ISNUMBER($S863),$S863&gt;0,ISNUMBER($K863),ISNUMBER($J863)),($K863*$J863)/$S863,"")</f>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c r="AL864">
        <f>IF(AND(ISNUMBER($S864),$S864&gt;0,ISNUMBER($K864),ISNUMBER($J864)),($K864*$J864)/$S864,"")</f>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c r="AL865">
        <f>IF(AND(ISNUMBER($S865),$S865&gt;0,ISNUMBER($K865),ISNUMBER($J865)),($K865*$J865)/$S865,"")</f>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c r="AL866">
        <f>IF(AND(ISNUMBER($S866),$S866&gt;0,ISNUMBER($K866),ISNUMBER($J866)),($K866*$J866)/$S866,"")</f>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c r="AL867">
        <f>IF(AND(ISNUMBER($S867),$S867&gt;0,ISNUMBER($K867),ISNUMBER($J867)),($K867*$J867)/$S867,"")</f>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c r="AL868">
        <f>IF(AND(ISNUMBER($S868),$S868&gt;0,ISNUMBER($K868),ISNUMBER($J868)),($K868*$J868)/$S868,"")</f>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c r="AL869">
        <f>IF(AND(ISNUMBER($S869),$S869&gt;0,ISNUMBER($K869),ISNUMBER($J869)),($K869*$J869)/$S869,"")</f>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c r="AL870">
        <f>IF(AND(ISNUMBER($S870),$S870&gt;0,ISNUMBER($K870),ISNUMBER($J870)),($K870*$J870)/$S870,"")</f>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c r="AL871">
        <f>IF(AND(ISNUMBER($S871),$S871&gt;0,ISNUMBER($K871),ISNUMBER($J871)),($K871*$J871)/$S871,"")</f>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c r="AL872">
        <f>IF(AND(ISNUMBER($S872),$S872&gt;0,ISNUMBER($K872),ISNUMBER($J872)),($K872*$J872)/$S872,"")</f>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c r="AL873">
        <f>IF(AND(ISNUMBER($S873),$S873&gt;0,ISNUMBER($K873),ISNUMBER($J873)),($K873*$J873)/$S873,"")</f>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c r="AL874">
        <f>IF(AND(ISNUMBER($S874),$S874&gt;0,ISNUMBER($K874),ISNUMBER($J874)),($K874*$J874)/$S874,"")</f>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c r="AL875">
        <f>IF(AND(ISNUMBER($S875),$S875&gt;0,ISNUMBER($K875),ISNUMBER($J875)),($K875*$J875)/$S875,"")</f>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c r="AL876">
        <f>IF(AND(ISNUMBER($S876),$S876&gt;0,ISNUMBER($K876),ISNUMBER($J876)),($K876*$J876)/$S876,"")</f>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c r="AL877">
        <f>IF(AND(ISNUMBER($S877),$S877&gt;0,ISNUMBER($K877),ISNUMBER($J877)),($K877*$J877)/$S877,"")</f>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c r="AL878">
        <f>IF(AND(ISNUMBER($S878),$S878&gt;0,ISNUMBER($K878),ISNUMBER($J878)),($K878*$J878)/$S878,"")</f>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c r="AL879">
        <f>IF(AND(ISNUMBER($S879),$S879&gt;0,ISNUMBER($K879),ISNUMBER($J879)),($K879*$J879)/$S879,"")</f>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c r="AL880">
        <f>IF(AND(ISNUMBER($S880),$S880&gt;0,ISNUMBER($K880),ISNUMBER($J880)),($K880*$J880)/$S880,"")</f>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c r="AL881">
        <f>IF(AND(ISNUMBER($S881),$S881&gt;0,ISNUMBER($K881),ISNUMBER($J881)),($K881*$J881)/$S881,"")</f>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c r="AL882">
        <f>IF(AND(ISNUMBER($S882),$S882&gt;0,ISNUMBER($K882),ISNUMBER($J882)),($K882*$J882)/$S882,"")</f>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c r="AL883">
        <f>IF(AND(ISNUMBER($S883),$S883&gt;0,ISNUMBER($K883),ISNUMBER($J883)),($K883*$J883)/$S883,"")</f>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c r="AL884">
        <f>IF(AND(ISNUMBER($S884),$S884&gt;0,ISNUMBER($K884),ISNUMBER($J884)),($K884*$J884)/$S884,"")</f>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c r="AL885">
        <f>IF(AND(ISNUMBER($S885),$S885&gt;0,ISNUMBER($K885),ISNUMBER($J885)),($K885*$J885)/$S885,"")</f>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c r="AL886">
        <f>IF(AND(ISNUMBER($S886),$S886&gt;0,ISNUMBER($K886),ISNUMBER($J886)),($K886*$J886)/$S886,"")</f>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c r="AL887">
        <f>IF(AND(ISNUMBER($S887),$S887&gt;0,ISNUMBER($K887),ISNUMBER($J887)),($K887*$J887)/$S887,"")</f>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c r="AL888">
        <f>IF(AND(ISNUMBER($S888),$S888&gt;0,ISNUMBER($K888),ISNUMBER($J888)),($K888*$J888)/$S888,"")</f>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c r="AL889">
        <f>IF(AND(ISNUMBER($S889),$S889&gt;0,ISNUMBER($K889),ISNUMBER($J889)),($K889*$J889)/$S889,"")</f>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c r="AL890">
        <f>IF(AND(ISNUMBER($S890),$S890&gt;0,ISNUMBER($K890),ISNUMBER($J890)),($K890*$J890)/$S890,"")</f>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c r="AL891">
        <f>IF(AND(ISNUMBER($S891),$S891&gt;0,ISNUMBER($K891),ISNUMBER($J891)),($K891*$J891)/$S891,"")</f>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c r="AL892">
        <f>IF(AND(ISNUMBER($S892),$S892&gt;0,ISNUMBER($K892),ISNUMBER($J892)),($K892*$J892)/$S892,"")</f>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c r="AL893">
        <f>IF(AND(ISNUMBER($S893),$S893&gt;0,ISNUMBER($K893),ISNUMBER($J893)),($K893*$J893)/$S893,"")</f>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c r="AL894">
        <f>IF(AND(ISNUMBER($S894),$S894&gt;0,ISNUMBER($K894),ISNUMBER($J894)),($K894*$J894)/$S894,"")</f>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c r="AL895">
        <f>IF(AND(ISNUMBER($S895),$S895&gt;0,ISNUMBER($K895),ISNUMBER($J895)),($K895*$J895)/$S895,"")</f>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c r="AL896">
        <f>IF(AND(ISNUMBER($S896),$S896&gt;0,ISNUMBER($K896),ISNUMBER($J896)),($K896*$J896)/$S896,"")</f>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c r="AL897">
        <f>IF(AND(ISNUMBER($S897),$S897&gt;0,ISNUMBER($K897),ISNUMBER($J897)),($K897*$J897)/$S897,"")</f>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c r="AL898">
        <f>IF(AND(ISNUMBER($S898),$S898&gt;0,ISNUMBER($K898),ISNUMBER($J898)),($K898*$J898)/$S898,"")</f>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c r="AL899">
        <f>IF(AND(ISNUMBER($S899),$S899&gt;0,ISNUMBER($K899),ISNUMBER($J899)),($K899*$J899)/$S899,"")</f>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c r="AL900">
        <f>IF(AND(ISNUMBER($S900),$S900&gt;0,ISNUMBER($K900),ISNUMBER($J900)),($K900*$J900)/$S900,"")</f>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c r="AL901">
        <f>IF(AND(ISNUMBER($S901),$S901&gt;0,ISNUMBER($K901),ISNUMBER($J901)),($K901*$J901)/$S901,"")</f>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c r="AL902">
        <f>IF(AND(ISNUMBER($S902),$S902&gt;0,ISNUMBER($K902),ISNUMBER($J902)),($K902*$J902)/$S902,"")</f>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c r="AL903">
        <f>IF(AND(ISNUMBER($S903),$S903&gt;0,ISNUMBER($K903),ISNUMBER($J903)),($K903*$J903)/$S903,"")</f>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c r="AL904">
        <f>IF(AND(ISNUMBER($S904),$S904&gt;0,ISNUMBER($K904),ISNUMBER($J904)),($K904*$J904)/$S904,"")</f>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c r="AL905">
        <f>IF(AND(ISNUMBER($S905),$S905&gt;0,ISNUMBER($K905),ISNUMBER($J905)),($K905*$J905)/$S905,"")</f>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c r="AL906">
        <f>IF(AND(ISNUMBER($S906),$S906&gt;0,ISNUMBER($K906),ISNUMBER($J906)),($K906*$J906)/$S906,"")</f>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c r="AL907">
        <f>IF(AND(ISNUMBER($S907),$S907&gt;0,ISNUMBER($K907),ISNUMBER($J907)),($K907*$J907)/$S907,"")</f>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c r="AL908">
        <f>IF(AND(ISNUMBER($S908),$S908&gt;0,ISNUMBER($K908),ISNUMBER($J908)),($K908*$J908)/$S908,"")</f>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c r="AL909">
        <f>IF(AND(ISNUMBER($S909),$S909&gt;0,ISNUMBER($K909),ISNUMBER($J909)),($K909*$J909)/$S909,"")</f>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c r="AL910">
        <f>IF(AND(ISNUMBER($S910),$S910&gt;0,ISNUMBER($K910),ISNUMBER($J910)),($K910*$J910)/$S910,"")</f>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c r="AL911">
        <f>IF(AND(ISNUMBER($S911),$S911&gt;0,ISNUMBER($K911),ISNUMBER($J911)),($K911*$J911)/$S911,"")</f>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c r="AL912">
        <f>IF(AND(ISNUMBER($S912),$S912&gt;0,ISNUMBER($K912),ISNUMBER($J912)),($K912*$J912)/$S912,"")</f>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c r="AL913">
        <f>IF(AND(ISNUMBER($S913),$S913&gt;0,ISNUMBER($K913),ISNUMBER($J913)),($K913*$J913)/$S913,"")</f>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c r="AL914">
        <f>IF(AND(ISNUMBER($S914),$S914&gt;0,ISNUMBER($K914),ISNUMBER($J914)),($K914*$J914)/$S914,"")</f>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c r="AL915">
        <f>IF(AND(ISNUMBER($S915),$S915&gt;0,ISNUMBER($K915),ISNUMBER($J915)),($K915*$J915)/$S915,"")</f>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c r="AL916">
        <f>IF(AND(ISNUMBER($S916),$S916&gt;0,ISNUMBER($K916),ISNUMBER($J916)),($K916*$J916)/$S916,"")</f>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c r="AL917">
        <f>IF(AND(ISNUMBER($S917),$S917&gt;0,ISNUMBER($K917),ISNUMBER($J917)),($K917*$J917)/$S917,"")</f>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c r="AL918">
        <f>IF(AND(ISNUMBER($S918),$S918&gt;0,ISNUMBER($K918),ISNUMBER($J918)),($K918*$J918)/$S918,"")</f>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c r="AL919">
        <f>IF(AND(ISNUMBER($S919),$S919&gt;0,ISNUMBER($K919),ISNUMBER($J919)),($K919*$J919)/$S919,"")</f>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c r="AL920">
        <f>IF(AND(ISNUMBER($S920),$S920&gt;0,ISNUMBER($K920),ISNUMBER($J920)),($K920*$J920)/$S920,"")</f>
      </c>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c r="AL921">
        <f>IF(AND(ISNUMBER($S921),$S921&gt;0,ISNUMBER($K921),ISNUMBER($J921)),($K921*$J921)/$S921,"")</f>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c r="AL922">
        <f>IF(AND(ISNUMBER($S922),$S922&gt;0,ISNUMBER($K922),ISNUMBER($J922)),($K922*$J922)/$S922,"")</f>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c r="AL923">
        <f>IF(AND(ISNUMBER($S923),$S923&gt;0,ISNUMBER($K923),ISNUMBER($J923)),($K923*$J923)/$S923,"")</f>
      </c>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c r="AL924">
        <f>IF(AND(ISNUMBER($S924),$S924&gt;0,ISNUMBER($K924),ISNUMBER($J924)),($K924*$J924)/$S924,"")</f>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c r="AL925">
        <f>IF(AND(ISNUMBER($S925),$S925&gt;0,ISNUMBER($K925),ISNUMBER($J925)),($K925*$J925)/$S925,"")</f>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c r="AL926">
        <f>IF(AND(ISNUMBER($S926),$S926&gt;0,ISNUMBER($K926),ISNUMBER($J926)),($K926*$J926)/$S926,"")</f>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c r="AL927">
        <f>IF(AND(ISNUMBER($S927),$S927&gt;0,ISNUMBER($K927),ISNUMBER($J927)),($K927*$J927)/$S927,"")</f>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c r="AL928">
        <f>IF(AND(ISNUMBER($S928),$S928&gt;0,ISNUMBER($K928),ISNUMBER($J928)),($K928*$J928)/$S928,"")</f>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c r="AL929">
        <f>IF(AND(ISNUMBER($S929),$S929&gt;0,ISNUMBER($K929),ISNUMBER($J929)),($K929*$J929)/$S929,"")</f>
      </c>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c r="AL930">
        <f>IF(AND(ISNUMBER($S930),$S930&gt;0,ISNUMBER($K930),ISNUMBER($J930)),($K930*$J930)/$S930,"")</f>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c r="AL931">
        <f>IF(AND(ISNUMBER($S931),$S931&gt;0,ISNUMBER($K931),ISNUMBER($J931)),($K931*$J931)/$S931,"")</f>
      </c>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c r="AL932">
        <f>IF(AND(ISNUMBER($S932),$S932&gt;0,ISNUMBER($K932),ISNUMBER($J932)),($K932*$J932)/$S932,"")</f>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c r="AL933">
        <f>IF(AND(ISNUMBER($S933),$S933&gt;0,ISNUMBER($K933),ISNUMBER($J933)),($K933*$J933)/$S933,"")</f>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c r="AL934">
        <f>IF(AND(ISNUMBER($S934),$S934&gt;0,ISNUMBER($K934),ISNUMBER($J934)),($K934*$J934)/$S934,"")</f>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c r="AL935">
        <f>IF(AND(ISNUMBER($S935),$S935&gt;0,ISNUMBER($K935),ISNUMBER($J935)),($K935*$J935)/$S935,"")</f>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c r="AL936">
        <f>IF(AND(ISNUMBER($S936),$S936&gt;0,ISNUMBER($K936),ISNUMBER($J936)),($K936*$J936)/$S936,"")</f>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c r="AL937">
        <f>IF(AND(ISNUMBER($S937),$S937&gt;0,ISNUMBER($K937),ISNUMBER($J937)),($K937*$J937)/$S937,"")</f>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c r="AL938">
        <f>IF(AND(ISNUMBER($S938),$S938&gt;0,ISNUMBER($K938),ISNUMBER($J938)),($K938*$J938)/$S938,"")</f>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c r="AL939">
        <f>IF(AND(ISNUMBER($S939),$S939&gt;0,ISNUMBER($K939),ISNUMBER($J939)),($K939*$J939)/$S939,"")</f>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c r="AL940">
        <f>IF(AND(ISNUMBER($S940),$S940&gt;0,ISNUMBER($K940),ISNUMBER($J940)),($K940*$J940)/$S940,"")</f>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c r="AL941">
        <f>IF(AND(ISNUMBER($S941),$S941&gt;0,ISNUMBER($K941),ISNUMBER($J941)),($K941*$J941)/$S941,"")</f>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c r="AL942">
        <f>IF(AND(ISNUMBER($S942),$S942&gt;0,ISNUMBER($K942),ISNUMBER($J942)),($K942*$J942)/$S942,"")</f>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c r="AL943">
        <f>IF(AND(ISNUMBER($S943),$S943&gt;0,ISNUMBER($K943),ISNUMBER($J943)),($K943*$J943)/$S943,"")</f>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c r="AL944">
        <f>IF(AND(ISNUMBER($S944),$S944&gt;0,ISNUMBER($K944),ISNUMBER($J944)),($K944*$J944)/$S944,"")</f>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c r="AL945">
        <f>IF(AND(ISNUMBER($S945),$S945&gt;0,ISNUMBER($K945),ISNUMBER($J945)),($K945*$J945)/$S945,"")</f>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c r="AL946">
        <f>IF(AND(ISNUMBER($S946),$S946&gt;0,ISNUMBER($K946),ISNUMBER($J946)),($K946*$J946)/$S946,"")</f>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c r="AL947">
        <f>IF(AND(ISNUMBER($S947),$S947&gt;0,ISNUMBER($K947),ISNUMBER($J947)),($K947*$J947)/$S947,"")</f>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c r="AL948">
        <f>IF(AND(ISNUMBER($S948),$S948&gt;0,ISNUMBER($K948),ISNUMBER($J948)),($K948*$J948)/$S948,"")</f>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c r="AL949">
        <f>IF(AND(ISNUMBER($S949),$S949&gt;0,ISNUMBER($K949),ISNUMBER($J949)),($K949*$J949)/$S949,"")</f>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c r="AL950">
        <f>IF(AND(ISNUMBER($S950),$S950&gt;0,ISNUMBER($K950),ISNUMBER($J950)),($K950*$J950)/$S950,"")</f>
      </c>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c r="AL951">
        <f>IF(AND(ISNUMBER($S951),$S951&gt;0,ISNUMBER($K951),ISNUMBER($J951)),($K951*$J951)/$S951,"")</f>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c r="AL952">
        <f>IF(AND(ISNUMBER($S952),$S952&gt;0,ISNUMBER($K952),ISNUMBER($J952)),($K952*$J952)/$S952,"")</f>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c r="AL953">
        <f>IF(AND(ISNUMBER($S953),$S953&gt;0,ISNUMBER($K953),ISNUMBER($J953)),($K953*$J953)/$S953,"")</f>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c r="AL954">
        <f>IF(AND(ISNUMBER($S954),$S954&gt;0,ISNUMBER($K954),ISNUMBER($J954)),($K954*$J954)/$S954,"")</f>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c r="AL955">
        <f>IF(AND(ISNUMBER($S955),$S955&gt;0,ISNUMBER($K955),ISNUMBER($J955)),($K955*$J955)/$S955,"")</f>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c r="AL956">
        <f>IF(AND(ISNUMBER($S956),$S956&gt;0,ISNUMBER($K956),ISNUMBER($J956)),($K956*$J956)/$S956,"")</f>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c r="AL957">
        <f>IF(AND(ISNUMBER($S957),$S957&gt;0,ISNUMBER($K957),ISNUMBER($J957)),($K957*$J957)/$S957,"")</f>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c r="AL958">
        <f>IF(AND(ISNUMBER($S958),$S958&gt;0,ISNUMBER($K958),ISNUMBER($J958)),($K958*$J958)/$S958,"")</f>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c r="AL959">
        <f>IF(AND(ISNUMBER($S959),$S959&gt;0,ISNUMBER($K959),ISNUMBER($J959)),($K959*$J959)/$S959,"")</f>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c r="AL960">
        <f>IF(AND(ISNUMBER($S960),$S960&gt;0,ISNUMBER($K960),ISNUMBER($J960)),($K960*$J960)/$S960,"")</f>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c r="AL961">
        <f>IF(AND(ISNUMBER($S961),$S961&gt;0,ISNUMBER($K961),ISNUMBER($J961)),($K961*$J961)/$S961,"")</f>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c r="AL962">
        <f>IF(AND(ISNUMBER($S962),$S962&gt;0,ISNUMBER($K962),ISNUMBER($J962)),($K962*$J962)/$S962,"")</f>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c r="AL963">
        <f>IF(AND(ISNUMBER($S963),$S963&gt;0,ISNUMBER($K963),ISNUMBER($J963)),($K963*$J963)/$S963,"")</f>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c r="AL964">
        <f>IF(AND(ISNUMBER($S964),$S964&gt;0,ISNUMBER($K964),ISNUMBER($J964)),($K964*$J964)/$S964,"")</f>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c r="AL965">
        <f>IF(AND(ISNUMBER($S965),$S965&gt;0,ISNUMBER($K965),ISNUMBER($J965)),($K965*$J965)/$S965,"")</f>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c r="AL966">
        <f>IF(AND(ISNUMBER($S966),$S966&gt;0,ISNUMBER($K966),ISNUMBER($J966)),($K966*$J966)/$S966,"")</f>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c r="AL967">
        <f>IF(AND(ISNUMBER($S967),$S967&gt;0,ISNUMBER($K967),ISNUMBER($J967)),($K967*$J967)/$S967,"")</f>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c r="AL968">
        <f>IF(AND(ISNUMBER($S968),$S968&gt;0,ISNUMBER($K968),ISNUMBER($J968)),($K968*$J968)/$S968,"")</f>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c r="AL969">
        <f>IF(AND(ISNUMBER($S969),$S969&gt;0,ISNUMBER($K969),ISNUMBER($J969)),($K969*$J969)/$S969,"")</f>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c r="AL970">
        <f>IF(AND(ISNUMBER($S970),$S970&gt;0,ISNUMBER($K970),ISNUMBER($J970)),($K970*$J970)/$S970,"")</f>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c r="AL971">
        <f>IF(AND(ISNUMBER($S971),$S971&gt;0,ISNUMBER($K971),ISNUMBER($J971)),($K971*$J971)/$S971,"")</f>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c r="AL972">
        <f>IF(AND(ISNUMBER($S972),$S972&gt;0,ISNUMBER($K972),ISNUMBER($J972)),($K972*$J972)/$S972,"")</f>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c r="AL973">
        <f>IF(AND(ISNUMBER($S973),$S973&gt;0,ISNUMBER($K973),ISNUMBER($J973)),($K973*$J973)/$S973,"")</f>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c r="AL974">
        <f>IF(AND(ISNUMBER($S974),$S974&gt;0,ISNUMBER($K974),ISNUMBER($J974)),($K974*$J974)/$S974,"")</f>
      </c>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c r="AL975">
        <f>IF(AND(ISNUMBER($S975),$S975&gt;0,ISNUMBER($K975),ISNUMBER($J975)),($K975*$J975)/$S975,"")</f>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c r="AL976">
        <f>IF(AND(ISNUMBER($S976),$S976&gt;0,ISNUMBER($K976),ISNUMBER($J976)),($K976*$J976)/$S976,"")</f>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c r="AL977">
        <f>IF(AND(ISNUMBER($S977),$S977&gt;0,ISNUMBER($K977),ISNUMBER($J977)),($K977*$J977)/$S977,"")</f>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c r="AL978">
        <f>IF(AND(ISNUMBER($S978),$S978&gt;0,ISNUMBER($K978),ISNUMBER($J978)),($K978*$J978)/$S978,"")</f>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c r="AL979">
        <f>IF(AND(ISNUMBER($S979),$S979&gt;0,ISNUMBER($K979),ISNUMBER($J979)),($K979*$J979)/$S979,"")</f>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c r="AL980">
        <f>IF(AND(ISNUMBER($S980),$S980&gt;0,ISNUMBER($K980),ISNUMBER($J980)),($K980*$J980)/$S980,"")</f>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c r="AL981">
        <f>IF(AND(ISNUMBER($S981),$S981&gt;0,ISNUMBER($K981),ISNUMBER($J981)),($K981*$J981)/$S981,"")</f>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c r="AL982">
        <f>IF(AND(ISNUMBER($S982),$S982&gt;0,ISNUMBER($K982),ISNUMBER($J982)),($K982*$J982)/$S982,"")</f>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c r="AL983">
        <f>IF(AND(ISNUMBER($S983),$S983&gt;0,ISNUMBER($K983),ISNUMBER($J983)),($K983*$J983)/$S983,"")</f>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c r="AL984">
        <f>IF(AND(ISNUMBER($S984),$S984&gt;0,ISNUMBER($K984),ISNUMBER($J984)),($K984*$J984)/$S984,"")</f>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c r="AL985">
        <f>IF(AND(ISNUMBER($S985),$S985&gt;0,ISNUMBER($K985),ISNUMBER($J985)),($K985*$J985)/$S985,"")</f>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c r="AL986">
        <f>IF(AND(ISNUMBER($S986),$S986&gt;0,ISNUMBER($K986),ISNUMBER($J986)),($K986*$J986)/$S986,"")</f>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c r="AL987">
        <f>IF(AND(ISNUMBER($S987),$S987&gt;0,ISNUMBER($K987),ISNUMBER($J987)),($K987*$J987)/$S987,"")</f>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c r="AL988">
        <f>IF(AND(ISNUMBER($S988),$S988&gt;0,ISNUMBER($K988),ISNUMBER($J988)),($K988*$J988)/$S988,"")</f>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c r="AL989">
        <f>IF(AND(ISNUMBER($S989),$S989&gt;0,ISNUMBER($K989),ISNUMBER($J989)),($K989*$J989)/$S989,"")</f>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c r="AL990">
        <f>IF(AND(ISNUMBER($S990),$S990&gt;0,ISNUMBER($K990),ISNUMBER($J990)),($K990*$J990)/$S990,"")</f>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c r="AL991">
        <f>IF(AND(ISNUMBER($S991),$S991&gt;0,ISNUMBER($K991),ISNUMBER($J991)),($K991*$J991)/$S991,"")</f>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c r="AL992">
        <f>IF(AND(ISNUMBER($S992),$S992&gt;0,ISNUMBER($K992),ISNUMBER($J992)),($K992*$J992)/$S992,"")</f>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c r="AL993">
        <f>IF(AND(ISNUMBER($S993),$S993&gt;0,ISNUMBER($K993),ISNUMBER($J993)),($K993*$J993)/$S993,"")</f>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c r="AL994">
        <f>IF(AND(ISNUMBER($S994),$S994&gt;0,ISNUMBER($K994),ISNUMBER($J994)),($K994*$J994)/$S994,"")</f>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c r="AL995">
        <f>IF(AND(ISNUMBER($S995),$S995&gt;0,ISNUMBER($K995),ISNUMBER($J995)),($K995*$J995)/$S995,"")</f>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c r="AL996">
        <f>IF(AND(ISNUMBER($S996),$S996&gt;0,ISNUMBER($K996),ISNUMBER($J996)),($K996*$J996)/$S996,"")</f>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c r="AL997">
        <f>IF(AND(ISNUMBER($S997),$S997&gt;0,ISNUMBER($K997),ISNUMBER($J997)),($K997*$J997)/$S997,"")</f>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c r="AL998">
        <f>IF(AND(ISNUMBER($S998),$S998&gt;0,ISNUMBER($K998),ISNUMBER($J998)),($K998*$J998)/$S998,"")</f>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c r="AL999">
        <f>IF(AND(ISNUMBER($S999),$S999&gt;0,ISNUMBER($K999),ISNUMBER($J999)),($K999*$J999)/$S999,"")</f>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c r="AL1000">
        <f>IF(AND(ISNUMBER($S1000),$S1000&gt;0,ISNUMBER($K1000),ISNUMBER($J1000)),($K1000*$J1000)/$S1000,"")</f>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c r="AL1001">
        <f>IF(AND(ISNUMBER($S1001),$S1001&gt;0,ISNUMBER($K1001),ISNUMBER($J1001)),($K1001*$J1001)/$S1001,"")</f>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c r="AL1002">
        <f>IF(AND(ISNUMBER($S1002),$S1002&gt;0,ISNUMBER($K1002),ISNUMBER($J1002)),($K1002*$J1002)/$S1002,"")</f>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c r="AL1003">
        <f>IF(AND(ISNUMBER($S1003),$S1003&gt;0,ISNUMBER($K1003),ISNUMBER($J1003)),($K1003*$J1003)/$S1003,"")</f>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c r="AL1004">
        <f>IF(AND(ISNUMBER($S1004),$S1004&gt;0,ISNUMBER($K1004),ISNUMBER($J1004)),($K1004*$J1004)/$S1004,"")</f>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c r="AL1005">
        <f>IF(AND(ISNUMBER($S1005),$S1005&gt;0,ISNUMBER($K1005),ISNUMBER($J1005)),($K1005*$J1005)/$S1005,"")</f>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c r="AL1006">
        <f>IF(AND(ISNUMBER($S1006),$S1006&gt;0,ISNUMBER($K1006),ISNUMBER($J1006)),($K1006*$J1006)/$S1006,"")</f>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c r="AL1007">
        <f>IF(AND(ISNUMBER($S1007),$S1007&gt;0,ISNUMBER($K1007),ISNUMBER($J1007)),($K1007*$J1007)/$S1007,"")</f>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c r="AL1008">
        <f>IF(AND(ISNUMBER($S1008),$S1008&gt;0,ISNUMBER($K1008),ISNUMBER($J1008)),($K1008*$J1008)/$S1008,"")</f>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c r="AL1009">
        <f>IF(AND(ISNUMBER($S1009),$S1009&gt;0,ISNUMBER($K1009),ISNUMBER($J1009)),($K1009*$J1009)/$S1009,"")</f>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c r="AL1010">
        <f>IF(AND(ISNUMBER($S1010),$S1010&gt;0,ISNUMBER($K1010),ISNUMBER($J1010)),($K1010*$J1010)/$S1010,"")</f>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c r="AL1011">
        <f>IF(AND(ISNUMBER($S1011),$S1011&gt;0,ISNUMBER($K1011),ISNUMBER($J1011)),($K1011*$J1011)/$S1011,"")</f>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c r="AL1012">
        <f>IF(AND(ISNUMBER($S1012),$S1012&gt;0,ISNUMBER($K1012),ISNUMBER($J1012)),($K1012*$J1012)/$S1012,"")</f>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c r="AL1013">
        <f>IF(AND(ISNUMBER($S1013),$S1013&gt;0,ISNUMBER($K1013),ISNUMBER($J1013)),($K1013*$J1013)/$S1013,"")</f>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c r="AL1014">
        <f>IF(AND(ISNUMBER($S1014),$S1014&gt;0,ISNUMBER($K1014),ISNUMBER($J1014)),($K1014*$J1014)/$S1014,"")</f>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c r="AL1015">
        <f>IF(AND(ISNUMBER($S1015),$S1015&gt;0,ISNUMBER($K1015),ISNUMBER($J1015)),($K1015*$J1015)/$S1015,"")</f>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c r="AL1016">
        <f>IF(AND(ISNUMBER($S1016),$S1016&gt;0,ISNUMBER($K1016),ISNUMBER($J1016)),($K1016*$J1016)/$S1016,"")</f>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c r="AL1017">
        <f>IF(AND(ISNUMBER($S1017),$S1017&gt;0,ISNUMBER($K1017),ISNUMBER($J1017)),($K1017*$J1017)/$S1017,"")</f>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c r="AL1018">
        <f>IF(AND(ISNUMBER($S1018),$S1018&gt;0,ISNUMBER($K1018),ISNUMBER($J1018)),($K1018*$J1018)/$S1018,"")</f>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c r="AL1019">
        <f>IF(AND(ISNUMBER($S1019),$S1019&gt;0,ISNUMBER($K1019),ISNUMBER($J1019)),($K1019*$J1019)/$S1019,"")</f>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B1:L40"/>
  <sheetViews>
    <sheetView workbookViewId="0">
      <selection activeCell="C7" sqref="C7"/>
    </sheetView>
  </sheetViews>
  <sheetFormatPr defaultRowHeight="12.5"/>
  <cols>
    <col min="1" max="1" width="2" customWidth="1"/>
    <col min="2" max="2" width="46" customWidth="1"/>
    <col min="3" max="12" width="14" customWidth="1"/>
  </cols>
  <sheetData>
    <row r="1" spans="2:12" ht="22" customHeight="1">
      <c r="B1" s="187" t="inlineStr">
        <is>
          <t xml:space="preserve">COST APPROACH — MULTI-BUILDING SUMMARY</t>
        </is>
      </c>
      <c r="C1" s="187"/>
      <c r="D1" s="187"/>
      <c r="E1" s="187"/>
      <c r="F1" s="187"/>
      <c r="G1" s="187"/>
      <c r="H1" s="187"/>
      <c r="I1" s="187"/>
      <c r="J1" s="187"/>
      <c r="K1" s="187"/>
      <c r="L1" s="187"/>
    </row>
    <row r="2" spans="2:12" ht="70" customHeight="1">
      <c r="B2" s="166" t="inlineStr">
        <is>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c r="D2" s="166"/>
      <c r="E2" s="166"/>
      <c r="F2" s="166"/>
      <c r="G2" s="166"/>
      <c r="H2" s="166"/>
      <c r="I2" s="166"/>
      <c r="J2" s="166"/>
      <c r="K2" s="166"/>
      <c r="L2" s="166"/>
    </row>
    <row r="4" spans="2:12">
      <c r="B4" s="166" t="inlineStr">
        <is>
          <t xml:space="preserve">Line item \ Building</t>
        </is>
      </c>
      <c r="C4" s="166" t="inlineStr">
        <is>
          <t xml:space="preserve">Building 1</t>
        </is>
      </c>
      <c r="D4" s="166" t="inlineStr">
        <is>
          <t xml:space="preserve">Building 2</t>
        </is>
      </c>
      <c r="E4" s="166" t="inlineStr">
        <is>
          <t xml:space="preserve">Building 3</t>
        </is>
      </c>
      <c r="F4" s="166" t="inlineStr">
        <is>
          <t xml:space="preserve">Building 4</t>
        </is>
      </c>
      <c r="G4" s="166" t="inlineStr">
        <is>
          <t xml:space="preserve">Building 5</t>
        </is>
      </c>
      <c r="H4" s="166" t="inlineStr">
        <is>
          <t xml:space="preserve">Building 6</t>
        </is>
      </c>
      <c r="I4" s="166" t="inlineStr">
        <is>
          <t xml:space="preserve">Building 7</t>
        </is>
      </c>
      <c r="J4" s="166" t="inlineStr">
        <is>
          <t xml:space="preserve">Building 8</t>
        </is>
      </c>
      <c r="K4" s="166" t="inlineStr">
        <is>
          <t xml:space="preserve">Building 9</t>
        </is>
      </c>
      <c r="L4" s="166" t="inlineStr">
        <is>
          <t xml:space="preserve">Building 10</t>
        </is>
      </c>
    </row>
    <row r="5" spans="2:12">
      <c r="B5" s="166" t="inlineStr">
        <is>
          <t xml:space="preserve">OCC Code (from Subject Property)</t>
        </is>
      </c>
      <c r="C5" s="191">
        <f>'Subject Property'!C14</f>
      </c>
      <c r="D5" s="191">
        <f>'Subject Property'!D14</f>
      </c>
      <c r="E5" s="191">
        <f>'Subject Property'!E14</f>
      </c>
      <c r="F5" s="191">
        <f>'Subject Property'!F14</f>
      </c>
      <c r="G5" s="191">
        <f>'Subject Property'!G14</f>
      </c>
      <c r="H5" s="191">
        <f>'Subject Property'!H14</f>
      </c>
      <c r="I5" s="191">
        <f>'Subject Property'!I14</f>
      </c>
      <c r="J5" s="191">
        <f>'Subject Property'!J14</f>
      </c>
      <c r="K5" s="191">
        <f>'Subject Property'!K14</f>
      </c>
      <c r="L5" s="191">
        <f>'Subject Property'!L14</f>
      </c>
    </row>
    <row r="6" spans="2:12">
      <c r="B6" s="166" t="inlineStr">
        <is>
          <t xml:space="preserve">Occupancy (MVS, auto)</t>
        </is>
      </c>
      <c r="C6" s="191">
        <f>IF(C5="","",IFERROR(INDEX(OCCMAP_NAME,MATCH(C5,OCCMAP_CODE,0)),"n/a"))</f>
      </c>
      <c r="D6" s="191">
        <f>IF(D5="","",IFERROR(INDEX(OCCMAP_NAME,MATCH(D5,OCCMAP_CODE,0)),"n/a"))</f>
      </c>
      <c r="E6" s="191">
        <f>IF(E5="","",IFERROR(INDEX(OCCMAP_NAME,MATCH(E5,OCCMAP_CODE,0)),"n/a"))</f>
      </c>
      <c r="F6" s="191">
        <f>IF(F5="","",IFERROR(INDEX(OCCMAP_NAME,MATCH(F5,OCCMAP_CODE,0)),"n/a"))</f>
      </c>
      <c r="G6" s="191">
        <f>IF(G5="","",IFERROR(INDEX(OCCMAP_NAME,MATCH(G5,OCCMAP_CODE,0)),"n/a"))</f>
      </c>
      <c r="H6" s="191">
        <f>IF(H5="","",IFERROR(INDEX(OCCMAP_NAME,MATCH(H5,OCCMAP_CODE,0)),"n/a"))</f>
      </c>
      <c r="I6" s="191">
        <f>IF(I5="","",IFERROR(INDEX(OCCMAP_NAME,MATCH(I5,OCCMAP_CODE,0)),"n/a"))</f>
      </c>
      <c r="J6" s="191">
        <f>IF(J5="","",IFERROR(INDEX(OCCMAP_NAME,MATCH(J5,OCCMAP_CODE,0)),"n/a"))</f>
      </c>
      <c r="K6" s="191">
        <f>IF(K5="","",IFERROR(INDEX(OCCMAP_NAME,MATCH(K5,OCCMAP_CODE,0)),"n/a"))</f>
      </c>
      <c r="L6" s="191">
        <f>IF(L5="","",IFERROR(INDEX(OCCMAP_NAME,MATCH(L5,OCCMAP_CODE,0)),"n/a"))</f>
      </c>
    </row>
    <row r="7" spans="2:12">
      <c r="B7" s="166" t="inlineStr">
        <is>
          <t xml:space="preserve">Building Class  [enter]</t>
        </is>
      </c>
      <c r="C7" s="188" t="inlineStr">
        <is>
          <t xml:space="preserve">C</t>
        </is>
      </c>
      <c r="D7" s="188"/>
      <c r="E7" s="188"/>
      <c r="F7" s="188"/>
      <c r="G7" s="188"/>
      <c r="H7" s="188"/>
      <c r="I7" s="188"/>
      <c r="J7" s="188"/>
      <c r="K7" s="188"/>
      <c r="L7" s="188"/>
    </row>
    <row r="8" spans="2:12">
      <c r="B8" s="166" t="inlineStr">
        <is>
          <t xml:space="preserve">Quality (MVS)  [enter]</t>
        </is>
      </c>
      <c r="C8" s="188" t="inlineStr">
        <is>
          <t xml:space="preserve">Excellent</t>
        </is>
      </c>
      <c r="D8" s="188"/>
      <c r="E8" s="188"/>
      <c r="F8" s="188"/>
      <c r="G8" s="188"/>
      <c r="H8" s="188"/>
      <c r="I8" s="188"/>
      <c r="J8" s="188"/>
      <c r="K8" s="188"/>
      <c r="L8" s="188"/>
    </row>
    <row r="9" spans="2:12">
      <c r="B9" s="166" t="inlineStr">
        <is>
          <t xml:space="preserve">Building Size SF (from Subject)</t>
        </is>
      </c>
      <c r="C9" s="189">
        <f>'Subject Property'!C15</f>
      </c>
      <c r="D9" s="189">
        <f>'Subject Property'!D15</f>
      </c>
      <c r="E9" s="189">
        <f>'Subject Property'!E15</f>
      </c>
      <c r="F9" s="189">
        <f>'Subject Property'!F15</f>
      </c>
      <c r="G9" s="189">
        <f>'Subject Property'!G15</f>
      </c>
      <c r="H9" s="189">
        <f>'Subject Property'!H15</f>
      </c>
      <c r="I9" s="189">
        <f>'Subject Property'!I15</f>
      </c>
      <c r="J9" s="189">
        <f>'Subject Property'!J15</f>
      </c>
      <c r="K9" s="189">
        <f>'Subject Property'!K15</f>
      </c>
      <c r="L9" s="189">
        <f>'Subject Property'!L15</f>
      </c>
    </row>
    <row r="10" spans="2:12">
      <c r="B10" s="166" t="inlineStr">
        <is>
          <t xml:space="preserve">Avg Eave/Wall Height ft  [enter]</t>
        </is>
      </c>
      <c r="C10" s="189">
        <v>18</v>
      </c>
      <c r="D10" s="189"/>
      <c r="E10" s="189"/>
      <c r="F10" s="189"/>
      <c r="G10" s="189"/>
      <c r="H10" s="189"/>
      <c r="I10" s="189"/>
      <c r="J10" s="189"/>
      <c r="K10" s="189"/>
      <c r="L10" s="189"/>
    </row>
    <row r="11" spans="2:12">
      <c r="B11" s="166" t="inlineStr">
        <is>
          <t xml:space="preserve">Sprinkler Tier  [enter]</t>
        </is>
      </c>
      <c r="C11" s="188" t="inlineStr">
        <is>
          <t xml:space="preserve">Average</t>
        </is>
      </c>
      <c r="D11" s="188"/>
      <c r="E11" s="188"/>
      <c r="F11" s="188"/>
      <c r="G11" s="188"/>
      <c r="H11" s="188"/>
      <c r="I11" s="188"/>
      <c r="J11" s="188"/>
      <c r="K11" s="188"/>
      <c r="L11" s="188"/>
    </row>
    <row r="12" spans="2:12">
      <c r="B12" s="166" t="inlineStr">
        <is>
          <t xml:space="preserve">Effective Age yrs (from Subject)</t>
        </is>
      </c>
      <c r="C12" s="189">
        <f>'Subject Property'!C19</f>
      </c>
      <c r="D12" s="189">
        <f>'Subject Property'!D19</f>
      </c>
      <c r="E12" s="189">
        <f>'Subject Property'!E19</f>
      </c>
      <c r="F12" s="189">
        <f>'Subject Property'!F19</f>
      </c>
      <c r="G12" s="189">
        <f>'Subject Property'!G19</f>
      </c>
      <c r="H12" s="189">
        <f>'Subject Property'!H19</f>
      </c>
      <c r="I12" s="189">
        <f>'Subject Property'!I19</f>
      </c>
      <c r="J12" s="189">
        <f>'Subject Property'!J19</f>
      </c>
      <c r="K12" s="189">
        <f>'Subject Property'!K19</f>
      </c>
      <c r="L12" s="189">
        <f>'Subject Property'!L19</f>
      </c>
    </row>
    <row r="13" spans="2:12">
      <c r="B13" s="166" t="inlineStr">
        <is>
          <t xml:space="preserve">MVS Section (auto)</t>
        </is>
      </c>
      <c r="C13" s="191">
        <f>IFERROR(INDEX(OCC_SECTION,MATCH(C6,OCC_NAME,0)),"")</f>
      </c>
      <c r="D13" s="191">
        <f>IFERROR(INDEX(OCC_SECTION,MATCH(D6,OCC_NAME,0)),"")</f>
      </c>
      <c r="E13" s="191">
        <f>IFERROR(INDEX(OCC_SECTION,MATCH(E6,OCC_NAME,0)),"")</f>
      </c>
      <c r="F13" s="191">
        <f>IFERROR(INDEX(OCC_SECTION,MATCH(F6,OCC_NAME,0)),"")</f>
      </c>
      <c r="G13" s="191">
        <f>IFERROR(INDEX(OCC_SECTION,MATCH(G6,OCC_NAME,0)),"")</f>
      </c>
      <c r="H13" s="191">
        <f>IFERROR(INDEX(OCC_SECTION,MATCH(H6,OCC_NAME,0)),"")</f>
      </c>
      <c r="I13" s="191">
        <f>IFERROR(INDEX(OCC_SECTION,MATCH(I6,OCC_NAME,0)),"")</f>
      </c>
      <c r="J13" s="191">
        <f>IFERROR(INDEX(OCC_SECTION,MATCH(J6,OCC_NAME,0)),"")</f>
      </c>
      <c r="K13" s="191">
        <f>IFERROR(INDEX(OCC_SECTION,MATCH(K6,OCC_NAME,0)),"")</f>
      </c>
      <c r="L13" s="191">
        <f>IFERROR(INDEX(OCC_SECTION,MATCH(L6,OCC_NAME,0)),"")</f>
      </c>
    </row>
    <row r="14" spans="2:12">
      <c r="B14" s="166" t="inlineStr">
        <is>
          <t xml:space="preserve">Base Cost $/SF (auto)</t>
        </is>
      </c>
      <c r="C14" s="191">
        <f>IFERROR(INDEX(BC_VALUE,MATCH(C6&amp;"|"&amp;C7&amp;"|"&amp;C8,BC_KEY,0)),0)</f>
      </c>
      <c r="D14" s="191">
        <f>IFERROR(INDEX(BC_VALUE,MATCH(D6&amp;"|"&amp;D7&amp;"|"&amp;D8,BC_KEY,0)),0)</f>
      </c>
      <c r="E14" s="191">
        <f>IFERROR(INDEX(BC_VALUE,MATCH(E6&amp;"|"&amp;E7&amp;"|"&amp;E8,BC_KEY,0)),0)</f>
      </c>
      <c r="F14" s="191">
        <f>IFERROR(INDEX(BC_VALUE,MATCH(F6&amp;"|"&amp;F7&amp;"|"&amp;F8,BC_KEY,0)),0)</f>
      </c>
      <c r="G14" s="191">
        <f>IFERROR(INDEX(BC_VALUE,MATCH(G6&amp;"|"&amp;G7&amp;"|"&amp;G8,BC_KEY,0)),0)</f>
      </c>
      <c r="H14" s="191">
        <f>IFERROR(INDEX(BC_VALUE,MATCH(H6&amp;"|"&amp;H7&amp;"|"&amp;H8,BC_KEY,0)),0)</f>
      </c>
      <c r="I14" s="191">
        <f>IFERROR(INDEX(BC_VALUE,MATCH(I6&amp;"|"&amp;I7&amp;"|"&amp;I8,BC_KEY,0)),0)</f>
      </c>
      <c r="J14" s="191">
        <f>IFERROR(INDEX(BC_VALUE,MATCH(J6&amp;"|"&amp;J7&amp;"|"&amp;J8,BC_KEY,0)),0)</f>
      </c>
      <c r="K14" s="191">
        <f>IFERROR(INDEX(BC_VALUE,MATCH(K6&amp;"|"&amp;K7&amp;"|"&amp;K8,BC_KEY,0)),0)</f>
      </c>
      <c r="L14" s="191">
        <f>IFERROR(INDEX(BC_VALUE,MATCH(L6&amp;"|"&amp;L7&amp;"|"&amp;L8,BC_KEY,0)),0)</f>
      </c>
    </row>
    <row r="15" spans="2:12">
      <c r="B15" s="166" t="inlineStr">
        <is>
          <t xml:space="preserve">Sprinkler $/SF (auto)</t>
        </is>
      </c>
      <c r="C15" s="191">
        <f>IFERROR(INDEX(INDIRECT("SPR"&amp;C13&amp;"_VALS"),MATCH(C9,INDIRECT("SPR"&amp;C13&amp;"_SF"),1),MATCH(C11,SPR_HDR,0)),0)</f>
      </c>
      <c r="D15" s="191">
        <f>IFERROR(INDEX(INDIRECT("SPR"&amp;D13&amp;"_VALS"),MATCH(D9,INDIRECT("SPR"&amp;D13&amp;"_SF"),1),MATCH(D11,SPR_HDR,0)),0)</f>
      </c>
      <c r="E15" s="191">
        <f>IFERROR(INDEX(INDIRECT("SPR"&amp;E13&amp;"_VALS"),MATCH(E9,INDIRECT("SPR"&amp;E13&amp;"_SF"),1),MATCH(E11,SPR_HDR,0)),0)</f>
      </c>
      <c r="F15" s="191">
        <f>IFERROR(INDEX(INDIRECT("SPR"&amp;F13&amp;"_VALS"),MATCH(F9,INDIRECT("SPR"&amp;F13&amp;"_SF"),1),MATCH(F11,SPR_HDR,0)),0)</f>
      </c>
      <c r="G15" s="191">
        <f>IFERROR(INDEX(INDIRECT("SPR"&amp;G13&amp;"_VALS"),MATCH(G9,INDIRECT("SPR"&amp;G13&amp;"_SF"),1),MATCH(G11,SPR_HDR,0)),0)</f>
      </c>
      <c r="H15" s="191">
        <f>IFERROR(INDEX(INDIRECT("SPR"&amp;H13&amp;"_VALS"),MATCH(H9,INDIRECT("SPR"&amp;H13&amp;"_SF"),1),MATCH(H11,SPR_HDR,0)),0)</f>
      </c>
      <c r="I15" s="191">
        <f>IFERROR(INDEX(INDIRECT("SPR"&amp;I13&amp;"_VALS"),MATCH(I9,INDIRECT("SPR"&amp;I13&amp;"_SF"),1),MATCH(I11,SPR_HDR,0)),0)</f>
      </c>
      <c r="J15" s="191">
        <f>IFERROR(INDEX(INDIRECT("SPR"&amp;J13&amp;"_VALS"),MATCH(J9,INDIRECT("SPR"&amp;J13&amp;"_SF"),1),MATCH(J11,SPR_HDR,0)),0)</f>
      </c>
      <c r="K15" s="191">
        <f>IFERROR(INDEX(INDIRECT("SPR"&amp;K13&amp;"_VALS"),MATCH(K9,INDIRECT("SPR"&amp;K13&amp;"_SF"),1),MATCH(K11,SPR_HDR,0)),0)</f>
      </c>
      <c r="L15" s="191">
        <f>IFERROR(INDEX(INDIRECT("SPR"&amp;L13&amp;"_VALS"),MATCH(L9,INDIRECT("SPR"&amp;L13&amp;"_SF"),1),MATCH(L11,SPR_HDR,0)),0)</f>
      </c>
    </row>
    <row r="16" spans="2:12">
      <c r="B16" s="166" t="inlineStr">
        <is>
          <t xml:space="preserve">Story-Height Mult (auto)</t>
        </is>
      </c>
      <c r="C16" s="191">
        <f>IFERROR(INDEX(INDIRECT("SH"&amp;C13&amp;"_M"),MATCH(C10,INDIRECT("SH"&amp;C13&amp;"_H"),1)),1)</f>
      </c>
      <c r="D16" s="191">
        <f>IFERROR(INDEX(INDIRECT("SH"&amp;D13&amp;"_M"),MATCH(D10,INDIRECT("SH"&amp;D13&amp;"_H"),1)),1)</f>
      </c>
      <c r="E16" s="191">
        <f>IFERROR(INDEX(INDIRECT("SH"&amp;E13&amp;"_M"),MATCH(E10,INDIRECT("SH"&amp;E13&amp;"_H"),1)),1)</f>
      </c>
      <c r="F16" s="191">
        <f>IFERROR(INDEX(INDIRECT("SH"&amp;F13&amp;"_M"),MATCH(F10,INDIRECT("SH"&amp;F13&amp;"_H"),1)),1)</f>
      </c>
      <c r="G16" s="191">
        <f>IFERROR(INDEX(INDIRECT("SH"&amp;G13&amp;"_M"),MATCH(G10,INDIRECT("SH"&amp;G13&amp;"_H"),1)),1)</f>
      </c>
      <c r="H16" s="191">
        <f>IFERROR(INDEX(INDIRECT("SH"&amp;H13&amp;"_M"),MATCH(H10,INDIRECT("SH"&amp;H13&amp;"_H"),1)),1)</f>
      </c>
      <c r="I16" s="191">
        <f>IFERROR(INDEX(INDIRECT("SH"&amp;I13&amp;"_M"),MATCH(I10,INDIRECT("SH"&amp;I13&amp;"_H"),1)),1)</f>
      </c>
      <c r="J16" s="191">
        <f>IFERROR(INDEX(INDIRECT("SH"&amp;J13&amp;"_M"),MATCH(J10,INDIRECT("SH"&amp;J13&amp;"_H"),1)),1)</f>
      </c>
      <c r="K16" s="191">
        <f>IFERROR(INDEX(INDIRECT("SH"&amp;K13&amp;"_M"),MATCH(K10,INDIRECT("SH"&amp;K13&amp;"_H"),1)),1)</f>
      </c>
      <c r="L16" s="191">
        <f>IFERROR(INDEX(INDIRECT("SH"&amp;L13&amp;"_M"),MATCH(L10,INDIRECT("SH"&amp;L13&amp;"_H"),1)),1)</f>
      </c>
    </row>
    <row r="17" spans="2:12">
      <c r="B17" s="166" t="inlineStr">
        <is>
          <t xml:space="preserve">Adjusted Building Cost</t>
        </is>
      </c>
      <c r="C17" s="191">
        <f>IF(C6="","",C9*(C14+C15)*'Cost Approach'!$D$33*'Cost Approach'!$D$34*'Cost Approach'!$D$35*C16)</f>
      </c>
      <c r="D17" s="191">
        <f>IF(D6="","",D9*(D14+D15)*'Cost Approach'!$D$33*'Cost Approach'!$D$34*'Cost Approach'!$D$35*D16)</f>
      </c>
      <c r="E17" s="191">
        <f>IF(E6="","",E9*(E14+E15)*'Cost Approach'!$D$33*'Cost Approach'!$D$34*'Cost Approach'!$D$35*E16)</f>
      </c>
      <c r="F17" s="191">
        <f>IF(F6="","",F9*(F14+F15)*'Cost Approach'!$D$33*'Cost Approach'!$D$34*'Cost Approach'!$D$35*F16)</f>
      </c>
      <c r="G17" s="191">
        <f>IF(G6="","",G9*(G14+G15)*'Cost Approach'!$D$33*'Cost Approach'!$D$34*'Cost Approach'!$D$35*G16)</f>
      </c>
      <c r="H17" s="191">
        <f>IF(H6="","",H9*(H14+H15)*'Cost Approach'!$D$33*'Cost Approach'!$D$34*'Cost Approach'!$D$35*H16)</f>
      </c>
      <c r="I17" s="191">
        <f>IF(I6="","",I9*(I14+I15)*'Cost Approach'!$D$33*'Cost Approach'!$D$34*'Cost Approach'!$D$35*I16)</f>
      </c>
      <c r="J17" s="191">
        <f>IF(J6="","",J9*(J14+J15)*'Cost Approach'!$D$33*'Cost Approach'!$D$34*'Cost Approach'!$D$35*J16)</f>
      </c>
      <c r="K17" s="191">
        <f>IF(K6="","",K9*(K14+K15)*'Cost Approach'!$D$33*'Cost Approach'!$D$34*'Cost Approach'!$D$35*K16)</f>
      </c>
      <c r="L17" s="191">
        <f>IF(L6="","",L9*(L14+L15)*'Cost Approach'!$D$33*'Cost Approach'!$D$34*'Cost Approach'!$D$35*L16)</f>
      </c>
    </row>
    <row r="18" spans="2:12">
      <c r="B18" s="166" t="inlineStr">
        <is>
          <t xml:space="preserve">RCN (+ indirect + EP)</t>
        </is>
      </c>
      <c r="C18" s="191">
        <f>IF(C17="","",C17*(1+'Cost Approach'!$C$48)*(1+'Cost Approach'!$C$50))</f>
      </c>
      <c r="D18" s="191">
        <f>IF(D17="","",D17*(1+'Cost Approach'!$C$48)*(1+'Cost Approach'!$C$50))</f>
      </c>
      <c r="E18" s="191">
        <f>IF(E17="","",E17*(1+'Cost Approach'!$C$48)*(1+'Cost Approach'!$C$50))</f>
      </c>
      <c r="F18" s="191">
        <f>IF(F17="","",F17*(1+'Cost Approach'!$C$48)*(1+'Cost Approach'!$C$50))</f>
      </c>
      <c r="G18" s="191">
        <f>IF(G17="","",G17*(1+'Cost Approach'!$C$48)*(1+'Cost Approach'!$C$50))</f>
      </c>
      <c r="H18" s="191">
        <f>IF(H17="","",H17*(1+'Cost Approach'!$C$48)*(1+'Cost Approach'!$C$50))</f>
      </c>
      <c r="I18" s="191">
        <f>IF(I17="","",I17*(1+'Cost Approach'!$C$48)*(1+'Cost Approach'!$C$50))</f>
      </c>
      <c r="J18" s="191">
        <f>IF(J17="","",J17*(1+'Cost Approach'!$C$48)*(1+'Cost Approach'!$C$50))</f>
      </c>
      <c r="K18" s="191">
        <f>IF(K17="","",K17*(1+'Cost Approach'!$C$48)*(1+'Cost Approach'!$C$50))</f>
      </c>
      <c r="L18" s="191">
        <f>IF(L17="","",L17*(1+'Cost Approach'!$C$48)*(1+'Cost Approach'!$C$50))</f>
      </c>
    </row>
    <row r="19" spans="2:12">
      <c r="B19" s="166" t="inlineStr">
        <is>
          <t xml:space="preserve">Life Expectancy yrs (auto)</t>
        </is>
      </c>
      <c r="C19" s="191">
        <f>IFERROR(INDEX(LIFE_VALUES,MATCH(C6&amp;"|"&amp;C8,LIFE_KEY,0),MATCH("Class "&amp;IF(C7="CMILL","C",IF(OR(C7="DPOLE",C7="DMASVEN",C7="CDS"),"D",IF(C7="A-B","B",IF(C7="SSLANT","S",C7)))),LIFE_CLASSHDR,0)),0)</f>
      </c>
      <c r="D19" s="191">
        <f>IFERROR(INDEX(LIFE_VALUES,MATCH(D6&amp;"|"&amp;D8,LIFE_KEY,0),MATCH("Class "&amp;IF(D7="CMILL","C",IF(OR(D7="DPOLE",D7="DMASVEN",D7="CDS"),"D",IF(D7="A-B","B",IF(D7="SSLANT","S",D7)))),LIFE_CLASSHDR,0)),0)</f>
      </c>
      <c r="E19" s="191">
        <f>IFERROR(INDEX(LIFE_VALUES,MATCH(E6&amp;"|"&amp;E8,LIFE_KEY,0),MATCH("Class "&amp;IF(E7="CMILL","C",IF(OR(E7="DPOLE",E7="DMASVEN",E7="CDS"),"D",IF(E7="A-B","B",IF(E7="SSLANT","S",E7)))),LIFE_CLASSHDR,0)),0)</f>
      </c>
      <c r="F19" s="191">
        <f>IFERROR(INDEX(LIFE_VALUES,MATCH(F6&amp;"|"&amp;F8,LIFE_KEY,0),MATCH("Class "&amp;IF(F7="CMILL","C",IF(OR(F7="DPOLE",F7="DMASVEN",F7="CDS"),"D",IF(F7="A-B","B",IF(F7="SSLANT","S",F7)))),LIFE_CLASSHDR,0)),0)</f>
      </c>
      <c r="G19" s="191">
        <f>IFERROR(INDEX(LIFE_VALUES,MATCH(G6&amp;"|"&amp;G8,LIFE_KEY,0),MATCH("Class "&amp;IF(G7="CMILL","C",IF(OR(G7="DPOLE",G7="DMASVEN",G7="CDS"),"D",IF(G7="A-B","B",IF(G7="SSLANT","S",G7)))),LIFE_CLASSHDR,0)),0)</f>
      </c>
      <c r="H19" s="191">
        <f>IFERROR(INDEX(LIFE_VALUES,MATCH(H6&amp;"|"&amp;H8,LIFE_KEY,0),MATCH("Class "&amp;IF(H7="CMILL","C",IF(OR(H7="DPOLE",H7="DMASVEN",H7="CDS"),"D",IF(H7="A-B","B",IF(H7="SSLANT","S",H7)))),LIFE_CLASSHDR,0)),0)</f>
      </c>
      <c r="I19" s="191">
        <f>IFERROR(INDEX(LIFE_VALUES,MATCH(I6&amp;"|"&amp;I8,LIFE_KEY,0),MATCH("Class "&amp;IF(I7="CMILL","C",IF(OR(I7="DPOLE",I7="DMASVEN",I7="CDS"),"D",IF(I7="A-B","B",IF(I7="SSLANT","S",I7)))),LIFE_CLASSHDR,0)),0)</f>
      </c>
      <c r="J19" s="191">
        <f>IFERROR(INDEX(LIFE_VALUES,MATCH(J6&amp;"|"&amp;J8,LIFE_KEY,0),MATCH("Class "&amp;IF(J7="CMILL","C",IF(OR(J7="DPOLE",J7="DMASVEN",J7="CDS"),"D",IF(J7="A-B","B",IF(J7="SSLANT","S",J7)))),LIFE_CLASSHDR,0)),0)</f>
      </c>
      <c r="K19" s="191">
        <f>IFERROR(INDEX(LIFE_VALUES,MATCH(K6&amp;"|"&amp;K8,LIFE_KEY,0),MATCH("Class "&amp;IF(K7="CMILL","C",IF(OR(K7="DPOLE",K7="DMASVEN",K7="CDS"),"D",IF(K7="A-B","B",IF(K7="SSLANT","S",K7)))),LIFE_CLASSHDR,0)),0)</f>
      </c>
      <c r="L19" s="191">
        <f>IFERROR(INDEX(LIFE_VALUES,MATCH(L6&amp;"|"&amp;L8,LIFE_KEY,0),MATCH("Class "&amp;IF(L7="CMILL","C",IF(OR(L7="DPOLE",L7="DMASVEN",L7="CDS"),"D",IF(L7="A-B","B",IF(L7="SSLANT","S",L7)))),LIFE_CLASSHDR,0)),0)</f>
      </c>
    </row>
    <row r="20" spans="2:12">
      <c r="B20" s="166" t="inlineStr">
        <is>
          <t xml:space="preserve">Physical Depr % (auto)</t>
        </is>
      </c>
      <c r="C20" s="191">
        <f>IF(OR(C6="",C19=0),0,IFERROR(IF(IFERROR(INDEX(OCC_DEPR,MATCH(C6,OCC_NAME,0)),"C")="R",INDEX(DEPRR_VALUES,MATCH(C12,DEPRR_AGE,1),MATCH(C19,DEPRR_LIFEHDR,0)),INDEX(DEPR_VALUES,MATCH(C12,DEPR_AGE,1),MATCH(C19,DEPR_LIFEHDR,0)))/100,1))</f>
      </c>
      <c r="D20" s="191">
        <f>IF(OR(D6="",D19=0),0,IFERROR(IF(IFERROR(INDEX(OCC_DEPR,MATCH(D6,OCC_NAME,0)),"C")="R",INDEX(DEPRR_VALUES,MATCH(D12,DEPRR_AGE,1),MATCH(D19,DEPRR_LIFEHDR,0)),INDEX(DEPR_VALUES,MATCH(D12,DEPR_AGE,1),MATCH(D19,DEPR_LIFEHDR,0)))/100,1))</f>
      </c>
      <c r="E20" s="191">
        <f>IF(OR(E6="",E19=0),0,IFERROR(IF(IFERROR(INDEX(OCC_DEPR,MATCH(E6,OCC_NAME,0)),"C")="R",INDEX(DEPRR_VALUES,MATCH(E12,DEPRR_AGE,1),MATCH(E19,DEPRR_LIFEHDR,0)),INDEX(DEPR_VALUES,MATCH(E12,DEPR_AGE,1),MATCH(E19,DEPR_LIFEHDR,0)))/100,1))</f>
      </c>
      <c r="F20" s="191">
        <f>IF(OR(F6="",F19=0),0,IFERROR(IF(IFERROR(INDEX(OCC_DEPR,MATCH(F6,OCC_NAME,0)),"C")="R",INDEX(DEPRR_VALUES,MATCH(F12,DEPRR_AGE,1),MATCH(F19,DEPRR_LIFEHDR,0)),INDEX(DEPR_VALUES,MATCH(F12,DEPR_AGE,1),MATCH(F19,DEPR_LIFEHDR,0)))/100,1))</f>
      </c>
      <c r="G20" s="191">
        <f>IF(OR(G6="",G19=0),0,IFERROR(IF(IFERROR(INDEX(OCC_DEPR,MATCH(G6,OCC_NAME,0)),"C")="R",INDEX(DEPRR_VALUES,MATCH(G12,DEPRR_AGE,1),MATCH(G19,DEPRR_LIFEHDR,0)),INDEX(DEPR_VALUES,MATCH(G12,DEPR_AGE,1),MATCH(G19,DEPR_LIFEHDR,0)))/100,1))</f>
      </c>
      <c r="H20" s="191">
        <f>IF(OR(H6="",H19=0),0,IFERROR(IF(IFERROR(INDEX(OCC_DEPR,MATCH(H6,OCC_NAME,0)),"C")="R",INDEX(DEPRR_VALUES,MATCH(H12,DEPRR_AGE,1),MATCH(H19,DEPRR_LIFEHDR,0)),INDEX(DEPR_VALUES,MATCH(H12,DEPR_AGE,1),MATCH(H19,DEPR_LIFEHDR,0)))/100,1))</f>
      </c>
      <c r="I20" s="191">
        <f>IF(OR(I6="",I19=0),0,IFERROR(IF(IFERROR(INDEX(OCC_DEPR,MATCH(I6,OCC_NAME,0)),"C")="R",INDEX(DEPRR_VALUES,MATCH(I12,DEPRR_AGE,1),MATCH(I19,DEPRR_LIFEHDR,0)),INDEX(DEPR_VALUES,MATCH(I12,DEPR_AGE,1),MATCH(I19,DEPR_LIFEHDR,0)))/100,1))</f>
      </c>
      <c r="J20" s="191">
        <f>IF(OR(J6="",J19=0),0,IFERROR(IF(IFERROR(INDEX(OCC_DEPR,MATCH(J6,OCC_NAME,0)),"C")="R",INDEX(DEPRR_VALUES,MATCH(J12,DEPRR_AGE,1),MATCH(J19,DEPRR_LIFEHDR,0)),INDEX(DEPR_VALUES,MATCH(J12,DEPR_AGE,1),MATCH(J19,DEPR_LIFEHDR,0)))/100,1))</f>
      </c>
      <c r="K20" s="191">
        <f>IF(OR(K6="",K19=0),0,IFERROR(IF(IFERROR(INDEX(OCC_DEPR,MATCH(K6,OCC_NAME,0)),"C")="R",INDEX(DEPRR_VALUES,MATCH(K12,DEPRR_AGE,1),MATCH(K19,DEPRR_LIFEHDR,0)),INDEX(DEPR_VALUES,MATCH(K12,DEPR_AGE,1),MATCH(K19,DEPR_LIFEHDR,0)))/100,1))</f>
      </c>
      <c r="L20" s="191">
        <f>IF(OR(L6="",L19=0),0,IFERROR(IF(IFERROR(INDEX(OCC_DEPR,MATCH(L6,OCC_NAME,0)),"C")="R",INDEX(DEPRR_VALUES,MATCH(L12,DEPRR_AGE,1),MATCH(L19,DEPRR_LIFEHDR,0)),INDEX(DEPR_VALUES,MATCH(L12,DEPR_AGE,1),MATCH(L19,DEPR_LIFEHDR,0)))/100,1))</f>
      </c>
    </row>
    <row r="21" spans="2:12">
      <c r="B21" s="166" t="inlineStr">
        <is>
          <t xml:space="preserve">Functional Obs %  [enter]</t>
        </is>
      </c>
      <c r="C21" s="189">
        <v>0</v>
      </c>
      <c r="D21" s="189"/>
      <c r="E21" s="189"/>
      <c r="F21" s="189"/>
      <c r="G21" s="189"/>
      <c r="H21" s="189"/>
      <c r="I21" s="189"/>
      <c r="J21" s="189"/>
      <c r="K21" s="189"/>
      <c r="L21" s="189"/>
    </row>
    <row r="22" spans="2:12">
      <c r="B22" s="166" t="inlineStr">
        <is>
          <t xml:space="preserve">External Obs %  [enter]</t>
        </is>
      </c>
      <c r="C22" s="189">
        <v>0</v>
      </c>
      <c r="D22" s="189"/>
      <c r="E22" s="189"/>
      <c r="F22" s="189"/>
      <c r="G22" s="189"/>
      <c r="H22" s="189"/>
      <c r="I22" s="189"/>
      <c r="J22" s="189"/>
      <c r="K22" s="189"/>
      <c r="L22" s="189"/>
    </row>
    <row r="23" spans="2:12">
      <c r="B23" s="166" t="inlineStr">
        <is>
          <t xml:space="preserve">Depreciated Improvement Value</t>
        </is>
      </c>
      <c r="C23" s="189">
        <f>IF(OR(C6="",COLUMN()-2&gt;Subj_NumBldgs),0,C18*(1-C20-C21-C22))</f>
      </c>
      <c r="D23" s="189">
        <f>IF(OR(D6="",COLUMN()-2&gt;Subj_NumBldgs),0,D18*(1-D20-D21-D22))</f>
      </c>
      <c r="E23" s="189">
        <f>IF(OR(E6="",COLUMN()-2&gt;Subj_NumBldgs),0,E18*(1-E20-E21-E22))</f>
      </c>
      <c r="F23" s="189">
        <f>IF(OR(F6="",COLUMN()-2&gt;Subj_NumBldgs),0,F18*(1-F20-F21-F22))</f>
      </c>
      <c r="G23" s="189">
        <f>IF(OR(G6="",COLUMN()-2&gt;Subj_NumBldgs),0,G18*(1-G20-G21-G22))</f>
      </c>
      <c r="H23" s="189">
        <f>IF(OR(H6="",COLUMN()-2&gt;Subj_NumBldgs),0,H18*(1-H20-H21-H22))</f>
      </c>
      <c r="I23" s="189">
        <f>IF(OR(I6="",COLUMN()-2&gt;Subj_NumBldgs),0,I18*(1-I20-I21-I22))</f>
      </c>
      <c r="J23" s="189">
        <f>IF(OR(J6="",COLUMN()-2&gt;Subj_NumBldgs),0,J18*(1-J20-J21-J22))</f>
      </c>
      <c r="K23" s="189">
        <f>IF(OR(K6="",COLUMN()-2&gt;Subj_NumBldgs),0,K18*(1-K20-K21-K22))</f>
      </c>
      <c r="L23" s="189">
        <f>IF(OR(L6="",COLUMN()-2&gt;Subj_NumBldgs),0,L18*(1-L20-L21-L22))</f>
      </c>
    </row>
    <row r="25" spans="2:12">
      <c r="B25" s="187" t="inlineStr">
        <is>
          <t xml:space="preserve">TOTAL DEPRECIATED IMPROVEMENTS (all buildings)</t>
        </is>
      </c>
      <c r="C25" s="187">
        <f>SUM(C23:L23)</f>
      </c>
    </row>
    <row r="26" spans="2:12">
      <c r="B26" s="166" t="inlineStr">
        <is>
          <t xml:space="preserve">Less Curable / Deferred Maintenance (Cost Approach)</t>
        </is>
      </c>
      <c r="C26" s="189">
        <f>'Cost Approach'!$F$56</f>
      </c>
    </row>
    <row r="27" spans="2:12">
      <c r="B27" s="166" t="inlineStr">
        <is>
          <t xml:space="preserve">Plus Site Improvements (Cost Approach)</t>
        </is>
      </c>
      <c r="C27" s="189">
        <f>'Cost Approach'!$G$46</f>
      </c>
    </row>
    <row r="28" spans="2:12">
      <c r="B28" s="166" t="inlineStr">
        <is>
          <t xml:space="preserve">Plus Land Value (Cost Approach)</t>
        </is>
      </c>
      <c r="C28" s="189">
        <f>'Cost Approach'!$G$67</f>
      </c>
    </row>
    <row r="29" spans="2:12">
      <c r="B29" s="187" t="inlineStr">
        <is>
          <t xml:space="preserve">INDICATED VALUE BY COST APPROACH (multi-building)</t>
        </is>
      </c>
      <c r="C29" s="187">
        <f>C25-C26+C27+C28</f>
      </c>
    </row>
    <row r="30" spans="2:12">
      <c r="B30" s="166" t="inlineStr">
        <is>
          <t xml:space="preserve">Rounded (nearest $5,000)</t>
        </is>
      </c>
      <c r="C30" s="189">
        <f>ROUND(C29/5000,0)*5000</f>
      </c>
    </row>
    <row r="31" spans="2:12">
      <c r="B31" s="166" t="inlineStr">
        <is>
          <t xml:space="preserve">per SF of total building area</t>
        </is>
      </c>
      <c r="C31" s="189">
        <f>IFERROR(C29/Subj_TotalBldgSF,"")</f>
      </c>
    </row>
    <row r="33" spans="2:12">
      <c r="B33" s="187" t="inlineStr">
        <is>
          <t xml:space="preserve">PROPERTY-TYPE VALUATION METRIC</t>
        </is>
      </c>
      <c r="C33" s="187"/>
      <c r="D33" s="187"/>
      <c r="E33" s="187"/>
      <c r="F33" s="187"/>
      <c r="G33" s="187"/>
      <c r="H33" s="187"/>
      <c r="I33" s="187"/>
      <c r="J33" s="187"/>
      <c r="K33" s="187"/>
      <c r="L33" s="187"/>
    </row>
    <row r="34" spans="2:12">
      <c r="B34" s="166" t="inlineStr">
        <is>
          <t xml:space="preserve">Valuation Basis (auto from occupancy)</t>
        </is>
      </c>
      <c r="C34" s="191">
        <f>IF(C6="","",IF(OR(ISNUMBER(SEARCH("Apart",C6)),ISNUMBER(SEARCH("Multiple Residence",C6))),"Per Unit",IF(OR(ISNUMBER(SEARCH("Hotel",C6)),ISNUMBER(SEARCH("Motel",C6))),"Per Key","Per SF")))</f>
      </c>
      <c r="D34" s="191">
        <f>IF(D6="","",IF(OR(ISNUMBER(SEARCH("Apart",D6)),ISNUMBER(SEARCH("Multiple Residence",D6))),"Per Unit",IF(OR(ISNUMBER(SEARCH("Hotel",D6)),ISNUMBER(SEARCH("Motel",D6))),"Per Key","Per SF")))</f>
      </c>
      <c r="E34" s="191">
        <f>IF(E6="","",IF(OR(ISNUMBER(SEARCH("Apart",E6)),ISNUMBER(SEARCH("Multiple Residence",E6))),"Per Unit",IF(OR(ISNUMBER(SEARCH("Hotel",E6)),ISNUMBER(SEARCH("Motel",E6))),"Per Key","Per SF")))</f>
      </c>
      <c r="F34" s="191">
        <f>IF(F6="","",IF(OR(ISNUMBER(SEARCH("Apart",F6)),ISNUMBER(SEARCH("Multiple Residence",F6))),"Per Unit",IF(OR(ISNUMBER(SEARCH("Hotel",F6)),ISNUMBER(SEARCH("Motel",F6))),"Per Key","Per SF")))</f>
      </c>
      <c r="G34" s="191">
        <f>IF(G6="","",IF(OR(ISNUMBER(SEARCH("Apart",G6)),ISNUMBER(SEARCH("Multiple Residence",G6))),"Per Unit",IF(OR(ISNUMBER(SEARCH("Hotel",G6)),ISNUMBER(SEARCH("Motel",G6))),"Per Key","Per SF")))</f>
      </c>
      <c r="H34" s="191">
        <f>IF(H6="","",IF(OR(ISNUMBER(SEARCH("Apart",H6)),ISNUMBER(SEARCH("Multiple Residence",H6))),"Per Unit",IF(OR(ISNUMBER(SEARCH("Hotel",H6)),ISNUMBER(SEARCH("Motel",H6))),"Per Key","Per SF")))</f>
      </c>
      <c r="I34" s="191">
        <f>IF(I6="","",IF(OR(ISNUMBER(SEARCH("Apart",I6)),ISNUMBER(SEARCH("Multiple Residence",I6))),"Per Unit",IF(OR(ISNUMBER(SEARCH("Hotel",I6)),ISNUMBER(SEARCH("Motel",I6))),"Per Key","Per SF")))</f>
      </c>
      <c r="J34" s="191">
        <f>IF(J6="","",IF(OR(ISNUMBER(SEARCH("Apart",J6)),ISNUMBER(SEARCH("Multiple Residence",J6))),"Per Unit",IF(OR(ISNUMBER(SEARCH("Hotel",J6)),ISNUMBER(SEARCH("Motel",J6))),"Per Key","Per SF")))</f>
      </c>
      <c r="K34" s="191">
        <f>IF(K6="","",IF(OR(ISNUMBER(SEARCH("Apart",K6)),ISNUMBER(SEARCH("Multiple Residence",K6))),"Per Unit",IF(OR(ISNUMBER(SEARCH("Hotel",K6)),ISNUMBER(SEARCH("Motel",K6))),"Per Key","Per SF")))</f>
      </c>
      <c r="L34" s="191">
        <f>IF(L6="","",IF(OR(ISNUMBER(SEARCH("Apart",L6)),ISNUMBER(SEARCH("Multiple Residence",L6))),"Per Unit",IF(OR(ISNUMBER(SEARCH("Hotel",L6)),ISNUMBER(SEARCH("Motel",L6))),"Per Key","Per SF")))</f>
      </c>
    </row>
    <row r="35" spans="2:12">
      <c r="B35" s="166" t="inlineStr">
        <is>
          <t xml:space="preserve">Override Basis (optional)</t>
        </is>
      </c>
      <c r="C35" s="188"/>
      <c r="D35" s="188"/>
      <c r="E35" s="188"/>
      <c r="F35" s="188"/>
      <c r="G35" s="188"/>
      <c r="H35" s="188"/>
      <c r="I35" s="188"/>
      <c r="J35" s="188"/>
      <c r="K35" s="188"/>
      <c r="L35" s="188"/>
    </row>
    <row r="36" spans="2:12">
      <c r="B36" s="166" t="inlineStr">
        <is>
          <t xml:space="preserve">Effective Basis</t>
        </is>
      </c>
      <c r="C36" s="191">
        <f>IF(C35&lt;&gt;"",C35,C34)</f>
      </c>
      <c r="D36" s="191">
        <f>IF(D35&lt;&gt;"",D35,D34)</f>
      </c>
      <c r="E36" s="191">
        <f>IF(E35&lt;&gt;"",E35,E34)</f>
      </c>
      <c r="F36" s="191">
        <f>IF(F35&lt;&gt;"",F35,F34)</f>
      </c>
      <c r="G36" s="191">
        <f>IF(G35&lt;&gt;"",G35,G34)</f>
      </c>
      <c r="H36" s="191">
        <f>IF(H35&lt;&gt;"",H35,H34)</f>
      </c>
      <c r="I36" s="191">
        <f>IF(I35&lt;&gt;"",I35,I34)</f>
      </c>
      <c r="J36" s="191">
        <f>IF(J35&lt;&gt;"",J35,J34)</f>
      </c>
      <c r="K36" s="191">
        <f>IF(K35&lt;&gt;"",K35,K34)</f>
      </c>
      <c r="L36" s="191">
        <f>IF(L35&lt;&gt;"",L35,L34)</f>
      </c>
    </row>
    <row r="37" spans="2:12">
      <c r="B37" s="166" t="inlineStr">
        <is>
          <t xml:space="preserve">Units / Keys (from Subject)</t>
        </is>
      </c>
      <c r="C37" s="189">
        <f>'Subject Property'!C20</f>
      </c>
      <c r="D37" s="189">
        <f>'Subject Property'!D20</f>
      </c>
      <c r="E37" s="189">
        <f>'Subject Property'!E20</f>
      </c>
      <c r="F37" s="189">
        <f>'Subject Property'!F20</f>
      </c>
      <c r="G37" s="189">
        <f>'Subject Property'!G20</f>
      </c>
      <c r="H37" s="189">
        <f>'Subject Property'!H20</f>
      </c>
      <c r="I37" s="189">
        <f>'Subject Property'!I20</f>
      </c>
      <c r="J37" s="189">
        <f>'Subject Property'!J20</f>
      </c>
      <c r="K37" s="189">
        <f>'Subject Property'!K20</f>
      </c>
      <c r="L37" s="189">
        <f>'Subject Property'!L20</f>
      </c>
    </row>
    <row r="38" spans="2:12">
      <c r="B38" s="166" t="inlineStr">
        <is>
          <t xml:space="preserve">Indicated Value / SF</t>
        </is>
      </c>
      <c r="C38" s="189">
        <f>IFERROR(C23/C9,"")</f>
      </c>
      <c r="D38" s="189">
        <f>IFERROR(D23/D9,"")</f>
      </c>
      <c r="E38" s="189">
        <f>IFERROR(E23/E9,"")</f>
      </c>
      <c r="F38" s="189">
        <f>IFERROR(F23/F9,"")</f>
      </c>
      <c r="G38" s="189">
        <f>IFERROR(G23/G9,"")</f>
      </c>
      <c r="H38" s="189">
        <f>IFERROR(H23/H9,"")</f>
      </c>
      <c r="I38" s="189">
        <f>IFERROR(I23/I9,"")</f>
      </c>
      <c r="J38" s="189">
        <f>IFERROR(J23/J9,"")</f>
      </c>
      <c r="K38" s="189">
        <f>IFERROR(K23/K9,"")</f>
      </c>
      <c r="L38" s="189">
        <f>IFERROR(L23/L9,"")</f>
      </c>
    </row>
    <row r="39" spans="2:12">
      <c r="B39" s="166" t="inlineStr">
        <is>
          <t xml:space="preserve">Indicated Value / Unit or Key</t>
        </is>
      </c>
      <c r="C39" s="189">
        <f>IF(AND(C36&lt;&gt;"Per SF",N(C37)&gt;0),C23/C37,"")</f>
      </c>
      <c r="D39" s="189">
        <f>IF(AND(D36&lt;&gt;"Per SF",N(D37)&gt;0),D23/D37,"")</f>
      </c>
      <c r="E39" s="189">
        <f>IF(AND(E36&lt;&gt;"Per SF",N(E37)&gt;0),E23/E37,"")</f>
      </c>
      <c r="F39" s="189">
        <f>IF(AND(F36&lt;&gt;"Per SF",N(F37)&gt;0),F23/F37,"")</f>
      </c>
      <c r="G39" s="189">
        <f>IF(AND(G36&lt;&gt;"Per SF",N(G37)&gt;0),G23/G37,"")</f>
      </c>
      <c r="H39" s="189">
        <f>IF(AND(H36&lt;&gt;"Per SF",N(H37)&gt;0),H23/H37,"")</f>
      </c>
      <c r="I39" s="189">
        <f>IF(AND(I36&lt;&gt;"Per SF",N(I37)&gt;0),I23/I37,"")</f>
      </c>
      <c r="J39" s="189">
        <f>IF(AND(J36&lt;&gt;"Per SF",N(J37)&gt;0),J23/J37,"")</f>
      </c>
      <c r="K39" s="189">
        <f>IF(AND(K36&lt;&gt;"Per SF",N(K37)&gt;0),K23/K37,"")</f>
      </c>
      <c r="L39" s="189">
        <f>IF(AND(L36&lt;&gt;"Per SF",N(L37)&gt;0),L23/L37,"")</f>
      </c>
    </row>
    <row r="40" spans="2:12">
      <c r="B40" s="166" t="inlineStr">
        <is>
          <t xml:space="preserve">Headline Metric (auto by basis)</t>
        </is>
      </c>
      <c r="C40" s="191">
        <f>IF(C6="","",IF(C36="Per SF",TEXT(C38,"$#,##0")&amp;" /SF",IF(C36="Per Unit",IFERROR(TEXT(C23/C37,"$#,##0")&amp;" /unit","enter units"),IFERROR(TEXT(C23/C37,"$#,##0")&amp;" /key","enter keys"))))</f>
      </c>
      <c r="D40" s="191">
        <f>IF(D6="","",IF(D36="Per SF",TEXT(D38,"$#,##0")&amp;" /SF",IF(D36="Per Unit",IFERROR(TEXT(D23/D37,"$#,##0")&amp;" /unit","enter units"),IFERROR(TEXT(D23/D37,"$#,##0")&amp;" /key","enter keys"))))</f>
      </c>
      <c r="E40" s="191">
        <f>IF(E6="","",IF(E36="Per SF",TEXT(E38,"$#,##0")&amp;" /SF",IF(E36="Per Unit",IFERROR(TEXT(E23/E37,"$#,##0")&amp;" /unit","enter units"),IFERROR(TEXT(E23/E37,"$#,##0")&amp;" /key","enter keys"))))</f>
      </c>
      <c r="F40" s="191">
        <f>IF(F6="","",IF(F36="Per SF",TEXT(F38,"$#,##0")&amp;" /SF",IF(F36="Per Unit",IFERROR(TEXT(F23/F37,"$#,##0")&amp;" /unit","enter units"),IFERROR(TEXT(F23/F37,"$#,##0")&amp;" /key","enter keys"))))</f>
      </c>
      <c r="G40" s="191">
        <f>IF(G6="","",IF(G36="Per SF",TEXT(G38,"$#,##0")&amp;" /SF",IF(G36="Per Unit",IFERROR(TEXT(G23/G37,"$#,##0")&amp;" /unit","enter units"),IFERROR(TEXT(G23/G37,"$#,##0")&amp;" /key","enter keys"))))</f>
      </c>
      <c r="H40" s="191">
        <f>IF(H6="","",IF(H36="Per SF",TEXT(H38,"$#,##0")&amp;" /SF",IF(H36="Per Unit",IFERROR(TEXT(H23/H37,"$#,##0")&amp;" /unit","enter units"),IFERROR(TEXT(H23/H37,"$#,##0")&amp;" /key","enter keys"))))</f>
      </c>
      <c r="I40" s="191">
        <f>IF(I6="","",IF(I36="Per SF",TEXT(I38,"$#,##0")&amp;" /SF",IF(I36="Per Unit",IFERROR(TEXT(I23/I37,"$#,##0")&amp;" /unit","enter units"),IFERROR(TEXT(I23/I37,"$#,##0")&amp;" /key","enter keys"))))</f>
      </c>
      <c r="J40" s="191">
        <f>IF(J6="","",IF(J36="Per SF",TEXT(J38,"$#,##0")&amp;" /SF",IF(J36="Per Unit",IFERROR(TEXT(J23/J37,"$#,##0")&amp;" /unit","enter units"),IFERROR(TEXT(J23/J37,"$#,##0")&amp;" /key","enter keys"))))</f>
      </c>
      <c r="K40" s="191">
        <f>IF(K6="","",IF(K36="Per SF",TEXT(K38,"$#,##0")&amp;" /SF",IF(K36="Per Unit",IFERROR(TEXT(K23/K37,"$#,##0")&amp;" /unit","enter units"),IFERROR(TEXT(K23/K37,"$#,##0")&amp;" /key","enter keys"))))</f>
      </c>
      <c r="L40" s="191">
        <f>IF(L6="","",IF(L36="Per SF",TEXT(L38,"$#,##0")&amp;" /SF",IF(L36="Per Unit",IFERROR(TEXT(L23/L37,"$#,##0")&amp;" /unit","enter units"),IFERROR(TEXT(L23/L37,"$#,##0")&amp;" /key","enter keys"))))</f>
      </c>
    </row>
  </sheetData>
  <conditionalFormatting sqref="C4:L40">
    <cfRule type="expression" dxfId="3" priority="1">
      <formula>(COLUMN()-2)&gt;Subj_NumBldgs</formula>
    </cfRule>
  </conditionalFormatting>
  <dataValidations count="4">
    <dataValidation type="list" allowBlank="1" showErrorMessage="1" sqref="C7:L7">
      <formula1>"A,B,A-B,C,CMILL,CDS,D,DPOLE,DMASVEN,S,SSLANT"</formula1>
    </dataValidation>
    <dataValidation type="list" allowBlank="1" showErrorMessage="1" sqref="C8:L8">
      <formula1>"Low Cost,Fair,Average,Good,Very Good,Excellent,Cheap"</formula1>
    </dataValidation>
    <dataValidation type="list" allowBlank="1" showErrorMessage="1" sqref="C11:L11">
      <formula1>"Low Cost,Fair,Average,Good,Very Good,Excellent,Cheap"</formula1>
    </dataValidation>
    <dataValidation type="list" allowBlank="1" showErrorMessage="1" sqref="C35:L35">
      <formula1>"Per SF,Per Unit,Per Key"</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