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Documents" sheetId="1" state="visible" r:id="rId1"/>
    <sheet xmlns:r="http://schemas.openxmlformats.org/officeDocument/2006/relationships" name="Property Master" sheetId="2" state="visible" r:id="rId2"/>
    <sheet xmlns:r="http://schemas.openxmlformats.org/officeDocument/2006/relationships" name="Tenants &amp; Leases" sheetId="3" state="visible" r:id="rId3"/>
    <sheet xmlns:r="http://schemas.openxmlformats.org/officeDocument/2006/relationships" name="Assessments &amp; Valuation" sheetId="4" state="visible" r:id="rId4"/>
    <sheet xmlns:r="http://schemas.openxmlformats.org/officeDocument/2006/relationships" name="Income-Expense Summary" sheetId="5" state="visible" r:id="rId5"/>
    <sheet xmlns:r="http://schemas.openxmlformats.org/officeDocument/2006/relationships" name="Income-Expense Detail" sheetId="6" state="visible" r:id="rId6"/>
    <sheet xmlns:r="http://schemas.openxmlformats.org/officeDocument/2006/relationships" name="Related Parcels" sheetId="7" state="visible" r:id="rId7"/>
  </sheets>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0.00"/>
    <numFmt numFmtId="167" formatCode="$#,##0.00;($#,##0.00);-"/>
    <numFmt numFmtId="168" formatCode="$#,##0"/>
  </numFmts>
  <fonts count="9">
    <font>
      <name val="Calibri"/>
      <family val="2"/>
      <color theme="1"/>
      <sz val="11"/>
      <scheme val="minor"/>
    </font>
    <font>
      <name val="Arial"/>
      <b val="1"/>
      <color rgb="00FFFFFF"/>
      <sz val="14"/>
    </font>
    <font>
      <name val="Arial"/>
      <i val="1"/>
      <color rgb="00FFFFFF"/>
      <sz val="9"/>
    </font>
    <font>
      <name val="Arial"/>
      <b val="1"/>
      <sz val="11"/>
    </font>
    <font>
      <name val="Arial"/>
      <b val="1"/>
      <color rgb="00FFFFFF"/>
      <sz val="10"/>
    </font>
    <font>
      <name val="Arial"/>
      <sz val="10"/>
    </font>
    <font>
      <name val="Arial"/>
      <i val="1"/>
      <color rgb="00808080"/>
      <sz val="8"/>
    </font>
    <font>
      <name val="Arial"/>
      <b val="1"/>
      <sz val="10"/>
    </font>
    <font>
      <name val="Arial"/>
      <color rgb="00808080"/>
      <sz val="8"/>
    </font>
  </fonts>
  <fills count="8">
    <fill>
      <patternFill/>
    </fill>
    <fill>
      <patternFill patternType="gray125"/>
    </fill>
    <fill>
      <patternFill patternType="solid">
        <fgColor rgb="001F3864"/>
      </patternFill>
    </fill>
    <fill>
      <patternFill patternType="solid">
        <fgColor rgb="002E5496"/>
      </patternFill>
    </fill>
    <fill>
      <patternFill patternType="solid">
        <fgColor rgb="00D6E0F0"/>
      </patternFill>
    </fill>
    <fill>
      <patternFill patternType="solid">
        <fgColor rgb="00E2EFDA"/>
      </patternFill>
    </fill>
    <fill>
      <patternFill patternType="solid">
        <fgColor rgb="00DDEBF7"/>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left" vertical="center" wrapText="1"/>
    </xf>
    <xf numFmtId="164" fontId="5" fillId="0" borderId="1" applyAlignment="1" pivotButton="0" quotePrefix="0" xfId="0">
      <alignment horizontal="right" vertical="center"/>
    </xf>
    <xf numFmtId="165" fontId="5" fillId="0" borderId="1" applyAlignment="1" pivotButton="0" quotePrefix="0" xfId="0">
      <alignment horizontal="right" vertical="center"/>
    </xf>
    <xf numFmtId="0" fontId="7" fillId="4" borderId="1" applyAlignment="1" pivotButton="0" quotePrefix="0" xfId="0">
      <alignment horizontal="left" vertical="center" wrapText="1"/>
    </xf>
    <xf numFmtId="0" fontId="7" fillId="0" borderId="1" applyAlignment="1" pivotButton="0" quotePrefix="0" xfId="0">
      <alignment horizontal="left" vertical="center" wrapText="1"/>
    </xf>
    <xf numFmtId="0" fontId="7" fillId="5" borderId="1" applyAlignment="1" pivotButton="0" quotePrefix="0" xfId="0">
      <alignment horizontal="left" vertical="center" wrapText="1"/>
    </xf>
    <xf numFmtId="0" fontId="5" fillId="5" borderId="1" applyAlignment="1" pivotButton="0" quotePrefix="0" xfId="0">
      <alignment horizontal="left" vertical="center" wrapText="1"/>
    </xf>
    <xf numFmtId="165" fontId="7" fillId="5" borderId="1" applyAlignment="1" pivotButton="0" quotePrefix="0" xfId="0">
      <alignment horizontal="right" vertical="center"/>
    </xf>
    <xf numFmtId="0" fontId="6" fillId="5" borderId="1" applyAlignment="1" pivotButton="0" quotePrefix="0" xfId="0">
      <alignment horizontal="left" vertical="center" wrapText="1"/>
    </xf>
    <xf numFmtId="166" fontId="5" fillId="0" borderId="1" applyAlignment="1" pivotButton="0" quotePrefix="0" xfId="0">
      <alignment horizontal="right" vertical="center"/>
    </xf>
    <xf numFmtId="0" fontId="7" fillId="4" borderId="1" pivotButton="0" quotePrefix="0" xfId="0"/>
    <xf numFmtId="0" fontId="6" fillId="0" borderId="1" applyAlignment="1" pivotButton="0" quotePrefix="0" xfId="0">
      <alignment horizontal="left" vertical="center" wrapText="1"/>
    </xf>
    <xf numFmtId="10" fontId="5" fillId="0" borderId="1" applyAlignment="1" pivotButton="0" quotePrefix="0" xfId="0">
      <alignment horizontal="center" vertical="center" wrapText="1"/>
    </xf>
    <xf numFmtId="0" fontId="0" fillId="0" borderId="4" pivotButton="0" quotePrefix="0" xfId="0"/>
    <xf numFmtId="0" fontId="0" fillId="0" borderId="5" pivotButton="0" quotePrefix="0" xfId="0"/>
    <xf numFmtId="167" fontId="5" fillId="0" borderId="1" applyAlignment="1" pivotButton="0" quotePrefix="0" xfId="0">
      <alignment horizontal="right" vertical="center"/>
    </xf>
    <xf numFmtId="167" fontId="7" fillId="5" borderId="1" applyAlignment="1" pivotButton="0" quotePrefix="0" xfId="0">
      <alignment horizontal="right" vertical="center"/>
    </xf>
    <xf numFmtId="0" fontId="7"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7" fillId="7" borderId="1" applyAlignment="1" pivotButton="0" quotePrefix="0" xfId="0">
      <alignment horizontal="center" vertical="center" wrapText="1"/>
    </xf>
    <xf numFmtId="3" fontId="5" fillId="0" borderId="1" applyAlignment="1" pivotButton="0" quotePrefix="0" xfId="0">
      <alignment horizontal="right" vertical="center"/>
    </xf>
    <xf numFmtId="3" fontId="7" fillId="5" borderId="1" applyAlignment="1" pivotButton="0" quotePrefix="0" xfId="0">
      <alignment horizontal="right" vertical="center"/>
    </xf>
    <xf numFmtId="166" fontId="7" fillId="5" borderId="1" applyAlignment="1" pivotButton="0" quotePrefix="0" xfId="0">
      <alignment horizontal="right" vertical="center"/>
    </xf>
    <xf numFmtId="0" fontId="5" fillId="0" borderId="0" applyAlignment="1" pivotButton="0" quotePrefix="0" xfId="0">
      <alignment vertical="top"/>
    </xf>
    <xf numFmtId="0" fontId="8" fillId="0" borderId="0" applyAlignment="1" pivotButton="0" quotePrefix="0" xfId="0">
      <alignment vertical="top"/>
    </xf>
    <xf numFmtId="3" fontId="5" fillId="0" borderId="0" applyAlignment="1" pivotButton="0" quotePrefix="0" xfId="0">
      <alignment vertical="top"/>
    </xf>
    <xf numFmtId="168" fontId="5" fillId="0" borderId="0" applyAlignment="1" pivotButton="0" quotePrefix="0" xfId="0">
      <alignment vertical="top"/>
    </xf>
    <xf numFmtId="0" fontId="7" fillId="4" borderId="0" applyAlignment="1" pivotButton="0" quotePrefix="0" xfId="0">
      <alignment vertical="top"/>
    </xf>
    <xf numFmtId="0" fontId="7" fillId="0" borderId="0" applyAlignment="1" pivotButton="0" quotePrefix="0" xfId="0">
      <alignment vertical="top"/>
    </xf>
    <xf numFmtId="0" fontId="7" fillId="5" borderId="0" applyAlignment="1" pivotButton="0" quotePrefix="0" xfId="0">
      <alignment vertical="top"/>
    </xf>
    <xf numFmtId="166" fontId="7" fillId="5" borderId="0" applyAlignment="1" pivotButton="0" quotePrefix="0" xfId="0">
      <alignment vertical="top"/>
    </xf>
    <xf numFmtId="168" fontId="7" fillId="5" borderId="0" applyAlignment="1" pivotButton="0" quotePrefix="0" xfId="0">
      <alignment vertical="top"/>
    </xf>
    <xf numFmtId="166" fontId="5" fillId="0" borderId="0" applyAlignment="1" pivotButton="0" quotePrefix="0" xfId="0">
      <alignment vertical="top"/>
    </xf>
    <xf numFmtId="0" fontId="7" fillId="0" borderId="0" pivotButton="0" quotePrefix="0" xfId="0"/>
    <xf numFmtId="168" fontId="5" fillId="0" borderId="0" pivotButton="0" quotePrefix="0" xfId="0"/>
    <xf numFmtId="0" fontId="5" fillId="0" borderId="0" pivotButton="0" quotePrefix="0" xfId="0"/>
    <xf numFmtId="1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pane ySplit="5" topLeftCell="A6" activePane="bottomLeft" state="frozen"/>
      <selection pane="bottomLeft" activeCell="A1" sqref="A1"/>
    </sheetView>
  </sheetViews>
  <sheetFormatPr baseColWidth="8" defaultRowHeight="15"/>
  <cols>
    <col width="4" customWidth="1" min="1" max="1"/>
    <col width="40" customWidth="1" min="2" max="2"/>
    <col width="42" customWidth="1" min="3" max="3"/>
    <col width="34" customWidth="1" min="4" max="4"/>
    <col width="20" customWidth="1" min="5" max="5"/>
    <col width="34" customWidth="1" min="6" max="6"/>
  </cols>
  <sheetData>
    <row r="1" ht="26" customHeight="1">
      <c r="A1" s="1" t="inlineStr">
        <is>
          <t>MASTER PROPERTY DATABASE  —  Lease &amp; Income/Expense Extract</t>
        </is>
      </c>
    </row>
    <row r="2" ht="14" customHeight="1">
      <c r="A2" s="2" t="inlineStr">
        <is>
          <t>Prepared for Carter Equities  |  Updated 2026-07-30  |  8 subject properties, all Adams County, Colorado</t>
        </is>
      </c>
    </row>
    <row r="4">
      <c r="A4" s="3" t="inlineStr">
        <is>
          <t>Source Documents Index</t>
        </is>
      </c>
    </row>
    <row r="5" ht="30" customHeight="1">
      <c r="A5" s="4" t="inlineStr">
        <is>
          <t>#</t>
        </is>
      </c>
      <c r="B5" s="4" t="inlineStr">
        <is>
          <t>Source File</t>
        </is>
      </c>
      <c r="C5" s="4" t="inlineStr">
        <is>
          <t>Document Type</t>
        </is>
      </c>
      <c r="D5" s="4" t="inlineStr">
        <is>
          <t>Subject / Property</t>
        </is>
      </c>
      <c r="E5" s="4" t="inlineStr">
        <is>
          <t>Period / Year</t>
        </is>
      </c>
      <c r="F5" s="4" t="inlineStr">
        <is>
          <t>Preparer / Source</t>
        </is>
      </c>
    </row>
    <row r="6">
      <c r="A6" s="5" t="n">
        <v>1</v>
      </c>
      <c r="B6" s="6" t="inlineStr">
        <is>
          <t>R0169133.pdf</t>
        </is>
      </c>
      <c r="C6" s="6" t="inlineStr">
        <is>
          <t>Tax appeal — income approach</t>
        </is>
      </c>
      <c r="D6" s="6" t="inlineStr">
        <is>
          <t>17608 E. 24th Drive, Aurora</t>
        </is>
      </c>
      <c r="E6" s="5" t="inlineStr">
        <is>
          <t>Assess. Yr 2025</t>
        </is>
      </c>
      <c r="F6" s="6" t="inlineStr">
        <is>
          <t>Ryan LLC (J. Hoffman) / CoStar</t>
        </is>
      </c>
    </row>
    <row r="7">
      <c r="A7" s="5" t="n">
        <v>2</v>
      </c>
      <c r="B7" s="6" t="inlineStr">
        <is>
          <t>R0178308.pdf</t>
        </is>
      </c>
      <c r="C7" s="6" t="inlineStr">
        <is>
          <t>Tax appeal — income approach + auth letter</t>
        </is>
      </c>
      <c r="D7" s="6" t="inlineStr">
        <is>
          <t>7205 Gilpin Way, Denver</t>
        </is>
      </c>
      <c r="E7" s="5" t="inlineStr">
        <is>
          <t>Assess. Yr 2025</t>
        </is>
      </c>
      <c r="F7" s="6" t="inlineStr">
        <is>
          <t>Ryan LLC (B. Mecom)</t>
        </is>
      </c>
    </row>
    <row r="8">
      <c r="A8" s="5" t="n">
        <v>3</v>
      </c>
      <c r="B8" s="6" t="inlineStr">
        <is>
          <t>R0103792.pdf</t>
        </is>
      </c>
      <c r="C8" s="6" t="inlineStr">
        <is>
          <t>County Commercial-Industrial Income &amp; Expense Survey</t>
        </is>
      </c>
      <c r="D8" s="6" t="inlineStr">
        <is>
          <t>2011 E 58th Ave (TempTee), Denver</t>
        </is>
      </c>
      <c r="E8" s="5" t="inlineStr">
        <is>
          <t>2023-2024</t>
        </is>
      </c>
      <c r="F8" s="6" t="inlineStr">
        <is>
          <t>Adams County Assessor / Owner</t>
        </is>
      </c>
    </row>
    <row r="9">
      <c r="A9" s="5" t="n">
        <v>4</v>
      </c>
      <c r="B9" s="6" t="inlineStr">
        <is>
          <t>5970_Marion_Drive_2024_PL_Detail.pdf / .xlsx</t>
        </is>
      </c>
      <c r="C9" s="6" t="inlineStr">
        <is>
          <t>Income statement detail (+ income-approach block in xlsx)</t>
        </is>
      </c>
      <c r="D9" s="6" t="inlineStr">
        <is>
          <t>5970 Marion Drive, Denver</t>
        </is>
      </c>
      <c r="E9" s="5" t="inlineStr">
        <is>
          <t>FY2024</t>
        </is>
      </c>
      <c r="F9" s="6" t="inlineStr">
        <is>
          <t>Deerwoods Management LLC</t>
        </is>
      </c>
    </row>
    <row r="10">
      <c r="A10" s="5" t="n">
        <v>5</v>
      </c>
      <c r="B10" s="6" t="inlineStr">
        <is>
          <t>5970_Marion_Drive_2023_Cash_Flow_Statement.pdf</t>
        </is>
      </c>
      <c r="C10" s="6" t="inlineStr">
        <is>
          <t>Cash flow statement (cash basis)</t>
        </is>
      </c>
      <c r="D10" s="6" t="inlineStr">
        <is>
          <t>5970 Marion Drive, Denver</t>
        </is>
      </c>
      <c r="E10" s="5" t="inlineStr">
        <is>
          <t>FY2023</t>
        </is>
      </c>
      <c r="F10" s="6" t="inlineStr">
        <is>
          <t>Deerwoods Management LLC</t>
        </is>
      </c>
    </row>
    <row r="11">
      <c r="A11" s="5" t="n">
        <v>6</v>
      </c>
      <c r="B11" s="6" t="inlineStr">
        <is>
          <t>5650_Washington_St.docx</t>
        </is>
      </c>
      <c r="C11" s="6" t="inlineStr">
        <is>
          <t>Restricted Appraisal Report (Industrial/Flex)</t>
        </is>
      </c>
      <c r="D11" s="6" t="inlineStr">
        <is>
          <t>5650 Washington St, Denver</t>
        </is>
      </c>
      <c r="E11" s="5" t="inlineStr">
        <is>
          <t>Tax Yr 2025 (val 6/30/2024)</t>
        </is>
      </c>
      <c r="F11" s="6" t="inlineStr">
        <is>
          <t>Jason Bennett, MAI (Adams County)</t>
        </is>
      </c>
    </row>
    <row r="12">
      <c r="A12" s="5" t="n">
        <v>7</v>
      </c>
      <c r="B12" s="6" t="inlineStr">
        <is>
          <t>R0024442.pdf</t>
        </is>
      </c>
      <c r="C12" s="6" t="inlineStr">
        <is>
          <t>Tax appeal — income approach (Valuation Protest)</t>
        </is>
      </c>
      <c r="D12" s="6" t="inlineStr">
        <is>
          <t>12260 Pennsylvania St, Thornton</t>
        </is>
      </c>
      <c r="E12" s="5" t="inlineStr">
        <is>
          <t>Assess. Yr 2025</t>
        </is>
      </c>
      <c r="F12" s="6" t="inlineStr">
        <is>
          <t>Ryan LLC (B. Mecom)</t>
        </is>
      </c>
    </row>
    <row r="13">
      <c r="A13" s="5" t="n">
        <v>8</v>
      </c>
      <c r="B13" s="6" t="inlineStr">
        <is>
          <t>R0002819.pdf</t>
        </is>
      </c>
      <c r="C13" s="6" t="inlineStr">
        <is>
          <t>Cover letter + IRS Form 8825 + Rent Roll</t>
        </is>
      </c>
      <c r="D13" s="6" t="inlineStr">
        <is>
          <t>125 Bridge St, Brighton</t>
        </is>
      </c>
      <c r="E13" s="5" t="inlineStr">
        <is>
          <t>2024 (rent roll current)</t>
        </is>
      </c>
      <c r="F13" s="6" t="inlineStr">
        <is>
          <t>Stevens &amp; Associates / Broadview LLC</t>
        </is>
      </c>
    </row>
    <row r="14">
      <c r="A14" s="5" t="n">
        <v>9</v>
      </c>
      <c r="B14" s="6" t="inlineStr">
        <is>
          <t>R0092302.pdf</t>
        </is>
      </c>
      <c r="C14" s="6" t="inlineStr">
        <is>
          <t>Appeal of Real Property Valuation — income approach</t>
        </is>
      </c>
      <c r="D14" s="6" t="inlineStr">
        <is>
          <t>6770 E. 56th Ave, Aurora</t>
        </is>
      </c>
      <c r="E14" s="5" t="inlineStr">
        <is>
          <t>Tax Yr 2026</t>
        </is>
      </c>
      <c r="F14" s="6" t="inlineStr">
        <is>
          <t>Property Tax Advisors, Inc.</t>
        </is>
      </c>
    </row>
    <row r="15">
      <c r="A15" s="32" t="n">
        <v>10</v>
      </c>
      <c r="B15" s="32" t="inlineStr">
        <is>
          <t>R0180834_584_Mega_or_447_Cold_Storage_rent_roll_and_income_statement.pdf</t>
        </is>
      </c>
      <c r="C15" s="32" t="inlineStr">
        <is>
          <t>Rent roll + income statement (accrual)</t>
        </is>
      </c>
      <c r="D15" s="32" t="inlineStr">
        <is>
          <t>Denver Distribution Center (ct912501) — 553,757 SF</t>
        </is>
      </c>
      <c r="E15" s="32" t="inlineStr">
        <is>
          <t>RR as of 01/01/2025; IS Dec-2024 YTD</t>
        </is>
      </c>
      <c r="F15" s="32" t="inlineStr">
        <is>
          <t>Owner/manager report (Yardi "ysi_is" tree); printed 06/05/2025</t>
        </is>
      </c>
    </row>
    <row r="16" ht="26" customHeight="1">
      <c r="A16" s="32" t="n">
        <v>11</v>
      </c>
      <c r="B16" s="32" t="inlineStr">
        <is>
          <t>R0212546_PL_Showing_8.07PSF_Mega_on_absolute_net_lease_1983_YOC.pdf</t>
        </is>
      </c>
      <c r="C16" s="32" t="inlineStr">
        <is>
          <t>Profit &amp; Loss, 2 years (accrual)</t>
        </is>
      </c>
      <c r="D16" s="32" t="inlineStr">
        <is>
          <t>2780 North Tower Road, LLC — 377,729 SF</t>
        </is>
      </c>
      <c r="E16" s="32" t="inlineStr">
        <is>
          <t>FY2024 &amp; FY2023</t>
        </is>
      </c>
      <c r="F16" s="32" t="inlineStr">
        <is>
          <t>Owner (QuickBooks); printed 03/17/2025 — Petitioner's Exhibit G</t>
        </is>
      </c>
    </row>
    <row r="17" ht="26" customHeight="1">
      <c r="A17" s="32" t="n">
        <v>12</v>
      </c>
      <c r="B17" s="32" t="inlineStr">
        <is>
          <t>R0212546_2023_and_2024_Operating_Income_statement_showing_8PSF_for_377729_single_tenant_mega_built_1983_on_larger_lot.pdf</t>
        </is>
      </c>
      <c r="C17" s="32" t="inlineStr">
        <is>
          <t>Profit &amp; Loss, 2 years (accrual)</t>
        </is>
      </c>
      <c r="D17" s="32" t="inlineStr">
        <is>
          <t>2780 North Tower Road, LLC — 377,729 SF</t>
        </is>
      </c>
      <c r="E17" s="32" t="inlineStr">
        <is>
          <t>FY2024 &amp; FY2023</t>
        </is>
      </c>
      <c r="F17" s="32" t="inlineStr">
        <is>
          <t>Same P&amp;L as doc #11 — duplicate content, different file</t>
        </is>
      </c>
    </row>
    <row r="18" ht="26" customHeight="1">
      <c r="A18" s="32" t="n">
        <v>13</v>
      </c>
      <c r="B18" s="32" t="inlineStr">
        <is>
          <t>R0083953_200000_SF_1985_YOC_Mega_Rent_Roll_20212024.pdf</t>
        </is>
      </c>
      <c r="C18" s="32" t="inlineStr">
        <is>
          <t>Commercial rent rolls, 4 dates</t>
        </is>
      </c>
      <c r="D18" s="32" t="inlineStr">
        <is>
          <t>Majestic Commercenter / WPC ABC LLC — 20901 E. 32nd Pkwy</t>
        </is>
      </c>
      <c r="E18" s="32" t="inlineStr">
        <is>
          <t>06/2021, 06/2022, 01/2023, 06/2024</t>
        </is>
      </c>
      <c r="F18" s="32" t="inlineStr">
        <is>
          <t>Colliers International (users David, Andy, Jean)</t>
        </is>
      </c>
    </row>
    <row r="19">
      <c r="A19" s="32" t="n">
        <v>14</v>
      </c>
      <c r="B19" s="32" t="inlineStr">
        <is>
          <t>R0083953_200000_SF_1985_YOC_Mega_Operating_Income_Statement.pdf</t>
        </is>
      </c>
      <c r="C19" s="32" t="inlineStr">
        <is>
          <t>Income statements + budget/variance</t>
        </is>
      </c>
      <c r="D19" s="32" t="inlineStr">
        <is>
          <t>Majestic Commercenter / WPC ABC LLC — 20901 E. 32nd Pkwy</t>
        </is>
      </c>
      <c r="E19" s="32" t="inlineStr">
        <is>
          <t>FY2024, FY2023, FY2022</t>
        </is>
      </c>
      <c r="F19" s="32" t="inlineStr">
        <is>
          <t>Property manager (Colliers) operating statements</t>
        </is>
      </c>
    </row>
    <row r="20">
      <c r="A20" s="32" t="n">
        <v>15</v>
      </c>
      <c r="B20" s="32" t="inlineStr">
        <is>
          <t>R0132030_Mega_Rent_roll_and_Operating_income.pdf</t>
        </is>
      </c>
      <c r="C20" s="32" t="inlineStr">
        <is>
          <t>Rent rolls (3 dates) + 12-month detail income statement + income proforma</t>
        </is>
      </c>
      <c r="D20" s="32" t="inlineStr">
        <is>
          <t>Commercenter #22 LLC — 200,090 SF, Aurora</t>
        </is>
      </c>
      <c r="E20" s="32" t="inlineStr">
        <is>
          <t>RR 06/30/23, 12/31/23, 06/01/24; IS FY2024</t>
        </is>
      </c>
      <c r="F20" s="32" t="inlineStr">
        <is>
          <t>Major Properties (R5510DISM1/R5515RRMSI); printed 04/25/2025 — Petitioner's Exhibits G &amp; H</t>
        </is>
      </c>
    </row>
    <row r="21">
      <c r="A21" s="32" t="n">
        <v>16</v>
      </c>
      <c r="B21" s="32" t="inlineStr">
        <is>
          <t>Dollar_General_to_Build_Mega_Warehouse_at_HighPoint_Elevated_Industrial__Logistics_Park__Mile_High_CRE.pdf</t>
        </is>
      </c>
      <c r="C21" s="32" t="inlineStr">
        <is>
          <t>Trade-press news article (market context only)</t>
        </is>
      </c>
      <c r="D21" s="32" t="inlineStr">
        <is>
          <t>HighPoint Elevated I&amp;L Park, Aurora — not a subject property</t>
        </is>
      </c>
      <c r="E21" s="32" t="inlineStr">
        <is>
          <t>Published 08/09/2022 (saved 10/26/2022)</t>
        </is>
      </c>
      <c r="F21" s="32" t="inlineStr">
        <is>
          <t>Mile High CRE (milehighcre.com)</t>
        </is>
      </c>
    </row>
    <row r="22">
      <c r="A22" s="32" t="n">
        <v>17</v>
      </c>
      <c r="B22" s="32" t="inlineStr">
        <is>
          <t>R0180834_584_Mega_or_447_Cold_Storage_rent_roll_and_income_statement_1.pdf</t>
        </is>
      </c>
      <c r="C22" s="32" t="inlineStr">
        <is>
          <t>Rent roll + income statement (accrual)</t>
        </is>
      </c>
      <c r="D22" s="32" t="inlineStr">
        <is>
          <t>Denver Distribution Center (ct912501) — 553,757 SF</t>
        </is>
      </c>
      <c r="E22" s="32" t="inlineStr">
        <is>
          <t>RR as of 01/01/2025; IS Dec-2024 YTD</t>
        </is>
      </c>
      <c r="F22" s="32" t="inlineStr">
        <is>
          <t>Duplicate of doc #10 — identical content, not re-entered</t>
        </is>
      </c>
    </row>
    <row r="23"/>
    <row r="24">
      <c r="A24" s="7" t="inlineStr">
        <is>
          <t>Notes: Figures transcribed from the source documents. Total / net / average cells are live formulas (SUM/AVERAGE) verified against the printed totals; they populate on open in Excel/Sheets.</t>
        </is>
      </c>
    </row>
    <row r="25">
      <c r="A25" s="7" t="inlineStr">
        <is>
          <t>'in house' on the TempTee survey = owner self-performs the service (no $ reported), entered as $0. 5650 Washington St concluded value, rent-roll grid, and income proforma are embedded as EMF vector images in the DOCX and were not text-extractable; narrative figures are captured where stated.</t>
        </is>
      </c>
    </row>
    <row r="26">
      <c r="A26" s="7" t="inlineStr">
        <is>
          <t>5970 Marion cash-basis 'expense' includes mortgage P&amp;I and property taxes (cash flow, not NOI). R0169133 cover value ($3,408,546) differs from its schedule total ($3,114,815); both reproduced as printed.</t>
        </is>
      </c>
    </row>
    <row r="27">
      <c r="A27" s="33" t="inlineStr">
        <is>
          <t>R0083953 rent roll: the 6/30/2024 recap page shows Peco Pallet (455-C-CU) expiring 3/31/2030 while the Colliers rent roll for the same date shows 3/31/2025; both dates are reproduced as printed. Docs #11 and #12 are byte-different files with identical content (same P&amp;L), so FY2024/FY2023 for 2780 N. Tower Rd is entered once. No assessor or petitioner opinion of value appears in any of these five documents, so no rows were added to 'Assessments &amp; Valuation'.</t>
        </is>
      </c>
    </row>
    <row r="28">
      <c r="A28" s="33" t="inlineStr">
        <is>
          <t>Doc #16 (Dollar General / HighPoint Elevated) is a news article about a 919,000 SF build-to-suit at a third-party development in Aurora. It contains no rent roll, lease or income/expense data for any subject property, so it is indexed here for context only and given no Property Master row — consistent with the database scope, which excludes market/comparable support material. Doc #17 is byte-different from doc #10 but its extracted text is identical page-for-page, so R0180834 was not entered twice.</t>
        </is>
      </c>
    </row>
  </sheetData>
  <mergeCells count="7">
    <mergeCell ref="A24:F24"/>
    <mergeCell ref="A2:F2"/>
    <mergeCell ref="A28:F28"/>
    <mergeCell ref="A1:F1"/>
    <mergeCell ref="A27:F27"/>
    <mergeCell ref="A26:F26"/>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18" customWidth="1" min="3" max="3"/>
    <col width="26" customWidth="1" min="4" max="4"/>
    <col width="22" customWidth="1" min="5" max="5"/>
    <col width="10" customWidth="1" min="6" max="6"/>
    <col width="5" customWidth="1" min="7" max="7"/>
    <col width="13" customWidth="1" min="8" max="8"/>
    <col width="9" customWidth="1" min="9" max="9"/>
    <col width="26" customWidth="1" min="10" max="10"/>
    <col width="26" customWidth="1" min="11" max="11"/>
    <col width="26" customWidth="1" min="12" max="12"/>
    <col width="16" customWidth="1" min="13" max="13"/>
    <col width="11" customWidth="1" min="14" max="14"/>
    <col width="11" customWidth="1" min="15" max="15"/>
    <col width="11" customWidth="1" min="16" max="16"/>
    <col width="12" customWidth="1" min="17" max="17"/>
    <col width="10" customWidth="1" min="18" max="18"/>
    <col width="10" customWidth="1" min="19" max="19"/>
    <col width="18" customWidth="1" min="20" max="20"/>
    <col width="18" customWidth="1" min="21" max="21"/>
    <col width="14" customWidth="1" min="22" max="22"/>
    <col width="18" customWidth="1" min="23" max="23"/>
    <col width="22" customWidth="1" min="24" max="24"/>
    <col width="26" customWidth="1" min="25" max="25"/>
  </cols>
  <sheetData>
    <row r="1" ht="26" customHeight="1">
      <c r="A1" s="1" t="inlineStr">
        <is>
          <t>PROPERTY MASTER</t>
        </is>
      </c>
    </row>
    <row r="2" ht="14" customHeight="1">
      <c r="A2" s="2" t="inlineStr">
        <is>
          <t>One row per subject property — identity, physical characteristics &amp; valuation summary</t>
        </is>
      </c>
    </row>
    <row r="4" ht="42" customHeight="1">
      <c r="A4" s="4" t="inlineStr">
        <is>
          <t>Property ID</t>
        </is>
      </c>
      <c r="B4" s="4" t="inlineStr">
        <is>
          <t>Account / Schedule #</t>
        </is>
      </c>
      <c r="C4" s="4" t="inlineStr">
        <is>
          <t>Parcel / Alt #</t>
        </is>
      </c>
      <c r="D4" s="4" t="inlineStr">
        <is>
          <t>Property Name</t>
        </is>
      </c>
      <c r="E4" s="4" t="inlineStr">
        <is>
          <t>Address</t>
        </is>
      </c>
      <c r="F4" s="4" t="inlineStr">
        <is>
          <t>City</t>
        </is>
      </c>
      <c r="G4" s="4" t="inlineStr">
        <is>
          <t>ST</t>
        </is>
      </c>
      <c r="H4" s="4" t="inlineStr">
        <is>
          <t>ZIP</t>
        </is>
      </c>
      <c r="I4" s="4" t="inlineStr">
        <is>
          <t>County</t>
        </is>
      </c>
      <c r="J4" s="4" t="inlineStr">
        <is>
          <t>Owner / Client</t>
        </is>
      </c>
      <c r="K4" s="4" t="inlineStr">
        <is>
          <t>Assessee (Tax Roll)</t>
        </is>
      </c>
      <c r="L4" s="4" t="inlineStr">
        <is>
          <t>Property Type / Use</t>
        </is>
      </c>
      <c r="M4" s="4" t="inlineStr">
        <is>
          <t>Tenancy</t>
        </is>
      </c>
      <c r="N4" s="4" t="inlineStr">
        <is>
          <t>Site (Acres)</t>
        </is>
      </c>
      <c r="O4" s="4" t="inlineStr">
        <is>
          <t>Site (SF)</t>
        </is>
      </c>
      <c r="P4" s="4" t="inlineStr">
        <is>
          <t>GBA (SF)</t>
        </is>
      </c>
      <c r="Q4" s="4" t="inlineStr">
        <is>
          <t>NRA / NLA (SF)</t>
        </is>
      </c>
      <c r="R4" s="4" t="inlineStr">
        <is>
          <t>Year Built</t>
        </is>
      </c>
      <c r="S4" s="4" t="inlineStr">
        <is>
          <t>Land:Bldg</t>
        </is>
      </c>
      <c r="T4" s="4" t="inlineStr">
        <is>
          <t>Occupancy</t>
        </is>
      </c>
      <c r="U4" s="4" t="inlineStr">
        <is>
          <t>Latest Assessor / County Value</t>
        </is>
      </c>
      <c r="V4" s="4" t="inlineStr">
        <is>
          <t>Assessment/Tax Yr</t>
        </is>
      </c>
      <c r="W4" s="4" t="inlineStr">
        <is>
          <t>Taxpayer / Petitioner Opinion</t>
        </is>
      </c>
      <c r="X4" s="4" t="inlineStr">
        <is>
          <t>Managed By</t>
        </is>
      </c>
      <c r="Y4" s="4" t="inlineStr">
        <is>
          <t>Source File</t>
        </is>
      </c>
    </row>
    <row r="5">
      <c r="A5" s="6" t="inlineStr">
        <is>
          <t>R0178308</t>
        </is>
      </c>
      <c r="B5" s="6" t="inlineStr">
        <is>
          <t>R0178308</t>
        </is>
      </c>
      <c r="C5" s="6" t="inlineStr">
        <is>
          <t>R0178308</t>
        </is>
      </c>
      <c r="D5" s="6" t="inlineStr">
        <is>
          <t>7205 Gilpin Way</t>
        </is>
      </c>
      <c r="E5" s="6" t="inlineStr">
        <is>
          <t>7205 Gilpin Way</t>
        </is>
      </c>
      <c r="F5" s="6" t="inlineStr">
        <is>
          <t>Denver</t>
        </is>
      </c>
      <c r="G5" s="5" t="inlineStr">
        <is>
          <t>CO</t>
        </is>
      </c>
      <c r="H5" s="6" t="inlineStr">
        <is>
          <t>80229</t>
        </is>
      </c>
      <c r="I5" s="6" t="inlineStr">
        <is>
          <t>Adams</t>
        </is>
      </c>
      <c r="J5" s="6" t="inlineStr">
        <is>
          <t>Center Land Properties</t>
        </is>
      </c>
      <c r="K5" s="6" t="inlineStr">
        <is>
          <t>North Side Gardens LLC</t>
        </is>
      </c>
      <c r="L5" s="6" t="inlineStr">
        <is>
          <t>Industrial - Warehouse</t>
        </is>
      </c>
      <c r="M5" s="6" t="inlineStr">
        <is>
          <t>Single (proforma)</t>
        </is>
      </c>
      <c r="N5" s="8" t="n">
        <v>3.33</v>
      </c>
      <c r="O5" s="8" t="n">
        <v>145055</v>
      </c>
      <c r="P5" s="6" t="n"/>
      <c r="Q5" s="8" t="n">
        <v>34228</v>
      </c>
      <c r="R5" s="6" t="n">
        <v>2013</v>
      </c>
      <c r="S5" s="6" t="inlineStr">
        <is>
          <t>4.24:1</t>
        </is>
      </c>
      <c r="T5" s="6" t="inlineStr">
        <is>
          <t>100% (proforma)</t>
        </is>
      </c>
      <c r="U5" s="9" t="n">
        <v>5150325</v>
      </c>
      <c r="V5" s="5" t="inlineStr">
        <is>
          <t>2025</t>
        </is>
      </c>
      <c r="W5" s="9" t="n">
        <v>4832500</v>
      </c>
      <c r="X5" s="6" t="inlineStr">
        <is>
          <t>—</t>
        </is>
      </c>
      <c r="Y5" s="6" t="inlineStr">
        <is>
          <t>R0178308.pdf</t>
        </is>
      </c>
    </row>
    <row r="6">
      <c r="A6" s="6" t="inlineStr">
        <is>
          <t>R0169133</t>
        </is>
      </c>
      <c r="B6" s="6" t="inlineStr">
        <is>
          <t>R0169133</t>
        </is>
      </c>
      <c r="C6" s="6" t="inlineStr">
        <is>
          <t>R0169133</t>
        </is>
      </c>
      <c r="D6" s="6" t="inlineStr">
        <is>
          <t>(7194) CO-Aurora</t>
        </is>
      </c>
      <c r="E6" s="6" t="inlineStr">
        <is>
          <t>17608 E. 24th Drive</t>
        </is>
      </c>
      <c r="F6" s="6" t="inlineStr">
        <is>
          <t>Aurora</t>
        </is>
      </c>
      <c r="G6" s="5" t="inlineStr">
        <is>
          <t>CO</t>
        </is>
      </c>
      <c r="H6" s="6" t="inlineStr">
        <is>
          <t>80011</t>
        </is>
      </c>
      <c r="I6" s="6" t="inlineStr">
        <is>
          <t>Adams</t>
        </is>
      </c>
      <c r="J6" s="6" t="inlineStr">
        <is>
          <t>ABC Supply Co., Inc.</t>
        </is>
      </c>
      <c r="K6" s="6" t="inlineStr">
        <is>
          <t>ABC Supply Co., Inc.</t>
        </is>
      </c>
      <c r="L6" s="6" t="inlineStr">
        <is>
          <t>Industrial - Distribution</t>
        </is>
      </c>
      <c r="M6" s="6" t="inlineStr">
        <is>
          <t>Single (proforma)</t>
        </is>
      </c>
      <c r="N6" s="8" t="n">
        <v>3.4</v>
      </c>
      <c r="O6" s="8" t="n">
        <v>148104</v>
      </c>
      <c r="P6" s="6" t="n"/>
      <c r="Q6" s="8" t="n">
        <v>20910</v>
      </c>
      <c r="R6" s="6" t="n">
        <v>2006</v>
      </c>
      <c r="S6" s="6" t="inlineStr">
        <is>
          <t>7.08:1</t>
        </is>
      </c>
      <c r="T6" s="6" t="inlineStr">
        <is>
          <t>(as of 06/30/2024)</t>
        </is>
      </c>
      <c r="U6" s="9" t="n">
        <v>3408546</v>
      </c>
      <c r="V6" s="5" t="inlineStr">
        <is>
          <t>2025</t>
        </is>
      </c>
      <c r="W6" s="9" t="n">
        <v>3050000</v>
      </c>
      <c r="X6" s="6" t="inlineStr">
        <is>
          <t>—</t>
        </is>
      </c>
      <c r="Y6" s="6" t="inlineStr">
        <is>
          <t>R0169133.pdf</t>
        </is>
      </c>
    </row>
    <row r="7">
      <c r="A7" s="6" t="inlineStr">
        <is>
          <t>R0103792</t>
        </is>
      </c>
      <c r="B7" s="6" t="inlineStr">
        <is>
          <t>R0103792</t>
        </is>
      </c>
      <c r="C7" s="6" t="inlineStr">
        <is>
          <t>0182511406001</t>
        </is>
      </c>
      <c r="D7" s="6" t="inlineStr">
        <is>
          <t>TempTee Brand Steaks</t>
        </is>
      </c>
      <c r="E7" s="6" t="inlineStr">
        <is>
          <t>2011 E 58th Ave</t>
        </is>
      </c>
      <c r="F7" s="6" t="inlineStr">
        <is>
          <t>Denver</t>
        </is>
      </c>
      <c r="G7" s="5" t="inlineStr">
        <is>
          <t>CO</t>
        </is>
      </c>
      <c r="H7" s="6" t="inlineStr">
        <is>
          <t>80216-1517</t>
        </is>
      </c>
      <c r="I7" s="6" t="inlineStr">
        <is>
          <t>Adams</t>
        </is>
      </c>
      <c r="J7" s="6" t="inlineStr">
        <is>
          <t>TempTee Brand Steaks Inc</t>
        </is>
      </c>
      <c r="K7" s="6" t="inlineStr">
        <is>
          <t>TempTee Brand Steaks Inc</t>
        </is>
      </c>
      <c r="L7" s="6" t="inlineStr">
        <is>
          <t>Industrial - Mfg / Food Processing</t>
        </is>
      </c>
      <c r="M7" s="6" t="inlineStr">
        <is>
          <t>Owner-occupied</t>
        </is>
      </c>
      <c r="N7" s="6" t="n"/>
      <c r="O7" s="6" t="n"/>
      <c r="P7" s="6" t="n"/>
      <c r="Q7" s="8" t="n">
        <v>17000</v>
      </c>
      <c r="R7" s="6" t="n"/>
      <c r="S7" s="6" t="inlineStr">
        <is>
          <t>—</t>
        </is>
      </c>
      <c r="T7" s="6" t="inlineStr">
        <is>
          <t>100% Owner-Occupied</t>
        </is>
      </c>
      <c r="U7" s="6" t="n"/>
      <c r="V7" s="5" t="inlineStr">
        <is>
          <t>2025</t>
        </is>
      </c>
      <c r="W7" s="6" t="inlineStr">
        <is>
          <t>—</t>
        </is>
      </c>
      <c r="X7" s="6" t="inlineStr">
        <is>
          <t>—</t>
        </is>
      </c>
      <c r="Y7" s="6" t="inlineStr">
        <is>
          <t>R0103792.pdf</t>
        </is>
      </c>
    </row>
    <row r="8">
      <c r="A8" s="6" t="inlineStr">
        <is>
          <t>5970 Marion</t>
        </is>
      </c>
      <c r="B8" s="6" t="inlineStr">
        <is>
          <t>(none)</t>
        </is>
      </c>
      <c r="C8" s="6" t="inlineStr">
        <is>
          <t>0182511303018</t>
        </is>
      </c>
      <c r="D8" s="6" t="inlineStr">
        <is>
          <t>5970 Marion Drive</t>
        </is>
      </c>
      <c r="E8" s="6" t="inlineStr">
        <is>
          <t>5970 Marion Drive</t>
        </is>
      </c>
      <c r="F8" s="6" t="inlineStr">
        <is>
          <t>Denver</t>
        </is>
      </c>
      <c r="G8" s="5" t="inlineStr">
        <is>
          <t>CO</t>
        </is>
      </c>
      <c r="H8" s="6" t="inlineStr">
        <is>
          <t>80216 (est.)</t>
        </is>
      </c>
      <c r="I8" s="6" t="inlineStr">
        <is>
          <t>Adams</t>
        </is>
      </c>
      <c r="J8" s="6" t="inlineStr">
        <is>
          <t>Ankur Kumar (owner)</t>
        </is>
      </c>
      <c r="K8" s="6" t="inlineStr">
        <is>
          <t>—</t>
        </is>
      </c>
      <c r="L8" s="6" t="inlineStr">
        <is>
          <t>Industrial - 2-unit</t>
        </is>
      </c>
      <c r="M8" s="6" t="inlineStr">
        <is>
          <t>Multi (2 units)</t>
        </is>
      </c>
      <c r="N8" s="6" t="n"/>
      <c r="O8" s="6" t="n"/>
      <c r="P8" s="6" t="n"/>
      <c r="Q8" s="8" t="n">
        <v>14400</v>
      </c>
      <c r="R8" s="6" t="n"/>
      <c r="S8" s="6" t="inlineStr">
        <is>
          <t>—</t>
        </is>
      </c>
      <c r="T8" s="6" t="inlineStr">
        <is>
          <t>100% (2 units leased)</t>
        </is>
      </c>
      <c r="U8" s="9" t="n">
        <v>2527915</v>
      </c>
      <c r="V8" s="5" t="inlineStr">
        <is>
          <t>2025 (assigned)</t>
        </is>
      </c>
      <c r="W8" s="6" t="inlineStr">
        <is>
          <t>—</t>
        </is>
      </c>
      <c r="X8" s="6" t="inlineStr">
        <is>
          <t>Deerwoods Management LLC</t>
        </is>
      </c>
      <c r="Y8" s="6" t="inlineStr">
        <is>
          <t>5970 Marion P&amp;L/CF/xlsx</t>
        </is>
      </c>
    </row>
    <row r="9">
      <c r="A9" s="6" t="inlineStr">
        <is>
          <t>R0103767</t>
        </is>
      </c>
      <c r="B9" s="6" t="inlineStr">
        <is>
          <t>R0103767</t>
        </is>
      </c>
      <c r="C9" s="6" t="inlineStr">
        <is>
          <t>R0103767</t>
        </is>
      </c>
      <c r="D9" s="6" t="inlineStr">
        <is>
          <t>Washington Business Park</t>
        </is>
      </c>
      <c r="E9" s="6" t="inlineStr">
        <is>
          <t>5650 Washington St</t>
        </is>
      </c>
      <c r="F9" s="6" t="inlineStr">
        <is>
          <t>Denver</t>
        </is>
      </c>
      <c r="G9" s="5" t="inlineStr">
        <is>
          <t>CO</t>
        </is>
      </c>
      <c r="H9" s="6" t="inlineStr">
        <is>
          <t>80216 (est.)</t>
        </is>
      </c>
      <c r="I9" s="6" t="inlineStr">
        <is>
          <t>Adams</t>
        </is>
      </c>
      <c r="J9" s="6" t="inlineStr">
        <is>
          <t>Washington Business Park Property LLC</t>
        </is>
      </c>
      <c r="K9" s="6" t="inlineStr">
        <is>
          <t>Washington Business Park Property LLC</t>
        </is>
      </c>
      <c r="L9" s="6" t="inlineStr">
        <is>
          <t>Industrial / Flex (multi-tenant)</t>
        </is>
      </c>
      <c r="M9" s="6" t="inlineStr">
        <is>
          <t>Multi-tenant</t>
        </is>
      </c>
      <c r="N9" s="8" t="n">
        <v>2.31</v>
      </c>
      <c r="O9" s="8" t="n">
        <v>100754</v>
      </c>
      <c r="P9" s="8" t="n">
        <v>35577</v>
      </c>
      <c r="Q9" s="8" t="n">
        <v>34442</v>
      </c>
      <c r="R9" s="6" t="n">
        <v>1988</v>
      </c>
      <c r="S9" s="6" t="inlineStr">
        <is>
          <t>2.83:1</t>
        </is>
      </c>
      <c r="T9" s="6" t="inlineStr">
        <is>
          <t>Multi-tenant (7% vac. assumed)</t>
        </is>
      </c>
      <c r="U9" s="6" t="n"/>
      <c r="V9" s="5" t="inlineStr">
        <is>
          <t>2025</t>
        </is>
      </c>
      <c r="W9" s="6" t="inlineStr">
        <is>
          <t>See appraisal (value in embedded image)</t>
        </is>
      </c>
      <c r="X9" s="6" t="inlineStr">
        <is>
          <t>Owner: Bryan Sperry</t>
        </is>
      </c>
      <c r="Y9" s="6" t="inlineStr">
        <is>
          <t>5650_Washington_St.docx</t>
        </is>
      </c>
    </row>
    <row r="10">
      <c r="A10" s="6" t="inlineStr">
        <is>
          <t>R0024442</t>
        </is>
      </c>
      <c r="B10" s="6" t="inlineStr">
        <is>
          <t>R0024442</t>
        </is>
      </c>
      <c r="C10" s="6" t="inlineStr">
        <is>
          <t>R0024442</t>
        </is>
      </c>
      <c r="D10" s="6" t="inlineStr">
        <is>
          <t>SGS - Pennsylvania Industrial</t>
        </is>
      </c>
      <c r="E10" s="6" t="inlineStr">
        <is>
          <t>12260 Pennsylvania St</t>
        </is>
      </c>
      <c r="F10" s="6" t="inlineStr">
        <is>
          <t>Thornton</t>
        </is>
      </c>
      <c r="G10" s="5" t="inlineStr">
        <is>
          <t>CO</t>
        </is>
      </c>
      <c r="H10" s="6" t="inlineStr">
        <is>
          <t>80241 (est.)</t>
        </is>
      </c>
      <c r="I10" s="6" t="inlineStr">
        <is>
          <t>Adams</t>
        </is>
      </c>
      <c r="J10" s="6" t="inlineStr">
        <is>
          <t>Trinity Real Estate</t>
        </is>
      </c>
      <c r="K10" s="6" t="inlineStr">
        <is>
          <t>Snyder Family Trust Et Al</t>
        </is>
      </c>
      <c r="L10" s="6" t="inlineStr">
        <is>
          <t>Industrial - Warehouse</t>
        </is>
      </c>
      <c r="M10" s="6" t="inlineStr">
        <is>
          <t>Single-tenant</t>
        </is>
      </c>
      <c r="N10" s="8" t="n">
        <v>1</v>
      </c>
      <c r="O10" s="6" t="n"/>
      <c r="P10" s="6" t="n"/>
      <c r="Q10" s="8" t="n">
        <v>23729</v>
      </c>
      <c r="R10" s="6" t="n">
        <v>1984</v>
      </c>
      <c r="S10" s="6" t="inlineStr">
        <is>
          <t>—</t>
        </is>
      </c>
      <c r="T10" s="6" t="inlineStr">
        <is>
          <t>(leased; rent $9.50/sf NNN 1/1/24)</t>
        </is>
      </c>
      <c r="U10" s="9" t="n">
        <v>3876387</v>
      </c>
      <c r="V10" s="5" t="inlineStr">
        <is>
          <t>2025</t>
        </is>
      </c>
      <c r="W10" s="9" t="n">
        <v>2837000</v>
      </c>
      <c r="X10" s="6" t="inlineStr">
        <is>
          <t>—</t>
        </is>
      </c>
      <c r="Y10" s="6" t="inlineStr">
        <is>
          <t>R0024442.pdf</t>
        </is>
      </c>
    </row>
    <row r="11">
      <c r="A11" s="6" t="inlineStr">
        <is>
          <t>R0002819</t>
        </is>
      </c>
      <c r="B11" s="6" t="inlineStr">
        <is>
          <t>R0002819</t>
        </is>
      </c>
      <c r="C11" s="6" t="inlineStr">
        <is>
          <t>01569-06-3-13-002</t>
        </is>
      </c>
      <c r="D11" s="6" t="inlineStr">
        <is>
          <t>Broadview</t>
        </is>
      </c>
      <c r="E11" s="6" t="inlineStr">
        <is>
          <t>125 Bridge St</t>
        </is>
      </c>
      <c r="F11" s="6" t="inlineStr">
        <is>
          <t>Brighton</t>
        </is>
      </c>
      <c r="G11" s="5" t="inlineStr">
        <is>
          <t>CO</t>
        </is>
      </c>
      <c r="H11" s="6" t="inlineStr">
        <is>
          <t>80602</t>
        </is>
      </c>
      <c r="I11" s="6" t="inlineStr">
        <is>
          <t>Adams</t>
        </is>
      </c>
      <c r="J11" s="6" t="inlineStr">
        <is>
          <t>Broadview LLC</t>
        </is>
      </c>
      <c r="K11" s="6" t="inlineStr">
        <is>
          <t>Broadview LLC</t>
        </is>
      </c>
      <c r="L11" s="6" t="inlineStr">
        <is>
          <t>Commercial (multi-tenant industrial)</t>
        </is>
      </c>
      <c r="M11" s="6" t="inlineStr">
        <is>
          <t>Multi-tenant</t>
        </is>
      </c>
      <c r="N11" s="6" t="n"/>
      <c r="O11" s="6" t="n"/>
      <c r="P11" s="6" t="n"/>
      <c r="Q11" s="6" t="n"/>
      <c r="R11" s="6" t="n"/>
      <c r="S11" s="6" t="inlineStr">
        <is>
          <t>—</t>
        </is>
      </c>
      <c r="T11" s="6" t="inlineStr">
        <is>
          <t>Mostly leased (1-2 units vacant)</t>
        </is>
      </c>
      <c r="U11" s="6" t="n"/>
      <c r="V11" s="5" t="inlineStr">
        <is>
          <t>—</t>
        </is>
      </c>
      <c r="W11" s="6" t="inlineStr">
        <is>
          <t>—</t>
        </is>
      </c>
      <c r="X11" s="6" t="inlineStr">
        <is>
          <t>—</t>
        </is>
      </c>
      <c r="Y11" s="6" t="inlineStr">
        <is>
          <t>R0002819.pdf</t>
        </is>
      </c>
    </row>
    <row r="12">
      <c r="A12" s="6" t="inlineStr">
        <is>
          <t>R0092302</t>
        </is>
      </c>
      <c r="B12" s="6" t="inlineStr">
        <is>
          <t>R0092302</t>
        </is>
      </c>
      <c r="C12" s="6" t="inlineStr">
        <is>
          <t>R0092302</t>
        </is>
      </c>
      <c r="D12" s="6" t="inlineStr">
        <is>
          <t>6770 E. 56th Ave</t>
        </is>
      </c>
      <c r="E12" s="6" t="inlineStr">
        <is>
          <t>6770 E. 56th Ave</t>
        </is>
      </c>
      <c r="F12" s="6" t="inlineStr">
        <is>
          <t>Aurora</t>
        </is>
      </c>
      <c r="G12" s="5" t="inlineStr">
        <is>
          <t>CO</t>
        </is>
      </c>
      <c r="H12" s="6" t="inlineStr">
        <is>
          <t>80022 (est.)</t>
        </is>
      </c>
      <c r="I12" s="6" t="inlineStr">
        <is>
          <t>Adams</t>
        </is>
      </c>
      <c r="J12" s="6" t="inlineStr">
        <is>
          <t>56th Ave. J Investments LLC et al</t>
        </is>
      </c>
      <c r="K12" s="6" t="inlineStr">
        <is>
          <t>56th Ave. J Investments LLC et al</t>
        </is>
      </c>
      <c r="L12" s="6" t="inlineStr">
        <is>
          <t>Industrial - Warehouse</t>
        </is>
      </c>
      <c r="M12" s="6" t="inlineStr">
        <is>
          <t>Single-tenant</t>
        </is>
      </c>
      <c r="N12" s="6" t="n"/>
      <c r="O12" s="8" t="n">
        <v>29620</v>
      </c>
      <c r="P12" s="8" t="n">
        <v>9652</v>
      </c>
      <c r="Q12" s="8" t="n">
        <v>9652</v>
      </c>
      <c r="R12" s="6" t="n">
        <v>1973</v>
      </c>
      <c r="S12" s="6" t="inlineStr">
        <is>
          <t>3.0:1</t>
        </is>
      </c>
      <c r="T12" s="6" t="inlineStr">
        <is>
          <t>95% (proforma)</t>
        </is>
      </c>
      <c r="U12" s="9" t="n">
        <v>1815434</v>
      </c>
      <c r="V12" s="5" t="inlineStr">
        <is>
          <t>2026</t>
        </is>
      </c>
      <c r="W12" s="9" t="n">
        <v>1493032</v>
      </c>
      <c r="X12" s="6" t="inlineStr">
        <is>
          <t>—</t>
        </is>
      </c>
      <c r="Y12" s="6" t="inlineStr">
        <is>
          <t>R0092302.pdf</t>
        </is>
      </c>
    </row>
    <row r="13">
      <c r="A13" s="32" t="inlineStr">
        <is>
          <t>R0180834</t>
        </is>
      </c>
      <c r="B13" s="32" t="inlineStr">
        <is>
          <t>R0180834</t>
        </is>
      </c>
      <c r="C13" s="32" t="inlineStr">
        <is>
          <t>—</t>
        </is>
      </c>
      <c r="D13" s="32" t="inlineStr">
        <is>
          <t>Denver Distribution Center (ct912501)</t>
        </is>
      </c>
      <c r="E13" s="32" t="inlineStr">
        <is>
          <t>—  (not stated in document)</t>
        </is>
      </c>
      <c r="F13" s="32" t="inlineStr">
        <is>
          <t>—</t>
        </is>
      </c>
      <c r="G13" s="32" t="inlineStr">
        <is>
          <t>CO</t>
        </is>
      </c>
      <c r="H13" s="32" t="inlineStr">
        <is>
          <t>—</t>
        </is>
      </c>
      <c r="I13" s="32" t="inlineStr">
        <is>
          <t>Adams (assumed)</t>
        </is>
      </c>
      <c r="J13" s="32" t="inlineStr">
        <is>
          <t>—  (not stated in document)</t>
        </is>
      </c>
      <c r="K13" s="32" t="inlineStr">
        <is>
          <t>—</t>
        </is>
      </c>
      <c r="L13" s="32" t="inlineStr">
        <is>
          <t>Industrial - Warehouse / Distribution</t>
        </is>
      </c>
      <c r="M13" s="32" t="inlineStr">
        <is>
          <t>Single-tenant</t>
        </is>
      </c>
      <c r="N13" s="32" t="n"/>
      <c r="O13" s="32" t="n"/>
      <c r="P13" s="34" t="n"/>
      <c r="Q13" s="34" t="n">
        <v>553757</v>
      </c>
      <c r="R13" s="32" t="n"/>
      <c r="S13" s="32" t="n"/>
      <c r="T13" s="32" t="inlineStr">
        <is>
          <t>100.0% occupied / 100.0% leased</t>
        </is>
      </c>
      <c r="U13" s="35" t="n"/>
      <c r="V13" s="32" t="n"/>
      <c r="W13" s="35" t="inlineStr">
        <is>
          <t>—  (Yardi-managed; preparer not named)</t>
        </is>
      </c>
      <c r="X13" s="32" t="inlineStr">
        <is>
          <t>R0180834 rent roll &amp; income statement.pdf</t>
        </is>
      </c>
    </row>
    <row r="14">
      <c r="A14" s="32" t="inlineStr">
        <is>
          <t>R0212546</t>
        </is>
      </c>
      <c r="B14" s="32" t="inlineStr">
        <is>
          <t>R0212546</t>
        </is>
      </c>
      <c r="C14" s="32" t="inlineStr">
        <is>
          <t>—</t>
        </is>
      </c>
      <c r="D14" s="32" t="inlineStr">
        <is>
          <t>2780 North Tower Road</t>
        </is>
      </c>
      <c r="E14" s="32" t="inlineStr">
        <is>
          <t>2780 N. Tower Road</t>
        </is>
      </c>
      <c r="F14" s="32" t="inlineStr">
        <is>
          <t>Aurora (est.)</t>
        </is>
      </c>
      <c r="G14" s="32" t="inlineStr">
        <is>
          <t>CO</t>
        </is>
      </c>
      <c r="H14" s="32" t="inlineStr">
        <is>
          <t>—</t>
        </is>
      </c>
      <c r="I14" s="32" t="inlineStr">
        <is>
          <t>Adams</t>
        </is>
      </c>
      <c r="J14" s="32" t="inlineStr">
        <is>
          <t>2780 North Tower Road, LLC</t>
        </is>
      </c>
      <c r="K14" s="32" t="inlineStr">
        <is>
          <t>—</t>
        </is>
      </c>
      <c r="L14" s="32" t="inlineStr">
        <is>
          <t>Industrial - Warehouse (mega)</t>
        </is>
      </c>
      <c r="M14" s="32" t="inlineStr">
        <is>
          <t>Single-tenant</t>
        </is>
      </c>
      <c r="N14" s="32" t="n"/>
      <c r="O14" s="32" t="n"/>
      <c r="P14" s="34" t="n"/>
      <c r="Q14" s="34" t="n">
        <v>377729</v>
      </c>
      <c r="R14" s="32" t="n">
        <v>1983</v>
      </c>
      <c r="S14" s="32" t="n"/>
      <c r="T14" s="32" t="inlineStr">
        <is>
          <t>100% (single tenant, absolute net)</t>
        </is>
      </c>
      <c r="U14" s="35" t="n"/>
      <c r="V14" s="32" t="n"/>
      <c r="W14" s="35" t="inlineStr">
        <is>
          <t>—  (owner-managed)</t>
        </is>
      </c>
      <c r="X14" s="32" t="inlineStr">
        <is>
          <t>R0212546 P&amp;L 2024 &amp; 2023.pdf</t>
        </is>
      </c>
    </row>
    <row r="15">
      <c r="A15" s="32" t="inlineStr">
        <is>
          <t>R0083953</t>
        </is>
      </c>
      <c r="B15" s="32" t="inlineStr">
        <is>
          <t>R0083953</t>
        </is>
      </c>
      <c r="C15" s="32" t="inlineStr">
        <is>
          <t>—</t>
        </is>
      </c>
      <c r="D15" s="32" t="inlineStr">
        <is>
          <t>Majestic Commercenter — WPC ABC LLC</t>
        </is>
      </c>
      <c r="E15" s="32" t="inlineStr">
        <is>
          <t>20901 E. 32nd Pkwy</t>
        </is>
      </c>
      <c r="F15" s="32" t="inlineStr">
        <is>
          <t>Aurora</t>
        </is>
      </c>
      <c r="G15" s="32" t="inlineStr">
        <is>
          <t>CO</t>
        </is>
      </c>
      <c r="H15" s="32" t="inlineStr">
        <is>
          <t>—</t>
        </is>
      </c>
      <c r="I15" s="32" t="inlineStr">
        <is>
          <t>Adams</t>
        </is>
      </c>
      <c r="J15" s="32" t="inlineStr">
        <is>
          <t>WPC ABC, LLC</t>
        </is>
      </c>
      <c r="K15" s="32" t="inlineStr">
        <is>
          <t>—</t>
        </is>
      </c>
      <c r="L15" s="32" t="inlineStr">
        <is>
          <t>Industrial - Warehouse (4 × 50,000 SF units)</t>
        </is>
      </c>
      <c r="M15" s="32" t="inlineStr">
        <is>
          <t>Multi-tenant (4 units)</t>
        </is>
      </c>
      <c r="N15" s="32" t="n"/>
      <c r="O15" s="32" t="n"/>
      <c r="P15" s="34" t="n"/>
      <c r="Q15" s="34" t="n">
        <v>200000</v>
      </c>
      <c r="R15" s="32" t="n">
        <v>1985</v>
      </c>
      <c r="S15" s="32" t="n"/>
      <c r="T15" s="32" t="inlineStr">
        <is>
          <t>100.0% (0 vacant SF at every rent-roll date 2021-2024)</t>
        </is>
      </c>
      <c r="U15" s="35" t="n"/>
      <c r="V15" s="32" t="n"/>
      <c r="W15" s="35" t="inlineStr">
        <is>
          <t>Colliers International</t>
        </is>
      </c>
      <c r="X15" s="32" t="inlineStr">
        <is>
          <t>R0083953 rent roll &amp; income statements.pdf</t>
        </is>
      </c>
    </row>
    <row r="16">
      <c r="A16" s="32" t="inlineStr">
        <is>
          <t>R0132030</t>
        </is>
      </c>
      <c r="B16" s="32" t="inlineStr">
        <is>
          <t>R0132030</t>
        </is>
      </c>
      <c r="C16" s="32" t="inlineStr">
        <is>
          <t>—</t>
        </is>
      </c>
      <c r="D16" s="32" t="inlineStr">
        <is>
          <t>Commercenter #22 LLC</t>
        </is>
      </c>
      <c r="E16" s="32" t="inlineStr">
        <is>
          <t>—  (not stated; Aurora, CO 80011)</t>
        </is>
      </c>
      <c r="F16" s="32" t="inlineStr">
        <is>
          <t>Aurora</t>
        </is>
      </c>
      <c r="G16" s="32" t="inlineStr">
        <is>
          <t>CO</t>
        </is>
      </c>
      <c r="H16" s="32" t="inlineStr">
        <is>
          <t>80011</t>
        </is>
      </c>
      <c r="I16" s="32" t="inlineStr">
        <is>
          <t>Adams</t>
        </is>
      </c>
      <c r="J16" s="32" t="inlineStr">
        <is>
          <t>Commercenter #22 LLC</t>
        </is>
      </c>
      <c r="K16" s="32" t="inlineStr">
        <is>
          <t>—</t>
        </is>
      </c>
      <c r="L16" s="32" t="inlineStr">
        <is>
          <t>Industrial - Warehouse (multi-tenant)</t>
        </is>
      </c>
      <c r="M16" s="32" t="inlineStr">
        <is>
          <t>Multi-tenant (2 leased + 1 vacant suite)</t>
        </is>
      </c>
      <c r="N16" s="32" t="n"/>
      <c r="O16" s="32" t="n"/>
      <c r="P16" s="34" t="n"/>
      <c r="Q16" s="34" t="n">
        <v>200090</v>
      </c>
      <c r="R16" s="32" t="n"/>
      <c r="S16" s="32" t="n"/>
      <c r="T16" s="32" t="inlineStr">
        <is>
          <t>75.01% occupied / 24.99% vacant (50,002 SF) at all 3 rent-roll dates</t>
        </is>
      </c>
      <c r="U16" s="35" t="n"/>
      <c r="V16" s="32" t="n">
        <v>2025</v>
      </c>
      <c r="W16" s="35" t="n">
        <v>13402900</v>
      </c>
      <c r="X16" s="32" t="inlineStr">
        <is>
          <t>Major Properties (mgr N. Creighton; broker R. Hertel)</t>
        </is>
      </c>
      <c r="Y16" s="32" t="inlineStr">
        <is>
          <t>R0132030 rent roll &amp; operating income.pdf</t>
        </is>
      </c>
    </row>
    <row r="17">
      <c r="A17" s="33" t="inlineStr">
        <is>
          <t>Year built for R0180834 is not stated in its rent roll or income statement. Addresses/ZIPs marked "—" do not appear in the source document; 2780 N. Tower Rd city is inferred from the street address. Building areas are the leasable areas printed on each rent roll (R0180834: 553,757 SF; R0212546: 377,729 SF per the document title, used for the $/SF checks below; R0083953: 200,000 SF).</t>
        </is>
      </c>
    </row>
  </sheetData>
  <mergeCells count="3">
    <mergeCell ref="A17:Y17"/>
    <mergeCell ref="A2:Y2"/>
    <mergeCell ref="A1:Y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5"/>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34" customWidth="1" min="3" max="3"/>
    <col width="22" customWidth="1" min="4" max="4"/>
    <col width="13" customWidth="1" min="5" max="5"/>
    <col width="13" customWidth="1" min="6" max="6"/>
    <col width="9" customWidth="1" min="7" max="7"/>
    <col width="11" customWidth="1" min="8" max="8"/>
    <col width="11" customWidth="1" min="9" max="9"/>
    <col width="14" customWidth="1" min="10" max="10"/>
    <col width="12" customWidth="1" min="11" max="11"/>
    <col width="10" customWidth="1" min="12" max="12"/>
    <col width="44" customWidth="1" min="13" max="13"/>
    <col width="40" customWidth="1" min="14" max="14"/>
  </cols>
  <sheetData>
    <row r="1" ht="26" customHeight="1">
      <c r="A1" s="1" t="inlineStr">
        <is>
          <t>TENANTS &amp; LEASES</t>
        </is>
      </c>
    </row>
    <row r="2" ht="14" customHeight="1">
      <c r="A2" s="2" t="inlineStr">
        <is>
          <t>Actual tenants &amp; rent rolls (125 Bridge St, 5970 Marion) and proforma lease assumptions (tax appeals)</t>
        </is>
      </c>
    </row>
    <row r="4" ht="30" customHeight="1">
      <c r="A4" s="4" t="inlineStr">
        <is>
          <t>Property</t>
        </is>
      </c>
      <c r="B4" s="4" t="inlineStr">
        <is>
          <t>Unit</t>
        </is>
      </c>
      <c r="C4" s="4" t="inlineStr">
        <is>
          <t>Tenant</t>
        </is>
      </c>
      <c r="D4" s="4" t="inlineStr">
        <is>
          <t>Basis / Lease Type</t>
        </is>
      </c>
      <c r="E4" s="4" t="inlineStr">
        <is>
          <t>Monthly Rent</t>
        </is>
      </c>
      <c r="F4" s="4" t="inlineStr">
        <is>
          <t>Annual Rent</t>
        </is>
      </c>
      <c r="G4" s="4" t="inlineStr">
        <is>
          <t>Rent PSF</t>
        </is>
      </c>
      <c r="H4" s="4" t="inlineStr">
        <is>
          <t>Lease Start</t>
        </is>
      </c>
      <c r="I4" s="4" t="inlineStr">
        <is>
          <t>Lease End</t>
        </is>
      </c>
      <c r="J4" s="4" t="inlineStr">
        <is>
          <t>Term / Option</t>
        </is>
      </c>
      <c r="K4" s="4" t="inlineStr">
        <is>
          <t>Monthly CAM</t>
        </is>
      </c>
      <c r="L4" s="4" t="inlineStr">
        <is>
          <t>Deposit</t>
        </is>
      </c>
      <c r="M4" s="4" t="inlineStr">
        <is>
          <t>Notes</t>
        </is>
      </c>
    </row>
    <row r="5">
      <c r="A5" s="10" t="inlineStr">
        <is>
          <t>125 Bridge St, Brighton (R0002819) — Broadview LLC  |  Rent Roll (monthly, current as of Jan-2024)</t>
        </is>
      </c>
      <c r="B5" s="20" t="n"/>
      <c r="C5" s="20" t="n"/>
      <c r="D5" s="20" t="n"/>
      <c r="E5" s="20" t="n"/>
      <c r="F5" s="20" t="n"/>
      <c r="G5" s="20" t="n"/>
      <c r="H5" s="20" t="n"/>
      <c r="I5" s="20" t="n"/>
      <c r="J5" s="20" t="n"/>
      <c r="K5" s="20" t="n"/>
      <c r="L5" s="20" t="n"/>
      <c r="M5" s="21" t="n"/>
    </row>
    <row r="6">
      <c r="A6" s="6" t="inlineStr">
        <is>
          <t>125 Bridge St</t>
        </is>
      </c>
      <c r="B6" s="6" t="inlineStr">
        <is>
          <t>A (Indoor)</t>
        </is>
      </c>
      <c r="C6" s="6" t="inlineStr">
        <is>
          <t>Bulldog Tires</t>
        </is>
      </c>
      <c r="D6" s="6" t="inlineStr">
        <is>
          <t>Lease</t>
        </is>
      </c>
      <c r="E6" s="9" t="n">
        <v>4414</v>
      </c>
      <c r="F6" s="6" t="n"/>
      <c r="G6" s="6" t="n"/>
      <c r="H6" s="5" t="inlineStr">
        <is>
          <t>2/15/2021</t>
        </is>
      </c>
      <c r="I6" s="5" t="inlineStr">
        <is>
          <t>9/30/2026</t>
        </is>
      </c>
      <c r="J6" s="5" t="inlineStr">
        <is>
          <t>3-yr option</t>
        </is>
      </c>
      <c r="K6" s="9" t="n">
        <v>2550</v>
      </c>
      <c r="L6" s="6" t="inlineStr">
        <is>
          <t>na</t>
        </is>
      </c>
      <c r="M6" s="6" t="inlineStr"/>
    </row>
    <row r="7">
      <c r="A7" s="6" t="inlineStr">
        <is>
          <t>125 Bridge St</t>
        </is>
      </c>
      <c r="B7" s="6" t="inlineStr">
        <is>
          <t>B (Indoor)</t>
        </is>
      </c>
      <c r="C7" s="6" t="inlineStr">
        <is>
          <t>Manny Mercado</t>
        </is>
      </c>
      <c r="D7" s="6" t="inlineStr">
        <is>
          <t>Lease</t>
        </is>
      </c>
      <c r="E7" s="9" t="n">
        <v>2425</v>
      </c>
      <c r="F7" s="6" t="n"/>
      <c r="G7" s="6" t="n"/>
      <c r="H7" s="5" t="inlineStr">
        <is>
          <t>4/1/2024</t>
        </is>
      </c>
      <c r="I7" s="5" t="inlineStr">
        <is>
          <t>3/31/2029</t>
        </is>
      </c>
      <c r="J7" s="5" t="inlineStr">
        <is>
          <t>2-yr option</t>
        </is>
      </c>
      <c r="K7" s="9" t="n">
        <v>1000</v>
      </c>
      <c r="L7" s="9" t="n">
        <v>2425</v>
      </c>
      <c r="M7" s="6" t="inlineStr"/>
    </row>
    <row r="8">
      <c r="A8" s="6" t="inlineStr">
        <is>
          <t>125 Bridge St</t>
        </is>
      </c>
      <c r="B8" s="6" t="inlineStr">
        <is>
          <t>C (Indoor)</t>
        </is>
      </c>
      <c r="C8" s="6" t="inlineStr">
        <is>
          <t>Drip and Stitch</t>
        </is>
      </c>
      <c r="D8" s="6" t="inlineStr">
        <is>
          <t>Lease</t>
        </is>
      </c>
      <c r="E8" s="9" t="n">
        <v>4000</v>
      </c>
      <c r="F8" s="6" t="n"/>
      <c r="G8" s="6" t="n"/>
      <c r="H8" s="5" t="inlineStr">
        <is>
          <t>12/15/2024</t>
        </is>
      </c>
      <c r="I8" s="5" t="inlineStr">
        <is>
          <t>11/30/2025</t>
        </is>
      </c>
      <c r="J8" s="5" t="inlineStr">
        <is>
          <t>1-yr option</t>
        </is>
      </c>
      <c r="K8" s="6" t="n"/>
      <c r="L8" s="9" t="n">
        <v>2500</v>
      </c>
      <c r="M8" s="6" t="inlineStr">
        <is>
          <t>CAM unit 'Cabinet Connections' vacated 3/31/24</t>
        </is>
      </c>
    </row>
    <row r="9">
      <c r="A9" s="6" t="inlineStr">
        <is>
          <t>125 Bridge St</t>
        </is>
      </c>
      <c r="B9" s="6" t="inlineStr">
        <is>
          <t>D (Indoor)</t>
        </is>
      </c>
      <c r="C9" s="6" t="inlineStr">
        <is>
          <t>Galaxy Greens</t>
        </is>
      </c>
      <c r="D9" s="6" t="inlineStr">
        <is>
          <t>Lease</t>
        </is>
      </c>
      <c r="E9" s="9" t="n">
        <v>6000</v>
      </c>
      <c r="F9" s="6" t="n"/>
      <c r="G9" s="6" t="n"/>
      <c r="H9" s="5" t="inlineStr">
        <is>
          <t>3/1/2024</t>
        </is>
      </c>
      <c r="I9" s="5" t="inlineStr">
        <is>
          <t>10/31/2033</t>
        </is>
      </c>
      <c r="J9" s="5" t="inlineStr">
        <is>
          <t>5-yr option</t>
        </is>
      </c>
      <c r="K9" s="9" t="n">
        <v>1450</v>
      </c>
      <c r="L9" s="6" t="n"/>
      <c r="M9" s="6" t="inlineStr"/>
    </row>
    <row r="10">
      <c r="A10" s="6" t="inlineStr">
        <is>
          <t>125 Bridge St</t>
        </is>
      </c>
      <c r="B10" s="6" t="inlineStr">
        <is>
          <t>E (Indoor)</t>
        </is>
      </c>
      <c r="C10" s="6" t="inlineStr">
        <is>
          <t>Intensive Drilling</t>
        </is>
      </c>
      <c r="D10" s="6" t="inlineStr">
        <is>
          <t>Lease</t>
        </is>
      </c>
      <c r="E10" s="9" t="n">
        <v>4500</v>
      </c>
      <c r="F10" s="6" t="n"/>
      <c r="G10" s="6" t="n"/>
      <c r="H10" s="5" t="inlineStr">
        <is>
          <t>1/1/2025</t>
        </is>
      </c>
      <c r="I10" s="5" t="inlineStr">
        <is>
          <t>12/1/2029</t>
        </is>
      </c>
      <c r="J10" s="5" t="inlineStr">
        <is>
          <t>5-yr option</t>
        </is>
      </c>
      <c r="K10" s="9" t="n">
        <v>0</v>
      </c>
      <c r="L10" s="9" t="n">
        <v>3100</v>
      </c>
      <c r="M10" s="6" t="inlineStr"/>
    </row>
    <row r="11">
      <c r="A11" s="6" t="inlineStr">
        <is>
          <t>125 Bridge St</t>
        </is>
      </c>
      <c r="B11" s="6" t="inlineStr">
        <is>
          <t>F (Indoor)</t>
        </is>
      </c>
      <c r="C11" s="6" t="inlineStr">
        <is>
          <t>Intensive Drilling</t>
        </is>
      </c>
      <c r="D11" s="6" t="inlineStr">
        <is>
          <t>Lease</t>
        </is>
      </c>
      <c r="E11" s="6" t="n"/>
      <c r="F11" s="6" t="n"/>
      <c r="G11" s="6" t="n"/>
      <c r="H11" s="5" t="inlineStr">
        <is>
          <t>—</t>
        </is>
      </c>
      <c r="I11" s="5" t="inlineStr">
        <is>
          <t>—</t>
        </is>
      </c>
      <c r="J11" s="5" t="inlineStr">
        <is>
          <t>—</t>
        </is>
      </c>
      <c r="K11" s="6" t="n"/>
      <c r="L11" s="6" t="n"/>
      <c r="M11" s="6" t="inlineStr">
        <is>
          <t>Listed; no rent shown (vacant/expansion)</t>
        </is>
      </c>
    </row>
    <row r="12">
      <c r="A12" s="6" t="inlineStr">
        <is>
          <t>125 Bridge St</t>
        </is>
      </c>
      <c r="B12" s="6" t="inlineStr">
        <is>
          <t>Outdoor</t>
        </is>
      </c>
      <c r="C12" s="6" t="inlineStr">
        <is>
          <t>ABC</t>
        </is>
      </c>
      <c r="D12" s="6" t="inlineStr">
        <is>
          <t>Lease</t>
        </is>
      </c>
      <c r="E12" s="9" t="n">
        <v>5000</v>
      </c>
      <c r="F12" s="6" t="n"/>
      <c r="G12" s="6" t="n"/>
      <c r="H12" s="5" t="inlineStr">
        <is>
          <t>—</t>
        </is>
      </c>
      <c r="I12" s="5" t="inlineStr">
        <is>
          <t>2/28/2026</t>
        </is>
      </c>
      <c r="J12" s="5" t="inlineStr">
        <is>
          <t>1-yr option</t>
        </is>
      </c>
      <c r="K12" s="6" t="n"/>
      <c r="L12" s="6" t="n"/>
      <c r="M12" s="6" t="inlineStr"/>
    </row>
    <row r="13">
      <c r="A13" s="6" t="inlineStr">
        <is>
          <t>125 Bridge St</t>
        </is>
      </c>
      <c r="B13" s="6" t="inlineStr">
        <is>
          <t>Outdoor</t>
        </is>
      </c>
      <c r="C13" s="6" t="inlineStr">
        <is>
          <t>Intensive Drilling</t>
        </is>
      </c>
      <c r="D13" s="6" t="inlineStr">
        <is>
          <t>Lease</t>
        </is>
      </c>
      <c r="E13" s="9" t="n">
        <v>4000</v>
      </c>
      <c r="F13" s="6" t="n"/>
      <c r="G13" s="6" t="n"/>
      <c r="H13" s="5" t="inlineStr">
        <is>
          <t>—</t>
        </is>
      </c>
      <c r="I13" s="5" t="inlineStr">
        <is>
          <t>as above</t>
        </is>
      </c>
      <c r="J13" s="5" t="inlineStr">
        <is>
          <t>—</t>
        </is>
      </c>
      <c r="K13" s="6" t="n"/>
      <c r="L13" s="9" t="n">
        <v>3500</v>
      </c>
      <c r="M13" s="6" t="inlineStr"/>
    </row>
    <row r="14">
      <c r="A14" s="6" t="inlineStr">
        <is>
          <t>125 Bridge St</t>
        </is>
      </c>
      <c r="B14" s="6" t="inlineStr">
        <is>
          <t>Outdoor</t>
        </is>
      </c>
      <c r="C14" s="6" t="inlineStr">
        <is>
          <t>El Tacos</t>
        </is>
      </c>
      <c r="D14" s="6" t="inlineStr">
        <is>
          <t>Lease</t>
        </is>
      </c>
      <c r="E14" s="9" t="n">
        <v>150</v>
      </c>
      <c r="F14" s="6" t="n"/>
      <c r="G14" s="6" t="n"/>
      <c r="H14" s="5" t="inlineStr">
        <is>
          <t>—</t>
        </is>
      </c>
      <c r="I14" s="5" t="inlineStr">
        <is>
          <t>9/30</t>
        </is>
      </c>
      <c r="J14" s="5" t="inlineStr">
        <is>
          <t>12 months</t>
        </is>
      </c>
      <c r="K14" s="6" t="n"/>
      <c r="L14" s="6" t="n"/>
      <c r="M14" s="6" t="inlineStr"/>
    </row>
    <row r="15">
      <c r="A15" s="6" t="inlineStr">
        <is>
          <t>125 Bridge St</t>
        </is>
      </c>
      <c r="B15" s="6" t="inlineStr">
        <is>
          <t>Outdoor</t>
        </is>
      </c>
      <c r="C15" s="6" t="inlineStr">
        <is>
          <t>Cabinet</t>
        </is>
      </c>
      <c r="D15" s="6" t="inlineStr">
        <is>
          <t>MTM</t>
        </is>
      </c>
      <c r="E15" s="9" t="n">
        <v>140</v>
      </c>
      <c r="F15" s="6" t="n"/>
      <c r="G15" s="6" t="n"/>
      <c r="H15" s="5" t="inlineStr">
        <is>
          <t>—</t>
        </is>
      </c>
      <c r="I15" s="5" t="inlineStr">
        <is>
          <t>—</t>
        </is>
      </c>
      <c r="J15" s="5" t="inlineStr">
        <is>
          <t>month-to-month</t>
        </is>
      </c>
      <c r="K15" s="6" t="n"/>
      <c r="L15" s="6" t="n"/>
      <c r="M15" s="6" t="inlineStr"/>
    </row>
    <row r="16">
      <c r="A16" s="6" t="inlineStr">
        <is>
          <t>125 Bridge St</t>
        </is>
      </c>
      <c r="B16" s="6" t="inlineStr">
        <is>
          <t>Outdoor</t>
        </is>
      </c>
      <c r="C16" s="6" t="inlineStr">
        <is>
          <t>RV Parking</t>
        </is>
      </c>
      <c r="D16" s="6" t="inlineStr">
        <is>
          <t>MTM</t>
        </is>
      </c>
      <c r="E16" s="9" t="n">
        <v>75</v>
      </c>
      <c r="F16" s="6" t="n"/>
      <c r="G16" s="6" t="n"/>
      <c r="H16" s="5" t="inlineStr">
        <is>
          <t>—</t>
        </is>
      </c>
      <c r="I16" s="5" t="inlineStr">
        <is>
          <t>—</t>
        </is>
      </c>
      <c r="J16" s="5" t="inlineStr">
        <is>
          <t>month-to-month</t>
        </is>
      </c>
      <c r="K16" s="6" t="n"/>
      <c r="L16" s="6" t="n"/>
      <c r="M16" s="6" t="inlineStr"/>
    </row>
    <row r="17">
      <c r="A17" s="11" t="inlineStr">
        <is>
          <t>125 Bridge St</t>
        </is>
      </c>
      <c r="B17" s="12" t="inlineStr">
        <is>
          <t>TOTALS</t>
        </is>
      </c>
      <c r="C17" s="12" t="inlineStr">
        <is>
          <t>Total Rental Income (monthly)</t>
        </is>
      </c>
      <c r="D17" s="13" t="inlineStr"/>
      <c r="E17" s="14">
        <f>SUM(E6:E16)</f>
        <v/>
      </c>
      <c r="F17" s="14">
        <f>E17*12</f>
        <v/>
      </c>
      <c r="G17" s="13" t="inlineStr"/>
      <c r="H17" s="13" t="inlineStr"/>
      <c r="I17" s="13" t="inlineStr"/>
      <c r="J17" s="13" t="inlineStr"/>
      <c r="K17" s="14">
        <f>SUM(K6:K16)</f>
        <v/>
      </c>
      <c r="L17" s="13" t="inlineStr"/>
      <c r="M17" s="15" t="inlineStr">
        <is>
          <t>Monthly CAM total $5,000; annualized gross scheduled income ≈ monthly total × 12. IRS Form 8825 actual 2024 gross rents were $307,817.</t>
        </is>
      </c>
    </row>
    <row r="18">
      <c r="A18" s="10" t="inlineStr">
        <is>
          <t>5970 Marion Drive (0182511303018) — actual tenants (FY2024)</t>
        </is>
      </c>
      <c r="B18" s="20" t="n"/>
      <c r="C18" s="20" t="n"/>
      <c r="D18" s="20" t="n"/>
      <c r="E18" s="20" t="n"/>
      <c r="F18" s="20" t="n"/>
      <c r="G18" s="20" t="n"/>
      <c r="H18" s="20" t="n"/>
      <c r="I18" s="20" t="n"/>
      <c r="J18" s="20" t="n"/>
      <c r="K18" s="20" t="n"/>
      <c r="L18" s="20" t="n"/>
      <c r="M18" s="21" t="n"/>
    </row>
    <row r="19">
      <c r="A19" s="6" t="inlineStr">
        <is>
          <t>5970 Marion</t>
        </is>
      </c>
      <c r="B19" s="6" t="inlineStr">
        <is>
          <t>Unit 1</t>
        </is>
      </c>
      <c r="C19" s="6" t="inlineStr">
        <is>
          <t>Whatever It Takes Transmissions &amp; Parts, Inc.</t>
        </is>
      </c>
      <c r="D19" s="6" t="inlineStr">
        <is>
          <t>Actual (NNN w/ CAM)</t>
        </is>
      </c>
      <c r="E19" s="6" t="n"/>
      <c r="F19" s="6" t="n"/>
      <c r="G19" s="6" t="n"/>
      <c r="H19" s="5" t="inlineStr">
        <is>
          <t>—</t>
        </is>
      </c>
      <c r="I19" s="5" t="inlineStr">
        <is>
          <t>—</t>
        </is>
      </c>
      <c r="J19" s="5" t="inlineStr">
        <is>
          <t>—</t>
        </is>
      </c>
      <c r="K19" s="6" t="n"/>
      <c r="L19" s="6" t="n"/>
      <c r="M19" s="6" t="inlineStr">
        <is>
          <t>2024 monthly rent ~$9,136; billed CAM escrows separately</t>
        </is>
      </c>
    </row>
    <row r="20">
      <c r="A20" s="6" t="inlineStr">
        <is>
          <t>5970 Marion</t>
        </is>
      </c>
      <c r="B20" s="6" t="inlineStr">
        <is>
          <t>Unit 2</t>
        </is>
      </c>
      <c r="C20" s="6" t="inlineStr">
        <is>
          <t>Integrated Turf Solutions LLC</t>
        </is>
      </c>
      <c r="D20" s="6" t="inlineStr">
        <is>
          <t>Actual (NNN w/ CAM)</t>
        </is>
      </c>
      <c r="E20" s="6" t="n"/>
      <c r="F20" s="6" t="n"/>
      <c r="G20" s="6" t="n"/>
      <c r="H20" s="5" t="inlineStr">
        <is>
          <t>—</t>
        </is>
      </c>
      <c r="I20" s="5" t="inlineStr">
        <is>
          <t>—</t>
        </is>
      </c>
      <c r="J20" s="5" t="inlineStr">
        <is>
          <t>—</t>
        </is>
      </c>
      <c r="K20" s="6" t="n"/>
      <c r="L20" s="6" t="n"/>
      <c r="M20" s="6" t="inlineStr">
        <is>
          <t>2024 monthly rent ranged $3,120-$6,860; billed CAM escrows</t>
        </is>
      </c>
    </row>
    <row r="21">
      <c r="A21" s="10" t="inlineStr">
        <is>
          <t>Tax-appeal proforma lease assumptions (not executed leases)</t>
        </is>
      </c>
      <c r="B21" s="20" t="n"/>
      <c r="C21" s="20" t="n"/>
      <c r="D21" s="20" t="n"/>
      <c r="E21" s="20" t="n"/>
      <c r="F21" s="20" t="n"/>
      <c r="G21" s="20" t="n"/>
      <c r="H21" s="20" t="n"/>
      <c r="I21" s="20" t="n"/>
      <c r="J21" s="20" t="n"/>
      <c r="K21" s="20" t="n"/>
      <c r="L21" s="20" t="n"/>
      <c r="M21" s="21" t="n"/>
    </row>
    <row r="22">
      <c r="A22" s="6" t="inlineStr">
        <is>
          <t>7205 Gilpin Way</t>
        </is>
      </c>
      <c r="B22" s="6" t="inlineStr">
        <is>
          <t>Whole</t>
        </is>
      </c>
      <c r="C22" s="6" t="inlineStr">
        <is>
          <t>Proforma single-tenant</t>
        </is>
      </c>
      <c r="D22" s="6" t="inlineStr">
        <is>
          <t>Proforma NNN</t>
        </is>
      </c>
      <c r="E22" s="6" t="n"/>
      <c r="F22" s="9" t="n">
        <v>359394</v>
      </c>
      <c r="G22" s="16" t="n">
        <v>10.5</v>
      </c>
      <c r="H22" s="5" t="inlineStr">
        <is>
          <t>—</t>
        </is>
      </c>
      <c r="I22" s="5" t="inlineStr">
        <is>
          <t>—</t>
        </is>
      </c>
      <c r="J22" s="5" t="inlineStr">
        <is>
          <t>—</t>
        </is>
      </c>
      <c r="K22" s="6" t="n"/>
      <c r="L22" s="6" t="n"/>
      <c r="M22" s="6" t="inlineStr">
        <is>
          <t>OpEx 8% EGI; 5% vacancy (Ryan)</t>
        </is>
      </c>
    </row>
    <row r="23">
      <c r="A23" s="6" t="inlineStr">
        <is>
          <t>17608 E. 24th Dr</t>
        </is>
      </c>
      <c r="B23" s="6" t="inlineStr">
        <is>
          <t>Whole</t>
        </is>
      </c>
      <c r="C23" s="6" t="inlineStr">
        <is>
          <t>Proforma single-tenant</t>
        </is>
      </c>
      <c r="D23" s="6" t="inlineStr">
        <is>
          <t>Proforma NNN</t>
        </is>
      </c>
      <c r="E23" s="6" t="n"/>
      <c r="F23" s="9" t="n">
        <v>209100</v>
      </c>
      <c r="G23" s="16" t="n">
        <v>10</v>
      </c>
      <c r="H23" s="5" t="inlineStr">
        <is>
          <t>—</t>
        </is>
      </c>
      <c r="I23" s="5" t="inlineStr">
        <is>
          <t>—</t>
        </is>
      </c>
      <c r="J23" s="5" t="inlineStr">
        <is>
          <t>—</t>
        </is>
      </c>
      <c r="K23" s="6" t="n"/>
      <c r="L23" s="6" t="n"/>
      <c r="M23" s="6" t="inlineStr">
        <is>
          <t>OpEx 8% EGI; 5% vacancy (Ryan)</t>
        </is>
      </c>
    </row>
    <row r="24">
      <c r="A24" s="6" t="inlineStr">
        <is>
          <t>12260 Pennsylvania St</t>
        </is>
      </c>
      <c r="B24" s="6" t="inlineStr">
        <is>
          <t>Whole</t>
        </is>
      </c>
      <c r="C24" s="6" t="inlineStr">
        <is>
          <t>Proforma single-tenant</t>
        </is>
      </c>
      <c r="D24" s="6" t="inlineStr">
        <is>
          <t>Proforma NNN</t>
        </is>
      </c>
      <c r="E24" s="6" t="n"/>
      <c r="F24" s="9" t="n">
        <v>237290</v>
      </c>
      <c r="G24" s="16" t="n">
        <v>10</v>
      </c>
      <c r="H24" s="5" t="inlineStr">
        <is>
          <t>—</t>
        </is>
      </c>
      <c r="I24" s="5" t="inlineStr">
        <is>
          <t>—</t>
        </is>
      </c>
      <c r="J24" s="5" t="inlineStr">
        <is>
          <t>—</t>
        </is>
      </c>
      <c r="K24" s="6" t="n"/>
      <c r="L24" s="6" t="n"/>
      <c r="M24" s="6" t="inlineStr">
        <is>
          <t>Face rent $10; actual tenant $9.50/sf NNN as of 1/1/24; 7% vac, 10% OpEx (Ryan)</t>
        </is>
      </c>
    </row>
    <row r="25">
      <c r="A25" s="6" t="inlineStr">
        <is>
          <t>6770 E. 56th Ave</t>
        </is>
      </c>
      <c r="B25" s="6" t="inlineStr">
        <is>
          <t>Whole</t>
        </is>
      </c>
      <c r="C25" s="6" t="inlineStr">
        <is>
          <t>Proforma single-tenant</t>
        </is>
      </c>
      <c r="D25" s="6" t="inlineStr">
        <is>
          <t>Proforma</t>
        </is>
      </c>
      <c r="E25" s="6" t="n"/>
      <c r="F25" s="9" t="n">
        <v>115824</v>
      </c>
      <c r="G25" s="16" t="n">
        <v>12</v>
      </c>
      <c r="H25" s="5" t="inlineStr">
        <is>
          <t>—</t>
        </is>
      </c>
      <c r="I25" s="5" t="inlineStr">
        <is>
          <t>—</t>
        </is>
      </c>
      <c r="J25" s="5" t="inlineStr">
        <is>
          <t>—</t>
        </is>
      </c>
      <c r="K25" s="6" t="n"/>
      <c r="L25" s="6" t="n"/>
      <c r="M25" s="6" t="inlineStr">
        <is>
          <t>$12/sf; 95% occ; 5% expenses (Property Tax Advisors)</t>
        </is>
      </c>
    </row>
    <row r="26">
      <c r="A26" s="6" t="inlineStr">
        <is>
          <t>5650 Washington St</t>
        </is>
      </c>
      <c r="B26" s="6" t="inlineStr">
        <is>
          <t>Multiple</t>
        </is>
      </c>
      <c r="C26" s="6" t="inlineStr">
        <is>
          <t>Actual multi-tenant (modified gross)</t>
        </is>
      </c>
      <c r="D26" s="6" t="inlineStr">
        <is>
          <t>Modified Gross</t>
        </is>
      </c>
      <c r="E26" s="6" t="n"/>
      <c r="F26" s="6" t="n"/>
      <c r="G26" s="6" t="n"/>
      <c r="H26" s="5" t="inlineStr">
        <is>
          <t>—</t>
        </is>
      </c>
      <c r="I26" s="5" t="inlineStr">
        <is>
          <t>—</t>
        </is>
      </c>
      <c r="J26" s="5" t="inlineStr">
        <is>
          <t>—</t>
        </is>
      </c>
      <c r="K26" s="6" t="n"/>
      <c r="L26" s="6" t="n"/>
      <c r="M26" s="6" t="inlineStr">
        <is>
          <t>Actual rents $10.28-$31.48/sf; majority $13-17/sf; $15/sf applied to vacant space. Detailed rent roll embedded as image in appraisal.</t>
        </is>
      </c>
    </row>
    <row r="28">
      <c r="A28" s="36" t="inlineStr">
        <is>
          <t>Denver Distribution Center (R0180834) — rent roll as of 01/01/2025</t>
        </is>
      </c>
    </row>
    <row r="29">
      <c r="A29" s="37" t="inlineStr">
        <is>
          <t>Denver Distribution Ctr</t>
        </is>
      </c>
      <c r="B29" s="37" t="inlineStr">
        <is>
          <t>100</t>
        </is>
      </c>
      <c r="C29" s="37" t="inlineStr">
        <is>
          <t>United Natural Foods Inc (t0201668)</t>
        </is>
      </c>
      <c r="D29" s="37" t="inlineStr">
        <is>
          <t>Actual NNN (industrial)</t>
        </is>
      </c>
      <c r="E29" s="37" t="n">
        <v>300709.67</v>
      </c>
      <c r="F29" s="37" t="n">
        <v>3608516.04</v>
      </c>
      <c r="G29" s="37" t="n">
        <v>6.52</v>
      </c>
      <c r="H29" s="37" t="inlineStr">
        <is>
          <t>6/15/2012</t>
        </is>
      </c>
      <c r="I29" s="37" t="inlineStr">
        <is>
          <t>10/31/2028</t>
        </is>
      </c>
      <c r="J29" s="37" t="inlineStr">
        <is>
          <t>1st Renewal Opt 10/31/2027; 2nd Renewal Opt 10/31/2032; Expansion Opt</t>
        </is>
      </c>
      <c r="K29" s="37" t="n">
        <v>4646.33</v>
      </c>
      <c r="L29" s="37" t="n">
        <v>0</v>
      </c>
      <c r="M29" s="37" t="inlineStr">
        <is>
          <t>Charge code cabrnind @ $0.54/SF/mo. Status Current. CAM shown = ceopex; also ceins $6,943.97/mo and ceretax $186,818.31/mo (both eff. 01/01/2025). AR balance $(14,541.14).</t>
        </is>
      </c>
    </row>
    <row r="30">
      <c r="A30" s="37" t="inlineStr">
        <is>
          <t>Denver Distribution Ctr</t>
        </is>
      </c>
      <c r="B30" s="37" t="inlineStr">
        <is>
          <t>100</t>
        </is>
      </c>
      <c r="C30" s="37" t="inlineStr">
        <is>
          <t>United Natural Foods Inc — future rent step</t>
        </is>
      </c>
      <c r="D30" s="37" t="inlineStr">
        <is>
          <t>Actual NNN</t>
        </is>
      </c>
      <c r="E30" s="37" t="n">
        <v>308781.17</v>
      </c>
      <c r="F30" s="37" t="n">
        <v>3705374.04</v>
      </c>
      <c r="G30" s="37" t="n">
        <v>6.69</v>
      </c>
      <c r="H30" s="37" t="inlineStr">
        <is>
          <t>11/1/2025</t>
        </is>
      </c>
      <c r="I30" s="37" t="inlineStr">
        <is>
          <t>10/31/2028</t>
        </is>
      </c>
      <c r="J30" s="37" t="inlineStr">
        <is>
          <t>Scheduled step</t>
        </is>
      </c>
      <c r="K30" s="37" t="n"/>
      <c r="L30" s="37" t="n"/>
      <c r="M30" s="37" t="inlineStr">
        <is>
          <t>Future amount $0.56/SF/mo effective 11/01/2025 (printed on the same rent-roll line).</t>
        </is>
      </c>
    </row>
    <row r="31">
      <c r="A31" s="38" t="inlineStr">
        <is>
          <t>Denver Distribution Ctr</t>
        </is>
      </c>
      <c r="B31" s="38" t="inlineStr">
        <is>
          <t>TOTALS</t>
        </is>
      </c>
      <c r="C31" s="38" t="inlineStr">
        <is>
          <t>Total monthly billing (all charge codes)</t>
        </is>
      </c>
      <c r="D31" s="38" t="inlineStr">
        <is>
          <t>Actual</t>
        </is>
      </c>
      <c r="E31" s="39" t="n">
        <v>499118.28</v>
      </c>
      <c r="F31" s="40">
        <f>E31*12</f>
        <v/>
      </c>
      <c r="G31" s="39" t="n"/>
      <c r="H31" s="38" t="n"/>
      <c r="I31" s="38" t="n"/>
      <c r="J31" s="38" t="inlineStr">
        <is>
          <t>1 unit / 553,757 SF</t>
        </is>
      </c>
      <c r="K31" s="39" t="n"/>
      <c r="L31" s="39" t="n">
        <v>0</v>
      </c>
      <c r="M31" s="38" t="inlineStr">
        <is>
          <t>Printed rent-roll total $499,118.28/mo; 100.00% occupied, 100.00% leased, 0 vacant units. Security deposit $0.00.</t>
        </is>
      </c>
    </row>
    <row r="33">
      <c r="A33" s="36" t="inlineStr">
        <is>
          <t>2780 North Tower Road (R0212546) — absolute net single tenant</t>
        </is>
      </c>
    </row>
    <row r="34">
      <c r="A34" s="37" t="inlineStr">
        <is>
          <t>2780 N. Tower Rd</t>
        </is>
      </c>
      <c r="B34" s="37" t="inlineStr">
        <is>
          <t>Whole</t>
        </is>
      </c>
      <c r="C34" s="37" t="inlineStr">
        <is>
          <t>Single tenant (name not stated in P&amp;L)</t>
        </is>
      </c>
      <c r="D34" s="37" t="inlineStr">
        <is>
          <t>Absolute net</t>
        </is>
      </c>
      <c r="E34" s="37" t="n"/>
      <c r="F34" s="37" t="n">
        <v>3047376</v>
      </c>
      <c r="G34" s="37" t="n">
        <v>8.07</v>
      </c>
      <c r="H34" s="37" t="n"/>
      <c r="I34" s="37" t="n"/>
      <c r="J34" s="37" t="inlineStr">
        <is>
          <t>—</t>
        </is>
      </c>
      <c r="K34" s="37" t="n"/>
      <c r="L34" s="37" t="n"/>
      <c r="M34" s="37" t="inlineStr">
        <is>
          <t>FY2024 rent income (acct 42327 "Rent Income SRO Tower Road") ÷ 377,729 SF = $8.07/SF. Tenant pays taxes, insurance, R&amp;M, utilities — all $0 to owner in FY2024.</t>
        </is>
      </c>
    </row>
    <row r="35">
      <c r="A35" s="37" t="inlineStr">
        <is>
          <t>2780 N. Tower Rd</t>
        </is>
      </c>
      <c r="B35" s="37" t="inlineStr">
        <is>
          <t>Whole</t>
        </is>
      </c>
      <c r="C35" s="37" t="inlineStr">
        <is>
          <t>Single tenant (name not stated in P&amp;L)</t>
        </is>
      </c>
      <c r="D35" s="37" t="inlineStr">
        <is>
          <t>Absolute net</t>
        </is>
      </c>
      <c r="E35" s="37" t="n"/>
      <c r="F35" s="37" t="n">
        <v>2979661</v>
      </c>
      <c r="G35" s="37" t="n">
        <v>7.89</v>
      </c>
      <c r="H35" s="37" t="n"/>
      <c r="I35" s="37" t="n"/>
      <c r="J35" s="37" t="inlineStr">
        <is>
          <t>—</t>
        </is>
      </c>
      <c r="K35" s="37" t="n"/>
      <c r="L35" s="37" t="n"/>
      <c r="M35" s="37" t="inlineStr">
        <is>
          <t>FY2023 rent income ÷ 377,729 SF = $7.89/SF. FY2023 had $687 utilities at owner level; taxes and R&amp;M still $0.</t>
        </is>
      </c>
    </row>
    <row r="37">
      <c r="A37" s="36" t="inlineStr">
        <is>
          <t>Majestic Commercenter / WPC ABC LLC (R0083953) — rent roll as of 06/30/2024</t>
        </is>
      </c>
    </row>
    <row r="38">
      <c r="A38" s="32" t="inlineStr">
        <is>
          <t>Majestic Commercenter</t>
        </is>
      </c>
      <c r="B38" s="32" t="inlineStr">
        <is>
          <t>455-A-CU</t>
        </is>
      </c>
      <c r="C38" s="32" t="inlineStr">
        <is>
          <t>Zayo Group</t>
        </is>
      </c>
      <c r="D38" s="32" t="inlineStr">
        <is>
          <t>Actual NNN (CAM/tax/ins billed)</t>
        </is>
      </c>
      <c r="E38" s="41" t="n">
        <v>16375</v>
      </c>
      <c r="F38" s="35" t="n">
        <v>196500</v>
      </c>
      <c r="G38" s="41" t="n">
        <v>3.93</v>
      </c>
      <c r="H38" s="32" t="inlineStr">
        <is>
          <t>5/1/2020</t>
        </is>
      </c>
      <c r="I38" s="32" t="inlineStr">
        <is>
          <t>10/31/2027</t>
        </is>
      </c>
      <c r="J38" s="32" t="inlineStr">
        <is>
          <t>90 mo</t>
        </is>
      </c>
      <c r="K38" s="41" t="n">
        <v>3004</v>
      </c>
      <c r="L38" s="41" t="n"/>
      <c r="M38" s="32" t="inlineStr">
        <is>
          <t>Steps: $16,875 (11/01/2024), $17,375 (11/01/2025), $17,916.67 (11/01/2026). Other exp $674/mo. Gross rent $30,467/mo = $7.31/SF.</t>
        </is>
      </c>
    </row>
    <row r="39">
      <c r="A39" s="32" t="inlineStr">
        <is>
          <t>Majestic Commercenter</t>
        </is>
      </c>
      <c r="B39" s="32" t="inlineStr">
        <is>
          <t>455-B-CU</t>
        </is>
      </c>
      <c r="C39" s="32" t="inlineStr">
        <is>
          <t>Tritz Pallet</t>
        </is>
      </c>
      <c r="D39" s="32" t="inlineStr">
        <is>
          <t>Actual NNN (CAM/tax/ins billed)</t>
        </is>
      </c>
      <c r="E39" s="41" t="n">
        <v>10000</v>
      </c>
      <c r="F39" s="35" t="n">
        <v>120000</v>
      </c>
      <c r="G39" s="41" t="n">
        <v>2.4</v>
      </c>
      <c r="H39" s="32" t="inlineStr">
        <is>
          <t>4/1/2021</t>
        </is>
      </c>
      <c r="I39" s="32" t="inlineStr">
        <is>
          <t>2/28/2025</t>
        </is>
      </c>
      <c r="J39" s="32" t="inlineStr">
        <is>
          <t>47 mo</t>
        </is>
      </c>
      <c r="K39" s="41" t="n">
        <v>3008</v>
      </c>
      <c r="L39" s="41" t="n"/>
      <c r="M39" s="32" t="inlineStr">
        <is>
          <t>Last step $10,000 eff. 03/01/2024. Other exp $674/mo. Gross rent $24,096/mo = $5.78/SF.</t>
        </is>
      </c>
    </row>
    <row r="40">
      <c r="A40" s="32" t="inlineStr">
        <is>
          <t>Majestic Commercenter</t>
        </is>
      </c>
      <c r="B40" s="32" t="inlineStr">
        <is>
          <t>455-C-CU</t>
        </is>
      </c>
      <c r="C40" s="32" t="inlineStr">
        <is>
          <t>Peco Pallet</t>
        </is>
      </c>
      <c r="D40" s="32" t="inlineStr">
        <is>
          <t>Actual NNN (CAM/tax/ins billed)</t>
        </is>
      </c>
      <c r="E40" s="41" t="n">
        <v>16250</v>
      </c>
      <c r="F40" s="35" t="n">
        <v>195000</v>
      </c>
      <c r="G40" s="41" t="n">
        <v>3.9</v>
      </c>
      <c r="H40" s="32" t="inlineStr">
        <is>
          <t>4/1/2020</t>
        </is>
      </c>
      <c r="I40" s="32" t="inlineStr">
        <is>
          <t>3/31/2025</t>
        </is>
      </c>
      <c r="J40" s="32" t="inlineStr">
        <is>
          <t>120 mo</t>
        </is>
      </c>
      <c r="K40" s="41" t="n">
        <v>2994</v>
      </c>
      <c r="L40" s="41" t="n"/>
      <c r="M40" s="32" t="inlineStr">
        <is>
          <t>Last step $16,250 eff. 04/01/2024. Other exp $674/mo. Gross rent $30,332/mo = $7.28/SF. The 6/30/2024 recap page shows this lease ending 3/31/2030 — discrepancy as printed.</t>
        </is>
      </c>
    </row>
    <row r="41">
      <c r="A41" s="32" t="inlineStr">
        <is>
          <t>Majestic Commercenter</t>
        </is>
      </c>
      <c r="B41" s="32" t="inlineStr">
        <is>
          <t>455-D-CU</t>
        </is>
      </c>
      <c r="C41" s="32" t="inlineStr">
        <is>
          <t>Tritz Pallet</t>
        </is>
      </c>
      <c r="D41" s="32" t="inlineStr">
        <is>
          <t>Actual NNN (CAM/tax/ins billed)</t>
        </is>
      </c>
      <c r="E41" s="41" t="n">
        <v>15833</v>
      </c>
      <c r="F41" s="35" t="n">
        <v>189996</v>
      </c>
      <c r="G41" s="41" t="n">
        <v>3.8</v>
      </c>
      <c r="H41" s="32" t="inlineStr">
        <is>
          <t>11/1/2019</t>
        </is>
      </c>
      <c r="I41" s="32" t="inlineStr">
        <is>
          <t>2/28/2025</t>
        </is>
      </c>
      <c r="J41" s="32" t="inlineStr">
        <is>
          <t>64 mo</t>
        </is>
      </c>
      <c r="K41" s="41" t="n">
        <v>2983</v>
      </c>
      <c r="L41" s="41" t="n"/>
      <c r="M41" s="32" t="inlineStr">
        <is>
          <t>Last step $15,833 eff. 03/01/2024. Other exp $674/mo. Gross rent $29,904/mo = $7.18/SF.</t>
        </is>
      </c>
    </row>
    <row r="42">
      <c r="A42" s="38" t="inlineStr">
        <is>
          <t>Majestic Commercenter</t>
        </is>
      </c>
      <c r="B42" s="38" t="inlineStr">
        <is>
          <t>TOTALS</t>
        </is>
      </c>
      <c r="C42" s="38" t="inlineStr">
        <is>
          <t>Property totals — 200,000 SF, 0 vacant</t>
        </is>
      </c>
      <c r="D42" s="38" t="inlineStr">
        <is>
          <t>Actual NNN</t>
        </is>
      </c>
      <c r="E42" s="39">
        <f>SUM(E38:E41)</f>
        <v/>
      </c>
      <c r="F42" s="40">
        <f>SUM(F38:F41)</f>
        <v/>
      </c>
      <c r="G42" s="39" t="n">
        <v>3.51</v>
      </c>
      <c r="H42" s="38" t="n"/>
      <c r="I42" s="38" t="n"/>
      <c r="J42" s="38" t="inlineStr">
        <is>
          <t>6.69 yr wtd-avg term</t>
        </is>
      </c>
      <c r="K42" s="39">
        <f>SUM(K38:K41)</f>
        <v/>
      </c>
      <c r="L42" s="39" t="n"/>
      <c r="M42" s="38" t="inlineStr">
        <is>
          <t>Printed property totals 06/2024: base rent $58,458.00/mo, prorated annual $701,496.00, $3.51/SF; OpEx recovery $11,989/mo ($0.72/SF), RE tax $41,656/mo ($2.50/SF), other $2,696/mo ($0.16/SF); gross rents $114,799.00/mo = $6.89/SF. Recap page annualizes year-end rates to $707,496.</t>
        </is>
      </c>
    </row>
    <row r="44">
      <c r="A44" s="36" t="inlineStr">
        <is>
          <t>Majestic Commercenter — rent-roll totals by report date (200,000 SF, 100% occupied throughout)</t>
        </is>
      </c>
    </row>
    <row r="45">
      <c r="A45" s="32" t="inlineStr">
        <is>
          <t>Majestic Commercenter</t>
        </is>
      </c>
      <c r="B45" s="32" t="inlineStr">
        <is>
          <t>06/2021 (6/1-6/30/2021)</t>
        </is>
      </c>
      <c r="C45" s="32" t="inlineStr">
        <is>
          <t>All 4 units (Zayo, Tritz ×2, Peco)</t>
        </is>
      </c>
      <c r="D45" s="32" t="inlineStr">
        <is>
          <t>Actual NNN</t>
        </is>
      </c>
      <c r="E45" s="41" t="n">
        <v>52083</v>
      </c>
      <c r="F45" s="35" t="n">
        <v>624996</v>
      </c>
      <c r="G45" s="41" t="n">
        <v>3.12</v>
      </c>
      <c r="H45" s="32" t="n"/>
      <c r="I45" s="32" t="n"/>
      <c r="J45" s="32" t="inlineStr">
        <is>
          <t>—</t>
        </is>
      </c>
      <c r="K45" s="41" t="n">
        <v>11013</v>
      </c>
      <c r="L45" s="41" t="n"/>
      <c r="M45" s="32" t="inlineStr">
        <is>
          <t>Monthly RE tax billed $32,381; other exp $1,368; gross rents $96,845.00/mo = $5.81/SF/yr.</t>
        </is>
      </c>
    </row>
    <row r="46">
      <c r="A46" s="32" t="inlineStr">
        <is>
          <t>Majestic Commercenter</t>
        </is>
      </c>
      <c r="B46" s="32" t="inlineStr">
        <is>
          <t>06/2022 (6/1-6/30/2022)</t>
        </is>
      </c>
      <c r="C46" s="32" t="inlineStr">
        <is>
          <t>All 4 units (Zayo, Tritz ×2, Peco)</t>
        </is>
      </c>
      <c r="D46" s="32" t="inlineStr">
        <is>
          <t>Actual NNN</t>
        </is>
      </c>
      <c r="E46" s="41" t="n">
        <v>54208</v>
      </c>
      <c r="F46" s="35" t="n">
        <v>650496</v>
      </c>
      <c r="G46" s="41" t="n">
        <v>3.25</v>
      </c>
      <c r="H46" s="32" t="n"/>
      <c r="I46" s="32" t="n"/>
      <c r="J46" s="32" t="inlineStr">
        <is>
          <t>—</t>
        </is>
      </c>
      <c r="K46" s="41" t="n">
        <v>11007</v>
      </c>
      <c r="L46" s="41" t="n"/>
      <c r="M46" s="32" t="inlineStr">
        <is>
          <t>Monthly RE tax billed $31,348; other exp $1,596; gross rents $98,159.00/mo = $5.89/SF/yr.</t>
        </is>
      </c>
    </row>
    <row r="47">
      <c r="A47" s="32" t="inlineStr">
        <is>
          <t>Majestic Commercenter</t>
        </is>
      </c>
      <c r="B47" s="32" t="inlineStr">
        <is>
          <t>01/2023 (1/1-1/31/2023)</t>
        </is>
      </c>
      <c r="C47" s="32" t="inlineStr">
        <is>
          <t>All 4 units (Zayo, Tritz ×2, Peco)</t>
        </is>
      </c>
      <c r="D47" s="32" t="inlineStr">
        <is>
          <t>Actual NNN</t>
        </is>
      </c>
      <c r="E47" s="41" t="n">
        <v>55917.34</v>
      </c>
      <c r="F47" s="35" t="n">
        <v>671008.08</v>
      </c>
      <c r="G47" s="41" t="n">
        <v>3.36</v>
      </c>
      <c r="H47" s="32" t="n"/>
      <c r="I47" s="32" t="n"/>
      <c r="J47" s="32" t="inlineStr">
        <is>
          <t>—</t>
        </is>
      </c>
      <c r="K47" s="41" t="n">
        <v>12683</v>
      </c>
      <c r="L47" s="41" t="n"/>
      <c r="M47" s="32" t="inlineStr">
        <is>
          <t>Monthly RE tax billed $36,004; other exp $1,976; gross rents $106,580.34/mo = $6.39/SF/yr.</t>
        </is>
      </c>
    </row>
    <row r="48">
      <c r="A48" s="32" t="inlineStr">
        <is>
          <t>Majestic Commercenter</t>
        </is>
      </c>
      <c r="B48" s="32" t="inlineStr">
        <is>
          <t>06/2024 (6/1-6/30/2024)</t>
        </is>
      </c>
      <c r="C48" s="32" t="inlineStr">
        <is>
          <t>All 4 units (Zayo, Tritz ×2, Peco)</t>
        </is>
      </c>
      <c r="D48" s="32" t="inlineStr">
        <is>
          <t>Actual NNN</t>
        </is>
      </c>
      <c r="E48" s="41" t="n">
        <v>58458</v>
      </c>
      <c r="F48" s="35" t="n">
        <v>701496</v>
      </c>
      <c r="G48" s="41" t="n">
        <v>3.51</v>
      </c>
      <c r="H48" s="32" t="n"/>
      <c r="I48" s="32" t="n"/>
      <c r="J48" s="32" t="inlineStr">
        <is>
          <t>—</t>
        </is>
      </c>
      <c r="K48" s="41" t="n">
        <v>11989</v>
      </c>
      <c r="L48" s="41" t="n"/>
      <c r="M48" s="32" t="inlineStr">
        <is>
          <t>Monthly RE tax billed $41,656; other exp $2,696; gross rents $114,799.00/mo = $6.89/SF/yr.</t>
        </is>
      </c>
    </row>
    <row r="49">
      <c r="A49" s="36" t="inlineStr">
        <is>
          <t>Commercenter #22 LLC (R0132030), Aurora — rent roll at three dates; 200,090 SF, 24.99% vacant throughout</t>
        </is>
      </c>
    </row>
    <row r="50">
      <c r="A50" s="32" t="inlineStr">
        <is>
          <t>Commercenter #22</t>
        </is>
      </c>
      <c r="B50" s="32" t="inlineStr">
        <is>
          <t>Bldg 22 / 206422</t>
        </is>
      </c>
      <c r="C50" s="32" t="inlineStr">
        <is>
          <t>Expeditors International of Washington</t>
        </is>
      </c>
      <c r="D50" s="32" t="inlineStr">
        <is>
          <t>Multi-Tenant Net</t>
        </is>
      </c>
      <c r="E50" s="41" t="n">
        <v>28119.36</v>
      </c>
      <c r="F50" s="35" t="n">
        <v>337432.32</v>
      </c>
      <c r="G50" s="41" t="n">
        <v>5.2045</v>
      </c>
      <c r="H50" s="32" t="inlineStr">
        <is>
          <t>8/1/2015</t>
        </is>
      </c>
      <c r="I50" s="32" t="inlineStr">
        <is>
          <t>7/31/2026</t>
        </is>
      </c>
      <c r="J50" s="32" t="inlineStr">
        <is>
          <t>As of 06/01/24</t>
        </is>
      </c>
      <c r="K50" s="41" t="n"/>
      <c r="L50" s="41" t="n"/>
      <c r="M50" s="32" t="inlineStr">
        <is>
          <t>64,835 SF. 32.40% of building; monthly net rent $0.4337/SF.</t>
        </is>
      </c>
    </row>
    <row r="51">
      <c r="A51" s="32" t="inlineStr">
        <is>
          <t>Commercenter #22</t>
        </is>
      </c>
      <c r="B51" s="32" t="inlineStr">
        <is>
          <t>Bldg 22 / 206422</t>
        </is>
      </c>
      <c r="C51" s="32" t="inlineStr">
        <is>
          <t>Steelcase, Inc.</t>
        </is>
      </c>
      <c r="D51" s="32" t="inlineStr">
        <is>
          <t>Multi-Tenant Net</t>
        </is>
      </c>
      <c r="E51" s="41" t="n">
        <v>39219.25</v>
      </c>
      <c r="F51" s="35" t="n">
        <v>470631</v>
      </c>
      <c r="G51" s="41" t="n">
        <v>5.5204</v>
      </c>
      <c r="H51" s="32" t="inlineStr">
        <is>
          <t>10/1/2019</t>
        </is>
      </c>
      <c r="I51" s="32" t="inlineStr">
        <is>
          <t>12/31/2024</t>
        </is>
      </c>
      <c r="J51" s="32" t="inlineStr">
        <is>
          <t>As of 06/01/24</t>
        </is>
      </c>
      <c r="K51" s="41" t="n"/>
      <c r="L51" s="41" t="n"/>
      <c r="M51" s="32" t="inlineStr">
        <is>
          <t>85,253 SF. 42.61% of building; monthly net rent $0.4600/SF. Notice address: Steelcase Global Real Estate, 980 N Michigan Ave #1000, Chicago IL 60611.</t>
        </is>
      </c>
    </row>
    <row r="52">
      <c r="A52" s="32" t="inlineStr">
        <is>
          <t>Commercenter #22</t>
        </is>
      </c>
      <c r="B52" s="32" t="inlineStr">
        <is>
          <t>VACANT</t>
        </is>
      </c>
      <c r="C52" s="32" t="inlineStr">
        <is>
          <t>Vacant suite — 50,002 SF (24.99% of building)</t>
        </is>
      </c>
      <c r="D52" s="32" t="inlineStr">
        <is>
          <t>—</t>
        </is>
      </c>
      <c r="E52" s="41" t="n">
        <v>0</v>
      </c>
      <c r="F52" s="35" t="n">
        <v>0</v>
      </c>
      <c r="G52" s="41" t="n">
        <v>0</v>
      </c>
      <c r="H52" s="32" t="n"/>
      <c r="I52" s="32" t="n"/>
      <c r="J52" s="32" t="inlineStr">
        <is>
          <t>As of 06/01/24</t>
        </is>
      </c>
      <c r="K52" s="41" t="n"/>
      <c r="L52" s="41" t="n"/>
      <c r="M52" s="32" t="inlineStr">
        <is>
          <t>No rent; 150,088 SF occupied of 200,090 SF (75.01%).</t>
        </is>
      </c>
    </row>
    <row r="53">
      <c r="A53" s="38" t="inlineStr">
        <is>
          <t>Commercenter #22</t>
        </is>
      </c>
      <c r="B53" s="38" t="inlineStr">
        <is>
          <t>TOTALS</t>
        </is>
      </c>
      <c r="C53" s="38" t="inlineStr">
        <is>
          <t>Grand total — Project Commercenter #22 LLC</t>
        </is>
      </c>
      <c r="D53" s="38" t="inlineStr">
        <is>
          <t>Multi-Tenant Net</t>
        </is>
      </c>
      <c r="E53" s="39">
        <f>SUM(E50:E52)</f>
        <v/>
      </c>
      <c r="F53" s="40">
        <f>SUM(F50:F52)</f>
        <v/>
      </c>
      <c r="G53" s="39" t="n"/>
      <c r="H53" s="38" t="n"/>
      <c r="I53" s="38" t="n"/>
      <c r="J53" s="38" t="inlineStr">
        <is>
          <t>As of 06/01/24</t>
        </is>
      </c>
      <c r="K53" s="39" t="n"/>
      <c r="L53" s="39" t="n"/>
      <c r="M53" s="38" t="inlineStr">
        <is>
          <t>Printed grand total $67,338.61/mo and $808,063.32/yr on 200,090 SF.</t>
        </is>
      </c>
    </row>
    <row r="54">
      <c r="A54" s="32" t="inlineStr">
        <is>
          <t>Commercenter #22</t>
        </is>
      </c>
      <c r="B54" s="32" t="inlineStr">
        <is>
          <t>Bldg 22 / 206422</t>
        </is>
      </c>
      <c r="C54" s="32" t="inlineStr">
        <is>
          <t>Expeditors International of Washington</t>
        </is>
      </c>
      <c r="D54" s="32" t="inlineStr">
        <is>
          <t>Multi-Tenant Net</t>
        </is>
      </c>
      <c r="E54" s="41" t="n">
        <v>28119.36</v>
      </c>
      <c r="F54" s="35" t="n">
        <v>337432.32</v>
      </c>
      <c r="G54" s="41" t="n">
        <v>5.2045</v>
      </c>
      <c r="H54" s="32" t="inlineStr">
        <is>
          <t>8/1/2015</t>
        </is>
      </c>
      <c r="I54" s="32" t="inlineStr">
        <is>
          <t>7/31/2026</t>
        </is>
      </c>
      <c r="J54" s="32" t="inlineStr">
        <is>
          <t>As of 12/31/23</t>
        </is>
      </c>
      <c r="K54" s="41" t="n"/>
      <c r="L54" s="41" t="n"/>
      <c r="M54" s="32" t="inlineStr">
        <is>
          <t>64,835 SF. Rent unchanged from the 06/30/23 roll onward at $0.4337/SF/mo.</t>
        </is>
      </c>
    </row>
    <row r="55">
      <c r="A55" s="32" t="inlineStr">
        <is>
          <t>Commercenter #22</t>
        </is>
      </c>
      <c r="B55" s="32" t="inlineStr">
        <is>
          <t>Bldg 22 / 206422</t>
        </is>
      </c>
      <c r="C55" s="32" t="inlineStr">
        <is>
          <t>Steelcase, Inc.</t>
        </is>
      </c>
      <c r="D55" s="32" t="inlineStr">
        <is>
          <t>Multi-Tenant Net</t>
        </is>
      </c>
      <c r="E55" s="41" t="n">
        <v>38450.25</v>
      </c>
      <c r="F55" s="35" t="n">
        <v>461403</v>
      </c>
      <c r="G55" s="41" t="n">
        <v>5.4122</v>
      </c>
      <c r="H55" s="32" t="inlineStr">
        <is>
          <t>10/1/2019</t>
        </is>
      </c>
      <c r="I55" s="32" t="inlineStr">
        <is>
          <t>12/31/2024</t>
        </is>
      </c>
      <c r="J55" s="32" t="inlineStr">
        <is>
          <t>As of 12/31/23</t>
        </is>
      </c>
      <c r="K55" s="41" t="n"/>
      <c r="L55" s="41" t="n"/>
      <c r="M55" s="32" t="inlineStr">
        <is>
          <t>85,253 SF. Monthly net rent $0.4510/SF; steps to $0.4600 by 06/01/24.</t>
        </is>
      </c>
    </row>
    <row r="56">
      <c r="A56" s="32" t="inlineStr">
        <is>
          <t>Commercenter #22</t>
        </is>
      </c>
      <c r="B56" s="32" t="inlineStr">
        <is>
          <t>VACANT</t>
        </is>
      </c>
      <c r="C56" s="32" t="inlineStr">
        <is>
          <t>Vacant suite — 50,002 SF (24.99% of building)</t>
        </is>
      </c>
      <c r="D56" s="32" t="inlineStr">
        <is>
          <t>—</t>
        </is>
      </c>
      <c r="E56" s="41" t="n">
        <v>0</v>
      </c>
      <c r="F56" s="35" t="n">
        <v>0</v>
      </c>
      <c r="G56" s="41" t="n">
        <v>0</v>
      </c>
      <c r="H56" s="32" t="n"/>
      <c r="I56" s="32" t="n"/>
      <c r="J56" s="32" t="inlineStr">
        <is>
          <t>As of 12/31/23</t>
        </is>
      </c>
      <c r="K56" s="41" t="n"/>
      <c r="L56" s="41" t="n"/>
      <c r="M56" s="32" t="inlineStr">
        <is>
          <t>No rent; 150,088 SF occupied of 200,090 SF (75.01%).</t>
        </is>
      </c>
    </row>
    <row r="57">
      <c r="A57" s="38" t="inlineStr">
        <is>
          <t>Commercenter #22</t>
        </is>
      </c>
      <c r="B57" s="38" t="inlineStr">
        <is>
          <t>TOTALS</t>
        </is>
      </c>
      <c r="C57" s="38" t="inlineStr">
        <is>
          <t>Grand total — Project Commercenter #22 LLC</t>
        </is>
      </c>
      <c r="D57" s="38" t="inlineStr">
        <is>
          <t>Multi-Tenant Net</t>
        </is>
      </c>
      <c r="E57" s="39">
        <f>SUM(E54:E56)</f>
        <v/>
      </c>
      <c r="F57" s="40">
        <f>SUM(F54:F56)</f>
        <v/>
      </c>
      <c r="G57" s="39" t="n"/>
      <c r="H57" s="38" t="n"/>
      <c r="I57" s="38" t="n"/>
      <c r="J57" s="38" t="inlineStr">
        <is>
          <t>As of 12/31/23</t>
        </is>
      </c>
      <c r="K57" s="39" t="n"/>
      <c r="L57" s="39" t="n"/>
      <c r="M57" s="38" t="inlineStr">
        <is>
          <t>Printed grand total $66,569.61/mo and $798,835.32/yr on 200,090 SF.</t>
        </is>
      </c>
    </row>
    <row r="58">
      <c r="A58" s="32" t="inlineStr">
        <is>
          <t>Commercenter #22</t>
        </is>
      </c>
      <c r="B58" s="32" t="inlineStr">
        <is>
          <t>Bldg 22 / 206422</t>
        </is>
      </c>
      <c r="C58" s="32" t="inlineStr">
        <is>
          <t>Expeditors International of Washington</t>
        </is>
      </c>
      <c r="D58" s="32" t="inlineStr">
        <is>
          <t>Multi-Tenant Net</t>
        </is>
      </c>
      <c r="E58" s="41" t="n">
        <v>27433.52</v>
      </c>
      <c r="F58" s="35" t="n">
        <v>329202.24</v>
      </c>
      <c r="G58" s="41" t="n">
        <v>5.0775</v>
      </c>
      <c r="H58" s="32" t="inlineStr">
        <is>
          <t>8/1/2015</t>
        </is>
      </c>
      <c r="I58" s="32" t="inlineStr">
        <is>
          <t>7/31/2026</t>
        </is>
      </c>
      <c r="J58" s="32" t="inlineStr">
        <is>
          <t>As of 06/30/23</t>
        </is>
      </c>
      <c r="K58" s="41" t="n"/>
      <c r="L58" s="41" t="n"/>
      <c r="M58" s="32" t="inlineStr">
        <is>
          <t>64,835 SF. Monthly net rent $0.4231/SF; steps to $0.4337 by 12/31/23.</t>
        </is>
      </c>
    </row>
    <row r="59">
      <c r="A59" s="32" t="inlineStr">
        <is>
          <t>Commercenter #22</t>
        </is>
      </c>
      <c r="B59" s="32" t="inlineStr">
        <is>
          <t>Bldg 22 / 206422</t>
        </is>
      </c>
      <c r="C59" s="32" t="inlineStr">
        <is>
          <t>Steelcase, Inc.</t>
        </is>
      </c>
      <c r="D59" s="32" t="inlineStr">
        <is>
          <t>Multi-Tenant Net</t>
        </is>
      </c>
      <c r="E59" s="41" t="n">
        <v>38450.25</v>
      </c>
      <c r="F59" s="35" t="n">
        <v>461403</v>
      </c>
      <c r="G59" s="41" t="n">
        <v>5.4122</v>
      </c>
      <c r="H59" s="32" t="inlineStr">
        <is>
          <t>10/1/2019</t>
        </is>
      </c>
      <c r="I59" s="32" t="inlineStr">
        <is>
          <t>12/31/2024</t>
        </is>
      </c>
      <c r="J59" s="32" t="inlineStr">
        <is>
          <t>As of 06/30/23</t>
        </is>
      </c>
      <c r="K59" s="41" t="n"/>
      <c r="L59" s="41" t="n"/>
      <c r="M59" s="32" t="inlineStr">
        <is>
          <t>85,253 SF. Monthly net rent $0.4510/SF.</t>
        </is>
      </c>
    </row>
    <row r="60">
      <c r="A60" s="32" t="inlineStr">
        <is>
          <t>Commercenter #22</t>
        </is>
      </c>
      <c r="B60" s="32" t="inlineStr">
        <is>
          <t>VACANT</t>
        </is>
      </c>
      <c r="C60" s="32" t="inlineStr">
        <is>
          <t>Vacant suite — 50,002 SF (24.99% of building)</t>
        </is>
      </c>
      <c r="D60" s="32" t="inlineStr">
        <is>
          <t>—</t>
        </is>
      </c>
      <c r="E60" s="41" t="n">
        <v>0</v>
      </c>
      <c r="F60" s="35" t="n">
        <v>0</v>
      </c>
      <c r="G60" s="41" t="n">
        <v>0</v>
      </c>
      <c r="H60" s="32" t="n"/>
      <c r="I60" s="32" t="n"/>
      <c r="J60" s="32" t="inlineStr">
        <is>
          <t>As of 06/30/23</t>
        </is>
      </c>
      <c r="K60" s="41" t="n"/>
      <c r="L60" s="41" t="n"/>
      <c r="M60" s="32" t="inlineStr">
        <is>
          <t>No rent; 150,088 SF occupied of 200,090 SF (75.01%).</t>
        </is>
      </c>
    </row>
    <row r="61">
      <c r="A61" s="38" t="inlineStr">
        <is>
          <t>Commercenter #22</t>
        </is>
      </c>
      <c r="B61" s="38" t="inlineStr">
        <is>
          <t>TOTALS</t>
        </is>
      </c>
      <c r="C61" s="38" t="inlineStr">
        <is>
          <t>Grand total — Project Commercenter #22 LLC</t>
        </is>
      </c>
      <c r="D61" s="38" t="inlineStr">
        <is>
          <t>Multi-Tenant Net</t>
        </is>
      </c>
      <c r="E61" s="39">
        <f>SUM(E58:E60)</f>
        <v/>
      </c>
      <c r="F61" s="40">
        <f>SUM(F58:F60)</f>
        <v/>
      </c>
      <c r="G61" s="39" t="n"/>
      <c r="H61" s="38" t="n"/>
      <c r="I61" s="38" t="n"/>
      <c r="J61" s="38" t="inlineStr">
        <is>
          <t>As of 06/30/23</t>
        </is>
      </c>
      <c r="K61" s="39" t="n"/>
      <c r="L61" s="39" t="n"/>
      <c r="M61" s="38" t="inlineStr">
        <is>
          <t>Printed grand total $65,883.77/mo and $790,605.24/yr on 200,090 SF.</t>
        </is>
      </c>
    </row>
    <row r="62">
      <c r="A62" s="33" t="inlineStr">
        <is>
          <t>Commercenter #22 rents are triple-net base rents from the "Rent Roll Master Industrial" report; the annual net rent PSF column is printed on the roll itself. Only two suites are leased — the 50,002 SF balance is vacant at every date shown, so the property totals are 75.01% of building area.</t>
        </is>
      </c>
    </row>
    <row r="65">
      <c r="A65" s="33" t="inlineStr">
        <is>
          <t>Rent PSF is annual base rent ÷ leasable SF as printed on each rent roll. Denver Distribution Center rents are billed monthly per SF ($0.54 → $0.56); the annual PSF shown here is 12× that rate. 2780 N. Tower Road has no rent roll in the file — its rent is taken from the P&amp;L income line and divided by the 377,729 SF in the document title.</t>
        </is>
      </c>
    </row>
  </sheetData>
  <mergeCells count="8">
    <mergeCell ref="A1:M1"/>
    <mergeCell ref="A5:M5"/>
    <mergeCell ref="A18:M18"/>
    <mergeCell ref="A62:M62"/>
    <mergeCell ref="A21:M21"/>
    <mergeCell ref="A65:M65"/>
    <mergeCell ref="A2:M2"/>
    <mergeCell ref="A49:M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pane ySplit="5" topLeftCell="A6" activePane="bottomLeft" state="frozen"/>
      <selection pane="bottomLeft" activeCell="A1" sqref="A1"/>
    </sheetView>
  </sheetViews>
  <sheetFormatPr baseColWidth="8" defaultRowHeight="15"/>
  <cols>
    <col width="30" customWidth="1" min="1" max="1"/>
    <col width="13" customWidth="1" min="2" max="2"/>
    <col width="12" customWidth="1" min="3" max="3"/>
    <col width="13" customWidth="1" min="4" max="4"/>
    <col width="14" customWidth="1" min="5" max="5"/>
    <col width="14" customWidth="1" min="6" max="6"/>
    <col width="10" customWidth="1" min="7" max="7"/>
    <col width="15" customWidth="1" min="8" max="8"/>
  </cols>
  <sheetData>
    <row r="1" ht="26" customHeight="1">
      <c r="A1" s="1" t="inlineStr">
        <is>
          <t>ASSESSMENTS &amp; VALUATION</t>
        </is>
      </c>
    </row>
    <row r="2" ht="14" customHeight="1">
      <c r="A2" s="2" t="inlineStr">
        <is>
          <t>Assessed/county values and income-approach proformas across the tax-appeal &amp; appraisal documents</t>
        </is>
      </c>
    </row>
    <row r="4">
      <c r="A4" s="17" t="inlineStr">
        <is>
          <t>A. Assessed / County Values</t>
        </is>
      </c>
      <c r="B4" s="20" t="n"/>
      <c r="C4" s="20" t="n"/>
      <c r="D4" s="20" t="n"/>
      <c r="E4" s="20" t="n"/>
      <c r="F4" s="20" t="n"/>
      <c r="G4" s="20" t="n"/>
      <c r="H4" s="21" t="n"/>
    </row>
    <row r="5" ht="30" customHeight="1">
      <c r="A5" s="4" t="inlineStr">
        <is>
          <t>Property</t>
        </is>
      </c>
      <c r="B5" s="4" t="inlineStr">
        <is>
          <t>Assess/Tax Yr</t>
        </is>
      </c>
      <c r="C5" s="4" t="inlineStr">
        <is>
          <t>Assessor / County Value</t>
        </is>
      </c>
      <c r="D5" s="4" t="inlineStr">
        <is>
          <t>Value PSF</t>
        </is>
      </c>
      <c r="E5" s="4" t="inlineStr">
        <is>
          <t>Taxpayer / Petitioner Opinion</t>
        </is>
      </c>
      <c r="F5" s="4" t="inlineStr">
        <is>
          <t>Opinion PSF</t>
        </is>
      </c>
      <c r="G5" s="4" t="inlineStr">
        <is>
          <t>Prior-Yr Value</t>
        </is>
      </c>
      <c r="H5" s="4" t="inlineStr">
        <is>
          <t>Source</t>
        </is>
      </c>
    </row>
    <row r="6">
      <c r="A6" s="6" t="inlineStr">
        <is>
          <t>7205 Gilpin Way (R0178308)</t>
        </is>
      </c>
      <c r="B6" s="5" t="inlineStr">
        <is>
          <t>2025</t>
        </is>
      </c>
      <c r="C6" s="9" t="n">
        <v>5150325</v>
      </c>
      <c r="D6" s="16" t="n">
        <v>150.47</v>
      </c>
      <c r="E6" s="9" t="n">
        <v>4832500</v>
      </c>
      <c r="F6" s="16" t="n">
        <v>141.19</v>
      </c>
      <c r="G6" s="9" t="n">
        <v>4999770</v>
      </c>
      <c r="H6" s="6" t="inlineStr">
        <is>
          <t>R0178308</t>
        </is>
      </c>
    </row>
    <row r="7">
      <c r="A7" s="6" t="inlineStr">
        <is>
          <t>17608 E. 24th Dr (R0169133)</t>
        </is>
      </c>
      <c r="B7" s="5" t="inlineStr">
        <is>
          <t>2025</t>
        </is>
      </c>
      <c r="C7" s="9" t="n">
        <v>3408546</v>
      </c>
      <c r="D7" s="16" t="n"/>
      <c r="E7" s="9" t="n">
        <v>3050000</v>
      </c>
      <c r="F7" s="16" t="n">
        <v>145.86</v>
      </c>
      <c r="G7" s="9" t="n">
        <v>2900000</v>
      </c>
      <c r="H7" s="6" t="inlineStr">
        <is>
          <t>R0169133 (cover)</t>
        </is>
      </c>
    </row>
    <row r="8">
      <c r="A8" s="6" t="inlineStr">
        <is>
          <t>12260 Pennsylvania St (R0024442)</t>
        </is>
      </c>
      <c r="B8" s="5" t="inlineStr">
        <is>
          <t>2025</t>
        </is>
      </c>
      <c r="C8" s="9" t="n">
        <v>3876387</v>
      </c>
      <c r="D8" s="16" t="n">
        <v>163.36</v>
      </c>
      <c r="E8" s="9" t="n">
        <v>2837000</v>
      </c>
      <c r="F8" s="16" t="n">
        <v>119.56</v>
      </c>
      <c r="G8" s="9" t="n">
        <v>2000000</v>
      </c>
      <c r="H8" s="6" t="inlineStr">
        <is>
          <t>R0024442</t>
        </is>
      </c>
    </row>
    <row r="9">
      <c r="A9" s="6" t="inlineStr">
        <is>
          <t>6770 E. 56th Ave (R0092302)</t>
        </is>
      </c>
      <c r="B9" s="5" t="inlineStr">
        <is>
          <t>2026</t>
        </is>
      </c>
      <c r="C9" s="9" t="n">
        <v>1815434</v>
      </c>
      <c r="D9" s="16" t="n">
        <v>188.09</v>
      </c>
      <c r="E9" s="9" t="n">
        <v>1493032</v>
      </c>
      <c r="F9" s="16" t="n">
        <v>154.69</v>
      </c>
      <c r="G9" s="9" t="n"/>
      <c r="H9" s="6" t="inlineStr">
        <is>
          <t>R0092302</t>
        </is>
      </c>
    </row>
    <row r="10">
      <c r="A10" s="6" t="inlineStr">
        <is>
          <t>5970 Marion Drive</t>
        </is>
      </c>
      <c r="B10" s="5" t="inlineStr">
        <is>
          <t>2025 (assigned)</t>
        </is>
      </c>
      <c r="C10" s="9" t="n">
        <v>2527915</v>
      </c>
      <c r="D10" s="16" t="n">
        <v>175.55</v>
      </c>
      <c r="E10" s="9" t="n">
        <v>2460577</v>
      </c>
      <c r="F10" s="16" t="n"/>
      <c r="G10" s="9" t="n"/>
      <c r="H10" s="6" t="inlineStr">
        <is>
          <t>5970 Marion xlsx (income block)</t>
        </is>
      </c>
    </row>
    <row r="11">
      <c r="A11" s="32" t="inlineStr">
        <is>
          <t>Commercenter #22 (R0132030)</t>
        </is>
      </c>
      <c r="B11" s="32" t="n">
        <v>2025</v>
      </c>
      <c r="C11" s="35" t="n"/>
      <c r="D11" s="41" t="n"/>
      <c r="E11" s="35" t="n">
        <v>13402900</v>
      </c>
      <c r="F11" s="41" t="n">
        <v>66.98999999999999</v>
      </c>
      <c r="G11" s="35" t="n"/>
      <c r="H11" s="32" t="inlineStr">
        <is>
          <t>R0132030 Exhibit H (proforma)</t>
        </is>
      </c>
    </row>
    <row r="12" ht="28" customHeight="1"/>
    <row r="13">
      <c r="A13" s="18" t="inlineStr">
        <is>
          <t>Historical detail — R0178308: 2025 Land $1,125,150 / Imp $4,025,175 / Total $5,150,325; 2024 Total $4,999,770.  R0169133: 2025 Land $992,519 / Imp $2,122,296 / schedule Total $3,114,815 (cover shows $3,408,546); 2024 Total $2,900,000.  R0024442: 2024 County $2,000,000 → 2025 $3,876,387 (+93.8%).</t>
        </is>
      </c>
      <c r="B13" s="20" t="n"/>
      <c r="C13" s="20" t="n"/>
      <c r="D13" s="20" t="n"/>
      <c r="E13" s="20" t="n"/>
      <c r="F13" s="20" t="n"/>
      <c r="G13" s="20" t="n"/>
      <c r="H13" s="21" t="n"/>
    </row>
    <row r="14"/>
    <row r="15" ht="30" customHeight="1">
      <c r="A15" s="17" t="inlineStr">
        <is>
          <t>B. Income-Approach Proformas</t>
        </is>
      </c>
      <c r="B15" s="20" t="n"/>
      <c r="C15" s="20" t="n"/>
      <c r="D15" s="20" t="n"/>
      <c r="E15" s="20" t="n"/>
      <c r="F15" s="20" t="n"/>
      <c r="G15" s="20" t="n"/>
      <c r="H15" s="21" t="n"/>
    </row>
    <row r="16">
      <c r="A16" s="4" t="inlineStr">
        <is>
          <t>Property</t>
        </is>
      </c>
      <c r="B16" s="4" t="inlineStr">
        <is>
          <t>PGI</t>
        </is>
      </c>
      <c r="C16" s="4" t="inlineStr">
        <is>
          <t>Vacancy</t>
        </is>
      </c>
      <c r="D16" s="4" t="inlineStr">
        <is>
          <t>EGI</t>
        </is>
      </c>
      <c r="E16" s="4" t="inlineStr">
        <is>
          <t>Operating Exp</t>
        </is>
      </c>
      <c r="F16" s="4" t="inlineStr">
        <is>
          <t>NOI</t>
        </is>
      </c>
      <c r="G16" s="4" t="inlineStr">
        <is>
          <t>Cap Rate</t>
        </is>
      </c>
      <c r="H16" s="4" t="inlineStr">
        <is>
          <t>Indicated Value</t>
        </is>
      </c>
    </row>
    <row r="17">
      <c r="A17" s="6" t="inlineStr">
        <is>
          <t>7205 Gilpin Way</t>
        </is>
      </c>
      <c r="B17" s="9" t="n">
        <v>359394</v>
      </c>
      <c r="C17" s="9" t="n">
        <v>-17970</v>
      </c>
      <c r="D17" s="9" t="n">
        <v>341424</v>
      </c>
      <c r="E17" s="9" t="n">
        <v>-27314</v>
      </c>
      <c r="F17" s="14" t="n">
        <v>314110</v>
      </c>
      <c r="G17" s="19" t="n">
        <v>0.065</v>
      </c>
      <c r="H17" s="14" t="n">
        <v>4832500</v>
      </c>
    </row>
    <row r="18">
      <c r="A18" s="6" t="inlineStr">
        <is>
          <t>17608 E. 24th Dr</t>
        </is>
      </c>
      <c r="B18" s="9" t="n">
        <v>209100</v>
      </c>
      <c r="C18" s="9" t="n">
        <v>-10455</v>
      </c>
      <c r="D18" s="9" t="n">
        <v>198645</v>
      </c>
      <c r="E18" s="9" t="n">
        <v>-15892</v>
      </c>
      <c r="F18" s="14" t="n">
        <v>182753</v>
      </c>
      <c r="G18" s="19" t="n">
        <v>0.06</v>
      </c>
      <c r="H18" s="14" t="n">
        <v>3050000</v>
      </c>
    </row>
    <row r="19">
      <c r="A19" s="6" t="inlineStr">
        <is>
          <t>12260 Pennsylvania St</t>
        </is>
      </c>
      <c r="B19" s="9" t="n">
        <v>237290</v>
      </c>
      <c r="C19" s="9" t="n">
        <v>-16610</v>
      </c>
      <c r="D19" s="9" t="n">
        <v>220680</v>
      </c>
      <c r="E19" s="9" t="n">
        <v>-22068</v>
      </c>
      <c r="F19" s="14" t="n">
        <v>198612</v>
      </c>
      <c r="G19" s="19" t="n">
        <v>0.07000000000000001</v>
      </c>
      <c r="H19" s="14" t="n">
        <v>2837000</v>
      </c>
    </row>
    <row r="20">
      <c r="A20" s="6" t="inlineStr">
        <is>
          <t>6770 E. 56th Ave</t>
        </is>
      </c>
      <c r="B20" s="9" t="n">
        <v>115824</v>
      </c>
      <c r="C20" s="9" t="n">
        <v>-5791</v>
      </c>
      <c r="D20" s="9" t="n">
        <v>110033</v>
      </c>
      <c r="E20" s="9" t="n">
        <v>-5502</v>
      </c>
      <c r="F20" s="14" t="n">
        <v>104531</v>
      </c>
      <c r="G20" s="19" t="n">
        <v>0.07000000000000001</v>
      </c>
      <c r="H20" s="14" t="n">
        <v>1493302</v>
      </c>
    </row>
    <row r="21">
      <c r="A21" s="6" t="inlineStr">
        <is>
          <t>5970 Marion Drive (mkt)</t>
        </is>
      </c>
      <c r="B21" s="9" t="n">
        <v>172800</v>
      </c>
      <c r="C21" s="9" t="n">
        <v>-8640</v>
      </c>
      <c r="D21" s="9" t="n">
        <v>164160</v>
      </c>
      <c r="E21" s="9" t="n">
        <v>-4223</v>
      </c>
      <c r="F21" s="14" t="n">
        <v>159937</v>
      </c>
      <c r="G21" s="19" t="n">
        <v>0.065</v>
      </c>
      <c r="H21" s="14" t="n">
        <v>2460577</v>
      </c>
    </row>
    <row r="22" ht="28" customHeight="1">
      <c r="A22" s="32" t="inlineStr">
        <is>
          <t>Commercenter #22 (R0132030)</t>
        </is>
      </c>
      <c r="B22" s="35" t="n">
        <v>1250563</v>
      </c>
      <c r="C22" s="35" t="n">
        <v>-125056</v>
      </c>
      <c r="D22" s="35" t="n">
        <v>1125506</v>
      </c>
      <c r="E22" s="35" t="n">
        <v>-56275</v>
      </c>
      <c r="F22" s="35" t="n">
        <v>1069231</v>
      </c>
      <c r="G22" s="45" t="n">
        <v>0.07630000000000001</v>
      </c>
      <c r="H22" s="35" t="n">
        <v>14013512</v>
      </c>
    </row>
    <row r="23"/>
    <row r="24">
      <c r="A24" s="18" t="inlineStr">
        <is>
          <t>Proforma vacancy/EGI figures as reported by each preparer (Ryan, Property Tax Advisors, or owner's analysis). 5970 Marion figures are from the owner's income-approach block in the 2024 P&amp;L workbook (PGI $172,800, 95% occ, NOI $159,938, 6.5% cap → $2,460,577; assigned $2,527,915).</t>
        </is>
      </c>
      <c r="B24" s="20" t="n"/>
      <c r="C24" s="20" t="n"/>
      <c r="D24" s="20" t="n"/>
      <c r="E24" s="20" t="n"/>
      <c r="F24" s="20" t="n"/>
      <c r="G24" s="20" t="n"/>
      <c r="H24" s="21" t="n"/>
    </row>
    <row r="25">
      <c r="A25" s="33" t="inlineStr">
        <is>
          <t>Commercenter #22 (R0132030): the petitioner's proforma uses PGI $6.25/SF on 200,090 SF, 10% vacancy and collection loss, a 5% expense allowance, and a 7.63% loaded cap rate (7.00% market cap + 0.63% ETR at 41.259 Metro District mills), giving $14,013,512 as-if-stabilized ($70.04/SF, rounded $14,013,500). A further "Adjustment for 67% Vacancy" of $(610,600) yields the $13,402,900 indicated 2025 value shown in section A ($66.99/SF). The 67% label is as printed and does not match the 24.99% vacancy on the rent roll. No assessor/county value appears in the document, so that column is left blank.</t>
        </is>
      </c>
    </row>
  </sheetData>
  <mergeCells count="7">
    <mergeCell ref="A4:H4"/>
    <mergeCell ref="A15:H15"/>
    <mergeCell ref="A25:H25"/>
    <mergeCell ref="A24:H24"/>
    <mergeCell ref="A2:H2"/>
    <mergeCell ref="A13:H13"/>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36" customWidth="1" min="1" max="1"/>
    <col width="16" customWidth="1" min="2" max="2"/>
    <col width="16" customWidth="1" min="3" max="3"/>
    <col width="18" customWidth="1" min="4" max="4"/>
    <col width="50" customWidth="1" min="5" max="5"/>
  </cols>
  <sheetData>
    <row r="1" ht="26" customHeight="1">
      <c r="A1" s="1" t="inlineStr">
        <is>
          <t>INCOME &amp; EXPENSE SUMMARY</t>
        </is>
      </c>
    </row>
    <row r="2" ht="14" customHeight="1">
      <c r="A2" s="2" t="inlineStr">
        <is>
          <t>Operating income, expense &amp; net by property and year (cash/tax basis as noted)</t>
        </is>
      </c>
    </row>
    <row r="4" ht="28" customHeight="1">
      <c r="A4" s="4" t="inlineStr">
        <is>
          <t>Property / Year</t>
        </is>
      </c>
      <c r="B4" s="4" t="inlineStr">
        <is>
          <t>Total Income</t>
        </is>
      </c>
      <c r="C4" s="4" t="inlineStr">
        <is>
          <t>Total Expense</t>
        </is>
      </c>
      <c r="D4" s="4" t="inlineStr">
        <is>
          <t>Net Income / (Loss)</t>
        </is>
      </c>
      <c r="E4" s="4" t="inlineStr">
        <is>
          <t>Basis / Source</t>
        </is>
      </c>
    </row>
    <row r="5">
      <c r="A5" s="11" t="inlineStr">
        <is>
          <t>5970 Marion Drive — FY2024</t>
        </is>
      </c>
      <c r="B5" s="22" t="n">
        <v>249672.2</v>
      </c>
      <c r="C5" s="22" t="n">
        <v>162774.36</v>
      </c>
      <c r="D5" s="23">
        <f>B5-C5</f>
        <v/>
      </c>
      <c r="E5" s="6" t="inlineStr">
        <is>
          <t>5970_Marion 2024 P&amp;L (cash; incl. debt svc &amp; taxes)</t>
        </is>
      </c>
    </row>
    <row r="6">
      <c r="A6" s="11" t="inlineStr">
        <is>
          <t>5970 Marion Drive — FY2023</t>
        </is>
      </c>
      <c r="B6" s="22" t="n">
        <v>247311.55</v>
      </c>
      <c r="C6" s="22" t="n">
        <v>188635.46</v>
      </c>
      <c r="D6" s="23">
        <f>B6-C6</f>
        <v/>
      </c>
      <c r="E6" s="6" t="inlineStr">
        <is>
          <t>2023 Cash Flow (cash; incl. debt svc &amp; taxes)</t>
        </is>
      </c>
    </row>
    <row r="7">
      <c r="A7" s="11" t="inlineStr">
        <is>
          <t>2011 E 58th (TempTee) — 2024 survey</t>
        </is>
      </c>
      <c r="B7" s="22" t="n"/>
      <c r="C7" s="22" t="n">
        <v>138050</v>
      </c>
      <c r="D7" s="24" t="inlineStr">
        <is>
          <t>—</t>
        </is>
      </c>
      <c r="E7" s="6" t="inlineStr">
        <is>
          <t>Owner-occupied; reported OpEx only ('in house' items = $0)</t>
        </is>
      </c>
    </row>
    <row r="8">
      <c r="A8" s="11" t="inlineStr">
        <is>
          <t>125 Bridge St (Broadview) — Form 8825</t>
        </is>
      </c>
      <c r="B8" s="22" t="n">
        <v>307817</v>
      </c>
      <c r="C8" s="22" t="n">
        <v>316181</v>
      </c>
      <c r="D8" s="23">
        <f>B8-C8</f>
        <v/>
      </c>
      <c r="E8" s="6" t="inlineStr">
        <is>
          <t>IRS Form 8825 (tax basis; incl. depreciation, amort. &amp; interest)</t>
        </is>
      </c>
    </row>
    <row r="9">
      <c r="A9" s="42" t="inlineStr">
        <is>
          <t>Denver Distribution Ctr (R0180834) — FY2024</t>
        </is>
      </c>
      <c r="B9" s="43" t="n">
        <v>5292302.21</v>
      </c>
      <c r="C9" s="43" t="n">
        <v>2376573.38</v>
      </c>
      <c r="D9" s="43">
        <f>B9-C9</f>
        <v/>
      </c>
      <c r="E9" s="44" t="inlineStr">
        <is>
          <t>Accrual income statement, Dec-2024 YTD. Net = NOI $2,915,728.83 (printed). Excludes $902,885.40 non-operating financing cost; net income after financing $2,012,843.43.</t>
        </is>
      </c>
    </row>
    <row r="10" ht="28" customHeight="1">
      <c r="A10" s="42" t="inlineStr">
        <is>
          <t>2780 N. Tower Rd (R0212546) — FY2024</t>
        </is>
      </c>
      <c r="B10" s="43" t="n">
        <v>3047376</v>
      </c>
      <c r="C10" s="43" t="n">
        <v>515200</v>
      </c>
      <c r="D10" s="43">
        <f>B10-C10</f>
        <v/>
      </c>
      <c r="E10" s="44" t="inlineStr">
        <is>
          <t>Accrual P&amp;L. Net = net ordinary income $2,532,176 (printed). Expense incl. depreciation $456,096 &amp; amortization $12,124; excl. interest $613,282. Cash operating expense only $46,980 ($0.12/SF).</t>
        </is>
      </c>
    </row>
    <row r="11">
      <c r="A11" s="42" t="inlineStr">
        <is>
          <t>2780 N. Tower Rd (R0212546) — FY2023</t>
        </is>
      </c>
      <c r="B11" s="43" t="n">
        <v>2979661</v>
      </c>
      <c r="C11" s="43" t="n">
        <v>497459</v>
      </c>
      <c r="D11" s="43">
        <f>B11-C11</f>
        <v/>
      </c>
      <c r="E11" s="44" t="inlineStr">
        <is>
          <t>Accrual P&amp;L. Net = net ordinary income $2,482,202 (printed). Net income after $641,014 interest and $18 other income = $1,841,206.</t>
        </is>
      </c>
    </row>
    <row r="12">
      <c r="A12" s="42" t="inlineStr">
        <is>
          <t>Majestic Commercenter (R0083953) — FY2024</t>
        </is>
      </c>
      <c r="B12" s="43" t="n">
        <v>1361972.79</v>
      </c>
      <c r="C12" s="43" t="n">
        <v>612748.98</v>
      </c>
      <c r="D12" s="43">
        <f>B12-C12</f>
        <v/>
      </c>
      <c r="E12" s="44" t="inlineStr">
        <is>
          <t>Net = income from operations $749,223.81 (printed). Excludes $71,251.20 lease commission and $100 G&amp;A; operating summary after those = $677,872.61.</t>
        </is>
      </c>
    </row>
    <row r="13">
      <c r="A13" s="42" t="inlineStr">
        <is>
          <t>Majestic Commercenter (R0083953) — FY2023</t>
        </is>
      </c>
      <c r="B13" s="43" t="n">
        <v>1332229.95</v>
      </c>
      <c r="C13" s="43" t="n">
        <v>534383.48</v>
      </c>
      <c r="D13" s="43">
        <f>B13-C13</f>
        <v/>
      </c>
      <c r="E13" s="44" t="inlineStr">
        <is>
          <t>Net = income from operations $797,846.47 (printed). Operating summary after $100 G&amp;A = $797,746.47.</t>
        </is>
      </c>
    </row>
    <row r="14">
      <c r="A14" s="42" t="inlineStr">
        <is>
          <t>Majestic Commercenter (R0083953) — FY2022</t>
        </is>
      </c>
      <c r="B14" s="43" t="n">
        <v>1158591.35</v>
      </c>
      <c r="C14" s="43" t="n">
        <v>517966.24</v>
      </c>
      <c r="D14" s="43">
        <f>B14-C14</f>
        <v/>
      </c>
      <c r="E14" s="44" t="inlineStr">
        <is>
          <t>Net = income from operations $640,625.11 (printed). Excludes $24,325.08 lease commission and $100 G&amp;A; operating summary after those = $616,200.03.</t>
        </is>
      </c>
    </row>
    <row r="15">
      <c r="A15" s="32" t="inlineStr">
        <is>
          <t>Commercenter #22 (R0132030) — FY2024</t>
        </is>
      </c>
      <c r="B15" s="35" t="n">
        <v>1648443.25</v>
      </c>
      <c r="C15" s="35" t="n">
        <v>872475.4300000001</v>
      </c>
      <c r="D15" s="35">
        <f>B15-C15</f>
        <v/>
      </c>
      <c r="E15" s="32" t="inlineStr">
        <is>
          <t>Accrual 12-month detail income statement. Net = operating income $775,967.82 (printed). Excludes $457,397.92 mortgage interest and $743,031.13 other (income)/expense — after those the printed bottom line is a net loss of $(424,461.23).</t>
        </is>
      </c>
    </row>
    <row r="16"/>
    <row r="17">
      <c r="A17" s="18" t="inlineStr">
        <is>
          <t>Net = Total Income − Total Expense as printed. Bases differ: 5970 Marion &amp; Broadview totals include financing/depreciation, so they are cash-flow / tax figures, not NOI. TempTee reported operating expenses only. See 'Assessments &amp; Valuation' tab for stabilized NOI proformas.</t>
        </is>
      </c>
      <c r="B17" s="20" t="n"/>
      <c r="C17" s="20" t="n"/>
      <c r="D17" s="20" t="n"/>
      <c r="E17" s="21" t="n"/>
    </row>
  </sheetData>
  <mergeCells count="3">
    <mergeCell ref="A2:E2"/>
    <mergeCell ref="A1:E1"/>
    <mergeCell ref="A17:E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6"/>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34" customWidth="1" min="3" max="3"/>
    <col width="16" customWidth="1" min="4" max="4"/>
    <col width="46" customWidth="1" min="5" max="5"/>
  </cols>
  <sheetData>
    <row r="1" ht="26" customHeight="1">
      <c r="A1" s="1" t="inlineStr">
        <is>
          <t>INCOME &amp; EXPENSE DETAIL</t>
        </is>
      </c>
    </row>
    <row r="2" ht="14" customHeight="1">
      <c r="A2" s="2" t="inlineStr">
        <is>
          <t>Line-item detail by property/year. Totals use =SUM to cross-check printed figures.</t>
        </is>
      </c>
    </row>
    <row r="4" ht="28" customHeight="1">
      <c r="A4" s="4" t="inlineStr">
        <is>
          <t>Property / Year</t>
        </is>
      </c>
      <c r="B4" s="4" t="inlineStr">
        <is>
          <t>Category</t>
        </is>
      </c>
      <c r="C4" s="4" t="inlineStr">
        <is>
          <t>Line Item / Account</t>
        </is>
      </c>
      <c r="D4" s="4" t="inlineStr">
        <is>
          <t>Amount</t>
        </is>
      </c>
      <c r="E4" s="4" t="inlineStr">
        <is>
          <t>Notes</t>
        </is>
      </c>
    </row>
    <row r="5">
      <c r="A5" s="6" t="inlineStr">
        <is>
          <t>5970 Marion Drive — FY2024</t>
        </is>
      </c>
      <c r="B5" s="25" t="inlineStr">
        <is>
          <t>Income</t>
        </is>
      </c>
      <c r="C5" s="6" t="inlineStr">
        <is>
          <t>4001 - Rent (Units 1 &amp; 2)</t>
        </is>
      </c>
      <c r="D5" s="22" t="n">
        <v>168399.6</v>
      </c>
      <c r="E5" s="6" t="inlineStr">
        <is>
          <t>Whatever It Takes Transmissions + Integrated Turf Solutions</t>
        </is>
      </c>
    </row>
    <row r="6">
      <c r="A6" s="6" t="inlineStr">
        <is>
          <t>5970 Marion Drive — FY2024</t>
        </is>
      </c>
      <c r="B6" s="25" t="inlineStr">
        <is>
          <t>Income</t>
        </is>
      </c>
      <c r="C6" s="6" t="inlineStr">
        <is>
          <t>4200 - CAM Escrows</t>
        </is>
      </c>
      <c r="D6" s="22" t="n">
        <v>81272.60000000001</v>
      </c>
      <c r="E6" s="6" t="inlineStr">
        <is>
          <t>CAM recoveries</t>
        </is>
      </c>
    </row>
    <row r="7">
      <c r="A7" s="11" t="inlineStr">
        <is>
          <t>5970 Marion Drive — FY2024</t>
        </is>
      </c>
      <c r="B7" s="26" t="inlineStr">
        <is>
          <t>Income</t>
        </is>
      </c>
      <c r="C7" s="12" t="inlineStr">
        <is>
          <t>TOTAL INCOME</t>
        </is>
      </c>
      <c r="D7" s="23">
        <f>SUM(D5:D6)</f>
        <v/>
      </c>
      <c r="E7" s="18" t="inlineStr">
        <is>
          <t>Printed total: $249,672.20.</t>
        </is>
      </c>
    </row>
    <row r="8">
      <c r="A8" s="6" t="inlineStr">
        <is>
          <t>5970 Marion Drive — FY2024</t>
        </is>
      </c>
      <c r="B8" s="27" t="inlineStr">
        <is>
          <t>Expense</t>
        </is>
      </c>
      <c r="C8" s="6" t="inlineStr">
        <is>
          <t>Utilities - Water</t>
        </is>
      </c>
      <c r="D8" s="22" t="n">
        <v>2175.55</v>
      </c>
      <c r="E8" s="6" t="inlineStr"/>
    </row>
    <row r="9">
      <c r="A9" s="6" t="inlineStr">
        <is>
          <t>5970 Marion Drive — FY2024</t>
        </is>
      </c>
      <c r="B9" s="27" t="inlineStr">
        <is>
          <t>Expense</t>
        </is>
      </c>
      <c r="C9" s="6" t="inlineStr">
        <is>
          <t>Utilities - Sewer</t>
        </is>
      </c>
      <c r="D9" s="22" t="n">
        <v>394.3</v>
      </c>
      <c r="E9" s="6" t="inlineStr"/>
    </row>
    <row r="10">
      <c r="A10" s="6" t="inlineStr">
        <is>
          <t>5970 Marion Drive — FY2024</t>
        </is>
      </c>
      <c r="B10" s="27" t="inlineStr">
        <is>
          <t>Expense</t>
        </is>
      </c>
      <c r="C10" s="6" t="inlineStr">
        <is>
          <t>Inspection &amp; Compliance</t>
        </is>
      </c>
      <c r="D10" s="22" t="n">
        <v>100</v>
      </c>
      <c r="E10" s="6" t="inlineStr"/>
    </row>
    <row r="11">
      <c r="A11" s="6" t="inlineStr">
        <is>
          <t>5970 Marion Drive — FY2024</t>
        </is>
      </c>
      <c r="B11" s="27" t="inlineStr">
        <is>
          <t>Expense</t>
        </is>
      </c>
      <c r="C11" s="6" t="inlineStr">
        <is>
          <t>Snow Removal</t>
        </is>
      </c>
      <c r="D11" s="22" t="n">
        <v>927.47</v>
      </c>
      <c r="E11" s="6" t="inlineStr"/>
    </row>
    <row r="12">
      <c r="A12" s="6" t="inlineStr">
        <is>
          <t>5970 Marion Drive — FY2024</t>
        </is>
      </c>
      <c r="B12" s="27" t="inlineStr">
        <is>
          <t>Expense</t>
        </is>
      </c>
      <c r="C12" s="6" t="inlineStr">
        <is>
          <t>Common Area Clean</t>
        </is>
      </c>
      <c r="D12" s="22" t="n">
        <v>200</v>
      </c>
      <c r="E12" s="6" t="inlineStr"/>
    </row>
    <row r="13">
      <c r="A13" s="6" t="inlineStr">
        <is>
          <t>5970 Marion Drive — FY2024</t>
        </is>
      </c>
      <c r="B13" s="27" t="inlineStr">
        <is>
          <t>Expense</t>
        </is>
      </c>
      <c r="C13" s="6" t="inlineStr">
        <is>
          <t>Property Management</t>
        </is>
      </c>
      <c r="D13" s="22" t="n">
        <v>6000</v>
      </c>
      <c r="E13" s="6" t="inlineStr">
        <is>
          <t>Deerwoods</t>
        </is>
      </c>
    </row>
    <row r="14">
      <c r="A14" s="6" t="inlineStr">
        <is>
          <t>5970 Marion Drive — FY2024</t>
        </is>
      </c>
      <c r="B14" s="27" t="inlineStr">
        <is>
          <t>Expense</t>
        </is>
      </c>
      <c r="C14" s="6" t="inlineStr">
        <is>
          <t>Eviction Fees</t>
        </is>
      </c>
      <c r="D14" s="22" t="n">
        <v>0</v>
      </c>
      <c r="E14" s="6" t="inlineStr">
        <is>
          <t>net $0</t>
        </is>
      </c>
    </row>
    <row r="15">
      <c r="A15" s="6" t="inlineStr">
        <is>
          <t>5970 Marion Drive — FY2024</t>
        </is>
      </c>
      <c r="B15" s="27" t="inlineStr">
        <is>
          <t>Expense</t>
        </is>
      </c>
      <c r="C15" s="6" t="inlineStr">
        <is>
          <t>Insurance</t>
        </is>
      </c>
      <c r="D15" s="22" t="n">
        <v>10241.26</v>
      </c>
      <c r="E15" s="6" t="inlineStr">
        <is>
          <t>Farmers</t>
        </is>
      </c>
    </row>
    <row r="16">
      <c r="A16" s="6" t="inlineStr">
        <is>
          <t>5970 Marion Drive — FY2024</t>
        </is>
      </c>
      <c r="B16" s="27" t="inlineStr">
        <is>
          <t>Expense</t>
        </is>
      </c>
      <c r="C16" s="6" t="inlineStr">
        <is>
          <t>Taxes - Real Property</t>
        </is>
      </c>
      <c r="D16" s="22" t="n">
        <v>62852.62</v>
      </c>
      <c r="E16" s="6" t="inlineStr">
        <is>
          <t>Adams Co.</t>
        </is>
      </c>
    </row>
    <row r="17">
      <c r="A17" s="6" t="inlineStr">
        <is>
          <t>5970 Marion Drive — FY2024</t>
        </is>
      </c>
      <c r="B17" s="27" t="inlineStr">
        <is>
          <t>Expense</t>
        </is>
      </c>
      <c r="C17" s="6" t="inlineStr">
        <is>
          <t>Taxes Other</t>
        </is>
      </c>
      <c r="D17" s="22" t="n">
        <v>800</v>
      </c>
      <c r="E17" s="6" t="inlineStr"/>
    </row>
    <row r="18">
      <c r="A18" s="6" t="inlineStr">
        <is>
          <t>5970 Marion Drive — FY2024</t>
        </is>
      </c>
      <c r="B18" s="27" t="inlineStr">
        <is>
          <t>Expense</t>
        </is>
      </c>
      <c r="C18" s="6" t="inlineStr">
        <is>
          <t>Mortgage Principal</t>
        </is>
      </c>
      <c r="D18" s="22" t="n">
        <v>27586.31</v>
      </c>
      <c r="E18" s="6" t="inlineStr">
        <is>
          <t>Alpine Bank</t>
        </is>
      </c>
    </row>
    <row r="19">
      <c r="A19" s="6" t="inlineStr">
        <is>
          <t>5970 Marion Drive — FY2024</t>
        </is>
      </c>
      <c r="B19" s="27" t="inlineStr">
        <is>
          <t>Expense</t>
        </is>
      </c>
      <c r="C19" s="6" t="inlineStr">
        <is>
          <t>Mortgage Interest</t>
        </is>
      </c>
      <c r="D19" s="22" t="n">
        <v>50738.17</v>
      </c>
      <c r="E19" s="6" t="inlineStr">
        <is>
          <t>Alpine Bank</t>
        </is>
      </c>
    </row>
    <row r="20">
      <c r="A20" s="6" t="inlineStr">
        <is>
          <t>5970 Marion Drive — FY2024</t>
        </is>
      </c>
      <c r="B20" s="27" t="inlineStr">
        <is>
          <t>Expense</t>
        </is>
      </c>
      <c r="C20" s="6" t="inlineStr">
        <is>
          <t>Legal &amp; Professional</t>
        </is>
      </c>
      <c r="D20" s="22" t="n">
        <v>465</v>
      </c>
      <c r="E20" s="6" t="inlineStr"/>
    </row>
    <row r="21">
      <c r="A21" s="6" t="inlineStr">
        <is>
          <t>5970 Marion Drive — FY2024</t>
        </is>
      </c>
      <c r="B21" s="27" t="inlineStr">
        <is>
          <t>Expense</t>
        </is>
      </c>
      <c r="C21" s="6" t="inlineStr">
        <is>
          <t>Other</t>
        </is>
      </c>
      <c r="D21" s="22" t="n">
        <v>293.68</v>
      </c>
      <c r="E21" s="6" t="inlineStr"/>
    </row>
    <row r="22">
      <c r="A22" s="11" t="inlineStr">
        <is>
          <t>5970 Marion Drive — FY2024</t>
        </is>
      </c>
      <c r="B22" s="28" t="inlineStr">
        <is>
          <t>Expense</t>
        </is>
      </c>
      <c r="C22" s="12" t="inlineStr">
        <is>
          <t>TOTAL EXPENSE</t>
        </is>
      </c>
      <c r="D22" s="23">
        <f>SUM(D8:D21)</f>
        <v/>
      </c>
      <c r="E22" s="18" t="inlineStr">
        <is>
          <t>Printed total: $162,774.36. cash basis; incl. debt service &amp; property taxes</t>
        </is>
      </c>
    </row>
    <row r="23">
      <c r="A23" s="6" t="inlineStr">
        <is>
          <t>5970 Marion Drive — FY2023</t>
        </is>
      </c>
      <c r="B23" s="25" t="inlineStr">
        <is>
          <t>Income</t>
        </is>
      </c>
      <c r="C23" s="6" t="inlineStr">
        <is>
          <t>CAM Escrows</t>
        </is>
      </c>
      <c r="D23" s="22" t="n">
        <v>89143.03999999999</v>
      </c>
      <c r="E23" s="6" t="inlineStr"/>
    </row>
    <row r="24">
      <c r="A24" s="6" t="inlineStr">
        <is>
          <t>5970 Marion Drive — FY2023</t>
        </is>
      </c>
      <c r="B24" s="25" t="inlineStr">
        <is>
          <t>Income</t>
        </is>
      </c>
      <c r="C24" s="6" t="inlineStr">
        <is>
          <t>Prior Year CAM</t>
        </is>
      </c>
      <c r="D24" s="22" t="n">
        <v>523.01</v>
      </c>
      <c r="E24" s="6" t="inlineStr"/>
    </row>
    <row r="25">
      <c r="A25" s="6" t="inlineStr">
        <is>
          <t>5970 Marion Drive — FY2023</t>
        </is>
      </c>
      <c r="B25" s="25" t="inlineStr">
        <is>
          <t>Income</t>
        </is>
      </c>
      <c r="C25" s="6" t="inlineStr">
        <is>
          <t>Tenant Admin Fees</t>
        </is>
      </c>
      <c r="D25" s="22" t="n">
        <v>500</v>
      </c>
      <c r="E25" s="6" t="inlineStr"/>
    </row>
    <row r="26">
      <c r="A26" s="6" t="inlineStr">
        <is>
          <t>5970 Marion Drive — FY2023</t>
        </is>
      </c>
      <c r="B26" s="25" t="inlineStr">
        <is>
          <t>Income</t>
        </is>
      </c>
      <c r="C26" s="6" t="inlineStr">
        <is>
          <t>Rent Income</t>
        </is>
      </c>
      <c r="D26" s="22" t="n">
        <v>157145.5</v>
      </c>
      <c r="E26" s="6" t="inlineStr"/>
    </row>
    <row r="27">
      <c r="A27" s="11" t="inlineStr">
        <is>
          <t>5970 Marion Drive — FY2023</t>
        </is>
      </c>
      <c r="B27" s="26" t="inlineStr">
        <is>
          <t>Income</t>
        </is>
      </c>
      <c r="C27" s="12" t="inlineStr">
        <is>
          <t>TOTAL INCOME</t>
        </is>
      </c>
      <c r="D27" s="23">
        <f>SUM(D23:D26)</f>
        <v/>
      </c>
      <c r="E27" s="18" t="inlineStr">
        <is>
          <t>Printed total: $247,311.55.</t>
        </is>
      </c>
    </row>
    <row r="28">
      <c r="A28" s="6" t="inlineStr">
        <is>
          <t>5970 Marion Drive — FY2023</t>
        </is>
      </c>
      <c r="B28" s="27" t="inlineStr">
        <is>
          <t>Expense</t>
        </is>
      </c>
      <c r="C28" s="6" t="inlineStr">
        <is>
          <t>Electrical Repairs &amp; Lighting</t>
        </is>
      </c>
      <c r="D28" s="22" t="n">
        <v>1550</v>
      </c>
      <c r="E28" s="6" t="inlineStr"/>
    </row>
    <row r="29">
      <c r="A29" s="6" t="inlineStr">
        <is>
          <t>5970 Marion Drive — FY2023</t>
        </is>
      </c>
      <c r="B29" s="27" t="inlineStr">
        <is>
          <t>Expense</t>
        </is>
      </c>
      <c r="C29" s="6" t="inlineStr">
        <is>
          <t>Roofing Repairs</t>
        </is>
      </c>
      <c r="D29" s="22" t="n">
        <v>47000</v>
      </c>
      <c r="E29" s="6" t="inlineStr"/>
    </row>
    <row r="30">
      <c r="A30" s="6" t="inlineStr">
        <is>
          <t>5970 Marion Drive — FY2023</t>
        </is>
      </c>
      <c r="B30" s="27" t="inlineStr">
        <is>
          <t>Expense</t>
        </is>
      </c>
      <c r="C30" s="6" t="inlineStr">
        <is>
          <t>Drywall Repairs</t>
        </is>
      </c>
      <c r="D30" s="22" t="n">
        <v>810</v>
      </c>
      <c r="E30" s="6" t="inlineStr"/>
    </row>
    <row r="31">
      <c r="A31" s="6" t="inlineStr">
        <is>
          <t>5970 Marion Drive — FY2023</t>
        </is>
      </c>
      <c r="B31" s="27" t="inlineStr">
        <is>
          <t>Expense</t>
        </is>
      </c>
      <c r="C31" s="6" t="inlineStr">
        <is>
          <t>Snow Removal</t>
        </is>
      </c>
      <c r="D31" s="22" t="n">
        <v>1016.31</v>
      </c>
      <c r="E31" s="6" t="inlineStr"/>
    </row>
    <row r="32">
      <c r="A32" s="6" t="inlineStr">
        <is>
          <t>5970 Marion Drive — FY2023</t>
        </is>
      </c>
      <c r="B32" s="27" t="inlineStr">
        <is>
          <t>Expense</t>
        </is>
      </c>
      <c r="C32" s="6" t="inlineStr">
        <is>
          <t>Utilities - Water</t>
        </is>
      </c>
      <c r="D32" s="22" t="n">
        <v>2157.08</v>
      </c>
      <c r="E32" s="6" t="inlineStr"/>
    </row>
    <row r="33">
      <c r="A33" s="6" t="inlineStr">
        <is>
          <t>5970 Marion Drive — FY2023</t>
        </is>
      </c>
      <c r="B33" s="27" t="inlineStr">
        <is>
          <t>Expense</t>
        </is>
      </c>
      <c r="C33" s="6" t="inlineStr">
        <is>
          <t>Trash</t>
        </is>
      </c>
      <c r="D33" s="22" t="n">
        <v>151.01</v>
      </c>
      <c r="E33" s="6" t="inlineStr"/>
    </row>
    <row r="34">
      <c r="A34" s="6" t="inlineStr">
        <is>
          <t>5970 Marion Drive — FY2023</t>
        </is>
      </c>
      <c r="B34" s="27" t="inlineStr">
        <is>
          <t>Expense</t>
        </is>
      </c>
      <c r="C34" s="6" t="inlineStr">
        <is>
          <t>Inspection &amp; Compliance</t>
        </is>
      </c>
      <c r="D34" s="22" t="n">
        <v>110</v>
      </c>
      <c r="E34" s="6" t="inlineStr"/>
    </row>
    <row r="35">
      <c r="A35" s="6" t="inlineStr">
        <is>
          <t>5970 Marion Drive — FY2023</t>
        </is>
      </c>
      <c r="B35" s="27" t="inlineStr">
        <is>
          <t>Expense</t>
        </is>
      </c>
      <c r="C35" s="6" t="inlineStr">
        <is>
          <t>Property Management</t>
        </is>
      </c>
      <c r="D35" s="22" t="n">
        <v>6000</v>
      </c>
      <c r="E35" s="6" t="inlineStr"/>
    </row>
    <row r="36">
      <c r="A36" s="6" t="inlineStr">
        <is>
          <t>5970 Marion Drive — FY2023</t>
        </is>
      </c>
      <c r="B36" s="27" t="inlineStr">
        <is>
          <t>Expense</t>
        </is>
      </c>
      <c r="C36" s="6" t="inlineStr">
        <is>
          <t>Bank fees</t>
        </is>
      </c>
      <c r="D36" s="22" t="n">
        <v>180</v>
      </c>
      <c r="E36" s="6" t="inlineStr"/>
    </row>
    <row r="37">
      <c r="A37" s="6" t="inlineStr">
        <is>
          <t>5970 Marion Drive — FY2023</t>
        </is>
      </c>
      <c r="B37" s="27" t="inlineStr">
        <is>
          <t>Expense</t>
        </is>
      </c>
      <c r="C37" s="6" t="inlineStr">
        <is>
          <t>Insurance</t>
        </is>
      </c>
      <c r="D37" s="22" t="n">
        <v>8640.99</v>
      </c>
      <c r="E37" s="6" t="inlineStr"/>
    </row>
    <row r="38">
      <c r="A38" s="6" t="inlineStr">
        <is>
          <t>5970 Marion Drive — FY2023</t>
        </is>
      </c>
      <c r="B38" s="27" t="inlineStr">
        <is>
          <t>Expense</t>
        </is>
      </c>
      <c r="C38" s="6" t="inlineStr">
        <is>
          <t>Taxes - Real Property</t>
        </is>
      </c>
      <c r="D38" s="22" t="n">
        <v>37726.76</v>
      </c>
      <c r="E38" s="6" t="inlineStr"/>
    </row>
    <row r="39">
      <c r="A39" s="6" t="inlineStr">
        <is>
          <t>5970 Marion Drive — FY2023</t>
        </is>
      </c>
      <c r="B39" s="27" t="inlineStr">
        <is>
          <t>Expense</t>
        </is>
      </c>
      <c r="C39" s="6" t="inlineStr">
        <is>
          <t>Taxes Other</t>
        </is>
      </c>
      <c r="D39" s="22" t="n">
        <v>4968.83</v>
      </c>
      <c r="E39" s="6" t="inlineStr"/>
    </row>
    <row r="40">
      <c r="A40" s="6" t="inlineStr">
        <is>
          <t>5970 Marion Drive — FY2023</t>
        </is>
      </c>
      <c r="B40" s="27" t="inlineStr">
        <is>
          <t>Expense</t>
        </is>
      </c>
      <c r="C40" s="6" t="inlineStr">
        <is>
          <t>Mortgage Principal</t>
        </is>
      </c>
      <c r="D40" s="22" t="n">
        <v>26699.59</v>
      </c>
      <c r="E40" s="6" t="inlineStr"/>
    </row>
    <row r="41">
      <c r="A41" s="6" t="inlineStr">
        <is>
          <t>5970 Marion Drive — FY2023</t>
        </is>
      </c>
      <c r="B41" s="27" t="inlineStr">
        <is>
          <t>Expense</t>
        </is>
      </c>
      <c r="C41" s="6" t="inlineStr">
        <is>
          <t>Mortgage Interest</t>
        </is>
      </c>
      <c r="D41" s="22" t="n">
        <v>51624.89</v>
      </c>
      <c r="E41" s="6" t="inlineStr"/>
    </row>
    <row r="42">
      <c r="A42" s="11" t="inlineStr">
        <is>
          <t>5970 Marion Drive — FY2023</t>
        </is>
      </c>
      <c r="B42" s="28" t="inlineStr">
        <is>
          <t>Expense</t>
        </is>
      </c>
      <c r="C42" s="12" t="inlineStr">
        <is>
          <t>TOTAL EXPENSE</t>
        </is>
      </c>
      <c r="D42" s="23">
        <f>SUM(D28:D41)</f>
        <v/>
      </c>
      <c r="E42" s="18" t="inlineStr">
        <is>
          <t>Printed total: $188,635.46. cash basis; Owner Draw $100,000 (financing) excluded</t>
        </is>
      </c>
    </row>
    <row r="43">
      <c r="A43" s="6" t="inlineStr">
        <is>
          <t>2011 E 58th (TempTee) — 2024</t>
        </is>
      </c>
      <c r="B43" s="27" t="inlineStr">
        <is>
          <t>Expense</t>
        </is>
      </c>
      <c r="C43" s="6" t="inlineStr">
        <is>
          <t>Advertising (leasing)</t>
        </is>
      </c>
      <c r="D43" s="22" t="n">
        <v>0</v>
      </c>
      <c r="E43" s="6" t="inlineStr"/>
    </row>
    <row r="44">
      <c r="A44" s="6" t="inlineStr">
        <is>
          <t>2011 E 58th (TempTee) — 2024</t>
        </is>
      </c>
      <c r="B44" s="27" t="inlineStr">
        <is>
          <t>Expense</t>
        </is>
      </c>
      <c r="C44" s="6" t="inlineStr">
        <is>
          <t>Building Insurance</t>
        </is>
      </c>
      <c r="D44" s="22" t="n">
        <v>14050</v>
      </c>
      <c r="E44" s="6" t="inlineStr"/>
    </row>
    <row r="45">
      <c r="A45" s="6" t="inlineStr">
        <is>
          <t>2011 E 58th (TempTee) — 2024</t>
        </is>
      </c>
      <c r="B45" s="27" t="inlineStr">
        <is>
          <t>Expense</t>
        </is>
      </c>
      <c r="C45" s="6" t="inlineStr">
        <is>
          <t>Building Repair &amp; Maintenance</t>
        </is>
      </c>
      <c r="D45" s="22" t="n">
        <v>10000</v>
      </c>
      <c r="E45" s="6" t="inlineStr"/>
    </row>
    <row r="46">
      <c r="A46" s="6" t="inlineStr">
        <is>
          <t>2011 E 58th (TempTee) — 2024</t>
        </is>
      </c>
      <c r="B46" s="27" t="inlineStr">
        <is>
          <t>Expense</t>
        </is>
      </c>
      <c r="C46" s="6" t="inlineStr">
        <is>
          <t>Ground Maintenance</t>
        </is>
      </c>
      <c r="D46" s="22" t="n">
        <v>0</v>
      </c>
      <c r="E46" s="6" t="inlineStr">
        <is>
          <t>'in house'</t>
        </is>
      </c>
    </row>
    <row r="47">
      <c r="A47" s="6" t="inlineStr">
        <is>
          <t>2011 E 58th (TempTee) — 2024</t>
        </is>
      </c>
      <c r="B47" s="27" t="inlineStr">
        <is>
          <t>Expense</t>
        </is>
      </c>
      <c r="C47" s="6" t="inlineStr">
        <is>
          <t>Janitorial</t>
        </is>
      </c>
      <c r="D47" s="22" t="n">
        <v>0</v>
      </c>
      <c r="E47" s="6" t="inlineStr">
        <is>
          <t>'in house'</t>
        </is>
      </c>
    </row>
    <row r="48">
      <c r="A48" s="6" t="inlineStr">
        <is>
          <t>2011 E 58th (TempTee) — 2024</t>
        </is>
      </c>
      <c r="B48" s="27" t="inlineStr">
        <is>
          <t>Expense</t>
        </is>
      </c>
      <c r="C48" s="6" t="inlineStr">
        <is>
          <t>Leasing Commissions</t>
        </is>
      </c>
      <c r="D48" s="22" t="n">
        <v>0</v>
      </c>
      <c r="E48" s="6" t="inlineStr"/>
    </row>
    <row r="49">
      <c r="A49" s="6" t="inlineStr">
        <is>
          <t>2011 E 58th (TempTee) — 2024</t>
        </is>
      </c>
      <c r="B49" s="27" t="inlineStr">
        <is>
          <t>Expense</t>
        </is>
      </c>
      <c r="C49" s="6" t="inlineStr">
        <is>
          <t>Management</t>
        </is>
      </c>
      <c r="D49" s="22" t="n">
        <v>0</v>
      </c>
      <c r="E49" s="6" t="inlineStr"/>
    </row>
    <row r="50">
      <c r="A50" s="6" t="inlineStr">
        <is>
          <t>2011 E 58th (TempTee) — 2024</t>
        </is>
      </c>
      <c r="B50" s="27" t="inlineStr">
        <is>
          <t>Expense</t>
        </is>
      </c>
      <c r="C50" s="6" t="inlineStr">
        <is>
          <t>Snow/Trash Removal</t>
        </is>
      </c>
      <c r="D50" s="22" t="n">
        <v>12000</v>
      </c>
      <c r="E50" s="6" t="inlineStr"/>
    </row>
    <row r="51">
      <c r="A51" s="6" t="inlineStr">
        <is>
          <t>2011 E 58th (TempTee) — 2024</t>
        </is>
      </c>
      <c r="B51" s="27" t="inlineStr">
        <is>
          <t>Expense</t>
        </is>
      </c>
      <c r="C51" s="6" t="inlineStr">
        <is>
          <t>Utilities</t>
        </is>
      </c>
      <c r="D51" s="22" t="n">
        <v>102000</v>
      </c>
      <c r="E51" s="6" t="inlineStr"/>
    </row>
    <row r="52">
      <c r="A52" s="11" t="inlineStr">
        <is>
          <t>2011 E 58th (TempTee) — 2024</t>
        </is>
      </c>
      <c r="B52" s="28" t="inlineStr">
        <is>
          <t>Expense</t>
        </is>
      </c>
      <c r="C52" s="12" t="inlineStr">
        <is>
          <t>TOTAL EXPENSE</t>
        </is>
      </c>
      <c r="D52" s="23">
        <f>SUM(D43:D51)</f>
        <v/>
      </c>
      <c r="E52" s="18" t="inlineStr">
        <is>
          <t>Printed total: $138,050.00. Adams Co. survey; 100% owner-occupied (~17,000 SF); 'in house' items = $0</t>
        </is>
      </c>
    </row>
    <row r="53">
      <c r="A53" s="6" t="inlineStr">
        <is>
          <t>125 Bridge St (Broadview) — Form 8825</t>
        </is>
      </c>
      <c r="B53" s="25" t="inlineStr">
        <is>
          <t>Income</t>
        </is>
      </c>
      <c r="C53" s="6" t="inlineStr">
        <is>
          <t>Gross rents</t>
        </is>
      </c>
      <c r="D53" s="22" t="n">
        <v>307817</v>
      </c>
      <c r="E53" s="6" t="inlineStr">
        <is>
          <t>IRS Form 8825, Property A (125 Bridge St, COMMERCIAL)</t>
        </is>
      </c>
    </row>
    <row r="54">
      <c r="A54" s="11" t="inlineStr">
        <is>
          <t>125 Bridge St (Broadview) — Form 8825</t>
        </is>
      </c>
      <c r="B54" s="26" t="inlineStr">
        <is>
          <t>Income</t>
        </is>
      </c>
      <c r="C54" s="12" t="inlineStr">
        <is>
          <t>TOTAL INCOME</t>
        </is>
      </c>
      <c r="D54" s="23">
        <f>SUM(D53:D53)</f>
        <v/>
      </c>
      <c r="E54" s="18" t="inlineStr">
        <is>
          <t>Printed total: $307,817.00.</t>
        </is>
      </c>
    </row>
    <row r="55">
      <c r="A55" s="6" t="inlineStr">
        <is>
          <t>125 Bridge St (Broadview) — Form 8825</t>
        </is>
      </c>
      <c r="B55" s="27" t="inlineStr">
        <is>
          <t>Expense</t>
        </is>
      </c>
      <c r="C55" s="6" t="inlineStr">
        <is>
          <t>Advertising</t>
        </is>
      </c>
      <c r="D55" s="22" t="n">
        <v>776</v>
      </c>
      <c r="E55" s="6" t="inlineStr"/>
    </row>
    <row r="56">
      <c r="A56" s="6" t="inlineStr">
        <is>
          <t>125 Bridge St (Broadview) — Form 8825</t>
        </is>
      </c>
      <c r="B56" s="27" t="inlineStr">
        <is>
          <t>Expense</t>
        </is>
      </c>
      <c r="C56" s="6" t="inlineStr">
        <is>
          <t>Insurance</t>
        </is>
      </c>
      <c r="D56" s="22" t="n">
        <v>12004</v>
      </c>
      <c r="E56" s="6" t="inlineStr"/>
    </row>
    <row r="57">
      <c r="A57" s="6" t="inlineStr">
        <is>
          <t>125 Bridge St (Broadview) — Form 8825</t>
        </is>
      </c>
      <c r="B57" s="27" t="inlineStr">
        <is>
          <t>Expense</t>
        </is>
      </c>
      <c r="C57" s="6" t="inlineStr">
        <is>
          <t>Legal &amp; professional fees</t>
        </is>
      </c>
      <c r="D57" s="22" t="n">
        <v>10211</v>
      </c>
      <c r="E57" s="6" t="inlineStr"/>
    </row>
    <row r="58">
      <c r="A58" s="6" t="inlineStr">
        <is>
          <t>125 Bridge St (Broadview) — Form 8825</t>
        </is>
      </c>
      <c r="B58" s="27" t="inlineStr">
        <is>
          <t>Expense</t>
        </is>
      </c>
      <c r="C58" s="6" t="inlineStr">
        <is>
          <t>Interest</t>
        </is>
      </c>
      <c r="D58" s="22" t="n">
        <v>98058</v>
      </c>
      <c r="E58" s="6" t="inlineStr"/>
    </row>
    <row r="59">
      <c r="A59" s="6" t="inlineStr">
        <is>
          <t>125 Bridge St (Broadview) — Form 8825</t>
        </is>
      </c>
      <c r="B59" s="27" t="inlineStr">
        <is>
          <t>Expense</t>
        </is>
      </c>
      <c r="C59" s="6" t="inlineStr">
        <is>
          <t>Repairs</t>
        </is>
      </c>
      <c r="D59" s="22" t="n">
        <v>100279</v>
      </c>
      <c r="E59" s="6" t="inlineStr"/>
    </row>
    <row r="60">
      <c r="A60" s="6" t="inlineStr">
        <is>
          <t>125 Bridge St (Broadview) — Form 8825</t>
        </is>
      </c>
      <c r="B60" s="27" t="inlineStr">
        <is>
          <t>Expense</t>
        </is>
      </c>
      <c r="C60" s="6" t="inlineStr">
        <is>
          <t>Utilities</t>
        </is>
      </c>
      <c r="D60" s="22" t="n">
        <v>4731</v>
      </c>
      <c r="E60" s="6" t="inlineStr"/>
    </row>
    <row r="61">
      <c r="A61" s="6" t="inlineStr">
        <is>
          <t>125 Bridge St (Broadview) — Form 8825</t>
        </is>
      </c>
      <c r="B61" s="27" t="inlineStr">
        <is>
          <t>Expense</t>
        </is>
      </c>
      <c r="C61" s="6" t="inlineStr">
        <is>
          <t>Depreciation</t>
        </is>
      </c>
      <c r="D61" s="22" t="n">
        <v>47109</v>
      </c>
      <c r="E61" s="6" t="inlineStr"/>
    </row>
    <row r="62">
      <c r="A62" s="6" t="inlineStr">
        <is>
          <t>125 Bridge St (Broadview) — Form 8825</t>
        </is>
      </c>
      <c r="B62" s="27" t="inlineStr">
        <is>
          <t>Expense</t>
        </is>
      </c>
      <c r="C62" s="6" t="inlineStr">
        <is>
          <t>Meals - 100%</t>
        </is>
      </c>
      <c r="D62" s="22" t="n">
        <v>1080</v>
      </c>
      <c r="E62" s="6" t="inlineStr"/>
    </row>
    <row r="63">
      <c r="A63" s="6" t="inlineStr">
        <is>
          <t>125 Bridge St (Broadview) — Form 8825</t>
        </is>
      </c>
      <c r="B63" s="27" t="inlineStr">
        <is>
          <t>Expense</t>
        </is>
      </c>
      <c r="C63" s="6" t="inlineStr">
        <is>
          <t>Amortization</t>
        </is>
      </c>
      <c r="D63" s="22" t="n">
        <v>2166</v>
      </c>
      <c r="E63" s="6" t="inlineStr"/>
    </row>
    <row r="64">
      <c r="A64" s="6" t="inlineStr">
        <is>
          <t>125 Bridge St (Broadview) — Form 8825</t>
        </is>
      </c>
      <c r="B64" s="27" t="inlineStr">
        <is>
          <t>Expense</t>
        </is>
      </c>
      <c r="C64" s="6" t="inlineStr">
        <is>
          <t>Other (Statement #8A)</t>
        </is>
      </c>
      <c r="D64" s="22" t="n">
        <v>39767</v>
      </c>
      <c r="E64" s="6" t="inlineStr"/>
    </row>
    <row r="65">
      <c r="A65" s="11" t="inlineStr">
        <is>
          <t>125 Bridge St (Broadview) — Form 8825</t>
        </is>
      </c>
      <c r="B65" s="28" t="inlineStr">
        <is>
          <t>Expense</t>
        </is>
      </c>
      <c r="C65" s="12" t="inlineStr">
        <is>
          <t>TOTAL EXPENSE</t>
        </is>
      </c>
      <c r="D65" s="23">
        <f>SUM(D55:D64)</f>
        <v/>
      </c>
      <c r="E65" s="18" t="inlineStr">
        <is>
          <t>Printed total: $316,181.00. IRS Form 8825; net rental loss $(8,364). Tax basis (incl. depreciation, amortization &amp; interest).</t>
        </is>
      </c>
    </row>
    <row r="67">
      <c r="A67" s="32" t="inlineStr">
        <is>
          <t>Denver Distribution Ctr — FY2024</t>
        </is>
      </c>
      <c r="B67" s="32" t="inlineStr">
        <is>
          <t>Income</t>
        </is>
      </c>
      <c r="C67" s="32" t="inlineStr">
        <is>
          <t>4000100-040 Rent - Industrial</t>
        </is>
      </c>
      <c r="D67" s="41" t="n">
        <v>3608516.04</v>
      </c>
      <c r="E67" s="32" t="inlineStr"/>
    </row>
    <row r="68">
      <c r="A68" s="32" t="inlineStr">
        <is>
          <t>Denver Distribution Ctr — FY2024</t>
        </is>
      </c>
      <c r="B68" s="32" t="inlineStr">
        <is>
          <t>Income</t>
        </is>
      </c>
      <c r="C68" s="32" t="inlineStr">
        <is>
          <t>4010500-000 Bad Debt/Uncollectible Rents (credit)</t>
        </is>
      </c>
      <c r="D68" s="41" t="n">
        <v>103942.63</v>
      </c>
      <c r="E68" s="32" t="inlineStr"/>
    </row>
    <row r="69">
      <c r="A69" s="32" t="inlineStr">
        <is>
          <t>Denver Distribution Ctr — FY2024</t>
        </is>
      </c>
      <c r="B69" s="32" t="inlineStr">
        <is>
          <t>Income</t>
        </is>
      </c>
      <c r="C69" s="32" t="inlineStr">
        <is>
          <t>4060200-010 OpEx Recovery - Current Yr Estimate</t>
        </is>
      </c>
      <c r="D69" s="41" t="n">
        <v>56318.16</v>
      </c>
      <c r="E69" s="32" t="inlineStr"/>
    </row>
    <row r="70">
      <c r="A70" s="32" t="inlineStr">
        <is>
          <t>Denver Distribution Ctr — FY2024</t>
        </is>
      </c>
      <c r="B70" s="32" t="inlineStr">
        <is>
          <t>Income</t>
        </is>
      </c>
      <c r="C70" s="32" t="inlineStr">
        <is>
          <t>4060200-020 OpEx Recovery - Prior Yr Reconciliation</t>
        </is>
      </c>
      <c r="D70" s="41" t="n">
        <v>-290730.22</v>
      </c>
      <c r="E70" s="32" t="inlineStr"/>
    </row>
    <row r="71">
      <c r="A71" s="32" t="inlineStr">
        <is>
          <t>Denver Distribution Ctr — FY2024</t>
        </is>
      </c>
      <c r="B71" s="32" t="inlineStr">
        <is>
          <t>Income</t>
        </is>
      </c>
      <c r="C71" s="32" t="inlineStr">
        <is>
          <t>4060200-030 OpEx Recovery - CY Over/Under Billing</t>
        </is>
      </c>
      <c r="D71" s="41" t="n">
        <v>-3591.51</v>
      </c>
      <c r="E71" s="32" t="inlineStr"/>
    </row>
    <row r="72">
      <c r="A72" s="32" t="inlineStr">
        <is>
          <t>Denver Distribution Ctr — FY2024</t>
        </is>
      </c>
      <c r="B72" s="32" t="inlineStr">
        <is>
          <t>Income</t>
        </is>
      </c>
      <c r="C72" s="32" t="inlineStr">
        <is>
          <t>4060300-010 Insurance Recovery - Current Yr Estimate</t>
        </is>
      </c>
      <c r="D72" s="41" t="n">
        <v>90371.16</v>
      </c>
      <c r="E72" s="32" t="inlineStr"/>
    </row>
    <row r="73">
      <c r="A73" s="32" t="inlineStr">
        <is>
          <t>Denver Distribution Ctr — FY2024</t>
        </is>
      </c>
      <c r="B73" s="32" t="inlineStr">
        <is>
          <t>Income</t>
        </is>
      </c>
      <c r="C73" s="32" t="inlineStr">
        <is>
          <t>4060300-020 Insurance Recovery - Prior Yr Reconciliation</t>
        </is>
      </c>
      <c r="D73" s="41" t="n">
        <v>15236.42</v>
      </c>
      <c r="E73" s="32" t="inlineStr"/>
    </row>
    <row r="74">
      <c r="A74" s="32" t="inlineStr">
        <is>
          <t>Denver Distribution Ctr — FY2024</t>
        </is>
      </c>
      <c r="B74" s="32" t="inlineStr">
        <is>
          <t>Income</t>
        </is>
      </c>
      <c r="C74" s="32" t="inlineStr">
        <is>
          <t>4060300-030 Insurance Recovery - CY Over/Under Billing</t>
        </is>
      </c>
      <c r="D74" s="41" t="n">
        <v>-11115.1</v>
      </c>
      <c r="E74" s="32" t="inlineStr"/>
    </row>
    <row r="75">
      <c r="A75" s="32" t="inlineStr">
        <is>
          <t>Denver Distribution Ctr — FY2024</t>
        </is>
      </c>
      <c r="B75" s="32" t="inlineStr">
        <is>
          <t>Income</t>
        </is>
      </c>
      <c r="C75" s="32" t="inlineStr">
        <is>
          <t>4060400-010 RE Tax Recovery - Current Yr Estimate</t>
        </is>
      </c>
      <c r="D75" s="41" t="n">
        <v>2408707.68</v>
      </c>
      <c r="E75" s="32" t="inlineStr"/>
    </row>
    <row r="76">
      <c r="A76" s="32" t="inlineStr">
        <is>
          <t>Denver Distribution Ctr — FY2024</t>
        </is>
      </c>
      <c r="B76" s="32" t="inlineStr">
        <is>
          <t>Income</t>
        </is>
      </c>
      <c r="C76" s="32" t="inlineStr">
        <is>
          <t>4060400-020 RE Tax Recovery - Prior Yr Reconciliation</t>
        </is>
      </c>
      <c r="D76" s="41" t="n">
        <v>-337524.5</v>
      </c>
      <c r="E76" s="32" t="inlineStr"/>
    </row>
    <row r="77">
      <c r="A77" s="32" t="inlineStr">
        <is>
          <t>Denver Distribution Ctr — FY2024</t>
        </is>
      </c>
      <c r="B77" s="32" t="inlineStr">
        <is>
          <t>Income</t>
        </is>
      </c>
      <c r="C77" s="32" t="inlineStr">
        <is>
          <t>4060400-030 RE Tax Recovery - CY Over/Under Billing</t>
        </is>
      </c>
      <c r="D77" s="41" t="n">
        <v>-347828.55</v>
      </c>
      <c r="E77" s="32" t="inlineStr"/>
    </row>
    <row r="78">
      <c r="A78" s="38" t="inlineStr">
        <is>
          <t>Denver Distribution Ctr — FY2024</t>
        </is>
      </c>
      <c r="B78" s="38" t="inlineStr">
        <is>
          <t>Income</t>
        </is>
      </c>
      <c r="C78" s="38" t="inlineStr">
        <is>
          <t>TOTAL INCOME</t>
        </is>
      </c>
      <c r="D78" s="39">
        <f>SUM(D67:D77)</f>
        <v/>
      </c>
      <c r="E78" s="38" t="inlineStr">
        <is>
          <t>Printed total: $5,292,302.21. Total Revenues (net commercial rental income $3,712,458.67 + recovery income $1,579,843.54). Bad debt is printed as a positive rent adjustment.</t>
        </is>
      </c>
    </row>
    <row r="79">
      <c r="A79" s="32" t="inlineStr">
        <is>
          <t>Denver Distribution Ctr — FY2024</t>
        </is>
      </c>
      <c r="B79" s="32" t="inlineStr">
        <is>
          <t>Expense</t>
        </is>
      </c>
      <c r="C79" s="32" t="inlineStr">
        <is>
          <t>5015100-010 Roof - Contract</t>
        </is>
      </c>
      <c r="D79" s="41" t="n">
        <v>1604.01</v>
      </c>
      <c r="E79" s="32" t="inlineStr"/>
    </row>
    <row r="80">
      <c r="A80" s="32" t="inlineStr">
        <is>
          <t>Denver Distribution Ctr — FY2024</t>
        </is>
      </c>
      <c r="B80" s="32" t="inlineStr">
        <is>
          <t>Expense</t>
        </is>
      </c>
      <c r="C80" s="32" t="inlineStr">
        <is>
          <t>5015100-020 Roof - R&amp;M</t>
        </is>
      </c>
      <c r="D80" s="41" t="n">
        <v>1274.85</v>
      </c>
      <c r="E80" s="32" t="inlineStr"/>
    </row>
    <row r="81">
      <c r="A81" s="32" t="inlineStr">
        <is>
          <t>Denver Distribution Ctr — FY2024</t>
        </is>
      </c>
      <c r="B81" s="32" t="inlineStr">
        <is>
          <t>Expense</t>
        </is>
      </c>
      <c r="C81" s="32" t="inlineStr">
        <is>
          <t>5030900-000 Utilities - Other</t>
        </is>
      </c>
      <c r="D81" s="41" t="n">
        <v>34</v>
      </c>
      <c r="E81" s="32" t="inlineStr"/>
    </row>
    <row r="82">
      <c r="A82" s="32" t="inlineStr">
        <is>
          <t>Denver Distribution Ctr — FY2024</t>
        </is>
      </c>
      <c r="B82" s="32" t="inlineStr">
        <is>
          <t>Expense</t>
        </is>
      </c>
      <c r="C82" s="32" t="inlineStr">
        <is>
          <t>5050100-000 Insurance - Property Insurance</t>
        </is>
      </c>
      <c r="D82" s="41" t="n">
        <v>77116.59</v>
      </c>
      <c r="E82" s="32" t="inlineStr"/>
    </row>
    <row r="83">
      <c r="A83" s="32" t="inlineStr">
        <is>
          <t>Denver Distribution Ctr — FY2024</t>
        </is>
      </c>
      <c r="B83" s="32" t="inlineStr">
        <is>
          <t>Expense</t>
        </is>
      </c>
      <c r="C83" s="32" t="inlineStr">
        <is>
          <t>5070100-000 Taxes - Real Estate</t>
        </is>
      </c>
      <c r="D83" s="41" t="n">
        <v>2060754.14</v>
      </c>
      <c r="E83" s="32" t="inlineStr"/>
    </row>
    <row r="84">
      <c r="A84" s="32" t="inlineStr">
        <is>
          <t>Denver Distribution Ctr — FY2024</t>
        </is>
      </c>
      <c r="B84" s="32" t="inlineStr">
        <is>
          <t>Expense</t>
        </is>
      </c>
      <c r="C84" s="32" t="inlineStr">
        <is>
          <t>5070900-000 Taxes - Other</t>
        </is>
      </c>
      <c r="D84" s="41" t="n">
        <v>166.65</v>
      </c>
      <c r="E84" s="32" t="inlineStr"/>
    </row>
    <row r="85">
      <c r="A85" s="32" t="inlineStr">
        <is>
          <t>Denver Distribution Ctr — FY2024</t>
        </is>
      </c>
      <c r="B85" s="32" t="inlineStr">
        <is>
          <t>Expense</t>
        </is>
      </c>
      <c r="C85" s="32" t="inlineStr">
        <is>
          <t>5080100-000 Building Admin - Management Fees</t>
        </is>
      </c>
      <c r="D85" s="41" t="n">
        <v>138053.44</v>
      </c>
      <c r="E85" s="32" t="inlineStr"/>
    </row>
    <row r="86">
      <c r="A86" s="32" t="inlineStr">
        <is>
          <t>Denver Distribution Ctr — FY2024</t>
        </is>
      </c>
      <c r="B86" s="32" t="inlineStr">
        <is>
          <t>Expense</t>
        </is>
      </c>
      <c r="C86" s="32" t="inlineStr">
        <is>
          <t>5080400-030 Building Admin - UPS/FEDEX</t>
        </is>
      </c>
      <c r="D86" s="41" t="n">
        <v>17.25</v>
      </c>
      <c r="E86" s="32" t="inlineStr"/>
    </row>
    <row r="87">
      <c r="A87" s="32" t="inlineStr">
        <is>
          <t>Denver Distribution Ctr — FY2024</t>
        </is>
      </c>
      <c r="B87" s="32" t="inlineStr">
        <is>
          <t>Expense</t>
        </is>
      </c>
      <c r="C87" s="32" t="inlineStr">
        <is>
          <t>5080510-000 Building Admin - Accounting Support</t>
        </is>
      </c>
      <c r="D87" s="41" t="n">
        <v>69026.74000000001</v>
      </c>
      <c r="E87" s="32" t="inlineStr"/>
    </row>
    <row r="88">
      <c r="A88" s="32" t="inlineStr">
        <is>
          <t>Denver Distribution Ctr — FY2024</t>
        </is>
      </c>
      <c r="B88" s="32" t="inlineStr">
        <is>
          <t>Expense</t>
        </is>
      </c>
      <c r="C88" s="32" t="inlineStr">
        <is>
          <t>5080530-000 Building Admin - Bank Fees</t>
        </is>
      </c>
      <c r="D88" s="41" t="n">
        <v>6073.59</v>
      </c>
      <c r="E88" s="32" t="inlineStr"/>
    </row>
    <row r="89">
      <c r="A89" s="32" t="inlineStr">
        <is>
          <t>Denver Distribution Ctr — FY2024</t>
        </is>
      </c>
      <c r="B89" s="32" t="inlineStr">
        <is>
          <t>Expense</t>
        </is>
      </c>
      <c r="C89" s="32" t="inlineStr">
        <is>
          <t>5080590-000 Building Admin - Licenses &amp; Fees Required</t>
        </is>
      </c>
      <c r="D89" s="41" t="n">
        <v>32.75</v>
      </c>
      <c r="E89" s="32" t="inlineStr"/>
    </row>
    <row r="90">
      <c r="A90" s="32" t="inlineStr">
        <is>
          <t>Denver Distribution Ctr — FY2024</t>
        </is>
      </c>
      <c r="B90" s="32" t="inlineStr">
        <is>
          <t>Expense</t>
        </is>
      </c>
      <c r="C90" s="32" t="inlineStr">
        <is>
          <t>5080625-010 Building Admin - Sustainability</t>
        </is>
      </c>
      <c r="D90" s="41" t="n">
        <v>453.89</v>
      </c>
      <c r="E90" s="32" t="inlineStr"/>
    </row>
    <row r="91">
      <c r="A91" s="32" t="inlineStr">
        <is>
          <t>Denver Distribution Ctr — FY2024</t>
        </is>
      </c>
      <c r="B91" s="32" t="inlineStr">
        <is>
          <t>Expense</t>
        </is>
      </c>
      <c r="C91" s="32" t="inlineStr">
        <is>
          <t>5101700-000 Marketing - Tenant Retention &amp; Incentives</t>
        </is>
      </c>
      <c r="D91" s="41" t="n">
        <v>316.98</v>
      </c>
      <c r="E91" s="32" t="inlineStr"/>
    </row>
    <row r="92">
      <c r="A92" s="32" t="inlineStr">
        <is>
          <t>Denver Distribution Ctr — FY2024</t>
        </is>
      </c>
      <c r="B92" s="32" t="inlineStr">
        <is>
          <t>Expense</t>
        </is>
      </c>
      <c r="C92" s="32" t="inlineStr">
        <is>
          <t>5132050-000 G&amp;A - Professional Fees - Other</t>
        </is>
      </c>
      <c r="D92" s="41" t="n">
        <v>100</v>
      </c>
      <c r="E92" s="32" t="inlineStr"/>
    </row>
    <row r="93">
      <c r="A93" s="32" t="inlineStr">
        <is>
          <t>Denver Distribution Ctr — FY2024</t>
        </is>
      </c>
      <c r="B93" s="32" t="inlineStr">
        <is>
          <t>Expense</t>
        </is>
      </c>
      <c r="C93" s="32" t="inlineStr">
        <is>
          <t>5139300-000 G&amp;A - R&amp;M Nonrecoverable</t>
        </is>
      </c>
      <c r="D93" s="41" t="n">
        <v>21548.5</v>
      </c>
      <c r="E93" s="32" t="inlineStr"/>
    </row>
    <row r="94">
      <c r="A94" s="38" t="inlineStr">
        <is>
          <t>Denver Distribution Ctr — FY2024</t>
        </is>
      </c>
      <c r="B94" s="38" t="inlineStr">
        <is>
          <t>Expense</t>
        </is>
      </c>
      <c r="C94" s="38" t="inlineStr">
        <is>
          <t>TOTAL EXPENSE</t>
        </is>
      </c>
      <c r="D94" s="39">
        <f>SUM(D79:D93)</f>
        <v/>
      </c>
      <c r="E94" s="38" t="inlineStr">
        <is>
          <t>Printed total: $2,376,573.38. Total Operating Expenses = recoverable $2,354,607.90 + non-recoverable $21,965.48. NOI $2,915,728.83.</t>
        </is>
      </c>
    </row>
    <row r="95">
      <c r="A95" s="32" t="inlineStr">
        <is>
          <t>Denver Distribution Ctr — FY2024</t>
        </is>
      </c>
      <c r="B95" s="32" t="inlineStr">
        <is>
          <t>Non-operating</t>
        </is>
      </c>
      <c r="C95" s="32" t="inlineStr">
        <is>
          <t>7000200-000 Interest Expense - Note Payable</t>
        </is>
      </c>
      <c r="D95" s="41" t="n">
        <v>868994.76</v>
      </c>
      <c r="E95" s="32" t="inlineStr">
        <is>
          <t>Below the NOI line.</t>
        </is>
      </c>
    </row>
    <row r="96">
      <c r="A96" s="32" t="inlineStr">
        <is>
          <t>Denver Distribution Ctr — FY2024</t>
        </is>
      </c>
      <c r="B96" s="32" t="inlineStr">
        <is>
          <t>Non-operating</t>
        </is>
      </c>
      <c r="C96" s="32" t="inlineStr">
        <is>
          <t>7011040-000 Amort Exp - Deferred Financing Costs</t>
        </is>
      </c>
      <c r="D96" s="41" t="n">
        <v>33890.64</v>
      </c>
      <c r="E96" s="32" t="inlineStr"/>
    </row>
    <row r="97">
      <c r="A97" s="38" t="inlineStr">
        <is>
          <t>Denver Distribution Ctr — FY2024</t>
        </is>
      </c>
      <c r="B97" s="38" t="inlineStr">
        <is>
          <t>Non-operating</t>
        </is>
      </c>
      <c r="C97" s="38" t="inlineStr">
        <is>
          <t>TOTAL NON-OPERATING EXPENSES</t>
        </is>
      </c>
      <c r="D97" s="39">
        <f>SUM(D95:D96)</f>
        <v/>
      </c>
      <c r="E97" s="38" t="inlineStr">
        <is>
          <t>Printed total: $902,885.40. Net income after financing: $2,012,843.43.</t>
        </is>
      </c>
    </row>
    <row r="99">
      <c r="A99" s="32" t="inlineStr">
        <is>
          <t>2780 N. Tower Rd — FY2024</t>
        </is>
      </c>
      <c r="B99" s="32" t="inlineStr">
        <is>
          <t>Income</t>
        </is>
      </c>
      <c r="C99" s="32" t="inlineStr">
        <is>
          <t>42327 - Rent Income SRO Tower Road</t>
        </is>
      </c>
      <c r="D99" s="41" t="n">
        <v>3047376</v>
      </c>
      <c r="E99" s="32" t="inlineStr"/>
    </row>
    <row r="100">
      <c r="A100" s="38" t="inlineStr">
        <is>
          <t>2780 N. Tower Rd — FY2024</t>
        </is>
      </c>
      <c r="B100" s="38" t="inlineStr">
        <is>
          <t>Income</t>
        </is>
      </c>
      <c r="C100" s="38" t="inlineStr">
        <is>
          <t>TOTAL INCOME</t>
        </is>
      </c>
      <c r="D100" s="39">
        <f>SUM(D99:D99)</f>
        <v/>
      </c>
      <c r="E100" s="38" t="inlineStr">
        <is>
          <t>Printed total: $3,047,376.00. Total Income as printed (rent only). Rent ÷ 377,729 SF = $8.07/SF.</t>
        </is>
      </c>
    </row>
    <row r="101">
      <c r="A101" s="32" t="inlineStr">
        <is>
          <t>2780 N. Tower Rd — FY2024</t>
        </is>
      </c>
      <c r="B101" s="32" t="inlineStr">
        <is>
          <t>Expense</t>
        </is>
      </c>
      <c r="C101" s="32" t="inlineStr">
        <is>
          <t>60400 - Bank Service Charges</t>
        </is>
      </c>
      <c r="D101" s="41" t="n">
        <v>207</v>
      </c>
      <c r="E101" s="32" t="inlineStr"/>
    </row>
    <row r="102">
      <c r="A102" s="32" t="inlineStr">
        <is>
          <t>2780 N. Tower Rd — FY2024</t>
        </is>
      </c>
      <c r="B102" s="32" t="inlineStr">
        <is>
          <t>Expense</t>
        </is>
      </c>
      <c r="C102" s="32" t="inlineStr">
        <is>
          <t>62500 - Dues and Subscriptions</t>
        </is>
      </c>
      <c r="D102" s="41" t="n">
        <v>839</v>
      </c>
      <c r="E102" s="32" t="inlineStr"/>
    </row>
    <row r="103">
      <c r="A103" s="32" t="inlineStr">
        <is>
          <t>2780 N. Tower Rd — FY2024</t>
        </is>
      </c>
      <c r="B103" s="32" t="inlineStr">
        <is>
          <t>Expense</t>
        </is>
      </c>
      <c r="C103" s="32" t="inlineStr">
        <is>
          <t>64900 - Office Supplies</t>
        </is>
      </c>
      <c r="D103" s="41" t="n">
        <v>0</v>
      </c>
      <c r="E103" s="32" t="inlineStr"/>
    </row>
    <row r="104">
      <c r="A104" s="32" t="inlineStr">
        <is>
          <t>2780 N. Tower Rd — FY2024</t>
        </is>
      </c>
      <c r="B104" s="32" t="inlineStr">
        <is>
          <t>Expense</t>
        </is>
      </c>
      <c r="C104" s="32" t="inlineStr">
        <is>
          <t>66700 - Professional Fees: Accounting</t>
        </is>
      </c>
      <c r="D104" s="41" t="n">
        <v>4000</v>
      </c>
      <c r="E104" s="32" t="inlineStr"/>
    </row>
    <row r="105">
      <c r="A105" s="32" t="inlineStr">
        <is>
          <t>2780 N. Tower Rd — FY2024</t>
        </is>
      </c>
      <c r="B105" s="32" t="inlineStr">
        <is>
          <t>Expense</t>
        </is>
      </c>
      <c r="C105" s="32" t="inlineStr">
        <is>
          <t>66700 - Professional Fees: Service Agreement</t>
        </is>
      </c>
      <c r="D105" s="41" t="n">
        <v>16962</v>
      </c>
      <c r="E105" s="32" t="inlineStr"/>
    </row>
    <row r="106">
      <c r="A106" s="32" t="inlineStr">
        <is>
          <t>2780 N. Tower Rd — FY2024</t>
        </is>
      </c>
      <c r="B106" s="32" t="inlineStr">
        <is>
          <t>Expense</t>
        </is>
      </c>
      <c r="C106" s="32" t="inlineStr">
        <is>
          <t>66700 - Professional Fees - Other</t>
        </is>
      </c>
      <c r="D106" s="41" t="n">
        <v>-951</v>
      </c>
      <c r="E106" s="32" t="inlineStr"/>
    </row>
    <row r="107">
      <c r="A107" s="32" t="inlineStr">
        <is>
          <t>2780 N. Tower Rd — FY2024</t>
        </is>
      </c>
      <c r="B107" s="32" t="inlineStr">
        <is>
          <t>Expense</t>
        </is>
      </c>
      <c r="C107" s="32" t="inlineStr">
        <is>
          <t>67200 - Repairs and Maintenance</t>
        </is>
      </c>
      <c r="D107" s="41" t="n">
        <v>0</v>
      </c>
      <c r="E107" s="32" t="inlineStr"/>
    </row>
    <row r="108">
      <c r="A108" s="32" t="inlineStr">
        <is>
          <t>2780 N. Tower Rd — FY2024</t>
        </is>
      </c>
      <c r="B108" s="32" t="inlineStr">
        <is>
          <t>Expense</t>
        </is>
      </c>
      <c r="C108" s="32" t="inlineStr">
        <is>
          <t>68000 - Taxes - Property</t>
        </is>
      </c>
      <c r="D108" s="41" t="n">
        <v>0</v>
      </c>
      <c r="E108" s="32" t="inlineStr"/>
    </row>
    <row r="109">
      <c r="A109" s="32" t="inlineStr">
        <is>
          <t>2780 N. Tower Rd — FY2024</t>
        </is>
      </c>
      <c r="B109" s="32" t="inlineStr">
        <is>
          <t>Expense</t>
        </is>
      </c>
      <c r="C109" s="32" t="inlineStr">
        <is>
          <t>68600 - Utilities</t>
        </is>
      </c>
      <c r="D109" s="41" t="n">
        <v>0</v>
      </c>
      <c r="E109" s="32" t="inlineStr"/>
    </row>
    <row r="110">
      <c r="A110" s="32" t="inlineStr">
        <is>
          <t>2780 N. Tower Rd — FY2024</t>
        </is>
      </c>
      <c r="B110" s="32" t="inlineStr">
        <is>
          <t>Expense</t>
        </is>
      </c>
      <c r="C110" s="32" t="inlineStr">
        <is>
          <t>74410 - Outside Services</t>
        </is>
      </c>
      <c r="D110" s="41" t="n">
        <v>14830</v>
      </c>
      <c r="E110" s="32" t="inlineStr"/>
    </row>
    <row r="111">
      <c r="A111" s="32" t="inlineStr">
        <is>
          <t>2780 N. Tower Rd — FY2024</t>
        </is>
      </c>
      <c r="B111" s="32" t="inlineStr">
        <is>
          <t>Expense</t>
        </is>
      </c>
      <c r="C111" s="32" t="inlineStr">
        <is>
          <t>75015 - Legal</t>
        </is>
      </c>
      <c r="D111" s="41" t="n">
        <v>11093</v>
      </c>
      <c r="E111" s="32" t="inlineStr"/>
    </row>
    <row r="112">
      <c r="A112" s="32" t="inlineStr">
        <is>
          <t>2780 N. Tower Rd — FY2024</t>
        </is>
      </c>
      <c r="B112" s="32" t="inlineStr">
        <is>
          <t>Expense</t>
        </is>
      </c>
      <c r="C112" s="32" t="inlineStr">
        <is>
          <t>75020 - Consulting fees</t>
        </is>
      </c>
      <c r="D112" s="41" t="n">
        <v>0</v>
      </c>
      <c r="E112" s="32" t="inlineStr"/>
    </row>
    <row r="113">
      <c r="A113" s="32" t="inlineStr">
        <is>
          <t>2780 N. Tower Rd — FY2024</t>
        </is>
      </c>
      <c r="B113" s="32" t="inlineStr">
        <is>
          <t>Expense</t>
        </is>
      </c>
      <c r="C113" s="32" t="inlineStr">
        <is>
          <t>77025 - Depreciation - Bldgs &amp; Improvement</t>
        </is>
      </c>
      <c r="D113" s="41" t="n">
        <v>456096</v>
      </c>
      <c r="E113" s="32" t="inlineStr"/>
    </row>
    <row r="114">
      <c r="A114" s="32" t="inlineStr">
        <is>
          <t>2780 N. Tower Rd — FY2024</t>
        </is>
      </c>
      <c r="B114" s="32" t="inlineStr">
        <is>
          <t>Expense</t>
        </is>
      </c>
      <c r="C114" s="32" t="inlineStr">
        <is>
          <t>77026 - Amortization</t>
        </is>
      </c>
      <c r="D114" s="41" t="n">
        <v>12124</v>
      </c>
      <c r="E114" s="32" t="inlineStr"/>
    </row>
    <row r="115">
      <c r="A115" s="38" t="inlineStr">
        <is>
          <t>2780 N. Tower Rd — FY2024</t>
        </is>
      </c>
      <c r="B115" s="38" t="inlineStr">
        <is>
          <t>Expense</t>
        </is>
      </c>
      <c r="C115" s="38" t="inlineStr">
        <is>
          <t>TOTAL EXPENSE</t>
        </is>
      </c>
      <c r="D115" s="39">
        <f>SUM(D101:D114)</f>
        <v/>
      </c>
      <c r="E115" s="38" t="inlineStr">
        <is>
          <t>Printed total: $515,200.00. Total Expense as printed. Absolute net lease — property taxes, R&amp;M and utilities are $0 to the owner. Excluding depreciation $456,096 and amortization $12,124, cash operating expense is $46,980 ($0.12/SF). Net ordinary income $2,532,176; less interest $613,282 → net income $1,918,894.</t>
        </is>
      </c>
    </row>
    <row r="116">
      <c r="A116" s="32" t="inlineStr">
        <is>
          <t>2780 N. Tower Rd — FY2024</t>
        </is>
      </c>
      <c r="B116" s="32" t="inlineStr">
        <is>
          <t>Non-operating</t>
        </is>
      </c>
      <c r="C116" s="32" t="inlineStr">
        <is>
          <t>92000 - Interest Expense - Notes</t>
        </is>
      </c>
      <c r="D116" s="41" t="n">
        <v>613282</v>
      </c>
      <c r="E116" s="32" t="inlineStr">
        <is>
          <t>Printed Total Other Expense: $613,282. Net income: $1,918,894.</t>
        </is>
      </c>
    </row>
    <row r="118">
      <c r="A118" s="32" t="inlineStr">
        <is>
          <t>2780 N. Tower Rd — FY2023</t>
        </is>
      </c>
      <c r="B118" s="32" t="inlineStr">
        <is>
          <t>Income</t>
        </is>
      </c>
      <c r="C118" s="32" t="inlineStr">
        <is>
          <t>42327 - Rent Income SRO Tower Road</t>
        </is>
      </c>
      <c r="D118" s="41" t="n">
        <v>2979661</v>
      </c>
      <c r="E118" s="32" t="inlineStr"/>
    </row>
    <row r="119">
      <c r="A119" s="38" t="inlineStr">
        <is>
          <t>2780 N. Tower Rd — FY2023</t>
        </is>
      </c>
      <c r="B119" s="38" t="inlineStr">
        <is>
          <t>Income</t>
        </is>
      </c>
      <c r="C119" s="38" t="inlineStr">
        <is>
          <t>TOTAL INCOME</t>
        </is>
      </c>
      <c r="D119" s="39">
        <f>SUM(D118:D118)</f>
        <v/>
      </c>
      <c r="E119" s="38" t="inlineStr">
        <is>
          <t>Printed total: $2,979,661.00. Total Income as printed (rent only). Rent ÷ 377,729 SF = $7.89/SF. Separately, Other Income of $18 is reported below the operating section.</t>
        </is>
      </c>
    </row>
    <row r="120">
      <c r="A120" s="32" t="inlineStr">
        <is>
          <t>2780 N. Tower Rd — FY2023</t>
        </is>
      </c>
      <c r="B120" s="32" t="inlineStr">
        <is>
          <t>Expense</t>
        </is>
      </c>
      <c r="C120" s="32" t="inlineStr">
        <is>
          <t>60400 - Bank Service Charges</t>
        </is>
      </c>
      <c r="D120" s="41" t="n">
        <v>355</v>
      </c>
      <c r="E120" s="32" t="inlineStr"/>
    </row>
    <row r="121">
      <c r="A121" s="32" t="inlineStr">
        <is>
          <t>2780 N. Tower Rd — FY2023</t>
        </is>
      </c>
      <c r="B121" s="32" t="inlineStr">
        <is>
          <t>Expense</t>
        </is>
      </c>
      <c r="C121" s="32" t="inlineStr">
        <is>
          <t>62500 - Dues and Subscriptions</t>
        </is>
      </c>
      <c r="D121" s="41" t="n">
        <v>800</v>
      </c>
      <c r="E121" s="32" t="inlineStr"/>
    </row>
    <row r="122">
      <c r="A122" s="32" t="inlineStr">
        <is>
          <t>2780 N. Tower Rd — FY2023</t>
        </is>
      </c>
      <c r="B122" s="32" t="inlineStr">
        <is>
          <t>Expense</t>
        </is>
      </c>
      <c r="C122" s="32" t="inlineStr">
        <is>
          <t>64900 - Office Supplies</t>
        </is>
      </c>
      <c r="D122" s="41" t="n">
        <v>10</v>
      </c>
      <c r="E122" s="32" t="inlineStr"/>
    </row>
    <row r="123">
      <c r="A123" s="32" t="inlineStr">
        <is>
          <t>2780 N. Tower Rd — FY2023</t>
        </is>
      </c>
      <c r="B123" s="32" t="inlineStr">
        <is>
          <t>Expense</t>
        </is>
      </c>
      <c r="C123" s="32" t="inlineStr">
        <is>
          <t>66700 - Professional Fees: Accounting</t>
        </is>
      </c>
      <c r="D123" s="41" t="n">
        <v>3855</v>
      </c>
      <c r="E123" s="32" t="inlineStr"/>
    </row>
    <row r="124">
      <c r="A124" s="32" t="inlineStr">
        <is>
          <t>2780 N. Tower Rd — FY2023</t>
        </is>
      </c>
      <c r="B124" s="32" t="inlineStr">
        <is>
          <t>Expense</t>
        </is>
      </c>
      <c r="C124" s="32" t="inlineStr">
        <is>
          <t>66700 - Professional Fees: Service Agreement</t>
        </is>
      </c>
      <c r="D124" s="41" t="n">
        <v>16596</v>
      </c>
      <c r="E124" s="32" t="inlineStr"/>
    </row>
    <row r="125">
      <c r="A125" s="32" t="inlineStr">
        <is>
          <t>2780 N. Tower Rd — FY2023</t>
        </is>
      </c>
      <c r="B125" s="32" t="inlineStr">
        <is>
          <t>Expense</t>
        </is>
      </c>
      <c r="C125" s="32" t="inlineStr">
        <is>
          <t>66700 - Professional Fees - Other</t>
        </is>
      </c>
      <c r="D125" s="41" t="n">
        <v>0</v>
      </c>
      <c r="E125" s="32" t="inlineStr"/>
    </row>
    <row r="126">
      <c r="A126" s="32" t="inlineStr">
        <is>
          <t>2780 N. Tower Rd — FY2023</t>
        </is>
      </c>
      <c r="B126" s="32" t="inlineStr">
        <is>
          <t>Expense</t>
        </is>
      </c>
      <c r="C126" s="32" t="inlineStr">
        <is>
          <t>67200 - Repairs and Maintenance</t>
        </is>
      </c>
      <c r="D126" s="41" t="n">
        <v>0</v>
      </c>
      <c r="E126" s="32" t="inlineStr"/>
    </row>
    <row r="127">
      <c r="A127" s="32" t="inlineStr">
        <is>
          <t>2780 N. Tower Rd — FY2023</t>
        </is>
      </c>
      <c r="B127" s="32" t="inlineStr">
        <is>
          <t>Expense</t>
        </is>
      </c>
      <c r="C127" s="32" t="inlineStr">
        <is>
          <t>68000 - Taxes - Property</t>
        </is>
      </c>
      <c r="D127" s="41" t="n">
        <v>0</v>
      </c>
      <c r="E127" s="32" t="inlineStr"/>
    </row>
    <row r="128">
      <c r="A128" s="32" t="inlineStr">
        <is>
          <t>2780 N. Tower Rd — FY2023</t>
        </is>
      </c>
      <c r="B128" s="32" t="inlineStr">
        <is>
          <t>Expense</t>
        </is>
      </c>
      <c r="C128" s="32" t="inlineStr">
        <is>
          <t>68600 - Utilities</t>
        </is>
      </c>
      <c r="D128" s="41" t="n">
        <v>687</v>
      </c>
      <c r="E128" s="32" t="inlineStr"/>
    </row>
    <row r="129">
      <c r="A129" s="32" t="inlineStr">
        <is>
          <t>2780 N. Tower Rd — FY2023</t>
        </is>
      </c>
      <c r="B129" s="32" t="inlineStr">
        <is>
          <t>Expense</t>
        </is>
      </c>
      <c r="C129" s="32" t="inlineStr">
        <is>
          <t>74410 - Outside Services</t>
        </is>
      </c>
      <c r="D129" s="41" t="n">
        <v>2206</v>
      </c>
      <c r="E129" s="32" t="inlineStr"/>
    </row>
    <row r="130">
      <c r="A130" s="32" t="inlineStr">
        <is>
          <t>2780 N. Tower Rd — FY2023</t>
        </is>
      </c>
      <c r="B130" s="32" t="inlineStr">
        <is>
          <t>Expense</t>
        </is>
      </c>
      <c r="C130" s="32" t="inlineStr">
        <is>
          <t>75015 - Legal</t>
        </is>
      </c>
      <c r="D130" s="41" t="n">
        <v>4730</v>
      </c>
      <c r="E130" s="32" t="inlineStr"/>
    </row>
    <row r="131">
      <c r="A131" s="32" t="inlineStr">
        <is>
          <t>2780 N. Tower Rd — FY2023</t>
        </is>
      </c>
      <c r="B131" s="32" t="inlineStr">
        <is>
          <t>Expense</t>
        </is>
      </c>
      <c r="C131" s="32" t="inlineStr">
        <is>
          <t>75020 - Consulting fees</t>
        </is>
      </c>
      <c r="D131" s="41" t="n">
        <v>0</v>
      </c>
      <c r="E131" s="32" t="inlineStr"/>
    </row>
    <row r="132">
      <c r="A132" s="32" t="inlineStr">
        <is>
          <t>2780 N. Tower Rd — FY2023</t>
        </is>
      </c>
      <c r="B132" s="32" t="inlineStr">
        <is>
          <t>Expense</t>
        </is>
      </c>
      <c r="C132" s="32" t="inlineStr">
        <is>
          <t>77025 - Depreciation - Bldgs &amp; Improvement</t>
        </is>
      </c>
      <c r="D132" s="41" t="n">
        <v>456096</v>
      </c>
      <c r="E132" s="32" t="inlineStr"/>
    </row>
    <row r="133">
      <c r="A133" s="32" t="inlineStr">
        <is>
          <t>2780 N. Tower Rd — FY2023</t>
        </is>
      </c>
      <c r="B133" s="32" t="inlineStr">
        <is>
          <t>Expense</t>
        </is>
      </c>
      <c r="C133" s="32" t="inlineStr">
        <is>
          <t>77026 - Amortization</t>
        </is>
      </c>
      <c r="D133" s="41" t="n">
        <v>12124</v>
      </c>
      <c r="E133" s="32" t="inlineStr"/>
    </row>
    <row r="134">
      <c r="A134" s="38" t="inlineStr">
        <is>
          <t>2780 N. Tower Rd — FY2023</t>
        </is>
      </c>
      <c r="B134" s="38" t="inlineStr">
        <is>
          <t>Expense</t>
        </is>
      </c>
      <c r="C134" s="38" t="inlineStr">
        <is>
          <t>TOTAL EXPENSE</t>
        </is>
      </c>
      <c r="D134" s="39">
        <f>SUM(D120:D133)</f>
        <v/>
      </c>
      <c r="E134" s="38" t="inlineStr">
        <is>
          <t>Printed total: $497,459.00. Total Expense as printed. Absolute net lease — property taxes, R&amp;M are $0 to the owner. Excluding depreciation $456,096 and amortization $12,124, cash operating expense is $29,239 ($0.08/SF). Net ordinary income $2,482,202; less interest $641,014 → net income $1,841,206.</t>
        </is>
      </c>
    </row>
    <row r="135">
      <c r="A135" s="32" t="inlineStr">
        <is>
          <t>2780 N. Tower Rd — FY2023</t>
        </is>
      </c>
      <c r="B135" s="32" t="inlineStr">
        <is>
          <t>Other income</t>
        </is>
      </c>
      <c r="C135" s="32" t="inlineStr">
        <is>
          <t>Other Income</t>
        </is>
      </c>
      <c r="D135" s="41" t="n">
        <v>18</v>
      </c>
      <c r="E135" s="32" t="inlineStr">
        <is>
          <t>Printed Total Other Income: $18.</t>
        </is>
      </c>
    </row>
    <row r="136">
      <c r="A136" s="32" t="inlineStr">
        <is>
          <t>2780 N. Tower Rd — FY2023</t>
        </is>
      </c>
      <c r="B136" s="32" t="inlineStr">
        <is>
          <t>Non-operating</t>
        </is>
      </c>
      <c r="C136" s="32" t="inlineStr">
        <is>
          <t>92000 - Interest Expense - Notes</t>
        </is>
      </c>
      <c r="D136" s="41" t="n">
        <v>641014</v>
      </c>
      <c r="E136" s="32" t="inlineStr">
        <is>
          <t>Printed Total Other Expense: $641,014. Net income: $1,841,206.</t>
        </is>
      </c>
    </row>
    <row r="138">
      <c r="A138" s="32" t="inlineStr">
        <is>
          <t>Majestic Commercenter — FY2024</t>
        </is>
      </c>
      <c r="B138" s="32" t="inlineStr">
        <is>
          <t>Income</t>
        </is>
      </c>
      <c r="C138" s="32" t="inlineStr">
        <is>
          <t>Base Rent</t>
        </is>
      </c>
      <c r="D138" s="41" t="n">
        <v>698747.99</v>
      </c>
      <c r="E138" s="32" t="inlineStr"/>
    </row>
    <row r="139">
      <c r="A139" s="32" t="inlineStr">
        <is>
          <t>Majestic Commercenter — FY2024</t>
        </is>
      </c>
      <c r="B139" s="32" t="inlineStr">
        <is>
          <t>Income</t>
        </is>
      </c>
      <c r="C139" s="32" t="inlineStr">
        <is>
          <t>Operating Exp. Recovery</t>
        </is>
      </c>
      <c r="D139" s="41" t="n">
        <v>143868</v>
      </c>
      <c r="E139" s="32" t="inlineStr"/>
    </row>
    <row r="140">
      <c r="A140" s="32" t="inlineStr">
        <is>
          <t>Majestic Commercenter — FY2024</t>
        </is>
      </c>
      <c r="B140" s="32" t="inlineStr">
        <is>
          <t>Income</t>
        </is>
      </c>
      <c r="C140" s="32" t="inlineStr">
        <is>
          <t>Tax Recovery</t>
        </is>
      </c>
      <c r="D140" s="41" t="n">
        <v>499872</v>
      </c>
      <c r="E140" s="32" t="inlineStr"/>
    </row>
    <row r="141">
      <c r="A141" s="32" t="inlineStr">
        <is>
          <t>Majestic Commercenter — FY2024</t>
        </is>
      </c>
      <c r="B141" s="32" t="inlineStr">
        <is>
          <t>Income</t>
        </is>
      </c>
      <c r="C141" s="32" t="inlineStr">
        <is>
          <t>Insurance Recovery</t>
        </is>
      </c>
      <c r="D141" s="41" t="n">
        <v>32352</v>
      </c>
      <c r="E141" s="32" t="inlineStr"/>
    </row>
    <row r="142">
      <c r="A142" s="32" t="inlineStr">
        <is>
          <t>Majestic Commercenter — FY2024</t>
        </is>
      </c>
      <c r="B142" s="32" t="inlineStr">
        <is>
          <t>Income</t>
        </is>
      </c>
      <c r="C142" s="32" t="inlineStr">
        <is>
          <t>Prior Year Reconciliations</t>
        </is>
      </c>
      <c r="D142" s="41" t="n">
        <v>-12867.2</v>
      </c>
      <c r="E142" s="32" t="inlineStr"/>
    </row>
    <row r="143">
      <c r="A143" s="38" t="inlineStr">
        <is>
          <t>Majestic Commercenter — FY2024</t>
        </is>
      </c>
      <c r="B143" s="38" t="inlineStr">
        <is>
          <t>Income</t>
        </is>
      </c>
      <c r="C143" s="38" t="inlineStr">
        <is>
          <t>TOTAL INCOME</t>
        </is>
      </c>
      <c r="D143" s="39">
        <f>SUM(D138:D142)</f>
        <v/>
      </c>
      <c r="E143" s="38" t="inlineStr">
        <is>
          <t>Printed total: $1,361,972.79. Gross Revenue as printed. Base rent ÷ 200,000 SF = $3.49/SF.</t>
        </is>
      </c>
    </row>
    <row r="144">
      <c r="A144" s="32" t="inlineStr">
        <is>
          <t>Majestic Commercenter — FY2024</t>
        </is>
      </c>
      <c r="B144" s="32" t="inlineStr">
        <is>
          <t>Expense</t>
        </is>
      </c>
      <c r="C144" s="32" t="inlineStr">
        <is>
          <t>Water/Sewer (rec)</t>
        </is>
      </c>
      <c r="D144" s="41" t="n">
        <v>24928.96</v>
      </c>
      <c r="E144" s="32" t="inlineStr"/>
    </row>
    <row r="145">
      <c r="A145" s="32" t="inlineStr">
        <is>
          <t>Majestic Commercenter — FY2024</t>
        </is>
      </c>
      <c r="B145" s="32" t="inlineStr">
        <is>
          <t>Expense</t>
        </is>
      </c>
      <c r="C145" s="32" t="inlineStr">
        <is>
          <t>Extermination (rec)</t>
        </is>
      </c>
      <c r="D145" s="41" t="n">
        <v>2310</v>
      </c>
      <c r="E145" s="32" t="inlineStr"/>
    </row>
    <row r="146">
      <c r="A146" s="32" t="inlineStr">
        <is>
          <t>Majestic Commercenter — FY2024</t>
        </is>
      </c>
      <c r="B146" s="32" t="inlineStr">
        <is>
          <t>Expense</t>
        </is>
      </c>
      <c r="C146" s="32" t="inlineStr">
        <is>
          <t>Fire Protection/Security (rec)</t>
        </is>
      </c>
      <c r="D146" s="41" t="n">
        <v>4079.61</v>
      </c>
      <c r="E146" s="32" t="inlineStr"/>
    </row>
    <row r="147">
      <c r="A147" s="32" t="inlineStr">
        <is>
          <t>Majestic Commercenter — FY2024</t>
        </is>
      </c>
      <c r="B147" s="32" t="inlineStr">
        <is>
          <t>Expense</t>
        </is>
      </c>
      <c r="C147" s="32" t="inlineStr">
        <is>
          <t>R&amp;M - Electrical (rec)</t>
        </is>
      </c>
      <c r="D147" s="41" t="n">
        <v>4433.48</v>
      </c>
      <c r="E147" s="32" t="inlineStr"/>
    </row>
    <row r="148">
      <c r="A148" s="32" t="inlineStr">
        <is>
          <t>Majestic Commercenter — FY2024</t>
        </is>
      </c>
      <c r="B148" s="32" t="inlineStr">
        <is>
          <t>Expense</t>
        </is>
      </c>
      <c r="C148" s="32" t="inlineStr">
        <is>
          <t>R&amp;M - General Building (rec)</t>
        </is>
      </c>
      <c r="D148" s="41" t="n">
        <v>310</v>
      </c>
      <c r="E148" s="32" t="inlineStr"/>
    </row>
    <row r="149">
      <c r="A149" s="32" t="inlineStr">
        <is>
          <t>Majestic Commercenter — FY2024</t>
        </is>
      </c>
      <c r="B149" s="32" t="inlineStr">
        <is>
          <t>Expense</t>
        </is>
      </c>
      <c r="C149" s="32" t="inlineStr">
        <is>
          <t>R&amp;M - Landscape/Sprinkler (rec)</t>
        </is>
      </c>
      <c r="D149" s="41" t="n">
        <v>10960.97</v>
      </c>
      <c r="E149" s="32" t="inlineStr"/>
    </row>
    <row r="150">
      <c r="A150" s="32" t="inlineStr">
        <is>
          <t>Majestic Commercenter — FY2024</t>
        </is>
      </c>
      <c r="B150" s="32" t="inlineStr">
        <is>
          <t>Expense</t>
        </is>
      </c>
      <c r="C150" s="32" t="inlineStr">
        <is>
          <t>R&amp;M - HVAC (rec)</t>
        </is>
      </c>
      <c r="D150" s="41" t="n">
        <v>5126.45</v>
      </c>
      <c r="E150" s="32" t="inlineStr"/>
    </row>
    <row r="151">
      <c r="A151" s="32" t="inlineStr">
        <is>
          <t>Majestic Commercenter — FY2024</t>
        </is>
      </c>
      <c r="B151" s="32" t="inlineStr">
        <is>
          <t>Expense</t>
        </is>
      </c>
      <c r="C151" s="32" t="inlineStr">
        <is>
          <t>R&amp;M - Parking Lot (rec)</t>
        </is>
      </c>
      <c r="D151" s="41" t="n">
        <v>14956.6</v>
      </c>
      <c r="E151" s="32" t="inlineStr"/>
    </row>
    <row r="152">
      <c r="A152" s="32" t="inlineStr">
        <is>
          <t>Majestic Commercenter — FY2024</t>
        </is>
      </c>
      <c r="B152" s="32" t="inlineStr">
        <is>
          <t>Expense</t>
        </is>
      </c>
      <c r="C152" s="32" t="inlineStr">
        <is>
          <t>R&amp;M - Parking Lot Sweeping (rec)</t>
        </is>
      </c>
      <c r="D152" s="41" t="n">
        <v>75</v>
      </c>
      <c r="E152" s="32" t="inlineStr"/>
    </row>
    <row r="153">
      <c r="A153" s="32" t="inlineStr">
        <is>
          <t>Majestic Commercenter — FY2024</t>
        </is>
      </c>
      <c r="B153" s="32" t="inlineStr">
        <is>
          <t>Expense</t>
        </is>
      </c>
      <c r="C153" s="32" t="inlineStr">
        <is>
          <t>R&amp;M - Parking Lot Snow Removal (rec)</t>
        </is>
      </c>
      <c r="D153" s="41" t="n">
        <v>12925.25</v>
      </c>
      <c r="E153" s="32" t="inlineStr"/>
    </row>
    <row r="154">
      <c r="A154" s="32" t="inlineStr">
        <is>
          <t>Majestic Commercenter — FY2024</t>
        </is>
      </c>
      <c r="B154" s="32" t="inlineStr">
        <is>
          <t>Expense</t>
        </is>
      </c>
      <c r="C154" s="32" t="inlineStr">
        <is>
          <t>Management Fees (rec)</t>
        </is>
      </c>
      <c r="D154" s="41" t="n">
        <v>43037.28</v>
      </c>
      <c r="E154" s="32" t="inlineStr"/>
    </row>
    <row r="155">
      <c r="A155" s="32" t="inlineStr">
        <is>
          <t>Majestic Commercenter — FY2024</t>
        </is>
      </c>
      <c r="B155" s="32" t="inlineStr">
        <is>
          <t>Expense</t>
        </is>
      </c>
      <c r="C155" s="32" t="inlineStr">
        <is>
          <t>Real Estate Taxes (fixed)</t>
        </is>
      </c>
      <c r="D155" s="41" t="n">
        <v>423808.38</v>
      </c>
      <c r="E155" s="32" t="inlineStr"/>
    </row>
    <row r="156">
      <c r="A156" s="32" t="inlineStr">
        <is>
          <t>Majestic Commercenter — FY2024</t>
        </is>
      </c>
      <c r="B156" s="32" t="inlineStr">
        <is>
          <t>Expense</t>
        </is>
      </c>
      <c r="C156" s="32" t="inlineStr">
        <is>
          <t>Insurance (fixed)</t>
        </is>
      </c>
      <c r="D156" s="41" t="n">
        <v>65797</v>
      </c>
      <c r="E156" s="32" t="inlineStr"/>
    </row>
    <row r="157">
      <c r="A157" s="38" t="inlineStr">
        <is>
          <t>Majestic Commercenter — FY2024</t>
        </is>
      </c>
      <c r="B157" s="38" t="inlineStr">
        <is>
          <t>Expense</t>
        </is>
      </c>
      <c r="C157" s="38" t="inlineStr">
        <is>
          <t>TOTAL EXPENSE</t>
        </is>
      </c>
      <c r="D157" s="39">
        <f>SUM(D144:D156)</f>
        <v/>
      </c>
      <c r="E157" s="38" t="inlineStr">
        <is>
          <t>Printed total: $612,748.98. Recoverable OpEx $123,143.60 + fixed $489,605.38. Income from operations $749,223.81. Below that line: G&amp;A misc $100.00 and lease commission $71,251.20 → total expenses $684,100.18, operating summary $677,872.61.</t>
        </is>
      </c>
    </row>
    <row r="159">
      <c r="A159" s="32" t="inlineStr">
        <is>
          <t>Majestic Commercenter — FY2023</t>
        </is>
      </c>
      <c r="B159" s="32" t="inlineStr">
        <is>
          <t>Income</t>
        </is>
      </c>
      <c r="C159" s="32" t="inlineStr">
        <is>
          <t>Base Rent</t>
        </is>
      </c>
      <c r="D159" s="41" t="n">
        <v>675674.6800000001</v>
      </c>
      <c r="E159" s="32" t="inlineStr"/>
    </row>
    <row r="160">
      <c r="A160" s="32" t="inlineStr">
        <is>
          <t>Majestic Commercenter — FY2023</t>
        </is>
      </c>
      <c r="B160" s="32" t="inlineStr">
        <is>
          <t>Income</t>
        </is>
      </c>
      <c r="C160" s="32" t="inlineStr">
        <is>
          <t>Operating Exp. Recovery</t>
        </is>
      </c>
      <c r="D160" s="41" t="n">
        <v>152196</v>
      </c>
      <c r="E160" s="32" t="inlineStr"/>
    </row>
    <row r="161">
      <c r="A161" s="32" t="inlineStr">
        <is>
          <t>Majestic Commercenter — FY2023</t>
        </is>
      </c>
      <c r="B161" s="32" t="inlineStr">
        <is>
          <t>Income</t>
        </is>
      </c>
      <c r="C161" s="32" t="inlineStr">
        <is>
          <t>Tax Recovery</t>
        </is>
      </c>
      <c r="D161" s="41" t="n">
        <v>506459.28</v>
      </c>
      <c r="E161" s="32" t="inlineStr"/>
    </row>
    <row r="162">
      <c r="A162" s="32" t="inlineStr">
        <is>
          <t>Majestic Commercenter — FY2023</t>
        </is>
      </c>
      <c r="B162" s="32" t="inlineStr">
        <is>
          <t>Income</t>
        </is>
      </c>
      <c r="C162" s="32" t="inlineStr">
        <is>
          <t>Insurance Recovery</t>
        </is>
      </c>
      <c r="D162" s="41" t="n">
        <v>23712</v>
      </c>
      <c r="E162" s="32" t="inlineStr"/>
    </row>
    <row r="163">
      <c r="A163" s="32" t="inlineStr">
        <is>
          <t>Majestic Commercenter — FY2023</t>
        </is>
      </c>
      <c r="B163" s="32" t="inlineStr">
        <is>
          <t>Income</t>
        </is>
      </c>
      <c r="C163" s="32" t="inlineStr">
        <is>
          <t>Prior Year Reconciliations</t>
        </is>
      </c>
      <c r="D163" s="41" t="n">
        <v>-25812.01</v>
      </c>
      <c r="E163" s="32" t="inlineStr"/>
    </row>
    <row r="164">
      <c r="A164" s="38" t="inlineStr">
        <is>
          <t>Majestic Commercenter — FY2023</t>
        </is>
      </c>
      <c r="B164" s="38" t="inlineStr">
        <is>
          <t>Income</t>
        </is>
      </c>
      <c r="C164" s="38" t="inlineStr">
        <is>
          <t>TOTAL INCOME</t>
        </is>
      </c>
      <c r="D164" s="39">
        <f>SUM(D159:D163)</f>
        <v/>
      </c>
      <c r="E164" s="38" t="inlineStr">
        <is>
          <t>Printed total: $1,332,229.95. Gross Revenue as printed. Base rent ÷ 200,000 SF = $3.38/SF.</t>
        </is>
      </c>
    </row>
    <row r="165">
      <c r="A165" s="32" t="inlineStr">
        <is>
          <t>Majestic Commercenter — FY2023</t>
        </is>
      </c>
      <c r="B165" s="32" t="inlineStr">
        <is>
          <t>Expense</t>
        </is>
      </c>
      <c r="C165" s="32" t="inlineStr">
        <is>
          <t>Water/Sewer (rec)</t>
        </is>
      </c>
      <c r="D165" s="41" t="n">
        <v>24936.52</v>
      </c>
      <c r="E165" s="32" t="inlineStr"/>
    </row>
    <row r="166">
      <c r="A166" s="32" t="inlineStr">
        <is>
          <t>Majestic Commercenter — FY2023</t>
        </is>
      </c>
      <c r="B166" s="32" t="inlineStr">
        <is>
          <t>Expense</t>
        </is>
      </c>
      <c r="C166" s="32" t="inlineStr">
        <is>
          <t>Extermination (rec)</t>
        </is>
      </c>
      <c r="D166" s="41" t="n">
        <v>2910</v>
      </c>
      <c r="E166" s="32" t="inlineStr"/>
    </row>
    <row r="167">
      <c r="A167" s="32" t="inlineStr">
        <is>
          <t>Majestic Commercenter — FY2023</t>
        </is>
      </c>
      <c r="B167" s="32" t="inlineStr">
        <is>
          <t>Expense</t>
        </is>
      </c>
      <c r="C167" s="32" t="inlineStr">
        <is>
          <t>Fire Protection/Security (rec)</t>
        </is>
      </c>
      <c r="D167" s="41" t="n">
        <v>1930</v>
      </c>
      <c r="E167" s="32" t="inlineStr"/>
    </row>
    <row r="168">
      <c r="A168" s="32" t="inlineStr">
        <is>
          <t>Majestic Commercenter — FY2023</t>
        </is>
      </c>
      <c r="B168" s="32" t="inlineStr">
        <is>
          <t>Expense</t>
        </is>
      </c>
      <c r="C168" s="32" t="inlineStr">
        <is>
          <t>R&amp;M - Electrical (rec)</t>
        </is>
      </c>
      <c r="D168" s="41" t="n">
        <v>2154.09</v>
      </c>
      <c r="E168" s="32" t="inlineStr"/>
    </row>
    <row r="169">
      <c r="A169" s="32" t="inlineStr">
        <is>
          <t>Majestic Commercenter — FY2023</t>
        </is>
      </c>
      <c r="B169" s="32" t="inlineStr">
        <is>
          <t>Expense</t>
        </is>
      </c>
      <c r="C169" s="32" t="inlineStr">
        <is>
          <t>R&amp;M - General Building (rec)</t>
        </is>
      </c>
      <c r="D169" s="41" t="n">
        <v>1317</v>
      </c>
      <c r="E169" s="32" t="inlineStr"/>
    </row>
    <row r="170">
      <c r="A170" s="32" t="inlineStr">
        <is>
          <t>Majestic Commercenter — FY2023</t>
        </is>
      </c>
      <c r="B170" s="32" t="inlineStr">
        <is>
          <t>Expense</t>
        </is>
      </c>
      <c r="C170" s="32" t="inlineStr">
        <is>
          <t>R&amp;M - Grounds (rec)</t>
        </is>
      </c>
      <c r="D170" s="41" t="n">
        <v>1295</v>
      </c>
      <c r="E170" s="32" t="inlineStr"/>
    </row>
    <row r="171">
      <c r="A171" s="32" t="inlineStr">
        <is>
          <t>Majestic Commercenter — FY2023</t>
        </is>
      </c>
      <c r="B171" s="32" t="inlineStr">
        <is>
          <t>Expense</t>
        </is>
      </c>
      <c r="C171" s="32" t="inlineStr">
        <is>
          <t>R&amp;M - Landscape/Sprinkler (rec)</t>
        </is>
      </c>
      <c r="D171" s="41" t="n">
        <v>21159.44</v>
      </c>
      <c r="E171" s="32" t="inlineStr"/>
    </row>
    <row r="172">
      <c r="A172" s="32" t="inlineStr">
        <is>
          <t>Majestic Commercenter — FY2023</t>
        </is>
      </c>
      <c r="B172" s="32" t="inlineStr">
        <is>
          <t>Expense</t>
        </is>
      </c>
      <c r="C172" s="32" t="inlineStr">
        <is>
          <t>R&amp;M - HVAC (rec)</t>
        </is>
      </c>
      <c r="D172" s="41" t="n">
        <v>19024.59</v>
      </c>
      <c r="E172" s="32" t="inlineStr"/>
    </row>
    <row r="173">
      <c r="A173" s="32" t="inlineStr">
        <is>
          <t>Majestic Commercenter — FY2023</t>
        </is>
      </c>
      <c r="B173" s="32" t="inlineStr">
        <is>
          <t>Expense</t>
        </is>
      </c>
      <c r="C173" s="32" t="inlineStr">
        <is>
          <t>R&amp;M - Parking Lot (rec)</t>
        </is>
      </c>
      <c r="D173" s="41" t="n">
        <v>44093.04</v>
      </c>
      <c r="E173" s="32" t="inlineStr"/>
    </row>
    <row r="174">
      <c r="A174" s="32" t="inlineStr">
        <is>
          <t>Majestic Commercenter — FY2023</t>
        </is>
      </c>
      <c r="B174" s="32" t="inlineStr">
        <is>
          <t>Expense</t>
        </is>
      </c>
      <c r="C174" s="32" t="inlineStr">
        <is>
          <t>R&amp;M - Parking Lot Snow Removal (rec)</t>
        </is>
      </c>
      <c r="D174" s="41" t="n">
        <v>12819.5</v>
      </c>
      <c r="E174" s="32" t="inlineStr"/>
    </row>
    <row r="175">
      <c r="A175" s="32" t="inlineStr">
        <is>
          <t>Majestic Commercenter — FY2023</t>
        </is>
      </c>
      <c r="B175" s="32" t="inlineStr">
        <is>
          <t>Expense</t>
        </is>
      </c>
      <c r="C175" s="32" t="inlineStr">
        <is>
          <t>R&amp;M - Roof (rec)</t>
        </is>
      </c>
      <c r="D175" s="41" t="n">
        <v>2667.83</v>
      </c>
      <c r="E175" s="32" t="inlineStr"/>
    </row>
    <row r="176">
      <c r="A176" s="32" t="inlineStr">
        <is>
          <t>Majestic Commercenter — FY2023</t>
        </is>
      </c>
      <c r="B176" s="32" t="inlineStr">
        <is>
          <t>Expense</t>
        </is>
      </c>
      <c r="C176" s="32" t="inlineStr">
        <is>
          <t>Management Fees (rec)</t>
        </is>
      </c>
      <c r="D176" s="41" t="n">
        <v>38009.45</v>
      </c>
      <c r="E176" s="32" t="inlineStr"/>
    </row>
    <row r="177">
      <c r="A177" s="32" t="inlineStr">
        <is>
          <t>Majestic Commercenter — FY2023</t>
        </is>
      </c>
      <c r="B177" s="32" t="inlineStr">
        <is>
          <t>Expense</t>
        </is>
      </c>
      <c r="C177" s="32" t="inlineStr">
        <is>
          <t>R&amp;M - General Building (non-recoverable)</t>
        </is>
      </c>
      <c r="D177" s="41" t="n">
        <v>825</v>
      </c>
      <c r="E177" s="32" t="inlineStr"/>
    </row>
    <row r="178">
      <c r="A178" s="32" t="inlineStr">
        <is>
          <t>Majestic Commercenter — FY2023</t>
        </is>
      </c>
      <c r="B178" s="32" t="inlineStr">
        <is>
          <t>Expense</t>
        </is>
      </c>
      <c r="C178" s="32" t="inlineStr">
        <is>
          <t>Real Estate Taxes (fixed)</t>
        </is>
      </c>
      <c r="D178" s="41" t="n">
        <v>331843.02</v>
      </c>
      <c r="E178" s="32" t="inlineStr"/>
    </row>
    <row r="179">
      <c r="A179" s="32" t="inlineStr">
        <is>
          <t>Majestic Commercenter — FY2023</t>
        </is>
      </c>
      <c r="B179" s="32" t="inlineStr">
        <is>
          <t>Expense</t>
        </is>
      </c>
      <c r="C179" s="32" t="inlineStr">
        <is>
          <t>Insurance (fixed)</t>
        </is>
      </c>
      <c r="D179" s="41" t="n">
        <v>29399</v>
      </c>
      <c r="E179" s="32" t="inlineStr"/>
    </row>
    <row r="180">
      <c r="A180" s="38" t="inlineStr">
        <is>
          <t>Majestic Commercenter — FY2023</t>
        </is>
      </c>
      <c r="B180" s="38" t="inlineStr">
        <is>
          <t>Expense</t>
        </is>
      </c>
      <c r="C180" s="38" t="inlineStr">
        <is>
          <t>TOTAL EXPENSE</t>
        </is>
      </c>
      <c r="D180" s="39">
        <f>SUM(D165:D179)</f>
        <v/>
      </c>
      <c r="E180" s="38" t="inlineStr">
        <is>
          <t>Printed total: $534,383.48. Recoverable OpEx $172,316.46 + non-recoverable $825.00 + fixed $361,242.02. Income from operations $797,846.47. Below that line: G&amp;A misc $100.00 → total expenses $534,483.48, operating summary $797,746.47.</t>
        </is>
      </c>
    </row>
    <row r="182">
      <c r="A182" s="32" t="inlineStr">
        <is>
          <t>Majestic Commercenter — FY2022</t>
        </is>
      </c>
      <c r="B182" s="32" t="inlineStr">
        <is>
          <t>Income</t>
        </is>
      </c>
      <c r="C182" s="32" t="inlineStr">
        <is>
          <t>Interest Income</t>
        </is>
      </c>
      <c r="D182" s="41" t="n">
        <v>9.25</v>
      </c>
      <c r="E182" s="32" t="inlineStr"/>
    </row>
    <row r="183">
      <c r="A183" s="32" t="inlineStr">
        <is>
          <t>Majestic Commercenter — FY2022</t>
        </is>
      </c>
      <c r="B183" s="32" t="inlineStr">
        <is>
          <t>Income</t>
        </is>
      </c>
      <c r="C183" s="32" t="inlineStr">
        <is>
          <t>Base Rent</t>
        </is>
      </c>
      <c r="D183" s="41" t="n">
        <v>652664.67</v>
      </c>
      <c r="E183" s="32" t="inlineStr"/>
    </row>
    <row r="184">
      <c r="A184" s="32" t="inlineStr">
        <is>
          <t>Majestic Commercenter — FY2022</t>
        </is>
      </c>
      <c r="B184" s="32" t="inlineStr">
        <is>
          <t>Income</t>
        </is>
      </c>
      <c r="C184" s="32" t="inlineStr">
        <is>
          <t>Operating Exp. Recovery</t>
        </is>
      </c>
      <c r="D184" s="41" t="n">
        <v>132892</v>
      </c>
      <c r="E184" s="32" t="inlineStr"/>
    </row>
    <row r="185">
      <c r="A185" s="32" t="inlineStr">
        <is>
          <t>Majestic Commercenter — FY2022</t>
        </is>
      </c>
      <c r="B185" s="32" t="inlineStr">
        <is>
          <t>Income</t>
        </is>
      </c>
      <c r="C185" s="32" t="inlineStr">
        <is>
          <t>Tax Recovery</t>
        </is>
      </c>
      <c r="D185" s="41" t="n">
        <v>378242</v>
      </c>
      <c r="E185" s="32" t="inlineStr"/>
    </row>
    <row r="186">
      <c r="A186" s="32" t="inlineStr">
        <is>
          <t>Majestic Commercenter — FY2022</t>
        </is>
      </c>
      <c r="B186" s="32" t="inlineStr">
        <is>
          <t>Income</t>
        </is>
      </c>
      <c r="C186" s="32" t="inlineStr">
        <is>
          <t>Insurance Recovery</t>
        </is>
      </c>
      <c r="D186" s="41" t="n">
        <v>18696</v>
      </c>
      <c r="E186" s="32" t="inlineStr"/>
    </row>
    <row r="187">
      <c r="A187" s="32" t="inlineStr">
        <is>
          <t>Majestic Commercenter — FY2022</t>
        </is>
      </c>
      <c r="B187" s="32" t="inlineStr">
        <is>
          <t>Income</t>
        </is>
      </c>
      <c r="C187" s="32" t="inlineStr">
        <is>
          <t>Prior Year Reconciliations</t>
        </is>
      </c>
      <c r="D187" s="41" t="n">
        <v>-23912.57</v>
      </c>
      <c r="E187" s="32" t="inlineStr"/>
    </row>
    <row r="188">
      <c r="A188" s="38" t="inlineStr">
        <is>
          <t>Majestic Commercenter — FY2022</t>
        </is>
      </c>
      <c r="B188" s="38" t="inlineStr">
        <is>
          <t>Income</t>
        </is>
      </c>
      <c r="C188" s="38" t="inlineStr">
        <is>
          <t>TOTAL INCOME</t>
        </is>
      </c>
      <c r="D188" s="39">
        <f>SUM(D182:D187)</f>
        <v/>
      </c>
      <c r="E188" s="38" t="inlineStr">
        <is>
          <t>Printed total: $1,158,591.35. Gross Revenue as printed. Base rent ÷ 200,000 SF = $3.26/SF.</t>
        </is>
      </c>
    </row>
    <row r="189">
      <c r="A189" s="32" t="inlineStr">
        <is>
          <t>Majestic Commercenter — FY2022</t>
        </is>
      </c>
      <c r="B189" s="32" t="inlineStr">
        <is>
          <t>Expense</t>
        </is>
      </c>
      <c r="C189" s="32" t="inlineStr">
        <is>
          <t>Electricity (rec)</t>
        </is>
      </c>
      <c r="D189" s="41" t="n">
        <v>216.16</v>
      </c>
      <c r="E189" s="32" t="inlineStr"/>
    </row>
    <row r="190">
      <c r="A190" s="32" t="inlineStr">
        <is>
          <t>Majestic Commercenter — FY2022</t>
        </is>
      </c>
      <c r="B190" s="32" t="inlineStr">
        <is>
          <t>Expense</t>
        </is>
      </c>
      <c r="C190" s="32" t="inlineStr">
        <is>
          <t>Water/Sewer (rec)</t>
        </is>
      </c>
      <c r="D190" s="41" t="n">
        <v>31675.08</v>
      </c>
      <c r="E190" s="32" t="inlineStr"/>
    </row>
    <row r="191">
      <c r="A191" s="32" t="inlineStr">
        <is>
          <t>Majestic Commercenter — FY2022</t>
        </is>
      </c>
      <c r="B191" s="32" t="inlineStr">
        <is>
          <t>Expense</t>
        </is>
      </c>
      <c r="C191" s="32" t="inlineStr">
        <is>
          <t>Extermination (rec)</t>
        </is>
      </c>
      <c r="D191" s="41" t="n">
        <v>2240</v>
      </c>
      <c r="E191" s="32" t="inlineStr"/>
    </row>
    <row r="192">
      <c r="A192" s="32" t="inlineStr">
        <is>
          <t>Majestic Commercenter — FY2022</t>
        </is>
      </c>
      <c r="B192" s="32" t="inlineStr">
        <is>
          <t>Expense</t>
        </is>
      </c>
      <c r="C192" s="32" t="inlineStr">
        <is>
          <t>Fire Protection/Security (rec)</t>
        </is>
      </c>
      <c r="D192" s="41" t="n">
        <v>3326</v>
      </c>
      <c r="E192" s="32" t="inlineStr"/>
    </row>
    <row r="193">
      <c r="A193" s="32" t="inlineStr">
        <is>
          <t>Majestic Commercenter — FY2022</t>
        </is>
      </c>
      <c r="B193" s="32" t="inlineStr">
        <is>
          <t>Expense</t>
        </is>
      </c>
      <c r="C193" s="32" t="inlineStr">
        <is>
          <t>R&amp;M - Electrical (rec)</t>
        </is>
      </c>
      <c r="D193" s="41" t="n">
        <v>646</v>
      </c>
      <c r="E193" s="32" t="inlineStr"/>
    </row>
    <row r="194">
      <c r="A194" s="32" t="inlineStr">
        <is>
          <t>Majestic Commercenter — FY2022</t>
        </is>
      </c>
      <c r="B194" s="32" t="inlineStr">
        <is>
          <t>Expense</t>
        </is>
      </c>
      <c r="C194" s="32" t="inlineStr">
        <is>
          <t>R&amp;M - General Building (rec)</t>
        </is>
      </c>
      <c r="D194" s="41" t="n">
        <v>510</v>
      </c>
      <c r="E194" s="32" t="inlineStr"/>
    </row>
    <row r="195">
      <c r="A195" s="32" t="inlineStr">
        <is>
          <t>Majestic Commercenter — FY2022</t>
        </is>
      </c>
      <c r="B195" s="32" t="inlineStr">
        <is>
          <t>Expense</t>
        </is>
      </c>
      <c r="C195" s="32" t="inlineStr">
        <is>
          <t>R&amp;M - Grounds (rec)</t>
        </is>
      </c>
      <c r="D195" s="41" t="n">
        <v>1665</v>
      </c>
      <c r="E195" s="32" t="inlineStr"/>
    </row>
    <row r="196">
      <c r="A196" s="32" t="inlineStr">
        <is>
          <t>Majestic Commercenter — FY2022</t>
        </is>
      </c>
      <c r="B196" s="32" t="inlineStr">
        <is>
          <t>Expense</t>
        </is>
      </c>
      <c r="C196" s="32" t="inlineStr">
        <is>
          <t>R&amp;M - Landscape/Sprinkler (rec)</t>
        </is>
      </c>
      <c r="D196" s="41" t="n">
        <v>13440.66</v>
      </c>
      <c r="E196" s="32" t="inlineStr"/>
    </row>
    <row r="197">
      <c r="A197" s="32" t="inlineStr">
        <is>
          <t>Majestic Commercenter — FY2022</t>
        </is>
      </c>
      <c r="B197" s="32" t="inlineStr">
        <is>
          <t>Expense</t>
        </is>
      </c>
      <c r="C197" s="32" t="inlineStr">
        <is>
          <t>R&amp;M - HVAC (rec)</t>
        </is>
      </c>
      <c r="D197" s="41" t="n">
        <v>1022.84</v>
      </c>
      <c r="E197" s="32" t="inlineStr"/>
    </row>
    <row r="198">
      <c r="A198" s="32" t="inlineStr">
        <is>
          <t>Majestic Commercenter — FY2022</t>
        </is>
      </c>
      <c r="B198" s="32" t="inlineStr">
        <is>
          <t>Expense</t>
        </is>
      </c>
      <c r="C198" s="32" t="inlineStr">
        <is>
          <t>R&amp;M - Parking Lot (rec)</t>
        </is>
      </c>
      <c r="D198" s="41" t="n">
        <v>19891.2</v>
      </c>
      <c r="E198" s="32" t="inlineStr"/>
    </row>
    <row r="199">
      <c r="A199" s="32" t="inlineStr">
        <is>
          <t>Majestic Commercenter — FY2022</t>
        </is>
      </c>
      <c r="B199" s="32" t="inlineStr">
        <is>
          <t>Expense</t>
        </is>
      </c>
      <c r="C199" s="32" t="inlineStr">
        <is>
          <t>R&amp;M - Parking Lot Snow Removal (rec)</t>
        </is>
      </c>
      <c r="D199" s="41" t="n">
        <v>19352.66</v>
      </c>
      <c r="E199" s="32" t="inlineStr"/>
    </row>
    <row r="200">
      <c r="A200" s="32" t="inlineStr">
        <is>
          <t>Majestic Commercenter — FY2022</t>
        </is>
      </c>
      <c r="B200" s="32" t="inlineStr">
        <is>
          <t>Expense</t>
        </is>
      </c>
      <c r="C200" s="32" t="inlineStr">
        <is>
          <t>R&amp;M - Roof (rec)</t>
        </is>
      </c>
      <c r="D200" s="41" t="n">
        <v>861.9299999999999</v>
      </c>
      <c r="E200" s="32" t="inlineStr"/>
    </row>
    <row r="201">
      <c r="A201" s="32" t="inlineStr">
        <is>
          <t>Majestic Commercenter — FY2022</t>
        </is>
      </c>
      <c r="B201" s="32" t="inlineStr">
        <is>
          <t>Expense</t>
        </is>
      </c>
      <c r="C201" s="32" t="inlineStr">
        <is>
          <t>Management Fees (rec)</t>
        </is>
      </c>
      <c r="D201" s="41" t="n">
        <v>35162.86</v>
      </c>
      <c r="E201" s="32" t="inlineStr"/>
    </row>
    <row r="202">
      <c r="A202" s="32" t="inlineStr">
        <is>
          <t>Majestic Commercenter — FY2022</t>
        </is>
      </c>
      <c r="B202" s="32" t="inlineStr">
        <is>
          <t>Expense</t>
        </is>
      </c>
      <c r="C202" s="32" t="inlineStr">
        <is>
          <t>Other Expense (rec)</t>
        </is>
      </c>
      <c r="D202" s="41" t="n">
        <v>181.59</v>
      </c>
      <c r="E202" s="32" t="inlineStr"/>
    </row>
    <row r="203">
      <c r="A203" s="32" t="inlineStr">
        <is>
          <t>Majestic Commercenter — FY2022</t>
        </is>
      </c>
      <c r="B203" s="32" t="inlineStr">
        <is>
          <t>Expense</t>
        </is>
      </c>
      <c r="C203" s="32" t="inlineStr">
        <is>
          <t>Real Estate Taxes (fixed)</t>
        </is>
      </c>
      <c r="D203" s="41" t="n">
        <v>366203.26</v>
      </c>
      <c r="E203" s="32" t="inlineStr"/>
    </row>
    <row r="204">
      <c r="A204" s="32" t="inlineStr">
        <is>
          <t>Majestic Commercenter — FY2022</t>
        </is>
      </c>
      <c r="B204" s="32" t="inlineStr">
        <is>
          <t>Expense</t>
        </is>
      </c>
      <c r="C204" s="32" t="inlineStr">
        <is>
          <t>Insurance (fixed)</t>
        </is>
      </c>
      <c r="D204" s="41" t="n">
        <v>21571</v>
      </c>
      <c r="E204" s="32" t="inlineStr"/>
    </row>
    <row r="205">
      <c r="A205" s="38" t="inlineStr">
        <is>
          <t>Majestic Commercenter — FY2022</t>
        </is>
      </c>
      <c r="B205" s="38" t="inlineStr">
        <is>
          <t>Expense</t>
        </is>
      </c>
      <c r="C205" s="38" t="inlineStr">
        <is>
          <t>TOTAL EXPENSE</t>
        </is>
      </c>
      <c r="D205" s="39">
        <f>SUM(D189:D204)</f>
        <v/>
      </c>
      <c r="E205" s="38" t="inlineStr">
        <is>
          <t>Printed total: $517,966.24. Recoverable OpEx $130,191.98 + fixed $387,774.26. Income from operations $640,625.11. Below that line: G&amp;A misc $100.00 and lease commission $24,325.08 → total expenses $542,391.32, operating summary $616,200.03.</t>
        </is>
      </c>
    </row>
    <row r="206">
      <c r="A206" s="32" t="inlineStr">
        <is>
          <t>Commercenter #22 — FY2024</t>
        </is>
      </c>
      <c r="B206" s="32" t="inlineStr">
        <is>
          <t>Income</t>
        </is>
      </c>
      <c r="C206" s="32" t="inlineStr">
        <is>
          <t>4015 Industrial Rental Income</t>
        </is>
      </c>
      <c r="D206" s="41" t="n">
        <v>865747.0600000001</v>
      </c>
      <c r="E206" s="32" t="inlineStr"/>
    </row>
    <row r="207">
      <c r="A207" s="32" t="inlineStr">
        <is>
          <t>Commercenter #22 — FY2024</t>
        </is>
      </c>
      <c r="B207" s="32" t="inlineStr">
        <is>
          <t>Income</t>
        </is>
      </c>
      <c r="C207" s="32" t="inlineStr">
        <is>
          <t>4035 Rent Concessions</t>
        </is>
      </c>
      <c r="D207" s="41" t="n">
        <v>35897.03</v>
      </c>
      <c r="E207" s="32" t="inlineStr"/>
    </row>
    <row r="208">
      <c r="A208" s="32" t="inlineStr">
        <is>
          <t>Commercenter #22 — FY2024</t>
        </is>
      </c>
      <c r="B208" s="32" t="inlineStr">
        <is>
          <t>Income</t>
        </is>
      </c>
      <c r="C208" s="32" t="inlineStr">
        <is>
          <t>4040 Rent Amortization</t>
        </is>
      </c>
      <c r="D208" s="41" t="n">
        <v>-39646.92</v>
      </c>
      <c r="E208" s="32" t="inlineStr"/>
    </row>
    <row r="209">
      <c r="A209" s="32" t="inlineStr">
        <is>
          <t>Commercenter #22 — FY2024</t>
        </is>
      </c>
      <c r="B209" s="32" t="inlineStr">
        <is>
          <t>Income</t>
        </is>
      </c>
      <c r="C209" s="32" t="inlineStr">
        <is>
          <t>4037 Rent Above/Below Market</t>
        </is>
      </c>
      <c r="D209" s="41" t="n">
        <v>10078.57</v>
      </c>
      <c r="E209" s="32" t="inlineStr"/>
    </row>
    <row r="210">
      <c r="A210" s="32" t="inlineStr">
        <is>
          <t>Commercenter #22 — FY2024</t>
        </is>
      </c>
      <c r="B210" s="32" t="inlineStr">
        <is>
          <t>Income</t>
        </is>
      </c>
      <c r="C210" s="32" t="inlineStr">
        <is>
          <t>4135 Common Area Reimbursement</t>
        </is>
      </c>
      <c r="D210" s="41" t="n">
        <v>80298.07000000001</v>
      </c>
      <c r="E210" s="32" t="inlineStr"/>
    </row>
    <row r="211">
      <c r="A211" s="32" t="inlineStr">
        <is>
          <t>Commercenter #22 — FY2024</t>
        </is>
      </c>
      <c r="B211" s="32" t="inlineStr">
        <is>
          <t>Income</t>
        </is>
      </c>
      <c r="C211" s="32" t="inlineStr">
        <is>
          <t>4140 Insurance Reimbursement</t>
        </is>
      </c>
      <c r="D211" s="41" t="n">
        <v>21465.97</v>
      </c>
      <c r="E211" s="32" t="inlineStr"/>
    </row>
    <row r="212">
      <c r="A212" s="32" t="inlineStr">
        <is>
          <t>Commercenter #22 — FY2024</t>
        </is>
      </c>
      <c r="B212" s="32" t="inlineStr">
        <is>
          <t>Income</t>
        </is>
      </c>
      <c r="C212" s="32" t="inlineStr">
        <is>
          <t>4145 Real Estate Tax Reimbursement</t>
        </is>
      </c>
      <c r="D212" s="41" t="n">
        <v>496749.45</v>
      </c>
      <c r="E212" s="32" t="inlineStr"/>
    </row>
    <row r="213">
      <c r="A213" s="32" t="inlineStr">
        <is>
          <t>Commercenter #22 — FY2024</t>
        </is>
      </c>
      <c r="B213" s="32" t="inlineStr">
        <is>
          <t>Income</t>
        </is>
      </c>
      <c r="C213" s="32" t="inlineStr">
        <is>
          <t>4150 Utilities Reimbursement</t>
        </is>
      </c>
      <c r="D213" s="41" t="n">
        <v>39775.44</v>
      </c>
      <c r="E213" s="32" t="inlineStr"/>
    </row>
    <row r="214">
      <c r="A214" s="32" t="inlineStr">
        <is>
          <t>Commercenter #22 — FY2024</t>
        </is>
      </c>
      <c r="B214" s="32" t="inlineStr">
        <is>
          <t>Income</t>
        </is>
      </c>
      <c r="C214" s="32" t="inlineStr">
        <is>
          <t>4158 Direct Tenant Reimbursement</t>
        </is>
      </c>
      <c r="D214" s="41" t="n">
        <v>8775</v>
      </c>
      <c r="E214" s="32" t="inlineStr"/>
    </row>
    <row r="215">
      <c r="A215" s="32" t="inlineStr">
        <is>
          <t>Commercenter #22 — FY2024</t>
        </is>
      </c>
      <c r="B215" s="32" t="inlineStr">
        <is>
          <t>Income</t>
        </is>
      </c>
      <c r="C215" s="32" t="inlineStr">
        <is>
          <t>4160 Management Fee Reimbursement</t>
        </is>
      </c>
      <c r="D215" s="41" t="n">
        <v>49158.85</v>
      </c>
      <c r="E215" s="32" t="inlineStr"/>
    </row>
    <row r="216">
      <c r="A216" s="32" t="inlineStr">
        <is>
          <t>Commercenter #22 — FY2024</t>
        </is>
      </c>
      <c r="B216" s="32" t="inlineStr">
        <is>
          <t>Income</t>
        </is>
      </c>
      <c r="C216" s="32" t="inlineStr">
        <is>
          <t>4175 Reserve Income</t>
        </is>
      </c>
      <c r="D216" s="41" t="n">
        <v>80144.73</v>
      </c>
      <c r="E216" s="32" t="inlineStr"/>
    </row>
    <row r="217">
      <c r="A217" s="38" t="inlineStr">
        <is>
          <t>Commercenter #22 — FY2024</t>
        </is>
      </c>
      <c r="B217" s="38" t="inlineStr">
        <is>
          <t>Income</t>
        </is>
      </c>
      <c r="C217" s="38" t="inlineStr">
        <is>
          <t>TOTAL REVENUE</t>
        </is>
      </c>
      <c r="D217" s="39">
        <f>SUM(D206:D216)</f>
        <v/>
      </c>
      <c r="E217" s="38" t="inlineStr">
        <is>
          <t>Printed total: $1,648,443.25. Base industrial rent $865,747.06 = $4.33/SF on 200,090 SF; reimbursements and reserve income make up the balance.</t>
        </is>
      </c>
    </row>
    <row r="218">
      <c r="A218" s="32" t="inlineStr">
        <is>
          <t>Commercenter #22 — FY2024</t>
        </is>
      </c>
      <c r="B218" s="32" t="inlineStr">
        <is>
          <t>Expense</t>
        </is>
      </c>
      <c r="C218" s="32" t="inlineStr">
        <is>
          <t>5115 Insurance-Fire &amp; Extended</t>
        </is>
      </c>
      <c r="D218" s="41" t="n">
        <v>19673</v>
      </c>
      <c r="E218" s="32" t="inlineStr"/>
    </row>
    <row r="219">
      <c r="A219" s="32" t="inlineStr">
        <is>
          <t>Commercenter #22 — FY2024</t>
        </is>
      </c>
      <c r="B219" s="32" t="inlineStr">
        <is>
          <t>Expense</t>
        </is>
      </c>
      <c r="C219" s="32" t="inlineStr">
        <is>
          <t>5120 Insurance-Liability</t>
        </is>
      </c>
      <c r="D219" s="41" t="n">
        <v>6635</v>
      </c>
      <c r="E219" s="32" t="inlineStr"/>
    </row>
    <row r="220">
      <c r="A220" s="32" t="inlineStr">
        <is>
          <t>Commercenter #22 — FY2024</t>
        </is>
      </c>
      <c r="B220" s="32" t="inlineStr">
        <is>
          <t>Expense</t>
        </is>
      </c>
      <c r="C220" s="32" t="inlineStr">
        <is>
          <t>5205 Backflow Testing &amp; Repair</t>
        </is>
      </c>
      <c r="D220" s="41" t="n">
        <v>360</v>
      </c>
      <c r="E220" s="32" t="inlineStr"/>
    </row>
    <row r="221">
      <c r="A221" s="32" t="inlineStr">
        <is>
          <t>Commercenter #22 — FY2024</t>
        </is>
      </c>
      <c r="B221" s="32" t="inlineStr">
        <is>
          <t>Expense</t>
        </is>
      </c>
      <c r="C221" s="32" t="inlineStr">
        <is>
          <t>5235 Door Repairs</t>
        </is>
      </c>
      <c r="D221" s="41" t="n">
        <v>-1795.72</v>
      </c>
      <c r="E221" s="32" t="inlineStr"/>
    </row>
    <row r="222">
      <c r="A222" s="32" t="inlineStr">
        <is>
          <t>Commercenter #22 — FY2024</t>
        </is>
      </c>
      <c r="B222" s="32" t="inlineStr">
        <is>
          <t>Expense</t>
        </is>
      </c>
      <c r="C222" s="32" t="inlineStr">
        <is>
          <t>5250 Fire Life Safety</t>
        </is>
      </c>
      <c r="D222" s="41" t="n">
        <v>6070.35</v>
      </c>
      <c r="E222" s="32" t="inlineStr"/>
    </row>
    <row r="223">
      <c r="A223" s="32" t="inlineStr">
        <is>
          <t>Commercenter #22 — FY2024</t>
        </is>
      </c>
      <c r="B223" s="32" t="inlineStr">
        <is>
          <t>Expense</t>
        </is>
      </c>
      <c r="C223" s="32" t="inlineStr">
        <is>
          <t>5275 HVAC</t>
        </is>
      </c>
      <c r="D223" s="41" t="n">
        <v>3979.14</v>
      </c>
      <c r="E223" s="32" t="inlineStr"/>
    </row>
    <row r="224">
      <c r="A224" s="32" t="inlineStr">
        <is>
          <t>Commercenter #22 — FY2024</t>
        </is>
      </c>
      <c r="B224" s="32" t="inlineStr">
        <is>
          <t>Expense</t>
        </is>
      </c>
      <c r="C224" s="32" t="inlineStr">
        <is>
          <t>5280 Janitorial Services</t>
        </is>
      </c>
      <c r="D224" s="41" t="n">
        <v>27.48</v>
      </c>
      <c r="E224" s="32" t="inlineStr"/>
    </row>
    <row r="225">
      <c r="A225" s="32" t="inlineStr">
        <is>
          <t>Commercenter #22 — FY2024</t>
        </is>
      </c>
      <c r="B225" s="32" t="inlineStr">
        <is>
          <t>Expense</t>
        </is>
      </c>
      <c r="C225" s="32" t="inlineStr">
        <is>
          <t>5285 Keys/Card Access</t>
        </is>
      </c>
      <c r="D225" s="41" t="n">
        <v>467.53</v>
      </c>
      <c r="E225" s="32" t="inlineStr"/>
    </row>
    <row r="226">
      <c r="A226" s="32" t="inlineStr">
        <is>
          <t>Commercenter #22 — FY2024</t>
        </is>
      </c>
      <c r="B226" s="32" t="inlineStr">
        <is>
          <t>Expense</t>
        </is>
      </c>
      <c r="C226" s="32" t="inlineStr">
        <is>
          <t>5290 Landscaping</t>
        </is>
      </c>
      <c r="D226" s="41" t="n">
        <v>20192.54</v>
      </c>
      <c r="E226" s="32" t="inlineStr"/>
    </row>
    <row r="227">
      <c r="A227" s="32" t="inlineStr">
        <is>
          <t>Commercenter #22 — FY2024</t>
        </is>
      </c>
      <c r="B227" s="32" t="inlineStr">
        <is>
          <t>Expense</t>
        </is>
      </c>
      <c r="C227" s="32" t="inlineStr">
        <is>
          <t>5305 Lighting</t>
        </is>
      </c>
      <c r="D227" s="41" t="n">
        <v>1264.71</v>
      </c>
      <c r="E227" s="32" t="inlineStr"/>
    </row>
    <row r="228">
      <c r="A228" s="32" t="inlineStr">
        <is>
          <t>Commercenter #22 — FY2024</t>
        </is>
      </c>
      <c r="B228" s="32" t="inlineStr">
        <is>
          <t>Expense</t>
        </is>
      </c>
      <c r="C228" s="32" t="inlineStr">
        <is>
          <t>5312 Other-DTR</t>
        </is>
      </c>
      <c r="D228" s="41" t="n">
        <v>5868</v>
      </c>
      <c r="E228" s="32" t="inlineStr"/>
    </row>
    <row r="229">
      <c r="A229" s="32" t="inlineStr">
        <is>
          <t>Commercenter #22 — FY2024</t>
        </is>
      </c>
      <c r="B229" s="32" t="inlineStr">
        <is>
          <t>Expense</t>
        </is>
      </c>
      <c r="C229" s="32" t="inlineStr">
        <is>
          <t>5315 Painting</t>
        </is>
      </c>
      <c r="D229" s="41" t="n">
        <v>1285</v>
      </c>
      <c r="E229" s="32" t="inlineStr"/>
    </row>
    <row r="230">
      <c r="A230" s="32" t="inlineStr">
        <is>
          <t>Commercenter #22 — FY2024</t>
        </is>
      </c>
      <c r="B230" s="32" t="inlineStr">
        <is>
          <t>Expense</t>
        </is>
      </c>
      <c r="C230" s="32" t="inlineStr">
        <is>
          <t>5320 Parking Lot</t>
        </is>
      </c>
      <c r="D230" s="41" t="n">
        <v>41800.84</v>
      </c>
      <c r="E230" s="32" t="inlineStr"/>
    </row>
    <row r="231">
      <c r="A231" s="32" t="inlineStr">
        <is>
          <t>Commercenter #22 — FY2024</t>
        </is>
      </c>
      <c r="B231" s="32" t="inlineStr">
        <is>
          <t>Expense</t>
        </is>
      </c>
      <c r="C231" s="32" t="inlineStr">
        <is>
          <t>5345 Repairs</t>
        </is>
      </c>
      <c r="D231" s="41" t="n">
        <v>2466.5</v>
      </c>
      <c r="E231" s="32" t="inlineStr"/>
    </row>
    <row r="232">
      <c r="A232" s="32" t="inlineStr">
        <is>
          <t>Commercenter #22 — FY2024</t>
        </is>
      </c>
      <c r="B232" s="32" t="inlineStr">
        <is>
          <t>Expense</t>
        </is>
      </c>
      <c r="C232" s="32" t="inlineStr">
        <is>
          <t>5350 Roof</t>
        </is>
      </c>
      <c r="D232" s="41" t="n">
        <v>9690.92</v>
      </c>
      <c r="E232" s="32" t="inlineStr"/>
    </row>
    <row r="233">
      <c r="A233" s="32" t="inlineStr">
        <is>
          <t>Commercenter #22 — FY2024</t>
        </is>
      </c>
      <c r="B233" s="32" t="inlineStr">
        <is>
          <t>Expense</t>
        </is>
      </c>
      <c r="C233" s="32" t="inlineStr">
        <is>
          <t>5365 Signs</t>
        </is>
      </c>
      <c r="D233" s="41" t="n">
        <v>481.36</v>
      </c>
      <c r="E233" s="32" t="inlineStr"/>
    </row>
    <row r="234">
      <c r="A234" s="32" t="inlineStr">
        <is>
          <t>Commercenter #22 — FY2024</t>
        </is>
      </c>
      <c r="B234" s="32" t="inlineStr">
        <is>
          <t>Expense</t>
        </is>
      </c>
      <c r="C234" s="32" t="inlineStr">
        <is>
          <t>5370 Snow Removal</t>
        </is>
      </c>
      <c r="D234" s="41" t="n">
        <v>20425.46</v>
      </c>
      <c r="E234" s="32" t="inlineStr"/>
    </row>
    <row r="235">
      <c r="A235" s="32" t="inlineStr">
        <is>
          <t>Commercenter #22 — FY2024</t>
        </is>
      </c>
      <c r="B235" s="32" t="inlineStr">
        <is>
          <t>Expense</t>
        </is>
      </c>
      <c r="C235" s="32" t="inlineStr">
        <is>
          <t>5380 Sweeping</t>
        </is>
      </c>
      <c r="D235" s="41" t="n">
        <v>2713.1</v>
      </c>
      <c r="E235" s="32" t="inlineStr"/>
    </row>
    <row r="236">
      <c r="A236" s="32" t="inlineStr">
        <is>
          <t>Commercenter #22 — FY2024</t>
        </is>
      </c>
      <c r="B236" s="32" t="inlineStr">
        <is>
          <t>Expense</t>
        </is>
      </c>
      <c r="C236" s="32" t="inlineStr">
        <is>
          <t>5385 Window Washing</t>
        </is>
      </c>
      <c r="D236" s="41" t="n">
        <v>520</v>
      </c>
      <c r="E236" s="32" t="inlineStr"/>
    </row>
    <row r="237">
      <c r="A237" s="32" t="inlineStr">
        <is>
          <t>Commercenter #22 — FY2024</t>
        </is>
      </c>
      <c r="B237" s="32" t="inlineStr">
        <is>
          <t>Expense</t>
        </is>
      </c>
      <c r="C237" s="32" t="inlineStr">
        <is>
          <t>5400 Management Fees</t>
        </is>
      </c>
      <c r="D237" s="41" t="n">
        <v>48882.34</v>
      </c>
      <c r="E237" s="32" t="inlineStr"/>
    </row>
    <row r="238">
      <c r="A238" s="32" t="inlineStr">
        <is>
          <t>Commercenter #22 — FY2024</t>
        </is>
      </c>
      <c r="B238" s="32" t="inlineStr">
        <is>
          <t>Expense</t>
        </is>
      </c>
      <c r="C238" s="32" t="inlineStr">
        <is>
          <t>5500 Real Estate Taxes</t>
        </is>
      </c>
      <c r="D238" s="41" t="n">
        <v>440287.09</v>
      </c>
      <c r="E238" s="32" t="inlineStr"/>
    </row>
    <row r="239">
      <c r="A239" s="32" t="inlineStr">
        <is>
          <t>Commercenter #22 — FY2024</t>
        </is>
      </c>
      <c r="B239" s="32" t="inlineStr">
        <is>
          <t>Expense</t>
        </is>
      </c>
      <c r="C239" s="32" t="inlineStr">
        <is>
          <t>5610 Utilities - Electricity</t>
        </is>
      </c>
      <c r="D239" s="41" t="n">
        <v>10996.47</v>
      </c>
      <c r="E239" s="32" t="inlineStr"/>
    </row>
    <row r="240">
      <c r="A240" s="32" t="inlineStr">
        <is>
          <t>Commercenter #22 — FY2024</t>
        </is>
      </c>
      <c r="B240" s="32" t="inlineStr">
        <is>
          <t>Expense</t>
        </is>
      </c>
      <c r="C240" s="32" t="inlineStr">
        <is>
          <t>5615 Utilities-Fire Service</t>
        </is>
      </c>
      <c r="D240" s="41" t="n">
        <v>478.25</v>
      </c>
      <c r="E240" s="32" t="inlineStr"/>
    </row>
    <row r="241">
      <c r="A241" s="32" t="inlineStr">
        <is>
          <t>Commercenter #22 — FY2024</t>
        </is>
      </c>
      <c r="B241" s="32" t="inlineStr">
        <is>
          <t>Expense</t>
        </is>
      </c>
      <c r="C241" s="32" t="inlineStr">
        <is>
          <t>5620 Utilities-Gas/Heating</t>
        </is>
      </c>
      <c r="D241" s="41" t="n">
        <v>22902.64</v>
      </c>
      <c r="E241" s="32" t="inlineStr"/>
    </row>
    <row r="242">
      <c r="A242" s="32" t="inlineStr">
        <is>
          <t>Commercenter #22 — FY2024</t>
        </is>
      </c>
      <c r="B242" s="32" t="inlineStr">
        <is>
          <t>Expense</t>
        </is>
      </c>
      <c r="C242" s="32" t="inlineStr">
        <is>
          <t>5635 Utilities-Water</t>
        </is>
      </c>
      <c r="D242" s="41" t="n">
        <v>30337.63</v>
      </c>
      <c r="E242" s="32" t="inlineStr"/>
    </row>
    <row r="243">
      <c r="A243" s="32" t="inlineStr">
        <is>
          <t>Commercenter #22 — FY2024</t>
        </is>
      </c>
      <c r="B243" s="32" t="inlineStr">
        <is>
          <t>Expense</t>
        </is>
      </c>
      <c r="C243" s="32" t="inlineStr">
        <is>
          <t>6235 Door Repairs</t>
        </is>
      </c>
      <c r="D243" s="41" t="n">
        <v>1860</v>
      </c>
      <c r="E243" s="32" t="inlineStr"/>
    </row>
    <row r="244">
      <c r="A244" s="32" t="inlineStr">
        <is>
          <t>Commercenter #22 — FY2024</t>
        </is>
      </c>
      <c r="B244" s="32" t="inlineStr">
        <is>
          <t>Expense</t>
        </is>
      </c>
      <c r="C244" s="32" t="inlineStr">
        <is>
          <t>6275 HVAC</t>
        </is>
      </c>
      <c r="D244" s="41" t="n">
        <v>3152.6</v>
      </c>
      <c r="E244" s="32" t="inlineStr"/>
    </row>
    <row r="245">
      <c r="A245" s="32" t="inlineStr">
        <is>
          <t>Commercenter #22 — FY2024</t>
        </is>
      </c>
      <c r="B245" s="32" t="inlineStr">
        <is>
          <t>Expense</t>
        </is>
      </c>
      <c r="C245" s="32" t="inlineStr">
        <is>
          <t>6280 Janitorial Services</t>
        </is>
      </c>
      <c r="D245" s="41" t="n">
        <v>1715.8</v>
      </c>
      <c r="E245" s="32" t="inlineStr"/>
    </row>
    <row r="246">
      <c r="A246" s="32" t="inlineStr">
        <is>
          <t>Commercenter #22 — FY2024</t>
        </is>
      </c>
      <c r="B246" s="32" t="inlineStr">
        <is>
          <t>Expense</t>
        </is>
      </c>
      <c r="C246" s="32" t="inlineStr">
        <is>
          <t>6305 Lighting</t>
        </is>
      </c>
      <c r="D246" s="41" t="n">
        <v>451.92</v>
      </c>
      <c r="E246" s="32" t="inlineStr"/>
    </row>
    <row r="247">
      <c r="A247" s="32" t="inlineStr">
        <is>
          <t>Commercenter #22 — FY2024</t>
        </is>
      </c>
      <c r="B247" s="32" t="inlineStr">
        <is>
          <t>Expense</t>
        </is>
      </c>
      <c r="C247" s="32" t="inlineStr">
        <is>
          <t>6315 Painting</t>
        </is>
      </c>
      <c r="D247" s="41" t="n">
        <v>5570</v>
      </c>
      <c r="E247" s="32" t="inlineStr"/>
    </row>
    <row r="248">
      <c r="A248" s="32" t="inlineStr">
        <is>
          <t>Commercenter #22 — FY2024</t>
        </is>
      </c>
      <c r="B248" s="32" t="inlineStr">
        <is>
          <t>Expense</t>
        </is>
      </c>
      <c r="C248" s="32" t="inlineStr">
        <is>
          <t>6320 Parking Lot</t>
        </is>
      </c>
      <c r="D248" s="41" t="n">
        <v>2652</v>
      </c>
      <c r="E248" s="32" t="inlineStr"/>
    </row>
    <row r="249">
      <c r="A249" s="32" t="inlineStr">
        <is>
          <t>Commercenter #22 — FY2024</t>
        </is>
      </c>
      <c r="B249" s="32" t="inlineStr">
        <is>
          <t>Expense</t>
        </is>
      </c>
      <c r="C249" s="32" t="inlineStr">
        <is>
          <t>6335 Plumbing</t>
        </is>
      </c>
      <c r="D249" s="41" t="n">
        <v>679.79</v>
      </c>
      <c r="E249" s="32" t="inlineStr"/>
    </row>
    <row r="250">
      <c r="A250" s="32" t="inlineStr">
        <is>
          <t>Commercenter #22 — FY2024</t>
        </is>
      </c>
      <c r="B250" s="32" t="inlineStr">
        <is>
          <t>Expense</t>
        </is>
      </c>
      <c r="C250" s="32" t="inlineStr">
        <is>
          <t>6345 Repairs</t>
        </is>
      </c>
      <c r="D250" s="41" t="n">
        <v>17200.71</v>
      </c>
      <c r="E250" s="32" t="inlineStr"/>
    </row>
    <row r="251">
      <c r="A251" s="32" t="inlineStr">
        <is>
          <t>Commercenter #22 — FY2024</t>
        </is>
      </c>
      <c r="B251" s="32" t="inlineStr">
        <is>
          <t>Expense</t>
        </is>
      </c>
      <c r="C251" s="32" t="inlineStr">
        <is>
          <t>6500 Property Taxes</t>
        </is>
      </c>
      <c r="D251" s="41" t="n">
        <v>120240</v>
      </c>
      <c r="E251" s="32" t="inlineStr"/>
    </row>
    <row r="252">
      <c r="A252" s="32" t="inlineStr">
        <is>
          <t>Commercenter #22 — FY2024</t>
        </is>
      </c>
      <c r="B252" s="32" t="inlineStr">
        <is>
          <t>Expense</t>
        </is>
      </c>
      <c r="C252" s="32" t="inlineStr">
        <is>
          <t>6610 Utilities - Electricity</t>
        </is>
      </c>
      <c r="D252" s="41" t="n">
        <v>7170.4</v>
      </c>
      <c r="E252" s="32" t="inlineStr"/>
    </row>
    <row r="253">
      <c r="A253" s="32" t="inlineStr">
        <is>
          <t>Commercenter #22 — FY2024</t>
        </is>
      </c>
      <c r="B253" s="32" t="inlineStr">
        <is>
          <t>Expense</t>
        </is>
      </c>
      <c r="C253" s="32" t="inlineStr">
        <is>
          <t>6640 Utilities-Other</t>
        </is>
      </c>
      <c r="D253" s="41" t="n">
        <v>238.73</v>
      </c>
      <c r="E253" s="32" t="inlineStr"/>
    </row>
    <row r="254">
      <c r="A254" s="32" t="inlineStr">
        <is>
          <t>Commercenter #22 — FY2024</t>
        </is>
      </c>
      <c r="B254" s="32" t="inlineStr">
        <is>
          <t>Expense</t>
        </is>
      </c>
      <c r="C254" s="32" t="inlineStr">
        <is>
          <t>8225 Tenant Relations</t>
        </is>
      </c>
      <c r="D254" s="41" t="n">
        <v>253.8</v>
      </c>
      <c r="E254" s="32" t="inlineStr"/>
    </row>
    <row r="255">
      <c r="A255" s="32" t="inlineStr">
        <is>
          <t>Commercenter #22 — FY2024</t>
        </is>
      </c>
      <c r="B255" s="32" t="inlineStr">
        <is>
          <t>Expense</t>
        </is>
      </c>
      <c r="C255" s="32" t="inlineStr">
        <is>
          <t>8420 Prof Service-Legal</t>
        </is>
      </c>
      <c r="D255" s="41" t="n">
        <v>80.68000000000001</v>
      </c>
      <c r="E255" s="32" t="inlineStr"/>
    </row>
    <row r="256">
      <c r="A256" s="32" t="inlineStr">
        <is>
          <t>Commercenter #22 — FY2024</t>
        </is>
      </c>
      <c r="B256" s="32" t="inlineStr">
        <is>
          <t>Expense</t>
        </is>
      </c>
      <c r="C256" s="32" t="inlineStr">
        <is>
          <t>8430 Prof Service-Tax Prep</t>
        </is>
      </c>
      <c r="D256" s="41" t="n">
        <v>8614.52</v>
      </c>
      <c r="E256" s="32" t="inlineStr"/>
    </row>
    <row r="257">
      <c r="A257" s="32" t="inlineStr">
        <is>
          <t>Commercenter #22 — FY2024</t>
        </is>
      </c>
      <c r="B257" s="32" t="inlineStr">
        <is>
          <t>Expense</t>
        </is>
      </c>
      <c r="C257" s="32" t="inlineStr">
        <is>
          <t>8435 Prof Service-Other</t>
        </is>
      </c>
      <c r="D257" s="41" t="n">
        <v>747.22</v>
      </c>
      <c r="E257" s="32" t="inlineStr"/>
    </row>
    <row r="258">
      <c r="A258" s="32" t="inlineStr">
        <is>
          <t>Commercenter #22 — FY2024</t>
        </is>
      </c>
      <c r="B258" s="32" t="inlineStr">
        <is>
          <t>Expense</t>
        </is>
      </c>
      <c r="C258" s="32" t="inlineStr">
        <is>
          <t>8445 Prof Service-Legal (Leasing)</t>
        </is>
      </c>
      <c r="D258" s="41" t="n">
        <v>5390</v>
      </c>
      <c r="E258" s="32" t="inlineStr"/>
    </row>
    <row r="259">
      <c r="A259" s="32" t="inlineStr">
        <is>
          <t>Commercenter #22 — FY2024</t>
        </is>
      </c>
      <c r="B259" s="32" t="inlineStr">
        <is>
          <t>Expense</t>
        </is>
      </c>
      <c r="C259" s="32" t="inlineStr">
        <is>
          <t>8450 Prof Service-Other Environ</t>
        </is>
      </c>
      <c r="D259" s="41" t="n">
        <v>447.63</v>
      </c>
      <c r="E259" s="32" t="inlineStr"/>
    </row>
    <row r="260">
      <c r="A260" s="38" t="inlineStr">
        <is>
          <t>Commercenter #22 — FY2024</t>
        </is>
      </c>
      <c r="B260" s="38" t="inlineStr">
        <is>
          <t>Expense</t>
        </is>
      </c>
      <c r="C260" s="38" t="inlineStr">
        <is>
          <t>TOTAL OPERATING EXPENSES</t>
        </is>
      </c>
      <c r="D260" s="39">
        <f>SUM(D218:D259)</f>
        <v/>
      </c>
      <c r="E260" s="38" t="inlineStr">
        <is>
          <t>Printed total: $872,475.43. Real estate taxes $440,287.09 + property taxes $120,240.00 are 64.2% of operating expense. Operating income/(loss) $775,967.82.</t>
        </is>
      </c>
    </row>
    <row r="261">
      <c r="A261" s="32" t="inlineStr">
        <is>
          <t>Commercenter #22 — FY2024</t>
        </is>
      </c>
      <c r="B261" s="32" t="inlineStr">
        <is>
          <t>Non-operating</t>
        </is>
      </c>
      <c r="C261" s="32" t="inlineStr">
        <is>
          <t>6805 Interest - Mortgage</t>
        </is>
      </c>
      <c r="D261" s="41" t="n">
        <v>457397.92</v>
      </c>
      <c r="E261" s="32" t="inlineStr">
        <is>
          <t>Printed Total Interest Expense: $457,397.92.</t>
        </is>
      </c>
    </row>
    <row r="262">
      <c r="A262" s="32" t="inlineStr">
        <is>
          <t>Commercenter #22 — FY2024</t>
        </is>
      </c>
      <c r="B262" s="32" t="inlineStr">
        <is>
          <t>Other (inc)/exp</t>
        </is>
      </c>
      <c r="C262" s="32" t="inlineStr">
        <is>
          <t>4605 Interest Income Taxable</t>
        </is>
      </c>
      <c r="D262" s="41" t="n">
        <v>-21280.12</v>
      </c>
      <c r="E262" s="32" t="inlineStr"/>
    </row>
    <row r="263">
      <c r="A263" s="32" t="inlineStr">
        <is>
          <t>Commercenter #22 — FY2024</t>
        </is>
      </c>
      <c r="B263" s="32" t="inlineStr">
        <is>
          <t>Other (inc)/exp</t>
        </is>
      </c>
      <c r="C263" s="32" t="inlineStr">
        <is>
          <t>4860 Insurance Proceeds</t>
        </is>
      </c>
      <c r="D263" s="41" t="n">
        <v>-35331</v>
      </c>
      <c r="E263" s="32" t="inlineStr"/>
    </row>
    <row r="264">
      <c r="A264" s="32" t="inlineStr">
        <is>
          <t>Commercenter #22 — FY2024</t>
        </is>
      </c>
      <c r="B264" s="32" t="inlineStr">
        <is>
          <t>Other (inc)/exp</t>
        </is>
      </c>
      <c r="C264" s="32" t="inlineStr">
        <is>
          <t>8660 Amort-Loan Fees</t>
        </is>
      </c>
      <c r="D264" s="41" t="n">
        <v>4148.36</v>
      </c>
      <c r="E264" s="32" t="inlineStr"/>
    </row>
    <row r="265">
      <c r="A265" s="32" t="inlineStr">
        <is>
          <t>Commercenter #22 — FY2024</t>
        </is>
      </c>
      <c r="B265" s="32" t="inlineStr">
        <is>
          <t>Other (inc)/exp</t>
        </is>
      </c>
      <c r="C265" s="32" t="inlineStr">
        <is>
          <t>8670 Amort-Start Up Costs</t>
        </is>
      </c>
      <c r="D265" s="41" t="n">
        <v>79290.7</v>
      </c>
      <c r="E265" s="32" t="inlineStr"/>
    </row>
    <row r="266">
      <c r="A266" s="32" t="inlineStr">
        <is>
          <t>Commercenter #22 — FY2024</t>
        </is>
      </c>
      <c r="B266" s="32" t="inlineStr">
        <is>
          <t>Other (inc)/exp</t>
        </is>
      </c>
      <c r="C266" s="32" t="inlineStr">
        <is>
          <t>8675 Amort-Capitalized Other</t>
        </is>
      </c>
      <c r="D266" s="41" t="n">
        <v>1257.25</v>
      </c>
      <c r="E266" s="32" t="inlineStr"/>
    </row>
    <row r="267">
      <c r="A267" s="32" t="inlineStr">
        <is>
          <t>Commercenter #22 — FY2024</t>
        </is>
      </c>
      <c r="B267" s="32" t="inlineStr">
        <is>
          <t>Other (inc)/exp</t>
        </is>
      </c>
      <c r="C267" s="32" t="inlineStr">
        <is>
          <t>8680 Amort-Commissions</t>
        </is>
      </c>
      <c r="D267" s="41" t="n">
        <v>48443.44</v>
      </c>
      <c r="E267" s="32" t="inlineStr"/>
    </row>
    <row r="268">
      <c r="A268" s="32" t="inlineStr">
        <is>
          <t>Commercenter #22 — FY2024</t>
        </is>
      </c>
      <c r="B268" s="32" t="inlineStr">
        <is>
          <t>Other (inc)/exp</t>
        </is>
      </c>
      <c r="C268" s="32" t="inlineStr">
        <is>
          <t>8755 Depr-Land Improvements</t>
        </is>
      </c>
      <c r="D268" s="41" t="n">
        <v>129064.76</v>
      </c>
      <c r="E268" s="32" t="inlineStr"/>
    </row>
    <row r="269">
      <c r="A269" s="32" t="inlineStr">
        <is>
          <t>Commercenter #22 — FY2024</t>
        </is>
      </c>
      <c r="B269" s="32" t="inlineStr">
        <is>
          <t>Other (inc)/exp</t>
        </is>
      </c>
      <c r="C269" s="32" t="inlineStr">
        <is>
          <t>8765 Depr-Buildings</t>
        </is>
      </c>
      <c r="D269" s="41" t="n">
        <v>145543.35</v>
      </c>
      <c r="E269" s="32" t="inlineStr"/>
    </row>
    <row r="270">
      <c r="A270" s="32" t="inlineStr">
        <is>
          <t>Commercenter #22 — FY2024</t>
        </is>
      </c>
      <c r="B270" s="32" t="inlineStr">
        <is>
          <t>Other (inc)/exp</t>
        </is>
      </c>
      <c r="C270" s="32" t="inlineStr">
        <is>
          <t>8767 Depr-Buildings Step Up</t>
        </is>
      </c>
      <c r="D270" s="41" t="n">
        <v>-359014.83</v>
      </c>
      <c r="E270" s="32" t="inlineStr"/>
    </row>
    <row r="271">
      <c r="A271" s="32" t="inlineStr">
        <is>
          <t>Commercenter #22 — FY2024</t>
        </is>
      </c>
      <c r="B271" s="32" t="inlineStr">
        <is>
          <t>Other (inc)/exp</t>
        </is>
      </c>
      <c r="C271" s="32" t="inlineStr">
        <is>
          <t>8770 Depr-Tenant Improvements</t>
        </is>
      </c>
      <c r="D271" s="41" t="n">
        <v>32879.56</v>
      </c>
      <c r="E271" s="32" t="inlineStr"/>
    </row>
    <row r="272">
      <c r="A272" s="38" t="inlineStr">
        <is>
          <t>Commercenter #22 — FY2024</t>
        </is>
      </c>
      <c r="B272" s="38" t="inlineStr">
        <is>
          <t>Other (inc)/exp</t>
        </is>
      </c>
      <c r="C272" s="38" t="inlineStr">
        <is>
          <t>TOTAL OTHER (INCOME)/EXPENSE — as printed</t>
        </is>
      </c>
      <c r="D272" s="39" t="n">
        <v>743031.13</v>
      </c>
      <c r="E272" s="38" t="inlineStr">
        <is>
          <t>Entered as the printed subtotal, NOT as a sum of the lines above: the ten printed line items add to $25,001.47, while the report prints $743,031.13. The $718,029.66 gap is exactly twice the $(359,014.83) Depr-Buildings Step Up credit, i.e. the report adds that credit instead of subtracting it. The printed subtotal is the one consistent with the printed net loss, so it is reproduced here and the line items are reproduced as printed.</t>
        </is>
      </c>
    </row>
    <row r="273">
      <c r="A273" s="38" t="inlineStr">
        <is>
          <t>Commercenter #22 — FY2024</t>
        </is>
      </c>
      <c r="B273" s="38" t="inlineStr">
        <is>
          <t>Bottom line</t>
        </is>
      </c>
      <c r="C273" s="38" t="inlineStr">
        <is>
          <t>NET INCOME/(LOSS)</t>
        </is>
      </c>
      <c r="D273" s="39" t="n">
        <v>-424461.23</v>
      </c>
      <c r="E273" s="38" t="inlineStr">
        <is>
          <t>Printed: $(424,461.23) = operating income $775,967.82 − interest $457,397.92 − other $743,031.13. Verified to the cent against the printed figure.</t>
        </is>
      </c>
    </row>
    <row r="276">
      <c r="A276" s="33" t="inlineStr">
        <is>
          <t>Denver Distribution Center and Majestic Commercenter figures are accrual, year-to-date, and exclude debt service from the operating-expense totals (financing is listed separately). 2780 N. Tower Road totals follow the owner's QuickBooks P&amp;L and DO include depreciation and amortization inside Total Expense; interest is shown separately as non-operating.</t>
        </is>
      </c>
    </row>
  </sheetData>
  <mergeCells count="3">
    <mergeCell ref="A2:E2"/>
    <mergeCell ref="A1:E1"/>
    <mergeCell ref="A276:E27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26" customWidth="1" min="1" max="1"/>
    <col width="18" customWidth="1" min="2" max="2"/>
    <col width="22" customWidth="1" min="3" max="3"/>
    <col width="18" customWidth="1" min="4" max="4"/>
    <col width="8" customWidth="1" min="5" max="5"/>
  </cols>
  <sheetData>
    <row r="1" ht="26" customHeight="1">
      <c r="A1" s="1" t="inlineStr">
        <is>
          <t>RELATED PARCELS</t>
        </is>
      </c>
    </row>
    <row r="2" ht="14" customHeight="1">
      <c r="A2" s="2" t="inlineStr">
        <is>
          <t>North Side Gardens LLC portfolio — parcel schedule attached to the 7205 Gilpin Way (R0178308) appeal</t>
        </is>
      </c>
    </row>
    <row r="4" ht="28" customHeight="1">
      <c r="A4" s="4" t="inlineStr">
        <is>
          <t>Assessee</t>
        </is>
      </c>
      <c r="B4" s="4" t="inlineStr">
        <is>
          <t>Account Number</t>
        </is>
      </c>
      <c r="C4" s="4" t="inlineStr">
        <is>
          <t>Address</t>
        </is>
      </c>
      <c r="D4" s="4" t="inlineStr">
        <is>
          <t>County</t>
        </is>
      </c>
      <c r="E4" s="4" t="inlineStr">
        <is>
          <t>State</t>
        </is>
      </c>
    </row>
    <row r="5">
      <c r="A5" s="6" t="inlineStr">
        <is>
          <t>North Side Gardens LLC</t>
        </is>
      </c>
      <c r="B5" s="5" t="inlineStr">
        <is>
          <t>R0174928</t>
        </is>
      </c>
      <c r="C5" s="6" t="inlineStr">
        <is>
          <t>7285 Gilpin Way</t>
        </is>
      </c>
      <c r="D5" s="5" t="inlineStr">
        <is>
          <t>Adams County</t>
        </is>
      </c>
      <c r="E5" s="5" t="inlineStr">
        <is>
          <t>CO</t>
        </is>
      </c>
    </row>
    <row r="6">
      <c r="A6" s="12" t="inlineStr">
        <is>
          <t>North Side Gardens LLC</t>
        </is>
      </c>
      <c r="B6" s="24" t="inlineStr">
        <is>
          <t>R0178308</t>
        </is>
      </c>
      <c r="C6" s="12" t="inlineStr">
        <is>
          <t>7205 Gilpin Way</t>
        </is>
      </c>
      <c r="D6" s="24" t="inlineStr">
        <is>
          <t>Adams County</t>
        </is>
      </c>
      <c r="E6" s="24" t="inlineStr">
        <is>
          <t>CO</t>
        </is>
      </c>
    </row>
    <row r="7">
      <c r="A7" s="6" t="inlineStr">
        <is>
          <t>North Side Gardens LLC</t>
        </is>
      </c>
      <c r="B7" s="5" t="inlineStr">
        <is>
          <t>R0189058</t>
        </is>
      </c>
      <c r="C7" s="6" t="inlineStr">
        <is>
          <t>7230 Gilpin Way</t>
        </is>
      </c>
      <c r="D7" s="5" t="inlineStr">
        <is>
          <t>Adams County</t>
        </is>
      </c>
      <c r="E7" s="5" t="inlineStr">
        <is>
          <t>CO</t>
        </is>
      </c>
    </row>
    <row r="8">
      <c r="A8" s="6" t="inlineStr">
        <is>
          <t>North Side Gardens LLC</t>
        </is>
      </c>
      <c r="B8" s="5" t="inlineStr">
        <is>
          <t>R0174929</t>
        </is>
      </c>
      <c r="C8" s="6" t="inlineStr">
        <is>
          <t>7245 Gilpin Way</t>
        </is>
      </c>
      <c r="D8" s="5" t="inlineStr">
        <is>
          <t>Adams County</t>
        </is>
      </c>
      <c r="E8" s="5" t="inlineStr">
        <is>
          <t>CO</t>
        </is>
      </c>
    </row>
    <row r="10" ht="28" customHeight="1">
      <c r="A10" s="18" t="inlineStr">
        <is>
          <t>Highlighted row (R0178308 / 7205 Gilpin Way) is the primary appeal subject; the other three parcels are co-listed on the same authorization schedule. Appeal owner of record: Center Land Properties (signed by Ken R. Lombardi, Manager).</t>
        </is>
      </c>
      <c r="B10" s="20" t="n"/>
      <c r="C10" s="20" t="n"/>
      <c r="D10" s="20" t="n"/>
      <c r="E10" s="21" t="n"/>
    </row>
  </sheetData>
  <mergeCells count="3">
    <mergeCell ref="A2:E2"/>
    <mergeCell ref="A1:E1"/>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2026-07-30T22:56:27Z</dcterms:created>
  <dcterms:modified xmlns:dcterms="http://purl.org/dc/terms/" xmlns:xsi="http://www.w3.org/2001/XMLSchema-instance" xsi:type="dcterms:W3CDTF">2026-08-11T03:46:25Z</dcterms:modified>
</cp:coreProperties>
</file>